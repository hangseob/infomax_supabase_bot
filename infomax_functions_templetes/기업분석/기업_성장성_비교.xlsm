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735" yWindow="735" windowWidth="21210" windowHeight="12150"/>
  </bookViews>
  <sheets>
    <sheet name="graph" sheetId="2" r:id="rId1"/>
    <sheet name="raw" sheetId="1" state="hidden" r:id="rId2"/>
    <sheet name="code" sheetId="3" state="hidden" r:id="rId3"/>
  </sheets>
  <functionGroups builtInGroupCount="17"/>
  <definedNames>
    <definedName name="excelcode_klat_1" localSheetId="2">code!$A$1:$B$5453</definedName>
    <definedName name="excelcode_klat_2" localSheetId="2">code!$A$1:$B$6668</definedName>
    <definedName name="excelcode_klat_3" localSheetId="2">code!$A$1:$B$6668</definedName>
    <definedName name="excelcode_klat_4" localSheetId="2">code!$A$1:$B$6668</definedName>
    <definedName name="excelcode_klat_5" localSheetId="2">code!$A$1:$B$6565</definedName>
  </definedNames>
  <calcPr calcId="145621"/>
</workbook>
</file>

<file path=xl/calcChain.xml><?xml version="1.0" encoding="utf-8"?>
<calcChain xmlns="http://schemas.openxmlformats.org/spreadsheetml/2006/main">
  <c r="C6" i="2" l="1"/>
  <c r="C7" i="2"/>
  <c r="C8" i="2"/>
  <c r="C9" i="2"/>
  <c r="N1" i="1" l="1"/>
  <c r="W1" i="1" l="1"/>
  <c r="AH1" i="1"/>
  <c r="AF1" i="1"/>
  <c r="AD1" i="1"/>
  <c r="AB1" i="1"/>
  <c r="Z1" i="1"/>
  <c r="X1" i="1"/>
  <c r="V1" i="1"/>
  <c r="T1" i="1"/>
  <c r="R1" i="1"/>
  <c r="P1" i="1"/>
  <c r="O1" i="1" l="1"/>
  <c r="AE1" i="1"/>
  <c r="AA1" i="1"/>
  <c r="S1" i="1"/>
  <c r="B2" i="1"/>
  <c r="G6" i="1"/>
  <c r="A6" i="1"/>
  <c r="J6" i="1"/>
  <c r="D6" i="1"/>
  <c r="AC1" i="1" l="1"/>
  <c r="AG1" i="1"/>
  <c r="Y1" i="1"/>
  <c r="U1" i="1"/>
  <c r="Q1" i="1"/>
  <c r="N2" i="1" l="1"/>
  <c r="Q2" i="1" l="1"/>
  <c r="U2" i="1" s="1"/>
  <c r="Z2" i="1"/>
  <c r="R2" i="1"/>
  <c r="V2" i="1" s="1"/>
  <c r="N3" i="1"/>
  <c r="X2" i="1"/>
  <c r="AB2" i="1" s="1"/>
  <c r="Y2" i="1"/>
  <c r="AC2" i="1" s="1"/>
  <c r="P2" i="1"/>
  <c r="T2" i="1" s="1"/>
  <c r="W2" i="1"/>
  <c r="AA2" i="1" s="1"/>
  <c r="O2" i="1"/>
  <c r="S2" i="1" s="1"/>
  <c r="Q3" i="1" l="1"/>
  <c r="U3" i="1" s="1"/>
  <c r="Z3" i="1"/>
  <c r="R3" i="1"/>
  <c r="V3" i="1" s="1"/>
  <c r="AH2" i="1"/>
  <c r="AD2" i="1"/>
  <c r="AF2" i="1"/>
  <c r="AG2" i="1"/>
  <c r="AE2" i="1"/>
  <c r="W3" i="1"/>
  <c r="AA3" i="1" s="1"/>
  <c r="X3" i="1"/>
  <c r="AB3" i="1" s="1"/>
  <c r="Y3" i="1"/>
  <c r="AC3" i="1" s="1"/>
  <c r="O3" i="1"/>
  <c r="S3" i="1" s="1"/>
  <c r="N4" i="1"/>
  <c r="P3" i="1"/>
  <c r="T3" i="1" s="1"/>
  <c r="P4" i="1" l="1"/>
  <c r="T4" i="1" s="1"/>
  <c r="Z4" i="1"/>
  <c r="R4" i="1"/>
  <c r="V4" i="1" s="1"/>
  <c r="AD3" i="1"/>
  <c r="AH3" i="1"/>
  <c r="AG3" i="1"/>
  <c r="AE3" i="1"/>
  <c r="AF3" i="1"/>
  <c r="X4" i="1"/>
  <c r="N5" i="1"/>
  <c r="Q4" i="1"/>
  <c r="U4" i="1" s="1"/>
  <c r="O4" i="1"/>
  <c r="S4" i="1" s="1"/>
  <c r="Y4" i="1"/>
  <c r="W4" i="1"/>
  <c r="AA4" i="1" s="1"/>
  <c r="AF4" i="1" l="1"/>
  <c r="O5" i="1"/>
  <c r="S5" i="1" s="1"/>
  <c r="Z5" i="1"/>
  <c r="R5" i="1"/>
  <c r="V5" i="1" s="1"/>
  <c r="AD4" i="1"/>
  <c r="AH4" i="1"/>
  <c r="AB4" i="1"/>
  <c r="AG4" i="1"/>
  <c r="Y5" i="1"/>
  <c r="AC5" i="1" s="1"/>
  <c r="N6" i="1"/>
  <c r="Q5" i="1"/>
  <c r="U5" i="1" s="1"/>
  <c r="AE4" i="1"/>
  <c r="P5" i="1"/>
  <c r="T5" i="1" s="1"/>
  <c r="AC4" i="1"/>
  <c r="W5" i="1"/>
  <c r="AA5" i="1" s="1"/>
  <c r="X5" i="1"/>
  <c r="AB5" i="1" s="1"/>
  <c r="X6" i="1" l="1"/>
  <c r="AB6" i="1" s="1"/>
  <c r="Z6" i="1"/>
  <c r="R6" i="1"/>
  <c r="V6" i="1" s="1"/>
  <c r="AD5" i="1"/>
  <c r="AH5" i="1"/>
  <c r="AF5" i="1"/>
  <c r="AE5" i="1"/>
  <c r="AG5" i="1"/>
  <c r="N7" i="1"/>
  <c r="P6" i="1"/>
  <c r="T6" i="1" s="1"/>
  <c r="Q6" i="1"/>
  <c r="U6" i="1" s="1"/>
  <c r="W6" i="1"/>
  <c r="AA6" i="1" s="1"/>
  <c r="O6" i="1"/>
  <c r="S6" i="1" s="1"/>
  <c r="Y6" i="1"/>
  <c r="AD6" i="1" l="1"/>
  <c r="AH6" i="1"/>
  <c r="Y7" i="1"/>
  <c r="AC7" i="1" s="1"/>
  <c r="Z7" i="1"/>
  <c r="R7" i="1"/>
  <c r="V7" i="1" s="1"/>
  <c r="AF6" i="1"/>
  <c r="AG6" i="1"/>
  <c r="AC6" i="1"/>
  <c r="W7" i="1"/>
  <c r="AA7" i="1" s="1"/>
  <c r="AE6" i="1"/>
  <c r="N8" i="1"/>
  <c r="O7" i="1"/>
  <c r="S7" i="1" s="1"/>
  <c r="X7" i="1"/>
  <c r="AB7" i="1" s="1"/>
  <c r="Q7" i="1"/>
  <c r="U7" i="1" s="1"/>
  <c r="P7" i="1"/>
  <c r="T7" i="1" s="1"/>
  <c r="AD7" i="1" l="1"/>
  <c r="AH7" i="1"/>
  <c r="O8" i="1"/>
  <c r="S8" i="1" s="1"/>
  <c r="Z8" i="1"/>
  <c r="R8" i="1"/>
  <c r="V8" i="1" s="1"/>
  <c r="AG7" i="1"/>
  <c r="AE7" i="1"/>
  <c r="AF7" i="1"/>
  <c r="W8" i="1"/>
  <c r="X8" i="1"/>
  <c r="Y8" i="1"/>
  <c r="AC8" i="1" s="1"/>
  <c r="N9" i="1"/>
  <c r="P8" i="1"/>
  <c r="T8" i="1" s="1"/>
  <c r="Q8" i="1"/>
  <c r="U8" i="1" s="1"/>
  <c r="AE8" i="1" l="1"/>
  <c r="W9" i="1"/>
  <c r="AA9" i="1" s="1"/>
  <c r="Z9" i="1"/>
  <c r="R9" i="1"/>
  <c r="V9" i="1" s="1"/>
  <c r="AD8" i="1"/>
  <c r="AH8" i="1"/>
  <c r="AA8" i="1"/>
  <c r="AF8" i="1"/>
  <c r="O9" i="1"/>
  <c r="S9" i="1" s="1"/>
  <c r="X9" i="1"/>
  <c r="AB9" i="1" s="1"/>
  <c r="Q9" i="1"/>
  <c r="U9" i="1" s="1"/>
  <c r="N10" i="1"/>
  <c r="P9" i="1"/>
  <c r="T9" i="1" s="1"/>
  <c r="Y9" i="1"/>
  <c r="AB8" i="1"/>
  <c r="AG8" i="1"/>
  <c r="Y10" i="1" l="1"/>
  <c r="AC10" i="1" s="1"/>
  <c r="Z10" i="1"/>
  <c r="R10" i="1"/>
  <c r="V10" i="1" s="1"/>
  <c r="AD9" i="1"/>
  <c r="AH9" i="1"/>
  <c r="AG9" i="1"/>
  <c r="AC9" i="1"/>
  <c r="AE9" i="1"/>
  <c r="AF9" i="1"/>
  <c r="P10" i="1"/>
  <c r="T10" i="1" s="1"/>
  <c r="O10" i="1"/>
  <c r="S10" i="1" s="1"/>
  <c r="X10" i="1"/>
  <c r="AB10" i="1" s="1"/>
  <c r="W10" i="1"/>
  <c r="Q10" i="1"/>
  <c r="U10" i="1" s="1"/>
  <c r="N11" i="1"/>
  <c r="Q11" i="1" l="1"/>
  <c r="U11" i="1" s="1"/>
  <c r="Z11" i="1"/>
  <c r="R11" i="1"/>
  <c r="V11" i="1" s="1"/>
  <c r="AD10" i="1"/>
  <c r="AH10" i="1"/>
  <c r="AF10" i="1"/>
  <c r="AE10" i="1"/>
  <c r="AG10" i="1"/>
  <c r="W11" i="1"/>
  <c r="AA11" i="1" s="1"/>
  <c r="P11" i="1"/>
  <c r="T11" i="1" s="1"/>
  <c r="N12" i="1"/>
  <c r="X11" i="1"/>
  <c r="AB11" i="1" s="1"/>
  <c r="AA10" i="1"/>
  <c r="Y11" i="1"/>
  <c r="AC11" i="1" s="1"/>
  <c r="O11" i="1"/>
  <c r="S11" i="1" s="1"/>
  <c r="Y12" i="1" l="1"/>
  <c r="AC12" i="1" s="1"/>
  <c r="Z12" i="1"/>
  <c r="R12" i="1"/>
  <c r="V12" i="1" s="1"/>
  <c r="AH11" i="1"/>
  <c r="AD11" i="1"/>
  <c r="AG11" i="1"/>
  <c r="AF11" i="1"/>
  <c r="O12" i="1"/>
  <c r="S12" i="1" s="1"/>
  <c r="N13" i="1"/>
  <c r="AE11" i="1"/>
  <c r="P12" i="1"/>
  <c r="T12" i="1" s="1"/>
  <c r="Q12" i="1"/>
  <c r="U12" i="1" s="1"/>
  <c r="W12" i="1"/>
  <c r="AA12" i="1" s="1"/>
  <c r="X12" i="1"/>
  <c r="AD12" i="1" l="1"/>
  <c r="AH12" i="1"/>
  <c r="Q13" i="1"/>
  <c r="U13" i="1" s="1"/>
  <c r="Z13" i="1"/>
  <c r="R13" i="1"/>
  <c r="V13" i="1" s="1"/>
  <c r="AF12" i="1"/>
  <c r="AB12" i="1"/>
  <c r="AG12" i="1"/>
  <c r="N14" i="1"/>
  <c r="O13" i="1"/>
  <c r="S13" i="1" s="1"/>
  <c r="AE12" i="1"/>
  <c r="P13" i="1"/>
  <c r="T13" i="1" s="1"/>
  <c r="Y13" i="1"/>
  <c r="AC13" i="1" s="1"/>
  <c r="W13" i="1"/>
  <c r="AA13" i="1" s="1"/>
  <c r="X13" i="1"/>
  <c r="W14" i="1" l="1"/>
  <c r="AA14" i="1" s="1"/>
  <c r="Z14" i="1"/>
  <c r="R14" i="1"/>
  <c r="V14" i="1" s="1"/>
  <c r="AD13" i="1"/>
  <c r="AH13" i="1"/>
  <c r="AF13" i="1"/>
  <c r="AB13" i="1"/>
  <c r="AG13" i="1"/>
  <c r="N15" i="1"/>
  <c r="X14" i="1"/>
  <c r="AB14" i="1" s="1"/>
  <c r="O14" i="1"/>
  <c r="S14" i="1" s="1"/>
  <c r="AE13" i="1"/>
  <c r="P14" i="1"/>
  <c r="T14" i="1" s="1"/>
  <c r="Q14" i="1"/>
  <c r="U14" i="1" s="1"/>
  <c r="Y14" i="1"/>
  <c r="AC14" i="1" s="1"/>
  <c r="AH14" i="1" l="1"/>
  <c r="AD14" i="1"/>
  <c r="Q15" i="1"/>
  <c r="U15" i="1" s="1"/>
  <c r="Z15" i="1"/>
  <c r="R15" i="1"/>
  <c r="V15" i="1" s="1"/>
  <c r="AF14" i="1"/>
  <c r="AE14" i="1"/>
  <c r="AG14" i="1"/>
  <c r="W15" i="1"/>
  <c r="N16" i="1"/>
  <c r="P15" i="1"/>
  <c r="T15" i="1" s="1"/>
  <c r="Y15" i="1"/>
  <c r="O15" i="1"/>
  <c r="S15" i="1" s="1"/>
  <c r="X15" i="1"/>
  <c r="AB15" i="1" s="1"/>
  <c r="N17" i="1" l="1"/>
  <c r="Q17" i="1" s="1"/>
  <c r="Z16" i="1"/>
  <c r="R16" i="1"/>
  <c r="V16" i="1" s="1"/>
  <c r="AD15" i="1"/>
  <c r="AH15" i="1"/>
  <c r="AG15" i="1"/>
  <c r="AC15" i="1"/>
  <c r="AE15" i="1"/>
  <c r="AF15" i="1"/>
  <c r="AA15" i="1"/>
  <c r="P16" i="1"/>
  <c r="T16" i="1" s="1"/>
  <c r="Q16" i="1"/>
  <c r="U16" i="1" s="1"/>
  <c r="W16" i="1"/>
  <c r="X16" i="1"/>
  <c r="Y16" i="1"/>
  <c r="AC16" i="1" s="1"/>
  <c r="O16" i="1"/>
  <c r="S16" i="1" s="1"/>
  <c r="W17" i="1" l="1"/>
  <c r="AA17" i="1" s="1"/>
  <c r="X17" i="1"/>
  <c r="AB17" i="1" s="1"/>
  <c r="N18" i="1"/>
  <c r="W18" i="1" s="1"/>
  <c r="Y17" i="1"/>
  <c r="AG17" i="1" s="1"/>
  <c r="P17" i="1"/>
  <c r="T17" i="1" s="1"/>
  <c r="O17" i="1"/>
  <c r="S17" i="1" s="1"/>
  <c r="AD16" i="1"/>
  <c r="AH16" i="1"/>
  <c r="Z17" i="1"/>
  <c r="R17" i="1"/>
  <c r="V17" i="1" s="1"/>
  <c r="U17" i="1"/>
  <c r="AF16" i="1"/>
  <c r="AB16" i="1"/>
  <c r="AE16" i="1"/>
  <c r="AA16" i="1"/>
  <c r="AG16" i="1"/>
  <c r="AC17" i="1" l="1"/>
  <c r="AE17" i="1"/>
  <c r="AF17" i="1"/>
  <c r="P18" i="1"/>
  <c r="T18" i="1" s="1"/>
  <c r="Y18" i="1"/>
  <c r="AC18" i="1" s="1"/>
  <c r="X18" i="1"/>
  <c r="AB18" i="1" s="1"/>
  <c r="Q18" i="1"/>
  <c r="U18" i="1" s="1"/>
  <c r="Z18" i="1"/>
  <c r="R18" i="1"/>
  <c r="V18" i="1" s="1"/>
  <c r="O18" i="1"/>
  <c r="S18" i="1" s="1"/>
  <c r="N19" i="1"/>
  <c r="AD17" i="1"/>
  <c r="AH17" i="1"/>
  <c r="AA18" i="1"/>
  <c r="AG18" i="1" l="1"/>
  <c r="AF18" i="1"/>
  <c r="AE18" i="1"/>
  <c r="Z19" i="1"/>
  <c r="R19" i="1"/>
  <c r="V19" i="1" s="1"/>
  <c r="Y19" i="1"/>
  <c r="AC19" i="1" s="1"/>
  <c r="W19" i="1"/>
  <c r="X19" i="1"/>
  <c r="AB19" i="1" s="1"/>
  <c r="Q19" i="1"/>
  <c r="U19" i="1" s="1"/>
  <c r="O19" i="1"/>
  <c r="S19" i="1" s="1"/>
  <c r="P19" i="1"/>
  <c r="T19" i="1" s="1"/>
  <c r="N20" i="1"/>
  <c r="O20" i="1" s="1"/>
  <c r="S20" i="1" s="1"/>
  <c r="AH18" i="1"/>
  <c r="AD18" i="1"/>
  <c r="AA19" i="1"/>
  <c r="AF19" i="1" l="1"/>
  <c r="AG19" i="1"/>
  <c r="W20" i="1"/>
  <c r="AA20" i="1" s="1"/>
  <c r="X20" i="1"/>
  <c r="AB20" i="1" s="1"/>
  <c r="Q20" i="1"/>
  <c r="U20" i="1" s="1"/>
  <c r="AE19" i="1"/>
  <c r="N21" i="1"/>
  <c r="P21" i="1" s="1"/>
  <c r="P20" i="1"/>
  <c r="T20" i="1" s="1"/>
  <c r="Y20" i="1"/>
  <c r="AC20" i="1" s="1"/>
  <c r="Z20" i="1"/>
  <c r="R20" i="1"/>
  <c r="V20" i="1" s="1"/>
  <c r="AD19" i="1"/>
  <c r="AH19" i="1"/>
  <c r="T21" i="1" l="1"/>
  <c r="AE20" i="1"/>
  <c r="AF20" i="1"/>
  <c r="AG20" i="1"/>
  <c r="Q21" i="1"/>
  <c r="U21" i="1" s="1"/>
  <c r="W21" i="1"/>
  <c r="AA21" i="1" s="1"/>
  <c r="Y21" i="1"/>
  <c r="AD20" i="1"/>
  <c r="AH20" i="1"/>
  <c r="O21" i="1"/>
  <c r="S21" i="1" s="1"/>
  <c r="X21" i="1"/>
  <c r="AF21" i="1" s="1"/>
  <c r="N22" i="1"/>
  <c r="Z21" i="1"/>
  <c r="R21" i="1"/>
  <c r="V21" i="1" s="1"/>
  <c r="AE21" i="1" l="1"/>
  <c r="AB21" i="1"/>
  <c r="AG21" i="1"/>
  <c r="Z22" i="1"/>
  <c r="R22" i="1"/>
  <c r="V22" i="1" s="1"/>
  <c r="N23" i="1"/>
  <c r="P23" i="1" s="1"/>
  <c r="T23" i="1" s="1"/>
  <c r="X22" i="1"/>
  <c r="AB22" i="1" s="1"/>
  <c r="AC21" i="1"/>
  <c r="W22" i="1"/>
  <c r="Q22" i="1"/>
  <c r="U22" i="1" s="1"/>
  <c r="Y22" i="1"/>
  <c r="AC22" i="1" s="1"/>
  <c r="O22" i="1"/>
  <c r="S22" i="1" s="1"/>
  <c r="P22" i="1"/>
  <c r="T22" i="1" s="1"/>
  <c r="AH21" i="1"/>
  <c r="AD21" i="1"/>
  <c r="AE22" i="1" l="1"/>
  <c r="AF22" i="1"/>
  <c r="AA22" i="1"/>
  <c r="X23" i="1"/>
  <c r="AF23" i="1" s="1"/>
  <c r="Y23" i="1"/>
  <c r="AC23" i="1" s="1"/>
  <c r="O23" i="1"/>
  <c r="S23" i="1" s="1"/>
  <c r="AG22" i="1"/>
  <c r="Z23" i="1"/>
  <c r="R23" i="1"/>
  <c r="V23" i="1" s="1"/>
  <c r="N24" i="1"/>
  <c r="W23" i="1"/>
  <c r="Q23" i="1"/>
  <c r="U23" i="1" s="1"/>
  <c r="AH22" i="1"/>
  <c r="AD22" i="1"/>
  <c r="AB23" i="1" l="1"/>
  <c r="AE23" i="1"/>
  <c r="AG23" i="1"/>
  <c r="N25" i="1"/>
  <c r="Z24" i="1"/>
  <c r="R24" i="1"/>
  <c r="V24" i="1" s="1"/>
  <c r="O24" i="1"/>
  <c r="S24" i="1" s="1"/>
  <c r="P24" i="1"/>
  <c r="Q24" i="1"/>
  <c r="U24" i="1" s="1"/>
  <c r="W24" i="1"/>
  <c r="X24" i="1"/>
  <c r="AB24" i="1" s="1"/>
  <c r="Y24" i="1"/>
  <c r="AA23" i="1"/>
  <c r="AD23" i="1"/>
  <c r="AH23" i="1"/>
  <c r="AF24" i="1" l="1"/>
  <c r="T24" i="1"/>
  <c r="AE24" i="1"/>
  <c r="AG24" i="1"/>
  <c r="AA24" i="1"/>
  <c r="AC24" i="1"/>
  <c r="AH24" i="1"/>
  <c r="AD24" i="1"/>
  <c r="Z25" i="1"/>
  <c r="R25" i="1"/>
  <c r="V25" i="1" s="1"/>
  <c r="Q25" i="1"/>
  <c r="U25" i="1" s="1"/>
  <c r="W25" i="1"/>
  <c r="X25" i="1"/>
  <c r="O25" i="1"/>
  <c r="S25" i="1" s="1"/>
  <c r="P25" i="1"/>
  <c r="T25" i="1" s="1"/>
  <c r="Y25" i="1"/>
  <c r="N26" i="1"/>
  <c r="R26" i="1" l="1"/>
  <c r="V26" i="1" s="1"/>
  <c r="Z26" i="1"/>
  <c r="Y26" i="1"/>
  <c r="N27" i="1"/>
  <c r="P26" i="1"/>
  <c r="T26" i="1" s="1"/>
  <c r="W26" i="1"/>
  <c r="Q26" i="1"/>
  <c r="U26" i="1" s="1"/>
  <c r="X26" i="1"/>
  <c r="O26" i="1"/>
  <c r="S26" i="1" s="1"/>
  <c r="AF25" i="1"/>
  <c r="AB25" i="1"/>
  <c r="AH25" i="1"/>
  <c r="AD25" i="1"/>
  <c r="AG25" i="1"/>
  <c r="AC25" i="1"/>
  <c r="AE25" i="1"/>
  <c r="AA25" i="1"/>
  <c r="R27" i="1" l="1"/>
  <c r="V27" i="1" s="1"/>
  <c r="Z27" i="1"/>
  <c r="Y27" i="1"/>
  <c r="O27" i="1"/>
  <c r="S27" i="1" s="1"/>
  <c r="P27" i="1"/>
  <c r="T27" i="1" s="1"/>
  <c r="N28" i="1"/>
  <c r="Q27" i="1"/>
  <c r="U27" i="1" s="1"/>
  <c r="X27" i="1"/>
  <c r="W27" i="1"/>
  <c r="AB26" i="1"/>
  <c r="AF26" i="1"/>
  <c r="AC26" i="1"/>
  <c r="AG26" i="1"/>
  <c r="AE26" i="1"/>
  <c r="AA26" i="1"/>
  <c r="AH26" i="1"/>
  <c r="AD26" i="1"/>
  <c r="AF27" i="1" l="1"/>
  <c r="AB27" i="1"/>
  <c r="R28" i="1"/>
  <c r="V28" i="1" s="1"/>
  <c r="Z28" i="1"/>
  <c r="Y28" i="1"/>
  <c r="O28" i="1"/>
  <c r="S28" i="1" s="1"/>
  <c r="Q28" i="1"/>
  <c r="U28" i="1" s="1"/>
  <c r="P28" i="1"/>
  <c r="T28" i="1" s="1"/>
  <c r="N29" i="1"/>
  <c r="X28" i="1"/>
  <c r="W28" i="1"/>
  <c r="AH27" i="1"/>
  <c r="AD27" i="1"/>
  <c r="AG27" i="1"/>
  <c r="AC27" i="1"/>
  <c r="AE27" i="1"/>
  <c r="AA27" i="1"/>
  <c r="AE28" i="1" l="1"/>
  <c r="AA28" i="1"/>
  <c r="AH28" i="1"/>
  <c r="AD28" i="1"/>
  <c r="AF28" i="1"/>
  <c r="AB28" i="1"/>
  <c r="R29" i="1"/>
  <c r="V29" i="1" s="1"/>
  <c r="Z29" i="1"/>
  <c r="P29" i="1"/>
  <c r="T29" i="1" s="1"/>
  <c r="W29" i="1"/>
  <c r="Y29" i="1"/>
  <c r="O29" i="1"/>
  <c r="S29" i="1" s="1"/>
  <c r="Q29" i="1"/>
  <c r="U29" i="1" s="1"/>
  <c r="X29" i="1"/>
  <c r="N30" i="1"/>
  <c r="AC28" i="1"/>
  <c r="AG28" i="1"/>
  <c r="AH29" i="1" l="1"/>
  <c r="AD29" i="1"/>
  <c r="R30" i="1"/>
  <c r="V30" i="1" s="1"/>
  <c r="Z30" i="1"/>
  <c r="Y30" i="1"/>
  <c r="X30" i="1"/>
  <c r="O30" i="1"/>
  <c r="S30" i="1" s="1"/>
  <c r="Q30" i="1"/>
  <c r="U30" i="1" s="1"/>
  <c r="P30" i="1"/>
  <c r="T30" i="1" s="1"/>
  <c r="N31" i="1"/>
  <c r="W30" i="1"/>
  <c r="AG29" i="1"/>
  <c r="AC29" i="1"/>
  <c r="AF29" i="1"/>
  <c r="AB29" i="1"/>
  <c r="AE29" i="1"/>
  <c r="AA29" i="1"/>
  <c r="AH30" i="1" l="1"/>
  <c r="AD30" i="1"/>
  <c r="Z31" i="1"/>
  <c r="R31" i="1"/>
  <c r="V31" i="1" s="1"/>
  <c r="Q31" i="1"/>
  <c r="U31" i="1" s="1"/>
  <c r="P31" i="1"/>
  <c r="T31" i="1" s="1"/>
  <c r="N32" i="1"/>
  <c r="O31" i="1"/>
  <c r="S31" i="1" s="1"/>
  <c r="Y31" i="1"/>
  <c r="X31" i="1"/>
  <c r="W31" i="1"/>
  <c r="AB30" i="1"/>
  <c r="AF30" i="1"/>
  <c r="AA30" i="1"/>
  <c r="AE30" i="1"/>
  <c r="AC30" i="1"/>
  <c r="AG30" i="1"/>
  <c r="Z32" i="1" l="1"/>
  <c r="R32" i="1"/>
  <c r="V32" i="1" s="1"/>
  <c r="Y32" i="1"/>
  <c r="X32" i="1"/>
  <c r="N33" i="1"/>
  <c r="Q32" i="1"/>
  <c r="U32" i="1" s="1"/>
  <c r="P32" i="1"/>
  <c r="T32" i="1" s="1"/>
  <c r="W32" i="1"/>
  <c r="O32" i="1"/>
  <c r="S32" i="1" s="1"/>
  <c r="AE31" i="1"/>
  <c r="AA31" i="1"/>
  <c r="AH31" i="1"/>
  <c r="AD31" i="1"/>
  <c r="AB31" i="1"/>
  <c r="AF31" i="1"/>
  <c r="AC31" i="1"/>
  <c r="AG31" i="1"/>
  <c r="AE32" i="1" l="1"/>
  <c r="AA32" i="1"/>
  <c r="AB32" i="1"/>
  <c r="AF32" i="1"/>
  <c r="AC32" i="1"/>
  <c r="AG32" i="1"/>
  <c r="Z33" i="1"/>
  <c r="R33" i="1"/>
  <c r="V33" i="1" s="1"/>
  <c r="Y33" i="1"/>
  <c r="X33" i="1"/>
  <c r="W33" i="1"/>
  <c r="Q33" i="1"/>
  <c r="U33" i="1" s="1"/>
  <c r="P33" i="1"/>
  <c r="T33" i="1" s="1"/>
  <c r="N34" i="1"/>
  <c r="O33" i="1"/>
  <c r="S33" i="1" s="1"/>
  <c r="AH32" i="1"/>
  <c r="AD32" i="1"/>
  <c r="R34" i="1" l="1"/>
  <c r="V34" i="1" s="1"/>
  <c r="Z34" i="1"/>
  <c r="Q34" i="1"/>
  <c r="U34" i="1" s="1"/>
  <c r="X34" i="1"/>
  <c r="N35" i="1"/>
  <c r="P34" i="1"/>
  <c r="T34" i="1" s="1"/>
  <c r="O34" i="1"/>
  <c r="S34" i="1" s="1"/>
  <c r="Y34" i="1"/>
  <c r="W34" i="1"/>
  <c r="AF33" i="1"/>
  <c r="AB33" i="1"/>
  <c r="AA33" i="1"/>
  <c r="AE33" i="1"/>
  <c r="AH33" i="1"/>
  <c r="AD33" i="1"/>
  <c r="AG33" i="1"/>
  <c r="AC33" i="1"/>
  <c r="AE34" i="1" l="1"/>
  <c r="AA34" i="1"/>
  <c r="AG34" i="1"/>
  <c r="AC34" i="1"/>
  <c r="AF34" i="1"/>
  <c r="AB34" i="1"/>
  <c r="AH34" i="1"/>
  <c r="AD34" i="1"/>
  <c r="R35" i="1"/>
  <c r="V35" i="1" s="1"/>
  <c r="Z35" i="1"/>
  <c r="Q35" i="1"/>
  <c r="U35" i="1" s="1"/>
  <c r="N36" i="1"/>
  <c r="Y35" i="1"/>
  <c r="W35" i="1"/>
  <c r="X35" i="1"/>
  <c r="O35" i="1"/>
  <c r="S35" i="1" s="1"/>
  <c r="P35" i="1"/>
  <c r="T35" i="1" s="1"/>
  <c r="R36" i="1" l="1"/>
  <c r="V36" i="1" s="1"/>
  <c r="Z36" i="1"/>
  <c r="P36" i="1"/>
  <c r="T36" i="1" s="1"/>
  <c r="O36" i="1"/>
  <c r="S36" i="1" s="1"/>
  <c r="X36" i="1"/>
  <c r="Y36" i="1"/>
  <c r="N37" i="1"/>
  <c r="Q36" i="1"/>
  <c r="U36" i="1" s="1"/>
  <c r="W36" i="1"/>
  <c r="AF35" i="1"/>
  <c r="AB35" i="1"/>
  <c r="AE35" i="1"/>
  <c r="AA35" i="1"/>
  <c r="AH35" i="1"/>
  <c r="AD35" i="1"/>
  <c r="AG35" i="1"/>
  <c r="AC35" i="1"/>
  <c r="Z37" i="1" l="1"/>
  <c r="R37" i="1"/>
  <c r="V37" i="1" s="1"/>
  <c r="O37" i="1"/>
  <c r="S37" i="1" s="1"/>
  <c r="Y37" i="1"/>
  <c r="P37" i="1"/>
  <c r="T37" i="1" s="1"/>
  <c r="N38" i="1"/>
  <c r="Q37" i="1"/>
  <c r="U37" i="1" s="1"/>
  <c r="X37" i="1"/>
  <c r="W37" i="1"/>
  <c r="AC36" i="1"/>
  <c r="AG36" i="1"/>
  <c r="AH36" i="1"/>
  <c r="AD36" i="1"/>
  <c r="AA36" i="1"/>
  <c r="AE36" i="1"/>
  <c r="AB36" i="1"/>
  <c r="AF36" i="1"/>
  <c r="AF37" i="1" l="1"/>
  <c r="AB37" i="1"/>
  <c r="AC37" i="1"/>
  <c r="AG37" i="1"/>
  <c r="Z38" i="1"/>
  <c r="R38" i="1"/>
  <c r="V38" i="1" s="1"/>
  <c r="P38" i="1"/>
  <c r="T38" i="1" s="1"/>
  <c r="W38" i="1"/>
  <c r="Q38" i="1"/>
  <c r="U38" i="1" s="1"/>
  <c r="O38" i="1"/>
  <c r="S38" i="1" s="1"/>
  <c r="Y38" i="1"/>
  <c r="X38" i="1"/>
  <c r="N39" i="1"/>
  <c r="AE37" i="1"/>
  <c r="AA37" i="1"/>
  <c r="AH37" i="1"/>
  <c r="AD37" i="1"/>
  <c r="R39" i="1" l="1"/>
  <c r="V39" i="1" s="1"/>
  <c r="Z39" i="1"/>
  <c r="W39" i="1"/>
  <c r="O39" i="1"/>
  <c r="S39" i="1" s="1"/>
  <c r="Q39" i="1"/>
  <c r="U39" i="1" s="1"/>
  <c r="X39" i="1"/>
  <c r="N40" i="1"/>
  <c r="Y39" i="1"/>
  <c r="P39" i="1"/>
  <c r="T39" i="1" s="1"/>
  <c r="AB38" i="1"/>
  <c r="AF38" i="1"/>
  <c r="AA38" i="1"/>
  <c r="AE38" i="1"/>
  <c r="AC38" i="1"/>
  <c r="AG38" i="1"/>
  <c r="AH38" i="1"/>
  <c r="AD38" i="1"/>
  <c r="AC39" i="1" l="1"/>
  <c r="AG39" i="1"/>
  <c r="Z40" i="1"/>
  <c r="R40" i="1"/>
  <c r="V40" i="1" s="1"/>
  <c r="W40" i="1"/>
  <c r="Y40" i="1"/>
  <c r="P40" i="1"/>
  <c r="T40" i="1" s="1"/>
  <c r="O40" i="1"/>
  <c r="S40" i="1" s="1"/>
  <c r="Q40" i="1"/>
  <c r="U40" i="1" s="1"/>
  <c r="X40" i="1"/>
  <c r="N41" i="1"/>
  <c r="AE39" i="1"/>
  <c r="AA39" i="1"/>
  <c r="AB39" i="1"/>
  <c r="AF39" i="1"/>
  <c r="AH39" i="1"/>
  <c r="AD39" i="1"/>
  <c r="R41" i="1" l="1"/>
  <c r="V41" i="1" s="1"/>
  <c r="Z41" i="1"/>
  <c r="Q41" i="1"/>
  <c r="U41" i="1" s="1"/>
  <c r="P41" i="1"/>
  <c r="T41" i="1" s="1"/>
  <c r="O41" i="1"/>
  <c r="S41" i="1" s="1"/>
  <c r="Y41" i="1"/>
  <c r="X41" i="1"/>
  <c r="W41" i="1"/>
  <c r="AH40" i="1"/>
  <c r="AD40" i="1"/>
  <c r="AB40" i="1"/>
  <c r="AF40" i="1"/>
  <c r="AC40" i="1"/>
  <c r="AG40" i="1"/>
  <c r="AA40" i="1"/>
  <c r="AE40" i="1"/>
  <c r="AA41" i="1" l="1"/>
  <c r="AE41" i="1"/>
  <c r="AC41" i="1"/>
  <c r="AG41" i="1"/>
  <c r="AH41" i="1"/>
  <c r="AD41" i="1"/>
  <c r="AB41" i="1"/>
  <c r="AF41" i="1"/>
</calcChain>
</file>

<file path=xl/comments1.xml><?xml version="1.0" encoding="utf-8"?>
<comments xmlns="http://schemas.openxmlformats.org/spreadsheetml/2006/main">
  <authors>
    <author>infomax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 xml:space="preserve">D:시간순으로
A:시간 반대순서대로 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(단위: 천원)</t>
        </r>
      </text>
    </comment>
    <comment ref="E7" authorId="0">
      <text>
        <r>
          <rPr>
            <b/>
            <sz val="9"/>
            <color indexed="81"/>
            <rFont val="Tahoma"/>
            <family val="2"/>
          </rPr>
          <t>(단위: 천원)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(단위: 천원)</t>
        </r>
      </text>
    </comment>
    <comment ref="K7" authorId="0">
      <text>
        <r>
          <rPr>
            <b/>
            <sz val="9"/>
            <color indexed="81"/>
            <rFont val="Tahoma"/>
            <family val="2"/>
          </rPr>
          <t>(단위: 천원)</t>
        </r>
      </text>
    </comment>
  </commentList>
</comments>
</file>

<file path=xl/connections.xml><?xml version="1.0" encoding="utf-8"?>
<connections xmlns="http://schemas.openxmlformats.org/spreadsheetml/2006/main">
  <connection id="1" name="excelcode_klat" type="6" refreshedVersion="4" background="1" saveData="1">
    <textPr prompt="0" codePage="949" sourceFile="C:\Infomax\bin\code\excelcode_klat.dat" tab="0" delimiter="@">
      <textFields count="4">
        <textField type="text"/>
        <textField type="text"/>
        <textField type="skip"/>
        <textField type="skip"/>
      </textFields>
    </textPr>
  </connection>
</connections>
</file>

<file path=xl/sharedStrings.xml><?xml version="1.0" encoding="utf-8"?>
<sst xmlns="http://schemas.openxmlformats.org/spreadsheetml/2006/main" count="13161" uniqueCount="12921">
  <si>
    <t>시작</t>
  </si>
  <si>
    <t>종료</t>
  </si>
  <si>
    <t>Data 개수</t>
  </si>
  <si>
    <t>주기</t>
  </si>
  <si>
    <t>정렬</t>
  </si>
  <si>
    <t>종가</t>
  </si>
  <si>
    <t>일자</t>
  </si>
  <si>
    <t>매출액(영업수익)</t>
  </si>
  <si>
    <t>ver1.0</t>
  </si>
  <si>
    <t>코드</t>
  </si>
  <si>
    <t>코드명</t>
  </si>
  <si>
    <t>060310</t>
  </si>
  <si>
    <t>3S</t>
  </si>
  <si>
    <t>095570</t>
  </si>
  <si>
    <t>AJ네트웍스</t>
  </si>
  <si>
    <t>006840</t>
  </si>
  <si>
    <t>AK홀딩스</t>
  </si>
  <si>
    <t>054620</t>
  </si>
  <si>
    <t>APS홀딩스</t>
  </si>
  <si>
    <t>265520</t>
  </si>
  <si>
    <t>AP시스템</t>
  </si>
  <si>
    <t>211270</t>
  </si>
  <si>
    <t>AP위성</t>
  </si>
  <si>
    <t>027410</t>
  </si>
  <si>
    <t>BGF</t>
  </si>
  <si>
    <t>282330</t>
  </si>
  <si>
    <t>BGF리테일</t>
  </si>
  <si>
    <t>001460</t>
  </si>
  <si>
    <t>BYC</t>
  </si>
  <si>
    <t>001040</t>
  </si>
  <si>
    <t>CJ</t>
  </si>
  <si>
    <t>079160</t>
  </si>
  <si>
    <t>CJ CGV</t>
  </si>
  <si>
    <t>035760</t>
  </si>
  <si>
    <t>CJ ENM</t>
  </si>
  <si>
    <t>000120</t>
  </si>
  <si>
    <t>CJ대한통운</t>
  </si>
  <si>
    <t>011150</t>
  </si>
  <si>
    <t>CJ씨푸드</t>
  </si>
  <si>
    <t>097950</t>
  </si>
  <si>
    <t>CJ제일제당</t>
  </si>
  <si>
    <t>051500</t>
  </si>
  <si>
    <t>CJ프레시웨이</t>
  </si>
  <si>
    <t>058820</t>
  </si>
  <si>
    <t>CMG제약</t>
  </si>
  <si>
    <t>065770</t>
  </si>
  <si>
    <t>CS</t>
  </si>
  <si>
    <t>083660</t>
  </si>
  <si>
    <t>CSA 코스믹</t>
  </si>
  <si>
    <t>000590</t>
  </si>
  <si>
    <t>CS홀딩스</t>
  </si>
  <si>
    <t>012030</t>
  </si>
  <si>
    <t>DB</t>
  </si>
  <si>
    <t>000990</t>
  </si>
  <si>
    <t>DB하이텍</t>
  </si>
  <si>
    <t>001530</t>
  </si>
  <si>
    <t>DI동일</t>
  </si>
  <si>
    <t>068790</t>
  </si>
  <si>
    <t>DMS</t>
  </si>
  <si>
    <t>004840</t>
  </si>
  <si>
    <t>DRB동일</t>
  </si>
  <si>
    <t>155660</t>
  </si>
  <si>
    <t>DSR</t>
  </si>
  <si>
    <t>069730</t>
  </si>
  <si>
    <t>DSR제강</t>
  </si>
  <si>
    <t>017940</t>
  </si>
  <si>
    <t>E1</t>
  </si>
  <si>
    <t>245620</t>
  </si>
  <si>
    <t>EDGC</t>
  </si>
  <si>
    <t>037370</t>
  </si>
  <si>
    <t>EG</t>
  </si>
  <si>
    <t>079190</t>
  </si>
  <si>
    <t>007700</t>
  </si>
  <si>
    <t>F&amp;F</t>
  </si>
  <si>
    <t>130500</t>
  </si>
  <si>
    <t>GH신소재</t>
  </si>
  <si>
    <t>114090</t>
  </si>
  <si>
    <t>GKL</t>
  </si>
  <si>
    <t>900290</t>
  </si>
  <si>
    <t>GRT</t>
  </si>
  <si>
    <t>078930</t>
  </si>
  <si>
    <t>GS</t>
  </si>
  <si>
    <t>083450</t>
  </si>
  <si>
    <t>GST</t>
  </si>
  <si>
    <t>006360</t>
  </si>
  <si>
    <t>GS건설</t>
  </si>
  <si>
    <t>001250</t>
  </si>
  <si>
    <t>GS글로벌</t>
  </si>
  <si>
    <t>007070</t>
  </si>
  <si>
    <t>GS리테일</t>
  </si>
  <si>
    <t>078150</t>
  </si>
  <si>
    <t>HB테크놀러지</t>
  </si>
  <si>
    <t>012630</t>
  </si>
  <si>
    <t>HDC</t>
  </si>
  <si>
    <t>039570</t>
  </si>
  <si>
    <t>089470</t>
  </si>
  <si>
    <t>HDC현대EP</t>
  </si>
  <si>
    <t>294870</t>
  </si>
  <si>
    <t>HDC현대산업개발</t>
  </si>
  <si>
    <t>036640</t>
  </si>
  <si>
    <t>HRS</t>
  </si>
  <si>
    <t>082740</t>
  </si>
  <si>
    <t>HSD엔진</t>
  </si>
  <si>
    <t>003560</t>
  </si>
  <si>
    <t>IHQ</t>
  </si>
  <si>
    <t>095340</t>
  </si>
  <si>
    <t>ISC</t>
  </si>
  <si>
    <t>099520</t>
  </si>
  <si>
    <t>950170</t>
  </si>
  <si>
    <t>JTC</t>
  </si>
  <si>
    <t>234080</t>
  </si>
  <si>
    <t>JW생명과학</t>
  </si>
  <si>
    <t>067290</t>
  </si>
  <si>
    <t>JW신약</t>
  </si>
  <si>
    <t>001060</t>
  </si>
  <si>
    <t>JW중외제약</t>
  </si>
  <si>
    <t>096760</t>
  </si>
  <si>
    <t>JW홀딩스</t>
  </si>
  <si>
    <t>035900</t>
  </si>
  <si>
    <t>JYP Ent.</t>
  </si>
  <si>
    <t>024840</t>
  </si>
  <si>
    <t>KBI메탈</t>
  </si>
  <si>
    <t>024120</t>
  </si>
  <si>
    <t>KB오토시스</t>
  </si>
  <si>
    <t>002380</t>
  </si>
  <si>
    <t>KCC</t>
  </si>
  <si>
    <t>021320</t>
  </si>
  <si>
    <t>KCC건설</t>
  </si>
  <si>
    <t>036670</t>
  </si>
  <si>
    <t>KCI</t>
  </si>
  <si>
    <t>009070</t>
  </si>
  <si>
    <t>KCTC</t>
  </si>
  <si>
    <t>009440</t>
  </si>
  <si>
    <t>KC그린홀딩스</t>
  </si>
  <si>
    <t>119650</t>
  </si>
  <si>
    <t>KC코트렐</t>
  </si>
  <si>
    <t>044180</t>
  </si>
  <si>
    <t>KD</t>
  </si>
  <si>
    <t>092220</t>
  </si>
  <si>
    <t>KEC</t>
  </si>
  <si>
    <t>151860</t>
  </si>
  <si>
    <t>KG ETS</t>
  </si>
  <si>
    <t>046440</t>
  </si>
  <si>
    <t>KG모빌리언스</t>
  </si>
  <si>
    <t>035600</t>
  </si>
  <si>
    <t>KG이니시스</t>
  </si>
  <si>
    <t>001390</t>
  </si>
  <si>
    <t>KG케미칼</t>
  </si>
  <si>
    <t>060720</t>
  </si>
  <si>
    <t>KH바텍</t>
  </si>
  <si>
    <t>001940</t>
  </si>
  <si>
    <t>KISCO홀딩스</t>
  </si>
  <si>
    <t>071430</t>
  </si>
  <si>
    <t>KIS정보통신</t>
  </si>
  <si>
    <t>083470</t>
  </si>
  <si>
    <t>122450</t>
  </si>
  <si>
    <t>052900</t>
  </si>
  <si>
    <t>058400</t>
  </si>
  <si>
    <t>KNN</t>
  </si>
  <si>
    <t>114450</t>
  </si>
  <si>
    <t>KPX생명과학</t>
  </si>
  <si>
    <t>025000</t>
  </si>
  <si>
    <t>KPX케미칼</t>
  </si>
  <si>
    <t>092230</t>
  </si>
  <si>
    <t>KPX홀딩스</t>
  </si>
  <si>
    <t>000040</t>
  </si>
  <si>
    <t>KR모터스</t>
  </si>
  <si>
    <t>044450</t>
  </si>
  <si>
    <t>KSS해운</t>
  </si>
  <si>
    <t>030200</t>
  </si>
  <si>
    <t>KT</t>
  </si>
  <si>
    <t>033780</t>
  </si>
  <si>
    <t>KT&amp;G</t>
  </si>
  <si>
    <t>036030</t>
  </si>
  <si>
    <t>058850</t>
  </si>
  <si>
    <t>KTcs</t>
  </si>
  <si>
    <t>058860</t>
  </si>
  <si>
    <t>KTis</t>
  </si>
  <si>
    <t>060370</t>
  </si>
  <si>
    <t>KT서브마린</t>
  </si>
  <si>
    <t>093050</t>
  </si>
  <si>
    <t>LF</t>
  </si>
  <si>
    <t>003550</t>
  </si>
  <si>
    <t>LG</t>
  </si>
  <si>
    <t>034220</t>
  </si>
  <si>
    <t>LG디스플레이</t>
  </si>
  <si>
    <t>001120</t>
  </si>
  <si>
    <t>051900</t>
  </si>
  <si>
    <t>LG생활건강</t>
  </si>
  <si>
    <t>032640</t>
  </si>
  <si>
    <t>LG유플러스</t>
  </si>
  <si>
    <t>011070</t>
  </si>
  <si>
    <t>LG이노텍</t>
  </si>
  <si>
    <t>066570</t>
  </si>
  <si>
    <t>LG전자</t>
  </si>
  <si>
    <t>108670</t>
  </si>
  <si>
    <t>037560</t>
  </si>
  <si>
    <t>LG헬로비전</t>
  </si>
  <si>
    <t>051910</t>
  </si>
  <si>
    <t>LG화학</t>
  </si>
  <si>
    <t>079550</t>
  </si>
  <si>
    <t>LIG넥스원</t>
  </si>
  <si>
    <t>006260</t>
  </si>
  <si>
    <t>LS</t>
  </si>
  <si>
    <t>000680</t>
  </si>
  <si>
    <t>LS네트웍스</t>
  </si>
  <si>
    <t>010120</t>
  </si>
  <si>
    <t>229640</t>
  </si>
  <si>
    <t>LS전선아시아</t>
  </si>
  <si>
    <t>023150</t>
  </si>
  <si>
    <t>MH에탄올</t>
  </si>
  <si>
    <t>065150</t>
  </si>
  <si>
    <t>219550</t>
  </si>
  <si>
    <t>035420</t>
  </si>
  <si>
    <t>NAVER</t>
  </si>
  <si>
    <t>160550</t>
  </si>
  <si>
    <t>NEW</t>
  </si>
  <si>
    <t>053290</t>
  </si>
  <si>
    <t>NE능률</t>
  </si>
  <si>
    <t>181710</t>
  </si>
  <si>
    <t>NHN</t>
  </si>
  <si>
    <t>104200</t>
  </si>
  <si>
    <t>NHN벅스</t>
  </si>
  <si>
    <t>060250</t>
  </si>
  <si>
    <t>NHN한국사이버결제</t>
  </si>
  <si>
    <t>034310</t>
  </si>
  <si>
    <t>NICE</t>
  </si>
  <si>
    <t>030190</t>
  </si>
  <si>
    <t>NICE평가정보</t>
  </si>
  <si>
    <t>008260</t>
  </si>
  <si>
    <t>NI스틸</t>
  </si>
  <si>
    <t>004250</t>
  </si>
  <si>
    <t>NPC</t>
  </si>
  <si>
    <t>010060</t>
  </si>
  <si>
    <t>OCI</t>
  </si>
  <si>
    <t>024940</t>
  </si>
  <si>
    <t>PN풍년</t>
  </si>
  <si>
    <t>005490</t>
  </si>
  <si>
    <t>218410</t>
  </si>
  <si>
    <t>RFHIC</t>
  </si>
  <si>
    <t>091340</t>
  </si>
  <si>
    <t>S&amp;K폴리텍</t>
  </si>
  <si>
    <t>100840</t>
  </si>
  <si>
    <t>064960</t>
  </si>
  <si>
    <t>003570</t>
  </si>
  <si>
    <t>036530</t>
  </si>
  <si>
    <t>010950</t>
  </si>
  <si>
    <t>S-Oil</t>
  </si>
  <si>
    <t>950110</t>
  </si>
  <si>
    <t>SBI핀테크솔루션즈</t>
  </si>
  <si>
    <t>034120</t>
  </si>
  <si>
    <t>SBS</t>
  </si>
  <si>
    <t>046140</t>
  </si>
  <si>
    <t>SBS콘텐츠허브</t>
  </si>
  <si>
    <t>036120</t>
  </si>
  <si>
    <t>SCI평가정보</t>
  </si>
  <si>
    <t>099220</t>
  </si>
  <si>
    <t>SDN</t>
  </si>
  <si>
    <t>036540</t>
  </si>
  <si>
    <t>SFA반도체</t>
  </si>
  <si>
    <t>255220</t>
  </si>
  <si>
    <t>SG</t>
  </si>
  <si>
    <t>040610</t>
  </si>
  <si>
    <t>SG&amp;G</t>
  </si>
  <si>
    <t>049470</t>
  </si>
  <si>
    <t>SGA</t>
  </si>
  <si>
    <t>184230</t>
  </si>
  <si>
    <t>SGA솔루션즈</t>
  </si>
  <si>
    <t>004060</t>
  </si>
  <si>
    <t>SG세계물산</t>
  </si>
  <si>
    <t>001380</t>
  </si>
  <si>
    <t>002360</t>
  </si>
  <si>
    <t>SH에너지화학</t>
  </si>
  <si>
    <t>009160</t>
  </si>
  <si>
    <t>SIMPAC</t>
  </si>
  <si>
    <t>123700</t>
  </si>
  <si>
    <t>SJM</t>
  </si>
  <si>
    <t>025530</t>
  </si>
  <si>
    <t>SJM홀딩스</t>
  </si>
  <si>
    <t>034730</t>
  </si>
  <si>
    <t>SK</t>
  </si>
  <si>
    <t>011790</t>
  </si>
  <si>
    <t>SKC</t>
  </si>
  <si>
    <t>178920</t>
  </si>
  <si>
    <t>018670</t>
  </si>
  <si>
    <t>SK가스</t>
  </si>
  <si>
    <t>001740</t>
  </si>
  <si>
    <t>SK네트웍스</t>
  </si>
  <si>
    <t>006120</t>
  </si>
  <si>
    <t>SK디스커버리</t>
  </si>
  <si>
    <t>210980</t>
  </si>
  <si>
    <t>SK디앤디</t>
  </si>
  <si>
    <t>068400</t>
  </si>
  <si>
    <t>SK렌터카</t>
  </si>
  <si>
    <t>052260</t>
  </si>
  <si>
    <t>096770</t>
  </si>
  <si>
    <t>SK이노베이션</t>
  </si>
  <si>
    <t>285130</t>
  </si>
  <si>
    <t>SK케미칼</t>
  </si>
  <si>
    <t>017670</t>
  </si>
  <si>
    <t>SK텔레콤</t>
  </si>
  <si>
    <t>000660</t>
  </si>
  <si>
    <t>SK하이닉스</t>
  </si>
  <si>
    <t>048550</t>
  </si>
  <si>
    <t>SM C&amp;C</t>
  </si>
  <si>
    <t>063440</t>
  </si>
  <si>
    <t>SM Life Design</t>
  </si>
  <si>
    <t>005610</t>
  </si>
  <si>
    <t>SPC삼립</t>
  </si>
  <si>
    <t>011810</t>
  </si>
  <si>
    <t>STX</t>
  </si>
  <si>
    <t>077970</t>
  </si>
  <si>
    <t>STX엔진</t>
  </si>
  <si>
    <t>071970</t>
  </si>
  <si>
    <t>STX중공업</t>
  </si>
  <si>
    <t>084870</t>
  </si>
  <si>
    <t>TBH글로벌</t>
  </si>
  <si>
    <t>002710</t>
  </si>
  <si>
    <t>TCC스틸</t>
  </si>
  <si>
    <t>089230</t>
  </si>
  <si>
    <t>THE E&amp;M</t>
  </si>
  <si>
    <t>161570</t>
  </si>
  <si>
    <t>THE MIDONG</t>
  </si>
  <si>
    <t>032540</t>
  </si>
  <si>
    <t>TJ미디어</t>
  </si>
  <si>
    <t>048770</t>
  </si>
  <si>
    <t>TPC</t>
  </si>
  <si>
    <t>038340</t>
  </si>
  <si>
    <t>073570</t>
  </si>
  <si>
    <t>024070</t>
  </si>
  <si>
    <t>WISCOM</t>
  </si>
  <si>
    <t>052300</t>
  </si>
  <si>
    <t>057030</t>
  </si>
  <si>
    <t>YBM넷</t>
  </si>
  <si>
    <t>037270</t>
  </si>
  <si>
    <t>YG PLUS</t>
  </si>
  <si>
    <t>040300</t>
  </si>
  <si>
    <t>YTN</t>
  </si>
  <si>
    <t>051390</t>
  </si>
  <si>
    <t>YW</t>
  </si>
  <si>
    <t>052220</t>
  </si>
  <si>
    <t>iMBC</t>
  </si>
  <si>
    <t>079940</t>
  </si>
  <si>
    <t>가비아</t>
  </si>
  <si>
    <t>078890</t>
  </si>
  <si>
    <t>가온미디어</t>
  </si>
  <si>
    <t>000500</t>
  </si>
  <si>
    <t>가온전선</t>
  </si>
  <si>
    <t>192410</t>
  </si>
  <si>
    <t>000860</t>
  </si>
  <si>
    <t>강남제비스코</t>
  </si>
  <si>
    <t>217730</t>
  </si>
  <si>
    <t>강스템바이오텍</t>
  </si>
  <si>
    <t>114190</t>
  </si>
  <si>
    <t>035250</t>
  </si>
  <si>
    <t>강원랜드</t>
  </si>
  <si>
    <t>011420</t>
  </si>
  <si>
    <t>갤럭시아에스엠</t>
  </si>
  <si>
    <t>094480</t>
  </si>
  <si>
    <t>063080</t>
  </si>
  <si>
    <t>039240</t>
  </si>
  <si>
    <t>경남스틸</t>
  </si>
  <si>
    <t>053950</t>
  </si>
  <si>
    <t>경남제약</t>
  </si>
  <si>
    <t>002100</t>
  </si>
  <si>
    <t>경농</t>
  </si>
  <si>
    <t>009450</t>
  </si>
  <si>
    <t>경동나비엔</t>
  </si>
  <si>
    <t>267290</t>
  </si>
  <si>
    <t>경동도시가스</t>
  </si>
  <si>
    <t>012320</t>
  </si>
  <si>
    <t>경동인베스트</t>
  </si>
  <si>
    <t>011040</t>
  </si>
  <si>
    <t>경동제약</t>
  </si>
  <si>
    <t>000050</t>
  </si>
  <si>
    <t>경방</t>
  </si>
  <si>
    <t>214390</t>
  </si>
  <si>
    <t>경보제약</t>
  </si>
  <si>
    <t>012610</t>
  </si>
  <si>
    <t>경인양행</t>
  </si>
  <si>
    <t>009140</t>
  </si>
  <si>
    <t>경인전자</t>
  </si>
  <si>
    <t>024910</t>
  </si>
  <si>
    <t>경창산업</t>
  </si>
  <si>
    <t>013580</t>
  </si>
  <si>
    <t>계룡건설</t>
  </si>
  <si>
    <t>012200</t>
  </si>
  <si>
    <t>계양전기</t>
  </si>
  <si>
    <t>002140</t>
  </si>
  <si>
    <t>고려산업</t>
  </si>
  <si>
    <t>198440</t>
  </si>
  <si>
    <t>고려시멘트</t>
  </si>
  <si>
    <t>049720</t>
  </si>
  <si>
    <t>고려신용정보</t>
  </si>
  <si>
    <t>010130</t>
  </si>
  <si>
    <t>고려아연</t>
  </si>
  <si>
    <t>002240</t>
  </si>
  <si>
    <t>고려제강</t>
  </si>
  <si>
    <t>014570</t>
  </si>
  <si>
    <t>고려제약</t>
  </si>
  <si>
    <t>098460</t>
  </si>
  <si>
    <t>고영</t>
  </si>
  <si>
    <t>038530</t>
  </si>
  <si>
    <t>골드퍼시픽</t>
  </si>
  <si>
    <t>900280</t>
  </si>
  <si>
    <t>골든센츄리</t>
  </si>
  <si>
    <t>215000</t>
  </si>
  <si>
    <t>골프존</t>
  </si>
  <si>
    <t>121440</t>
  </si>
  <si>
    <t>골프존뉴딘홀딩스</t>
  </si>
  <si>
    <t>183410</t>
  </si>
  <si>
    <t>골프존데카</t>
  </si>
  <si>
    <t>076340</t>
  </si>
  <si>
    <t>관악산업</t>
  </si>
  <si>
    <t>009290</t>
  </si>
  <si>
    <t>광동제약</t>
  </si>
  <si>
    <t>014200</t>
  </si>
  <si>
    <t>광림</t>
  </si>
  <si>
    <t>017040</t>
  </si>
  <si>
    <t>광명전기</t>
  </si>
  <si>
    <t>017900</t>
  </si>
  <si>
    <t>광전자</t>
  </si>
  <si>
    <t>037710</t>
  </si>
  <si>
    <t>광주신세계</t>
  </si>
  <si>
    <t>026910</t>
  </si>
  <si>
    <t>광진실업</t>
  </si>
  <si>
    <t>090150</t>
  </si>
  <si>
    <t>331520</t>
  </si>
  <si>
    <t>053270</t>
  </si>
  <si>
    <t>구영테크</t>
  </si>
  <si>
    <t>007690</t>
  </si>
  <si>
    <t>국도화학</t>
  </si>
  <si>
    <t>005320</t>
  </si>
  <si>
    <t>국동</t>
  </si>
  <si>
    <t>066620</t>
  </si>
  <si>
    <t>국보디자인</t>
  </si>
  <si>
    <t>043650</t>
  </si>
  <si>
    <t>국순당</t>
  </si>
  <si>
    <t>006050</t>
  </si>
  <si>
    <t>국영지앤엠</t>
  </si>
  <si>
    <t>060480</t>
  </si>
  <si>
    <t>국일신동</t>
  </si>
  <si>
    <t>078130</t>
  </si>
  <si>
    <t>국일제지</t>
  </si>
  <si>
    <t>002720</t>
  </si>
  <si>
    <t>국제약품</t>
  </si>
  <si>
    <t>243870</t>
  </si>
  <si>
    <t>굿센</t>
  </si>
  <si>
    <t>204020</t>
  </si>
  <si>
    <t>그리티</t>
  </si>
  <si>
    <t>083420</t>
  </si>
  <si>
    <t>그린케미칼</t>
  </si>
  <si>
    <t>186230</t>
  </si>
  <si>
    <t>그린플러스</t>
  </si>
  <si>
    <t>014530</t>
  </si>
  <si>
    <t>극동유화</t>
  </si>
  <si>
    <t>900070</t>
  </si>
  <si>
    <t>글로벌에스엠</t>
  </si>
  <si>
    <t>204620</t>
  </si>
  <si>
    <t>글로벌텍스프리</t>
  </si>
  <si>
    <t>019660</t>
  </si>
  <si>
    <t>글로본</t>
  </si>
  <si>
    <t>032860</t>
  </si>
  <si>
    <t>014280</t>
  </si>
  <si>
    <t>금강공업</t>
  </si>
  <si>
    <t>053260</t>
  </si>
  <si>
    <t>금강철강</t>
  </si>
  <si>
    <t>008870</t>
  </si>
  <si>
    <t>금비</t>
  </si>
  <si>
    <t>001570</t>
  </si>
  <si>
    <t>금양</t>
  </si>
  <si>
    <t>002990</t>
  </si>
  <si>
    <t>011780</t>
  </si>
  <si>
    <t>금호석유</t>
  </si>
  <si>
    <t>214330</t>
  </si>
  <si>
    <t>금호에이치티</t>
  </si>
  <si>
    <t>001210</t>
  </si>
  <si>
    <t>금호전기</t>
  </si>
  <si>
    <t>073240</t>
  </si>
  <si>
    <t>금호타이어</t>
  </si>
  <si>
    <t>036190</t>
  </si>
  <si>
    <t>금화피에스시</t>
  </si>
  <si>
    <t>049080</t>
  </si>
  <si>
    <t>기가레인</t>
  </si>
  <si>
    <t>035460</t>
  </si>
  <si>
    <t>기산텔레콤</t>
  </si>
  <si>
    <t>092440</t>
  </si>
  <si>
    <t>기신정기</t>
  </si>
  <si>
    <t>000270</t>
  </si>
  <si>
    <t>013700</t>
  </si>
  <si>
    <t>까뮤이앤씨</t>
  </si>
  <si>
    <t>174370</t>
  </si>
  <si>
    <t>까사미아</t>
  </si>
  <si>
    <t>308100</t>
  </si>
  <si>
    <t>까스텔바작</t>
  </si>
  <si>
    <t>004540</t>
  </si>
  <si>
    <t>깨끗한나라</t>
  </si>
  <si>
    <t>187790</t>
  </si>
  <si>
    <t>나노</t>
  </si>
  <si>
    <t>074610</t>
  </si>
  <si>
    <t>286750</t>
  </si>
  <si>
    <t>나노브릭</t>
  </si>
  <si>
    <t>151910</t>
  </si>
  <si>
    <t>121600</t>
  </si>
  <si>
    <t>나노신소재</t>
  </si>
  <si>
    <t>039860</t>
  </si>
  <si>
    <t>나노엔텍</t>
  </si>
  <si>
    <t>091970</t>
  </si>
  <si>
    <t>나노캠텍</t>
  </si>
  <si>
    <t>244880</t>
  </si>
  <si>
    <t>나눔테크</t>
  </si>
  <si>
    <t>288490</t>
  </si>
  <si>
    <t>나라소프트</t>
  </si>
  <si>
    <t>051490</t>
  </si>
  <si>
    <t>나라엠앤디</t>
  </si>
  <si>
    <t>190510</t>
  </si>
  <si>
    <t>나무가</t>
  </si>
  <si>
    <t>242040</t>
  </si>
  <si>
    <t>나무기술</t>
  </si>
  <si>
    <t>089600</t>
  </si>
  <si>
    <t>나스미디어</t>
  </si>
  <si>
    <t>138610</t>
  </si>
  <si>
    <t>나이벡</t>
  </si>
  <si>
    <t>130580</t>
  </si>
  <si>
    <t>나이스디앤비</t>
  </si>
  <si>
    <t>036800</t>
  </si>
  <si>
    <t>나이스정보통신</t>
  </si>
  <si>
    <t>082660</t>
  </si>
  <si>
    <t>001260</t>
  </si>
  <si>
    <t>남광토건</t>
  </si>
  <si>
    <t>008350</t>
  </si>
  <si>
    <t>남선알미늄</t>
  </si>
  <si>
    <t>004270</t>
  </si>
  <si>
    <t>남성</t>
  </si>
  <si>
    <t>003920</t>
  </si>
  <si>
    <t>남양유업</t>
  </si>
  <si>
    <t>002070</t>
  </si>
  <si>
    <t>025860</t>
  </si>
  <si>
    <t>남해화학</t>
  </si>
  <si>
    <t>111710</t>
  </si>
  <si>
    <t>남화산업</t>
  </si>
  <si>
    <t>091590</t>
  </si>
  <si>
    <t>남화토건</t>
  </si>
  <si>
    <t>168330</t>
  </si>
  <si>
    <t>내츄럴엔도텍</t>
  </si>
  <si>
    <t>253590</t>
  </si>
  <si>
    <t>네오셈</t>
  </si>
  <si>
    <t>212560</t>
  </si>
  <si>
    <t>네오오토</t>
  </si>
  <si>
    <t>095660</t>
  </si>
  <si>
    <t>네오위즈</t>
  </si>
  <si>
    <t>042420</t>
  </si>
  <si>
    <t>네오위즈홀딩스</t>
  </si>
  <si>
    <t>311390</t>
  </si>
  <si>
    <t>네오크레마</t>
  </si>
  <si>
    <t>085910</t>
  </si>
  <si>
    <t>네오티스</t>
  </si>
  <si>
    <t>092730</t>
  </si>
  <si>
    <t>네오팜</t>
  </si>
  <si>
    <t>290660</t>
  </si>
  <si>
    <t>네오펙트</t>
  </si>
  <si>
    <t>153460</t>
  </si>
  <si>
    <t>네이블</t>
  </si>
  <si>
    <t>007390</t>
  </si>
  <si>
    <t>네이처셀</t>
  </si>
  <si>
    <t>086220</t>
  </si>
  <si>
    <t>033640</t>
  </si>
  <si>
    <t>네패스</t>
  </si>
  <si>
    <t>005720</t>
  </si>
  <si>
    <t>넥센</t>
  </si>
  <si>
    <t>002350</t>
  </si>
  <si>
    <t>넥센타이어</t>
  </si>
  <si>
    <t>089140</t>
  </si>
  <si>
    <t>065170</t>
  </si>
  <si>
    <t>003580</t>
  </si>
  <si>
    <t>137940</t>
  </si>
  <si>
    <t>넥스트아이</t>
  </si>
  <si>
    <t>217270</t>
  </si>
  <si>
    <t>넵튠</t>
  </si>
  <si>
    <t>225570</t>
  </si>
  <si>
    <t>251270</t>
  </si>
  <si>
    <t>넷마블</t>
  </si>
  <si>
    <t>317860</t>
  </si>
  <si>
    <t>노드메이슨</t>
  </si>
  <si>
    <t>104620</t>
  </si>
  <si>
    <t>노랑풍선</t>
  </si>
  <si>
    <t>090350</t>
  </si>
  <si>
    <t>노루페인트</t>
  </si>
  <si>
    <t>000320</t>
  </si>
  <si>
    <t>노루홀딩스</t>
  </si>
  <si>
    <t>194700</t>
  </si>
  <si>
    <t>노바렉스</t>
  </si>
  <si>
    <t>285490</t>
  </si>
  <si>
    <t>노바텍</t>
  </si>
  <si>
    <t>229500</t>
  </si>
  <si>
    <t>노브메타파마</t>
  </si>
  <si>
    <t>278650</t>
  </si>
  <si>
    <t>노터스</t>
  </si>
  <si>
    <t>006280</t>
  </si>
  <si>
    <t>녹십자</t>
  </si>
  <si>
    <t>144510</t>
  </si>
  <si>
    <t>142280</t>
  </si>
  <si>
    <t>녹십자엠에스</t>
  </si>
  <si>
    <t>234690</t>
  </si>
  <si>
    <t>녹십자웰빙</t>
  </si>
  <si>
    <t>005250</t>
  </si>
  <si>
    <t>녹십자홀딩스</t>
  </si>
  <si>
    <t>065560</t>
  </si>
  <si>
    <t>녹원씨엔아이</t>
  </si>
  <si>
    <t>004370</t>
  </si>
  <si>
    <t>농심</t>
  </si>
  <si>
    <t>072710</t>
  </si>
  <si>
    <t>농심홀딩스</t>
  </si>
  <si>
    <t>054050</t>
  </si>
  <si>
    <t>농우바이오</t>
  </si>
  <si>
    <t>040160</t>
  </si>
  <si>
    <t>069140</t>
  </si>
  <si>
    <t>누리플랜</t>
  </si>
  <si>
    <t>뉴로스</t>
  </si>
  <si>
    <t>060260</t>
  </si>
  <si>
    <t>뉴보텍</t>
  </si>
  <si>
    <t>012340</t>
  </si>
  <si>
    <t>뉴인텍</t>
  </si>
  <si>
    <t>214870</t>
  </si>
  <si>
    <t>270870</t>
  </si>
  <si>
    <t>뉴트리</t>
  </si>
  <si>
    <t>144960</t>
  </si>
  <si>
    <t>뉴파워프라즈마</t>
  </si>
  <si>
    <t>900100</t>
  </si>
  <si>
    <t>085670</t>
  </si>
  <si>
    <t>뉴프렉스</t>
  </si>
  <si>
    <t>119860</t>
  </si>
  <si>
    <t>064260</t>
  </si>
  <si>
    <t>다날</t>
  </si>
  <si>
    <t>093640</t>
  </si>
  <si>
    <t>다믈멀티미디어</t>
  </si>
  <si>
    <t>039560</t>
  </si>
  <si>
    <t>다산네트웍스</t>
  </si>
  <si>
    <t>058730</t>
  </si>
  <si>
    <t>다스코</t>
  </si>
  <si>
    <t>023590</t>
  </si>
  <si>
    <t>다우기술</t>
  </si>
  <si>
    <t>032190</t>
  </si>
  <si>
    <t>다우데이타</t>
  </si>
  <si>
    <t>323350</t>
  </si>
  <si>
    <t>다원넥스뷰</t>
  </si>
  <si>
    <t>068240</t>
  </si>
  <si>
    <t>다원시스</t>
  </si>
  <si>
    <t>271850</t>
  </si>
  <si>
    <t>다이오진</t>
  </si>
  <si>
    <t>019680</t>
  </si>
  <si>
    <t>대교</t>
  </si>
  <si>
    <t>006370</t>
  </si>
  <si>
    <t>대구백화점</t>
  </si>
  <si>
    <t>008060</t>
  </si>
  <si>
    <t>대덕전자</t>
  </si>
  <si>
    <t>178600</t>
  </si>
  <si>
    <t>대동고려삼</t>
  </si>
  <si>
    <t>000490</t>
  </si>
  <si>
    <t>020400</t>
  </si>
  <si>
    <t>대동금속</t>
  </si>
  <si>
    <t>008830</t>
  </si>
  <si>
    <t>대동기어</t>
  </si>
  <si>
    <t>048470</t>
  </si>
  <si>
    <t>대동스틸</t>
  </si>
  <si>
    <t>008110</t>
  </si>
  <si>
    <t>대동전자</t>
  </si>
  <si>
    <t>004780</t>
  </si>
  <si>
    <t>대륙제관</t>
  </si>
  <si>
    <t>005750</t>
  </si>
  <si>
    <t>대림B&amp;Co</t>
  </si>
  <si>
    <t>000210</t>
  </si>
  <si>
    <t>004440</t>
  </si>
  <si>
    <t>017650</t>
  </si>
  <si>
    <t>대림제지</t>
  </si>
  <si>
    <t>006570</t>
  </si>
  <si>
    <t>대림통상</t>
  </si>
  <si>
    <t>007720</t>
  </si>
  <si>
    <t>317850</t>
  </si>
  <si>
    <t>대모</t>
  </si>
  <si>
    <t>290670</t>
  </si>
  <si>
    <t>대보마그네틱</t>
  </si>
  <si>
    <t>078140</t>
  </si>
  <si>
    <t>대봉엘에스</t>
  </si>
  <si>
    <t>001680</t>
  </si>
  <si>
    <t>대상</t>
  </si>
  <si>
    <t>084690</t>
  </si>
  <si>
    <t>대상홀딩스</t>
  </si>
  <si>
    <t>036480</t>
  </si>
  <si>
    <t>대성미생물</t>
  </si>
  <si>
    <t>128820</t>
  </si>
  <si>
    <t>대성산업</t>
  </si>
  <si>
    <t>117580</t>
  </si>
  <si>
    <t>대성에너지</t>
  </si>
  <si>
    <t>025440</t>
  </si>
  <si>
    <t>대성엘텍</t>
  </si>
  <si>
    <t>104040</t>
  </si>
  <si>
    <t>대성파인텍</t>
  </si>
  <si>
    <t>016710</t>
  </si>
  <si>
    <t>대성홀딩스</t>
  </si>
  <si>
    <t>666665</t>
  </si>
  <si>
    <t>대신밸런스제3호기업인수목적</t>
  </si>
  <si>
    <t>020180</t>
  </si>
  <si>
    <t>대신정보통신</t>
  </si>
  <si>
    <t>045390</t>
  </si>
  <si>
    <t>대아티아이</t>
  </si>
  <si>
    <t>009190</t>
  </si>
  <si>
    <t>대양금속</t>
  </si>
  <si>
    <t>108380</t>
  </si>
  <si>
    <t>대양전기공업</t>
  </si>
  <si>
    <t>006580</t>
  </si>
  <si>
    <t>대양제지</t>
  </si>
  <si>
    <t>014160</t>
  </si>
  <si>
    <t>대영포장</t>
  </si>
  <si>
    <t>047040</t>
  </si>
  <si>
    <t>대우건설</t>
  </si>
  <si>
    <t>009320</t>
  </si>
  <si>
    <t>대우부품</t>
  </si>
  <si>
    <t>042660</t>
  </si>
  <si>
    <t>대우조선해양</t>
  </si>
  <si>
    <t>003090</t>
  </si>
  <si>
    <t>대웅</t>
  </si>
  <si>
    <t>069620</t>
  </si>
  <si>
    <t>대웅제약</t>
  </si>
  <si>
    <t>007680</t>
  </si>
  <si>
    <t>대원</t>
  </si>
  <si>
    <t>000430</t>
  </si>
  <si>
    <t>대원강업</t>
  </si>
  <si>
    <t>048910</t>
  </si>
  <si>
    <t>대원미디어</t>
  </si>
  <si>
    <t>005710</t>
  </si>
  <si>
    <t>대원산업</t>
  </si>
  <si>
    <t>006340</t>
  </si>
  <si>
    <t>대원전선</t>
  </si>
  <si>
    <t>003220</t>
  </si>
  <si>
    <t>대원제약</t>
  </si>
  <si>
    <t>024890</t>
  </si>
  <si>
    <t>대원화성</t>
  </si>
  <si>
    <t>290380</t>
  </si>
  <si>
    <t>대유</t>
  </si>
  <si>
    <t>002880</t>
  </si>
  <si>
    <t>대유에이텍</t>
  </si>
  <si>
    <t>290120</t>
  </si>
  <si>
    <t>대유에이피</t>
  </si>
  <si>
    <t>000300</t>
  </si>
  <si>
    <t>대유플러스</t>
  </si>
  <si>
    <t>120240</t>
  </si>
  <si>
    <t>대정화금</t>
  </si>
  <si>
    <t>003310</t>
  </si>
  <si>
    <t>대주산업</t>
  </si>
  <si>
    <t>114920</t>
  </si>
  <si>
    <t>대주이엔티</t>
  </si>
  <si>
    <t>078600</t>
  </si>
  <si>
    <t>대주전자재료</t>
  </si>
  <si>
    <t>012800</t>
  </si>
  <si>
    <t>대창</t>
  </si>
  <si>
    <t>015230</t>
  </si>
  <si>
    <t>대창단조</t>
  </si>
  <si>
    <t>096350</t>
  </si>
  <si>
    <t>대창솔루션</t>
  </si>
  <si>
    <t>140520</t>
  </si>
  <si>
    <t>대창스틸</t>
  </si>
  <si>
    <t>131220</t>
  </si>
  <si>
    <t>대한과학</t>
  </si>
  <si>
    <t>010170</t>
  </si>
  <si>
    <t>대한광통신</t>
  </si>
  <si>
    <t>054670</t>
  </si>
  <si>
    <t>대한뉴팜</t>
  </si>
  <si>
    <t>001070</t>
  </si>
  <si>
    <t>대한방직</t>
  </si>
  <si>
    <t>023910</t>
  </si>
  <si>
    <t>대한약품</t>
  </si>
  <si>
    <t>006650</t>
  </si>
  <si>
    <t>대한유화</t>
  </si>
  <si>
    <t>001440</t>
  </si>
  <si>
    <t>대한전선</t>
  </si>
  <si>
    <t>084010</t>
  </si>
  <si>
    <t>대한제강</t>
  </si>
  <si>
    <t>001790</t>
  </si>
  <si>
    <t>대한제당</t>
  </si>
  <si>
    <t>001130</t>
  </si>
  <si>
    <t>대한제분</t>
  </si>
  <si>
    <t>003490</t>
  </si>
  <si>
    <t>대한항공</t>
  </si>
  <si>
    <t>005880</t>
  </si>
  <si>
    <t>대한해운</t>
  </si>
  <si>
    <t>003830</t>
  </si>
  <si>
    <t>대한화섬</t>
  </si>
  <si>
    <t>016090</t>
  </si>
  <si>
    <t>대현</t>
  </si>
  <si>
    <t>069460</t>
  </si>
  <si>
    <t>대호에이엘</t>
  </si>
  <si>
    <t>021040</t>
  </si>
  <si>
    <t>067080</t>
  </si>
  <si>
    <t>대화제약</t>
  </si>
  <si>
    <t>192080</t>
  </si>
  <si>
    <t>더블유게임즈</t>
  </si>
  <si>
    <t>035290</t>
  </si>
  <si>
    <t>012510</t>
  </si>
  <si>
    <t>더존비즈온</t>
  </si>
  <si>
    <t>302920</t>
  </si>
  <si>
    <t>더콘텐츠온</t>
  </si>
  <si>
    <t>213420</t>
  </si>
  <si>
    <t>덕산네오룩스</t>
  </si>
  <si>
    <t>317330</t>
  </si>
  <si>
    <t>덕산테코피아</t>
  </si>
  <si>
    <t>077360</t>
  </si>
  <si>
    <t>덕산하이메탈</t>
  </si>
  <si>
    <t>004830</t>
  </si>
  <si>
    <t>덕성</t>
  </si>
  <si>
    <t>090410</t>
  </si>
  <si>
    <t>덕신하우징</t>
  </si>
  <si>
    <t>024900</t>
  </si>
  <si>
    <t>덕양산업</t>
  </si>
  <si>
    <t>263600</t>
  </si>
  <si>
    <t>덕우전자</t>
  </si>
  <si>
    <t>194480</t>
  </si>
  <si>
    <t>데브시스터즈</t>
  </si>
  <si>
    <t>263800</t>
  </si>
  <si>
    <t>데이타솔루션</t>
  </si>
  <si>
    <t>199150</t>
  </si>
  <si>
    <t>데이터스트림즈</t>
  </si>
  <si>
    <t>139050</t>
  </si>
  <si>
    <t>206560</t>
  </si>
  <si>
    <t>덱스터</t>
  </si>
  <si>
    <t>145720</t>
  </si>
  <si>
    <t>덴티움</t>
  </si>
  <si>
    <t>067990</t>
  </si>
  <si>
    <t>도이치모터스</t>
  </si>
  <si>
    <t>002150</t>
  </si>
  <si>
    <t>도화엔지니어링</t>
  </si>
  <si>
    <t>006620</t>
  </si>
  <si>
    <t>동구바이오제약</t>
  </si>
  <si>
    <t>100130</t>
  </si>
  <si>
    <t>동국S&amp;C</t>
  </si>
  <si>
    <t>005160</t>
  </si>
  <si>
    <t>동국산업</t>
  </si>
  <si>
    <t>075970</t>
  </si>
  <si>
    <t>동국알앤에스</t>
  </si>
  <si>
    <t>001230</t>
  </si>
  <si>
    <t>동국제강</t>
  </si>
  <si>
    <t>086450</t>
  </si>
  <si>
    <t>동국제약</t>
  </si>
  <si>
    <t>023450</t>
  </si>
  <si>
    <t>동남합성</t>
  </si>
  <si>
    <t>004140</t>
  </si>
  <si>
    <t>동방</t>
  </si>
  <si>
    <t>099410</t>
  </si>
  <si>
    <t>동방선기</t>
  </si>
  <si>
    <t>007590</t>
  </si>
  <si>
    <t>동방아그로</t>
  </si>
  <si>
    <t>005960</t>
  </si>
  <si>
    <t>동부건설</t>
  </si>
  <si>
    <t>016380</t>
  </si>
  <si>
    <t>026960</t>
  </si>
  <si>
    <t>동서</t>
  </si>
  <si>
    <t>002210</t>
  </si>
  <si>
    <t>동성제약</t>
  </si>
  <si>
    <t>102260</t>
  </si>
  <si>
    <t>033500</t>
  </si>
  <si>
    <t>동성화인텍</t>
  </si>
  <si>
    <t>025950</t>
  </si>
  <si>
    <t>동신건설</t>
  </si>
  <si>
    <t>000640</t>
  </si>
  <si>
    <t>동아쏘시오홀딩스</t>
  </si>
  <si>
    <t>170900</t>
  </si>
  <si>
    <t>동아에스티</t>
  </si>
  <si>
    <t>088130</t>
  </si>
  <si>
    <t>동아엘텍</t>
  </si>
  <si>
    <t>028100</t>
  </si>
  <si>
    <t>동아지질</t>
  </si>
  <si>
    <t>282690</t>
  </si>
  <si>
    <t>동아타이어</t>
  </si>
  <si>
    <t>041930</t>
  </si>
  <si>
    <t>동아화성</t>
  </si>
  <si>
    <t>001520</t>
  </si>
  <si>
    <t>동양</t>
  </si>
  <si>
    <t>084670</t>
  </si>
  <si>
    <t>동양고속</t>
  </si>
  <si>
    <t>030790</t>
  </si>
  <si>
    <t>동양네트웍스</t>
  </si>
  <si>
    <t>002900</t>
  </si>
  <si>
    <t>060380</t>
  </si>
  <si>
    <t>동양에스텍</t>
  </si>
  <si>
    <t>079960</t>
  </si>
  <si>
    <t>동양이엔피</t>
  </si>
  <si>
    <t>008970</t>
  </si>
  <si>
    <t>동양철관</t>
  </si>
  <si>
    <t>228340</t>
  </si>
  <si>
    <t>동양파일</t>
  </si>
  <si>
    <t>092780</t>
  </si>
  <si>
    <t>동양피스톤</t>
  </si>
  <si>
    <t>104460</t>
  </si>
  <si>
    <t>018770</t>
  </si>
  <si>
    <t>동우에이치에스티</t>
  </si>
  <si>
    <t>088910</t>
  </si>
  <si>
    <t>동우팜투테이블</t>
  </si>
  <si>
    <t>094170</t>
  </si>
  <si>
    <t>동운아나텍</t>
  </si>
  <si>
    <t>049770</t>
  </si>
  <si>
    <t>동원F&amp;B</t>
  </si>
  <si>
    <t>013120</t>
  </si>
  <si>
    <t>동원개발</t>
  </si>
  <si>
    <t>018500</t>
  </si>
  <si>
    <t>동원금속</t>
  </si>
  <si>
    <t>006040</t>
  </si>
  <si>
    <t>동원산업</t>
  </si>
  <si>
    <t>030720</t>
  </si>
  <si>
    <t>동원수산</t>
  </si>
  <si>
    <t>014820</t>
  </si>
  <si>
    <t>동원시스템즈</t>
  </si>
  <si>
    <t>163560</t>
  </si>
  <si>
    <t>동일고무벨트</t>
  </si>
  <si>
    <t>109860</t>
  </si>
  <si>
    <t>동일금속</t>
  </si>
  <si>
    <t>032960</t>
  </si>
  <si>
    <t>동일기연</t>
  </si>
  <si>
    <t>004890</t>
  </si>
  <si>
    <t>동일산업</t>
  </si>
  <si>
    <t>002690</t>
  </si>
  <si>
    <t>동일제강</t>
  </si>
  <si>
    <t>023790</t>
  </si>
  <si>
    <t>동일철강</t>
  </si>
  <si>
    <t>005290</t>
  </si>
  <si>
    <t>동진쎄미켐</t>
  </si>
  <si>
    <t>025900</t>
  </si>
  <si>
    <t>동화기업</t>
  </si>
  <si>
    <t>000020</t>
  </si>
  <si>
    <t>동화약품</t>
  </si>
  <si>
    <t>000150</t>
  </si>
  <si>
    <t>두산</t>
  </si>
  <si>
    <t>두산건설</t>
  </si>
  <si>
    <t>241560</t>
  </si>
  <si>
    <t>두산밥캣</t>
  </si>
  <si>
    <t>336370</t>
  </si>
  <si>
    <t>042670</t>
  </si>
  <si>
    <t>034020</t>
  </si>
  <si>
    <t>336260</t>
  </si>
  <si>
    <t>두산퓨얼셀</t>
  </si>
  <si>
    <t>016740</t>
  </si>
  <si>
    <t>두올</t>
  </si>
  <si>
    <t>078590</t>
  </si>
  <si>
    <t>073190</t>
  </si>
  <si>
    <t>듀오백</t>
  </si>
  <si>
    <t>176750</t>
  </si>
  <si>
    <t>듀켐바이오</t>
  </si>
  <si>
    <t>030350</t>
  </si>
  <si>
    <t>드래곤플라이</t>
  </si>
  <si>
    <t>203650</t>
  </si>
  <si>
    <t>드림시큐리티</t>
  </si>
  <si>
    <t>060570</t>
  </si>
  <si>
    <t>드림어스컴퍼니</t>
  </si>
  <si>
    <t>192650</t>
  </si>
  <si>
    <t>드림텍</t>
  </si>
  <si>
    <t>217620</t>
  </si>
  <si>
    <t>187870</t>
  </si>
  <si>
    <t>디바이스이엔지</t>
  </si>
  <si>
    <t>066670</t>
  </si>
  <si>
    <t>디스플레이텍</t>
  </si>
  <si>
    <t>024090</t>
  </si>
  <si>
    <t>디씨엠</t>
  </si>
  <si>
    <t>003160</t>
  </si>
  <si>
    <t>디아이</t>
  </si>
  <si>
    <t>092200</t>
  </si>
  <si>
    <t>디아이씨</t>
  </si>
  <si>
    <t>110990</t>
  </si>
  <si>
    <t>디아이티</t>
  </si>
  <si>
    <t>263690</t>
  </si>
  <si>
    <t>디알젬</t>
  </si>
  <si>
    <t>214680</t>
  </si>
  <si>
    <t>디알텍</t>
  </si>
  <si>
    <t>263720</t>
  </si>
  <si>
    <t>디앤씨미디어</t>
  </si>
  <si>
    <t>109740</t>
  </si>
  <si>
    <t>디에스케이</t>
  </si>
  <si>
    <t>디에스티</t>
  </si>
  <si>
    <t>131030</t>
  </si>
  <si>
    <t>196490</t>
  </si>
  <si>
    <t>디에이테크놀로지</t>
  </si>
  <si>
    <t>066900</t>
  </si>
  <si>
    <t>디에이피</t>
  </si>
  <si>
    <t>127120</t>
  </si>
  <si>
    <t>디엔에이링크</t>
  </si>
  <si>
    <t>092070</t>
  </si>
  <si>
    <t>디엔에프</t>
  </si>
  <si>
    <t>134580</t>
  </si>
  <si>
    <t>039840</t>
  </si>
  <si>
    <t>디오</t>
  </si>
  <si>
    <t>196450</t>
  </si>
  <si>
    <t>013570</t>
  </si>
  <si>
    <t>디와이</t>
  </si>
  <si>
    <t>210540</t>
  </si>
  <si>
    <t>디와이파워</t>
  </si>
  <si>
    <t>079810</t>
  </si>
  <si>
    <t>디이엔티</t>
  </si>
  <si>
    <t>227100</t>
  </si>
  <si>
    <t>113810</t>
  </si>
  <si>
    <t>디젠스</t>
  </si>
  <si>
    <t>043360</t>
  </si>
  <si>
    <t>디지아이</t>
  </si>
  <si>
    <t>197140</t>
  </si>
  <si>
    <t>디지캡</t>
  </si>
  <si>
    <t>106520</t>
  </si>
  <si>
    <t>068930</t>
  </si>
  <si>
    <t>디지털대성</t>
  </si>
  <si>
    <t>033130</t>
  </si>
  <si>
    <t>디지틀조선</t>
  </si>
  <si>
    <t>033310</t>
  </si>
  <si>
    <t>105740</t>
  </si>
  <si>
    <t>디케이락</t>
  </si>
  <si>
    <t>263020</t>
  </si>
  <si>
    <t>디케이앤디</t>
  </si>
  <si>
    <t>290550</t>
  </si>
  <si>
    <t>디케이티</t>
  </si>
  <si>
    <t>007340</t>
  </si>
  <si>
    <t>187220</t>
  </si>
  <si>
    <t>디티앤씨</t>
  </si>
  <si>
    <t>026890</t>
  </si>
  <si>
    <t>163430</t>
  </si>
  <si>
    <t>디피코</t>
  </si>
  <si>
    <t>131180</t>
  </si>
  <si>
    <t>딜리</t>
  </si>
  <si>
    <t>317120</t>
  </si>
  <si>
    <t>라닉스</t>
  </si>
  <si>
    <t>042510</t>
  </si>
  <si>
    <t>라온시큐어</t>
  </si>
  <si>
    <t>232680</t>
  </si>
  <si>
    <t>라온테크</t>
  </si>
  <si>
    <t>300120</t>
  </si>
  <si>
    <t>라온피플</t>
  </si>
  <si>
    <t>036170</t>
  </si>
  <si>
    <t>050120</t>
  </si>
  <si>
    <t>171120</t>
  </si>
  <si>
    <t>라이온켐텍</t>
  </si>
  <si>
    <t>069540</t>
  </si>
  <si>
    <t>라이트론</t>
  </si>
  <si>
    <t>285770</t>
  </si>
  <si>
    <t>라이프사이언스테크놀로지</t>
  </si>
  <si>
    <t>214260</t>
  </si>
  <si>
    <t>라파스</t>
  </si>
  <si>
    <t>115390</t>
  </si>
  <si>
    <t>락앤락</t>
  </si>
  <si>
    <t>200350</t>
  </si>
  <si>
    <t>래몽래인</t>
  </si>
  <si>
    <t>171010</t>
  </si>
  <si>
    <t>램테크놀러지</t>
  </si>
  <si>
    <t>084650</t>
  </si>
  <si>
    <t>랩지노믹스</t>
  </si>
  <si>
    <t>217500</t>
  </si>
  <si>
    <t>러셀</t>
  </si>
  <si>
    <t>092590</t>
  </si>
  <si>
    <t>럭스피아</t>
  </si>
  <si>
    <t>141080</t>
  </si>
  <si>
    <t>레고켐바이오</t>
  </si>
  <si>
    <t>레드로버</t>
  </si>
  <si>
    <t>038390</t>
  </si>
  <si>
    <t>레드캡투어</t>
  </si>
  <si>
    <t>294140</t>
  </si>
  <si>
    <t>레몬</t>
  </si>
  <si>
    <t>228670</t>
  </si>
  <si>
    <t>레이</t>
  </si>
  <si>
    <t>228850</t>
  </si>
  <si>
    <t>레이언스</t>
  </si>
  <si>
    <t>238120</t>
  </si>
  <si>
    <t>111112</t>
  </si>
  <si>
    <t>로고스바이오시스템스</t>
  </si>
  <si>
    <t>215100</t>
  </si>
  <si>
    <t>로보로보</t>
  </si>
  <si>
    <t>090360</t>
  </si>
  <si>
    <t>로보스타</t>
  </si>
  <si>
    <t>238500</t>
  </si>
  <si>
    <t>로보쓰리</t>
  </si>
  <si>
    <t>108490</t>
  </si>
  <si>
    <t>로보티즈</t>
  </si>
  <si>
    <t>900260</t>
  </si>
  <si>
    <t>로스웰</t>
  </si>
  <si>
    <t>067730</t>
  </si>
  <si>
    <t>로지시스</t>
  </si>
  <si>
    <t>071280</t>
  </si>
  <si>
    <t>로체시스템즈</t>
  </si>
  <si>
    <t>032350</t>
  </si>
  <si>
    <t>롯데관광개발</t>
  </si>
  <si>
    <t>023530</t>
  </si>
  <si>
    <t>롯데쇼핑</t>
  </si>
  <si>
    <t>004000</t>
  </si>
  <si>
    <t>롯데정밀화학</t>
  </si>
  <si>
    <t>286940</t>
  </si>
  <si>
    <t>롯데정보통신</t>
  </si>
  <si>
    <t>280360</t>
  </si>
  <si>
    <t>롯데제과</t>
  </si>
  <si>
    <t>004990</t>
  </si>
  <si>
    <t>롯데지주</t>
  </si>
  <si>
    <t>005300</t>
  </si>
  <si>
    <t>롯데칠성</t>
  </si>
  <si>
    <t>011170</t>
  </si>
  <si>
    <t>롯데케미칼</t>
  </si>
  <si>
    <t>071840</t>
  </si>
  <si>
    <t>롯데하이마트</t>
  </si>
  <si>
    <t>038060</t>
  </si>
  <si>
    <t>루멘스</t>
  </si>
  <si>
    <t>082800</t>
  </si>
  <si>
    <t>162120</t>
  </si>
  <si>
    <t>루켄테크놀러지스</t>
  </si>
  <si>
    <t>085370</t>
  </si>
  <si>
    <t>루트로닉</t>
  </si>
  <si>
    <t>060240</t>
  </si>
  <si>
    <t>룽투코리아</t>
  </si>
  <si>
    <t>058470</t>
  </si>
  <si>
    <t>리노공업</t>
  </si>
  <si>
    <t>039980</t>
  </si>
  <si>
    <t>리노스</t>
  </si>
  <si>
    <t>016100</t>
  </si>
  <si>
    <t>리더스코스메틱</t>
  </si>
  <si>
    <t>리드</t>
  </si>
  <si>
    <t>012700</t>
  </si>
  <si>
    <t>리드코프</t>
  </si>
  <si>
    <t>302550</t>
  </si>
  <si>
    <t>리메드</t>
  </si>
  <si>
    <t>042500</t>
  </si>
  <si>
    <t>링네트</t>
  </si>
  <si>
    <t>219420</t>
  </si>
  <si>
    <t>링크제니시스</t>
  </si>
  <si>
    <t>027740</t>
  </si>
  <si>
    <t>마니커</t>
  </si>
  <si>
    <t>195500</t>
  </si>
  <si>
    <t>마니커에프앤지</t>
  </si>
  <si>
    <t>305090</t>
  </si>
  <si>
    <t>마이크로디지탈</t>
  </si>
  <si>
    <t>098120</t>
  </si>
  <si>
    <t>마이크로컨텍솔</t>
  </si>
  <si>
    <t>227950</t>
  </si>
  <si>
    <t>147760</t>
  </si>
  <si>
    <t>마이크로프랜드</t>
  </si>
  <si>
    <t>038290</t>
  </si>
  <si>
    <t>마크로젠</t>
  </si>
  <si>
    <t>204320</t>
  </si>
  <si>
    <t>001080</t>
  </si>
  <si>
    <t>만호제강</t>
  </si>
  <si>
    <t>267980</t>
  </si>
  <si>
    <t>매일유업</t>
  </si>
  <si>
    <t>005990</t>
  </si>
  <si>
    <t>매일홀딩스</t>
  </si>
  <si>
    <t>093520</t>
  </si>
  <si>
    <t>매커스</t>
  </si>
  <si>
    <t>100590</t>
  </si>
  <si>
    <t>머큐리</t>
  </si>
  <si>
    <t>067280</t>
  </si>
  <si>
    <t>멀티캠퍼스</t>
  </si>
  <si>
    <t>072870</t>
  </si>
  <si>
    <t>메가스터디</t>
  </si>
  <si>
    <t>215200</t>
  </si>
  <si>
    <t>메가스터디교육</t>
  </si>
  <si>
    <t>133750</t>
  </si>
  <si>
    <t>메가엠디</t>
  </si>
  <si>
    <t>235980</t>
  </si>
  <si>
    <t>메드팩토</t>
  </si>
  <si>
    <t>200580</t>
  </si>
  <si>
    <t>메디쎄이</t>
  </si>
  <si>
    <t>041920</t>
  </si>
  <si>
    <t>메디아나</t>
  </si>
  <si>
    <t>233250</t>
  </si>
  <si>
    <t>메디안디노스틱</t>
  </si>
  <si>
    <t>014100</t>
  </si>
  <si>
    <t>메디앙스</t>
  </si>
  <si>
    <t>236340</t>
  </si>
  <si>
    <t>메디젠휴먼케어</t>
  </si>
  <si>
    <t>086900</t>
  </si>
  <si>
    <t>메디톡스</t>
  </si>
  <si>
    <t>015540</t>
  </si>
  <si>
    <t>078160</t>
  </si>
  <si>
    <t>메디포스트</t>
  </si>
  <si>
    <t>065650</t>
  </si>
  <si>
    <t>메디프론</t>
  </si>
  <si>
    <t>140410</t>
  </si>
  <si>
    <t>메지온</t>
  </si>
  <si>
    <t>241770</t>
  </si>
  <si>
    <t>메카로</t>
  </si>
  <si>
    <t>090370</t>
  </si>
  <si>
    <t>메타랩스</t>
  </si>
  <si>
    <t>059210</t>
  </si>
  <si>
    <t>메타바이오메드</t>
  </si>
  <si>
    <t>327260</t>
  </si>
  <si>
    <t>058110</t>
  </si>
  <si>
    <t>멕아이씨에스</t>
  </si>
  <si>
    <t>096640</t>
  </si>
  <si>
    <t>멜파스</t>
  </si>
  <si>
    <t>017180</t>
  </si>
  <si>
    <t>명문제약</t>
  </si>
  <si>
    <t>257370</t>
  </si>
  <si>
    <t>명성티엔에스</t>
  </si>
  <si>
    <t>267060</t>
  </si>
  <si>
    <t>명진홀딩스</t>
  </si>
  <si>
    <t>012690</t>
  </si>
  <si>
    <t>모나리자</t>
  </si>
  <si>
    <t>005360</t>
  </si>
  <si>
    <t>모나미</t>
  </si>
  <si>
    <t>080420</t>
  </si>
  <si>
    <t>모다이노칩</t>
  </si>
  <si>
    <t>080160</t>
  </si>
  <si>
    <t>모두투어</t>
  </si>
  <si>
    <t>100030</t>
  </si>
  <si>
    <t>087260</t>
  </si>
  <si>
    <t>모바일어플라이언스</t>
  </si>
  <si>
    <t>101330</t>
  </si>
  <si>
    <t>모베이스</t>
  </si>
  <si>
    <t>012860</t>
  </si>
  <si>
    <t>모베이스전자</t>
  </si>
  <si>
    <t>250060</t>
  </si>
  <si>
    <t>모비스</t>
  </si>
  <si>
    <t>033200</t>
  </si>
  <si>
    <t>모아텍</t>
  </si>
  <si>
    <t>009680</t>
  </si>
  <si>
    <t>모토닉</t>
  </si>
  <si>
    <t>118990</t>
  </si>
  <si>
    <t>모트렉스</t>
  </si>
  <si>
    <t>006920</t>
  </si>
  <si>
    <t>모헨즈</t>
  </si>
  <si>
    <t>009580</t>
  </si>
  <si>
    <t>무림P&amp;P</t>
  </si>
  <si>
    <t>001810</t>
  </si>
  <si>
    <t>무림SP</t>
  </si>
  <si>
    <t>009200</t>
  </si>
  <si>
    <t>무림페이퍼</t>
  </si>
  <si>
    <t>033920</t>
  </si>
  <si>
    <t>무학</t>
  </si>
  <si>
    <t>008420</t>
  </si>
  <si>
    <t>문배철강</t>
  </si>
  <si>
    <t>279600</t>
  </si>
  <si>
    <t>미디어젠</t>
  </si>
  <si>
    <t>095500</t>
  </si>
  <si>
    <t>미래나노텍</t>
  </si>
  <si>
    <t>025560</t>
  </si>
  <si>
    <t>미래산업</t>
  </si>
  <si>
    <t>218150</t>
  </si>
  <si>
    <t>미래생명자원</t>
  </si>
  <si>
    <t>007120</t>
  </si>
  <si>
    <t>미래아이앤지</t>
  </si>
  <si>
    <t>049950</t>
  </si>
  <si>
    <t>미래컴퍼니</t>
  </si>
  <si>
    <t>207760</t>
  </si>
  <si>
    <t>미스터블루</t>
  </si>
  <si>
    <t>002840</t>
  </si>
  <si>
    <t>미원상사</t>
  </si>
  <si>
    <t>268280</t>
  </si>
  <si>
    <t>미원에스씨</t>
  </si>
  <si>
    <t>107590</t>
  </si>
  <si>
    <t>미원홀딩스</t>
  </si>
  <si>
    <t>134380</t>
  </si>
  <si>
    <t>미원화학</t>
  </si>
  <si>
    <t>003650</t>
  </si>
  <si>
    <t>미창석유</t>
  </si>
  <si>
    <t>059090</t>
  </si>
  <si>
    <t>미코</t>
  </si>
  <si>
    <t>214610</t>
  </si>
  <si>
    <t>미코바이오메드</t>
  </si>
  <si>
    <t>201490</t>
  </si>
  <si>
    <t>미투온</t>
  </si>
  <si>
    <t>214180</t>
  </si>
  <si>
    <t>206640</t>
  </si>
  <si>
    <t>바디텍메드</t>
  </si>
  <si>
    <t>018700</t>
  </si>
  <si>
    <t>바른손</t>
  </si>
  <si>
    <t>035620</t>
  </si>
  <si>
    <t>바른손이앤에이</t>
  </si>
  <si>
    <t>064520</t>
  </si>
  <si>
    <t>029480</t>
  </si>
  <si>
    <t>053030</t>
  </si>
  <si>
    <t>바이넥스</t>
  </si>
  <si>
    <t>064550</t>
  </si>
  <si>
    <t>바이오니아</t>
  </si>
  <si>
    <t>208710</t>
  </si>
  <si>
    <t>바이오로그디바이스</t>
  </si>
  <si>
    <t>142760</t>
  </si>
  <si>
    <t>바이오빌</t>
  </si>
  <si>
    <t>086820</t>
  </si>
  <si>
    <t>바이오솔루션</t>
  </si>
  <si>
    <t>038460</t>
  </si>
  <si>
    <t>바이오스마트</t>
  </si>
  <si>
    <t>281310</t>
  </si>
  <si>
    <t>바이오시네틱스</t>
  </si>
  <si>
    <t>044480</t>
  </si>
  <si>
    <t>216400</t>
  </si>
  <si>
    <t>086040</t>
  </si>
  <si>
    <t>바이오톡스텍</t>
  </si>
  <si>
    <t>199290</t>
  </si>
  <si>
    <t>바이오프로테크</t>
  </si>
  <si>
    <t>032980</t>
  </si>
  <si>
    <t>바이온</t>
  </si>
  <si>
    <t>222160</t>
  </si>
  <si>
    <t>바이옵트로</t>
  </si>
  <si>
    <t>043150</t>
  </si>
  <si>
    <t>바텍</t>
  </si>
  <si>
    <t>003610</t>
  </si>
  <si>
    <t>방림</t>
  </si>
  <si>
    <t>267790</t>
  </si>
  <si>
    <t>배럴</t>
  </si>
  <si>
    <t>001340</t>
  </si>
  <si>
    <t>백광산업</t>
  </si>
  <si>
    <t>014580</t>
  </si>
  <si>
    <t>046310</t>
  </si>
  <si>
    <t>백금T&amp;A</t>
  </si>
  <si>
    <t>035150</t>
  </si>
  <si>
    <t>백산</t>
  </si>
  <si>
    <t>036620</t>
  </si>
  <si>
    <t>066410</t>
  </si>
  <si>
    <t>버킷스튜디오</t>
  </si>
  <si>
    <t>002410</t>
  </si>
  <si>
    <t>범양건영</t>
  </si>
  <si>
    <t>019010</t>
  </si>
  <si>
    <t>베뉴지</t>
  </si>
  <si>
    <t>177350</t>
  </si>
  <si>
    <t>베셀</t>
  </si>
  <si>
    <t>299910</t>
  </si>
  <si>
    <t>베스파</t>
  </si>
  <si>
    <t>007210</t>
  </si>
  <si>
    <t>벽산</t>
  </si>
  <si>
    <t>225530</t>
  </si>
  <si>
    <t>보광산업</t>
  </si>
  <si>
    <t>250000</t>
  </si>
  <si>
    <t>보라티알</t>
  </si>
  <si>
    <t>002760</t>
  </si>
  <si>
    <t>보락</t>
  </si>
  <si>
    <t>003850</t>
  </si>
  <si>
    <t>006910</t>
  </si>
  <si>
    <t>보성파워텍</t>
  </si>
  <si>
    <t>000890</t>
  </si>
  <si>
    <t>보해양조</t>
  </si>
  <si>
    <t>226340</t>
  </si>
  <si>
    <t>본느</t>
  </si>
  <si>
    <t>206950</t>
  </si>
  <si>
    <t>볼빅</t>
  </si>
  <si>
    <t>003000</t>
  </si>
  <si>
    <t>부광약품</t>
  </si>
  <si>
    <t>026940</t>
  </si>
  <si>
    <t>부국철강</t>
  </si>
  <si>
    <t>014470</t>
  </si>
  <si>
    <t>부방</t>
  </si>
  <si>
    <t>011390</t>
  </si>
  <si>
    <t>부산산업</t>
  </si>
  <si>
    <t>005030</t>
  </si>
  <si>
    <t>부산주공</t>
  </si>
  <si>
    <t>008470</t>
  </si>
  <si>
    <t>부스타</t>
  </si>
  <si>
    <t>100120</t>
  </si>
  <si>
    <t>뷰웍스</t>
  </si>
  <si>
    <t>066980</t>
  </si>
  <si>
    <t>064480</t>
  </si>
  <si>
    <t>브리지텍</t>
  </si>
  <si>
    <t>288330</t>
  </si>
  <si>
    <t>브릿지바이오테라퓨틱스</t>
  </si>
  <si>
    <t>251630</t>
  </si>
  <si>
    <t>브이원텍</t>
  </si>
  <si>
    <t>018290</t>
  </si>
  <si>
    <t>브이티지엠피</t>
  </si>
  <si>
    <t>263920</t>
  </si>
  <si>
    <t>033560</t>
  </si>
  <si>
    <t>블루콤</t>
  </si>
  <si>
    <t>126340</t>
  </si>
  <si>
    <t>비나텍</t>
  </si>
  <si>
    <t>121800</t>
  </si>
  <si>
    <t>비덴트</t>
  </si>
  <si>
    <t>148140</t>
  </si>
  <si>
    <t>비디아이</t>
  </si>
  <si>
    <t>100220</t>
  </si>
  <si>
    <t>비상교육</t>
  </si>
  <si>
    <t>200780</t>
  </si>
  <si>
    <t>비씨월드제약</t>
  </si>
  <si>
    <t>141000</t>
  </si>
  <si>
    <t>비아트론</t>
  </si>
  <si>
    <t>090460</t>
  </si>
  <si>
    <t>비에이치</t>
  </si>
  <si>
    <t>083650</t>
  </si>
  <si>
    <t>비에이치아이</t>
  </si>
  <si>
    <t>215050</t>
  </si>
  <si>
    <t>비엔디생활건강</t>
  </si>
  <si>
    <t>086670</t>
  </si>
  <si>
    <t>비엠티</t>
  </si>
  <si>
    <t>138580</t>
  </si>
  <si>
    <t>비즈니스온</t>
  </si>
  <si>
    <t>082920</t>
  </si>
  <si>
    <t>비츠로셀</t>
  </si>
  <si>
    <t>054220</t>
  </si>
  <si>
    <t>비츠로시스</t>
  </si>
  <si>
    <t>042370</t>
  </si>
  <si>
    <t>비츠로테크</t>
  </si>
  <si>
    <t>032850</t>
  </si>
  <si>
    <t>비트컴퓨터</t>
  </si>
  <si>
    <t>101140</t>
  </si>
  <si>
    <t>148780</t>
  </si>
  <si>
    <t>비플라이소프트</t>
  </si>
  <si>
    <t>238200</t>
  </si>
  <si>
    <t>비피도</t>
  </si>
  <si>
    <t>093190</t>
  </si>
  <si>
    <t>빅솔론</t>
  </si>
  <si>
    <t>065450</t>
  </si>
  <si>
    <t>빅텍</t>
  </si>
  <si>
    <t>210120</t>
  </si>
  <si>
    <t>005180</t>
  </si>
  <si>
    <t>빙그레</t>
  </si>
  <si>
    <t>072950</t>
  </si>
  <si>
    <t>빛샘전자</t>
  </si>
  <si>
    <t>143240</t>
  </si>
  <si>
    <t>사람인에이치알</t>
  </si>
  <si>
    <t>003960</t>
  </si>
  <si>
    <t>사조대림</t>
  </si>
  <si>
    <t>008040</t>
  </si>
  <si>
    <t>사조동아원</t>
  </si>
  <si>
    <t>007160</t>
  </si>
  <si>
    <t>사조산업</t>
  </si>
  <si>
    <t>014710</t>
  </si>
  <si>
    <t>사조씨푸드</t>
  </si>
  <si>
    <t>006090</t>
  </si>
  <si>
    <t>사조오양</t>
  </si>
  <si>
    <t>100090</t>
  </si>
  <si>
    <t>삼강엠앤티</t>
  </si>
  <si>
    <t>005090</t>
  </si>
  <si>
    <t>122350</t>
  </si>
  <si>
    <t>014970</t>
  </si>
  <si>
    <t>삼륭물산</t>
  </si>
  <si>
    <t>018310</t>
  </si>
  <si>
    <t>삼목에스폼</t>
  </si>
  <si>
    <t>053700</t>
  </si>
  <si>
    <t>삼보모터스</t>
  </si>
  <si>
    <t>009620</t>
  </si>
  <si>
    <t>삼보산업</t>
  </si>
  <si>
    <t>023600</t>
  </si>
  <si>
    <t>삼보판지</t>
  </si>
  <si>
    <t>111870</t>
  </si>
  <si>
    <t>001470</t>
  </si>
  <si>
    <t>삼부토건</t>
  </si>
  <si>
    <t>006400</t>
  </si>
  <si>
    <t>삼성SDI</t>
  </si>
  <si>
    <t>006660</t>
  </si>
  <si>
    <t>삼성공조</t>
  </si>
  <si>
    <t>028260</t>
  </si>
  <si>
    <t>삼성물산</t>
  </si>
  <si>
    <t>207940</t>
  </si>
  <si>
    <t>삼성바이오로직스</t>
  </si>
  <si>
    <t>018260</t>
  </si>
  <si>
    <t>삼성에스디에스</t>
  </si>
  <si>
    <t>028050</t>
  </si>
  <si>
    <t>삼성엔지니어링</t>
  </si>
  <si>
    <t>009150</t>
  </si>
  <si>
    <t>삼성전기</t>
  </si>
  <si>
    <t>005930</t>
  </si>
  <si>
    <t>삼성전자</t>
  </si>
  <si>
    <t>001360</t>
  </si>
  <si>
    <t>삼성제약</t>
  </si>
  <si>
    <t>010140</t>
  </si>
  <si>
    <t>삼성중공업</t>
  </si>
  <si>
    <t>068290</t>
  </si>
  <si>
    <t>삼성출판사</t>
  </si>
  <si>
    <t>006110</t>
  </si>
  <si>
    <t>삼아알미늄</t>
  </si>
  <si>
    <t>009300</t>
  </si>
  <si>
    <t>삼아제약</t>
  </si>
  <si>
    <t>145990</t>
  </si>
  <si>
    <t>삼양사</t>
  </si>
  <si>
    <t>003230</t>
  </si>
  <si>
    <t>삼양식품</t>
  </si>
  <si>
    <t>225190</t>
  </si>
  <si>
    <t>삼양옵틱스</t>
  </si>
  <si>
    <t>002170</t>
  </si>
  <si>
    <t>삼양통상</t>
  </si>
  <si>
    <t>272550</t>
  </si>
  <si>
    <t>삼양패키징</t>
  </si>
  <si>
    <t>000070</t>
  </si>
  <si>
    <t>삼양홀딩스</t>
  </si>
  <si>
    <t>002810</t>
  </si>
  <si>
    <t>삼영무역</t>
  </si>
  <si>
    <t>054540</t>
  </si>
  <si>
    <t>삼영엠텍</t>
  </si>
  <si>
    <t>065570</t>
  </si>
  <si>
    <t>삼영이엔씨</t>
  </si>
  <si>
    <t>005680</t>
  </si>
  <si>
    <t>삼영전자</t>
  </si>
  <si>
    <t>003720</t>
  </si>
  <si>
    <t>삼영화학</t>
  </si>
  <si>
    <t>023000</t>
  </si>
  <si>
    <t>삼원강재</t>
  </si>
  <si>
    <t>073640</t>
  </si>
  <si>
    <t>004380</t>
  </si>
  <si>
    <t>삼익THK</t>
  </si>
  <si>
    <t>002450</t>
  </si>
  <si>
    <t>삼익악기</t>
  </si>
  <si>
    <t>032280</t>
  </si>
  <si>
    <t>삼일</t>
  </si>
  <si>
    <t>002290</t>
  </si>
  <si>
    <t>삼일기업공사</t>
  </si>
  <si>
    <t>000520</t>
  </si>
  <si>
    <t>삼일제약</t>
  </si>
  <si>
    <t>009770</t>
  </si>
  <si>
    <t>삼정펄프</t>
  </si>
  <si>
    <t>037460</t>
  </si>
  <si>
    <t>삼지전자</t>
  </si>
  <si>
    <t>032750</t>
  </si>
  <si>
    <t>삼진</t>
  </si>
  <si>
    <t>054090</t>
  </si>
  <si>
    <t>삼진엘앤디</t>
  </si>
  <si>
    <t>005500</t>
  </si>
  <si>
    <t>삼진제약</t>
  </si>
  <si>
    <t>000250</t>
  </si>
  <si>
    <t>삼천당제약</t>
  </si>
  <si>
    <t>004690</t>
  </si>
  <si>
    <t>삼천리</t>
  </si>
  <si>
    <t>024950</t>
  </si>
  <si>
    <t>삼천리자전거</t>
  </si>
  <si>
    <t>038500</t>
  </si>
  <si>
    <t>삼표시멘트</t>
  </si>
  <si>
    <t>017480</t>
  </si>
  <si>
    <t>삼현철강</t>
  </si>
  <si>
    <t>001880</t>
  </si>
  <si>
    <t>010960</t>
  </si>
  <si>
    <t>삼호개발</t>
  </si>
  <si>
    <t>046390</t>
  </si>
  <si>
    <t>삼화네트웍스</t>
  </si>
  <si>
    <t>004450</t>
  </si>
  <si>
    <t>삼화왕관</t>
  </si>
  <si>
    <t>009470</t>
  </si>
  <si>
    <t>삼화전기</t>
  </si>
  <si>
    <t>011230</t>
  </si>
  <si>
    <t>삼화전자</t>
  </si>
  <si>
    <t>001820</t>
  </si>
  <si>
    <t>삼화콘덴서</t>
  </si>
  <si>
    <t>000390</t>
  </si>
  <si>
    <t>삼화페인트</t>
  </si>
  <si>
    <t>027580</t>
  </si>
  <si>
    <t>상보</t>
  </si>
  <si>
    <t>038540</t>
  </si>
  <si>
    <t>상상인</t>
  </si>
  <si>
    <t>101000</t>
  </si>
  <si>
    <t>상상인인더스트리</t>
  </si>
  <si>
    <t>041650</t>
  </si>
  <si>
    <t>상신브레이크</t>
  </si>
  <si>
    <t>091580</t>
  </si>
  <si>
    <t>상신이디피</t>
  </si>
  <si>
    <t>263810</t>
  </si>
  <si>
    <t>상신전자</t>
  </si>
  <si>
    <t>089980</t>
  </si>
  <si>
    <t>상아프론테크</t>
  </si>
  <si>
    <t>042940</t>
  </si>
  <si>
    <t>상지카일룸</t>
  </si>
  <si>
    <t>042600</t>
  </si>
  <si>
    <t>새로닉스</t>
  </si>
  <si>
    <t>075180</t>
  </si>
  <si>
    <t>새론오토모티브</t>
  </si>
  <si>
    <t>263540</t>
  </si>
  <si>
    <t>007540</t>
  </si>
  <si>
    <t>샘표</t>
  </si>
  <si>
    <t>248170</t>
  </si>
  <si>
    <t>샘표식품</t>
  </si>
  <si>
    <t>294630</t>
  </si>
  <si>
    <t>서남</t>
  </si>
  <si>
    <t>038070</t>
  </si>
  <si>
    <t>서린바이오</t>
  </si>
  <si>
    <t>006730</t>
  </si>
  <si>
    <t>서부T&amp;D</t>
  </si>
  <si>
    <t>079650</t>
  </si>
  <si>
    <t>서산</t>
  </si>
  <si>
    <t>100660</t>
  </si>
  <si>
    <t>서암기계공업</t>
  </si>
  <si>
    <t>007860</t>
  </si>
  <si>
    <t>서연</t>
  </si>
  <si>
    <t>200880</t>
  </si>
  <si>
    <t>서연이화</t>
  </si>
  <si>
    <t>019770</t>
  </si>
  <si>
    <t>서연탑메탈</t>
  </si>
  <si>
    <t>017390</t>
  </si>
  <si>
    <t>서울가스</t>
  </si>
  <si>
    <t>043710</t>
  </si>
  <si>
    <t>서울리거</t>
  </si>
  <si>
    <t>092190</t>
  </si>
  <si>
    <t>서울바이오시스</t>
  </si>
  <si>
    <t>046890</t>
  </si>
  <si>
    <t>서울반도체</t>
  </si>
  <si>
    <t>004410</t>
  </si>
  <si>
    <t>서울식품</t>
  </si>
  <si>
    <t>063170</t>
  </si>
  <si>
    <t>서울옥션</t>
  </si>
  <si>
    <t>027040</t>
  </si>
  <si>
    <t>서울전자통신</t>
  </si>
  <si>
    <t>018680</t>
  </si>
  <si>
    <t>서울제약</t>
  </si>
  <si>
    <t>021050</t>
  </si>
  <si>
    <t>서원</t>
  </si>
  <si>
    <t>093920</t>
  </si>
  <si>
    <t>서원인텍</t>
  </si>
  <si>
    <t>189860</t>
  </si>
  <si>
    <t>서전기전</t>
  </si>
  <si>
    <t>178320</t>
  </si>
  <si>
    <t>서진시스템</t>
  </si>
  <si>
    <t>122690</t>
  </si>
  <si>
    <t>서진오토모티브</t>
  </si>
  <si>
    <t>140070</t>
  </si>
  <si>
    <t>서플러스글로벌</t>
  </si>
  <si>
    <t>011370</t>
  </si>
  <si>
    <t>서한</t>
  </si>
  <si>
    <t>065710</t>
  </si>
  <si>
    <t>서호전기</t>
  </si>
  <si>
    <t>008490</t>
  </si>
  <si>
    <t>서흥</t>
  </si>
  <si>
    <t>035890</t>
  </si>
  <si>
    <t>서희건설</t>
  </si>
  <si>
    <t>003100</t>
  </si>
  <si>
    <t>선광</t>
  </si>
  <si>
    <t>123420</t>
  </si>
  <si>
    <t>007610</t>
  </si>
  <si>
    <t>선도전기</t>
  </si>
  <si>
    <t>067370</t>
  </si>
  <si>
    <t>선바이오</t>
  </si>
  <si>
    <t>171090</t>
  </si>
  <si>
    <t>선익시스템</t>
  </si>
  <si>
    <t>136490</t>
  </si>
  <si>
    <t>선진</t>
  </si>
  <si>
    <t>002820</t>
  </si>
  <si>
    <t>014620</t>
  </si>
  <si>
    <t>성광벤드</t>
  </si>
  <si>
    <t>037350</t>
  </si>
  <si>
    <t>성도이엔지</t>
  </si>
  <si>
    <t>014910</t>
  </si>
  <si>
    <t>성문전자</t>
  </si>
  <si>
    <t>003080</t>
  </si>
  <si>
    <t>성보화학</t>
  </si>
  <si>
    <t>004980</t>
  </si>
  <si>
    <t>성신양회</t>
  </si>
  <si>
    <t>011300</t>
  </si>
  <si>
    <t>성안</t>
  </si>
  <si>
    <t>081580</t>
  </si>
  <si>
    <t>성우전자</t>
  </si>
  <si>
    <t>045300</t>
  </si>
  <si>
    <t>성우테크론</t>
  </si>
  <si>
    <t>015750</t>
  </si>
  <si>
    <t>성우하이텍</t>
  </si>
  <si>
    <t>000180</t>
  </si>
  <si>
    <t>성창기업지주</t>
  </si>
  <si>
    <t>080470</t>
  </si>
  <si>
    <t>성창오토텍</t>
  </si>
  <si>
    <t>043260</t>
  </si>
  <si>
    <t>성호전자</t>
  </si>
  <si>
    <t>148150</t>
  </si>
  <si>
    <t>세경하이테크</t>
  </si>
  <si>
    <t>002420</t>
  </si>
  <si>
    <t>세기상사</t>
  </si>
  <si>
    <t>053060</t>
  </si>
  <si>
    <t>세동</t>
  </si>
  <si>
    <t>017510</t>
  </si>
  <si>
    <t>세명전기</t>
  </si>
  <si>
    <t>214310</t>
  </si>
  <si>
    <t>004360</t>
  </si>
  <si>
    <t>세방</t>
  </si>
  <si>
    <t>004490</t>
  </si>
  <si>
    <t>세방전지</t>
  </si>
  <si>
    <t>011560</t>
  </si>
  <si>
    <t>세보엠이씨</t>
  </si>
  <si>
    <t>001430</t>
  </si>
  <si>
    <t>306200</t>
  </si>
  <si>
    <t>세아제강</t>
  </si>
  <si>
    <t>003030</t>
  </si>
  <si>
    <t>세아제강지주</t>
  </si>
  <si>
    <t>019440</t>
  </si>
  <si>
    <t>세아특수강</t>
  </si>
  <si>
    <t>058650</t>
  </si>
  <si>
    <t>세아홀딩스</t>
  </si>
  <si>
    <t>013000</t>
  </si>
  <si>
    <t>세우글로벌</t>
  </si>
  <si>
    <t>100700</t>
  </si>
  <si>
    <t>세운메디칼</t>
  </si>
  <si>
    <t>234100</t>
  </si>
  <si>
    <t>세원</t>
  </si>
  <si>
    <t>024830</t>
  </si>
  <si>
    <t>세원물산</t>
  </si>
  <si>
    <t>091090</t>
  </si>
  <si>
    <t>021820</t>
  </si>
  <si>
    <t>세원정공</t>
  </si>
  <si>
    <t>067830</t>
  </si>
  <si>
    <t>세이브존I&amp;C</t>
  </si>
  <si>
    <t>033530</t>
  </si>
  <si>
    <t>세종공업</t>
  </si>
  <si>
    <t>258830</t>
  </si>
  <si>
    <t>세종메디칼</t>
  </si>
  <si>
    <t>036630</t>
  </si>
  <si>
    <t>세종텔레콤</t>
  </si>
  <si>
    <t>039310</t>
  </si>
  <si>
    <t>세중</t>
  </si>
  <si>
    <t>075580</t>
  </si>
  <si>
    <t>세진중공업</t>
  </si>
  <si>
    <t>067770</t>
  </si>
  <si>
    <t>세진티에스</t>
  </si>
  <si>
    <t>053450</t>
  </si>
  <si>
    <t>세코닉스</t>
  </si>
  <si>
    <t>234340</t>
  </si>
  <si>
    <t>027970</t>
  </si>
  <si>
    <t>세하</t>
  </si>
  <si>
    <t>145210</t>
  </si>
  <si>
    <t>252500</t>
  </si>
  <si>
    <t>세화피앤씨</t>
  </si>
  <si>
    <t>308170</t>
  </si>
  <si>
    <t>센트랄모텍</t>
  </si>
  <si>
    <t>051980</t>
  </si>
  <si>
    <t>049180</t>
  </si>
  <si>
    <t>셀루메드</t>
  </si>
  <si>
    <t>299660</t>
  </si>
  <si>
    <t>셀리드</t>
  </si>
  <si>
    <t>268600</t>
  </si>
  <si>
    <t>셀리버리</t>
  </si>
  <si>
    <t>108860</t>
  </si>
  <si>
    <t>셀바스AI</t>
  </si>
  <si>
    <t>208370</t>
  </si>
  <si>
    <t>셀바스헬스케어</t>
  </si>
  <si>
    <t>258250</t>
  </si>
  <si>
    <t>셀젠텍</t>
  </si>
  <si>
    <t>068270</t>
  </si>
  <si>
    <t>셀트리온</t>
  </si>
  <si>
    <t>068760</t>
  </si>
  <si>
    <t>셀트리온제약</t>
  </si>
  <si>
    <t>091990</t>
  </si>
  <si>
    <t>셀트리온헬스케어</t>
  </si>
  <si>
    <t>소리바다</t>
  </si>
  <si>
    <t>032680</t>
  </si>
  <si>
    <t>소프트센</t>
  </si>
  <si>
    <t>066910</t>
  </si>
  <si>
    <t>손오공</t>
  </si>
  <si>
    <t>043100</t>
  </si>
  <si>
    <t>솔고바이오</t>
  </si>
  <si>
    <t>154040</t>
  </si>
  <si>
    <t>솔루에타</t>
  </si>
  <si>
    <t>035610</t>
  </si>
  <si>
    <t>솔본</t>
  </si>
  <si>
    <t>036830</t>
  </si>
  <si>
    <t>솔브레인</t>
  </si>
  <si>
    <t>230980</t>
  </si>
  <si>
    <t>004430</t>
  </si>
  <si>
    <t>송원산업</t>
  </si>
  <si>
    <t>086980</t>
  </si>
  <si>
    <t>쇼박스</t>
  </si>
  <si>
    <t>050960</t>
  </si>
  <si>
    <t>수산아이앤티</t>
  </si>
  <si>
    <t>017550</t>
  </si>
  <si>
    <t>수산중공업</t>
  </si>
  <si>
    <t>084180</t>
  </si>
  <si>
    <t>253840</t>
  </si>
  <si>
    <t>수젠텍</t>
  </si>
  <si>
    <t>002200</t>
  </si>
  <si>
    <t>185190</t>
  </si>
  <si>
    <t>수프로</t>
  </si>
  <si>
    <t>058530</t>
  </si>
  <si>
    <t>236200</t>
  </si>
  <si>
    <t>슈프리마</t>
  </si>
  <si>
    <t>317770</t>
  </si>
  <si>
    <t>슈프리마아이디</t>
  </si>
  <si>
    <t>094840</t>
  </si>
  <si>
    <t>슈프리마에이치큐</t>
  </si>
  <si>
    <t>192440</t>
  </si>
  <si>
    <t>슈피겐코리아</t>
  </si>
  <si>
    <t>099440</t>
  </si>
  <si>
    <t>스맥</t>
  </si>
  <si>
    <t>053210</t>
  </si>
  <si>
    <t>스카이라이프</t>
  </si>
  <si>
    <t>033790</t>
  </si>
  <si>
    <t>스카이문스테크놀로지</t>
  </si>
  <si>
    <t>159910</t>
  </si>
  <si>
    <t>스킨앤스킨</t>
  </si>
  <si>
    <t>115570</t>
  </si>
  <si>
    <t>스타플렉스</t>
  </si>
  <si>
    <t>258540</t>
  </si>
  <si>
    <t>253450</t>
  </si>
  <si>
    <t>스튜디오드래곤</t>
  </si>
  <si>
    <t>013810</t>
  </si>
  <si>
    <t>스페코</t>
  </si>
  <si>
    <t>049830</t>
  </si>
  <si>
    <t>승일</t>
  </si>
  <si>
    <t>020710</t>
  </si>
  <si>
    <t>시공테크</t>
  </si>
  <si>
    <t>033170</t>
  </si>
  <si>
    <t>시그네틱스</t>
  </si>
  <si>
    <t>260870</t>
  </si>
  <si>
    <t>048870</t>
  </si>
  <si>
    <t>시너지이노베이션</t>
  </si>
  <si>
    <t>025320</t>
  </si>
  <si>
    <t>시노펙스</t>
  </si>
  <si>
    <t>134790</t>
  </si>
  <si>
    <t>시디즈</t>
  </si>
  <si>
    <t>269620</t>
  </si>
  <si>
    <t>시스웍</t>
  </si>
  <si>
    <t>131090</t>
  </si>
  <si>
    <t>시큐브</t>
  </si>
  <si>
    <t>232830</t>
  </si>
  <si>
    <t>시큐센</t>
  </si>
  <si>
    <t>016590</t>
  </si>
  <si>
    <t>신대양제지</t>
  </si>
  <si>
    <t>029530</t>
  </si>
  <si>
    <t>신도리코</t>
  </si>
  <si>
    <t>004970</t>
  </si>
  <si>
    <t>신라교역</t>
  </si>
  <si>
    <t>001000</t>
  </si>
  <si>
    <t>신라섬유</t>
  </si>
  <si>
    <t>025870</t>
  </si>
  <si>
    <t>신라에스지</t>
  </si>
  <si>
    <t>215600</t>
  </si>
  <si>
    <t>신라젠</t>
  </si>
  <si>
    <t>065350</t>
  </si>
  <si>
    <t>신성델타테크</t>
  </si>
  <si>
    <t>011930</t>
  </si>
  <si>
    <t>신성이엔지</t>
  </si>
  <si>
    <t>005390</t>
  </si>
  <si>
    <t>신성통상</t>
  </si>
  <si>
    <t>004170</t>
  </si>
  <si>
    <t>신세계</t>
  </si>
  <si>
    <t>035510</t>
  </si>
  <si>
    <t>신세계 I&amp;C</t>
  </si>
  <si>
    <t>034300</t>
  </si>
  <si>
    <t>신세계건설</t>
  </si>
  <si>
    <t>031430</t>
  </si>
  <si>
    <t>신세계인터내셔날</t>
  </si>
  <si>
    <t>031440</t>
  </si>
  <si>
    <t>신세계푸드</t>
  </si>
  <si>
    <t>006880</t>
  </si>
  <si>
    <t>신송홀딩스</t>
  </si>
  <si>
    <t>056000</t>
  </si>
  <si>
    <t>002800</t>
  </si>
  <si>
    <t>신신제약</t>
  </si>
  <si>
    <t>005800</t>
  </si>
  <si>
    <t>신영와코루</t>
  </si>
  <si>
    <t>009270</t>
  </si>
  <si>
    <t>신원</t>
  </si>
  <si>
    <t>017000</t>
  </si>
  <si>
    <t>신원종합개발</t>
  </si>
  <si>
    <t>002700</t>
  </si>
  <si>
    <t>012790</t>
  </si>
  <si>
    <t>신일제약</t>
  </si>
  <si>
    <t>138070</t>
  </si>
  <si>
    <t>신진에스엠</t>
  </si>
  <si>
    <t>226330</t>
  </si>
  <si>
    <t>신테카바이오</t>
  </si>
  <si>
    <t>019170</t>
  </si>
  <si>
    <t>신풍제약</t>
  </si>
  <si>
    <t>002870</t>
  </si>
  <si>
    <t>신한</t>
  </si>
  <si>
    <t>001770</t>
  </si>
  <si>
    <t>056700</t>
  </si>
  <si>
    <t>신화인터텍</t>
  </si>
  <si>
    <t>187270</t>
  </si>
  <si>
    <t>신화콘텍</t>
  </si>
  <si>
    <t>004080</t>
  </si>
  <si>
    <t>신흥</t>
  </si>
  <si>
    <t>243840</t>
  </si>
  <si>
    <t>신흥에스이씨</t>
  </si>
  <si>
    <t>108320</t>
  </si>
  <si>
    <t>222800</t>
  </si>
  <si>
    <t>심텍</t>
  </si>
  <si>
    <t>036710</t>
  </si>
  <si>
    <t>심텍홀딩스</t>
  </si>
  <si>
    <t>160980</t>
  </si>
  <si>
    <t>싸이맥스</t>
  </si>
  <si>
    <t>217330</t>
  </si>
  <si>
    <t>싸이토젠</t>
  </si>
  <si>
    <t>102280</t>
  </si>
  <si>
    <t>쌍방울</t>
  </si>
  <si>
    <t>003410</t>
  </si>
  <si>
    <t>010280</t>
  </si>
  <si>
    <t>쌍용정보통신</t>
  </si>
  <si>
    <t>003620</t>
  </si>
  <si>
    <t>쌍용차</t>
  </si>
  <si>
    <t>004770</t>
  </si>
  <si>
    <t>써니전자</t>
  </si>
  <si>
    <t>217320</t>
  </si>
  <si>
    <t>썬테크</t>
  </si>
  <si>
    <t>208640</t>
  </si>
  <si>
    <t>썸에이지</t>
  </si>
  <si>
    <t>222420</t>
  </si>
  <si>
    <t>쎄노텍</t>
  </si>
  <si>
    <t>037760</t>
  </si>
  <si>
    <t>쎄니트</t>
  </si>
  <si>
    <t>136510</t>
  </si>
  <si>
    <t>099320</t>
  </si>
  <si>
    <t>쎄트렉아이</t>
  </si>
  <si>
    <t>049960</t>
  </si>
  <si>
    <t>쎌바이오텍</t>
  </si>
  <si>
    <t>050890</t>
  </si>
  <si>
    <t>쏠리드</t>
  </si>
  <si>
    <t>066790</t>
  </si>
  <si>
    <t>씨씨에스</t>
  </si>
  <si>
    <t>222080</t>
  </si>
  <si>
    <t>씨아이에스</t>
  </si>
  <si>
    <t>004920</t>
  </si>
  <si>
    <t>씨아이테크</t>
  </si>
  <si>
    <t>236030</t>
  </si>
  <si>
    <t>씨알푸드</t>
  </si>
  <si>
    <t>103660</t>
  </si>
  <si>
    <t>씨앗</t>
  </si>
  <si>
    <t>245450</t>
  </si>
  <si>
    <t>씨앤에스링크</t>
  </si>
  <si>
    <t>264660</t>
  </si>
  <si>
    <t>씨앤지하이테크</t>
  </si>
  <si>
    <t>297090</t>
  </si>
  <si>
    <t>씨에스베어링</t>
  </si>
  <si>
    <t>112610</t>
  </si>
  <si>
    <t>씨에스윈드</t>
  </si>
  <si>
    <t>115530</t>
  </si>
  <si>
    <t>씨엔플러스</t>
  </si>
  <si>
    <t>씨엠에스에듀</t>
  </si>
  <si>
    <t>115480</t>
  </si>
  <si>
    <t>씨유메디칼</t>
  </si>
  <si>
    <t>189330</t>
  </si>
  <si>
    <t>씨이랩</t>
  </si>
  <si>
    <t>096530</t>
  </si>
  <si>
    <t>씨젠</t>
  </si>
  <si>
    <t>900120</t>
  </si>
  <si>
    <t>씨케이에이치</t>
  </si>
  <si>
    <t>101240</t>
  </si>
  <si>
    <t>씨큐브</t>
  </si>
  <si>
    <t>047920</t>
  </si>
  <si>
    <t>060590</t>
  </si>
  <si>
    <t>씨티씨바이오</t>
  </si>
  <si>
    <t>260930</t>
  </si>
  <si>
    <t>013990</t>
  </si>
  <si>
    <t>아가방컴퍼니</t>
  </si>
  <si>
    <t>123860</t>
  </si>
  <si>
    <t>아나패스</t>
  </si>
  <si>
    <t>025980</t>
  </si>
  <si>
    <t>아난티</t>
  </si>
  <si>
    <t>008700</t>
  </si>
  <si>
    <t>아남전자</t>
  </si>
  <si>
    <t>058220</t>
  </si>
  <si>
    <t>아리온</t>
  </si>
  <si>
    <t>125210</t>
  </si>
  <si>
    <t>아모그린텍</t>
  </si>
  <si>
    <t>002790</t>
  </si>
  <si>
    <t>아모레G</t>
  </si>
  <si>
    <t>090430</t>
  </si>
  <si>
    <t>아모레퍼시픽</t>
  </si>
  <si>
    <t>052710</t>
  </si>
  <si>
    <t>아모텍</t>
  </si>
  <si>
    <t>074430</t>
  </si>
  <si>
    <t>아미노로직스</t>
  </si>
  <si>
    <t>092040</t>
  </si>
  <si>
    <t>아미코젠</t>
  </si>
  <si>
    <t>083930</t>
  </si>
  <si>
    <t>아바코</t>
  </si>
  <si>
    <t>149950</t>
  </si>
  <si>
    <t>아바텍</t>
  </si>
  <si>
    <t>036010</t>
  </si>
  <si>
    <t>아비코전자</t>
  </si>
  <si>
    <t>002030</t>
  </si>
  <si>
    <t>아세아</t>
  </si>
  <si>
    <t>183190</t>
  </si>
  <si>
    <t>아세아시멘트</t>
  </si>
  <si>
    <t>002310</t>
  </si>
  <si>
    <t>아세아제지</t>
  </si>
  <si>
    <t>050860</t>
  </si>
  <si>
    <t>아세아텍</t>
  </si>
  <si>
    <t>246720</t>
  </si>
  <si>
    <t>아스타</t>
  </si>
  <si>
    <t>067390</t>
  </si>
  <si>
    <t>아스트</t>
  </si>
  <si>
    <t>127710</t>
  </si>
  <si>
    <t>아시아경제</t>
  </si>
  <si>
    <t>267850</t>
  </si>
  <si>
    <t>아시아나IDT</t>
  </si>
  <si>
    <t>020560</t>
  </si>
  <si>
    <t>아시아나항공</t>
  </si>
  <si>
    <t>154030</t>
  </si>
  <si>
    <t>아시아종묘</t>
  </si>
  <si>
    <t>227610</t>
  </si>
  <si>
    <t>아우딘퓨쳐스</t>
  </si>
  <si>
    <t>143160</t>
  </si>
  <si>
    <t>아이디스</t>
  </si>
  <si>
    <t>054800</t>
  </si>
  <si>
    <t>아이디스홀딩스</t>
  </si>
  <si>
    <t>122900</t>
  </si>
  <si>
    <t>아이마켓코리아</t>
  </si>
  <si>
    <t>725412</t>
  </si>
  <si>
    <t>아이비케이에스제5호기업인수목적</t>
  </si>
  <si>
    <t>099190</t>
  </si>
  <si>
    <t>아이센스</t>
  </si>
  <si>
    <t>289010</t>
  </si>
  <si>
    <t>아이스크림에듀</t>
  </si>
  <si>
    <t>214430</t>
  </si>
  <si>
    <t>아이쓰리시스템</t>
  </si>
  <si>
    <t>040910</t>
  </si>
  <si>
    <t>아이씨디</t>
  </si>
  <si>
    <t>068940</t>
  </si>
  <si>
    <t>052860</t>
  </si>
  <si>
    <t>아이앤씨</t>
  </si>
  <si>
    <t>010780</t>
  </si>
  <si>
    <t>아이에스동서</t>
  </si>
  <si>
    <t>069920</t>
  </si>
  <si>
    <t>아이에스이커머스</t>
  </si>
  <si>
    <t>038880</t>
  </si>
  <si>
    <t>아이에이</t>
  </si>
  <si>
    <t>123010</t>
  </si>
  <si>
    <t>101390</t>
  </si>
  <si>
    <t>아이엠</t>
  </si>
  <si>
    <t>아이엠텍</t>
  </si>
  <si>
    <t>078860</t>
  </si>
  <si>
    <t>아이오케이</t>
  </si>
  <si>
    <t>114810</t>
  </si>
  <si>
    <t>031310</t>
  </si>
  <si>
    <t>아이즈비전</t>
  </si>
  <si>
    <t>185490</t>
  </si>
  <si>
    <t>아이진</t>
  </si>
  <si>
    <t>059100</t>
  </si>
  <si>
    <t>아이컴포넌트</t>
  </si>
  <si>
    <t>149010</t>
  </si>
  <si>
    <t>아이케이세미콘</t>
  </si>
  <si>
    <t>175250</t>
  </si>
  <si>
    <t>아이큐어</t>
  </si>
  <si>
    <t>052460</t>
  </si>
  <si>
    <t>아이크래프트</t>
  </si>
  <si>
    <t>119830</t>
  </si>
  <si>
    <t>아이텍</t>
  </si>
  <si>
    <t>124500</t>
  </si>
  <si>
    <t>아이티센</t>
  </si>
  <si>
    <t>084850</t>
  </si>
  <si>
    <t>아이티엠반도체</t>
  </si>
  <si>
    <t>223220</t>
  </si>
  <si>
    <t>032080</t>
  </si>
  <si>
    <t>아즈텍WB</t>
  </si>
  <si>
    <t>013310</t>
  </si>
  <si>
    <t>아진산업</t>
  </si>
  <si>
    <t>059120</t>
  </si>
  <si>
    <t>아진엑스텍</t>
  </si>
  <si>
    <t>158430</t>
  </si>
  <si>
    <t>아톤</t>
  </si>
  <si>
    <t>149300</t>
  </si>
  <si>
    <t>아퓨어스</t>
  </si>
  <si>
    <t>067160</t>
  </si>
  <si>
    <t>아프리카TV</t>
  </si>
  <si>
    <t>001540</t>
  </si>
  <si>
    <t>안국약품</t>
  </si>
  <si>
    <t>053800</t>
  </si>
  <si>
    <t>안랩</t>
  </si>
  <si>
    <t>251280</t>
  </si>
  <si>
    <t>안지오랩</t>
  </si>
  <si>
    <t>065660</t>
  </si>
  <si>
    <t>안트로젠</t>
  </si>
  <si>
    <t>297570</t>
  </si>
  <si>
    <t>알로이스</t>
  </si>
  <si>
    <t>001780</t>
  </si>
  <si>
    <t>알루코</t>
  </si>
  <si>
    <t>260660</t>
  </si>
  <si>
    <t>알리코제약</t>
  </si>
  <si>
    <t>131370</t>
  </si>
  <si>
    <t>알서포트</t>
  </si>
  <si>
    <t>140670</t>
  </si>
  <si>
    <t>알에스오토메이션</t>
  </si>
  <si>
    <t>096610</t>
  </si>
  <si>
    <t>알에프세미</t>
  </si>
  <si>
    <t>061040</t>
  </si>
  <si>
    <t>알에프텍</t>
  </si>
  <si>
    <t>148250</t>
  </si>
  <si>
    <t>알엔투테크놀로지</t>
  </si>
  <si>
    <t>131100</t>
  </si>
  <si>
    <t>196170</t>
  </si>
  <si>
    <t>알테오젠</t>
  </si>
  <si>
    <t>123750</t>
  </si>
  <si>
    <t>알톤스포츠</t>
  </si>
  <si>
    <t>085810</t>
  </si>
  <si>
    <t>알티캐스트</t>
  </si>
  <si>
    <t>117670</t>
  </si>
  <si>
    <t>알파홀딩스</t>
  </si>
  <si>
    <t>293780</t>
  </si>
  <si>
    <t>압타바이오</t>
  </si>
  <si>
    <t>267810</t>
  </si>
  <si>
    <t>앙츠</t>
  </si>
  <si>
    <t>018250</t>
  </si>
  <si>
    <t>애경산업</t>
  </si>
  <si>
    <t>161000</t>
  </si>
  <si>
    <t>196300</t>
  </si>
  <si>
    <t>애니젠</t>
  </si>
  <si>
    <t>179530</t>
  </si>
  <si>
    <t>애드바이오텍</t>
  </si>
  <si>
    <t>205500</t>
  </si>
  <si>
    <t>액션스퀘어</t>
  </si>
  <si>
    <t>052790</t>
  </si>
  <si>
    <t>액토즈소프트</t>
  </si>
  <si>
    <t>131400</t>
  </si>
  <si>
    <t>290740</t>
  </si>
  <si>
    <t>액트로</t>
  </si>
  <si>
    <t>238090</t>
  </si>
  <si>
    <t>앤디포스</t>
  </si>
  <si>
    <t>092600</t>
  </si>
  <si>
    <t>앤씨앤</t>
  </si>
  <si>
    <t>266170</t>
  </si>
  <si>
    <t>174900</t>
  </si>
  <si>
    <t>앱클론</t>
  </si>
  <si>
    <t>255440</t>
  </si>
  <si>
    <t>야스</t>
  </si>
  <si>
    <t>030960</t>
  </si>
  <si>
    <t>양지사</t>
  </si>
  <si>
    <t>102120</t>
  </si>
  <si>
    <t>어보브반도체</t>
  </si>
  <si>
    <t>224810</t>
  </si>
  <si>
    <t>엄지하우스</t>
  </si>
  <si>
    <t>019990</t>
  </si>
  <si>
    <t>에너토크</t>
  </si>
  <si>
    <t>011090</t>
  </si>
  <si>
    <t>에넥스</t>
  </si>
  <si>
    <t>208890</t>
  </si>
  <si>
    <t>041440</t>
  </si>
  <si>
    <t>270660</t>
  </si>
  <si>
    <t>에브리봇</t>
  </si>
  <si>
    <t>038680</t>
  </si>
  <si>
    <t>에스넷</t>
  </si>
  <si>
    <t>217480</t>
  </si>
  <si>
    <t>에스디생명공학</t>
  </si>
  <si>
    <t>121890</t>
  </si>
  <si>
    <t>에스디시스템</t>
  </si>
  <si>
    <t>에스마크</t>
  </si>
  <si>
    <t>097780</t>
  </si>
  <si>
    <t>에스맥</t>
  </si>
  <si>
    <t>042110</t>
  </si>
  <si>
    <t>에스씨디</t>
  </si>
  <si>
    <t>065420</t>
  </si>
  <si>
    <t>에스아이리소스</t>
  </si>
  <si>
    <t>270210</t>
  </si>
  <si>
    <t>에스알바이오텍</t>
  </si>
  <si>
    <t>103230</t>
  </si>
  <si>
    <t>에스앤더블류</t>
  </si>
  <si>
    <t>260970</t>
  </si>
  <si>
    <t>에스앤디</t>
  </si>
  <si>
    <t>101490</t>
  </si>
  <si>
    <t>에스앤에스텍</t>
  </si>
  <si>
    <t>095910</t>
  </si>
  <si>
    <t>에스에너지</t>
  </si>
  <si>
    <t>275630</t>
  </si>
  <si>
    <t>에스에스알</t>
  </si>
  <si>
    <t>031330</t>
  </si>
  <si>
    <t>에스에이엠티</t>
  </si>
  <si>
    <t>에스에이티</t>
  </si>
  <si>
    <t>060540</t>
  </si>
  <si>
    <t>에스에프씨</t>
  </si>
  <si>
    <t>056190</t>
  </si>
  <si>
    <t>에스에프에이</t>
  </si>
  <si>
    <t>080000</t>
  </si>
  <si>
    <t>에스엔유</t>
  </si>
  <si>
    <t>160600</t>
  </si>
  <si>
    <t>086460</t>
  </si>
  <si>
    <t>005850</t>
  </si>
  <si>
    <t>에스엘</t>
  </si>
  <si>
    <t>246250</t>
  </si>
  <si>
    <t>에스엘에스바이오</t>
  </si>
  <si>
    <t>041510</t>
  </si>
  <si>
    <t>에스엠</t>
  </si>
  <si>
    <t>299670</t>
  </si>
  <si>
    <t>에스엠비나</t>
  </si>
  <si>
    <t>007820</t>
  </si>
  <si>
    <t>에스엠코어</t>
  </si>
  <si>
    <t>109610</t>
  </si>
  <si>
    <t>에스와이</t>
  </si>
  <si>
    <t>012750</t>
  </si>
  <si>
    <t>에스원</t>
  </si>
  <si>
    <t>306040</t>
  </si>
  <si>
    <t>에스제이그룹</t>
  </si>
  <si>
    <t>217910</t>
  </si>
  <si>
    <t>에스제이켐</t>
  </si>
  <si>
    <t>224020</t>
  </si>
  <si>
    <t>에스케이씨에스</t>
  </si>
  <si>
    <t>333335</t>
  </si>
  <si>
    <t>에스케이제3호기업인수목적주식회사</t>
  </si>
  <si>
    <t>096630</t>
  </si>
  <si>
    <t>에스코넥</t>
  </si>
  <si>
    <t>069510</t>
  </si>
  <si>
    <t>에스텍</t>
  </si>
  <si>
    <t>041910</t>
  </si>
  <si>
    <t>에스텍파마</t>
  </si>
  <si>
    <t>234300</t>
  </si>
  <si>
    <t>에스트래픽</t>
  </si>
  <si>
    <t>039440</t>
  </si>
  <si>
    <t>에스티아이</t>
  </si>
  <si>
    <t>098660</t>
  </si>
  <si>
    <t>에스티오</t>
  </si>
  <si>
    <t>052020</t>
  </si>
  <si>
    <t>에스티큐브</t>
  </si>
  <si>
    <t>237690</t>
  </si>
  <si>
    <t>에스티팜</t>
  </si>
  <si>
    <t>050760</t>
  </si>
  <si>
    <t>에스폴리텍</t>
  </si>
  <si>
    <t>288620</t>
  </si>
  <si>
    <t>에스퓨얼셀</t>
  </si>
  <si>
    <t>317830</t>
  </si>
  <si>
    <t>에스피시스템스</t>
  </si>
  <si>
    <t>058610</t>
  </si>
  <si>
    <t>에스피지</t>
  </si>
  <si>
    <t>043340</t>
  </si>
  <si>
    <t>에쎈테크</t>
  </si>
  <si>
    <t>023960</t>
  </si>
  <si>
    <t>에쓰씨엔지니어링</t>
  </si>
  <si>
    <t>298690</t>
  </si>
  <si>
    <t>에어부산</t>
  </si>
  <si>
    <t>054630</t>
  </si>
  <si>
    <t>에이디칩스</t>
  </si>
  <si>
    <t>200710</t>
  </si>
  <si>
    <t>에이디테크놀로지</t>
  </si>
  <si>
    <t>078520</t>
  </si>
  <si>
    <t>에이블씨엔씨</t>
  </si>
  <si>
    <t>298380</t>
  </si>
  <si>
    <t>에이비엘바이오</t>
  </si>
  <si>
    <t>203400</t>
  </si>
  <si>
    <t>에이비온</t>
  </si>
  <si>
    <t>195990</t>
  </si>
  <si>
    <t>에이비프로바이오</t>
  </si>
  <si>
    <t>003800</t>
  </si>
  <si>
    <t>에이스침대</t>
  </si>
  <si>
    <t>088800</t>
  </si>
  <si>
    <t>에이스테크</t>
  </si>
  <si>
    <t>241840</t>
  </si>
  <si>
    <t>에이스토리</t>
  </si>
  <si>
    <t>138360</t>
  </si>
  <si>
    <t>312610</t>
  </si>
  <si>
    <t>에이에프더블류</t>
  </si>
  <si>
    <t>015260</t>
  </si>
  <si>
    <t>에이엔피</t>
  </si>
  <si>
    <t>234070</t>
  </si>
  <si>
    <t>에이원알폼</t>
  </si>
  <si>
    <t>072990</t>
  </si>
  <si>
    <t>에이치시티</t>
  </si>
  <si>
    <t>044990</t>
  </si>
  <si>
    <t>에이치엔에스하이텍</t>
  </si>
  <si>
    <t>234567</t>
  </si>
  <si>
    <t>에이치엔티일렉트로닉스</t>
  </si>
  <si>
    <t>028300</t>
  </si>
  <si>
    <t>067630</t>
  </si>
  <si>
    <t>043220</t>
  </si>
  <si>
    <t>239610</t>
  </si>
  <si>
    <t>에이치엘사이언스</t>
  </si>
  <si>
    <t>044780</t>
  </si>
  <si>
    <t>에이치케이</t>
  </si>
  <si>
    <t>071670</t>
  </si>
  <si>
    <t>에이테크솔루션</t>
  </si>
  <si>
    <t>045660</t>
  </si>
  <si>
    <t>에이텍</t>
  </si>
  <si>
    <t>224110</t>
  </si>
  <si>
    <t>에이텍티앤</t>
  </si>
  <si>
    <t>089530</t>
  </si>
  <si>
    <t>에이티세미콘</t>
  </si>
  <si>
    <t>207490</t>
  </si>
  <si>
    <t>에이펙스인텍</t>
  </si>
  <si>
    <t>109960</t>
  </si>
  <si>
    <t>에이프로젠 H&amp;G</t>
  </si>
  <si>
    <t>007460</t>
  </si>
  <si>
    <t>003060</t>
  </si>
  <si>
    <t>089970</t>
  </si>
  <si>
    <t>에이피티씨</t>
  </si>
  <si>
    <t>230240</t>
  </si>
  <si>
    <t>에치에프알</t>
  </si>
  <si>
    <t>064510</t>
  </si>
  <si>
    <t>230360</t>
  </si>
  <si>
    <t>에코마케팅</t>
  </si>
  <si>
    <t>038870</t>
  </si>
  <si>
    <t>에코바이오</t>
  </si>
  <si>
    <t>128540</t>
  </si>
  <si>
    <t>에코캡</t>
  </si>
  <si>
    <t>086520</t>
  </si>
  <si>
    <t>에코프로</t>
  </si>
  <si>
    <t>247540</t>
  </si>
  <si>
    <t>에코프로비엠</t>
  </si>
  <si>
    <t>038110</t>
  </si>
  <si>
    <t>에코플라스틱</t>
  </si>
  <si>
    <t>073540</t>
  </si>
  <si>
    <t>에프알텍</t>
  </si>
  <si>
    <t>064850</t>
  </si>
  <si>
    <t>에프앤가이드</t>
  </si>
  <si>
    <t>064090</t>
  </si>
  <si>
    <t>에프앤리퍼블릭</t>
  </si>
  <si>
    <t>036810</t>
  </si>
  <si>
    <t>에프에스티</t>
  </si>
  <si>
    <t>173940</t>
  </si>
  <si>
    <t>에프엔씨엔터</t>
  </si>
  <si>
    <t>083500</t>
  </si>
  <si>
    <t>에프엔에스테크</t>
  </si>
  <si>
    <t>054940</t>
  </si>
  <si>
    <t>엑사이엔씨</t>
  </si>
  <si>
    <t>950130</t>
  </si>
  <si>
    <t>엑세스바이오</t>
  </si>
  <si>
    <t>205100</t>
  </si>
  <si>
    <t>엑셈</t>
  </si>
  <si>
    <t>092870</t>
  </si>
  <si>
    <t>엑시콘</t>
  </si>
  <si>
    <t>317870</t>
  </si>
  <si>
    <t>엔바이오니아</t>
  </si>
  <si>
    <t>067570</t>
  </si>
  <si>
    <t>엔브이에이치코리아</t>
  </si>
  <si>
    <t>140610</t>
  </si>
  <si>
    <t>엔솔바이오사이언스</t>
  </si>
  <si>
    <t>101400</t>
  </si>
  <si>
    <t>엔시트론</t>
  </si>
  <si>
    <t>036570</t>
  </si>
  <si>
    <t>엔씨소프트</t>
  </si>
  <si>
    <t>217820</t>
  </si>
  <si>
    <t>엔에스쇼핑</t>
  </si>
  <si>
    <t>031860</t>
  </si>
  <si>
    <t>엔에스엔</t>
  </si>
  <si>
    <t>238170</t>
  </si>
  <si>
    <t>엔에스엠</t>
  </si>
  <si>
    <t>224760</t>
  </si>
  <si>
    <t>엔에스컴퍼니</t>
  </si>
  <si>
    <t>265740</t>
  </si>
  <si>
    <t>엔에프씨</t>
  </si>
  <si>
    <t>093510</t>
  </si>
  <si>
    <t>엔지브이아이</t>
  </si>
  <si>
    <t>208860</t>
  </si>
  <si>
    <t>엔지스테크널러지</t>
  </si>
  <si>
    <t>183490</t>
  </si>
  <si>
    <t>엔지켐생명과학</t>
  </si>
  <si>
    <t>085310</t>
  </si>
  <si>
    <t>엔케이</t>
  </si>
  <si>
    <t>182400</t>
  </si>
  <si>
    <t>엔케이맥스</t>
  </si>
  <si>
    <t>009810</t>
  </si>
  <si>
    <t>206400</t>
  </si>
  <si>
    <t>069410</t>
  </si>
  <si>
    <t>엔텔스</t>
  </si>
  <si>
    <t>198080</t>
  </si>
  <si>
    <t>엔피디</t>
  </si>
  <si>
    <t>048830</t>
  </si>
  <si>
    <t>엔피케이</t>
  </si>
  <si>
    <t>096870</t>
  </si>
  <si>
    <t>엘디티</t>
  </si>
  <si>
    <t>276240</t>
  </si>
  <si>
    <t>엘리비젼</t>
  </si>
  <si>
    <t>900140</t>
  </si>
  <si>
    <t>엘브이엠씨홀딩스</t>
  </si>
  <si>
    <t>061970</t>
  </si>
  <si>
    <t>엘비세미콘</t>
  </si>
  <si>
    <t>138690</t>
  </si>
  <si>
    <t>엘아이에스</t>
  </si>
  <si>
    <t>290650</t>
  </si>
  <si>
    <t>엘앤씨바이오</t>
  </si>
  <si>
    <t>066970</t>
  </si>
  <si>
    <t>엘앤에프</t>
  </si>
  <si>
    <t>156100</t>
  </si>
  <si>
    <t>엘앤케이바이오</t>
  </si>
  <si>
    <t>311060</t>
  </si>
  <si>
    <t>엘에이티</t>
  </si>
  <si>
    <t>073110</t>
  </si>
  <si>
    <t>엘엠에스</t>
  </si>
  <si>
    <t>083310</t>
  </si>
  <si>
    <t>엘오티베큠</t>
  </si>
  <si>
    <t>037950</t>
  </si>
  <si>
    <t>엘컴텍</t>
  </si>
  <si>
    <t>170920</t>
  </si>
  <si>
    <t>엘티씨</t>
  </si>
  <si>
    <t>엘피케이로보틱스</t>
  </si>
  <si>
    <t>058630</t>
  </si>
  <si>
    <t>엠게임</t>
  </si>
  <si>
    <t>058970</t>
  </si>
  <si>
    <t>엠로</t>
  </si>
  <si>
    <t>097520</t>
  </si>
  <si>
    <t>엠씨넥스</t>
  </si>
  <si>
    <t>179290</t>
  </si>
  <si>
    <t>엠아이텍</t>
  </si>
  <si>
    <t>009780</t>
  </si>
  <si>
    <t>엠에스씨</t>
  </si>
  <si>
    <t>123040</t>
  </si>
  <si>
    <t>엠에스오토텍</t>
  </si>
  <si>
    <t>엠에프엠코리아</t>
  </si>
  <si>
    <t>032790</t>
  </si>
  <si>
    <t>033160</t>
  </si>
  <si>
    <t>엠케이전자</t>
  </si>
  <si>
    <t>259630</t>
  </si>
  <si>
    <t>엠플러스</t>
  </si>
  <si>
    <t>115960</t>
  </si>
  <si>
    <t>연우</t>
  </si>
  <si>
    <t>014440</t>
  </si>
  <si>
    <t>영보화학</t>
  </si>
  <si>
    <t>007530</t>
  </si>
  <si>
    <t>영신금속</t>
  </si>
  <si>
    <t>143540</t>
  </si>
  <si>
    <t>영우디에스피</t>
  </si>
  <si>
    <t>111770</t>
  </si>
  <si>
    <t>영원무역</t>
  </si>
  <si>
    <t>009970</t>
  </si>
  <si>
    <t>영원무역홀딩스</t>
  </si>
  <si>
    <t>036180</t>
  </si>
  <si>
    <t>003520</t>
  </si>
  <si>
    <t>영진약품</t>
  </si>
  <si>
    <t>000670</t>
  </si>
  <si>
    <t>영풍</t>
  </si>
  <si>
    <t>036560</t>
  </si>
  <si>
    <t>영풍정밀</t>
  </si>
  <si>
    <t>006740</t>
  </si>
  <si>
    <t>영풍제지</t>
  </si>
  <si>
    <t>012280</t>
  </si>
  <si>
    <t>영화금속</t>
  </si>
  <si>
    <t>265560</t>
  </si>
  <si>
    <t>영화테크</t>
  </si>
  <si>
    <t>012160</t>
  </si>
  <si>
    <t>036000</t>
  </si>
  <si>
    <t>예림당</t>
  </si>
  <si>
    <t>250930</t>
  </si>
  <si>
    <t>예선테크</t>
  </si>
  <si>
    <t>053280</t>
  </si>
  <si>
    <t>예스24</t>
  </si>
  <si>
    <t>015360</t>
  </si>
  <si>
    <t>예스코홀딩스</t>
  </si>
  <si>
    <t>122640</t>
  </si>
  <si>
    <t>예스티</t>
  </si>
  <si>
    <t>179720</t>
  </si>
  <si>
    <t>900300</t>
  </si>
  <si>
    <t>오가닉티코스메틱</t>
  </si>
  <si>
    <t>045060</t>
  </si>
  <si>
    <t>오공</t>
  </si>
  <si>
    <t>080520</t>
  </si>
  <si>
    <t>오디텍</t>
  </si>
  <si>
    <t>007310</t>
  </si>
  <si>
    <t>오뚜기</t>
  </si>
  <si>
    <t>039830</t>
  </si>
  <si>
    <t>오로라</t>
  </si>
  <si>
    <t>046120</t>
  </si>
  <si>
    <t>오르비텍</t>
  </si>
  <si>
    <t>014940</t>
  </si>
  <si>
    <t>오리엔탈정공</t>
  </si>
  <si>
    <t>002630</t>
  </si>
  <si>
    <t>오리엔트바이오</t>
  </si>
  <si>
    <t>065500</t>
  </si>
  <si>
    <t>오리엔트정공</t>
  </si>
  <si>
    <t>271560</t>
  </si>
  <si>
    <t>오리온</t>
  </si>
  <si>
    <t>001800</t>
  </si>
  <si>
    <t>오리온홀딩스</t>
  </si>
  <si>
    <t>010470</t>
  </si>
  <si>
    <t>오리콤</t>
  </si>
  <si>
    <t>053980</t>
  </si>
  <si>
    <t>오상자이엘</t>
  </si>
  <si>
    <t>052420</t>
  </si>
  <si>
    <t>오성첨단소재</t>
  </si>
  <si>
    <t>241790</t>
  </si>
  <si>
    <t>오션브릿지</t>
  </si>
  <si>
    <t>039200</t>
  </si>
  <si>
    <t>오스코텍</t>
  </si>
  <si>
    <t>226400</t>
  </si>
  <si>
    <t>오스테오닉</t>
  </si>
  <si>
    <t>031510</t>
  </si>
  <si>
    <t>오스템</t>
  </si>
  <si>
    <t>048260</t>
  </si>
  <si>
    <t>오스템임플란트</t>
  </si>
  <si>
    <t>138080</t>
  </si>
  <si>
    <t>오이솔루션</t>
  </si>
  <si>
    <t>080580</t>
  </si>
  <si>
    <t>오킨스전자</t>
  </si>
  <si>
    <t>067170</t>
  </si>
  <si>
    <t>오텍</t>
  </si>
  <si>
    <t>173130</t>
  </si>
  <si>
    <t>오파스넷</t>
  </si>
  <si>
    <t>049480</t>
  </si>
  <si>
    <t>오픈베이스</t>
  </si>
  <si>
    <t>244460</t>
  </si>
  <si>
    <t>올리패스</t>
  </si>
  <si>
    <t>226950</t>
  </si>
  <si>
    <t>올릭스</t>
  </si>
  <si>
    <t>057540</t>
  </si>
  <si>
    <t>옴니시스템</t>
  </si>
  <si>
    <t>057680</t>
  </si>
  <si>
    <t>082210</t>
  </si>
  <si>
    <t>옵트론텍</t>
  </si>
  <si>
    <t>109080</t>
  </si>
  <si>
    <t>옵티시스</t>
  </si>
  <si>
    <t>153710</t>
  </si>
  <si>
    <t>옵티팜</t>
  </si>
  <si>
    <t>052770</t>
  </si>
  <si>
    <t>122990</t>
  </si>
  <si>
    <t>와이솔</t>
  </si>
  <si>
    <t>232140</t>
  </si>
  <si>
    <t>와이아이케이</t>
  </si>
  <si>
    <t>067900</t>
  </si>
  <si>
    <t>와이엔텍</t>
  </si>
  <si>
    <t>155650</t>
  </si>
  <si>
    <t>와이엠씨</t>
  </si>
  <si>
    <t>251370</t>
  </si>
  <si>
    <t>와이엠티</t>
  </si>
  <si>
    <t>066430</t>
  </si>
  <si>
    <t>와이오엠</t>
  </si>
  <si>
    <t>193250</t>
  </si>
  <si>
    <t>와이제이엠게임즈</t>
  </si>
  <si>
    <t>019210</t>
  </si>
  <si>
    <t>와이지-원</t>
  </si>
  <si>
    <t>122870</t>
  </si>
  <si>
    <t>와이지엔터테인먼트</t>
  </si>
  <si>
    <t>079000</t>
  </si>
  <si>
    <t>와토스코리아</t>
  </si>
  <si>
    <t>070960</t>
  </si>
  <si>
    <t>용평리조트</t>
  </si>
  <si>
    <t>114630</t>
  </si>
  <si>
    <t>032820</t>
  </si>
  <si>
    <t>우리기술</t>
  </si>
  <si>
    <t>115440</t>
  </si>
  <si>
    <t>우리넷</t>
  </si>
  <si>
    <t>004720</t>
  </si>
  <si>
    <t>118000</t>
  </si>
  <si>
    <t>046970</t>
  </si>
  <si>
    <t>우리로</t>
  </si>
  <si>
    <t>082850</t>
  </si>
  <si>
    <t>우리바이오</t>
  </si>
  <si>
    <t>215360</t>
  </si>
  <si>
    <t>우리산업</t>
  </si>
  <si>
    <t>072470</t>
  </si>
  <si>
    <t>우리산업홀딩스</t>
  </si>
  <si>
    <t>073560</t>
  </si>
  <si>
    <t>우리손에프앤지</t>
  </si>
  <si>
    <t>153490</t>
  </si>
  <si>
    <t>우리이앤엘</t>
  </si>
  <si>
    <t>037400</t>
  </si>
  <si>
    <t>101170</t>
  </si>
  <si>
    <t>006980</t>
  </si>
  <si>
    <t>우성사료</t>
  </si>
  <si>
    <t>066590</t>
  </si>
  <si>
    <t>우수AMS</t>
  </si>
  <si>
    <t>017370</t>
  </si>
  <si>
    <t>우신시스템</t>
  </si>
  <si>
    <t>103840</t>
  </si>
  <si>
    <t>우양</t>
  </si>
  <si>
    <t>046940</t>
  </si>
  <si>
    <t>우원개발</t>
  </si>
  <si>
    <t>215380</t>
  </si>
  <si>
    <t>우정바이오</t>
  </si>
  <si>
    <t>065680</t>
  </si>
  <si>
    <t>우주일렉트로</t>
  </si>
  <si>
    <t>105840</t>
  </si>
  <si>
    <t>우진</t>
  </si>
  <si>
    <t>018620</t>
  </si>
  <si>
    <t>우진비앤지</t>
  </si>
  <si>
    <t>010400</t>
  </si>
  <si>
    <t>우진아이엔에스</t>
  </si>
  <si>
    <t>049800</t>
  </si>
  <si>
    <t>우진플라임</t>
  </si>
  <si>
    <t>016880</t>
  </si>
  <si>
    <t>웅진</t>
  </si>
  <si>
    <t>095720</t>
  </si>
  <si>
    <t>웅진씽크빅</t>
  </si>
  <si>
    <t>웅진에너지</t>
  </si>
  <si>
    <t>021240</t>
  </si>
  <si>
    <t>005820</t>
  </si>
  <si>
    <t>원림</t>
  </si>
  <si>
    <t>원바이오젠</t>
  </si>
  <si>
    <t>032940</t>
  </si>
  <si>
    <t>원익</t>
  </si>
  <si>
    <t>240810</t>
  </si>
  <si>
    <t>원익IPS</t>
  </si>
  <si>
    <t>074600</t>
  </si>
  <si>
    <t>원익QnC</t>
  </si>
  <si>
    <t>104830</t>
  </si>
  <si>
    <t>원익머트리얼즈</t>
  </si>
  <si>
    <t>014190</t>
  </si>
  <si>
    <t>원익큐브</t>
  </si>
  <si>
    <t>030530</t>
  </si>
  <si>
    <t>원익홀딩스</t>
  </si>
  <si>
    <t>012620</t>
  </si>
  <si>
    <t>원일특강</t>
  </si>
  <si>
    <t>원텍</t>
  </si>
  <si>
    <t>008370</t>
  </si>
  <si>
    <t>원풍</t>
  </si>
  <si>
    <t>008290</t>
  </si>
  <si>
    <t>원풍물산</t>
  </si>
  <si>
    <t>101160</t>
  </si>
  <si>
    <t>월덱스</t>
  </si>
  <si>
    <t>095270</t>
  </si>
  <si>
    <t>웨이브일렉트로</t>
  </si>
  <si>
    <t>010600</t>
  </si>
  <si>
    <t>웰바이오텍</t>
  </si>
  <si>
    <t>065950</t>
  </si>
  <si>
    <t>웰크론</t>
  </si>
  <si>
    <t>076080</t>
  </si>
  <si>
    <t>웰크론한텍</t>
  </si>
  <si>
    <t>196700</t>
  </si>
  <si>
    <t>웹스</t>
  </si>
  <si>
    <t>069080</t>
  </si>
  <si>
    <t>웹젠</t>
  </si>
  <si>
    <t>053580</t>
  </si>
  <si>
    <t>웹케시</t>
  </si>
  <si>
    <t>071460</t>
  </si>
  <si>
    <t>044340</t>
  </si>
  <si>
    <t>위닉스</t>
  </si>
  <si>
    <t>112040</t>
  </si>
  <si>
    <t>위메이드</t>
  </si>
  <si>
    <t>065370</t>
  </si>
  <si>
    <t>위세아이텍</t>
  </si>
  <si>
    <t>140660</t>
  </si>
  <si>
    <t>위월드</t>
  </si>
  <si>
    <t>038620</t>
  </si>
  <si>
    <t>위즈코프</t>
  </si>
  <si>
    <t>299900</t>
  </si>
  <si>
    <t>위지윅스튜디오</t>
  </si>
  <si>
    <t>036090</t>
  </si>
  <si>
    <t>위지트</t>
  </si>
  <si>
    <t>136540</t>
  </si>
  <si>
    <t>윈스</t>
  </si>
  <si>
    <t>097800</t>
  </si>
  <si>
    <t>윈팩</t>
  </si>
  <si>
    <t>192390</t>
  </si>
  <si>
    <t>윈하이텍</t>
  </si>
  <si>
    <t>313760</t>
  </si>
  <si>
    <t>윌링스</t>
  </si>
  <si>
    <t>008600</t>
  </si>
  <si>
    <t>윌비스</t>
  </si>
  <si>
    <t>900340</t>
  </si>
  <si>
    <t>윙입푸드</t>
  </si>
  <si>
    <t>033270</t>
  </si>
  <si>
    <t>유나이티드제약</t>
  </si>
  <si>
    <t>014830</t>
  </si>
  <si>
    <t>유니드</t>
  </si>
  <si>
    <t>215090</t>
  </si>
  <si>
    <t>036200</t>
  </si>
  <si>
    <t>유니셈</t>
  </si>
  <si>
    <t>018000</t>
  </si>
  <si>
    <t>유니슨</t>
  </si>
  <si>
    <t>000910</t>
  </si>
  <si>
    <t>유니온</t>
  </si>
  <si>
    <t>047400</t>
  </si>
  <si>
    <t>유니온머티리얼</t>
  </si>
  <si>
    <t>203450</t>
  </si>
  <si>
    <t>유니온커뮤니티</t>
  </si>
  <si>
    <t>011330</t>
  </si>
  <si>
    <t>유니켐</t>
  </si>
  <si>
    <t>077500</t>
  </si>
  <si>
    <t>유니퀘스트</t>
  </si>
  <si>
    <t>011320</t>
  </si>
  <si>
    <t>유니크</t>
  </si>
  <si>
    <t>086390</t>
  </si>
  <si>
    <t>유니테스트</t>
  </si>
  <si>
    <t>241690</t>
  </si>
  <si>
    <t>유니테크노</t>
  </si>
  <si>
    <t>142210</t>
  </si>
  <si>
    <t>유니트론텍</t>
  </si>
  <si>
    <t>121060</t>
  </si>
  <si>
    <t>유니포인트</t>
  </si>
  <si>
    <t>048430</t>
  </si>
  <si>
    <t>유라테크</t>
  </si>
  <si>
    <t>206650</t>
  </si>
  <si>
    <t>유바이오로직스</t>
  </si>
  <si>
    <t>089850</t>
  </si>
  <si>
    <t>유비벨록스</t>
  </si>
  <si>
    <t>084440</t>
  </si>
  <si>
    <t>유비온</t>
  </si>
  <si>
    <t>032620</t>
  </si>
  <si>
    <t>유비케어</t>
  </si>
  <si>
    <t>264450</t>
  </si>
  <si>
    <t>유비쿼스</t>
  </si>
  <si>
    <t>078070</t>
  </si>
  <si>
    <t>유비쿼스홀딩스</t>
  </si>
  <si>
    <t>002920</t>
  </si>
  <si>
    <t>유성기업</t>
  </si>
  <si>
    <t>024800</t>
  </si>
  <si>
    <t>유성티엔에스</t>
  </si>
  <si>
    <t>000700</t>
  </si>
  <si>
    <t>유수홀딩스</t>
  </si>
  <si>
    <t>054930</t>
  </si>
  <si>
    <t>유신</t>
  </si>
  <si>
    <t>069330</t>
  </si>
  <si>
    <t>유아이디</t>
  </si>
  <si>
    <t>049520</t>
  </si>
  <si>
    <t>유아이엘</t>
  </si>
  <si>
    <t>056090</t>
  </si>
  <si>
    <t>011690</t>
  </si>
  <si>
    <t>263770</t>
  </si>
  <si>
    <t>유에스티</t>
  </si>
  <si>
    <t>337840</t>
  </si>
  <si>
    <t>유엑스엔</t>
  </si>
  <si>
    <t>072130</t>
  </si>
  <si>
    <t>유엔젤</t>
  </si>
  <si>
    <t>000220</t>
  </si>
  <si>
    <t>유유제약</t>
  </si>
  <si>
    <t>023410</t>
  </si>
  <si>
    <t>유진기업</t>
  </si>
  <si>
    <t>056080</t>
  </si>
  <si>
    <t>유진로봇</t>
  </si>
  <si>
    <t>084370</t>
  </si>
  <si>
    <t>유진테크</t>
  </si>
  <si>
    <t>178780</t>
  </si>
  <si>
    <t>유테크</t>
  </si>
  <si>
    <t>221800</t>
  </si>
  <si>
    <t>유투바이오</t>
  </si>
  <si>
    <t>179900</t>
  </si>
  <si>
    <t>유티아이</t>
  </si>
  <si>
    <t>263050</t>
  </si>
  <si>
    <t>유틸렉스</t>
  </si>
  <si>
    <t>000100</t>
  </si>
  <si>
    <t>유한양행</t>
  </si>
  <si>
    <t>191410</t>
  </si>
  <si>
    <t>육일씨엔에쓰</t>
  </si>
  <si>
    <t>008730</t>
  </si>
  <si>
    <t>율촌화학</t>
  </si>
  <si>
    <t>072770</t>
  </si>
  <si>
    <t>율호</t>
  </si>
  <si>
    <t>008250</t>
  </si>
  <si>
    <t>이건산업</t>
  </si>
  <si>
    <t>039020</t>
  </si>
  <si>
    <t>이건홀딩스</t>
  </si>
  <si>
    <t>025820</t>
  </si>
  <si>
    <t>이구산업</t>
  </si>
  <si>
    <t>060230</t>
  </si>
  <si>
    <t>067920</t>
  </si>
  <si>
    <t>044960</t>
  </si>
  <si>
    <t>이글벳</t>
  </si>
  <si>
    <t>302430</t>
  </si>
  <si>
    <t>이노메트리</t>
  </si>
  <si>
    <t>279060</t>
  </si>
  <si>
    <t>이노벡스</t>
  </si>
  <si>
    <t>214320</t>
  </si>
  <si>
    <t>이노션</t>
  </si>
  <si>
    <t>073490</t>
  </si>
  <si>
    <t>이노와이어리스</t>
  </si>
  <si>
    <t>215790</t>
  </si>
  <si>
    <t>이노인스트루먼트</t>
  </si>
  <si>
    <t>246960</t>
  </si>
  <si>
    <t>이노테라피</t>
  </si>
  <si>
    <t>088390</t>
  </si>
  <si>
    <t>이녹스</t>
  </si>
  <si>
    <t>272290</t>
  </si>
  <si>
    <t>이녹스첨단소재</t>
  </si>
  <si>
    <t>053350</t>
  </si>
  <si>
    <t>이니텍</t>
  </si>
  <si>
    <t>258610</t>
  </si>
  <si>
    <t>336040</t>
  </si>
  <si>
    <t>041520</t>
  </si>
  <si>
    <t>이라이콤</t>
  </si>
  <si>
    <t>054210</t>
  </si>
  <si>
    <t>이랜텍</t>
  </si>
  <si>
    <t>065440</t>
  </si>
  <si>
    <t>이루온</t>
  </si>
  <si>
    <t>139480</t>
  </si>
  <si>
    <t>이마트</t>
  </si>
  <si>
    <t>이매진아시아</t>
  </si>
  <si>
    <t>115610</t>
  </si>
  <si>
    <t>이미지스</t>
  </si>
  <si>
    <t>208850</t>
  </si>
  <si>
    <t>이비테크</t>
  </si>
  <si>
    <t>080010</t>
  </si>
  <si>
    <t>이상네트웍스</t>
  </si>
  <si>
    <t>086890</t>
  </si>
  <si>
    <t>이수앱지스</t>
  </si>
  <si>
    <t>007660</t>
  </si>
  <si>
    <t>이수페타시스</t>
  </si>
  <si>
    <t>005950</t>
  </si>
  <si>
    <t>이수화학</t>
  </si>
  <si>
    <t>015020</t>
  </si>
  <si>
    <t>이스타코</t>
  </si>
  <si>
    <t>047560</t>
  </si>
  <si>
    <t>이스트소프트</t>
  </si>
  <si>
    <t>900110</t>
  </si>
  <si>
    <t>이스트아시아홀딩스</t>
  </si>
  <si>
    <t>067010</t>
  </si>
  <si>
    <t>이씨에스</t>
  </si>
  <si>
    <t>093230</t>
  </si>
  <si>
    <t>이아이디</t>
  </si>
  <si>
    <t>341310</t>
  </si>
  <si>
    <t>이앤에치</t>
  </si>
  <si>
    <t>223310</t>
  </si>
  <si>
    <t>226360</t>
  </si>
  <si>
    <t>101360</t>
  </si>
  <si>
    <t>102710</t>
  </si>
  <si>
    <t>이엔에프테크놀로지</t>
  </si>
  <si>
    <t>이엘케이</t>
  </si>
  <si>
    <t>063760</t>
  </si>
  <si>
    <t>이엘피</t>
  </si>
  <si>
    <t>123570</t>
  </si>
  <si>
    <t>이엠넷</t>
  </si>
  <si>
    <t>095190</t>
  </si>
  <si>
    <t>이엠코리아</t>
  </si>
  <si>
    <t>091120</t>
  </si>
  <si>
    <t>이엠텍</t>
  </si>
  <si>
    <t>232530</t>
  </si>
  <si>
    <t>이엠티</t>
  </si>
  <si>
    <t>102460</t>
  </si>
  <si>
    <t>이연제약</t>
  </si>
  <si>
    <t>039030</t>
  </si>
  <si>
    <t>이오테크닉스</t>
  </si>
  <si>
    <t>088290</t>
  </si>
  <si>
    <t>이원컴포텍</t>
  </si>
  <si>
    <t>084680</t>
  </si>
  <si>
    <t>이월드</t>
  </si>
  <si>
    <t>181340</t>
  </si>
  <si>
    <t>이즈미디어</t>
  </si>
  <si>
    <t>035810</t>
  </si>
  <si>
    <t>이지바이오</t>
  </si>
  <si>
    <t>090850</t>
  </si>
  <si>
    <t>099750</t>
  </si>
  <si>
    <t>이지케어텍</t>
  </si>
  <si>
    <t>071690</t>
  </si>
  <si>
    <t>이츠웰</t>
  </si>
  <si>
    <t>092130</t>
  </si>
  <si>
    <t>이크레더블</t>
  </si>
  <si>
    <t>016250</t>
  </si>
  <si>
    <t>096040</t>
  </si>
  <si>
    <t>이트론</t>
  </si>
  <si>
    <t>134060</t>
  </si>
  <si>
    <t>이퓨쳐</t>
  </si>
  <si>
    <t>001840</t>
  </si>
  <si>
    <t>이화공영</t>
  </si>
  <si>
    <t>000760</t>
  </si>
  <si>
    <t>이화산업</t>
  </si>
  <si>
    <t>024810</t>
  </si>
  <si>
    <t>이화전기</t>
  </si>
  <si>
    <t>014990</t>
  </si>
  <si>
    <t>인디에프</t>
  </si>
  <si>
    <t>041830</t>
  </si>
  <si>
    <t>인바디</t>
  </si>
  <si>
    <t>079950</t>
  </si>
  <si>
    <t>인베니아</t>
  </si>
  <si>
    <t>277410</t>
  </si>
  <si>
    <t>인산가</t>
  </si>
  <si>
    <t>060150</t>
  </si>
  <si>
    <t>인선이엔티</t>
  </si>
  <si>
    <t>033230</t>
  </si>
  <si>
    <t>인성정보</t>
  </si>
  <si>
    <t>006490</t>
  </si>
  <si>
    <t>인스코비</t>
  </si>
  <si>
    <t>037330</t>
  </si>
  <si>
    <t>인지디스플레</t>
  </si>
  <si>
    <t>023800</t>
  </si>
  <si>
    <t>인지컨트롤스</t>
  </si>
  <si>
    <t>034590</t>
  </si>
  <si>
    <t>인천도시가스</t>
  </si>
  <si>
    <t>211050</t>
  </si>
  <si>
    <t>인카금융서비스</t>
  </si>
  <si>
    <t>083640</t>
  </si>
  <si>
    <t>인콘</t>
  </si>
  <si>
    <t>216050</t>
  </si>
  <si>
    <t>인크로스</t>
  </si>
  <si>
    <t>049070</t>
  </si>
  <si>
    <t>인탑스</t>
  </si>
  <si>
    <t>119610</t>
  </si>
  <si>
    <t>인터로조</t>
  </si>
  <si>
    <t>017250</t>
  </si>
  <si>
    <t>인터엠</t>
  </si>
  <si>
    <t>129260</t>
  </si>
  <si>
    <t>인터지스</t>
  </si>
  <si>
    <t>035080</t>
  </si>
  <si>
    <t>051370</t>
  </si>
  <si>
    <t>인터플렉스</t>
  </si>
  <si>
    <t>064290</t>
  </si>
  <si>
    <t>인텍플러스</t>
  </si>
  <si>
    <t>189300</t>
  </si>
  <si>
    <t>인텔리안테크</t>
  </si>
  <si>
    <t>150840</t>
  </si>
  <si>
    <t>인트로메딕</t>
  </si>
  <si>
    <t>048530</t>
  </si>
  <si>
    <t>인트론바이오</t>
  </si>
  <si>
    <t>023810</t>
  </si>
  <si>
    <t>인팩</t>
  </si>
  <si>
    <t>175140</t>
  </si>
  <si>
    <t>인포마크</t>
  </si>
  <si>
    <t>115310</t>
  </si>
  <si>
    <t>인포바인</t>
  </si>
  <si>
    <t>039290</t>
  </si>
  <si>
    <t>인포뱅크</t>
  </si>
  <si>
    <t>041020</t>
  </si>
  <si>
    <t>071200</t>
  </si>
  <si>
    <t>인피니트헬스케어</t>
  </si>
  <si>
    <t>101930</t>
  </si>
  <si>
    <t>인화정공</t>
  </si>
  <si>
    <t>249420</t>
  </si>
  <si>
    <t>일동제약</t>
  </si>
  <si>
    <t>000230</t>
  </si>
  <si>
    <t>일동홀딩스</t>
  </si>
  <si>
    <t>013360</t>
  </si>
  <si>
    <t>일성건설</t>
  </si>
  <si>
    <t>003120</t>
  </si>
  <si>
    <t>일성신약</t>
  </si>
  <si>
    <t>068330</t>
  </si>
  <si>
    <t>일신바이오</t>
  </si>
  <si>
    <t>003200</t>
  </si>
  <si>
    <t>일신방직</t>
  </si>
  <si>
    <t>007110</t>
  </si>
  <si>
    <t>일신석재</t>
  </si>
  <si>
    <t>058450</t>
  </si>
  <si>
    <t>일야</t>
  </si>
  <si>
    <t>007570</t>
  </si>
  <si>
    <t>일양약품</t>
  </si>
  <si>
    <t>008500</t>
  </si>
  <si>
    <t>일정실업</t>
  </si>
  <si>
    <t>019540</t>
  </si>
  <si>
    <t>일지테크</t>
  </si>
  <si>
    <t>081000</t>
  </si>
  <si>
    <t>일진다이아</t>
  </si>
  <si>
    <t>020760</t>
  </si>
  <si>
    <t>일진디스플</t>
  </si>
  <si>
    <t>020150</t>
  </si>
  <si>
    <t>일진머티리얼즈</t>
  </si>
  <si>
    <t>103590</t>
  </si>
  <si>
    <t>일진전기</t>
  </si>
  <si>
    <t>094820</t>
  </si>
  <si>
    <t>일진파워</t>
  </si>
  <si>
    <t>015860</t>
  </si>
  <si>
    <t>일진홀딩스</t>
  </si>
  <si>
    <t>226320</t>
  </si>
  <si>
    <t>잇츠한불</t>
  </si>
  <si>
    <t>950140</t>
  </si>
  <si>
    <t>잉글우드랩</t>
  </si>
  <si>
    <t>049550</t>
  </si>
  <si>
    <t>잉크테크</t>
  </si>
  <si>
    <t>043910</t>
  </si>
  <si>
    <t>자연과환경</t>
  </si>
  <si>
    <t>234920</t>
  </si>
  <si>
    <t>자이글</t>
  </si>
  <si>
    <t>317400</t>
  </si>
  <si>
    <t>자이에스앤디</t>
  </si>
  <si>
    <t>033240</t>
  </si>
  <si>
    <t>자화전자</t>
  </si>
  <si>
    <t>174880</t>
  </si>
  <si>
    <t>장원테크</t>
  </si>
  <si>
    <t>049630</t>
  </si>
  <si>
    <t>재영솔루텍</t>
  </si>
  <si>
    <t>000950</t>
  </si>
  <si>
    <t>전방</t>
  </si>
  <si>
    <t>110020</t>
  </si>
  <si>
    <t>전진바이오팜</t>
  </si>
  <si>
    <t>065530</t>
  </si>
  <si>
    <t>208140</t>
  </si>
  <si>
    <t>정다운</t>
  </si>
  <si>
    <t>022220</t>
  </si>
  <si>
    <t>040420</t>
  </si>
  <si>
    <t>정상제이엘에스</t>
  </si>
  <si>
    <t>045510</t>
  </si>
  <si>
    <t>정원엔시스</t>
  </si>
  <si>
    <t>제낙스</t>
  </si>
  <si>
    <t>217190</t>
  </si>
  <si>
    <t>제너셈</t>
  </si>
  <si>
    <t>095700</t>
  </si>
  <si>
    <t>제넥신</t>
  </si>
  <si>
    <t>072520</t>
  </si>
  <si>
    <t>제넨바이오</t>
  </si>
  <si>
    <t>122310</t>
  </si>
  <si>
    <t>제노레이</t>
  </si>
  <si>
    <t>066830</t>
  </si>
  <si>
    <t>제노텍</t>
  </si>
  <si>
    <t>187420</t>
  </si>
  <si>
    <t>제노포커스</t>
  </si>
  <si>
    <t>225220</t>
  </si>
  <si>
    <t>제놀루션</t>
  </si>
  <si>
    <t>123330</t>
  </si>
  <si>
    <t>제닉</t>
  </si>
  <si>
    <t>159580</t>
  </si>
  <si>
    <t>제로투세븐</t>
  </si>
  <si>
    <t>147830</t>
  </si>
  <si>
    <t>제룡산업</t>
  </si>
  <si>
    <t>033100</t>
  </si>
  <si>
    <t>제룡전기</t>
  </si>
  <si>
    <t>079370</t>
  </si>
  <si>
    <t>제우스</t>
  </si>
  <si>
    <t>054950</t>
  </si>
  <si>
    <t>제이브이엠</t>
  </si>
  <si>
    <t>096690</t>
  </si>
  <si>
    <t>090470</t>
  </si>
  <si>
    <t>제이스텍</t>
  </si>
  <si>
    <t>137950</t>
  </si>
  <si>
    <t>제이씨케미칼</t>
  </si>
  <si>
    <t>033320</t>
  </si>
  <si>
    <t>제이씨현시스템</t>
  </si>
  <si>
    <t>204270</t>
  </si>
  <si>
    <t>제이앤티씨</t>
  </si>
  <si>
    <t>194370</t>
  </si>
  <si>
    <t>제이에스코퍼레이션</t>
  </si>
  <si>
    <t>026040</t>
  </si>
  <si>
    <t>제이에스티나</t>
  </si>
  <si>
    <t>126880</t>
  </si>
  <si>
    <t>제이엔케이히터</t>
  </si>
  <si>
    <t>322510</t>
  </si>
  <si>
    <t>033050</t>
  </si>
  <si>
    <t>제이엠아이</t>
  </si>
  <si>
    <t>094970</t>
  </si>
  <si>
    <t>제이엠티</t>
  </si>
  <si>
    <t>058420</t>
  </si>
  <si>
    <t>제이웨이</t>
  </si>
  <si>
    <t>025620</t>
  </si>
  <si>
    <t>제이준코스메틱</t>
  </si>
  <si>
    <t>036420</t>
  </si>
  <si>
    <t>089790</t>
  </si>
  <si>
    <t>제이티</t>
  </si>
  <si>
    <t>030000</t>
  </si>
  <si>
    <t>제일기획</t>
  </si>
  <si>
    <t>052670</t>
  </si>
  <si>
    <t>제일바이오</t>
  </si>
  <si>
    <t>271980</t>
  </si>
  <si>
    <t>제일약품</t>
  </si>
  <si>
    <t>001560</t>
  </si>
  <si>
    <t>제일연마</t>
  </si>
  <si>
    <t>023440</t>
  </si>
  <si>
    <t>038010</t>
  </si>
  <si>
    <t>제일테크노스</t>
  </si>
  <si>
    <t>002620</t>
  </si>
  <si>
    <t>제일파마홀딩스</t>
  </si>
  <si>
    <t>080220</t>
  </si>
  <si>
    <t>제주반도체</t>
  </si>
  <si>
    <t>089590</t>
  </si>
  <si>
    <t>제주항공</t>
  </si>
  <si>
    <t>216080</t>
  </si>
  <si>
    <t>제테마</t>
  </si>
  <si>
    <t>229000</t>
  </si>
  <si>
    <t>젠큐릭스</t>
  </si>
  <si>
    <t>082270</t>
  </si>
  <si>
    <t>젬백스</t>
  </si>
  <si>
    <t>041590</t>
  </si>
  <si>
    <t>044060</t>
  </si>
  <si>
    <t>조광ILI</t>
  </si>
  <si>
    <t>004910</t>
  </si>
  <si>
    <t>조광페인트</t>
  </si>
  <si>
    <t>004700</t>
  </si>
  <si>
    <t>조광피혁</t>
  </si>
  <si>
    <t>001550</t>
  </si>
  <si>
    <t>조비</t>
  </si>
  <si>
    <t>000480</t>
  </si>
  <si>
    <t>조선내화</t>
  </si>
  <si>
    <t>120030</t>
  </si>
  <si>
    <t>조선선재</t>
  </si>
  <si>
    <t>034940</t>
  </si>
  <si>
    <t>조아제약</t>
  </si>
  <si>
    <t>101730</t>
  </si>
  <si>
    <t>067000</t>
  </si>
  <si>
    <t>조이시티</t>
  </si>
  <si>
    <t>018470</t>
  </si>
  <si>
    <t>조일알미늄</t>
  </si>
  <si>
    <t>002600</t>
  </si>
  <si>
    <t>조흥</t>
  </si>
  <si>
    <t>185750</t>
  </si>
  <si>
    <t>종근당</t>
  </si>
  <si>
    <t>063160</t>
  </si>
  <si>
    <t>종근당바이오</t>
  </si>
  <si>
    <t>001630</t>
  </si>
  <si>
    <t>종근당홀딩스</t>
  </si>
  <si>
    <t>033340</t>
  </si>
  <si>
    <t>좋은사람들</t>
  </si>
  <si>
    <t>036930</t>
  </si>
  <si>
    <t>주성엔지니어링</t>
  </si>
  <si>
    <t>044380</t>
  </si>
  <si>
    <t>주연테크</t>
  </si>
  <si>
    <t>239340</t>
  </si>
  <si>
    <t>줌인터넷</t>
  </si>
  <si>
    <t>072020</t>
  </si>
  <si>
    <t>중앙백신</t>
  </si>
  <si>
    <t>000440</t>
  </si>
  <si>
    <t>중앙에너비스</t>
  </si>
  <si>
    <t>054180</t>
  </si>
  <si>
    <t>228760</t>
  </si>
  <si>
    <t>지노믹트리</t>
  </si>
  <si>
    <t>314130</t>
  </si>
  <si>
    <t>지놈앤컴퍼니</t>
  </si>
  <si>
    <t>013890</t>
  </si>
  <si>
    <t>지누스</t>
  </si>
  <si>
    <t>043610</t>
  </si>
  <si>
    <t>지니뮤직</t>
  </si>
  <si>
    <t>263860</t>
  </si>
  <si>
    <t>지니언스</t>
  </si>
  <si>
    <t>303030</t>
  </si>
  <si>
    <t>지니틱스</t>
  </si>
  <si>
    <t>208350</t>
  </si>
  <si>
    <t>지란지교시큐리티</t>
  </si>
  <si>
    <t>지스마트글로벌</t>
  </si>
  <si>
    <t>299480</t>
  </si>
  <si>
    <t>지앤이헬스케어</t>
  </si>
  <si>
    <t>051160</t>
  </si>
  <si>
    <t>지어소프트</t>
  </si>
  <si>
    <t>053050</t>
  </si>
  <si>
    <t>지에스이</t>
  </si>
  <si>
    <t>119850</t>
  </si>
  <si>
    <t>지엔씨에너지</t>
  </si>
  <si>
    <t>065060</t>
  </si>
  <si>
    <t>지엔코</t>
  </si>
  <si>
    <t>204840</t>
  </si>
  <si>
    <t>지엘팜텍</t>
  </si>
  <si>
    <t>013870</t>
  </si>
  <si>
    <t>지엠비코리아</t>
  </si>
  <si>
    <t>071320</t>
  </si>
  <si>
    <t>지역난방공사</t>
  </si>
  <si>
    <t>135160</t>
  </si>
  <si>
    <t>010580</t>
  </si>
  <si>
    <t>035000</t>
  </si>
  <si>
    <t>지투알</t>
  </si>
  <si>
    <t>115450</t>
  </si>
  <si>
    <t>219750</t>
  </si>
  <si>
    <t>지티지웰니스</t>
  </si>
  <si>
    <t>088790</t>
  </si>
  <si>
    <t>진도</t>
  </si>
  <si>
    <t>018120</t>
  </si>
  <si>
    <t>진로발효</t>
  </si>
  <si>
    <t>109820</t>
  </si>
  <si>
    <t>진매트릭스</t>
  </si>
  <si>
    <t>086060</t>
  </si>
  <si>
    <t>진바이오텍</t>
  </si>
  <si>
    <t>036890</t>
  </si>
  <si>
    <t>진성티이씨</t>
  </si>
  <si>
    <t>003780</t>
  </si>
  <si>
    <t>진양산업</t>
  </si>
  <si>
    <t>007370</t>
  </si>
  <si>
    <t>진양제약</t>
  </si>
  <si>
    <t>010640</t>
  </si>
  <si>
    <t>진양폴리</t>
  </si>
  <si>
    <t>100250</t>
  </si>
  <si>
    <t>진양홀딩스</t>
  </si>
  <si>
    <t>051630</t>
  </si>
  <si>
    <t>진양화학</t>
  </si>
  <si>
    <t>272450</t>
  </si>
  <si>
    <t>진에어</t>
  </si>
  <si>
    <t>011000</t>
  </si>
  <si>
    <t>진원생명과학</t>
  </si>
  <si>
    <t>250030</t>
  </si>
  <si>
    <t>진코스텍</t>
  </si>
  <si>
    <t>002780</t>
  </si>
  <si>
    <t>진흥기업</t>
  </si>
  <si>
    <t>233990</t>
  </si>
  <si>
    <t>질경이</t>
  </si>
  <si>
    <t>085660</t>
  </si>
  <si>
    <t>차바이오텍</t>
  </si>
  <si>
    <t>009310</t>
  </si>
  <si>
    <t>참엔지니어링</t>
  </si>
  <si>
    <t>094850</t>
  </si>
  <si>
    <t>참좋은여행</t>
  </si>
  <si>
    <t>004650</t>
  </si>
  <si>
    <t>창해에탄올</t>
  </si>
  <si>
    <t>311690</t>
  </si>
  <si>
    <t>278280</t>
  </si>
  <si>
    <t>천보</t>
  </si>
  <si>
    <t>000650</t>
  </si>
  <si>
    <t>천일고속</t>
  </si>
  <si>
    <t>140290</t>
  </si>
  <si>
    <t>청광건설</t>
  </si>
  <si>
    <t>096240</t>
  </si>
  <si>
    <t>013720</t>
  </si>
  <si>
    <t>012600</t>
  </si>
  <si>
    <t>066360</t>
  </si>
  <si>
    <t>체리부로</t>
  </si>
  <si>
    <t>033250</t>
  </si>
  <si>
    <t>체시스</t>
  </si>
  <si>
    <t>047820</t>
  </si>
  <si>
    <t>094360</t>
  </si>
  <si>
    <t>칩스앤미디어</t>
  </si>
  <si>
    <t>001140</t>
  </si>
  <si>
    <t>016920</t>
  </si>
  <si>
    <t>카스</t>
  </si>
  <si>
    <t>카이노스메드</t>
  </si>
  <si>
    <t>035720</t>
  </si>
  <si>
    <t>카카오</t>
  </si>
  <si>
    <t>042000</t>
  </si>
  <si>
    <t>카페24</t>
  </si>
  <si>
    <t>006380</t>
  </si>
  <si>
    <t>카프로</t>
  </si>
  <si>
    <t>317530</t>
  </si>
  <si>
    <t>캐리소프트</t>
  </si>
  <si>
    <t>071850</t>
  </si>
  <si>
    <t>캐스텍코리아</t>
  </si>
  <si>
    <t>180400</t>
  </si>
  <si>
    <t>050110</t>
  </si>
  <si>
    <t>캠시스</t>
  </si>
  <si>
    <t>109070</t>
  </si>
  <si>
    <t>컨버즈</t>
  </si>
  <si>
    <t>900310</t>
  </si>
  <si>
    <t>컬러레이</t>
  </si>
  <si>
    <t>078340</t>
  </si>
  <si>
    <t>컴투스</t>
  </si>
  <si>
    <t>263700</t>
  </si>
  <si>
    <t>케어랩스</t>
  </si>
  <si>
    <t>214370</t>
  </si>
  <si>
    <t>케어젠</t>
  </si>
  <si>
    <t>221980</t>
  </si>
  <si>
    <t>케이디켐</t>
  </si>
  <si>
    <t>001620</t>
  </si>
  <si>
    <t>케이비아이동국실업</t>
  </si>
  <si>
    <t>192250</t>
  </si>
  <si>
    <t>케이사인</t>
  </si>
  <si>
    <t>029460</t>
  </si>
  <si>
    <t>케이씨</t>
  </si>
  <si>
    <t>112190</t>
  </si>
  <si>
    <t>344820</t>
  </si>
  <si>
    <t>115500</t>
  </si>
  <si>
    <t>케이씨에스</t>
  </si>
  <si>
    <t>281820</t>
  </si>
  <si>
    <t>케이씨텍</t>
  </si>
  <si>
    <t>089150</t>
  </si>
  <si>
    <t>케이씨티</t>
  </si>
  <si>
    <t>025880</t>
  </si>
  <si>
    <t>케이씨피드</t>
  </si>
  <si>
    <t>093320</t>
  </si>
  <si>
    <t>케이아이엔엑스</t>
  </si>
  <si>
    <t>060900</t>
  </si>
  <si>
    <t>073010</t>
  </si>
  <si>
    <t>케이에스피</t>
  </si>
  <si>
    <t>105330</t>
  </si>
  <si>
    <t>케이엔더블유</t>
  </si>
  <si>
    <t>272110</t>
  </si>
  <si>
    <t>케이엔제이</t>
  </si>
  <si>
    <t>039420</t>
  </si>
  <si>
    <t>케이엘넷</t>
  </si>
  <si>
    <t>083550</t>
  </si>
  <si>
    <t>케이엠</t>
  </si>
  <si>
    <t>032500</t>
  </si>
  <si>
    <t>케이엠더블유</t>
  </si>
  <si>
    <t>225430</t>
  </si>
  <si>
    <t>케이엠제약</t>
  </si>
  <si>
    <t>064820</t>
  </si>
  <si>
    <t>케이프</t>
  </si>
  <si>
    <t>256940</t>
  </si>
  <si>
    <t>케이피에스</t>
  </si>
  <si>
    <t>024880</t>
  </si>
  <si>
    <t>케이피에프</t>
  </si>
  <si>
    <t>042040</t>
  </si>
  <si>
    <t>케이피엠테크</t>
  </si>
  <si>
    <t>054410</t>
  </si>
  <si>
    <t>케이피티유</t>
  </si>
  <si>
    <t>274090</t>
  </si>
  <si>
    <t>켄코아에어로스페이스</t>
  </si>
  <si>
    <t>089010</t>
  </si>
  <si>
    <t>켐트로닉스</t>
  </si>
  <si>
    <t>220260</t>
  </si>
  <si>
    <t>켐트로스</t>
  </si>
  <si>
    <t>052400</t>
  </si>
  <si>
    <t>코나아이</t>
  </si>
  <si>
    <t>094860</t>
  </si>
  <si>
    <t>046070</t>
  </si>
  <si>
    <t>코다코</t>
  </si>
  <si>
    <t>047770</t>
  </si>
  <si>
    <t>코데즈컴바인</t>
  </si>
  <si>
    <t>078940</t>
  </si>
  <si>
    <t>코드네이처</t>
  </si>
  <si>
    <t>080530</t>
  </si>
  <si>
    <t>코디</t>
  </si>
  <si>
    <t>224060</t>
  </si>
  <si>
    <t>078650</t>
  </si>
  <si>
    <t>104540</t>
  </si>
  <si>
    <t>코렌텍</t>
  </si>
  <si>
    <t>027050</t>
  </si>
  <si>
    <t>코리아나</t>
  </si>
  <si>
    <t>007810</t>
  </si>
  <si>
    <t>코리아써키트</t>
  </si>
  <si>
    <t>101670</t>
  </si>
  <si>
    <t>123410</t>
  </si>
  <si>
    <t>코리아에프티</t>
  </si>
  <si>
    <t>036690</t>
  </si>
  <si>
    <t>코맥스</t>
  </si>
  <si>
    <t>049430</t>
  </si>
  <si>
    <t>코메론</t>
  </si>
  <si>
    <t>183300</t>
  </si>
  <si>
    <t>코미코</t>
  </si>
  <si>
    <t>041960</t>
  </si>
  <si>
    <t>코미팜</t>
  </si>
  <si>
    <t>089890</t>
  </si>
  <si>
    <t>코세스</t>
  </si>
  <si>
    <t>009730</t>
  </si>
  <si>
    <t>코센</t>
  </si>
  <si>
    <t>189350</t>
  </si>
  <si>
    <t>코셋</t>
  </si>
  <si>
    <t>192820</t>
  </si>
  <si>
    <t>코스맥스</t>
  </si>
  <si>
    <t>044820</t>
  </si>
  <si>
    <t>코스맥스비티아이</t>
  </si>
  <si>
    <t>222040</t>
  </si>
  <si>
    <t>코스맥스엔비티</t>
  </si>
  <si>
    <t>241710</t>
  </si>
  <si>
    <t>코스메카코리아</t>
  </si>
  <si>
    <t>005070</t>
  </si>
  <si>
    <t>코스모신소재</t>
  </si>
  <si>
    <t>005420</t>
  </si>
  <si>
    <t>코스모화학</t>
  </si>
  <si>
    <t>069110</t>
  </si>
  <si>
    <t>코스온</t>
  </si>
  <si>
    <t>071950</t>
  </si>
  <si>
    <t>코아스</t>
  </si>
  <si>
    <t>166480</t>
  </si>
  <si>
    <t>045970</t>
  </si>
  <si>
    <t>코아시아</t>
  </si>
  <si>
    <t>029960</t>
  </si>
  <si>
    <t>코엔텍</t>
  </si>
  <si>
    <t>002020</t>
  </si>
  <si>
    <t>코오롱</t>
  </si>
  <si>
    <t>003070</t>
  </si>
  <si>
    <t>코오롱글로벌</t>
  </si>
  <si>
    <t>코오롱머티리얼</t>
  </si>
  <si>
    <t>102940</t>
  </si>
  <si>
    <t>코오롱생명과학</t>
  </si>
  <si>
    <t>120110</t>
  </si>
  <si>
    <t>코오롱인더</t>
  </si>
  <si>
    <t>950160</t>
  </si>
  <si>
    <t>코오롱티슈진</t>
  </si>
  <si>
    <t>138490</t>
  </si>
  <si>
    <t>코오롱플라스틱</t>
  </si>
  <si>
    <t>033290</t>
  </si>
  <si>
    <t>코웰패션</t>
  </si>
  <si>
    <t>056360</t>
  </si>
  <si>
    <t>코위버</t>
  </si>
  <si>
    <t>282880</t>
  </si>
  <si>
    <t>코윈테크</t>
  </si>
  <si>
    <t>121850</t>
  </si>
  <si>
    <t>코이즈</t>
  </si>
  <si>
    <t>015710</t>
  </si>
  <si>
    <t>코콤</t>
  </si>
  <si>
    <t>052330</t>
  </si>
  <si>
    <t>코텍</t>
  </si>
  <si>
    <t>126600</t>
  </si>
  <si>
    <t>200130</t>
  </si>
  <si>
    <t>콜마비앤에이치</t>
  </si>
  <si>
    <t>031820</t>
  </si>
  <si>
    <t>콤텍시스템</t>
  </si>
  <si>
    <t>192400</t>
  </si>
  <si>
    <t>쿠쿠홀딩스</t>
  </si>
  <si>
    <t>284740</t>
  </si>
  <si>
    <t>쿠쿠홈시스</t>
  </si>
  <si>
    <t>060280</t>
  </si>
  <si>
    <t>큐렉소</t>
  </si>
  <si>
    <t>015590</t>
  </si>
  <si>
    <t>큐로</t>
  </si>
  <si>
    <t>040350</t>
  </si>
  <si>
    <t>큐로컴</t>
  </si>
  <si>
    <t>051780</t>
  </si>
  <si>
    <t>큐로홀딩스</t>
  </si>
  <si>
    <t>115180</t>
  </si>
  <si>
    <t>큐리언트</t>
  </si>
  <si>
    <t>043090</t>
  </si>
  <si>
    <t>182360</t>
  </si>
  <si>
    <t>큐브엔터</t>
  </si>
  <si>
    <t>066310</t>
  </si>
  <si>
    <t>큐에스아이</t>
  </si>
  <si>
    <t>136660</t>
  </si>
  <si>
    <t>큐엠씨</t>
  </si>
  <si>
    <t>264900</t>
  </si>
  <si>
    <t>크라운제과</t>
  </si>
  <si>
    <t>005740</t>
  </si>
  <si>
    <t>크라운해태홀딩스</t>
  </si>
  <si>
    <t>215570</t>
  </si>
  <si>
    <t>크로넥스</t>
  </si>
  <si>
    <t>043590</t>
  </si>
  <si>
    <t>크로바하이텍</t>
  </si>
  <si>
    <t>114120</t>
  </si>
  <si>
    <t>크루셜텍</t>
  </si>
  <si>
    <t>110790</t>
  </si>
  <si>
    <t>크리스에프앤씨</t>
  </si>
  <si>
    <t>083790</t>
  </si>
  <si>
    <t>900250</t>
  </si>
  <si>
    <t>크리스탈신소재</t>
  </si>
  <si>
    <t>045520</t>
  </si>
  <si>
    <t>크린앤사이언스</t>
  </si>
  <si>
    <t>214150</t>
  </si>
  <si>
    <t>클래시스</t>
  </si>
  <si>
    <t>237880</t>
  </si>
  <si>
    <t>클리오</t>
  </si>
  <si>
    <t>139670</t>
  </si>
  <si>
    <t>키네마스터</t>
  </si>
  <si>
    <t>020120</t>
  </si>
  <si>
    <t>키다리스튜디오</t>
  </si>
  <si>
    <t>012170</t>
  </si>
  <si>
    <t>054780</t>
  </si>
  <si>
    <t>키이스트</t>
  </si>
  <si>
    <t>219130</t>
  </si>
  <si>
    <t>타이거일렉</t>
  </si>
  <si>
    <t>180060</t>
  </si>
  <si>
    <t>탑선</t>
  </si>
  <si>
    <t>065130</t>
  </si>
  <si>
    <t>탑엔지니어링</t>
  </si>
  <si>
    <t>015890</t>
  </si>
  <si>
    <t>태경산업</t>
  </si>
  <si>
    <t>006890</t>
  </si>
  <si>
    <t>023160</t>
  </si>
  <si>
    <t>태광</t>
  </si>
  <si>
    <t>003240</t>
  </si>
  <si>
    <t>태광산업</t>
  </si>
  <si>
    <t>011280</t>
  </si>
  <si>
    <t>태림포장</t>
  </si>
  <si>
    <t>053620</t>
  </si>
  <si>
    <t>태양</t>
  </si>
  <si>
    <t>004100</t>
  </si>
  <si>
    <t>태양금속</t>
  </si>
  <si>
    <t>116100</t>
  </si>
  <si>
    <t>태양기계</t>
  </si>
  <si>
    <t>009410</t>
  </si>
  <si>
    <t>태영건설</t>
  </si>
  <si>
    <t>044490</t>
  </si>
  <si>
    <t>태웅</t>
  </si>
  <si>
    <t>124560</t>
  </si>
  <si>
    <t>태웅로직스</t>
  </si>
  <si>
    <t>001420</t>
  </si>
  <si>
    <t>태원물산</t>
  </si>
  <si>
    <t>114250</t>
  </si>
  <si>
    <t>태진인터내셔날</t>
  </si>
  <si>
    <t>007980</t>
  </si>
  <si>
    <t>태평양물산</t>
  </si>
  <si>
    <t>191420</t>
  </si>
  <si>
    <t>테고사이언스</t>
  </si>
  <si>
    <t>066700</t>
  </si>
  <si>
    <t>테라젠이텍스</t>
  </si>
  <si>
    <t>095610</t>
  </si>
  <si>
    <t>테스</t>
  </si>
  <si>
    <t>131970</t>
  </si>
  <si>
    <t>055490</t>
  </si>
  <si>
    <t>테이팩스</t>
  </si>
  <si>
    <t>308700</t>
  </si>
  <si>
    <t>테크엔</t>
  </si>
  <si>
    <t>089030</t>
  </si>
  <si>
    <t>테크윙</t>
  </si>
  <si>
    <t>258050</t>
  </si>
  <si>
    <t>테크트랜스</t>
  </si>
  <si>
    <t>054450</t>
  </si>
  <si>
    <t>텔레칩스</t>
  </si>
  <si>
    <t>091440</t>
  </si>
  <si>
    <t>텔레필드</t>
  </si>
  <si>
    <t>078000</t>
  </si>
  <si>
    <t>텔코웨어</t>
  </si>
  <si>
    <t>200230</t>
  </si>
  <si>
    <t>텔콘RF제약</t>
  </si>
  <si>
    <t>214420</t>
  </si>
  <si>
    <t>토니모리</t>
  </si>
  <si>
    <t>215480</t>
  </si>
  <si>
    <t>토박스코리아</t>
  </si>
  <si>
    <t>051360</t>
  </si>
  <si>
    <t>토비스</t>
  </si>
  <si>
    <t>045340</t>
  </si>
  <si>
    <t>토탈소프트</t>
  </si>
  <si>
    <t>108230</t>
  </si>
  <si>
    <t>톱텍</t>
  </si>
  <si>
    <t>079970</t>
  </si>
  <si>
    <t>투비소프트</t>
  </si>
  <si>
    <t>199800</t>
  </si>
  <si>
    <t>툴젠</t>
  </si>
  <si>
    <t>105550</t>
  </si>
  <si>
    <t>트루윈</t>
  </si>
  <si>
    <t>026150</t>
  </si>
  <si>
    <t>특수건설</t>
  </si>
  <si>
    <t>322180</t>
  </si>
  <si>
    <t>티라유텍</t>
  </si>
  <si>
    <t>117730</t>
  </si>
  <si>
    <t>티로보틱스</t>
  </si>
  <si>
    <t>033830</t>
  </si>
  <si>
    <t>티비씨</t>
  </si>
  <si>
    <t>064760</t>
  </si>
  <si>
    <t>티씨케이</t>
  </si>
  <si>
    <t>246710</t>
  </si>
  <si>
    <t>티앤알바이오팹</t>
  </si>
  <si>
    <t>277880</t>
  </si>
  <si>
    <t>티에스아이</t>
  </si>
  <si>
    <t>131290</t>
  </si>
  <si>
    <t>티에스이</t>
  </si>
  <si>
    <t>019180</t>
  </si>
  <si>
    <t>티에이치엔</t>
  </si>
  <si>
    <t>062860</t>
  </si>
  <si>
    <t>티엘아이</t>
  </si>
  <si>
    <t>321550</t>
  </si>
  <si>
    <t>티움바이오</t>
  </si>
  <si>
    <t>091810</t>
  </si>
  <si>
    <t>티웨이항공</t>
  </si>
  <si>
    <t>004870</t>
  </si>
  <si>
    <t>티웨이홀딩스</t>
  </si>
  <si>
    <t>191600</t>
  </si>
  <si>
    <t>104480</t>
  </si>
  <si>
    <t>티케이케미칼</t>
  </si>
  <si>
    <t>081150</t>
  </si>
  <si>
    <t>티플랙스</t>
  </si>
  <si>
    <t>130740</t>
  </si>
  <si>
    <t>티피씨글로벌</t>
  </si>
  <si>
    <t>217880</t>
  </si>
  <si>
    <t>틸론</t>
  </si>
  <si>
    <t>084730</t>
  </si>
  <si>
    <t>팅크웨어</t>
  </si>
  <si>
    <t>046210</t>
  </si>
  <si>
    <t>파나진</t>
  </si>
  <si>
    <t>034230</t>
  </si>
  <si>
    <t>파라다이스</t>
  </si>
  <si>
    <t>033540</t>
  </si>
  <si>
    <t>파라텍</t>
  </si>
  <si>
    <t>043200</t>
  </si>
  <si>
    <t>파루</t>
  </si>
  <si>
    <t>217950</t>
  </si>
  <si>
    <t>파마리서치바이오</t>
  </si>
  <si>
    <t>214450</t>
  </si>
  <si>
    <t>208340</t>
  </si>
  <si>
    <t>파멥신</t>
  </si>
  <si>
    <t>005690</t>
  </si>
  <si>
    <t>파미셀</t>
  </si>
  <si>
    <t>177830</t>
  </si>
  <si>
    <t>파버나인</t>
  </si>
  <si>
    <t>037070</t>
  </si>
  <si>
    <t>파세코</t>
  </si>
  <si>
    <t>150900</t>
  </si>
  <si>
    <t>037030</t>
  </si>
  <si>
    <t>파워넷</t>
  </si>
  <si>
    <t>047310</t>
  </si>
  <si>
    <t>파워로직스</t>
  </si>
  <si>
    <t>266870</t>
  </si>
  <si>
    <t>파워풀엑스</t>
  </si>
  <si>
    <t>170790</t>
  </si>
  <si>
    <t>파이오링크</t>
  </si>
  <si>
    <t>049120</t>
  </si>
  <si>
    <t>파인디앤씨</t>
  </si>
  <si>
    <t>038950</t>
  </si>
  <si>
    <t>파인디지털</t>
  </si>
  <si>
    <t>278990</t>
  </si>
  <si>
    <t>106240</t>
  </si>
  <si>
    <t>파인테크닉스</t>
  </si>
  <si>
    <t>131760</t>
  </si>
  <si>
    <t>파인텍</t>
  </si>
  <si>
    <t>065690</t>
  </si>
  <si>
    <t>파커스</t>
  </si>
  <si>
    <t>140860</t>
  </si>
  <si>
    <t>파크시스템스</t>
  </si>
  <si>
    <t>091700</t>
  </si>
  <si>
    <t>파트론</t>
  </si>
  <si>
    <t>팍스넷</t>
  </si>
  <si>
    <t>202960</t>
  </si>
  <si>
    <t>판도라티비</t>
  </si>
  <si>
    <t>032800</t>
  </si>
  <si>
    <t>판타지오</t>
  </si>
  <si>
    <t>318010</t>
  </si>
  <si>
    <t>팜스빌</t>
  </si>
  <si>
    <t>036580</t>
  </si>
  <si>
    <t>팜스코</t>
  </si>
  <si>
    <t>027710</t>
  </si>
  <si>
    <t>팜스토리</t>
  </si>
  <si>
    <t>225590</t>
  </si>
  <si>
    <t>패션플랫폼</t>
  </si>
  <si>
    <t>054300</t>
  </si>
  <si>
    <t>팬스타엔터프라이즈</t>
  </si>
  <si>
    <t>068050</t>
  </si>
  <si>
    <t>팬엔터테인먼트</t>
  </si>
  <si>
    <t>028670</t>
  </si>
  <si>
    <t>팬오션</t>
  </si>
  <si>
    <t>222110</t>
  </si>
  <si>
    <t>팬젠</t>
  </si>
  <si>
    <t>010820</t>
  </si>
  <si>
    <t>퍼스텍</t>
  </si>
  <si>
    <t>016800</t>
  </si>
  <si>
    <t>퍼시스</t>
  </si>
  <si>
    <t>263750</t>
  </si>
  <si>
    <t>펄어비스</t>
  </si>
  <si>
    <t>251970</t>
  </si>
  <si>
    <t>펌텍코리아</t>
  </si>
  <si>
    <t>001020</t>
  </si>
  <si>
    <t>페이퍼코리아</t>
  </si>
  <si>
    <t>327610</t>
  </si>
  <si>
    <t>펨토바이오메드</t>
  </si>
  <si>
    <t>087010</t>
  </si>
  <si>
    <t>펩트론</t>
  </si>
  <si>
    <t>090080</t>
  </si>
  <si>
    <t>평화산업</t>
  </si>
  <si>
    <t>043370</t>
  </si>
  <si>
    <t>010770</t>
  </si>
  <si>
    <t>평화홀딩스</t>
  </si>
  <si>
    <t>227420</t>
  </si>
  <si>
    <t>119500</t>
  </si>
  <si>
    <t>포메탈</t>
  </si>
  <si>
    <t>016670</t>
  </si>
  <si>
    <t>056730</t>
  </si>
  <si>
    <t>022100</t>
  </si>
  <si>
    <t>포스코 ICT</t>
  </si>
  <si>
    <t>058430</t>
  </si>
  <si>
    <t>009520</t>
  </si>
  <si>
    <t>포스코엠텍</t>
  </si>
  <si>
    <t>047050</t>
  </si>
  <si>
    <t>포스코인터내셔널</t>
  </si>
  <si>
    <t>003670</t>
  </si>
  <si>
    <t>포스코케미칼</t>
  </si>
  <si>
    <t>189690</t>
  </si>
  <si>
    <t>포시에스</t>
  </si>
  <si>
    <t>256630</t>
  </si>
  <si>
    <t>포인트엔지니어링</t>
  </si>
  <si>
    <t>141020</t>
  </si>
  <si>
    <t>폴루스바이오팜</t>
  </si>
  <si>
    <t>290720</t>
  </si>
  <si>
    <t>푸드나무</t>
  </si>
  <si>
    <t>005670</t>
  </si>
  <si>
    <t>푸드웰</t>
  </si>
  <si>
    <t>094940</t>
  </si>
  <si>
    <t>푸른기술</t>
  </si>
  <si>
    <t>017810</t>
  </si>
  <si>
    <t>풀무원</t>
  </si>
  <si>
    <t>093380</t>
  </si>
  <si>
    <t>풍강</t>
  </si>
  <si>
    <t>023900</t>
  </si>
  <si>
    <t>풍국주정</t>
  </si>
  <si>
    <t>103140</t>
  </si>
  <si>
    <t>풍산</t>
  </si>
  <si>
    <t>005810</t>
  </si>
  <si>
    <t>풍산홀딩스</t>
  </si>
  <si>
    <t>퓨전</t>
  </si>
  <si>
    <t>214270</t>
  </si>
  <si>
    <t>220100</t>
  </si>
  <si>
    <t>퓨쳐켐</t>
  </si>
  <si>
    <t>035200</t>
  </si>
  <si>
    <t>프럼파스트</t>
  </si>
  <si>
    <t>203690</t>
  </si>
  <si>
    <t>프로스테믹스</t>
  </si>
  <si>
    <t>303360</t>
  </si>
  <si>
    <t>프로테옴텍</t>
  </si>
  <si>
    <t>053610</t>
  </si>
  <si>
    <t>프로텍</t>
  </si>
  <si>
    <t>053160</t>
  </si>
  <si>
    <t>프리엠스</t>
  </si>
  <si>
    <t>075130</t>
  </si>
  <si>
    <t>플랜티넷</t>
  </si>
  <si>
    <t>222670</t>
  </si>
  <si>
    <t>플럼라인생명과학</t>
  </si>
  <si>
    <t>237820</t>
  </si>
  <si>
    <t>플레이디</t>
  </si>
  <si>
    <t>023770</t>
  </si>
  <si>
    <t>플레이위드</t>
  </si>
  <si>
    <t>300080</t>
  </si>
  <si>
    <t>플리토</t>
  </si>
  <si>
    <t>150440</t>
  </si>
  <si>
    <t>피노텍</t>
  </si>
  <si>
    <t>032580</t>
  </si>
  <si>
    <t>피델릭스</t>
  </si>
  <si>
    <t>051380</t>
  </si>
  <si>
    <t>피씨디렉트</t>
  </si>
  <si>
    <t>241820</t>
  </si>
  <si>
    <t>피씨엘</t>
  </si>
  <si>
    <t>237750</t>
  </si>
  <si>
    <t>피앤씨테크</t>
  </si>
  <si>
    <t>피앤텔</t>
  </si>
  <si>
    <t>024850</t>
  </si>
  <si>
    <t>피에스엠씨</t>
  </si>
  <si>
    <t>319660</t>
  </si>
  <si>
    <t>피에스케이</t>
  </si>
  <si>
    <t>031980</t>
  </si>
  <si>
    <t>피에스케이홀딩스</t>
  </si>
  <si>
    <t>002230</t>
  </si>
  <si>
    <t>피에스텍</t>
  </si>
  <si>
    <t>242350</t>
  </si>
  <si>
    <t>피엔아이컴퍼니</t>
  </si>
  <si>
    <t>239890</t>
  </si>
  <si>
    <t>피엔에이치테크</t>
  </si>
  <si>
    <t>137400</t>
  </si>
  <si>
    <t>피엔티</t>
  </si>
  <si>
    <t>128660</t>
  </si>
  <si>
    <t>피제이메탈</t>
  </si>
  <si>
    <t>006140</t>
  </si>
  <si>
    <t>피제이전자</t>
  </si>
  <si>
    <t>062970</t>
  </si>
  <si>
    <t>피피아이</t>
  </si>
  <si>
    <t>087600</t>
  </si>
  <si>
    <t>픽셀플러스</t>
  </si>
  <si>
    <t>057880</t>
  </si>
  <si>
    <t>033180</t>
  </si>
  <si>
    <t>064800</t>
  </si>
  <si>
    <t>161580</t>
  </si>
  <si>
    <t>필옵틱스</t>
  </si>
  <si>
    <t>067310</t>
  </si>
  <si>
    <t>하나마이크론</t>
  </si>
  <si>
    <t>166090</t>
  </si>
  <si>
    <t>하나머티리얼즈</t>
  </si>
  <si>
    <t>293480</t>
  </si>
  <si>
    <t>하나제약</t>
  </si>
  <si>
    <t>039130</t>
  </si>
  <si>
    <t>하나투어</t>
  </si>
  <si>
    <t>136480</t>
  </si>
  <si>
    <t>하림</t>
  </si>
  <si>
    <t>003380</t>
  </si>
  <si>
    <t>하림지주</t>
  </si>
  <si>
    <t>149980</t>
  </si>
  <si>
    <t>하이로닉</t>
  </si>
  <si>
    <t>013030</t>
  </si>
  <si>
    <t>하이록코리아</t>
  </si>
  <si>
    <t>126700</t>
  </si>
  <si>
    <t>하이비젼시스템</t>
  </si>
  <si>
    <t>200470</t>
  </si>
  <si>
    <t>106080</t>
  </si>
  <si>
    <t>하이소닉</t>
  </si>
  <si>
    <t>071090</t>
  </si>
  <si>
    <t>하이스틸</t>
  </si>
  <si>
    <t>221840</t>
  </si>
  <si>
    <t>하이즈항공</t>
  </si>
  <si>
    <t>106190</t>
  </si>
  <si>
    <t>하이텍팜</t>
  </si>
  <si>
    <t>019490</t>
  </si>
  <si>
    <t>하이트론</t>
  </si>
  <si>
    <t>000080</t>
  </si>
  <si>
    <t>하이트진로</t>
  </si>
  <si>
    <t>000140</t>
  </si>
  <si>
    <t>하이트진로홀딩스</t>
  </si>
  <si>
    <t>066130</t>
  </si>
  <si>
    <t>하츠</t>
  </si>
  <si>
    <t>004590</t>
  </si>
  <si>
    <t>한국가구</t>
  </si>
  <si>
    <t>036460</t>
  </si>
  <si>
    <t>한국가스공사</t>
  </si>
  <si>
    <t>039340</t>
  </si>
  <si>
    <t>한국경제TV</t>
  </si>
  <si>
    <t>005430</t>
  </si>
  <si>
    <t>한국공항</t>
  </si>
  <si>
    <t>034950</t>
  </si>
  <si>
    <t>한국기업평가</t>
  </si>
  <si>
    <t>010040</t>
  </si>
  <si>
    <t>한국내화</t>
  </si>
  <si>
    <t>025540</t>
  </si>
  <si>
    <t>한국단자</t>
  </si>
  <si>
    <t>222980</t>
  </si>
  <si>
    <t>한국맥널티</t>
  </si>
  <si>
    <t>331660</t>
  </si>
  <si>
    <t>한국미라클피플사</t>
  </si>
  <si>
    <t>318000</t>
  </si>
  <si>
    <t>004090</t>
  </si>
  <si>
    <t>한국석유</t>
  </si>
  <si>
    <t>025550</t>
  </si>
  <si>
    <t>한국선재</t>
  </si>
  <si>
    <t>002960</t>
  </si>
  <si>
    <t>한국쉘석유</t>
  </si>
  <si>
    <t>017890</t>
  </si>
  <si>
    <t>한국알콜</t>
  </si>
  <si>
    <t>080720</t>
  </si>
  <si>
    <t>한국유니온제약</t>
  </si>
  <si>
    <t>015760</t>
  </si>
  <si>
    <t>한국전력</t>
  </si>
  <si>
    <t>063570</t>
  </si>
  <si>
    <t>한국전자금융</t>
  </si>
  <si>
    <t>041460</t>
  </si>
  <si>
    <t>한국전자인증</t>
  </si>
  <si>
    <t>006200</t>
  </si>
  <si>
    <t>한국전자홀딩스</t>
  </si>
  <si>
    <t>101680</t>
  </si>
  <si>
    <t>한국정밀기계</t>
  </si>
  <si>
    <t>039740</t>
  </si>
  <si>
    <t>한국정보공학</t>
  </si>
  <si>
    <t>053300</t>
  </si>
  <si>
    <t>한국정보인증</t>
  </si>
  <si>
    <t>025770</t>
  </si>
  <si>
    <t>한국정보통신</t>
  </si>
  <si>
    <t>한국제지</t>
  </si>
  <si>
    <t>009540</t>
  </si>
  <si>
    <t>한국조선해양</t>
  </si>
  <si>
    <t>023350</t>
  </si>
  <si>
    <t>한국종합기술</t>
  </si>
  <si>
    <t>025890</t>
  </si>
  <si>
    <t>한국주강</t>
  </si>
  <si>
    <t>000970</t>
  </si>
  <si>
    <t>한국주철관</t>
  </si>
  <si>
    <t>104700</t>
  </si>
  <si>
    <t>한국철강</t>
  </si>
  <si>
    <t>017960</t>
  </si>
  <si>
    <t>한국카본</t>
  </si>
  <si>
    <t>054040</t>
  </si>
  <si>
    <t>한국컴퓨터</t>
  </si>
  <si>
    <t>050540</t>
  </si>
  <si>
    <t>161890</t>
  </si>
  <si>
    <t>한국콜마</t>
  </si>
  <si>
    <t>024720</t>
  </si>
  <si>
    <t>한국콜마홀딩스</t>
  </si>
  <si>
    <t>021650</t>
  </si>
  <si>
    <t>한국큐빅</t>
  </si>
  <si>
    <t>161390</t>
  </si>
  <si>
    <t>한국타이어앤테크놀로지</t>
  </si>
  <si>
    <t>053590</t>
  </si>
  <si>
    <t>한국테크놀로지</t>
  </si>
  <si>
    <t>000240</t>
  </si>
  <si>
    <t>007280</t>
  </si>
  <si>
    <t>037230</t>
  </si>
  <si>
    <t>한국팩키지</t>
  </si>
  <si>
    <t>010100</t>
  </si>
  <si>
    <t>한국프랜지</t>
  </si>
  <si>
    <t>047810</t>
  </si>
  <si>
    <t>한국항공우주</t>
  </si>
  <si>
    <t>123690</t>
  </si>
  <si>
    <t>한국화장품</t>
  </si>
  <si>
    <t>003350</t>
  </si>
  <si>
    <t>한국화장품제조</t>
  </si>
  <si>
    <t>030520</t>
  </si>
  <si>
    <t>한글과컴퓨터</t>
  </si>
  <si>
    <t>052600</t>
  </si>
  <si>
    <t>한네트</t>
  </si>
  <si>
    <t>011500</t>
  </si>
  <si>
    <t>한농화성</t>
  </si>
  <si>
    <t>002390</t>
  </si>
  <si>
    <t>한독</t>
  </si>
  <si>
    <t>256150</t>
  </si>
  <si>
    <t>한독크린텍</t>
  </si>
  <si>
    <t>014790</t>
  </si>
  <si>
    <t>092460</t>
  </si>
  <si>
    <t>한라IMS</t>
  </si>
  <si>
    <t>060980</t>
  </si>
  <si>
    <t>222810</t>
  </si>
  <si>
    <t>053690</t>
  </si>
  <si>
    <t>한미글로벌</t>
  </si>
  <si>
    <t>042700</t>
  </si>
  <si>
    <t>한미반도체</t>
  </si>
  <si>
    <t>008930</t>
  </si>
  <si>
    <t>한미사이언스</t>
  </si>
  <si>
    <t>128940</t>
  </si>
  <si>
    <t>한미약품</t>
  </si>
  <si>
    <t>047080</t>
  </si>
  <si>
    <t>한빛소프트</t>
  </si>
  <si>
    <t>009240</t>
  </si>
  <si>
    <t>한샘</t>
  </si>
  <si>
    <t>020000</t>
  </si>
  <si>
    <t>한섬</t>
  </si>
  <si>
    <t>003680</t>
  </si>
  <si>
    <t>한성기업</t>
  </si>
  <si>
    <t>105630</t>
  </si>
  <si>
    <t>한세실업</t>
  </si>
  <si>
    <t>069640</t>
  </si>
  <si>
    <t>한세엠케이</t>
  </si>
  <si>
    <t>016450</t>
  </si>
  <si>
    <t>한세예스24홀딩스</t>
  </si>
  <si>
    <t>010420</t>
  </si>
  <si>
    <t>한솔PNS</t>
  </si>
  <si>
    <t>009180</t>
  </si>
  <si>
    <t>한솔로지스틱스</t>
  </si>
  <si>
    <t>070300</t>
  </si>
  <si>
    <t>070590</t>
  </si>
  <si>
    <t>한솔인티큐브</t>
  </si>
  <si>
    <t>213500</t>
  </si>
  <si>
    <t>한솔제지</t>
  </si>
  <si>
    <t>014680</t>
  </si>
  <si>
    <t>한솔케미칼</t>
  </si>
  <si>
    <t>004710</t>
  </si>
  <si>
    <t>한솔테크닉스</t>
  </si>
  <si>
    <t>004150</t>
  </si>
  <si>
    <t>한솔홀딩스</t>
  </si>
  <si>
    <t>025750</t>
  </si>
  <si>
    <t>한솔홈데코</t>
  </si>
  <si>
    <t>226440</t>
  </si>
  <si>
    <t>한송네오텍</t>
  </si>
  <si>
    <t>042520</t>
  </si>
  <si>
    <t>한스바이오메드</t>
  </si>
  <si>
    <t>004960</t>
  </si>
  <si>
    <t>한신공영</t>
  </si>
  <si>
    <t>011700</t>
  </si>
  <si>
    <t>한신기계</t>
  </si>
  <si>
    <t>078350</t>
  </si>
  <si>
    <t>한양디지텍</t>
  </si>
  <si>
    <t>045100</t>
  </si>
  <si>
    <t>한양이엔지</t>
  </si>
  <si>
    <t>018880</t>
  </si>
  <si>
    <t>한온시스템</t>
  </si>
  <si>
    <t>009420</t>
  </si>
  <si>
    <t>한올바이오파마</t>
  </si>
  <si>
    <t>014130</t>
  </si>
  <si>
    <t>한익스프레스</t>
  </si>
  <si>
    <t>한일네트웍스</t>
  </si>
  <si>
    <t>024740</t>
  </si>
  <si>
    <t>한일단조</t>
  </si>
  <si>
    <t>005860</t>
  </si>
  <si>
    <t>한일사료</t>
  </si>
  <si>
    <t>300720</t>
  </si>
  <si>
    <t>한일시멘트</t>
  </si>
  <si>
    <t>123840</t>
  </si>
  <si>
    <t>한일진공</t>
  </si>
  <si>
    <t>002220</t>
  </si>
  <si>
    <t>한일철강</t>
  </si>
  <si>
    <t>006390</t>
  </si>
  <si>
    <t>한일현대시멘트</t>
  </si>
  <si>
    <t>003300</t>
  </si>
  <si>
    <t>한일홀딩스</t>
  </si>
  <si>
    <t>007770</t>
  </si>
  <si>
    <t>한일화학</t>
  </si>
  <si>
    <t>051600</t>
  </si>
  <si>
    <t>한전KPS</t>
  </si>
  <si>
    <t>052690</t>
  </si>
  <si>
    <t>한전기술</t>
  </si>
  <si>
    <t>130660</t>
  </si>
  <si>
    <t>한전산업</t>
  </si>
  <si>
    <t>107640</t>
  </si>
  <si>
    <t>한중엔시에스</t>
  </si>
  <si>
    <t>002320</t>
  </si>
  <si>
    <t>한진</t>
  </si>
  <si>
    <t>097230</t>
  </si>
  <si>
    <t>003480</t>
  </si>
  <si>
    <t>한진중공업홀딩스</t>
  </si>
  <si>
    <t>180640</t>
  </si>
  <si>
    <t>한진칼</t>
  </si>
  <si>
    <t>005110</t>
  </si>
  <si>
    <t>한창</t>
  </si>
  <si>
    <t>079170</t>
  </si>
  <si>
    <t>한창산업</t>
  </si>
  <si>
    <t>009460</t>
  </si>
  <si>
    <t>한창제지</t>
  </si>
  <si>
    <t>086960</t>
  </si>
  <si>
    <t>054920</t>
  </si>
  <si>
    <t>한컴위드</t>
  </si>
  <si>
    <t>002680</t>
  </si>
  <si>
    <t>한탑</t>
  </si>
  <si>
    <t>000880</t>
  </si>
  <si>
    <t>한화</t>
  </si>
  <si>
    <t>한화갤러리아타임월드</t>
  </si>
  <si>
    <t>009830</t>
  </si>
  <si>
    <t>한화솔루션</t>
  </si>
  <si>
    <t>272210</t>
  </si>
  <si>
    <t>한화시스템</t>
  </si>
  <si>
    <t>012450</t>
  </si>
  <si>
    <t>한화에어로스페이스</t>
  </si>
  <si>
    <t>195870</t>
  </si>
  <si>
    <t>해성디에스</t>
  </si>
  <si>
    <t>034810</t>
  </si>
  <si>
    <t>해성산업</t>
  </si>
  <si>
    <t>076610</t>
  </si>
  <si>
    <t>해성옵틱스</t>
  </si>
  <si>
    <t>101530</t>
  </si>
  <si>
    <t>해태제과식품</t>
  </si>
  <si>
    <t>220180</t>
  </si>
  <si>
    <t>핸디소프트</t>
  </si>
  <si>
    <t>143210</t>
  </si>
  <si>
    <t>핸즈코퍼레이션</t>
  </si>
  <si>
    <t>행남사</t>
  </si>
  <si>
    <t>900270</t>
  </si>
  <si>
    <t>헝셩그룹</t>
  </si>
  <si>
    <t>084990</t>
  </si>
  <si>
    <t>헬릭스미스</t>
  </si>
  <si>
    <t>000720</t>
  </si>
  <si>
    <t>현대건설</t>
  </si>
  <si>
    <t>267270</t>
  </si>
  <si>
    <t>현대건설기계</t>
  </si>
  <si>
    <t>170030</t>
  </si>
  <si>
    <t>현대공업</t>
  </si>
  <si>
    <t>005440</t>
  </si>
  <si>
    <t>현대그린푸드</t>
  </si>
  <si>
    <t>086280</t>
  </si>
  <si>
    <t>현대글로비스</t>
  </si>
  <si>
    <t>064350</t>
  </si>
  <si>
    <t>현대로템</t>
  </si>
  <si>
    <t>079430</t>
  </si>
  <si>
    <t>현대리바트</t>
  </si>
  <si>
    <t>012330</t>
  </si>
  <si>
    <t>현대모비스</t>
  </si>
  <si>
    <t>010620</t>
  </si>
  <si>
    <t>현대미포조선</t>
  </si>
  <si>
    <t>048410</t>
  </si>
  <si>
    <t>현대바이오</t>
  </si>
  <si>
    <t>069960</t>
  </si>
  <si>
    <t>현대백화점</t>
  </si>
  <si>
    <t>004560</t>
  </si>
  <si>
    <t>현대비앤지스틸</t>
  </si>
  <si>
    <t>016790</t>
  </si>
  <si>
    <t>011760</t>
  </si>
  <si>
    <t>011200</t>
  </si>
  <si>
    <t>004310</t>
  </si>
  <si>
    <t>현대약품</t>
  </si>
  <si>
    <t>322000</t>
  </si>
  <si>
    <t>현대에너지솔루션</t>
  </si>
  <si>
    <t>126560</t>
  </si>
  <si>
    <t>017800</t>
  </si>
  <si>
    <t>현대엘리베이</t>
  </si>
  <si>
    <t>307950</t>
  </si>
  <si>
    <t>현대오토에버</t>
  </si>
  <si>
    <t>011210</t>
  </si>
  <si>
    <t>현대위아</t>
  </si>
  <si>
    <t>267260</t>
  </si>
  <si>
    <t>현대일렉트릭</t>
  </si>
  <si>
    <t>004020</t>
  </si>
  <si>
    <t>현대제철</t>
  </si>
  <si>
    <t>267250</t>
  </si>
  <si>
    <t>005380</t>
  </si>
  <si>
    <t>현대차</t>
  </si>
  <si>
    <t>227840</t>
  </si>
  <si>
    <t>현대코퍼레이션홀딩스</t>
  </si>
  <si>
    <t>039010</t>
  </si>
  <si>
    <t>057050</t>
  </si>
  <si>
    <t>현대홈쇼핑</t>
  </si>
  <si>
    <t>092300</t>
  </si>
  <si>
    <t>현우산업</t>
  </si>
  <si>
    <t>011080</t>
  </si>
  <si>
    <t>형지I&amp;C</t>
  </si>
  <si>
    <t>093240</t>
  </si>
  <si>
    <t>형지엘리트</t>
  </si>
  <si>
    <t>003010</t>
  </si>
  <si>
    <t>혜인</t>
  </si>
  <si>
    <t>111110</t>
  </si>
  <si>
    <t>호전실업</t>
  </si>
  <si>
    <t>008770</t>
  </si>
  <si>
    <t>호텔신라</t>
  </si>
  <si>
    <t>060560</t>
  </si>
  <si>
    <t>홈센타홀딩스</t>
  </si>
  <si>
    <t>064240</t>
  </si>
  <si>
    <t>홈캐스트</t>
  </si>
  <si>
    <t>039610</t>
  </si>
  <si>
    <t>화성밸브</t>
  </si>
  <si>
    <t>002460</t>
  </si>
  <si>
    <t>화성산업</t>
  </si>
  <si>
    <t>013520</t>
  </si>
  <si>
    <t>화승알앤에이</t>
  </si>
  <si>
    <t>241590</t>
  </si>
  <si>
    <t>화승엔터프라이즈</t>
  </si>
  <si>
    <t>006060</t>
  </si>
  <si>
    <t>화승인더</t>
  </si>
  <si>
    <t>010690</t>
  </si>
  <si>
    <t>화신</t>
  </si>
  <si>
    <t>126640</t>
  </si>
  <si>
    <t>화신정공</t>
  </si>
  <si>
    <t>화신테크</t>
  </si>
  <si>
    <t>204630</t>
  </si>
  <si>
    <t>133820</t>
  </si>
  <si>
    <t>화인베스틸</t>
  </si>
  <si>
    <t>061250</t>
  </si>
  <si>
    <t>화일약품</t>
  </si>
  <si>
    <t>010660</t>
  </si>
  <si>
    <t>화천기계</t>
  </si>
  <si>
    <t>000850</t>
  </si>
  <si>
    <t>화천기공</t>
  </si>
  <si>
    <t>016580</t>
  </si>
  <si>
    <t>환인제약</t>
  </si>
  <si>
    <t>032560</t>
  </si>
  <si>
    <t>황금에스티</t>
  </si>
  <si>
    <t>004800</t>
  </si>
  <si>
    <t>효성</t>
  </si>
  <si>
    <t>094280</t>
  </si>
  <si>
    <t>효성ITX</t>
  </si>
  <si>
    <t>097870</t>
  </si>
  <si>
    <t>효성오앤비</t>
  </si>
  <si>
    <t>298040</t>
  </si>
  <si>
    <t>효성중공업</t>
  </si>
  <si>
    <t>298050</t>
  </si>
  <si>
    <t>효성첨단소재</t>
  </si>
  <si>
    <t>298020</t>
  </si>
  <si>
    <t>효성티앤씨</t>
  </si>
  <si>
    <t>298000</t>
  </si>
  <si>
    <t>효성화학</t>
  </si>
  <si>
    <t>093370</t>
  </si>
  <si>
    <t>후성</t>
  </si>
  <si>
    <t>050090</t>
  </si>
  <si>
    <t>081660</t>
  </si>
  <si>
    <t>휠라홀딩스</t>
  </si>
  <si>
    <t>290270</t>
  </si>
  <si>
    <t>휴네시온</t>
  </si>
  <si>
    <t>005870</t>
  </si>
  <si>
    <t>휴니드</t>
  </si>
  <si>
    <t>휴럼</t>
  </si>
  <si>
    <t>090710</t>
  </si>
  <si>
    <t>휴림로봇</t>
  </si>
  <si>
    <t>205470</t>
  </si>
  <si>
    <t>휴마시스</t>
  </si>
  <si>
    <t>115160</t>
  </si>
  <si>
    <t>휴맥스</t>
  </si>
  <si>
    <t>028080</t>
  </si>
  <si>
    <t>휴맥스홀딩스</t>
  </si>
  <si>
    <t>200670</t>
  </si>
  <si>
    <t>휴메딕스</t>
  </si>
  <si>
    <t>212310</t>
  </si>
  <si>
    <t>휴벡셀</t>
  </si>
  <si>
    <t>079980</t>
  </si>
  <si>
    <t>휴비스</t>
  </si>
  <si>
    <t>065510</t>
  </si>
  <si>
    <t>휴비츠</t>
  </si>
  <si>
    <t>005010</t>
  </si>
  <si>
    <t>휴스틸</t>
  </si>
  <si>
    <t>243070</t>
  </si>
  <si>
    <t>휴온스</t>
  </si>
  <si>
    <t>084110</t>
  </si>
  <si>
    <t>휴온스글로벌</t>
  </si>
  <si>
    <t>145020</t>
  </si>
  <si>
    <t>휴젤</t>
  </si>
  <si>
    <t>069260</t>
  </si>
  <si>
    <t>024060</t>
  </si>
  <si>
    <t>흥구석유</t>
  </si>
  <si>
    <t>010240</t>
  </si>
  <si>
    <t>흥국</t>
  </si>
  <si>
    <t>189980</t>
  </si>
  <si>
    <t>흥국에프엔비</t>
  </si>
  <si>
    <t>003280</t>
  </si>
  <si>
    <t>흥아해운</t>
  </si>
  <si>
    <t>037440</t>
  </si>
  <si>
    <t>희림</t>
  </si>
  <si>
    <t>238490</t>
  </si>
  <si>
    <t>힘스</t>
  </si>
  <si>
    <t>138930</t>
  </si>
  <si>
    <t>BNK금융지주</t>
  </si>
  <si>
    <t>139130</t>
  </si>
  <si>
    <t>DGB금융지주</t>
  </si>
  <si>
    <t>175330</t>
  </si>
  <si>
    <t>JB금융지주</t>
  </si>
  <si>
    <t>105560</t>
  </si>
  <si>
    <t>KB금융</t>
  </si>
  <si>
    <t>024110</t>
  </si>
  <si>
    <t>기업은행</t>
  </si>
  <si>
    <t>138040</t>
  </si>
  <si>
    <t>메리츠금융지주</t>
  </si>
  <si>
    <t>055550</t>
  </si>
  <si>
    <t>신한지주</t>
  </si>
  <si>
    <t>316140</t>
  </si>
  <si>
    <t>우리금융지주</t>
  </si>
  <si>
    <t>006220</t>
  </si>
  <si>
    <t>제주은행</t>
  </si>
  <si>
    <t>086790</t>
  </si>
  <si>
    <t>하나금융지주</t>
  </si>
  <si>
    <t>071050</t>
  </si>
  <si>
    <t>한국금융지주</t>
  </si>
  <si>
    <t>005830</t>
  </si>
  <si>
    <t>DB손해보험</t>
  </si>
  <si>
    <t>082640</t>
  </si>
  <si>
    <t>동양생명</t>
  </si>
  <si>
    <t>000400</t>
  </si>
  <si>
    <t>롯데손해보험</t>
  </si>
  <si>
    <t>000060</t>
  </si>
  <si>
    <t>메리츠화재</t>
  </si>
  <si>
    <t>085620</t>
  </si>
  <si>
    <t>미래에셋생명</t>
  </si>
  <si>
    <t>032830</t>
  </si>
  <si>
    <t>삼성생명</t>
  </si>
  <si>
    <t>000810</t>
  </si>
  <si>
    <t>삼성화재</t>
  </si>
  <si>
    <t>003690</t>
  </si>
  <si>
    <t>코리안리</t>
  </si>
  <si>
    <t>088350</t>
  </si>
  <si>
    <t>한화생명</t>
  </si>
  <si>
    <t>000370</t>
  </si>
  <si>
    <t>한화손해보험</t>
  </si>
  <si>
    <t>001450</t>
  </si>
  <si>
    <t>현대해상</t>
  </si>
  <si>
    <t>000540</t>
  </si>
  <si>
    <t>흥국화재</t>
  </si>
  <si>
    <t>016610</t>
  </si>
  <si>
    <t>DB금융투자</t>
  </si>
  <si>
    <t>030210</t>
  </si>
  <si>
    <t>005940</t>
  </si>
  <si>
    <t>NH투자증권</t>
  </si>
  <si>
    <t>001510</t>
  </si>
  <si>
    <t>SK증권</t>
  </si>
  <si>
    <t>030610</t>
  </si>
  <si>
    <t>교보증권</t>
  </si>
  <si>
    <t>003540</t>
  </si>
  <si>
    <t>대신증권</t>
  </si>
  <si>
    <t>008560</t>
  </si>
  <si>
    <t>006800</t>
  </si>
  <si>
    <t>001270</t>
  </si>
  <si>
    <t>부국증권</t>
  </si>
  <si>
    <t>016360</t>
  </si>
  <si>
    <t>삼성증권</t>
  </si>
  <si>
    <t>001290</t>
  </si>
  <si>
    <t>상상인증권</t>
  </si>
  <si>
    <t>001720</t>
  </si>
  <si>
    <t>신영증권</t>
  </si>
  <si>
    <t>003470</t>
  </si>
  <si>
    <t>유안타증권</t>
  </si>
  <si>
    <t>001200</t>
  </si>
  <si>
    <t>유진투자증권</t>
  </si>
  <si>
    <t>003460</t>
  </si>
  <si>
    <t>유화증권</t>
  </si>
  <si>
    <t>078020</t>
  </si>
  <si>
    <t>이베스트투자증권</t>
  </si>
  <si>
    <t>190650</t>
  </si>
  <si>
    <t>코리아에셋투자증권</t>
  </si>
  <si>
    <t>039490</t>
  </si>
  <si>
    <t>키움증권</t>
  </si>
  <si>
    <t>001750</t>
  </si>
  <si>
    <t>한양증권</t>
  </si>
  <si>
    <t>003530</t>
  </si>
  <si>
    <t>한화투자증권</t>
  </si>
  <si>
    <t>001500</t>
  </si>
  <si>
    <t>현대차증권</t>
  </si>
  <si>
    <t>007330</t>
  </si>
  <si>
    <t>푸른저축은행</t>
  </si>
  <si>
    <t>010050</t>
  </si>
  <si>
    <t>우리종금</t>
  </si>
  <si>
    <t>023460</t>
  </si>
  <si>
    <t>CNH</t>
  </si>
  <si>
    <t>293580</t>
  </si>
  <si>
    <t>나우IB</t>
  </si>
  <si>
    <t>021880</t>
  </si>
  <si>
    <t>메이슨캐피탈</t>
  </si>
  <si>
    <t>029780</t>
  </si>
  <si>
    <t>삼성카드</t>
  </si>
  <si>
    <t>027360</t>
  </si>
  <si>
    <t>아주IB투자</t>
  </si>
  <si>
    <t>041190</t>
  </si>
  <si>
    <t>우리기술투자</t>
  </si>
  <si>
    <t>016600</t>
  </si>
  <si>
    <t>큐캐피탈</t>
  </si>
  <si>
    <t>023760</t>
  </si>
  <si>
    <t>한국캐피탈</t>
  </si>
  <si>
    <t>306620</t>
  </si>
  <si>
    <t>322780</t>
  </si>
  <si>
    <t>241520</t>
  </si>
  <si>
    <t>DSC인베스트먼트</t>
  </si>
  <si>
    <t>299170</t>
  </si>
  <si>
    <t>335890</t>
  </si>
  <si>
    <t>335870</t>
  </si>
  <si>
    <t>338100</t>
  </si>
  <si>
    <t>NH프라임리츠</t>
  </si>
  <si>
    <t>019550</t>
  </si>
  <si>
    <t>SBI인베스트먼트</t>
  </si>
  <si>
    <t>289080</t>
  </si>
  <si>
    <t>SV인베스트먼트</t>
  </si>
  <si>
    <t>246690</t>
  </si>
  <si>
    <t>TS인베스트먼트</t>
  </si>
  <si>
    <t>267320</t>
  </si>
  <si>
    <t>307280</t>
  </si>
  <si>
    <t>027830</t>
  </si>
  <si>
    <t>대성창투</t>
  </si>
  <si>
    <t>307750</t>
  </si>
  <si>
    <t>332290</t>
  </si>
  <si>
    <t>336570</t>
  </si>
  <si>
    <t>281740</t>
  </si>
  <si>
    <t>330590</t>
  </si>
  <si>
    <t>롯데리츠</t>
  </si>
  <si>
    <t>019570</t>
  </si>
  <si>
    <t>리더스 기술투자</t>
  </si>
  <si>
    <t>277070</t>
  </si>
  <si>
    <t>린드먼아시아</t>
  </si>
  <si>
    <t>310200</t>
  </si>
  <si>
    <t>328380</t>
  </si>
  <si>
    <t>333430</t>
  </si>
  <si>
    <t>100790</t>
  </si>
  <si>
    <t>미래에셋벤처투자</t>
  </si>
  <si>
    <t>309930</t>
  </si>
  <si>
    <t>291230</t>
  </si>
  <si>
    <t>307870</t>
  </si>
  <si>
    <t>258790</t>
  </si>
  <si>
    <t>소프트캠프</t>
  </si>
  <si>
    <t>323280</t>
  </si>
  <si>
    <t>344050</t>
  </si>
  <si>
    <t>323230</t>
  </si>
  <si>
    <t>333050</t>
  </si>
  <si>
    <t>307180</t>
  </si>
  <si>
    <t>아이엘사이언스</t>
  </si>
  <si>
    <t>021080</t>
  </si>
  <si>
    <t>에이티넘인베스트</t>
  </si>
  <si>
    <t>273060</t>
  </si>
  <si>
    <t>319400</t>
  </si>
  <si>
    <t>339950</t>
  </si>
  <si>
    <t>019590</t>
  </si>
  <si>
    <t>엠벤처투자</t>
  </si>
  <si>
    <t>287410</t>
  </si>
  <si>
    <t>336060</t>
  </si>
  <si>
    <t>340360</t>
  </si>
  <si>
    <t>321260</t>
  </si>
  <si>
    <t>331380</t>
  </si>
  <si>
    <t>264850</t>
  </si>
  <si>
    <t>이랜시스</t>
  </si>
  <si>
    <t>254120</t>
  </si>
  <si>
    <t>자비스</t>
  </si>
  <si>
    <t>307930</t>
  </si>
  <si>
    <t>컴퍼니케이</t>
  </si>
  <si>
    <t>342550</t>
  </si>
  <si>
    <t>270520</t>
  </si>
  <si>
    <t>284620</t>
  </si>
  <si>
    <t>320000</t>
  </si>
  <si>
    <t>341160</t>
  </si>
  <si>
    <t>261200</t>
  </si>
  <si>
    <t>317240</t>
  </si>
  <si>
    <t>256840</t>
  </si>
  <si>
    <t>한국비엔씨</t>
  </si>
  <si>
    <t>123890</t>
  </si>
  <si>
    <t>한국자산신탁</t>
  </si>
  <si>
    <t>310870</t>
  </si>
  <si>
    <t>034830</t>
  </si>
  <si>
    <t>한국토지신탁</t>
  </si>
  <si>
    <t>340440</t>
  </si>
  <si>
    <t>EA019582</t>
  </si>
  <si>
    <t>CJ푸드빌</t>
  </si>
  <si>
    <t>EA019912</t>
  </si>
  <si>
    <t>DH바이탈피드</t>
  </si>
  <si>
    <t>EA060423</t>
  </si>
  <si>
    <t>GS에너지</t>
  </si>
  <si>
    <t>EA010061</t>
  </si>
  <si>
    <t>GS칼텍스</t>
  </si>
  <si>
    <t>EA010142</t>
  </si>
  <si>
    <t>GS파워</t>
  </si>
  <si>
    <t>EA051801</t>
  </si>
  <si>
    <t>EA029255</t>
  </si>
  <si>
    <t>KAL호텔네트워크</t>
  </si>
  <si>
    <t>EA016256</t>
  </si>
  <si>
    <t>KC글라스</t>
  </si>
  <si>
    <t>EA043023</t>
  </si>
  <si>
    <t>KH엘텍</t>
  </si>
  <si>
    <t>EA020582</t>
  </si>
  <si>
    <t>EA057945</t>
  </si>
  <si>
    <t>KPX개발</t>
  </si>
  <si>
    <t>EA018261</t>
  </si>
  <si>
    <t>LG경영개발원</t>
  </si>
  <si>
    <t>EA018899</t>
  </si>
  <si>
    <t>LG스포츠</t>
  </si>
  <si>
    <t>EA010018</t>
  </si>
  <si>
    <t>EA050948</t>
  </si>
  <si>
    <t>LS전선</t>
  </si>
  <si>
    <t>EA017587</t>
  </si>
  <si>
    <t>NH무역</t>
  </si>
  <si>
    <t>EA028319</t>
  </si>
  <si>
    <t>EA054412</t>
  </si>
  <si>
    <t>SK네트웍스서비스</t>
  </si>
  <si>
    <t>EA056368</t>
  </si>
  <si>
    <t>SK루브리컨츠</t>
  </si>
  <si>
    <t>EA066669</t>
  </si>
  <si>
    <t>SK매직</t>
  </si>
  <si>
    <t>EA063691</t>
  </si>
  <si>
    <t>SK매직서비스</t>
  </si>
  <si>
    <t>EA010365</t>
  </si>
  <si>
    <t>SK실트론</t>
  </si>
  <si>
    <t>EA060060</t>
  </si>
  <si>
    <t>SK에너지</t>
  </si>
  <si>
    <t>EA065306</t>
  </si>
  <si>
    <t>SK인천석유화학</t>
  </si>
  <si>
    <t>EA060108</t>
  </si>
  <si>
    <t>EA078242</t>
  </si>
  <si>
    <t>SK해운</t>
  </si>
  <si>
    <t>EA051276</t>
  </si>
  <si>
    <t>STX리조트</t>
  </si>
  <si>
    <t>EA060716</t>
  </si>
  <si>
    <t>STX마린서비스</t>
  </si>
  <si>
    <t>EA022510</t>
  </si>
  <si>
    <t>EA020608</t>
  </si>
  <si>
    <t>TS푸드앤시스템</t>
  </si>
  <si>
    <t>EA041022</t>
  </si>
  <si>
    <t>Y&amp;T파워텍</t>
  </si>
  <si>
    <t>EA069475</t>
  </si>
  <si>
    <t>가드넥</t>
  </si>
  <si>
    <t>EA082911</t>
  </si>
  <si>
    <t>가이아코퍼레이션</t>
  </si>
  <si>
    <t>EA041428</t>
  </si>
  <si>
    <t>갈더마코리아</t>
  </si>
  <si>
    <t>EA029307</t>
  </si>
  <si>
    <t>강남금융센터</t>
  </si>
  <si>
    <t>EA012836</t>
  </si>
  <si>
    <t>강남화성</t>
  </si>
  <si>
    <t>EA072336</t>
  </si>
  <si>
    <t>강릉에코파워</t>
  </si>
  <si>
    <t>EA012852</t>
  </si>
  <si>
    <t>강원도시가스</t>
  </si>
  <si>
    <t>EA018099</t>
  </si>
  <si>
    <t>갤럭시아디바이스</t>
  </si>
  <si>
    <t>EA054435</t>
  </si>
  <si>
    <t>갤럭시아일렉트로닉스</t>
  </si>
  <si>
    <t>EA085123</t>
  </si>
  <si>
    <t>EA064293</t>
  </si>
  <si>
    <t>경기그린에너지</t>
  </si>
  <si>
    <t>EA071406</t>
  </si>
  <si>
    <t>경남기업</t>
  </si>
  <si>
    <t>EA074912</t>
  </si>
  <si>
    <t>경남에너지</t>
  </si>
  <si>
    <t>EA010001</t>
  </si>
  <si>
    <t>경동</t>
  </si>
  <si>
    <t>EA030785</t>
  </si>
  <si>
    <t>경동건설</t>
  </si>
  <si>
    <t>EA080205</t>
  </si>
  <si>
    <t>경동에너아이</t>
  </si>
  <si>
    <t>EA012918</t>
  </si>
  <si>
    <t>경동에버런</t>
  </si>
  <si>
    <t>EA026351</t>
  </si>
  <si>
    <t>경동원</t>
  </si>
  <si>
    <t>EA047770</t>
  </si>
  <si>
    <t>경동이앤에스</t>
  </si>
  <si>
    <t>EA084607</t>
  </si>
  <si>
    <t>경동티에스</t>
  </si>
  <si>
    <t>EA030660</t>
  </si>
  <si>
    <t>경동홀딩스</t>
  </si>
  <si>
    <t>EA057800</t>
  </si>
  <si>
    <t>경산</t>
  </si>
  <si>
    <t>EA065810</t>
  </si>
  <si>
    <t>경산씨앤티</t>
  </si>
  <si>
    <t>EA073461</t>
  </si>
  <si>
    <t>경산에코에너지</t>
  </si>
  <si>
    <t>EA012933</t>
  </si>
  <si>
    <t>경산제지</t>
  </si>
  <si>
    <t>EA073173</t>
  </si>
  <si>
    <t>경산지식산업개발</t>
  </si>
  <si>
    <t>EA063808</t>
  </si>
  <si>
    <t>EA068752</t>
  </si>
  <si>
    <t>경인환경에너지</t>
  </si>
  <si>
    <t>EA067218</t>
  </si>
  <si>
    <t>경주풍력발전</t>
  </si>
  <si>
    <t>EA046075</t>
  </si>
  <si>
    <t>고강알루미늄</t>
  </si>
  <si>
    <t>EA087423</t>
  </si>
  <si>
    <t>고덕씨티</t>
  </si>
  <si>
    <t>EA021896</t>
  </si>
  <si>
    <t>고려강선</t>
  </si>
  <si>
    <t>EA081019</t>
  </si>
  <si>
    <t>고려강재장</t>
  </si>
  <si>
    <t>EA030250</t>
  </si>
  <si>
    <t>고려비엔피</t>
  </si>
  <si>
    <t>EA026512</t>
  </si>
  <si>
    <t>고려제지</t>
  </si>
  <si>
    <t>EA040821</t>
  </si>
  <si>
    <t>고려종합국제운송</t>
  </si>
  <si>
    <t>EA061119</t>
  </si>
  <si>
    <t>고려종합물류</t>
  </si>
  <si>
    <t>EA021933</t>
  </si>
  <si>
    <t>고리</t>
  </si>
  <si>
    <t>EA072605</t>
  </si>
  <si>
    <t>고성그린파워</t>
  </si>
  <si>
    <t>EA087102</t>
  </si>
  <si>
    <t>고영홀딩스</t>
  </si>
  <si>
    <t>EA072504</t>
  </si>
  <si>
    <t>고운세상코스메틱</t>
  </si>
  <si>
    <t>EA072279</t>
  </si>
  <si>
    <t>EA085268</t>
  </si>
  <si>
    <t>골프존카운티</t>
  </si>
  <si>
    <t>EA045036</t>
  </si>
  <si>
    <t>골프존카운티선운</t>
  </si>
  <si>
    <t>EA070047</t>
  </si>
  <si>
    <t>골프존카운티영천</t>
  </si>
  <si>
    <t>EA063495</t>
  </si>
  <si>
    <t>골프존카운티자산관리</t>
  </si>
  <si>
    <t>EA063051</t>
  </si>
  <si>
    <t>공덕경우개발</t>
  </si>
  <si>
    <t>EA075931</t>
  </si>
  <si>
    <t>공영홈쇼핑</t>
  </si>
  <si>
    <t>EA045084</t>
  </si>
  <si>
    <t>공주개발</t>
  </si>
  <si>
    <t>EA086099</t>
  </si>
  <si>
    <t>과천피에프브이</t>
  </si>
  <si>
    <t>EA074460</t>
  </si>
  <si>
    <t>광교라이프피에프브이</t>
  </si>
  <si>
    <t>EA084931</t>
  </si>
  <si>
    <t>광명역환승파크</t>
  </si>
  <si>
    <t>EA017486</t>
  </si>
  <si>
    <t>광신판지</t>
  </si>
  <si>
    <t>EA076747</t>
  </si>
  <si>
    <t>광주일보사</t>
  </si>
  <si>
    <t>EA060201</t>
  </si>
  <si>
    <t>EA017497</t>
  </si>
  <si>
    <t>교보리얼코</t>
  </si>
  <si>
    <t>EA017496</t>
  </si>
  <si>
    <t>교보문고</t>
  </si>
  <si>
    <t>EA013105</t>
  </si>
  <si>
    <t>교보정보통신</t>
  </si>
  <si>
    <t>EA013104</t>
  </si>
  <si>
    <t>교보핫트랙스</t>
  </si>
  <si>
    <t>EA059451</t>
  </si>
  <si>
    <t>교원위즈</t>
  </si>
  <si>
    <t>EA076987</t>
  </si>
  <si>
    <t>교정기술원</t>
  </si>
  <si>
    <t>EA038824</t>
  </si>
  <si>
    <t>교촌에프앤비</t>
  </si>
  <si>
    <t>EA013118</t>
  </si>
  <si>
    <t>국도정밀</t>
  </si>
  <si>
    <t>EA060530</t>
  </si>
  <si>
    <t>국도화인켐</t>
  </si>
  <si>
    <t>EA013145</t>
  </si>
  <si>
    <t>국제엘렉트릭코리아</t>
  </si>
  <si>
    <t>EA010002</t>
  </si>
  <si>
    <t>국제종합기계</t>
  </si>
  <si>
    <t>EA045230</t>
  </si>
  <si>
    <t>군장에너지</t>
  </si>
  <si>
    <t>EA051484</t>
  </si>
  <si>
    <t>굿스틸</t>
  </si>
  <si>
    <t>EA012831</t>
  </si>
  <si>
    <t>귀뚜라미에너지</t>
  </si>
  <si>
    <t>EA038871</t>
  </si>
  <si>
    <t>그라비티</t>
  </si>
  <si>
    <t>EA074455</t>
  </si>
  <si>
    <t>그렉스</t>
  </si>
  <si>
    <t>EA049099</t>
  </si>
  <si>
    <t>그룹엠코리아</t>
  </si>
  <si>
    <t>EA051758</t>
  </si>
  <si>
    <t>그린광학</t>
  </si>
  <si>
    <t>EA047988</t>
  </si>
  <si>
    <t>그린나래</t>
  </si>
  <si>
    <t>EA054873</t>
  </si>
  <si>
    <t>그린에어</t>
  </si>
  <si>
    <t>EA084738</t>
  </si>
  <si>
    <t>그린웍스</t>
  </si>
  <si>
    <t>EA065787</t>
  </si>
  <si>
    <t>그린웹서비스</t>
  </si>
  <si>
    <t>EA076149</t>
  </si>
  <si>
    <t>그린익스프레스파크</t>
  </si>
  <si>
    <t>EA082405</t>
  </si>
  <si>
    <t>그린카</t>
  </si>
  <si>
    <t>EA038711</t>
  </si>
  <si>
    <t>극동건설</t>
  </si>
  <si>
    <t>EA013181</t>
  </si>
  <si>
    <t>극동수산</t>
  </si>
  <si>
    <t>EA084772</t>
  </si>
  <si>
    <t>극동씨엠씨</t>
  </si>
  <si>
    <t>EA081271</t>
  </si>
  <si>
    <t>근오농림</t>
  </si>
  <si>
    <t>EA018696</t>
  </si>
  <si>
    <t>글락소스미스클라인</t>
  </si>
  <si>
    <t>EA076418</t>
  </si>
  <si>
    <t>글락소스미스클라인컨슈머헬스케어코리아</t>
  </si>
  <si>
    <t>EA010385</t>
  </si>
  <si>
    <t>글래드호텔앤리조트</t>
  </si>
  <si>
    <t>EA046580</t>
  </si>
  <si>
    <t>글로벌텍</t>
  </si>
  <si>
    <t>EA049227</t>
  </si>
  <si>
    <t>글로벌텔레콤</t>
  </si>
  <si>
    <t>EA062160</t>
  </si>
  <si>
    <t>글로우원</t>
  </si>
  <si>
    <t>EA071286</t>
  </si>
  <si>
    <t>글로텍</t>
  </si>
  <si>
    <t>EA022161</t>
  </si>
  <si>
    <t>금성연마공업</t>
  </si>
  <si>
    <t>EA081866</t>
  </si>
  <si>
    <t>금영엔터테인먼트</t>
  </si>
  <si>
    <t>EA080269</t>
  </si>
  <si>
    <t>금정프로젝트금융투자</t>
  </si>
  <si>
    <t>EA064031</t>
  </si>
  <si>
    <t>금하네이벌텍</t>
  </si>
  <si>
    <t>EA044991</t>
  </si>
  <si>
    <t>금호개발상사</t>
  </si>
  <si>
    <t>EA010536</t>
  </si>
  <si>
    <t>금호미쓰이화학</t>
  </si>
  <si>
    <t>EA026384</t>
  </si>
  <si>
    <t>EA063174</t>
  </si>
  <si>
    <t>금호티앤엘</t>
  </si>
  <si>
    <t>EA013249</t>
  </si>
  <si>
    <t>금호폴리켐</t>
  </si>
  <si>
    <t>EA013250</t>
  </si>
  <si>
    <t>금호피앤비화학</t>
  </si>
  <si>
    <t>EA066423</t>
  </si>
  <si>
    <t>금화씨앤이</t>
  </si>
  <si>
    <t>EA081846</t>
  </si>
  <si>
    <t>기가테라</t>
  </si>
  <si>
    <t>EA044023</t>
  </si>
  <si>
    <t>기성금속</t>
  </si>
  <si>
    <t>EA029893</t>
  </si>
  <si>
    <t>기신메가텍</t>
  </si>
  <si>
    <t>EA062199</t>
  </si>
  <si>
    <t>길교이앤씨</t>
  </si>
  <si>
    <t>EA068822</t>
  </si>
  <si>
    <t>김종학프로덕션</t>
  </si>
  <si>
    <t>EA063614</t>
  </si>
  <si>
    <t>김천에너지서비스</t>
  </si>
  <si>
    <t>EA013300</t>
  </si>
  <si>
    <t>EA051930</t>
  </si>
  <si>
    <t>나노씨엠에스</t>
  </si>
  <si>
    <t>EA058788</t>
  </si>
  <si>
    <t>나노윈</t>
  </si>
  <si>
    <t>EA069265</t>
  </si>
  <si>
    <t>나디아퍼시픽</t>
  </si>
  <si>
    <t>EA047858</t>
  </si>
  <si>
    <t>나라엠텍</t>
  </si>
  <si>
    <t>EA013312</t>
  </si>
  <si>
    <t>나래나노텍</t>
  </si>
  <si>
    <t>나래에너지서비스</t>
  </si>
  <si>
    <t>EA076166</t>
  </si>
  <si>
    <t>나무경영아카데미</t>
  </si>
  <si>
    <t>EA057803</t>
  </si>
  <si>
    <t>나이스신용정보</t>
  </si>
  <si>
    <t>EA048155</t>
  </si>
  <si>
    <t>나이스신용평가</t>
  </si>
  <si>
    <t>EA084756</t>
  </si>
  <si>
    <t>나이스씨엠에스</t>
  </si>
  <si>
    <t>EA014814</t>
  </si>
  <si>
    <t>나이스엘엠에스</t>
  </si>
  <si>
    <t>EA062940</t>
  </si>
  <si>
    <t>나이스인프라</t>
  </si>
  <si>
    <t>EA076894</t>
  </si>
  <si>
    <t>나이스페이먼츠</t>
  </si>
  <si>
    <t>나인테크</t>
  </si>
  <si>
    <t>EA058562</t>
  </si>
  <si>
    <t>나투라미디어</t>
  </si>
  <si>
    <t>EA084878</t>
  </si>
  <si>
    <t>나투라페이퍼</t>
  </si>
  <si>
    <t>EA045735</t>
  </si>
  <si>
    <t>남부산업</t>
  </si>
  <si>
    <t>EA086555</t>
  </si>
  <si>
    <t>남선홀딩스</t>
  </si>
  <si>
    <t>EA013377</t>
  </si>
  <si>
    <t>남영전구</t>
  </si>
  <si>
    <t>EA069759</t>
  </si>
  <si>
    <t>EA045570</t>
  </si>
  <si>
    <t>내트럭</t>
  </si>
  <si>
    <t>EA049678</t>
  </si>
  <si>
    <t>네덱</t>
  </si>
  <si>
    <t>EA021272</t>
  </si>
  <si>
    <t>EA070356</t>
  </si>
  <si>
    <t>네시삼십삼분</t>
  </si>
  <si>
    <t>EA074461</t>
  </si>
  <si>
    <t>네오밸류갈매피에프브이</t>
  </si>
  <si>
    <t>EA078878</t>
  </si>
  <si>
    <t>네오패션형지</t>
  </si>
  <si>
    <t>EA049969</t>
  </si>
  <si>
    <t>네오플</t>
  </si>
  <si>
    <t>네온테크</t>
  </si>
  <si>
    <t>EA084883</t>
  </si>
  <si>
    <t>네이버랩스</t>
  </si>
  <si>
    <t>EA056497</t>
  </si>
  <si>
    <t>EA061705</t>
  </si>
  <si>
    <t>네이버아이앤에스</t>
  </si>
  <si>
    <t>EA080646</t>
  </si>
  <si>
    <t>EA073626</t>
  </si>
  <si>
    <t>네이처브리지</t>
  </si>
  <si>
    <t>EA063788</t>
  </si>
  <si>
    <t>네이처텍</t>
  </si>
  <si>
    <t>EA063013</t>
  </si>
  <si>
    <t>네파</t>
  </si>
  <si>
    <t>EA080134</t>
  </si>
  <si>
    <t>넥스시스템즈</t>
  </si>
  <si>
    <t>EA045063</t>
  </si>
  <si>
    <t>넥스지</t>
  </si>
  <si>
    <t>넥스콘테크놀러지</t>
  </si>
  <si>
    <t>EA074783</t>
  </si>
  <si>
    <t>EA043845</t>
  </si>
  <si>
    <t>넥스타테크놀로지</t>
  </si>
  <si>
    <t>EA074283</t>
  </si>
  <si>
    <t>넥스트업</t>
  </si>
  <si>
    <t>EA072356</t>
  </si>
  <si>
    <t>넥스틴</t>
  </si>
  <si>
    <t>EA061139</t>
  </si>
  <si>
    <t>넥스플러스</t>
  </si>
  <si>
    <t>EA045135</t>
  </si>
  <si>
    <t>넥슨네트웍스</t>
  </si>
  <si>
    <t>EA043484</t>
  </si>
  <si>
    <t>넥슨코리아</t>
  </si>
  <si>
    <t>EA071097</t>
  </si>
  <si>
    <t>넷마블네오</t>
  </si>
  <si>
    <t>EA073633</t>
  </si>
  <si>
    <t>넷마블넥서스</t>
  </si>
  <si>
    <t>EA069552</t>
  </si>
  <si>
    <t>넷마블몬스터</t>
  </si>
  <si>
    <t>EA045316</t>
  </si>
  <si>
    <t>넷마블앤파크</t>
  </si>
  <si>
    <t>EA069558</t>
  </si>
  <si>
    <t>넷마블엔투</t>
  </si>
  <si>
    <t>EA013848</t>
  </si>
  <si>
    <t>노루비케미칼</t>
  </si>
  <si>
    <t>EA068814</t>
  </si>
  <si>
    <t>노루알앤씨</t>
  </si>
  <si>
    <t>EA026316</t>
  </si>
  <si>
    <t>노루오토코팅</t>
  </si>
  <si>
    <t>EA019250</t>
  </si>
  <si>
    <t>노루케미칼</t>
  </si>
  <si>
    <t>EA013877</t>
  </si>
  <si>
    <t>노루코일코팅</t>
  </si>
  <si>
    <t>EA057923</t>
  </si>
  <si>
    <t>노바셀테크놀로지</t>
  </si>
  <si>
    <t>EA066639</t>
  </si>
  <si>
    <t>노바스이지</t>
  </si>
  <si>
    <t>EA085430</t>
  </si>
  <si>
    <t>노보믹스</t>
  </si>
  <si>
    <t>EA085052</t>
  </si>
  <si>
    <t>노스퀘스트</t>
  </si>
  <si>
    <t>EA081233</t>
  </si>
  <si>
    <t>노을그린에너지</t>
  </si>
  <si>
    <t>EA042905</t>
  </si>
  <si>
    <t>녹십자이엠</t>
  </si>
  <si>
    <t>EA024544</t>
  </si>
  <si>
    <t>농심개발</t>
  </si>
  <si>
    <t>EA013451</t>
  </si>
  <si>
    <t>농심기획</t>
  </si>
  <si>
    <t>EA013452</t>
  </si>
  <si>
    <t>농심엔지니어링</t>
  </si>
  <si>
    <t>EA081277</t>
  </si>
  <si>
    <t>농업회사법인농협식품</t>
  </si>
  <si>
    <t>EA072855</t>
  </si>
  <si>
    <t>농업회사법인농협양곡</t>
  </si>
  <si>
    <t>EA062794</t>
  </si>
  <si>
    <t>농업회사법인농협티엠알</t>
  </si>
  <si>
    <t>EA081452</t>
  </si>
  <si>
    <t>농업회사법인동오시드</t>
  </si>
  <si>
    <t>EA070132</t>
  </si>
  <si>
    <t>농업회사법인맛누리</t>
  </si>
  <si>
    <t>EA077197</t>
  </si>
  <si>
    <t>농업회사법인부여육종</t>
  </si>
  <si>
    <t>EA063596</t>
  </si>
  <si>
    <t>EA062382</t>
  </si>
  <si>
    <t>농업회사법인새들만</t>
  </si>
  <si>
    <t>EA030166</t>
  </si>
  <si>
    <t>농업회사법인선진한마을</t>
  </si>
  <si>
    <t>EA075978</t>
  </si>
  <si>
    <t>EA013457</t>
  </si>
  <si>
    <t>농업회사법인안성</t>
  </si>
  <si>
    <t>EA072396</t>
  </si>
  <si>
    <t>농업회사법인알앤에프</t>
  </si>
  <si>
    <t>EA079900</t>
  </si>
  <si>
    <t>농업회사법인오리온농협</t>
  </si>
  <si>
    <t>EA048195</t>
  </si>
  <si>
    <t>농업회사법인오설록농장</t>
  </si>
  <si>
    <t>EA048485</t>
  </si>
  <si>
    <t>농업회사법인우포월드</t>
  </si>
  <si>
    <t>EA062935</t>
  </si>
  <si>
    <t>농업회사법인인백팜</t>
  </si>
  <si>
    <t>EA080835</t>
  </si>
  <si>
    <t>농업회사법인제이디팜</t>
  </si>
  <si>
    <t>EA039940</t>
  </si>
  <si>
    <t>농업회사법인주원산오리</t>
  </si>
  <si>
    <t>EA066691</t>
  </si>
  <si>
    <t>농업회사법인지리산하이포지피</t>
  </si>
  <si>
    <t>EA066179</t>
  </si>
  <si>
    <t>농업회사법인팜스월드지지피</t>
  </si>
  <si>
    <t>EA072386</t>
  </si>
  <si>
    <t>농업회사법인팜스코바이오인티</t>
  </si>
  <si>
    <t>EA061747</t>
  </si>
  <si>
    <t>농업회사법인한국원종</t>
  </si>
  <si>
    <t>EA045102</t>
  </si>
  <si>
    <t>농업회사법인현대서산농장</t>
  </si>
  <si>
    <t>EA063234</t>
  </si>
  <si>
    <t>농협경제지주</t>
  </si>
  <si>
    <t>EA022767</t>
  </si>
  <si>
    <t>농협대전유통</t>
  </si>
  <si>
    <t>EA047794</t>
  </si>
  <si>
    <t>농협목우촌</t>
  </si>
  <si>
    <t>EA044998</t>
  </si>
  <si>
    <t>농협물류</t>
  </si>
  <si>
    <t>EA022373</t>
  </si>
  <si>
    <t>농협부산경남유통</t>
  </si>
  <si>
    <t>EA038633</t>
  </si>
  <si>
    <t>농협사료</t>
  </si>
  <si>
    <t>EA010727</t>
  </si>
  <si>
    <t>농협유통</t>
  </si>
  <si>
    <t>EA026276</t>
  </si>
  <si>
    <t>농협충북유통</t>
  </si>
  <si>
    <t>EA018287</t>
  </si>
  <si>
    <t>농협케미컬</t>
  </si>
  <si>
    <t>EA072856</t>
  </si>
  <si>
    <t>농협하나로유통</t>
  </si>
  <si>
    <t>EA038707</t>
  </si>
  <si>
    <t>농협홍삼</t>
  </si>
  <si>
    <t>EA085061</t>
  </si>
  <si>
    <t>뉴딘콘텐츠</t>
  </si>
  <si>
    <t>EA088168</t>
  </si>
  <si>
    <t>뉴로메카</t>
  </si>
  <si>
    <t>EA045826</t>
  </si>
  <si>
    <t>뉴옵틱스</t>
  </si>
  <si>
    <t>EA047610</t>
  </si>
  <si>
    <t>니콘이미징코리아</t>
  </si>
  <si>
    <t>EA013482</t>
  </si>
  <si>
    <t>니콘프레시젼코리아</t>
  </si>
  <si>
    <t>EA063891</t>
  </si>
  <si>
    <t>다날엔터테인먼트</t>
  </si>
  <si>
    <t>EA029709</t>
  </si>
  <si>
    <t>다린</t>
  </si>
  <si>
    <t>EA073935</t>
  </si>
  <si>
    <t>다산네트웍솔루션즈</t>
  </si>
  <si>
    <t>EA061267</t>
  </si>
  <si>
    <t>다쏘시스템코리아</t>
  </si>
  <si>
    <t>EA058239</t>
  </si>
  <si>
    <t>다쓰테크</t>
  </si>
  <si>
    <t>EA022420</t>
  </si>
  <si>
    <t>다원케미칼</t>
  </si>
  <si>
    <t>EA029186</t>
  </si>
  <si>
    <t>EA085063</t>
  </si>
  <si>
    <t>EA054675</t>
  </si>
  <si>
    <t>당진기업</t>
  </si>
  <si>
    <t>EA056323</t>
  </si>
  <si>
    <t>당진탱크터미널</t>
  </si>
  <si>
    <t>EA029399</t>
  </si>
  <si>
    <t>대경오앤티</t>
  </si>
  <si>
    <t>EA054667</t>
  </si>
  <si>
    <t>대교에듀캠프</t>
  </si>
  <si>
    <t>EA060771</t>
  </si>
  <si>
    <t>대구그린파워</t>
  </si>
  <si>
    <t>EA063189</t>
  </si>
  <si>
    <t>대구프라스틱</t>
  </si>
  <si>
    <t>EA066641</t>
  </si>
  <si>
    <t>EA064352</t>
  </si>
  <si>
    <t>대덕바이오</t>
  </si>
  <si>
    <t>EA020273</t>
  </si>
  <si>
    <t>대륜E&amp;S</t>
  </si>
  <si>
    <t>EA060606</t>
  </si>
  <si>
    <t>대륜발전</t>
  </si>
  <si>
    <t>EA072517</t>
  </si>
  <si>
    <t>EA085341</t>
  </si>
  <si>
    <t>EA010009</t>
  </si>
  <si>
    <t>EA013609</t>
  </si>
  <si>
    <t>EA010693</t>
  </si>
  <si>
    <t>대상정보기술</t>
  </si>
  <si>
    <t>EA013643</t>
  </si>
  <si>
    <t>대성계전</t>
  </si>
  <si>
    <t>EA040990</t>
  </si>
  <si>
    <t>대성글로벌네트웍</t>
  </si>
  <si>
    <t>EA013651</t>
  </si>
  <si>
    <t>대성목재공업</t>
  </si>
  <si>
    <t>EA054762</t>
  </si>
  <si>
    <t>대성물류건설</t>
  </si>
  <si>
    <t>EA010011</t>
  </si>
  <si>
    <t>EA013653</t>
  </si>
  <si>
    <t>대성쎌틱에너시스</t>
  </si>
  <si>
    <t>EA029328</t>
  </si>
  <si>
    <t>대성씨앤에스</t>
  </si>
  <si>
    <t>EA021804</t>
  </si>
  <si>
    <t>대성청정에너지</t>
  </si>
  <si>
    <t>EA085550</t>
  </si>
  <si>
    <t>EA048554</t>
  </si>
  <si>
    <t>대양판지</t>
  </si>
  <si>
    <t>EA049625</t>
  </si>
  <si>
    <t>대연정공</t>
  </si>
  <si>
    <t>EA013715</t>
  </si>
  <si>
    <t>대영식품</t>
  </si>
  <si>
    <t>EA060707</t>
  </si>
  <si>
    <t>대우산업개발</t>
  </si>
  <si>
    <t>EA052927</t>
  </si>
  <si>
    <t>대우송도호텔</t>
  </si>
  <si>
    <t>EA043041</t>
  </si>
  <si>
    <t>대우에스티</t>
  </si>
  <si>
    <t>EA017314</t>
  </si>
  <si>
    <t>대우조선해양건설</t>
  </si>
  <si>
    <t>EA057449</t>
  </si>
  <si>
    <t>대웅바이오</t>
  </si>
  <si>
    <t>EA049627</t>
  </si>
  <si>
    <t>대웅생명과학</t>
  </si>
  <si>
    <t>EA041706</t>
  </si>
  <si>
    <t>대원방송</t>
  </si>
  <si>
    <t>EA075789</t>
  </si>
  <si>
    <t>EA049215</t>
  </si>
  <si>
    <t>대일이노텍</t>
  </si>
  <si>
    <t>EA045081</t>
  </si>
  <si>
    <t>대전열병합발전</t>
  </si>
  <si>
    <t>EA054474</t>
  </si>
  <si>
    <t>대한가스기기</t>
  </si>
  <si>
    <t>EA057866</t>
  </si>
  <si>
    <t>대한네트웍스</t>
  </si>
  <si>
    <t>EA013850</t>
  </si>
  <si>
    <t>대한사료</t>
  </si>
  <si>
    <t>EA010023</t>
  </si>
  <si>
    <t>대한상선</t>
  </si>
  <si>
    <t>EA017687</t>
  </si>
  <si>
    <t>대한세라믹스</t>
  </si>
  <si>
    <t>EA013857</t>
  </si>
  <si>
    <t>대한소결금속</t>
  </si>
  <si>
    <t>EA017688</t>
  </si>
  <si>
    <t>대한송유관공사</t>
  </si>
  <si>
    <t>EA060644</t>
  </si>
  <si>
    <t>대한슬래그</t>
  </si>
  <si>
    <t>EA064954</t>
  </si>
  <si>
    <t>대한시멘트</t>
  </si>
  <si>
    <t>EA013862</t>
  </si>
  <si>
    <t>대한싸이로</t>
  </si>
  <si>
    <t>EA022849</t>
  </si>
  <si>
    <t>EA061138</t>
  </si>
  <si>
    <t>대호기계공업</t>
  </si>
  <si>
    <t>EA084751</t>
  </si>
  <si>
    <t>대홍기획</t>
  </si>
  <si>
    <t>EA030262</t>
  </si>
  <si>
    <t>대흥산업</t>
  </si>
  <si>
    <t>EA080089</t>
  </si>
  <si>
    <t>더기반</t>
  </si>
  <si>
    <t>더네이쳐홀딩스</t>
  </si>
  <si>
    <t>EA051581</t>
  </si>
  <si>
    <t>더밸류앤코</t>
  </si>
  <si>
    <t>EA047916</t>
  </si>
  <si>
    <t>더블유스코프코리아</t>
  </si>
  <si>
    <t>EA080876</t>
  </si>
  <si>
    <t>더블유스퀘어광교</t>
  </si>
  <si>
    <t>EA087425</t>
  </si>
  <si>
    <t>더블유씨티</t>
  </si>
  <si>
    <t>EA084858</t>
  </si>
  <si>
    <t>더블유씨피</t>
  </si>
  <si>
    <t>EA081363</t>
  </si>
  <si>
    <t>더블유컨셉코리아</t>
  </si>
  <si>
    <t>EA060468</t>
  </si>
  <si>
    <t>더샘인터내셔날</t>
  </si>
  <si>
    <t>EA071144</t>
  </si>
  <si>
    <t>더에듀케이션</t>
  </si>
  <si>
    <t>EA051532</t>
  </si>
  <si>
    <t>EA013937</t>
  </si>
  <si>
    <t>덕원산업</t>
  </si>
  <si>
    <t>EA049463</t>
  </si>
  <si>
    <t>덕평랜드</t>
  </si>
  <si>
    <t>EA049465</t>
  </si>
  <si>
    <t>데스코</t>
  </si>
  <si>
    <t>EA030231</t>
  </si>
  <si>
    <t>데이콤크로싱</t>
  </si>
  <si>
    <t>EA051868</t>
  </si>
  <si>
    <t>덴티스</t>
  </si>
  <si>
    <t>EA012810</t>
  </si>
  <si>
    <t>도레이첨단소재</t>
  </si>
  <si>
    <t>EA058650</t>
  </si>
  <si>
    <t>도림통산</t>
  </si>
  <si>
    <t>EA084648</t>
  </si>
  <si>
    <t>도이치아우토</t>
  </si>
  <si>
    <t>EA081505</t>
  </si>
  <si>
    <t>도이치오토월드</t>
  </si>
  <si>
    <t>EA040600</t>
  </si>
  <si>
    <t>돈돈팜</t>
  </si>
  <si>
    <t>EA080758</t>
  </si>
  <si>
    <t>동국생명과학</t>
  </si>
  <si>
    <t>EA062857</t>
  </si>
  <si>
    <t>동두천드림파워</t>
  </si>
  <si>
    <t>EA014044</t>
  </si>
  <si>
    <t>동륭실업</t>
  </si>
  <si>
    <t>EA014051</t>
  </si>
  <si>
    <t>동명스틸</t>
  </si>
  <si>
    <t>EA020738</t>
  </si>
  <si>
    <t>동방노보펌</t>
  </si>
  <si>
    <t>EA080183</t>
  </si>
  <si>
    <t>동부고속</t>
  </si>
  <si>
    <t>EA067030</t>
  </si>
  <si>
    <t>EA054728</t>
  </si>
  <si>
    <t>동부로지스</t>
  </si>
  <si>
    <t>EA030405</t>
  </si>
  <si>
    <t>EA076914</t>
  </si>
  <si>
    <t>동부자산관리</t>
  </si>
  <si>
    <t>EA061911</t>
  </si>
  <si>
    <t>동부흥산</t>
  </si>
  <si>
    <t>EA042711</t>
  </si>
  <si>
    <t>동북아12호선박투자회사</t>
  </si>
  <si>
    <t>EA038840</t>
  </si>
  <si>
    <t>동서물산</t>
  </si>
  <si>
    <t>EA014091</t>
  </si>
  <si>
    <t>동서석유화학</t>
  </si>
  <si>
    <t>EA023098</t>
  </si>
  <si>
    <t>동서식품</t>
  </si>
  <si>
    <t>EA023101</t>
  </si>
  <si>
    <t>동서유지</t>
  </si>
  <si>
    <t>EA044428</t>
  </si>
  <si>
    <t>동성티씨에스</t>
  </si>
  <si>
    <t>EA012761</t>
  </si>
  <si>
    <t>동아건설산업</t>
  </si>
  <si>
    <t>EA010691</t>
  </si>
  <si>
    <t>동아스틸</t>
  </si>
  <si>
    <t>EA023157</t>
  </si>
  <si>
    <t>동아오츠카</t>
  </si>
  <si>
    <t>EA042891</t>
  </si>
  <si>
    <t>동아전지</t>
  </si>
  <si>
    <t>EA065989</t>
  </si>
  <si>
    <t>동아제약</t>
  </si>
  <si>
    <t>EA051474</t>
  </si>
  <si>
    <t>동아출판</t>
  </si>
  <si>
    <t>EA047814</t>
  </si>
  <si>
    <t>동아탱커</t>
  </si>
  <si>
    <t>EA040703</t>
  </si>
  <si>
    <t>EA072266</t>
  </si>
  <si>
    <t>동양메탈</t>
  </si>
  <si>
    <t>EA014216</t>
  </si>
  <si>
    <t>동영콜드프라자</t>
  </si>
  <si>
    <t>EA023232</t>
  </si>
  <si>
    <t>EA065984</t>
  </si>
  <si>
    <t>동원건설산업</t>
  </si>
  <si>
    <t>EA061239</t>
  </si>
  <si>
    <t>동원로엑스</t>
  </si>
  <si>
    <t>EA080927</t>
  </si>
  <si>
    <t>동원로엑스냉장</t>
  </si>
  <si>
    <t>EA040683</t>
  </si>
  <si>
    <t>동원로엑스인천</t>
  </si>
  <si>
    <t>EA014242</t>
  </si>
  <si>
    <t>동원엔터프라이즈</t>
  </si>
  <si>
    <t>EA014247</t>
  </si>
  <si>
    <t>동원파이프</t>
  </si>
  <si>
    <t>EA048268</t>
  </si>
  <si>
    <t>동원팜스</t>
  </si>
  <si>
    <t>EA038559</t>
  </si>
  <si>
    <t>동원페이퍼</t>
  </si>
  <si>
    <t>EA015170</t>
  </si>
  <si>
    <t>동원홈푸드</t>
  </si>
  <si>
    <t>EA077171</t>
  </si>
  <si>
    <t>동인</t>
  </si>
  <si>
    <t>EA014261</t>
  </si>
  <si>
    <t>동일드방레</t>
  </si>
  <si>
    <t>EA012647</t>
  </si>
  <si>
    <t>동일씨앤이</t>
  </si>
  <si>
    <t>EA014269</t>
  </si>
  <si>
    <t>동일알루미늄</t>
  </si>
  <si>
    <t>EA073874</t>
  </si>
  <si>
    <t>동주</t>
  </si>
  <si>
    <t>EA014298</t>
  </si>
  <si>
    <t>동진판지</t>
  </si>
  <si>
    <t>EA030755</t>
  </si>
  <si>
    <t>동진홀딩스</t>
  </si>
  <si>
    <t>EA046308</t>
  </si>
  <si>
    <t>EA087899</t>
  </si>
  <si>
    <t>두나무</t>
  </si>
  <si>
    <t>EA080294</t>
  </si>
  <si>
    <t>EA080293</t>
  </si>
  <si>
    <t>두산로보틱스</t>
  </si>
  <si>
    <t>EA080928</t>
  </si>
  <si>
    <t>두산메카텍</t>
  </si>
  <si>
    <t>EA077074</t>
  </si>
  <si>
    <t>두산밥캣코리아</t>
  </si>
  <si>
    <t>EA045370</t>
  </si>
  <si>
    <t>두산베어스</t>
  </si>
  <si>
    <t>EA045100</t>
  </si>
  <si>
    <t>두산큐벡스</t>
  </si>
  <si>
    <t>EA051987</t>
  </si>
  <si>
    <t>EA042261</t>
  </si>
  <si>
    <t>EA060614</t>
  </si>
  <si>
    <t>둔포기계</t>
  </si>
  <si>
    <t>EA014374</t>
  </si>
  <si>
    <t>듀링</t>
  </si>
  <si>
    <t>EA026400</t>
  </si>
  <si>
    <t>듀어코리아</t>
  </si>
  <si>
    <t>EA035430</t>
  </si>
  <si>
    <t>드림라인</t>
  </si>
  <si>
    <t>드림씨아이에스</t>
  </si>
  <si>
    <t>EA053149</t>
  </si>
  <si>
    <t>디모아</t>
  </si>
  <si>
    <t>EA051052</t>
  </si>
  <si>
    <t>디비메탈</t>
  </si>
  <si>
    <t>EA084884</t>
  </si>
  <si>
    <t>EA069247</t>
  </si>
  <si>
    <t>디비에프아이에스</t>
  </si>
  <si>
    <t>EA043235</t>
  </si>
  <si>
    <t>디섹</t>
  </si>
  <si>
    <t>EA085149</t>
  </si>
  <si>
    <t>디쉐어</t>
  </si>
  <si>
    <t>EA081564</t>
  </si>
  <si>
    <t>디아이씨글로벌</t>
  </si>
  <si>
    <t>EA084974</t>
  </si>
  <si>
    <t>디아이플로(DIFLOINC.)</t>
  </si>
  <si>
    <t>EA064898</t>
  </si>
  <si>
    <t>디알비인터내셔널</t>
  </si>
  <si>
    <t>EA070179</t>
  </si>
  <si>
    <t>디에스글로벌</t>
  </si>
  <si>
    <t>EA068800</t>
  </si>
  <si>
    <t>디에스파워</t>
  </si>
  <si>
    <t>EA081098</t>
  </si>
  <si>
    <t>디에스한남</t>
  </si>
  <si>
    <t>EA081884</t>
  </si>
  <si>
    <t>디에이에프에스</t>
  </si>
  <si>
    <t>EA052301</t>
  </si>
  <si>
    <t>디에이치라이팅</t>
  </si>
  <si>
    <t>EA084773</t>
  </si>
  <si>
    <t>EA086535</t>
  </si>
  <si>
    <t>EA072333</t>
  </si>
  <si>
    <t>디엠씨</t>
  </si>
  <si>
    <t>EA014054</t>
  </si>
  <si>
    <t>EA048883</t>
  </si>
  <si>
    <t>디엠씨미디어</t>
  </si>
  <si>
    <t>EA080626</t>
  </si>
  <si>
    <t>디오션시티쓰리</t>
  </si>
  <si>
    <t>EA077270</t>
  </si>
  <si>
    <t>디오션시티퍼스트</t>
  </si>
  <si>
    <t>EA038702</t>
  </si>
  <si>
    <t>디와이씨</t>
  </si>
  <si>
    <t>EA041577</t>
  </si>
  <si>
    <t>디와이엠솔루션</t>
  </si>
  <si>
    <t>EA068737</t>
  </si>
  <si>
    <t>디와이오토</t>
  </si>
  <si>
    <t>EA060718</t>
  </si>
  <si>
    <t>디지비유페이</t>
  </si>
  <si>
    <t>EA084832</t>
  </si>
  <si>
    <t>디지털프론티어</t>
  </si>
  <si>
    <t>EA056266</t>
  </si>
  <si>
    <t>디케이동신</t>
  </si>
  <si>
    <t>EA045682</t>
  </si>
  <si>
    <t>EA041955</t>
  </si>
  <si>
    <t>디티알</t>
  </si>
  <si>
    <t>EA042913</t>
  </si>
  <si>
    <t>디티에스</t>
  </si>
  <si>
    <t>EA016107</t>
  </si>
  <si>
    <t>딜라이브</t>
  </si>
  <si>
    <t>EA010780</t>
  </si>
  <si>
    <t>딜라이브강남케이블티브이</t>
  </si>
  <si>
    <t>EA043347</t>
  </si>
  <si>
    <t>딜라이브경기동부케이블티브이</t>
  </si>
  <si>
    <t>EA086365</t>
  </si>
  <si>
    <t>뚝심</t>
  </si>
  <si>
    <t>EA058340</t>
  </si>
  <si>
    <t>라온엔터테인먼트</t>
  </si>
  <si>
    <t>EA088417</t>
  </si>
  <si>
    <t>라이즈에듀케이션코리아</t>
  </si>
  <si>
    <t>EA086822</t>
  </si>
  <si>
    <t>라이프시맨틱스</t>
  </si>
  <si>
    <t>EA067090</t>
  </si>
  <si>
    <t>라인게임즈</t>
  </si>
  <si>
    <t>EA081457</t>
  </si>
  <si>
    <t>라인비즈플러스</t>
  </si>
  <si>
    <t>EA084851</t>
  </si>
  <si>
    <t>라인스튜디오</t>
  </si>
  <si>
    <t>EA082081</t>
  </si>
  <si>
    <t>라인업</t>
  </si>
  <si>
    <t>EA077651</t>
  </si>
  <si>
    <t>EA068968</t>
  </si>
  <si>
    <t>라인플러스</t>
  </si>
  <si>
    <t>EA082537</t>
  </si>
  <si>
    <t>라인플레이</t>
  </si>
  <si>
    <t>EA020433</t>
  </si>
  <si>
    <t>라한호텔</t>
  </si>
  <si>
    <t>EA072265</t>
  </si>
  <si>
    <t>람정엔터테인먼트코리아</t>
  </si>
  <si>
    <t>EA070801</t>
  </si>
  <si>
    <t>람정제주개발</t>
  </si>
  <si>
    <t>EA077105</t>
  </si>
  <si>
    <t>람정코리아</t>
  </si>
  <si>
    <t>EA072976</t>
  </si>
  <si>
    <t>랑시코리아</t>
  </si>
  <si>
    <t>EA066140</t>
  </si>
  <si>
    <t>랩</t>
  </si>
  <si>
    <t>EA062736</t>
  </si>
  <si>
    <t>러쉬코리아</t>
  </si>
  <si>
    <t>EA014454</t>
  </si>
  <si>
    <t>레고코리아</t>
  </si>
  <si>
    <t>EA082467</t>
  </si>
  <si>
    <t>레디엔터테인먼트</t>
  </si>
  <si>
    <t>EA068926</t>
  </si>
  <si>
    <t>레뱅드매일</t>
  </si>
  <si>
    <t>EA012804</t>
  </si>
  <si>
    <t>레오버넷</t>
  </si>
  <si>
    <t>EA058051</t>
  </si>
  <si>
    <t>레이몰드</t>
  </si>
  <si>
    <t>레이크머티리얼즈</t>
  </si>
  <si>
    <t>EA054076</t>
  </si>
  <si>
    <t>레이트론</t>
  </si>
  <si>
    <t>EA082552</t>
  </si>
  <si>
    <t>레인보우로보틱스</t>
  </si>
  <si>
    <t>EA038697</t>
  </si>
  <si>
    <t>렉스필드컨트리클럽</t>
  </si>
  <si>
    <t>EA085727</t>
  </si>
  <si>
    <t>렘퍼스</t>
  </si>
  <si>
    <t>EA014477</t>
  </si>
  <si>
    <t>로옴코리아</t>
  </si>
  <si>
    <t>EA040655</t>
  </si>
  <si>
    <t>로젠</t>
  </si>
  <si>
    <t>EA086904</t>
  </si>
  <si>
    <t>로킷헬스케어</t>
  </si>
  <si>
    <t>EA010683</t>
  </si>
  <si>
    <t>롯데글로벌로지스</t>
  </si>
  <si>
    <t>EA019726</t>
  </si>
  <si>
    <t>롯데네슬레코리아</t>
  </si>
  <si>
    <t>EA010543</t>
  </si>
  <si>
    <t>롯데디에프리테일</t>
  </si>
  <si>
    <t>EA042895</t>
  </si>
  <si>
    <t>롯데렌탈</t>
  </si>
  <si>
    <t>EA074130</t>
  </si>
  <si>
    <t>롯데멤버스</t>
  </si>
  <si>
    <t>EA072884</t>
  </si>
  <si>
    <t>롯데면세점제주</t>
  </si>
  <si>
    <t>EA023455</t>
  </si>
  <si>
    <t>롯데물산</t>
  </si>
  <si>
    <t>EA062948</t>
  </si>
  <si>
    <t>롯데미쓰이화학</t>
  </si>
  <si>
    <t>EA069562</t>
  </si>
  <si>
    <t>롯데베르살리스엘라스토머스</t>
  </si>
  <si>
    <t>EA015030</t>
  </si>
  <si>
    <t>EA014492</t>
  </si>
  <si>
    <t>롯데상사</t>
  </si>
  <si>
    <t>EA062996</t>
  </si>
  <si>
    <t>롯데송도쇼핑타운</t>
  </si>
  <si>
    <t>EA076019</t>
  </si>
  <si>
    <t>롯데쇼핑타운대구</t>
  </si>
  <si>
    <t>EA062995</t>
  </si>
  <si>
    <t>롯데수원역쇼핑타운</t>
  </si>
  <si>
    <t>EA051829</t>
  </si>
  <si>
    <t>롯데아사히주류</t>
  </si>
  <si>
    <t>EA010021</t>
  </si>
  <si>
    <t>롯데알미늄</t>
  </si>
  <si>
    <t>EA048041</t>
  </si>
  <si>
    <t>롯데엠시시</t>
  </si>
  <si>
    <t>EA014494</t>
  </si>
  <si>
    <t>롯데역사</t>
  </si>
  <si>
    <t>EA080099</t>
  </si>
  <si>
    <t>롯데오토케어</t>
  </si>
  <si>
    <t>EA080171</t>
  </si>
  <si>
    <t>롯데울산개발</t>
  </si>
  <si>
    <t>EA088328</t>
  </si>
  <si>
    <t>롯데위탁관리부동산투자회사</t>
  </si>
  <si>
    <t>EA069236</t>
  </si>
  <si>
    <t>롯데인천개발</t>
  </si>
  <si>
    <t>EA075921</t>
  </si>
  <si>
    <t>롯데인천타운</t>
  </si>
  <si>
    <t>EA051848</t>
  </si>
  <si>
    <t>롯데자산개발</t>
  </si>
  <si>
    <t>EA054417</t>
  </si>
  <si>
    <t>롯데자이언츠</t>
  </si>
  <si>
    <t>EA054411</t>
  </si>
  <si>
    <t>롯데제이티비</t>
  </si>
  <si>
    <t>EA017809</t>
  </si>
  <si>
    <t>롯데지알에스</t>
  </si>
  <si>
    <t>EA040593</t>
  </si>
  <si>
    <t>롯데지에프알</t>
  </si>
  <si>
    <t>EA086719</t>
  </si>
  <si>
    <t>롯데컬처웍스</t>
  </si>
  <si>
    <t>EA075961</t>
  </si>
  <si>
    <t>롯데타운동탄</t>
  </si>
  <si>
    <t>EA011138</t>
  </si>
  <si>
    <t>EA029488</t>
  </si>
  <si>
    <t>리드팜</t>
  </si>
  <si>
    <t>EA072489</t>
  </si>
  <si>
    <t>리디</t>
  </si>
  <si>
    <t>EA022240</t>
  </si>
  <si>
    <t>리치몬트코리아</t>
  </si>
  <si>
    <t>EA056358</t>
  </si>
  <si>
    <t>리클린</t>
  </si>
  <si>
    <t>EA088307</t>
  </si>
  <si>
    <t>리클린대구</t>
  </si>
  <si>
    <t>EA083796</t>
  </si>
  <si>
    <t>리클린홀딩스</t>
  </si>
  <si>
    <t>EA069304</t>
  </si>
  <si>
    <t>리프앤바인</t>
  </si>
  <si>
    <t>EA040922</t>
  </si>
  <si>
    <t>리한</t>
  </si>
  <si>
    <t>EA085333</t>
  </si>
  <si>
    <t>마더브레인</t>
  </si>
  <si>
    <t>EA077812</t>
  </si>
  <si>
    <t>마루기획</t>
  </si>
  <si>
    <t>EA052491</t>
  </si>
  <si>
    <t>마스터카드인터내셔날코리아</t>
  </si>
  <si>
    <t>EA021276</t>
  </si>
  <si>
    <t>마이비</t>
  </si>
  <si>
    <t>EA039606</t>
  </si>
  <si>
    <t>EA045371</t>
  </si>
  <si>
    <t>마제스티골프코리아</t>
  </si>
  <si>
    <t>EA029250</t>
  </si>
  <si>
    <t>마크애니</t>
  </si>
  <si>
    <t>EA040277</t>
  </si>
  <si>
    <t>마크원테크놀로지</t>
  </si>
  <si>
    <t>EA063005</t>
  </si>
  <si>
    <t>만도브로제</t>
  </si>
  <si>
    <t>EA065840</t>
  </si>
  <si>
    <t>만도차이나홀딩스</t>
  </si>
  <si>
    <t>EA057805</t>
  </si>
  <si>
    <t>EA019426</t>
  </si>
  <si>
    <t>말타니</t>
  </si>
  <si>
    <t>EA076466</t>
  </si>
  <si>
    <t>매그너스홀딩스</t>
  </si>
  <si>
    <t>EA084835</t>
  </si>
  <si>
    <t>매립지관리</t>
  </si>
  <si>
    <t>EA081343</t>
  </si>
  <si>
    <t>맥그리거코리아</t>
  </si>
  <si>
    <t>EA038545</t>
  </si>
  <si>
    <t>맥쿼리파이낸스코리아</t>
  </si>
  <si>
    <t>EA080403</t>
  </si>
  <si>
    <t>맥테크코리아</t>
  </si>
  <si>
    <t>EA026898</t>
  </si>
  <si>
    <t>머크일렉트로닉스머티리얼즈</t>
  </si>
  <si>
    <t>EA074860</t>
  </si>
  <si>
    <t>멈스</t>
  </si>
  <si>
    <t>EA080097</t>
  </si>
  <si>
    <t>메가코스</t>
  </si>
  <si>
    <t>EA088262</t>
  </si>
  <si>
    <t>메드파크</t>
  </si>
  <si>
    <t>EA075845</t>
  </si>
  <si>
    <t>메디오젠</t>
  </si>
  <si>
    <t>EA023512</t>
  </si>
  <si>
    <t>메디카코리아</t>
  </si>
  <si>
    <t>EA038694</t>
  </si>
  <si>
    <t>메르세데스벤츠코리아</t>
  </si>
  <si>
    <t>메쎄이상</t>
  </si>
  <si>
    <t>EA019489</t>
  </si>
  <si>
    <t>메조미디어</t>
  </si>
  <si>
    <t>EA047594</t>
  </si>
  <si>
    <t>EA049389</t>
  </si>
  <si>
    <t>메티스</t>
  </si>
  <si>
    <t>EA070370</t>
  </si>
  <si>
    <t>멜콘</t>
  </si>
  <si>
    <t>EA017833</t>
  </si>
  <si>
    <t>명신</t>
  </si>
  <si>
    <t>EA014575</t>
  </si>
  <si>
    <t>명신산업</t>
  </si>
  <si>
    <t>EA085705</t>
  </si>
  <si>
    <t>명신산업황성</t>
  </si>
  <si>
    <t>EA014581</t>
  </si>
  <si>
    <t>명인제약</t>
  </si>
  <si>
    <t>EA051108</t>
  </si>
  <si>
    <t>모델솔루션</t>
  </si>
  <si>
    <t>EA069030</t>
  </si>
  <si>
    <t>모두투어자기관리부동산투자회사</t>
  </si>
  <si>
    <t>EA086979</t>
  </si>
  <si>
    <t>모르페우스</t>
  </si>
  <si>
    <t>EA087233</t>
  </si>
  <si>
    <t>모바일티씨에스</t>
  </si>
  <si>
    <t>EA057377</t>
  </si>
  <si>
    <t>모보</t>
  </si>
  <si>
    <t>EA084191</t>
  </si>
  <si>
    <t>모비데이즈</t>
  </si>
  <si>
    <t>EA081022</t>
  </si>
  <si>
    <t>모비릭스</t>
  </si>
  <si>
    <t>EA064430</t>
  </si>
  <si>
    <t>모비젠</t>
  </si>
  <si>
    <t>EA059626</t>
  </si>
  <si>
    <t>EA046031</t>
  </si>
  <si>
    <t>모토닉스</t>
  </si>
  <si>
    <t>EA042031</t>
  </si>
  <si>
    <t>모토텍</t>
  </si>
  <si>
    <t>EA030373</t>
  </si>
  <si>
    <t>모피언스</t>
  </si>
  <si>
    <t>EA014605</t>
  </si>
  <si>
    <t>몽고식품</t>
  </si>
  <si>
    <t>EA078685</t>
  </si>
  <si>
    <t>EA051158</t>
  </si>
  <si>
    <t>무인양품</t>
  </si>
  <si>
    <t>EA083161</t>
  </si>
  <si>
    <t>문피아</t>
  </si>
  <si>
    <t>EA076408</t>
  </si>
  <si>
    <t>문화창고</t>
  </si>
  <si>
    <t>EA011779</t>
  </si>
  <si>
    <t>미디어로그</t>
  </si>
  <si>
    <t>EA051841</t>
  </si>
  <si>
    <t>미디어웹</t>
  </si>
  <si>
    <t>EA030378</t>
  </si>
  <si>
    <t>미라콤아이앤씨</t>
  </si>
  <si>
    <t>EA068826</t>
  </si>
  <si>
    <t>미래로시스템</t>
  </si>
  <si>
    <t>EA054643</t>
  </si>
  <si>
    <t>미래비아이</t>
  </si>
  <si>
    <t>EA066811</t>
  </si>
  <si>
    <t>미래솔레어</t>
  </si>
  <si>
    <t>EA066996</t>
  </si>
  <si>
    <t>미래환경에너지</t>
  </si>
  <si>
    <t>EA043105</t>
  </si>
  <si>
    <t>미르기술</t>
  </si>
  <si>
    <t>EA078903</t>
  </si>
  <si>
    <t>미미박스</t>
  </si>
  <si>
    <t>EA075891</t>
  </si>
  <si>
    <t>EA069010</t>
  </si>
  <si>
    <t>밀머란에스피씨</t>
  </si>
  <si>
    <t>EA062658</t>
  </si>
  <si>
    <t>바다로19호선박투자회사</t>
  </si>
  <si>
    <t>EA060560</t>
  </si>
  <si>
    <t>바디프랜드</t>
  </si>
  <si>
    <t>EA080517</t>
  </si>
  <si>
    <t>바스프컬러스앤이펙츠코리아</t>
  </si>
  <si>
    <t>EA051889</t>
  </si>
  <si>
    <t>바오스</t>
  </si>
  <si>
    <t>EA073910</t>
  </si>
  <si>
    <t>바이오다인</t>
  </si>
  <si>
    <t>EA075720</t>
  </si>
  <si>
    <t>바이오이즈</t>
  </si>
  <si>
    <t>바이오인프라생명과학</t>
  </si>
  <si>
    <t>EA077650</t>
  </si>
  <si>
    <t>바이오트로닉코리아</t>
  </si>
  <si>
    <t>EA086595</t>
  </si>
  <si>
    <t>바이오팜솔루션즈</t>
  </si>
  <si>
    <t>EA072221</t>
  </si>
  <si>
    <t>바이오플러스</t>
  </si>
  <si>
    <t>EA084794</t>
  </si>
  <si>
    <t>바이젠셀</t>
  </si>
  <si>
    <t>EA019876</t>
  </si>
  <si>
    <t>바커케미칼코리아</t>
  </si>
  <si>
    <t>EA046039</t>
  </si>
  <si>
    <t>바텍이우홀딩스</t>
  </si>
  <si>
    <t>EA060826</t>
  </si>
  <si>
    <t>EA072527</t>
  </si>
  <si>
    <t>배곧신도시지역특성화타운</t>
  </si>
  <si>
    <t>EA042877</t>
  </si>
  <si>
    <t>백학음료</t>
  </si>
  <si>
    <t>EA075874</t>
  </si>
  <si>
    <t>뱅크웨어글로벌</t>
  </si>
  <si>
    <t>EA014749</t>
  </si>
  <si>
    <t>베네통코리아</t>
  </si>
  <si>
    <t>EA066899</t>
  </si>
  <si>
    <t>베스트토요타</t>
  </si>
  <si>
    <t>EA056613</t>
  </si>
  <si>
    <t>베올리아워터자원개발</t>
  </si>
  <si>
    <t>EA014853</t>
  </si>
  <si>
    <t>벡스코</t>
  </si>
  <si>
    <t>EA085110</t>
  </si>
  <si>
    <t>벨커뮤니케이션즈</t>
  </si>
  <si>
    <t>EA010666</t>
  </si>
  <si>
    <t>벽산페인트</t>
  </si>
  <si>
    <t>EA056412</t>
  </si>
  <si>
    <t>별내에너지</t>
  </si>
  <si>
    <t>EA057930</t>
  </si>
  <si>
    <t>보나비</t>
  </si>
  <si>
    <t>EA068522</t>
  </si>
  <si>
    <t>보령엘엔지터미널</t>
  </si>
  <si>
    <t>EA087955</t>
  </si>
  <si>
    <t>보로노이</t>
  </si>
  <si>
    <t>EA014795</t>
  </si>
  <si>
    <t>보성</t>
  </si>
  <si>
    <t>EA080289</t>
  </si>
  <si>
    <t>보스포러스인베스트먼트</t>
  </si>
  <si>
    <t>EA047938</t>
  </si>
  <si>
    <t>보타메디</t>
  </si>
  <si>
    <t>EA044040</t>
  </si>
  <si>
    <t>EA040814</t>
  </si>
  <si>
    <t>부동산일일사</t>
  </si>
  <si>
    <t>EA072412</t>
  </si>
  <si>
    <t>부방유통</t>
  </si>
  <si>
    <t>EA076342</t>
  </si>
  <si>
    <t>부산그린에너지</t>
  </si>
  <si>
    <t>EA058733</t>
  </si>
  <si>
    <t>부산그린파워</t>
  </si>
  <si>
    <t>EA018858</t>
  </si>
  <si>
    <t>부산롯데호텔</t>
  </si>
  <si>
    <t>EA076398</t>
  </si>
  <si>
    <t>부산블루코스트</t>
  </si>
  <si>
    <t>EA060589</t>
  </si>
  <si>
    <t>부산이앤이</t>
  </si>
  <si>
    <t>EA047796</t>
  </si>
  <si>
    <t>부산하나로카드</t>
  </si>
  <si>
    <t>EA074680</t>
  </si>
  <si>
    <t>부자되세요</t>
  </si>
  <si>
    <t>EA086162</t>
  </si>
  <si>
    <t>뷰로베리타스씨피에스코리아</t>
  </si>
  <si>
    <t>EA081729</t>
  </si>
  <si>
    <t>뷰티리더</t>
  </si>
  <si>
    <t>EA084798</t>
  </si>
  <si>
    <t>브라보앤뉴</t>
  </si>
  <si>
    <t>EA084395</t>
  </si>
  <si>
    <t>브라운테크세일즈</t>
  </si>
  <si>
    <t>EA057867</t>
  </si>
  <si>
    <t>브이피</t>
  </si>
  <si>
    <t>EA080420</t>
  </si>
  <si>
    <t>브이피에이치씨</t>
  </si>
  <si>
    <t>EA010831</t>
  </si>
  <si>
    <t>블루버드</t>
  </si>
  <si>
    <t>EA068816</t>
  </si>
  <si>
    <t>블루원</t>
  </si>
  <si>
    <t>EA085696</t>
  </si>
  <si>
    <t>블루월넛</t>
  </si>
  <si>
    <t>EA087011</t>
  </si>
  <si>
    <t>블루코어피에프브이</t>
  </si>
  <si>
    <t>EA030652</t>
  </si>
  <si>
    <t>블루헤런</t>
  </si>
  <si>
    <t>EA080098</t>
  </si>
  <si>
    <t>비보존</t>
  </si>
  <si>
    <t>EA052060</t>
  </si>
  <si>
    <t>비아이디씨</t>
  </si>
  <si>
    <t>EA072166</t>
  </si>
  <si>
    <t>비앤비코리아</t>
  </si>
  <si>
    <t>EA010782</t>
  </si>
  <si>
    <t>비에스이</t>
  </si>
  <si>
    <t>EA017904</t>
  </si>
  <si>
    <t>비에스케이코퍼레이션</t>
  </si>
  <si>
    <t>EA051412</t>
  </si>
  <si>
    <t>비에이치씨</t>
  </si>
  <si>
    <t>EA080299</t>
  </si>
  <si>
    <t>비에이치앤바이오</t>
  </si>
  <si>
    <t>EA062978</t>
  </si>
  <si>
    <t>비에이치제주</t>
  </si>
  <si>
    <t>비올</t>
  </si>
  <si>
    <t>EA085915</t>
  </si>
  <si>
    <t>비욘드바이오</t>
  </si>
  <si>
    <t>EA017906</t>
  </si>
  <si>
    <t>비전힐스</t>
  </si>
  <si>
    <t>EA051157</t>
  </si>
  <si>
    <t>EA056215</t>
  </si>
  <si>
    <t>비지에프네트웍스</t>
  </si>
  <si>
    <t>EA054729</t>
  </si>
  <si>
    <t>비지에프로지스</t>
  </si>
  <si>
    <t>EA054691</t>
  </si>
  <si>
    <t>비지에프푸드</t>
  </si>
  <si>
    <t>EA075722</t>
  </si>
  <si>
    <t>비지에프휴먼넷</t>
  </si>
  <si>
    <t>EA079505</t>
  </si>
  <si>
    <t>비츠로넥스텍</t>
  </si>
  <si>
    <t>EA082606</t>
  </si>
  <si>
    <t>비츠로밀텍</t>
  </si>
  <si>
    <t>EA079499</t>
  </si>
  <si>
    <t>비츠로이엠</t>
  </si>
  <si>
    <t>EA064614</t>
  </si>
  <si>
    <t>비케이알</t>
  </si>
  <si>
    <t>EA059794</t>
  </si>
  <si>
    <t>비트앤와트</t>
  </si>
  <si>
    <t>EA014428</t>
  </si>
  <si>
    <t>사우스스프링스</t>
  </si>
  <si>
    <t>EA067797</t>
  </si>
  <si>
    <t>사우스케이프</t>
  </si>
  <si>
    <t>EA061942</t>
  </si>
  <si>
    <t>사조시스템즈</t>
  </si>
  <si>
    <t>EA073497</t>
  </si>
  <si>
    <t>사조에프에스</t>
  </si>
  <si>
    <t>EA045153</t>
  </si>
  <si>
    <t>산도테크</t>
  </si>
  <si>
    <t>EA076251</t>
  </si>
  <si>
    <t>산성피앤씨</t>
  </si>
  <si>
    <t>EA085059</t>
  </si>
  <si>
    <t>산청음료</t>
  </si>
  <si>
    <t>EA018828</t>
  </si>
  <si>
    <t>삼강에스앤씨</t>
  </si>
  <si>
    <t>EA014969</t>
  </si>
  <si>
    <t>삼남석유화학</t>
  </si>
  <si>
    <t>EA023976</t>
  </si>
  <si>
    <t>삼미금속</t>
  </si>
  <si>
    <t>EA045996</t>
  </si>
  <si>
    <t>삼박엘에프티</t>
  </si>
  <si>
    <t>EA057641</t>
  </si>
  <si>
    <t>삼보오토</t>
  </si>
  <si>
    <t>EA062657</t>
  </si>
  <si>
    <t>삼성디스플레이</t>
  </si>
  <si>
    <t>EA028831</t>
  </si>
  <si>
    <t>삼성메디슨</t>
  </si>
  <si>
    <t>EA066185</t>
  </si>
  <si>
    <t>삼성바이오에피스</t>
  </si>
  <si>
    <t>EA075829</t>
  </si>
  <si>
    <t>삼성생명금융서비스보험대리점</t>
  </si>
  <si>
    <t>EA044825</t>
  </si>
  <si>
    <t>삼성생명서비스손해사정</t>
  </si>
  <si>
    <t>EA065733</t>
  </si>
  <si>
    <t>삼성웰스토리</t>
  </si>
  <si>
    <t>EA019478</t>
  </si>
  <si>
    <t>삼성전자로지텍</t>
  </si>
  <si>
    <t>EA015043</t>
  </si>
  <si>
    <t>삼성전자서비스</t>
  </si>
  <si>
    <t>EA018734</t>
  </si>
  <si>
    <t>삼성전자판매</t>
  </si>
  <si>
    <t>EA069387</t>
  </si>
  <si>
    <t>삼성카드고객서비스</t>
  </si>
  <si>
    <t>EA050497</t>
  </si>
  <si>
    <t>삼성테이프</t>
  </si>
  <si>
    <t>EA015054</t>
  </si>
  <si>
    <t>삼성포리머</t>
  </si>
  <si>
    <t>EA080182</t>
  </si>
  <si>
    <t>삼성화재금융서비스보험대리점</t>
  </si>
  <si>
    <t>EA054359</t>
  </si>
  <si>
    <t>삼성화재서비스손해사정</t>
  </si>
  <si>
    <t>EA054416</t>
  </si>
  <si>
    <t>삼성화재애니카손해사정</t>
  </si>
  <si>
    <t>EA024059</t>
  </si>
  <si>
    <t>삼양데이타시스템</t>
  </si>
  <si>
    <t>EA060446</t>
  </si>
  <si>
    <t>삼양바이오팜</t>
  </si>
  <si>
    <t>EA051957</t>
  </si>
  <si>
    <t>삼양에프앤비</t>
  </si>
  <si>
    <t>EA060600</t>
  </si>
  <si>
    <t>삼양이노켐</t>
  </si>
  <si>
    <t>EA015088</t>
  </si>
  <si>
    <t>삼양프루웰</t>
  </si>
  <si>
    <t>EA015089</t>
  </si>
  <si>
    <t>삼양화성</t>
  </si>
  <si>
    <t>EA072211</t>
  </si>
  <si>
    <t>삼양화인테크놀로지</t>
  </si>
  <si>
    <t>EA069108</t>
  </si>
  <si>
    <t>삼우종합건축사사무소</t>
  </si>
  <si>
    <t>EA053831</t>
  </si>
  <si>
    <t>삼우중공업</t>
  </si>
  <si>
    <t>EA082254</t>
  </si>
  <si>
    <t>삼일약품교역</t>
  </si>
  <si>
    <t>EA066046</t>
  </si>
  <si>
    <t>삼천리모터스</t>
  </si>
  <si>
    <t>EA040659</t>
  </si>
  <si>
    <t>삼천리이에스</t>
  </si>
  <si>
    <t>EA038980</t>
  </si>
  <si>
    <t>삼천리이엔지</t>
  </si>
  <si>
    <t>EA044987</t>
  </si>
  <si>
    <t>삼표자원개발</t>
  </si>
  <si>
    <t>EA080500</t>
  </si>
  <si>
    <t>삼표해운</t>
  </si>
  <si>
    <t>EA023211</t>
  </si>
  <si>
    <t>삼한</t>
  </si>
  <si>
    <t>EA077442</t>
  </si>
  <si>
    <t>삼호나노텍</t>
  </si>
  <si>
    <t>EA056560</t>
  </si>
  <si>
    <t>삼화판지</t>
  </si>
  <si>
    <t>EA071405</t>
  </si>
  <si>
    <t>삼환기업</t>
  </si>
  <si>
    <t>EA077669</t>
  </si>
  <si>
    <t>상상스테이</t>
  </si>
  <si>
    <t>EA061131</t>
  </si>
  <si>
    <t>상상인선박기계</t>
  </si>
  <si>
    <t>EA062962</t>
  </si>
  <si>
    <t>상신이엔지</t>
  </si>
  <si>
    <t>EA075950</t>
  </si>
  <si>
    <t>상아기연</t>
  </si>
  <si>
    <t>EA044030</t>
  </si>
  <si>
    <t>새날테크텍스</t>
  </si>
  <si>
    <t>EA073191</t>
  </si>
  <si>
    <t>새한환경</t>
  </si>
  <si>
    <t>EA082116</t>
  </si>
  <si>
    <t>샘씨엔에스</t>
  </si>
  <si>
    <t>EA027413</t>
  </si>
  <si>
    <t>생고뱅이소바코리아</t>
  </si>
  <si>
    <t>EA039199</t>
  </si>
  <si>
    <t>생고뱅코리아</t>
  </si>
  <si>
    <t>EA015325</t>
  </si>
  <si>
    <t>서라벌도시가스</t>
  </si>
  <si>
    <t>EA015326</t>
  </si>
  <si>
    <t>서린상사</t>
  </si>
  <si>
    <t>EA085071</t>
  </si>
  <si>
    <t>서브원</t>
  </si>
  <si>
    <t>EA061715</t>
  </si>
  <si>
    <t>서비스에이스</t>
  </si>
  <si>
    <t>EA061361</t>
  </si>
  <si>
    <t>서비스탑</t>
  </si>
  <si>
    <t>EA075838</t>
  </si>
  <si>
    <t>서연씨엔에프</t>
  </si>
  <si>
    <t>EA030121</t>
  </si>
  <si>
    <t>서연오토비전</t>
  </si>
  <si>
    <t>EA020229</t>
  </si>
  <si>
    <t>서연인테크</t>
  </si>
  <si>
    <t>EA010331</t>
  </si>
  <si>
    <t>서울고속버스터미널</t>
  </si>
  <si>
    <t>EA010051</t>
  </si>
  <si>
    <t>서울랜드</t>
  </si>
  <si>
    <t>EA015355</t>
  </si>
  <si>
    <t>서울레이크사이드</t>
  </si>
  <si>
    <t>EA011746</t>
  </si>
  <si>
    <t>EA084636</t>
  </si>
  <si>
    <t>서울신교통카드</t>
  </si>
  <si>
    <t>EA084740</t>
  </si>
  <si>
    <t>서울옥션블루</t>
  </si>
  <si>
    <t>EA016958</t>
  </si>
  <si>
    <t>서울파이낸스센터</t>
  </si>
  <si>
    <t>EA062763</t>
  </si>
  <si>
    <t>EA015399</t>
  </si>
  <si>
    <t>서진산업</t>
  </si>
  <si>
    <t>EA056259</t>
  </si>
  <si>
    <t>EA065789</t>
  </si>
  <si>
    <t>선우</t>
  </si>
  <si>
    <t>EA015438</t>
  </si>
  <si>
    <t>선일다이파스</t>
  </si>
  <si>
    <t>EA012558</t>
  </si>
  <si>
    <t>선재하이테크</t>
  </si>
  <si>
    <t>EA053788</t>
  </si>
  <si>
    <t>EA063193</t>
  </si>
  <si>
    <t>선진햄</t>
  </si>
  <si>
    <t>EA040522</t>
  </si>
  <si>
    <t>EA080262</t>
  </si>
  <si>
    <t>성남의뜰</t>
  </si>
  <si>
    <t>EA052297</t>
  </si>
  <si>
    <t>성도엘앤디</t>
  </si>
  <si>
    <t>EA085505</t>
  </si>
  <si>
    <t>성신레미컨</t>
  </si>
  <si>
    <t>EA010734</t>
  </si>
  <si>
    <t>성안합섬</t>
  </si>
  <si>
    <t>EA061814</t>
  </si>
  <si>
    <t>성우홀딩스</t>
  </si>
  <si>
    <t>EA062500</t>
  </si>
  <si>
    <t>성원</t>
  </si>
  <si>
    <t>EA042068</t>
  </si>
  <si>
    <t>성주디앤디</t>
  </si>
  <si>
    <t>EA084170</t>
  </si>
  <si>
    <t>성지건설</t>
  </si>
  <si>
    <t>EA051183</t>
  </si>
  <si>
    <t>성창기업</t>
  </si>
  <si>
    <t>EA051245</t>
  </si>
  <si>
    <t>성창보드</t>
  </si>
  <si>
    <t>EA015605</t>
  </si>
  <si>
    <t>세다</t>
  </si>
  <si>
    <t>EA015608</t>
  </si>
  <si>
    <t>세라젬</t>
  </si>
  <si>
    <t>EA072894</t>
  </si>
  <si>
    <t>세류페이퍼</t>
  </si>
  <si>
    <t>EA067838</t>
  </si>
  <si>
    <t>세린식품</t>
  </si>
  <si>
    <t>EA010684</t>
  </si>
  <si>
    <t>세메스</t>
  </si>
  <si>
    <t>EA066586</t>
  </si>
  <si>
    <t>세보테크</t>
  </si>
  <si>
    <t>EA014918</t>
  </si>
  <si>
    <t>세빌스코리아</t>
  </si>
  <si>
    <t>EA054893</t>
  </si>
  <si>
    <t>세빛섬</t>
  </si>
  <si>
    <t>EA018077</t>
  </si>
  <si>
    <t>세아네트웍스</t>
  </si>
  <si>
    <t>EA040532</t>
  </si>
  <si>
    <t>세아메탈</t>
  </si>
  <si>
    <t>EA080180</t>
  </si>
  <si>
    <t>세아씨엠</t>
  </si>
  <si>
    <t>EA063086</t>
  </si>
  <si>
    <t>EA026374</t>
  </si>
  <si>
    <t>세아에삽</t>
  </si>
  <si>
    <t>EA010484</t>
  </si>
  <si>
    <t>세아에프에스</t>
  </si>
  <si>
    <t>EA066348</t>
  </si>
  <si>
    <t>세아엔지니어링</t>
  </si>
  <si>
    <t>EA014471</t>
  </si>
  <si>
    <t>세아엘앤에스</t>
  </si>
  <si>
    <t>EA048698</t>
  </si>
  <si>
    <t>세아엠앤에스</t>
  </si>
  <si>
    <t>EA010082</t>
  </si>
  <si>
    <t>세아창원특수강</t>
  </si>
  <si>
    <t>EA015641</t>
  </si>
  <si>
    <t>세안</t>
  </si>
  <si>
    <t>EA051882</t>
  </si>
  <si>
    <t>세움</t>
  </si>
  <si>
    <t>EA043159</t>
  </si>
  <si>
    <t>EA051236</t>
  </si>
  <si>
    <t>세일이엔에스</t>
  </si>
  <si>
    <t>EA015676</t>
  </si>
  <si>
    <t>세일인텍</t>
  </si>
  <si>
    <t>EA010083</t>
  </si>
  <si>
    <t>세종</t>
  </si>
  <si>
    <t>EA080696</t>
  </si>
  <si>
    <t>세중에스앤씨</t>
  </si>
  <si>
    <t>EA029809</t>
  </si>
  <si>
    <t>세중정보기술</t>
  </si>
  <si>
    <t>EA073208</t>
  </si>
  <si>
    <t>센소니아</t>
  </si>
  <si>
    <t>EA063308</t>
  </si>
  <si>
    <t>센코어테크</t>
  </si>
  <si>
    <t>EA051103</t>
  </si>
  <si>
    <t>센텀사이언스파크</t>
  </si>
  <si>
    <t>EA018095</t>
  </si>
  <si>
    <t>센트랄</t>
  </si>
  <si>
    <t>EA051983</t>
  </si>
  <si>
    <t>센트랄디티에스</t>
  </si>
  <si>
    <t>EA080165</t>
  </si>
  <si>
    <t>EA086262</t>
  </si>
  <si>
    <t>셀바이오휴먼텍</t>
  </si>
  <si>
    <t>EA081044</t>
  </si>
  <si>
    <t>셀비온</t>
  </si>
  <si>
    <t>EA068999</t>
  </si>
  <si>
    <t>셀트리온엔터테인먼트</t>
  </si>
  <si>
    <t>EA058647</t>
  </si>
  <si>
    <t>셀트리온홀딩스</t>
  </si>
  <si>
    <t>EA049427</t>
  </si>
  <si>
    <t>소룩스</t>
  </si>
  <si>
    <t>EA069202</t>
  </si>
  <si>
    <t>손오공아이비</t>
  </si>
  <si>
    <t>EA076092</t>
  </si>
  <si>
    <t>솔루엠</t>
  </si>
  <si>
    <t>EA080200</t>
  </si>
  <si>
    <t>솔브레인라사</t>
  </si>
  <si>
    <t>EA061920</t>
  </si>
  <si>
    <t>솔브레인에스엘디</t>
  </si>
  <si>
    <t>EA075917</t>
  </si>
  <si>
    <t>솔브레인옵토스</t>
  </si>
  <si>
    <t>솔트룩스</t>
  </si>
  <si>
    <t>EA067174</t>
  </si>
  <si>
    <t>송림푸드</t>
  </si>
  <si>
    <t>EA068939</t>
  </si>
  <si>
    <t>송산산업단지개발</t>
  </si>
  <si>
    <t>EA083084</t>
  </si>
  <si>
    <t>송암사</t>
  </si>
  <si>
    <t>EA015744</t>
  </si>
  <si>
    <t>송원물산</t>
  </si>
  <si>
    <t>EA078187</t>
  </si>
  <si>
    <t>송월주택사업</t>
  </si>
  <si>
    <t>EA078976</t>
  </si>
  <si>
    <t>쇼노트</t>
  </si>
  <si>
    <t>EA024821</t>
  </si>
  <si>
    <t>수산씨에스엠</t>
  </si>
  <si>
    <t>EA065934</t>
  </si>
  <si>
    <t>수산이앤에스</t>
  </si>
  <si>
    <t>EA015421</t>
  </si>
  <si>
    <t>수산인더스트리</t>
  </si>
  <si>
    <t>EA051988</t>
  </si>
  <si>
    <t>수완에너지</t>
  </si>
  <si>
    <t>EA064534</t>
  </si>
  <si>
    <t>순천에코트랜스</t>
  </si>
  <si>
    <t>EA043759</t>
  </si>
  <si>
    <t>슈가버블</t>
  </si>
  <si>
    <t>EA080147</t>
  </si>
  <si>
    <t>스노우</t>
  </si>
  <si>
    <t>EA015785</t>
  </si>
  <si>
    <t>스마트로</t>
  </si>
  <si>
    <t>EA072281</t>
  </si>
  <si>
    <t>스무디킹코리아</t>
  </si>
  <si>
    <t>EA060129</t>
  </si>
  <si>
    <t>스미후루코리아</t>
  </si>
  <si>
    <t>EA086212</t>
  </si>
  <si>
    <t>스와니코코</t>
  </si>
  <si>
    <t>EA039655</t>
  </si>
  <si>
    <t>EA043504</t>
  </si>
  <si>
    <t>스카이라이프티브이</t>
  </si>
  <si>
    <t>EA078583</t>
  </si>
  <si>
    <t>스케쳐스코리아</t>
  </si>
  <si>
    <t>EA038997</t>
  </si>
  <si>
    <t>스타바이오</t>
  </si>
  <si>
    <t>EA015790</t>
  </si>
  <si>
    <t>EA077099</t>
  </si>
  <si>
    <t>스타쉽엔터테인먼트</t>
  </si>
  <si>
    <t>EA075822</t>
  </si>
  <si>
    <t>스타필드고양</t>
  </si>
  <si>
    <t>EA068865</t>
  </si>
  <si>
    <t>스타필드청라</t>
  </si>
  <si>
    <t>EA063067</t>
  </si>
  <si>
    <t>스타필드하남</t>
  </si>
  <si>
    <t>EA082611</t>
  </si>
  <si>
    <t>스터디맥스</t>
  </si>
  <si>
    <t>EA015793</t>
  </si>
  <si>
    <t>스테코</t>
  </si>
  <si>
    <t>EA015795</t>
  </si>
  <si>
    <t>스템코</t>
  </si>
  <si>
    <t>EA084892</t>
  </si>
  <si>
    <t>스튜디오앤뉴</t>
  </si>
  <si>
    <t>EA071825</t>
  </si>
  <si>
    <t>시몬느액세서리컬렉션</t>
  </si>
  <si>
    <t>EA069150</t>
  </si>
  <si>
    <t>시스메이트</t>
  </si>
  <si>
    <t>EA020960</t>
  </si>
  <si>
    <t>시큐아이</t>
  </si>
  <si>
    <t>EA041075</t>
  </si>
  <si>
    <t>신대한판지</t>
  </si>
  <si>
    <t>신도기연</t>
  </si>
  <si>
    <t>EA062926</t>
  </si>
  <si>
    <t>신도디에스판매</t>
  </si>
  <si>
    <t>EA065751</t>
  </si>
  <si>
    <t>신도에이스</t>
  </si>
  <si>
    <t>EA080470</t>
  </si>
  <si>
    <t>신도이앤씨</t>
  </si>
  <si>
    <t>EA062912</t>
  </si>
  <si>
    <t>신도중앙판매</t>
  </si>
  <si>
    <t>EA018135</t>
  </si>
  <si>
    <t>신동</t>
  </si>
  <si>
    <t>EA051300</t>
  </si>
  <si>
    <t>신동와인</t>
  </si>
  <si>
    <t>EA072222</t>
  </si>
  <si>
    <t>EA015870</t>
  </si>
  <si>
    <t>신라엔지니어링</t>
  </si>
  <si>
    <t>EA073832</t>
  </si>
  <si>
    <t>신라홀딩스</t>
  </si>
  <si>
    <t>EA085145</t>
  </si>
  <si>
    <t>신선나또</t>
  </si>
  <si>
    <t>EA059004</t>
  </si>
  <si>
    <t>신성씨앤티</t>
  </si>
  <si>
    <t>EA084820</t>
  </si>
  <si>
    <t>EA065706</t>
  </si>
  <si>
    <t>신세계동대구복합환승센터</t>
  </si>
  <si>
    <t>EA080157</t>
  </si>
  <si>
    <t>신세계디에프</t>
  </si>
  <si>
    <t>EA045683</t>
  </si>
  <si>
    <t>신세계사이먼</t>
  </si>
  <si>
    <t>EA010649</t>
  </si>
  <si>
    <t>신세계센트럴시티</t>
  </si>
  <si>
    <t>EA054881</t>
  </si>
  <si>
    <t>신세계엘앤비</t>
  </si>
  <si>
    <t>EA049460</t>
  </si>
  <si>
    <t>신세계영랑호리조트</t>
  </si>
  <si>
    <t>EA051090</t>
  </si>
  <si>
    <t>신세계의정부역사</t>
  </si>
  <si>
    <t>EA081798</t>
  </si>
  <si>
    <t>EA010040</t>
  </si>
  <si>
    <t>EA057536</t>
  </si>
  <si>
    <t>신세계톰보이</t>
  </si>
  <si>
    <t>EA075827</t>
  </si>
  <si>
    <t>EA068874</t>
  </si>
  <si>
    <t>신세계프라퍼티</t>
  </si>
  <si>
    <t>EA056715</t>
  </si>
  <si>
    <t>신송산업</t>
  </si>
  <si>
    <t>EA056734</t>
  </si>
  <si>
    <t>신송식품</t>
  </si>
  <si>
    <t>EA065730</t>
  </si>
  <si>
    <t>신스틸</t>
  </si>
  <si>
    <t>EA072203</t>
  </si>
  <si>
    <t>신안그린에너지</t>
  </si>
  <si>
    <t>EA059257</t>
  </si>
  <si>
    <t>신암정유</t>
  </si>
  <si>
    <t>EA015922</t>
  </si>
  <si>
    <t>신양금속공업</t>
  </si>
  <si>
    <t>EA068429</t>
  </si>
  <si>
    <t>신영빌딩</t>
  </si>
  <si>
    <t>EA029994</t>
  </si>
  <si>
    <t>신오전자</t>
  </si>
  <si>
    <t>EA073852</t>
  </si>
  <si>
    <t>신진에스코</t>
  </si>
  <si>
    <t>EA015993</t>
  </si>
  <si>
    <t>EA048623</t>
  </si>
  <si>
    <t>신텍</t>
  </si>
  <si>
    <t>EA075957</t>
  </si>
  <si>
    <t>신평택발전</t>
  </si>
  <si>
    <t>EA051098</t>
  </si>
  <si>
    <t>신한디에스</t>
  </si>
  <si>
    <t>EA084677</t>
  </si>
  <si>
    <t>신한리츠운용</t>
  </si>
  <si>
    <t>EA041082</t>
  </si>
  <si>
    <t>신한신용정보</t>
  </si>
  <si>
    <t>EA030527</t>
  </si>
  <si>
    <t>신한아이타스</t>
  </si>
  <si>
    <t>EA088497</t>
  </si>
  <si>
    <t>신한알파용산위탁관리부동산투자회사</t>
  </si>
  <si>
    <t>EA083954</t>
  </si>
  <si>
    <t>신한알파위탁관리부동산투자회사</t>
  </si>
  <si>
    <t>EA010859</t>
  </si>
  <si>
    <t>신한중공업</t>
  </si>
  <si>
    <t>EA039963</t>
  </si>
  <si>
    <t>신흥글로벌</t>
  </si>
  <si>
    <t>EA059298</t>
  </si>
  <si>
    <t>실리콘마이터스</t>
  </si>
  <si>
    <t>EA086312</t>
  </si>
  <si>
    <t>심원테크</t>
  </si>
  <si>
    <t>EA087354</t>
  </si>
  <si>
    <t>EA044995</t>
  </si>
  <si>
    <t>심팩홀딩스</t>
  </si>
  <si>
    <t>EA086315</t>
  </si>
  <si>
    <t>십일번가</t>
  </si>
  <si>
    <t>EA063273</t>
  </si>
  <si>
    <t>싱그린에프에스</t>
  </si>
  <si>
    <t>EA012520</t>
  </si>
  <si>
    <t>싸이버로지텍</t>
  </si>
  <si>
    <t>EA086784</t>
  </si>
  <si>
    <t>싸이버원</t>
  </si>
  <si>
    <t>EA057827</t>
  </si>
  <si>
    <t>싸토리우스코리아바이오텍</t>
  </si>
  <si>
    <t>EA068075</t>
  </si>
  <si>
    <t>쌍용건설</t>
  </si>
  <si>
    <t>EA041726</t>
  </si>
  <si>
    <t>쌍용기초소재</t>
  </si>
  <si>
    <t>EA056222</t>
  </si>
  <si>
    <t>쌍용레미콘</t>
  </si>
  <si>
    <t>EA081113</t>
  </si>
  <si>
    <t>쌍용로지스틱스</t>
  </si>
  <si>
    <t>EA047026</t>
  </si>
  <si>
    <t>쌍용씨앤비</t>
  </si>
  <si>
    <t>EA016075</t>
  </si>
  <si>
    <t>쌤소나이트코리아</t>
  </si>
  <si>
    <t>EA012175</t>
  </si>
  <si>
    <t>써키트플렉스</t>
  </si>
  <si>
    <t>EA056792</t>
  </si>
  <si>
    <t>쎄믹스</t>
  </si>
  <si>
    <t>EA088356</t>
  </si>
  <si>
    <t>쓰리디팩토리</t>
  </si>
  <si>
    <t>EA039566</t>
  </si>
  <si>
    <t>쓰리애플즈코스메틱스</t>
  </si>
  <si>
    <t>EA040570</t>
  </si>
  <si>
    <t>씨디네트웍스</t>
  </si>
  <si>
    <t>EA084171</t>
  </si>
  <si>
    <t>씨앤에스자산관리</t>
  </si>
  <si>
    <t>EA042723</t>
  </si>
  <si>
    <t>씨앤에이치프리미어렌탈</t>
  </si>
  <si>
    <t>EA061143</t>
  </si>
  <si>
    <t>씨앤투스성진</t>
  </si>
  <si>
    <t>EA057797</t>
  </si>
  <si>
    <t>씨에스로직스</t>
  </si>
  <si>
    <t>EA054350</t>
  </si>
  <si>
    <t>씨에스리더</t>
  </si>
  <si>
    <t>EA065792</t>
  </si>
  <si>
    <t>씨에스마린</t>
  </si>
  <si>
    <t>EA054971</t>
  </si>
  <si>
    <t>씨에스원파트너</t>
  </si>
  <si>
    <t>EA016109</t>
  </si>
  <si>
    <t>씨에스유통</t>
  </si>
  <si>
    <t>EA047698</t>
  </si>
  <si>
    <t>씨에스케이</t>
  </si>
  <si>
    <t>EA054875</t>
  </si>
  <si>
    <t>씨에이치음료</t>
  </si>
  <si>
    <t>EA069515</t>
  </si>
  <si>
    <t>EA010443</t>
  </si>
  <si>
    <t>씨엔씨티에너지</t>
  </si>
  <si>
    <t>EA072482</t>
  </si>
  <si>
    <t>씨엔아이</t>
  </si>
  <si>
    <t>EA064616</t>
  </si>
  <si>
    <t>씨엔에스푸드시스템</t>
  </si>
  <si>
    <t>EA074589</t>
  </si>
  <si>
    <t>씨엔티테크</t>
  </si>
  <si>
    <t>EA075355</t>
  </si>
  <si>
    <t>씨엘인터내셔널</t>
  </si>
  <si>
    <t>EA086399</t>
  </si>
  <si>
    <t>씨유박스</t>
  </si>
  <si>
    <t>EA080312</t>
  </si>
  <si>
    <t>씨제이라이브시티</t>
  </si>
  <si>
    <t>EA039325</t>
  </si>
  <si>
    <t>씨제이엠디원</t>
  </si>
  <si>
    <t>EA016118</t>
  </si>
  <si>
    <t>씨제이올리브네트웍스</t>
  </si>
  <si>
    <t>EA038712</t>
  </si>
  <si>
    <t>씨제이텔레닉스</t>
  </si>
  <si>
    <t>EA045046</t>
  </si>
  <si>
    <t>씨제이파워캐스트</t>
  </si>
  <si>
    <t>EA063883</t>
  </si>
  <si>
    <t>씨제이포디플렉스</t>
  </si>
  <si>
    <t>EA068929</t>
  </si>
  <si>
    <t>EA010060</t>
  </si>
  <si>
    <t>씨텍</t>
  </si>
  <si>
    <t>EA066822</t>
  </si>
  <si>
    <t>씨티씨그린</t>
  </si>
  <si>
    <t>EA081811</t>
  </si>
  <si>
    <t>씨티에스</t>
  </si>
  <si>
    <t>EA018192</t>
  </si>
  <si>
    <t>씨프로</t>
  </si>
  <si>
    <t>EA020998</t>
  </si>
  <si>
    <t>씽크풀</t>
  </si>
  <si>
    <t>EA067209</t>
  </si>
  <si>
    <t>아다마코리아</t>
  </si>
  <si>
    <t>EA025146</t>
  </si>
  <si>
    <t>아드반테스트코리아</t>
  </si>
  <si>
    <t>EA069342</t>
  </si>
  <si>
    <t>아리바이오</t>
  </si>
  <si>
    <t>EA016138</t>
  </si>
  <si>
    <t>아마다코리아</t>
  </si>
  <si>
    <t>EA069838</t>
  </si>
  <si>
    <t>아모센스</t>
  </si>
  <si>
    <t>EA016140</t>
  </si>
  <si>
    <t>아모스프로페셔널</t>
  </si>
  <si>
    <t>EA051390</t>
  </si>
  <si>
    <t>아발론교육</t>
  </si>
  <si>
    <t>EA062441</t>
  </si>
  <si>
    <t>아벤트리알앤엠</t>
  </si>
  <si>
    <t>EA010442</t>
  </si>
  <si>
    <t>아비코테크</t>
  </si>
  <si>
    <t>EA059762</t>
  </si>
  <si>
    <t>아사아블로이엔트런스시스템</t>
  </si>
  <si>
    <t>EA045072</t>
  </si>
  <si>
    <t>아사아블로이코리아</t>
  </si>
  <si>
    <t>EA088248</t>
  </si>
  <si>
    <t>아사아블로이코리아삼화정밀</t>
  </si>
  <si>
    <t>EA016155</t>
  </si>
  <si>
    <t>아세아산업개발</t>
  </si>
  <si>
    <t>EA066512</t>
  </si>
  <si>
    <t>아센텍</t>
  </si>
  <si>
    <t>EA086429</t>
  </si>
  <si>
    <t>아스펜스</t>
  </si>
  <si>
    <t>EA045430</t>
  </si>
  <si>
    <t>아스플로</t>
  </si>
  <si>
    <t>EA054424</t>
  </si>
  <si>
    <t>아시아나세이버</t>
  </si>
  <si>
    <t>EA043794</t>
  </si>
  <si>
    <t>아우디폭스바겐코리아</t>
  </si>
  <si>
    <t>EA016174</t>
  </si>
  <si>
    <t>아워홈</t>
  </si>
  <si>
    <t>EA041007</t>
  </si>
  <si>
    <t>아이넷뱅크</t>
  </si>
  <si>
    <t>EA060460</t>
  </si>
  <si>
    <t>아이노스</t>
  </si>
  <si>
    <t>EA062374</t>
  </si>
  <si>
    <t>아이덴티티게임즈</t>
  </si>
  <si>
    <t>아이디피</t>
  </si>
  <si>
    <t>아이비김영</t>
  </si>
  <si>
    <t>EA042700</t>
  </si>
  <si>
    <t>아이비케이시스템</t>
  </si>
  <si>
    <t>EA046024</t>
  </si>
  <si>
    <t>아이비케이신용정보</t>
  </si>
  <si>
    <t>EA024689</t>
  </si>
  <si>
    <t>아이스트로</t>
  </si>
  <si>
    <t>EA013530</t>
  </si>
  <si>
    <t>아이아</t>
  </si>
  <si>
    <t>EA077974</t>
  </si>
  <si>
    <t>아이아이컴바인드</t>
  </si>
  <si>
    <t>EA060872</t>
  </si>
  <si>
    <t>아이에스해운</t>
  </si>
  <si>
    <t>EA064150</t>
  </si>
  <si>
    <t>아이에이티</t>
  </si>
  <si>
    <t>EA076889</t>
  </si>
  <si>
    <t>아이에이파워트론</t>
  </si>
  <si>
    <t>EA058159</t>
  </si>
  <si>
    <t>아이엔스틸인더스트리</t>
  </si>
  <si>
    <t>EA047139</t>
  </si>
  <si>
    <t>아이엠아이</t>
  </si>
  <si>
    <t>EA041599</t>
  </si>
  <si>
    <t>EA087222</t>
  </si>
  <si>
    <t>아이지스</t>
  </si>
  <si>
    <t>EA048145</t>
  </si>
  <si>
    <t>아이지에스</t>
  </si>
  <si>
    <t>EA082996</t>
  </si>
  <si>
    <t>아이탑스오토모티브</t>
  </si>
  <si>
    <t>EA040670</t>
  </si>
  <si>
    <t>아이템베이</t>
  </si>
  <si>
    <t>EA074994</t>
  </si>
  <si>
    <t>아이페이지온</t>
  </si>
  <si>
    <t>EA054363</t>
  </si>
  <si>
    <t>아인텔레서비스</t>
  </si>
  <si>
    <t>EA060657</t>
  </si>
  <si>
    <t>아임삭</t>
  </si>
  <si>
    <t>EA088254</t>
  </si>
  <si>
    <t>아지노모도농심푸즈</t>
  </si>
  <si>
    <t>EA016229</t>
  </si>
  <si>
    <t>아진피앤피</t>
  </si>
  <si>
    <t>EA072401</t>
  </si>
  <si>
    <t>아크로스</t>
  </si>
  <si>
    <t>EA016234</t>
  </si>
  <si>
    <t>아트라스콥코코리아</t>
  </si>
  <si>
    <t>EA087401</t>
  </si>
  <si>
    <t>아트몰링</t>
  </si>
  <si>
    <t>EA062544</t>
  </si>
  <si>
    <t>안리쓰코퍼레이션</t>
  </si>
  <si>
    <t>EA025220</t>
  </si>
  <si>
    <t>안산도시개발</t>
  </si>
  <si>
    <t>EA020782</t>
  </si>
  <si>
    <t>안셀코리아</t>
  </si>
  <si>
    <t>EA057767</t>
  </si>
  <si>
    <t>안양레미콘</t>
  </si>
  <si>
    <t>EA025233</t>
  </si>
  <si>
    <t>알루원</t>
  </si>
  <si>
    <t>EA045257</t>
  </si>
  <si>
    <t>알루텍</t>
  </si>
  <si>
    <t>EA088247</t>
  </si>
  <si>
    <t>알보젠코리아</t>
  </si>
  <si>
    <t>EA065974</t>
  </si>
  <si>
    <t>알보젠코리아홀딩스</t>
  </si>
  <si>
    <t>EA068864</t>
  </si>
  <si>
    <t>EA060048</t>
  </si>
  <si>
    <t>EA080987</t>
  </si>
  <si>
    <t>알파바이오랩스</t>
  </si>
  <si>
    <t>EA061250</t>
  </si>
  <si>
    <t>알피니언메디칼시스템</t>
  </si>
  <si>
    <t>EA080850</t>
  </si>
  <si>
    <t>압타머사이언스</t>
  </si>
  <si>
    <t>EA081560</t>
  </si>
  <si>
    <t>애그리치글로벌</t>
  </si>
  <si>
    <t>EA073325</t>
  </si>
  <si>
    <t>애니원</t>
  </si>
  <si>
    <t>애니플러스</t>
  </si>
  <si>
    <t>EA066116</t>
  </si>
  <si>
    <t>애드쿠아인터렉티브</t>
  </si>
  <si>
    <t>EA026410</t>
  </si>
  <si>
    <t>약진통상</t>
  </si>
  <si>
    <t>EA086165</t>
  </si>
  <si>
    <t>양주옥정4차주택위탁관리부동산투자회사</t>
  </si>
  <si>
    <t>EA086974</t>
  </si>
  <si>
    <t>어업회사법인그린피시팜</t>
  </si>
  <si>
    <t>EA060370</t>
  </si>
  <si>
    <t>에너솔라</t>
  </si>
  <si>
    <t>EA045445</t>
  </si>
  <si>
    <t>에너지엔</t>
  </si>
  <si>
    <t>EA044931</t>
  </si>
  <si>
    <t>에넥스텔레콤</t>
  </si>
  <si>
    <t>EA015534</t>
  </si>
  <si>
    <t>에드워드코리아</t>
  </si>
  <si>
    <t>EA016314</t>
  </si>
  <si>
    <t>에뛰드</t>
  </si>
  <si>
    <t>EA046021</t>
  </si>
  <si>
    <t>에릭슨엘지</t>
  </si>
  <si>
    <t>EA067457</t>
  </si>
  <si>
    <t>에릭슨엘지엔터프라이즈</t>
  </si>
  <si>
    <t>EA029961</t>
  </si>
  <si>
    <t>에버그린코리아</t>
  </si>
  <si>
    <t>EA076064</t>
  </si>
  <si>
    <t>에빅스젠</t>
  </si>
  <si>
    <t>EA076796</t>
  </si>
  <si>
    <t>에스디옵틱스</t>
  </si>
  <si>
    <t>EA082722</t>
  </si>
  <si>
    <t>에스바이오메딕스</t>
  </si>
  <si>
    <t>EA045366</t>
  </si>
  <si>
    <t>에스비비테크</t>
  </si>
  <si>
    <t>EA023984</t>
  </si>
  <si>
    <t>EA040574</t>
  </si>
  <si>
    <t>에스비에스미디어넷</t>
  </si>
  <si>
    <t>EA084689</t>
  </si>
  <si>
    <t>EA029321</t>
  </si>
  <si>
    <t>에스비에스에이앤티</t>
  </si>
  <si>
    <t>EA062951</t>
  </si>
  <si>
    <t>에스비에스엠앤씨</t>
  </si>
  <si>
    <t>EA084825</t>
  </si>
  <si>
    <t>에스비티엠</t>
  </si>
  <si>
    <t>EA072496</t>
  </si>
  <si>
    <t>에스쁘아</t>
  </si>
  <si>
    <t>에스씨엠생명과학</t>
  </si>
  <si>
    <t>EA060122</t>
  </si>
  <si>
    <t>에스아이티</t>
  </si>
  <si>
    <t>EA072197</t>
  </si>
  <si>
    <t>에스알</t>
  </si>
  <si>
    <t>EA028948</t>
  </si>
  <si>
    <t>에스앤아이코퍼레이션</t>
  </si>
  <si>
    <t>EA015414</t>
  </si>
  <si>
    <t>에스앤에스아이앤씨</t>
  </si>
  <si>
    <t>EA061048</t>
  </si>
  <si>
    <t>에스앤에스인터내셔날</t>
  </si>
  <si>
    <t>EA063046</t>
  </si>
  <si>
    <t>에스에스엘엠</t>
  </si>
  <si>
    <t>EA063543</t>
  </si>
  <si>
    <t>에스에스오토</t>
  </si>
  <si>
    <t>EA084457</t>
  </si>
  <si>
    <t>에스에스지닷컴</t>
  </si>
  <si>
    <t>EA067064</t>
  </si>
  <si>
    <t>에스에이엘</t>
  </si>
  <si>
    <t>EA040601</t>
  </si>
  <si>
    <t>에스에이치비</t>
  </si>
  <si>
    <t>EA070052</t>
  </si>
  <si>
    <t>에스에프에이서비스</t>
  </si>
  <si>
    <t>EA076673</t>
  </si>
  <si>
    <t>에스엔머티리얼즈</t>
  </si>
  <si>
    <t>EA010410</t>
  </si>
  <si>
    <t>에스엔에프코리아</t>
  </si>
  <si>
    <t>EA047744</t>
  </si>
  <si>
    <t>에스엔엔씨</t>
  </si>
  <si>
    <t>EA013640</t>
  </si>
  <si>
    <t>에스엘미러텍</t>
  </si>
  <si>
    <t>EA088496</t>
  </si>
  <si>
    <t>에스엘백시젠</t>
  </si>
  <si>
    <t>EA088245</t>
  </si>
  <si>
    <t>에스엠브이홀딩스</t>
  </si>
  <si>
    <t>EA018162</t>
  </si>
  <si>
    <t>에스엠상선</t>
  </si>
  <si>
    <t>EA075812</t>
  </si>
  <si>
    <t>EA076414</t>
  </si>
  <si>
    <t>에스와이빌드</t>
  </si>
  <si>
    <t>EA076411</t>
  </si>
  <si>
    <t>에스와이스틸텍</t>
  </si>
  <si>
    <t>EA062300</t>
  </si>
  <si>
    <t>에스와이테크</t>
  </si>
  <si>
    <t>EA068430</t>
  </si>
  <si>
    <t>에스와이홀딩스</t>
  </si>
  <si>
    <t>EA062963</t>
  </si>
  <si>
    <t>에스유머티리얼스</t>
  </si>
  <si>
    <t>EA065080</t>
  </si>
  <si>
    <t>EA010272</t>
  </si>
  <si>
    <t>에스지고려</t>
  </si>
  <si>
    <t>EA054138</t>
  </si>
  <si>
    <t>에스지신성건설</t>
  </si>
  <si>
    <t>EA042850</t>
  </si>
  <si>
    <t>에스지아이신용정보</t>
  </si>
  <si>
    <t>EA062987</t>
  </si>
  <si>
    <t>에스케이렌터카서비스</t>
  </si>
  <si>
    <t>EA043688</t>
  </si>
  <si>
    <t>에스케이모바일에너지</t>
  </si>
  <si>
    <t>EA084272</t>
  </si>
  <si>
    <t>에스케이바이오사이언스</t>
  </si>
  <si>
    <t>EA074178</t>
  </si>
  <si>
    <t>에스케이바이오텍</t>
  </si>
  <si>
    <t>EA071658</t>
  </si>
  <si>
    <t>에스케이브로드밴드</t>
  </si>
  <si>
    <t>EA084643</t>
  </si>
  <si>
    <t>에스케이쇼와덴코</t>
  </si>
  <si>
    <t>EA080179</t>
  </si>
  <si>
    <t>에스케이스토아</t>
  </si>
  <si>
    <t>EA079985</t>
  </si>
  <si>
    <t>에스케이씨인프라서비스</t>
  </si>
  <si>
    <t>EA048838</t>
  </si>
  <si>
    <t>에스케이씨하이테크앤마케팅</t>
  </si>
  <si>
    <t>EA068445</t>
  </si>
  <si>
    <t>에스케이어드밴스드</t>
  </si>
  <si>
    <t>EA051721</t>
  </si>
  <si>
    <t>EA040620</t>
  </si>
  <si>
    <t>에스케이에프코리아</t>
  </si>
  <si>
    <t>EA068852</t>
  </si>
  <si>
    <t>EA046071</t>
  </si>
  <si>
    <t>에스케이엠앤서비스</t>
  </si>
  <si>
    <t>EA061403</t>
  </si>
  <si>
    <t>에스케이오앤에스</t>
  </si>
  <si>
    <t>EA021072</t>
  </si>
  <si>
    <t>에스케이이엔에스</t>
  </si>
  <si>
    <t>EA030099</t>
  </si>
  <si>
    <t>EA018984</t>
  </si>
  <si>
    <t>에스케이커뮤니케이션즈</t>
  </si>
  <si>
    <t>EA010949</t>
  </si>
  <si>
    <t>에스케이텔레시스</t>
  </si>
  <si>
    <t>EA025285</t>
  </si>
  <si>
    <t>에스케이텔링크</t>
  </si>
  <si>
    <t>EA066315</t>
  </si>
  <si>
    <t>에스케이트레이딩인터내셔널</t>
  </si>
  <si>
    <t>EA080127</t>
  </si>
  <si>
    <t>에스케이트리켐</t>
  </si>
  <si>
    <t>EA075781</t>
  </si>
  <si>
    <t>에스케이플라즈마</t>
  </si>
  <si>
    <t>EA060808</t>
  </si>
  <si>
    <t>에스케이플래닛</t>
  </si>
  <si>
    <t>EA018682</t>
  </si>
  <si>
    <t>에스케이핀크스</t>
  </si>
  <si>
    <t>EA086295</t>
  </si>
  <si>
    <t>에스케이하이닉스시스템아이씨</t>
  </si>
  <si>
    <t>EA052471</t>
  </si>
  <si>
    <t>에스케이하이스텍</t>
  </si>
  <si>
    <t>EA030140</t>
  </si>
  <si>
    <t>에스케이하이이엔지</t>
  </si>
  <si>
    <t>EA058077</t>
  </si>
  <si>
    <t>에스코어</t>
  </si>
  <si>
    <t>EA062959</t>
  </si>
  <si>
    <t>에스트라</t>
  </si>
  <si>
    <t>EA011317</t>
  </si>
  <si>
    <t>에스트라오토모티브시스템</t>
  </si>
  <si>
    <t>EA063035</t>
  </si>
  <si>
    <t>에스티엠</t>
  </si>
  <si>
    <t>EA066621</t>
  </si>
  <si>
    <t>에스파워</t>
  </si>
  <si>
    <t>EA069034</t>
  </si>
  <si>
    <t>EA011140</t>
  </si>
  <si>
    <t>에스피반도체통신</t>
  </si>
  <si>
    <t>EA069013</t>
  </si>
  <si>
    <t>에스피씨지에프에스</t>
  </si>
  <si>
    <t>EA067092</t>
  </si>
  <si>
    <t>에스피텍</t>
  </si>
  <si>
    <t>EA040727</t>
  </si>
  <si>
    <t>EA076189</t>
  </si>
  <si>
    <t>에어서울</t>
  </si>
  <si>
    <t>EA065700</t>
  </si>
  <si>
    <t>에어코리아</t>
  </si>
  <si>
    <t>EA060708</t>
  </si>
  <si>
    <t>에이디엠</t>
  </si>
  <si>
    <t>EA010485</t>
  </si>
  <si>
    <t>에이디티캡스</t>
  </si>
  <si>
    <t>EA052357</t>
  </si>
  <si>
    <t>에이블현대호텔앤리조트</t>
  </si>
  <si>
    <t>EA066245</t>
  </si>
  <si>
    <t>에이비테크</t>
  </si>
  <si>
    <t>EA047954</t>
  </si>
  <si>
    <t>에이스냉동공조</t>
  </si>
  <si>
    <t>EA046704</t>
  </si>
  <si>
    <t>에이스스틸</t>
  </si>
  <si>
    <t>EA045921</t>
  </si>
  <si>
    <t>에이에스티</t>
  </si>
  <si>
    <t>EA080848</t>
  </si>
  <si>
    <t>에이에스티지</t>
  </si>
  <si>
    <t>EA051969</t>
  </si>
  <si>
    <t>에이엘에스</t>
  </si>
  <si>
    <t>EA057244</t>
  </si>
  <si>
    <t>에이엠텔레콤</t>
  </si>
  <si>
    <t>EA072916</t>
  </si>
  <si>
    <t>EA085856</t>
  </si>
  <si>
    <t>에이제이에너지</t>
  </si>
  <si>
    <t>EA080770</t>
  </si>
  <si>
    <t>에이제이전시몰</t>
  </si>
  <si>
    <t>EA053670</t>
  </si>
  <si>
    <t>에이제이토탈</t>
  </si>
  <si>
    <t>EA061821</t>
  </si>
  <si>
    <t>EA070327</t>
  </si>
  <si>
    <t>에이지테크</t>
  </si>
  <si>
    <t>EA010640</t>
  </si>
  <si>
    <t>에이치디씨리조트</t>
  </si>
  <si>
    <t>EA075875</t>
  </si>
  <si>
    <t>에이치디씨신라면세점</t>
  </si>
  <si>
    <t>EA010884</t>
  </si>
  <si>
    <t>에이치디씨아이서비스</t>
  </si>
  <si>
    <t>EA028375</t>
  </si>
  <si>
    <t>에이치디씨아이앤콘스</t>
  </si>
  <si>
    <t>EA020369</t>
  </si>
  <si>
    <t>에이치디씨아이파크몰</t>
  </si>
  <si>
    <t>EA040503</t>
  </si>
  <si>
    <t>에이치디씨영창</t>
  </si>
  <si>
    <t>EA065707</t>
  </si>
  <si>
    <t>에이치디엑스윌</t>
  </si>
  <si>
    <t>EA072483</t>
  </si>
  <si>
    <t>에이치라인해운</t>
  </si>
  <si>
    <t>EA070404</t>
  </si>
  <si>
    <t>에이치비엔터테인먼트</t>
  </si>
  <si>
    <t>EA029919</t>
  </si>
  <si>
    <t>에이치솔루션</t>
  </si>
  <si>
    <t>EA068766</t>
  </si>
  <si>
    <t>에이치씨엠</t>
  </si>
  <si>
    <t>EA041375</t>
  </si>
  <si>
    <t>에이치에스애드</t>
  </si>
  <si>
    <t>EA020580</t>
  </si>
  <si>
    <t>에이치에스테크놀로지</t>
  </si>
  <si>
    <t>EA060651</t>
  </si>
  <si>
    <t>에이치엔씨네트워크</t>
  </si>
  <si>
    <t>EA060511</t>
  </si>
  <si>
    <t>EA086216</t>
  </si>
  <si>
    <t>에이치와이인터내셔널</t>
  </si>
  <si>
    <t>EA038823</t>
  </si>
  <si>
    <t>에이치제이매그놀리아용평파인리즈골프앤리조트</t>
  </si>
  <si>
    <t>EA058209</t>
  </si>
  <si>
    <t>에이치케이엠엔에스</t>
  </si>
  <si>
    <t>EA085485</t>
  </si>
  <si>
    <t>에이치피앤디</t>
  </si>
  <si>
    <t>EA084826</t>
  </si>
  <si>
    <t>에이치피케이</t>
  </si>
  <si>
    <t>EA075953</t>
  </si>
  <si>
    <t>EA081900</t>
  </si>
  <si>
    <t>에이텍에이피</t>
  </si>
  <si>
    <t>EA044412</t>
  </si>
  <si>
    <t>에이티앤에스코리아</t>
  </si>
  <si>
    <t>EA024342</t>
  </si>
  <si>
    <t>에이팩</t>
  </si>
  <si>
    <t>에이프로</t>
  </si>
  <si>
    <t>EA042903</t>
  </si>
  <si>
    <t>에이프로젠</t>
  </si>
  <si>
    <t>EA072770</t>
  </si>
  <si>
    <t>에이프로젠바이오로직스</t>
  </si>
  <si>
    <t>EA073327</t>
  </si>
  <si>
    <t>에이프로젠파마</t>
  </si>
  <si>
    <t>EA054222</t>
  </si>
  <si>
    <t>에이플러스에셋어드바이저</t>
  </si>
  <si>
    <t>EA080540</t>
  </si>
  <si>
    <t>에이피에스에이엠디</t>
  </si>
  <si>
    <t>EA085494</t>
  </si>
  <si>
    <t>에이피지코리아케이이</t>
  </si>
  <si>
    <t>EA021089</t>
  </si>
  <si>
    <t>에임시스템</t>
  </si>
  <si>
    <t>EA016721</t>
  </si>
  <si>
    <t>에임하이글로벌</t>
  </si>
  <si>
    <t>EA068241</t>
  </si>
  <si>
    <t>에치엔지</t>
  </si>
  <si>
    <t>EA059771</t>
  </si>
  <si>
    <t>에코니티</t>
  </si>
  <si>
    <t>EA030043</t>
  </si>
  <si>
    <t>EA075793</t>
  </si>
  <si>
    <t>에코시티개발</t>
  </si>
  <si>
    <t>EA076020</t>
  </si>
  <si>
    <t>에코트라움</t>
  </si>
  <si>
    <t>EA066051</t>
  </si>
  <si>
    <t>에코프로이노베이션</t>
  </si>
  <si>
    <t>EA044951</t>
  </si>
  <si>
    <t>에프알엘코리아</t>
  </si>
  <si>
    <t>EA076755</t>
  </si>
  <si>
    <t>에프앤디넷</t>
  </si>
  <si>
    <t>EA081559</t>
  </si>
  <si>
    <t>에프앤디인프라</t>
  </si>
  <si>
    <t>EA030082</t>
  </si>
  <si>
    <t>에프앤유신용정보</t>
  </si>
  <si>
    <t>EA065958</t>
  </si>
  <si>
    <t>에프앤코</t>
  </si>
  <si>
    <t>EA080280</t>
  </si>
  <si>
    <t>에프에스케이엘앤에스</t>
  </si>
  <si>
    <t>EA075830</t>
  </si>
  <si>
    <t>에프엠지</t>
  </si>
  <si>
    <t>EA052402</t>
  </si>
  <si>
    <t>에프엠케이</t>
  </si>
  <si>
    <t>EA060848</t>
  </si>
  <si>
    <t>에프이에스제주</t>
  </si>
  <si>
    <t>EA028715</t>
  </si>
  <si>
    <t>EA078463</t>
  </si>
  <si>
    <t>엑센도</t>
  </si>
  <si>
    <t>EA042919</t>
  </si>
  <si>
    <t>엑소후레쉬물류</t>
  </si>
  <si>
    <t>EA057905</t>
  </si>
  <si>
    <t>엑스엘게임즈</t>
  </si>
  <si>
    <t>EA017609</t>
  </si>
  <si>
    <t>엑스코</t>
  </si>
  <si>
    <t>EA016420</t>
  </si>
  <si>
    <t>엔디에스</t>
  </si>
  <si>
    <t>EA074121</t>
  </si>
  <si>
    <t>엔라인</t>
  </si>
  <si>
    <t>EA086276</t>
  </si>
  <si>
    <t>엔미디어플랫폼</t>
  </si>
  <si>
    <t>EA086485</t>
  </si>
  <si>
    <t>엔비스아나</t>
  </si>
  <si>
    <t>EA073680</t>
  </si>
  <si>
    <t>엔비티</t>
  </si>
  <si>
    <t>EA063399</t>
  </si>
  <si>
    <t>엔써즈</t>
  </si>
  <si>
    <t>EA053786</t>
  </si>
  <si>
    <t>엔쓰리엔</t>
  </si>
  <si>
    <t>EA026269</t>
  </si>
  <si>
    <t>엔에스에너지</t>
  </si>
  <si>
    <t>EA086569</t>
  </si>
  <si>
    <t>EA087197</t>
  </si>
  <si>
    <t>엔에이치엔애드</t>
  </si>
  <si>
    <t>EA066814</t>
  </si>
  <si>
    <t>엔에이치엔위투</t>
  </si>
  <si>
    <t>EA082616</t>
  </si>
  <si>
    <t>엔에이치엔페이코</t>
  </si>
  <si>
    <t>EA073410</t>
  </si>
  <si>
    <t>엔에이치엔픽셀큐브</t>
  </si>
  <si>
    <t>EA047822</t>
  </si>
  <si>
    <t>엔에이치테크</t>
  </si>
  <si>
    <t>EA081026</t>
  </si>
  <si>
    <t>EA017583</t>
  </si>
  <si>
    <t>엔엑스씨</t>
  </si>
  <si>
    <t>EA049659</t>
  </si>
  <si>
    <t>EA067805</t>
  </si>
  <si>
    <t>엔캣</t>
  </si>
  <si>
    <t>EA078271</t>
  </si>
  <si>
    <t>엔코스</t>
  </si>
  <si>
    <t>EA015463</t>
  </si>
  <si>
    <t>엔탑</t>
  </si>
  <si>
    <t>EA029469</t>
  </si>
  <si>
    <t>엔터미디어</t>
  </si>
  <si>
    <t>EA064268</t>
  </si>
  <si>
    <t>엔테크서비스</t>
  </si>
  <si>
    <t>EA016432</t>
  </si>
  <si>
    <t>엔투비</t>
  </si>
  <si>
    <t>EA080718</t>
  </si>
  <si>
    <t>EA030142</t>
  </si>
  <si>
    <t>엔프라니</t>
  </si>
  <si>
    <t>EA085022</t>
  </si>
  <si>
    <t>엔피씨케미칼</t>
  </si>
  <si>
    <t>EA088369</t>
  </si>
  <si>
    <t>엘렉타</t>
  </si>
  <si>
    <t>EA021102</t>
  </si>
  <si>
    <t>엘림넷</t>
  </si>
  <si>
    <t>EA054866</t>
  </si>
  <si>
    <t>엘베스트</t>
  </si>
  <si>
    <t>EA042885</t>
  </si>
  <si>
    <t>엘비루셈</t>
  </si>
  <si>
    <t>EA070562</t>
  </si>
  <si>
    <t>엘솔루</t>
  </si>
  <si>
    <t>EA072477</t>
  </si>
  <si>
    <t>엘앤피코스메틱</t>
  </si>
  <si>
    <t>EA048637</t>
  </si>
  <si>
    <t>엘에스글로벌인코퍼레이티드</t>
  </si>
  <si>
    <t>EA011650</t>
  </si>
  <si>
    <t>EA039381</t>
  </si>
  <si>
    <t>엘에스메카피온</t>
  </si>
  <si>
    <t>EA057955</t>
  </si>
  <si>
    <t>엘에스메탈</t>
  </si>
  <si>
    <t>EA080732</t>
  </si>
  <si>
    <t>EA065697</t>
  </si>
  <si>
    <t>엘에스아이앤디</t>
  </si>
  <si>
    <t>EA050950</t>
  </si>
  <si>
    <t>엘에스엠트론</t>
  </si>
  <si>
    <t>EA085172</t>
  </si>
  <si>
    <t>EA046418</t>
  </si>
  <si>
    <t>엘에치이</t>
  </si>
  <si>
    <t>EA053374</t>
  </si>
  <si>
    <t>엘에프푸드</t>
  </si>
  <si>
    <t>EA060731</t>
  </si>
  <si>
    <t>엘이디라이텍</t>
  </si>
  <si>
    <t>EA016448</t>
  </si>
  <si>
    <t>엘지씨엔에스</t>
  </si>
  <si>
    <t>EA026417</t>
  </si>
  <si>
    <t>엘칸토</t>
  </si>
  <si>
    <t>EA010308</t>
  </si>
  <si>
    <t>엘티삼보</t>
  </si>
  <si>
    <t>EA080192</t>
  </si>
  <si>
    <t>엠글로벌</t>
  </si>
  <si>
    <t>EA088308</t>
  </si>
  <si>
    <t>엠다온</t>
  </si>
  <si>
    <t>EA068976</t>
  </si>
  <si>
    <t>엠비아이</t>
  </si>
  <si>
    <t>EA076988</t>
  </si>
  <si>
    <t>엠비에스코퍼레이션</t>
  </si>
  <si>
    <t>EA061900</t>
  </si>
  <si>
    <t>엠씨솔루션</t>
  </si>
  <si>
    <t>EA023550</t>
  </si>
  <si>
    <t>엠에스에스글로벌</t>
  </si>
  <si>
    <t>EA069373</t>
  </si>
  <si>
    <t>엠에스에스펄프</t>
  </si>
  <si>
    <t>EA069368</t>
  </si>
  <si>
    <t>엠에스에스홀딩스</t>
  </si>
  <si>
    <t>EA069399</t>
  </si>
  <si>
    <t>엠에프지코리아</t>
  </si>
  <si>
    <t>EA047865</t>
  </si>
  <si>
    <t>엠오디</t>
  </si>
  <si>
    <t>EA075023</t>
  </si>
  <si>
    <t>엠이천</t>
  </si>
  <si>
    <t>EA080808</t>
  </si>
  <si>
    <t>엠제이아이</t>
  </si>
  <si>
    <t>EA065948</t>
  </si>
  <si>
    <t>엠즈씨드</t>
  </si>
  <si>
    <t>EA076781</t>
  </si>
  <si>
    <t>엠즈푸드시스템</t>
  </si>
  <si>
    <t>EA063730</t>
  </si>
  <si>
    <t>엠지</t>
  </si>
  <si>
    <t>EA057957</t>
  </si>
  <si>
    <t>엠지신용정보</t>
  </si>
  <si>
    <t>EA045040</t>
  </si>
  <si>
    <t>엠파크</t>
  </si>
  <si>
    <t>EA065473</t>
  </si>
  <si>
    <t>EA083826</t>
  </si>
  <si>
    <t>엠푸름</t>
  </si>
  <si>
    <t>EA075976</t>
  </si>
  <si>
    <t>EA088309</t>
  </si>
  <si>
    <t>엠함안</t>
  </si>
  <si>
    <t>EA012166</t>
  </si>
  <si>
    <t>엠허브</t>
  </si>
  <si>
    <t>EA046116</t>
  </si>
  <si>
    <t>여의시스템</t>
  </si>
  <si>
    <t>EA011569</t>
  </si>
  <si>
    <t>여천NCC</t>
  </si>
  <si>
    <t>EA077383</t>
  </si>
  <si>
    <t>영구크린</t>
  </si>
  <si>
    <t>EA010182</t>
  </si>
  <si>
    <t>영남에너지서비스</t>
  </si>
  <si>
    <t>EA041029</t>
  </si>
  <si>
    <t>영신디엔씨</t>
  </si>
  <si>
    <t>EA057154</t>
  </si>
  <si>
    <t>영양풍력발전공사</t>
  </si>
  <si>
    <t>EA017477</t>
  </si>
  <si>
    <t>영원아웃도어</t>
  </si>
  <si>
    <t>EA029750</t>
  </si>
  <si>
    <t>영인과학</t>
  </si>
  <si>
    <t>EA081293</t>
  </si>
  <si>
    <t>영천바이오에너지</t>
  </si>
  <si>
    <t>EA016583</t>
  </si>
  <si>
    <t>영풍전자</t>
  </si>
  <si>
    <t>EA049256</t>
  </si>
  <si>
    <t>영풍파일</t>
  </si>
  <si>
    <t>EA010384</t>
  </si>
  <si>
    <t>영화기업</t>
  </si>
  <si>
    <t>EA088105</t>
  </si>
  <si>
    <t>영화사집</t>
  </si>
  <si>
    <t>EA083785</t>
  </si>
  <si>
    <t>예스코</t>
  </si>
  <si>
    <t>EA014751</t>
  </si>
  <si>
    <t>예지실업</t>
  </si>
  <si>
    <t>EA073909</t>
  </si>
  <si>
    <t>옐로디지털마케팅</t>
  </si>
  <si>
    <t>EA016599</t>
  </si>
  <si>
    <t>EA016624</t>
  </si>
  <si>
    <t>오공티에스</t>
  </si>
  <si>
    <t>EA010583</t>
  </si>
  <si>
    <t>오뚜기냉동식품</t>
  </si>
  <si>
    <t>EA016600</t>
  </si>
  <si>
    <t>오뚜기라면</t>
  </si>
  <si>
    <t>EA069932</t>
  </si>
  <si>
    <t>오로스테크놀로지</t>
  </si>
  <si>
    <t>EA017292</t>
  </si>
  <si>
    <t>오리엔스</t>
  </si>
  <si>
    <t>EA060588</t>
  </si>
  <si>
    <t>오리엔탈검사개발</t>
  </si>
  <si>
    <t>EA073413</t>
  </si>
  <si>
    <t>오리엔탈마린텍</t>
  </si>
  <si>
    <t>EA057799</t>
  </si>
  <si>
    <t>오리엔탈정밀기계</t>
  </si>
  <si>
    <t>EA038520</t>
  </si>
  <si>
    <t>오리엔트전자</t>
  </si>
  <si>
    <t>EA051550</t>
  </si>
  <si>
    <t>오리온테크놀리지</t>
  </si>
  <si>
    <t>EA010087</t>
  </si>
  <si>
    <t>오비맥주</t>
  </si>
  <si>
    <t>EA060902</t>
  </si>
  <si>
    <t>오산랜드마크프로젝트</t>
  </si>
  <si>
    <t>EA010987</t>
  </si>
  <si>
    <t>오상헬스케어</t>
  </si>
  <si>
    <t>EA085510</t>
  </si>
  <si>
    <t>오성연료전지</t>
  </si>
  <si>
    <t>EA065772</t>
  </si>
  <si>
    <t>오스코</t>
  </si>
  <si>
    <t>EA085229</t>
  </si>
  <si>
    <t>오스템글로벌</t>
  </si>
  <si>
    <t>EA046750</t>
  </si>
  <si>
    <t>오스틴제약</t>
  </si>
  <si>
    <t>EA076626</t>
  </si>
  <si>
    <t>오아시스</t>
  </si>
  <si>
    <t>EA051971</t>
  </si>
  <si>
    <t>오알켐</t>
  </si>
  <si>
    <t>EA060440</t>
  </si>
  <si>
    <t>오일허브코리아여수</t>
  </si>
  <si>
    <t>EA069850</t>
  </si>
  <si>
    <t>오케이포스</t>
  </si>
  <si>
    <t>EA019202</t>
  </si>
  <si>
    <t>오텍캐리어</t>
  </si>
  <si>
    <t>EA072407</t>
  </si>
  <si>
    <t>오토메탈글로벌</t>
  </si>
  <si>
    <t>EA030153</t>
  </si>
  <si>
    <t>오토인더스트리</t>
  </si>
  <si>
    <t>EA065720</t>
  </si>
  <si>
    <t>온라인팜</t>
  </si>
  <si>
    <t>EA063804</t>
  </si>
  <si>
    <t>온산탱크터미널</t>
  </si>
  <si>
    <t>EA043593</t>
  </si>
  <si>
    <t>올가홀푸드</t>
  </si>
  <si>
    <t>EA065985</t>
  </si>
  <si>
    <t>올래디오</t>
  </si>
  <si>
    <t>EA086961</t>
  </si>
  <si>
    <t>올박스</t>
  </si>
  <si>
    <t>EA074823</t>
  </si>
  <si>
    <t>올세인츠코리아</t>
  </si>
  <si>
    <t>EA058645</t>
  </si>
  <si>
    <t>올엠</t>
  </si>
  <si>
    <t>EA040064</t>
  </si>
  <si>
    <t>올품</t>
  </si>
  <si>
    <t>EA048776</t>
  </si>
  <si>
    <t>옵티맥</t>
  </si>
  <si>
    <t>EA086565</t>
  </si>
  <si>
    <t>와이드모바일</t>
  </si>
  <si>
    <t>EA057360</t>
  </si>
  <si>
    <t>와이디생명과학</t>
  </si>
  <si>
    <t>EA080825</t>
  </si>
  <si>
    <t>와이바이오로직스</t>
  </si>
  <si>
    <t>EA060482</t>
  </si>
  <si>
    <t>와이에스텍</t>
  </si>
  <si>
    <t>EA018314</t>
  </si>
  <si>
    <t>와이엠에스에이</t>
  </si>
  <si>
    <t>EA081348</t>
  </si>
  <si>
    <t>와이엠텍</t>
  </si>
  <si>
    <t>와이즈버즈</t>
  </si>
  <si>
    <t>EA066334</t>
  </si>
  <si>
    <t>EA084709</t>
  </si>
  <si>
    <t>EA025518</t>
  </si>
  <si>
    <t>와이케이케이한국</t>
  </si>
  <si>
    <t>EA021339</t>
  </si>
  <si>
    <t>와이팜</t>
  </si>
  <si>
    <t>EA063922</t>
  </si>
  <si>
    <t>와이피티</t>
  </si>
  <si>
    <t>EA065807</t>
  </si>
  <si>
    <t>왕산레저개발</t>
  </si>
  <si>
    <t>EA016666</t>
  </si>
  <si>
    <t>용마로지스</t>
  </si>
  <si>
    <t>EA016667</t>
  </si>
  <si>
    <t>용산</t>
  </si>
  <si>
    <t>EA065547</t>
  </si>
  <si>
    <t>용산피에프브이</t>
  </si>
  <si>
    <t>EA011378</t>
  </si>
  <si>
    <t>우리신용정보</t>
  </si>
  <si>
    <t>EA077589</t>
  </si>
  <si>
    <t>우리에너지</t>
  </si>
  <si>
    <t>EA028248</t>
  </si>
  <si>
    <t>우리에프아이에스</t>
  </si>
  <si>
    <t>EA085237</t>
  </si>
  <si>
    <t>우리엠오토모티브</t>
  </si>
  <si>
    <t>EA084764</t>
  </si>
  <si>
    <t>우리펀드서비스</t>
  </si>
  <si>
    <t>EA029576</t>
  </si>
  <si>
    <t>우리홈쇼핑</t>
  </si>
  <si>
    <t>EA056308</t>
  </si>
  <si>
    <t>우방</t>
  </si>
  <si>
    <t>EA042750</t>
  </si>
  <si>
    <t>우보테크</t>
  </si>
  <si>
    <t>EA051920</t>
  </si>
  <si>
    <t>우수정기</t>
  </si>
  <si>
    <t>EA039671</t>
  </si>
  <si>
    <t>우양에이치씨</t>
  </si>
  <si>
    <t>EA085604</t>
  </si>
  <si>
    <t>우원기술</t>
  </si>
  <si>
    <t>EA079036</t>
  </si>
  <si>
    <t>우전</t>
  </si>
  <si>
    <t>EA041888</t>
  </si>
  <si>
    <t>우진기전</t>
  </si>
  <si>
    <t>EA085408</t>
  </si>
  <si>
    <t>EA068715</t>
  </si>
  <si>
    <t>우진엔텍</t>
  </si>
  <si>
    <t>EA046239</t>
  </si>
  <si>
    <t>우진일렉트로나이트</t>
  </si>
  <si>
    <t>EA054742</t>
  </si>
  <si>
    <t>우진정공</t>
  </si>
  <si>
    <t>EA016792</t>
  </si>
  <si>
    <t>욱성화학</t>
  </si>
  <si>
    <t>EA066366</t>
  </si>
  <si>
    <t>울산아로마틱스</t>
  </si>
  <si>
    <t>EA075819</t>
  </si>
  <si>
    <t>EA064249</t>
  </si>
  <si>
    <t>울산지피에스</t>
  </si>
  <si>
    <t>EA077815</t>
  </si>
  <si>
    <t>울트라브이</t>
  </si>
  <si>
    <t>EA019975</t>
  </si>
  <si>
    <t>웅진북센</t>
  </si>
  <si>
    <t>EA016810</t>
  </si>
  <si>
    <t>웅진식품</t>
  </si>
  <si>
    <t>EA063610</t>
  </si>
  <si>
    <t>웅진컴퍼스</t>
  </si>
  <si>
    <t>EA075724</t>
  </si>
  <si>
    <t>EA057838</t>
  </si>
  <si>
    <t>웅진플레이도시</t>
  </si>
  <si>
    <t>EA077104</t>
  </si>
  <si>
    <t>웍스모바일</t>
  </si>
  <si>
    <t>EA016822</t>
  </si>
  <si>
    <t>원방테크</t>
  </si>
  <si>
    <t>EA076434</t>
  </si>
  <si>
    <t>원스토어</t>
  </si>
  <si>
    <t>EA018911</t>
  </si>
  <si>
    <t>원알로이</t>
  </si>
  <si>
    <t>EA059277</t>
  </si>
  <si>
    <t>원익엘앤디</t>
  </si>
  <si>
    <t>EA016841</t>
  </si>
  <si>
    <t>원지</t>
  </si>
  <si>
    <t>EA072649</t>
  </si>
  <si>
    <t>웰스바이오</t>
  </si>
  <si>
    <t>EA016863</t>
  </si>
  <si>
    <t>웰콤퍼블리시스월드와이드</t>
  </si>
  <si>
    <t>EA047853</t>
  </si>
  <si>
    <t>웰크론헬스케어</t>
  </si>
  <si>
    <t>EA068905</t>
  </si>
  <si>
    <t>웹투어</t>
  </si>
  <si>
    <t>EA064220</t>
  </si>
  <si>
    <t>위너콤</t>
  </si>
  <si>
    <t>EA080033</t>
  </si>
  <si>
    <t>위노바</t>
  </si>
  <si>
    <t>EA073225</t>
  </si>
  <si>
    <t>위더스제약</t>
  </si>
  <si>
    <t>EA039212</t>
  </si>
  <si>
    <t>위더스케미칼</t>
  </si>
  <si>
    <t>EA084638</t>
  </si>
  <si>
    <t>위드멤스</t>
  </si>
  <si>
    <t>EA046108</t>
  </si>
  <si>
    <t>위딘</t>
  </si>
  <si>
    <t>EA065837</t>
  </si>
  <si>
    <t>EA063925</t>
  </si>
  <si>
    <t>EA045250</t>
  </si>
  <si>
    <t>위비스</t>
  </si>
  <si>
    <t>EA057920</t>
  </si>
  <si>
    <t>위아마그나파워트레인</t>
  </si>
  <si>
    <t>EA051719</t>
  </si>
  <si>
    <t>위즈덤하우스</t>
  </si>
  <si>
    <t>EA061586</t>
  </si>
  <si>
    <t>위지트에너지</t>
  </si>
  <si>
    <t>윈텍</t>
  </si>
  <si>
    <t>EA016876</t>
  </si>
  <si>
    <t>윌로펌프</t>
  </si>
  <si>
    <t>EA029769</t>
  </si>
  <si>
    <t>유나이티드터미널코리아</t>
  </si>
  <si>
    <t>EA029417</t>
  </si>
  <si>
    <t>유라클</t>
  </si>
  <si>
    <t>EA086528</t>
  </si>
  <si>
    <t>유림아이엔씨</t>
  </si>
  <si>
    <t>EA060854</t>
  </si>
  <si>
    <t>유베이스매뉴팩처링아시아</t>
  </si>
  <si>
    <t>EA016932</t>
  </si>
  <si>
    <t>유성물산교역</t>
  </si>
  <si>
    <t>EA054882</t>
  </si>
  <si>
    <t>유수로지스틱스</t>
  </si>
  <si>
    <t>EA072328</t>
  </si>
  <si>
    <t>EA016963</t>
  </si>
  <si>
    <t>유진에스엠알시오토모티브테크노</t>
  </si>
  <si>
    <t>EA082212</t>
  </si>
  <si>
    <t>EA016969</t>
  </si>
  <si>
    <t>EA072715</t>
  </si>
  <si>
    <t>유콘시스템</t>
  </si>
  <si>
    <t>EA043011</t>
  </si>
  <si>
    <t>유피케미칼</t>
  </si>
  <si>
    <t>EA016986</t>
  </si>
  <si>
    <t>유한화학</t>
  </si>
  <si>
    <t>EA049234</t>
  </si>
  <si>
    <t>율곡</t>
  </si>
  <si>
    <t>EA041701</t>
  </si>
  <si>
    <t>율촌</t>
  </si>
  <si>
    <t>EA086303</t>
  </si>
  <si>
    <t>의왕산단피에프브이</t>
  </si>
  <si>
    <t>EA080310</t>
  </si>
  <si>
    <t>이건창호</t>
  </si>
  <si>
    <t>EA064330</t>
  </si>
  <si>
    <t>이글스에너지</t>
  </si>
  <si>
    <t>EA085041</t>
  </si>
  <si>
    <t>이너시티개발</t>
  </si>
  <si>
    <t>EA080143</t>
  </si>
  <si>
    <t>이노뎁</t>
  </si>
  <si>
    <t>EA048781</t>
  </si>
  <si>
    <t>EA067647</t>
  </si>
  <si>
    <t>이노시뮬레이션</t>
  </si>
  <si>
    <t>EA081602</t>
  </si>
  <si>
    <t>이노페이스</t>
  </si>
  <si>
    <t>EA049436</t>
  </si>
  <si>
    <t>이니스트에스티</t>
  </si>
  <si>
    <t>EA058124</t>
  </si>
  <si>
    <t>이니스프리</t>
  </si>
  <si>
    <t>EA047945</t>
  </si>
  <si>
    <t>이데일리</t>
  </si>
  <si>
    <t>EA015616</t>
  </si>
  <si>
    <t>이래cs</t>
  </si>
  <si>
    <t>EA010770</t>
  </si>
  <si>
    <t>이래fr</t>
  </si>
  <si>
    <t>EA080149</t>
  </si>
  <si>
    <t>이래에이엠에스</t>
  </si>
  <si>
    <t>EA039357</t>
  </si>
  <si>
    <t>이랜드건설</t>
  </si>
  <si>
    <t>EA010204</t>
  </si>
  <si>
    <t>이랜드리테일</t>
  </si>
  <si>
    <t>EA054472</t>
  </si>
  <si>
    <t>이랜드서비스</t>
  </si>
  <si>
    <t>EA049133</t>
  </si>
  <si>
    <t>EA010077</t>
  </si>
  <si>
    <t>이랜드월드</t>
  </si>
  <si>
    <t>EA064323</t>
  </si>
  <si>
    <t>이랜드위시디자인</t>
  </si>
  <si>
    <t>EA044305</t>
  </si>
  <si>
    <t>EA023967</t>
  </si>
  <si>
    <t>이랜드파크</t>
  </si>
  <si>
    <t>이루다</t>
  </si>
  <si>
    <t>EA065853</t>
  </si>
  <si>
    <t>EA044926</t>
  </si>
  <si>
    <t>이리츠코크렙기업구조조정부동산투자회사</t>
  </si>
  <si>
    <t>EA072280</t>
  </si>
  <si>
    <t>이마트24</t>
  </si>
  <si>
    <t>EA040375</t>
  </si>
  <si>
    <t>이마트에브리데이</t>
  </si>
  <si>
    <t>EA072816</t>
  </si>
  <si>
    <t>이뮨메드</t>
  </si>
  <si>
    <t>EA081905</t>
  </si>
  <si>
    <t>이뮨온시아</t>
  </si>
  <si>
    <t>EA057234</t>
  </si>
  <si>
    <t>EA018403</t>
  </si>
  <si>
    <t>EA039296</t>
  </si>
  <si>
    <t>이수</t>
  </si>
  <si>
    <t>EA075869</t>
  </si>
  <si>
    <t>이수시스템</t>
  </si>
  <si>
    <t>EA043822</t>
  </si>
  <si>
    <t>이수엑사보드</t>
  </si>
  <si>
    <t>EA029362</t>
  </si>
  <si>
    <t>이수엑사켐</t>
  </si>
  <si>
    <t>EA069715</t>
  </si>
  <si>
    <t>이순산업</t>
  </si>
  <si>
    <t>EA015619</t>
  </si>
  <si>
    <t>이스트밸리</t>
  </si>
  <si>
    <t>EA074779</t>
  </si>
  <si>
    <t>EA081050</t>
  </si>
  <si>
    <t>이시스코스메틱</t>
  </si>
  <si>
    <t>EA077477</t>
  </si>
  <si>
    <t>이엠솔루션</t>
  </si>
  <si>
    <t>EA080158</t>
  </si>
  <si>
    <t>이오플로우</t>
  </si>
  <si>
    <t>EA088505</t>
  </si>
  <si>
    <t>이지스밸류플러스위탁관리부동산투자회사</t>
  </si>
  <si>
    <t>EA065819</t>
  </si>
  <si>
    <t>이지팜스</t>
  </si>
  <si>
    <t>EA017077</t>
  </si>
  <si>
    <t>이채널</t>
  </si>
  <si>
    <t>EA046198</t>
  </si>
  <si>
    <t>이투스교육</t>
  </si>
  <si>
    <t>EA081890</t>
  </si>
  <si>
    <t>이투스이씨아이</t>
  </si>
  <si>
    <t>EA043745</t>
  </si>
  <si>
    <t>익성</t>
  </si>
  <si>
    <t>EA086994</t>
  </si>
  <si>
    <t>인더스마트</t>
  </si>
  <si>
    <t>EA048471</t>
  </si>
  <si>
    <t>인선기업</t>
  </si>
  <si>
    <t>EA066170</t>
  </si>
  <si>
    <t>인선모터스</t>
  </si>
  <si>
    <t>EA074305</t>
  </si>
  <si>
    <t>인성데이타</t>
  </si>
  <si>
    <t>EA018415</t>
  </si>
  <si>
    <t>인성디지탈</t>
  </si>
  <si>
    <t>EA044272</t>
  </si>
  <si>
    <t>인성메디칼</t>
  </si>
  <si>
    <t>EA075966</t>
  </si>
  <si>
    <t>인스파이어인티그레이티드리조트</t>
  </si>
  <si>
    <t>EA010086</t>
  </si>
  <si>
    <t>인천공항에너지</t>
  </si>
  <si>
    <t>EA066045</t>
  </si>
  <si>
    <t>인천북항운영</t>
  </si>
  <si>
    <t>EA080223</t>
  </si>
  <si>
    <t>인천신세계</t>
  </si>
  <si>
    <t>EA044050</t>
  </si>
  <si>
    <t>인천종합에너지</t>
  </si>
  <si>
    <t>EA056709</t>
  </si>
  <si>
    <t>인천지식정보센터</t>
  </si>
  <si>
    <t>EA065784</t>
  </si>
  <si>
    <t>인컴즈</t>
  </si>
  <si>
    <t>EA065427</t>
  </si>
  <si>
    <t>인터내셔날에스오에스코리아</t>
  </si>
  <si>
    <t>EA065670</t>
  </si>
  <si>
    <t>EA058019</t>
  </si>
  <si>
    <t>인터파크씨어터</t>
  </si>
  <si>
    <t>EA065658</t>
  </si>
  <si>
    <t>인터파크인터내셔널</t>
  </si>
  <si>
    <t>EA056278</t>
  </si>
  <si>
    <t>인팩일렉스</t>
  </si>
  <si>
    <t>EA015548</t>
  </si>
  <si>
    <t>인팩혼시스템</t>
  </si>
  <si>
    <t>EA046398</t>
  </si>
  <si>
    <t>인포트러스트</t>
  </si>
  <si>
    <t>EA057902</t>
  </si>
  <si>
    <t>인피니언테크놀로지스파워세미텍</t>
  </si>
  <si>
    <t>EA076162</t>
  </si>
  <si>
    <t>일동바이오사이언스</t>
  </si>
  <si>
    <t>EA076163</t>
  </si>
  <si>
    <t>일동히알테크</t>
  </si>
  <si>
    <t>EA082929</t>
  </si>
  <si>
    <t>일렉트로엠</t>
  </si>
  <si>
    <t>EA067196</t>
  </si>
  <si>
    <t>일진건설</t>
  </si>
  <si>
    <t>EA053147</t>
  </si>
  <si>
    <t>일진디앤코</t>
  </si>
  <si>
    <t>EA067191</t>
  </si>
  <si>
    <t>EA070302</t>
  </si>
  <si>
    <t>일진에너지</t>
  </si>
  <si>
    <t>EA010417</t>
  </si>
  <si>
    <t>일진유니스코</t>
  </si>
  <si>
    <t>EA045849</t>
  </si>
  <si>
    <t>입시화학</t>
  </si>
  <si>
    <t>EA047941</t>
  </si>
  <si>
    <t>잉글우드랩코리아</t>
  </si>
  <si>
    <t>EA085379</t>
  </si>
  <si>
    <t>자</t>
  </si>
  <si>
    <t>EA057429</t>
  </si>
  <si>
    <t>자라리테일코리아</t>
  </si>
  <si>
    <t>EA065197</t>
  </si>
  <si>
    <t>자유투어</t>
  </si>
  <si>
    <t>EA081611</t>
  </si>
  <si>
    <t>자이언트스텝</t>
  </si>
  <si>
    <t>EA060727</t>
  </si>
  <si>
    <t>EA041837</t>
  </si>
  <si>
    <t>잘만테크</t>
  </si>
  <si>
    <t>EA082636</t>
  </si>
  <si>
    <t>장현금속</t>
  </si>
  <si>
    <t>EA080169</t>
  </si>
  <si>
    <t>전기아이피</t>
  </si>
  <si>
    <t>EA010249</t>
  </si>
  <si>
    <t>전남도시가스</t>
  </si>
  <si>
    <t>EA017099</t>
  </si>
  <si>
    <t>전북에너지서비스</t>
  </si>
  <si>
    <t>EA069915</t>
  </si>
  <si>
    <t>전북집단에너지</t>
  </si>
  <si>
    <t>EA075958</t>
  </si>
  <si>
    <t>전주리싸이클링에너지</t>
  </si>
  <si>
    <t>EA017259</t>
  </si>
  <si>
    <t>EA017275</t>
  </si>
  <si>
    <t>정석기업</t>
  </si>
  <si>
    <t>EA053745</t>
  </si>
  <si>
    <t>EA076164</t>
  </si>
  <si>
    <t>제너럴바이오</t>
  </si>
  <si>
    <t>EA017303</t>
  </si>
  <si>
    <t>제너시스비비큐</t>
  </si>
  <si>
    <t>EA060632</t>
  </si>
  <si>
    <t>제네웰</t>
  </si>
  <si>
    <t>EA056899</t>
  </si>
  <si>
    <t>제니스월드</t>
  </si>
  <si>
    <t>EA029973</t>
  </si>
  <si>
    <t>제원인터내쇼날</t>
  </si>
  <si>
    <t>EA045833</t>
  </si>
  <si>
    <t>제이더블유메디칼</t>
  </si>
  <si>
    <t>EA077914</t>
  </si>
  <si>
    <t>제이더블유바이오사이언스</t>
  </si>
  <si>
    <t>EA073305</t>
  </si>
  <si>
    <t>제이씨씨</t>
  </si>
  <si>
    <t>EA016799</t>
  </si>
  <si>
    <t>제이씨엔울산중앙방송</t>
  </si>
  <si>
    <t>EA072758</t>
  </si>
  <si>
    <t>EA080705</t>
  </si>
  <si>
    <t>제이에셀</t>
  </si>
  <si>
    <t>EA071973</t>
  </si>
  <si>
    <t>제이에스파트너스개발</t>
  </si>
  <si>
    <t>EA056880</t>
  </si>
  <si>
    <t>제이에스픽쳐스</t>
  </si>
  <si>
    <t>EA066302</t>
  </si>
  <si>
    <t>제이에이에스</t>
  </si>
  <si>
    <t>EA065742</t>
  </si>
  <si>
    <t>제이에이치화학공업</t>
  </si>
  <si>
    <t>EA010967</t>
  </si>
  <si>
    <t>제이엠씨</t>
  </si>
  <si>
    <t>EA085817</t>
  </si>
  <si>
    <t>EA080923</t>
  </si>
  <si>
    <t>EA083635</t>
  </si>
  <si>
    <t>제이투인터렉티브</t>
  </si>
  <si>
    <t>EA019492</t>
  </si>
  <si>
    <t>제이티넷</t>
  </si>
  <si>
    <t>EA085080</t>
  </si>
  <si>
    <t>제인모터스</t>
  </si>
  <si>
    <t>EA063049</t>
  </si>
  <si>
    <t>제인스</t>
  </si>
  <si>
    <t>EA060839</t>
  </si>
  <si>
    <t>제일사료</t>
  </si>
  <si>
    <t>EA017341</t>
  </si>
  <si>
    <t>제일산업</t>
  </si>
  <si>
    <t>EA062387</t>
  </si>
  <si>
    <t>제일이엔지</t>
  </si>
  <si>
    <t>EA017350</t>
  </si>
  <si>
    <t>제일전기공업</t>
  </si>
  <si>
    <t>EA075820</t>
  </si>
  <si>
    <t>제일헬스사이언스</t>
  </si>
  <si>
    <t>EA010777</t>
  </si>
  <si>
    <t>제주국제컨벤션센터</t>
  </si>
  <si>
    <t>EA072354</t>
  </si>
  <si>
    <t>제주김녕풍력발전</t>
  </si>
  <si>
    <t>EA071327</t>
  </si>
  <si>
    <t>제주소주</t>
  </si>
  <si>
    <t>EA029468</t>
  </si>
  <si>
    <t>제트에프삭스코리아</t>
  </si>
  <si>
    <t>EA081973</t>
  </si>
  <si>
    <t>젠바디</t>
  </si>
  <si>
    <t>EA066574</t>
  </si>
  <si>
    <t>젤리피쉬엔터테인먼트</t>
  </si>
  <si>
    <t>EA017369</t>
  </si>
  <si>
    <t>젤텍</t>
  </si>
  <si>
    <t>EA046698</t>
  </si>
  <si>
    <t>져스텍</t>
  </si>
  <si>
    <t>EA017370</t>
  </si>
  <si>
    <t>조광요턴</t>
  </si>
  <si>
    <t>EA080349</t>
  </si>
  <si>
    <t>조선선재온산</t>
  </si>
  <si>
    <t>EA017399</t>
  </si>
  <si>
    <t>종근당건강</t>
  </si>
  <si>
    <t>EA082632</t>
  </si>
  <si>
    <t>주영엔에스</t>
  </si>
  <si>
    <t>EA080311</t>
  </si>
  <si>
    <t>주원전주</t>
  </si>
  <si>
    <t>EA026277</t>
  </si>
  <si>
    <t>주택관리공단</t>
  </si>
  <si>
    <t>EA088199</t>
  </si>
  <si>
    <t>쥬비스다이어트</t>
  </si>
  <si>
    <t>EA018971</t>
  </si>
  <si>
    <t>쥴릭파마코리아</t>
  </si>
  <si>
    <t>EA051568</t>
  </si>
  <si>
    <t>지디</t>
  </si>
  <si>
    <t>EA072613</t>
  </si>
  <si>
    <t>지디케이화장품</t>
  </si>
  <si>
    <t>EA054396</t>
  </si>
  <si>
    <t>지마린서비스</t>
  </si>
  <si>
    <t>EA016097</t>
  </si>
  <si>
    <t>지멘스</t>
  </si>
  <si>
    <t>EA016324</t>
  </si>
  <si>
    <t>지멘스인더스트리소프트웨어</t>
  </si>
  <si>
    <t>EA088492</t>
  </si>
  <si>
    <t>지멘스헬시니어스</t>
  </si>
  <si>
    <t>EA053104</t>
  </si>
  <si>
    <t>EA080220</t>
  </si>
  <si>
    <t>지스퀘어피에프브이</t>
  </si>
  <si>
    <t>EA084659</t>
  </si>
  <si>
    <t>지씨글로벌</t>
  </si>
  <si>
    <t>EA073656</t>
  </si>
  <si>
    <t>지씨에이더블유</t>
  </si>
  <si>
    <t>EA068785</t>
  </si>
  <si>
    <t>지씨테크</t>
  </si>
  <si>
    <t>EA054835</t>
  </si>
  <si>
    <t>지알엠</t>
  </si>
  <si>
    <t>EA025059</t>
  </si>
  <si>
    <t>지앤피</t>
  </si>
  <si>
    <t>EA062986</t>
  </si>
  <si>
    <t>지에스동해전력</t>
  </si>
  <si>
    <t>EA073984</t>
  </si>
  <si>
    <t>지에스디케이</t>
  </si>
  <si>
    <t>EA060481</t>
  </si>
  <si>
    <t>지에스바이오</t>
  </si>
  <si>
    <t>EA040633</t>
  </si>
  <si>
    <t>지에스스포츠</t>
  </si>
  <si>
    <t>EA061822</t>
  </si>
  <si>
    <t>지에스에코메탈</t>
  </si>
  <si>
    <t>EA040554</t>
  </si>
  <si>
    <t>지에스엔텍</t>
  </si>
  <si>
    <t>EA057904</t>
  </si>
  <si>
    <t>지에스엠비즈</t>
  </si>
  <si>
    <t>EA038616</t>
  </si>
  <si>
    <t>지에스이앤알</t>
  </si>
  <si>
    <t>EA016447</t>
  </si>
  <si>
    <t>지에스이피에스</t>
  </si>
  <si>
    <t>EA051239</t>
  </si>
  <si>
    <t>EA072278</t>
  </si>
  <si>
    <t>지에스포천그린에너지</t>
  </si>
  <si>
    <t>EA066192</t>
  </si>
  <si>
    <t>지에스풍력발전</t>
  </si>
  <si>
    <t>EA078629</t>
  </si>
  <si>
    <t>지에프케이리테일앤테크놀로지코리아리미티드</t>
  </si>
  <si>
    <t>EA030357</t>
  </si>
  <si>
    <t>지엔에스</t>
  </si>
  <si>
    <t>지엔원에너지</t>
  </si>
  <si>
    <t>EA080301</t>
  </si>
  <si>
    <t>지엘앤코</t>
  </si>
  <si>
    <t>EA043872</t>
  </si>
  <si>
    <t>지이오더불유에스코리아</t>
  </si>
  <si>
    <t>EA085087</t>
  </si>
  <si>
    <t>지쿱</t>
  </si>
  <si>
    <t>EA086527</t>
  </si>
  <si>
    <t>지프레임</t>
  </si>
  <si>
    <t>EA078124</t>
  </si>
  <si>
    <t>지피클럽</t>
  </si>
  <si>
    <t>EA039156</t>
  </si>
  <si>
    <t>진로소주</t>
  </si>
  <si>
    <t>EA044216</t>
  </si>
  <si>
    <t>진방스틸</t>
  </si>
  <si>
    <t>EA076071</t>
  </si>
  <si>
    <t>진셀팜</t>
  </si>
  <si>
    <t>EA012899</t>
  </si>
  <si>
    <t>진양AMC</t>
  </si>
  <si>
    <t>EA040636</t>
  </si>
  <si>
    <t>진양개발</t>
  </si>
  <si>
    <t>EA045058</t>
  </si>
  <si>
    <t>진양물산</t>
  </si>
  <si>
    <t>EA077976</t>
  </si>
  <si>
    <t>진우산전</t>
  </si>
  <si>
    <t>EA047572</t>
  </si>
  <si>
    <t>진학사</t>
  </si>
  <si>
    <t>EA060979</t>
  </si>
  <si>
    <t>짐월드</t>
  </si>
  <si>
    <t>EA061213</t>
  </si>
  <si>
    <t>EA066203</t>
  </si>
  <si>
    <t>차메디텍</t>
  </si>
  <si>
    <t>EA066426</t>
  </si>
  <si>
    <t>차헬스케어</t>
  </si>
  <si>
    <t>EA065735</t>
  </si>
  <si>
    <t>참트레이딩</t>
  </si>
  <si>
    <t>EA063894</t>
  </si>
  <si>
    <t>참프레</t>
  </si>
  <si>
    <t>EA019080</t>
  </si>
  <si>
    <t>창명해운</t>
  </si>
  <si>
    <t>EA026708</t>
  </si>
  <si>
    <t>창신INC</t>
  </si>
  <si>
    <t>EA042888</t>
  </si>
  <si>
    <t>창신정밀</t>
  </si>
  <si>
    <t>EA081226</t>
  </si>
  <si>
    <t>창해이엔지</t>
  </si>
  <si>
    <t>EA010440</t>
  </si>
  <si>
    <t>창화철강</t>
  </si>
  <si>
    <t>EA063757</t>
  </si>
  <si>
    <t>천경비스타</t>
  </si>
  <si>
    <t>EA054677</t>
  </si>
  <si>
    <t>천안기업</t>
  </si>
  <si>
    <t>EA058962</t>
  </si>
  <si>
    <t>천호엔케어</t>
  </si>
  <si>
    <t>EA081221</t>
  </si>
  <si>
    <t>EA019129</t>
  </si>
  <si>
    <t>청남관광</t>
  </si>
  <si>
    <t>EA019147</t>
  </si>
  <si>
    <t>청우식품</t>
  </si>
  <si>
    <t>EA060903</t>
  </si>
  <si>
    <t>청진이삼프로젝트</t>
  </si>
  <si>
    <t>EA040185</t>
  </si>
  <si>
    <t>체리푸드</t>
  </si>
  <si>
    <t>EA018420</t>
  </si>
  <si>
    <t>초록마을</t>
  </si>
  <si>
    <t>EA043002</t>
  </si>
  <si>
    <t>충북소주</t>
  </si>
  <si>
    <t>EA010441</t>
  </si>
  <si>
    <t>충청에너지서비스</t>
  </si>
  <si>
    <t>EA058987</t>
  </si>
  <si>
    <t>충청환경에너지</t>
  </si>
  <si>
    <t>EA072656</t>
  </si>
  <si>
    <t>카버코리아</t>
  </si>
  <si>
    <t>EA078535</t>
  </si>
  <si>
    <t>카카오VX</t>
  </si>
  <si>
    <t>EA075866</t>
  </si>
  <si>
    <t>카카오게임즈</t>
  </si>
  <si>
    <t>EA086199</t>
  </si>
  <si>
    <t>카카오모빌리티</t>
  </si>
  <si>
    <t>EA084752</t>
  </si>
  <si>
    <t>카카오브레인</t>
  </si>
  <si>
    <t>EA075861</t>
  </si>
  <si>
    <t>EA082235</t>
  </si>
  <si>
    <t>카카오인베스트먼트</t>
  </si>
  <si>
    <t>EA085668</t>
  </si>
  <si>
    <t>카카오커머스</t>
  </si>
  <si>
    <t>EA069555</t>
  </si>
  <si>
    <t>EA061374</t>
  </si>
  <si>
    <t>카페베네</t>
  </si>
  <si>
    <t>EA065773</t>
  </si>
  <si>
    <t>카페스</t>
  </si>
  <si>
    <t>EA020029</t>
  </si>
  <si>
    <t>카펙발레오</t>
  </si>
  <si>
    <t>EA080712</t>
  </si>
  <si>
    <t>칼라앤터치</t>
  </si>
  <si>
    <t>EA010022</t>
  </si>
  <si>
    <t>EA045227</t>
  </si>
  <si>
    <t>캐스코</t>
  </si>
  <si>
    <t>EA029026</t>
  </si>
  <si>
    <t>캐스트윈</t>
  </si>
  <si>
    <t>EA023896</t>
  </si>
  <si>
    <t>캐슬렉스서울</t>
  </si>
  <si>
    <t>EA015022</t>
  </si>
  <si>
    <t>캐프</t>
  </si>
  <si>
    <t>EA057750</t>
  </si>
  <si>
    <t>캘리스코</t>
  </si>
  <si>
    <t>EA042832</t>
  </si>
  <si>
    <t>캡스텍</t>
  </si>
  <si>
    <t>EA063107</t>
  </si>
  <si>
    <t>케이더블유뉴클리어콤포넌트</t>
  </si>
  <si>
    <t>EA068949</t>
  </si>
  <si>
    <t>케이디데니스패션</t>
  </si>
  <si>
    <t>EA018578</t>
  </si>
  <si>
    <t>케이디에스</t>
  </si>
  <si>
    <t>EA072957</t>
  </si>
  <si>
    <t>케이디파워텍</t>
  </si>
  <si>
    <t>EA062667</t>
  </si>
  <si>
    <t>케이리얼티제1호기업구조조정부동산투자회사</t>
  </si>
  <si>
    <t>케이브랜즈</t>
  </si>
  <si>
    <t>EA017504</t>
  </si>
  <si>
    <t>케이비데이타시스템</t>
  </si>
  <si>
    <t>EA018907</t>
  </si>
  <si>
    <t>케이비신용정보</t>
  </si>
  <si>
    <t>EA025415</t>
  </si>
  <si>
    <t>케이비아이알로이</t>
  </si>
  <si>
    <t>EA061637</t>
  </si>
  <si>
    <t>케이비오토텍</t>
  </si>
  <si>
    <t>EA012980</t>
  </si>
  <si>
    <t>케이씨더블류</t>
  </si>
  <si>
    <t>EA084741</t>
  </si>
  <si>
    <t>케이씨에이서비스</t>
  </si>
  <si>
    <t>EA054727</t>
  </si>
  <si>
    <t>케이씨에이손해사정</t>
  </si>
  <si>
    <t>EA039492</t>
  </si>
  <si>
    <t>케이씨이노베이션</t>
  </si>
  <si>
    <t>EA045022</t>
  </si>
  <si>
    <t>케이씨이앤씨</t>
  </si>
  <si>
    <t>EA043374</t>
  </si>
  <si>
    <t>케이씨환경개발</t>
  </si>
  <si>
    <t>EA029864</t>
  </si>
  <si>
    <t>케이씨환경서비스</t>
  </si>
  <si>
    <t>EA017475</t>
  </si>
  <si>
    <t>케이알산업</t>
  </si>
  <si>
    <t>EA064429</t>
  </si>
  <si>
    <t>케이에스비세일</t>
  </si>
  <si>
    <t>EA068981</t>
  </si>
  <si>
    <t>케이에스비한국</t>
  </si>
  <si>
    <t>EA069025</t>
  </si>
  <si>
    <t>케이에스솔라</t>
  </si>
  <si>
    <t>EA045308</t>
  </si>
  <si>
    <t>케이에프</t>
  </si>
  <si>
    <t>EA040809</t>
  </si>
  <si>
    <t>케이에프씨코리아</t>
  </si>
  <si>
    <t>EA018579</t>
  </si>
  <si>
    <t>케이엔케이코팅스</t>
  </si>
  <si>
    <t>EA040626</t>
  </si>
  <si>
    <t>케이엠앤아이</t>
  </si>
  <si>
    <t>EA014955</t>
  </si>
  <si>
    <t>케이엠에이치신라레저</t>
  </si>
  <si>
    <t>EA051212</t>
  </si>
  <si>
    <t>케이옥션</t>
  </si>
  <si>
    <t>EA079766</t>
  </si>
  <si>
    <t>케이원물류허브제1호위탁관리부동산투자회사</t>
  </si>
  <si>
    <t>EA048101</t>
  </si>
  <si>
    <t>EA061550</t>
  </si>
  <si>
    <t>케이지</t>
  </si>
  <si>
    <t>EA084767</t>
  </si>
  <si>
    <t>케이지미얀마</t>
  </si>
  <si>
    <t>EA061342</t>
  </si>
  <si>
    <t>케이지써닝라이프</t>
  </si>
  <si>
    <t>EA054711</t>
  </si>
  <si>
    <t>케이지씨라이프앤진</t>
  </si>
  <si>
    <t>EA065752</t>
  </si>
  <si>
    <t>케이지씨예본</t>
  </si>
  <si>
    <t>EA047034</t>
  </si>
  <si>
    <t>케이지에듀원</t>
  </si>
  <si>
    <t>EA020647</t>
  </si>
  <si>
    <t>케이지엑스</t>
  </si>
  <si>
    <t>EA011486</t>
  </si>
  <si>
    <t>케이지제로인</t>
  </si>
  <si>
    <t>EA047800</t>
  </si>
  <si>
    <t>케이케이테크</t>
  </si>
  <si>
    <t>EA060389</t>
  </si>
  <si>
    <t>케이탑자기관리부동산투자회사</t>
  </si>
  <si>
    <t>EA054862</t>
  </si>
  <si>
    <t>케이티디에스</t>
  </si>
  <si>
    <t>EA019711</t>
  </si>
  <si>
    <t>케이티링커스</t>
  </si>
  <si>
    <t>EA030517</t>
  </si>
  <si>
    <t>EA063424</t>
  </si>
  <si>
    <t>케이티샛</t>
  </si>
  <si>
    <t>EA063050</t>
  </si>
  <si>
    <t>케이티서비스남부</t>
  </si>
  <si>
    <t>EA077709</t>
  </si>
  <si>
    <t>케이티서비스북부</t>
  </si>
  <si>
    <t>EA070321</t>
  </si>
  <si>
    <t>케이티스포츠</t>
  </si>
  <si>
    <t>EA063080</t>
  </si>
  <si>
    <t>케이티에스테이트</t>
  </si>
  <si>
    <t>EA075910</t>
  </si>
  <si>
    <t>케이티엠모바일</t>
  </si>
  <si>
    <t>EA051220</t>
  </si>
  <si>
    <t>케이티엠앤에스</t>
  </si>
  <si>
    <t>EA045569</t>
  </si>
  <si>
    <t>케이티엠하우스</t>
  </si>
  <si>
    <t>EA010050</t>
  </si>
  <si>
    <t>EA038927</t>
  </si>
  <si>
    <t>케이티커머스</t>
  </si>
  <si>
    <t>EA045976</t>
  </si>
  <si>
    <t>케이티텔레캅</t>
  </si>
  <si>
    <t>EA010602</t>
  </si>
  <si>
    <t>EA070090</t>
  </si>
  <si>
    <t>케이프인베스트먼트</t>
  </si>
  <si>
    <t>EA048168</t>
  </si>
  <si>
    <t>케이피아이씨코포레이션</t>
  </si>
  <si>
    <t>EA072329</t>
  </si>
  <si>
    <t>케이피엑스글로벌</t>
  </si>
  <si>
    <t>EA087269</t>
  </si>
  <si>
    <t>케이피엠인베스트먼트</t>
  </si>
  <si>
    <t>EA040654</t>
  </si>
  <si>
    <t>케이피켐텍</t>
  </si>
  <si>
    <t>EA020143</t>
  </si>
  <si>
    <t>케이피한석유화</t>
  </si>
  <si>
    <t>EA027532</t>
  </si>
  <si>
    <t>케이피한석화학</t>
  </si>
  <si>
    <t>EA084610</t>
  </si>
  <si>
    <t>켐코</t>
  </si>
  <si>
    <t>EA063039</t>
  </si>
  <si>
    <t>켐텍</t>
  </si>
  <si>
    <t>EA051228</t>
  </si>
  <si>
    <t>켐포트</t>
  </si>
  <si>
    <t>EA080608</t>
  </si>
  <si>
    <t>EA061192</t>
  </si>
  <si>
    <t>코나엠</t>
  </si>
  <si>
    <t>EA083732</t>
  </si>
  <si>
    <t>코니카미놀타센싱코리아</t>
  </si>
  <si>
    <t>EA083734</t>
  </si>
  <si>
    <t>코니카미놀타프로프린트솔루션스코리아</t>
  </si>
  <si>
    <t>EA075894</t>
  </si>
  <si>
    <t>코닉오토메이션</t>
  </si>
  <si>
    <t>EA010733</t>
  </si>
  <si>
    <t>코닝정밀소재</t>
  </si>
  <si>
    <t>EA047357</t>
  </si>
  <si>
    <t>코덱</t>
  </si>
  <si>
    <t>EA058736</t>
  </si>
  <si>
    <t>코드모바일</t>
  </si>
  <si>
    <t>EA075837</t>
  </si>
  <si>
    <t>코드코스메인터내셔널</t>
  </si>
  <si>
    <t>EA079580</t>
  </si>
  <si>
    <t>코람코가치부가형리테일제1호위탁관리모부동산투자회사</t>
  </si>
  <si>
    <t>EA079403</t>
  </si>
  <si>
    <t>코람코가치부가형리테일제1호위탁관리자부동산투자회사</t>
  </si>
  <si>
    <t>EA079943</t>
  </si>
  <si>
    <t>코람코가치부가형리테일제2호위탁관리자부동산투자회사</t>
  </si>
  <si>
    <t>EA083935</t>
  </si>
  <si>
    <t>코람코가치부가형리테일제3호위탁관리자부동산투자회사</t>
  </si>
  <si>
    <t>EA084577</t>
  </si>
  <si>
    <t>코람코가치부가형리테일제4호위탁관리자부동산투자회사</t>
  </si>
  <si>
    <t>EA029936</t>
  </si>
  <si>
    <t>코리녹스</t>
  </si>
  <si>
    <t>EA019264</t>
  </si>
  <si>
    <t>코리아니켈</t>
  </si>
  <si>
    <t>EA019268</t>
  </si>
  <si>
    <t>코리아세븐</t>
  </si>
  <si>
    <t>EA045016</t>
  </si>
  <si>
    <t>코리아에어텍</t>
  </si>
  <si>
    <t>EA016168</t>
  </si>
  <si>
    <t>코리아이플랫폼</t>
  </si>
  <si>
    <t>EA029704</t>
  </si>
  <si>
    <t>코리아인스트루먼트</t>
  </si>
  <si>
    <t>EA044801</t>
  </si>
  <si>
    <t>코리아퍼시픽04호선박투자회사</t>
  </si>
  <si>
    <t>EA023337</t>
  </si>
  <si>
    <t>코모스</t>
  </si>
  <si>
    <t>EA019284</t>
  </si>
  <si>
    <t>코모텍</t>
  </si>
  <si>
    <t>코스나인</t>
  </si>
  <si>
    <t>EA010418</t>
  </si>
  <si>
    <t>코스맥스바이오</t>
  </si>
  <si>
    <t>EA080624</t>
  </si>
  <si>
    <t>코스모에코켐</t>
  </si>
  <si>
    <t>EA024792</t>
  </si>
  <si>
    <t>코스모코스</t>
  </si>
  <si>
    <t>EA061443</t>
  </si>
  <si>
    <t>코스비전</t>
  </si>
  <si>
    <t>EA019963</t>
  </si>
  <si>
    <t>코스콤</t>
  </si>
  <si>
    <t>EA076160</t>
  </si>
  <si>
    <t>코스포영남파워</t>
  </si>
  <si>
    <t>EA026834</t>
  </si>
  <si>
    <t>코아비스</t>
  </si>
  <si>
    <t>EA043536</t>
  </si>
  <si>
    <t>코엔스</t>
  </si>
  <si>
    <t>EA010448</t>
  </si>
  <si>
    <t>코오롱글로텍</t>
  </si>
  <si>
    <t>EA040673</t>
  </si>
  <si>
    <t>코오롱데크컴퍼지트</t>
  </si>
  <si>
    <t>EA080199</t>
  </si>
  <si>
    <t>코오롱바스프이노폼</t>
  </si>
  <si>
    <t>EA014438</t>
  </si>
  <si>
    <t>코오롱베니트</t>
  </si>
  <si>
    <t>EA029588</t>
  </si>
  <si>
    <t>코오롱아우토</t>
  </si>
  <si>
    <t>EA072338</t>
  </si>
  <si>
    <t>코오롱엘에스아이</t>
  </si>
  <si>
    <t>EA080129</t>
  </si>
  <si>
    <t>코오롱오토모티브</t>
  </si>
  <si>
    <t>EA063092</t>
  </si>
  <si>
    <t>EA019310</t>
  </si>
  <si>
    <t>코오롱제약</t>
  </si>
  <si>
    <t>EA081049</t>
  </si>
  <si>
    <t>코오롱하우스비전</t>
  </si>
  <si>
    <t>EA029640</t>
  </si>
  <si>
    <t>EA062804</t>
  </si>
  <si>
    <t>코원에너지서비스</t>
  </si>
  <si>
    <t>EA020004</t>
  </si>
  <si>
    <t>코카콜라음료</t>
  </si>
  <si>
    <t>EA011858</t>
  </si>
  <si>
    <t>EA084750</t>
  </si>
  <si>
    <t>코티코리아</t>
  </si>
  <si>
    <t>코퍼스코리아</t>
  </si>
  <si>
    <t>EA080990</t>
  </si>
  <si>
    <t>콘텐츠판다</t>
  </si>
  <si>
    <t>EA016096</t>
  </si>
  <si>
    <t>EA047797</t>
  </si>
  <si>
    <t>콘티넨탈오토모티브코리아</t>
  </si>
  <si>
    <t>EA084734</t>
  </si>
  <si>
    <t>콜마스크</t>
  </si>
  <si>
    <t>EA012441</t>
  </si>
  <si>
    <t>콜마파마</t>
  </si>
  <si>
    <t>EA020033</t>
  </si>
  <si>
    <t>EA086986</t>
  </si>
  <si>
    <t>쿠콘</t>
  </si>
  <si>
    <t>EA080830</t>
  </si>
  <si>
    <t>쿠쿠전자</t>
  </si>
  <si>
    <t>EA071287</t>
  </si>
  <si>
    <t>쿠팡</t>
  </si>
  <si>
    <t>EA087056</t>
  </si>
  <si>
    <t>쿠퍼스탠다드오토모티브앤인더스트리얼</t>
  </si>
  <si>
    <t>EA074224</t>
  </si>
  <si>
    <t>쿠프마케팅</t>
  </si>
  <si>
    <t>EA086511</t>
  </si>
  <si>
    <t>퀀타매트릭스</t>
  </si>
  <si>
    <t>EA075206</t>
  </si>
  <si>
    <t>퀀텀헬스케어코리아</t>
  </si>
  <si>
    <t>EA085319</t>
  </si>
  <si>
    <t>큐라코</t>
  </si>
  <si>
    <t>EA080363</t>
  </si>
  <si>
    <t>큐씨티코리아</t>
  </si>
  <si>
    <t>EA069585</t>
  </si>
  <si>
    <t>큐알티</t>
  </si>
  <si>
    <t>EA049538</t>
  </si>
  <si>
    <t>EA056473</t>
  </si>
  <si>
    <t>크래프톤</t>
  </si>
  <si>
    <t>EA087343</t>
  </si>
  <si>
    <t>EA076509</t>
  </si>
  <si>
    <t>크리스탈생명과학</t>
  </si>
  <si>
    <t>EA077100</t>
  </si>
  <si>
    <t>클라리언트코리아</t>
  </si>
  <si>
    <t>EA019347</t>
  </si>
  <si>
    <t>클레스트라하우저만</t>
  </si>
  <si>
    <t>EA073252</t>
  </si>
  <si>
    <t>클레어스코리아</t>
  </si>
  <si>
    <t>EA021412</t>
  </si>
  <si>
    <t>클린코리아</t>
  </si>
  <si>
    <t>EA075849</t>
  </si>
  <si>
    <t>키다리이엔티</t>
  </si>
  <si>
    <t>EA058308</t>
  </si>
  <si>
    <t>키밸브기술</t>
  </si>
  <si>
    <t>EA013494</t>
  </si>
  <si>
    <t>키움이앤에스</t>
  </si>
  <si>
    <t>EA085585</t>
  </si>
  <si>
    <t>타이드</t>
  </si>
  <si>
    <t>EA065799</t>
  </si>
  <si>
    <t>탐라해상풍력발전</t>
  </si>
  <si>
    <t>EA065667</t>
  </si>
  <si>
    <t>탑머티리얼즈</t>
  </si>
  <si>
    <t>EA066651</t>
  </si>
  <si>
    <t>탑인터큐브</t>
  </si>
  <si>
    <t>EA019357</t>
  </si>
  <si>
    <t>태경농산</t>
  </si>
  <si>
    <t>EA012955</t>
  </si>
  <si>
    <t>태경에코</t>
  </si>
  <si>
    <t>EA074171</t>
  </si>
  <si>
    <t>태곡유지</t>
  </si>
  <si>
    <t>EA030557</t>
  </si>
  <si>
    <t>태광정밀화학</t>
  </si>
  <si>
    <t>EA048532</t>
  </si>
  <si>
    <t>태극제약</t>
  </si>
  <si>
    <t>EA085536</t>
  </si>
  <si>
    <t>태림판지</t>
  </si>
  <si>
    <t>EA075097</t>
  </si>
  <si>
    <t>태림페이퍼</t>
  </si>
  <si>
    <t>EA018617</t>
  </si>
  <si>
    <t>태명실업</t>
  </si>
  <si>
    <t>태성</t>
  </si>
  <si>
    <t>EA081104</t>
  </si>
  <si>
    <t>태성산업</t>
  </si>
  <si>
    <t>EA045047</t>
  </si>
  <si>
    <t>태아산업</t>
  </si>
  <si>
    <t>EA043878</t>
  </si>
  <si>
    <t>태양합성</t>
  </si>
  <si>
    <t>EA026969</t>
  </si>
  <si>
    <t>태영인더스트리</t>
  </si>
  <si>
    <t>EA026461</t>
  </si>
  <si>
    <t>태우</t>
  </si>
  <si>
    <t>EA029665</t>
  </si>
  <si>
    <t>EA076479</t>
  </si>
  <si>
    <t>태창산업</t>
  </si>
  <si>
    <t>EA010870</t>
  </si>
  <si>
    <t>테라닉스</t>
  </si>
  <si>
    <t>EA018067</t>
  </si>
  <si>
    <t>EA066314</t>
  </si>
  <si>
    <t>테크로스워터앤에너지</t>
  </si>
  <si>
    <t>EA054428</t>
  </si>
  <si>
    <t>테크로스환경서비스</t>
  </si>
  <si>
    <t>EA057120</t>
  </si>
  <si>
    <t>테크팩솔루션</t>
  </si>
  <si>
    <t>EA039398</t>
  </si>
  <si>
    <t>텍슨</t>
  </si>
  <si>
    <t>EA064956</t>
  </si>
  <si>
    <t>텐바이텐</t>
  </si>
  <si>
    <t>EA062806</t>
  </si>
  <si>
    <t>텔라움</t>
  </si>
  <si>
    <t>EA052598</t>
  </si>
  <si>
    <t>텔릿와이어리스솔루션즈</t>
  </si>
  <si>
    <t>EA029540</t>
  </si>
  <si>
    <t>토리컴</t>
  </si>
  <si>
    <t>EA019484</t>
  </si>
  <si>
    <t>토파스여행정보</t>
  </si>
  <si>
    <t>EA050178</t>
  </si>
  <si>
    <t>토파즈</t>
  </si>
  <si>
    <t>EA084868</t>
  </si>
  <si>
    <t>투썸플레이스</t>
  </si>
  <si>
    <t>EA073552</t>
  </si>
  <si>
    <t>EA049136</t>
  </si>
  <si>
    <t>트라이씨클</t>
  </si>
  <si>
    <t>EA042920</t>
  </si>
  <si>
    <t>트래닛</t>
  </si>
  <si>
    <t>EA082088</t>
  </si>
  <si>
    <t>트윔</t>
  </si>
  <si>
    <t>EA040933</t>
  </si>
  <si>
    <t>티머니</t>
  </si>
  <si>
    <t>EA062400</t>
  </si>
  <si>
    <t>티몬</t>
  </si>
  <si>
    <t>EA023207</t>
  </si>
  <si>
    <t>EA019360</t>
  </si>
  <si>
    <t>티시스</t>
  </si>
  <si>
    <t>EA050588</t>
  </si>
  <si>
    <t>티쓰리엔터테인먼트</t>
  </si>
  <si>
    <t>EA016719</t>
  </si>
  <si>
    <t>티씨씨강판</t>
  </si>
  <si>
    <t>EA057072</t>
  </si>
  <si>
    <t>티씨이</t>
  </si>
  <si>
    <t>EA062860</t>
  </si>
  <si>
    <t>EA013593</t>
  </si>
  <si>
    <t>티알벨트랙</t>
  </si>
  <si>
    <t>EA019740</t>
  </si>
  <si>
    <t>티알엔</t>
  </si>
  <si>
    <t>EA072639</t>
  </si>
  <si>
    <t>티앤케이팩토리</t>
  </si>
  <si>
    <t>EA010608</t>
  </si>
  <si>
    <t>티에스개발</t>
  </si>
  <si>
    <t>EA029022</t>
  </si>
  <si>
    <t>티에스엠텍</t>
  </si>
  <si>
    <t>EA010680</t>
  </si>
  <si>
    <t>티에스우인</t>
  </si>
  <si>
    <t>EA064075</t>
  </si>
  <si>
    <t>EA085497</t>
  </si>
  <si>
    <t>EA054826</t>
  </si>
  <si>
    <t>EA083731</t>
  </si>
  <si>
    <t>티에이케이마이크로필터</t>
  </si>
  <si>
    <t>EA085274</t>
  </si>
  <si>
    <t>티에프오네트웍스</t>
  </si>
  <si>
    <t>EA063754</t>
  </si>
  <si>
    <t>티엠씨</t>
  </si>
  <si>
    <t>EA058060</t>
  </si>
  <si>
    <t>티캐스트</t>
  </si>
  <si>
    <t>EA085303</t>
  </si>
  <si>
    <t>EA056767</t>
  </si>
  <si>
    <t>EA067234</t>
  </si>
  <si>
    <t>파라다이스세가사미</t>
  </si>
  <si>
    <t>EA018644</t>
  </si>
  <si>
    <t>파라다이스호텔부산</t>
  </si>
  <si>
    <t>EA010052</t>
  </si>
  <si>
    <t>파르나스호텔</t>
  </si>
  <si>
    <t>EA054978</t>
  </si>
  <si>
    <t>파워카본테크놀로지</t>
  </si>
  <si>
    <t>EA029376</t>
  </si>
  <si>
    <t>파이버프로</t>
  </si>
  <si>
    <t>EA068716</t>
  </si>
  <si>
    <t>파주에너지서비스</t>
  </si>
  <si>
    <t>EA045140</t>
  </si>
  <si>
    <t>파주전기초자</t>
  </si>
  <si>
    <t>EA038624</t>
  </si>
  <si>
    <t>파주컨트리클럽</t>
  </si>
  <si>
    <t>EA082730</t>
  </si>
  <si>
    <t>파킹클라우드</t>
  </si>
  <si>
    <t>EA068911</t>
  </si>
  <si>
    <t>팍스넷경제티브이</t>
  </si>
  <si>
    <t>EA014746</t>
  </si>
  <si>
    <t>EA073688</t>
  </si>
  <si>
    <t>팜스코푸드</t>
  </si>
  <si>
    <t>EA057632</t>
  </si>
  <si>
    <t>팜한농</t>
  </si>
  <si>
    <t>EA080305</t>
  </si>
  <si>
    <t>팡스카이</t>
  </si>
  <si>
    <t>EA043705</t>
  </si>
  <si>
    <t>패션그룹형지</t>
  </si>
  <si>
    <t>EA018654</t>
  </si>
  <si>
    <t>팬코</t>
  </si>
  <si>
    <t>EA060672</t>
  </si>
  <si>
    <t>팸테크놀로지</t>
  </si>
  <si>
    <t>EA069031</t>
  </si>
  <si>
    <t>퍼니스템</t>
  </si>
  <si>
    <t>EA087445</t>
  </si>
  <si>
    <t>퍼스트고덕</t>
  </si>
  <si>
    <t>EA048810</t>
  </si>
  <si>
    <t>EA058255</t>
  </si>
  <si>
    <t>퍼시픽패키지</t>
  </si>
  <si>
    <t>EA060545</t>
  </si>
  <si>
    <t>페럼인프라</t>
  </si>
  <si>
    <t>EA029012</t>
  </si>
  <si>
    <t>페이게이트</t>
  </si>
  <si>
    <t>EA064333</t>
  </si>
  <si>
    <t>페이레터</t>
  </si>
  <si>
    <t>EA084076</t>
  </si>
  <si>
    <t>평택소사벌주택위탁관리부동산투자회사</t>
  </si>
  <si>
    <t>EA054840</t>
  </si>
  <si>
    <t>평택에너지서비스</t>
  </si>
  <si>
    <t>EA019552</t>
  </si>
  <si>
    <t>평화기공</t>
  </si>
  <si>
    <t>EA026471</t>
  </si>
  <si>
    <t>평화발레오</t>
  </si>
  <si>
    <t>EA027091</t>
  </si>
  <si>
    <t>평화씨엠비</t>
  </si>
  <si>
    <t>EA019557</t>
  </si>
  <si>
    <t>평화오일씰공업</t>
  </si>
  <si>
    <t>EA040577</t>
  </si>
  <si>
    <t>평화이엔지</t>
  </si>
  <si>
    <t>EA080201</t>
  </si>
  <si>
    <t>포스에스엠</t>
  </si>
  <si>
    <t>EA010000</t>
  </si>
  <si>
    <t>포스코건설</t>
  </si>
  <si>
    <t>EA019571</t>
  </si>
  <si>
    <t>포스코경영연구원</t>
  </si>
  <si>
    <t>EA019953</t>
  </si>
  <si>
    <t>포스코에너지</t>
  </si>
  <si>
    <t>EA019570</t>
  </si>
  <si>
    <t>포스코에이앤씨건축사사무소</t>
  </si>
  <si>
    <t>EA017754</t>
  </si>
  <si>
    <t>포스코오앤엠</t>
  </si>
  <si>
    <t>EA075777</t>
  </si>
  <si>
    <t>포스코인재창조원</t>
  </si>
  <si>
    <t>EA042869</t>
  </si>
  <si>
    <t>EA010585</t>
  </si>
  <si>
    <t>포스코플랜텍</t>
  </si>
  <si>
    <t>EA068875</t>
  </si>
  <si>
    <t>포스코휴먼스</t>
  </si>
  <si>
    <t>EA066681</t>
  </si>
  <si>
    <t>EA075970</t>
  </si>
  <si>
    <t>포승그린파워</t>
  </si>
  <si>
    <t>EA065844</t>
  </si>
  <si>
    <t>포인트모바일</t>
  </si>
  <si>
    <t>EA067882</t>
  </si>
  <si>
    <t>포천에코개발</t>
  </si>
  <si>
    <t>EA054850</t>
  </si>
  <si>
    <t>포천파워</t>
  </si>
  <si>
    <t>EA084620</t>
  </si>
  <si>
    <t>포커스미디어코리아</t>
  </si>
  <si>
    <t>EA080411</t>
  </si>
  <si>
    <t>포커스에이치엔에스</t>
  </si>
  <si>
    <t>EA080716</t>
  </si>
  <si>
    <t>EA044244</t>
  </si>
  <si>
    <t>폴라리스쉬핑</t>
  </si>
  <si>
    <t>EA063711</t>
  </si>
  <si>
    <t>폴라에너지앤마린</t>
  </si>
  <si>
    <t>EA028523</t>
  </si>
  <si>
    <t>푸드머스</t>
  </si>
  <si>
    <t>EA075808</t>
  </si>
  <si>
    <t>푸드플래닛</t>
  </si>
  <si>
    <t>EA086945</t>
  </si>
  <si>
    <t>푸른공간</t>
  </si>
  <si>
    <t>EA051254</t>
  </si>
  <si>
    <t>풀무원건강생활</t>
  </si>
  <si>
    <t>EA066688</t>
  </si>
  <si>
    <t>풀무원다논</t>
  </si>
  <si>
    <t>EA054117</t>
  </si>
  <si>
    <t>풀무원식품</t>
  </si>
  <si>
    <t>EA025889</t>
  </si>
  <si>
    <t>풀무원푸드앤컬처</t>
  </si>
  <si>
    <t>EA070131</t>
  </si>
  <si>
    <t>풍산시스템</t>
  </si>
  <si>
    <t>EA027844</t>
  </si>
  <si>
    <t>풍산에프앤에스</t>
  </si>
  <si>
    <t>EA051074</t>
  </si>
  <si>
    <t>풍산특수금속</t>
  </si>
  <si>
    <t>EA084732</t>
  </si>
  <si>
    <t>풍산화동양행</t>
  </si>
  <si>
    <t>EA030309</t>
  </si>
  <si>
    <t>풍원정밀</t>
  </si>
  <si>
    <t>EA076598</t>
  </si>
  <si>
    <t>퓨쳐메디신</t>
  </si>
  <si>
    <t>EA042835</t>
  </si>
  <si>
    <t>퓨쳐켐헬스케어</t>
  </si>
  <si>
    <t>EA018676</t>
  </si>
  <si>
    <t>프라코</t>
  </si>
  <si>
    <t>EA083431</t>
  </si>
  <si>
    <t>EA066507</t>
  </si>
  <si>
    <t>프레시원강남</t>
  </si>
  <si>
    <t>EA063615</t>
  </si>
  <si>
    <t>프레시원광주</t>
  </si>
  <si>
    <t>EA062930</t>
  </si>
  <si>
    <t>프레시원남서울</t>
  </si>
  <si>
    <t>EA066500</t>
  </si>
  <si>
    <t>프레시원대구경북</t>
  </si>
  <si>
    <t>EA066499</t>
  </si>
  <si>
    <t>프레시원동서울</t>
  </si>
  <si>
    <t>EA073374</t>
  </si>
  <si>
    <t>프레시원미트</t>
  </si>
  <si>
    <t>EA081829</t>
  </si>
  <si>
    <t>프로톡스</t>
  </si>
  <si>
    <t>EA075915</t>
  </si>
  <si>
    <t>프리시젼바이오</t>
  </si>
  <si>
    <t>EA012603</t>
  </si>
  <si>
    <t>프리젠</t>
  </si>
  <si>
    <t>EA048122</t>
  </si>
  <si>
    <t>EA085079</t>
  </si>
  <si>
    <t>프리텔레콤</t>
  </si>
  <si>
    <t>EA073093</t>
  </si>
  <si>
    <t>EA078157</t>
  </si>
  <si>
    <t>플레이타임그룹</t>
  </si>
  <si>
    <t>EA018884</t>
  </si>
  <si>
    <t>피디티</t>
  </si>
  <si>
    <t>EA072385</t>
  </si>
  <si>
    <t>피앤씨랩스</t>
  </si>
  <si>
    <t>EA060620</t>
  </si>
  <si>
    <t>피앤피시큐어</t>
  </si>
  <si>
    <t>EA058095</t>
  </si>
  <si>
    <t>피에스앤마케팅</t>
  </si>
  <si>
    <t>EA076737</t>
  </si>
  <si>
    <t>피에이치브이에스</t>
  </si>
  <si>
    <t>EA019565</t>
  </si>
  <si>
    <t>피에이치씨</t>
  </si>
  <si>
    <t>EA082614</t>
  </si>
  <si>
    <t>피에이치파마</t>
  </si>
  <si>
    <t>EA065703</t>
  </si>
  <si>
    <t>피엔디티</t>
  </si>
  <si>
    <t>EA054312</t>
  </si>
  <si>
    <t>피엔알</t>
  </si>
  <si>
    <t>EA084612</t>
  </si>
  <si>
    <t>피엔케이피부임상연구센타</t>
  </si>
  <si>
    <t>EA070966</t>
  </si>
  <si>
    <t>피엔피</t>
  </si>
  <si>
    <t>EA063892</t>
  </si>
  <si>
    <t>피엘에스</t>
  </si>
  <si>
    <t>EA065759</t>
  </si>
  <si>
    <t>피엠씨텍</t>
  </si>
  <si>
    <t>EA023726</t>
  </si>
  <si>
    <t>EA073401</t>
  </si>
  <si>
    <t>피플바이오</t>
  </si>
  <si>
    <t>EA039118</t>
  </si>
  <si>
    <t>피피이씨음성나물</t>
  </si>
  <si>
    <t>EA039119</t>
  </si>
  <si>
    <t>피피이씨음성생면</t>
  </si>
  <si>
    <t>EA039356</t>
  </si>
  <si>
    <t>피피이씨의령</t>
  </si>
  <si>
    <t>EA039358</t>
  </si>
  <si>
    <t>피피이씨춘천</t>
  </si>
  <si>
    <t>EA080245</t>
  </si>
  <si>
    <t>핀크</t>
  </si>
  <si>
    <t>EA051662</t>
  </si>
  <si>
    <t>하나금융티아이</t>
  </si>
  <si>
    <t>EA058909</t>
  </si>
  <si>
    <t>하나로해운</t>
  </si>
  <si>
    <t>EA029019</t>
  </si>
  <si>
    <t>하나투어리스트</t>
  </si>
  <si>
    <t>EA080142</t>
  </si>
  <si>
    <t>하림산업</t>
  </si>
  <si>
    <t>EA081025</t>
  </si>
  <si>
    <t>하림펫푸드</t>
  </si>
  <si>
    <t>EA042648</t>
  </si>
  <si>
    <t>하우리</t>
  </si>
  <si>
    <t>EA065486</t>
  </si>
  <si>
    <t>하이골드오션12호국제선박투자회사</t>
  </si>
  <si>
    <t>EA060091</t>
  </si>
  <si>
    <t>하이골드오션2호선박투자회사</t>
  </si>
  <si>
    <t>EA062520</t>
  </si>
  <si>
    <t>하이골드오션3호선박투자회사</t>
  </si>
  <si>
    <t>EA062699</t>
  </si>
  <si>
    <t>하이골드오션8호국제선박투자회사</t>
  </si>
  <si>
    <t>EA054331</t>
  </si>
  <si>
    <t>하이엠솔루텍</t>
  </si>
  <si>
    <t>EA072321</t>
  </si>
  <si>
    <t>하이웨이솔라</t>
  </si>
  <si>
    <t>EA051051</t>
  </si>
  <si>
    <t>하이젠모터</t>
  </si>
  <si>
    <t>EA080136</t>
  </si>
  <si>
    <t>하이텔레서비스</t>
  </si>
  <si>
    <t>EA019678</t>
  </si>
  <si>
    <t>하이트진로산업</t>
  </si>
  <si>
    <t>EA046085</t>
  </si>
  <si>
    <t>하이트진로음료</t>
  </si>
  <si>
    <t>EA076851</t>
  </si>
  <si>
    <t>하이퍼커넥트</t>
  </si>
  <si>
    <t>EA018685</t>
  </si>
  <si>
    <t>하이프라자</t>
  </si>
  <si>
    <t>EA067027</t>
  </si>
  <si>
    <t>하이플렉스</t>
  </si>
  <si>
    <t>EA082126</t>
  </si>
  <si>
    <t>하임바이오</t>
  </si>
  <si>
    <t>EA086707</t>
  </si>
  <si>
    <t>하젠</t>
  </si>
  <si>
    <t>EA019689</t>
  </si>
  <si>
    <t>EA062949</t>
  </si>
  <si>
    <t>한국강재</t>
  </si>
  <si>
    <t>EA061820</t>
  </si>
  <si>
    <t>한국금거래소쓰리엠</t>
  </si>
  <si>
    <t>EA057871</t>
  </si>
  <si>
    <t>한국기초소재</t>
  </si>
  <si>
    <t>EA028698</t>
  </si>
  <si>
    <t>한국남동발전</t>
  </si>
  <si>
    <t>EA028402</t>
  </si>
  <si>
    <t>한국남부발전</t>
  </si>
  <si>
    <t>EA028640</t>
  </si>
  <si>
    <t>한국네트웍스</t>
  </si>
  <si>
    <t>EA019727</t>
  </si>
  <si>
    <t>한국노바티스</t>
  </si>
  <si>
    <t>EA028914</t>
  </si>
  <si>
    <t>한국동서발전</t>
  </si>
  <si>
    <t>EA010482</t>
  </si>
  <si>
    <t>한국렌탈</t>
  </si>
  <si>
    <t>EA085354</t>
  </si>
  <si>
    <t>한국로지스틱스</t>
  </si>
  <si>
    <t>EA027245</t>
  </si>
  <si>
    <t>한국마루베니</t>
  </si>
  <si>
    <t>EA010851</t>
  </si>
  <si>
    <t>EA019774</t>
  </si>
  <si>
    <t>한국미쓰비시상사</t>
  </si>
  <si>
    <t>EA019776</t>
  </si>
  <si>
    <t>한국미우라공업</t>
  </si>
  <si>
    <t>EA019778</t>
  </si>
  <si>
    <t>한국바스프</t>
  </si>
  <si>
    <t>EA063847</t>
  </si>
  <si>
    <t>한국바이오켐제약</t>
  </si>
  <si>
    <t>EA019783</t>
  </si>
  <si>
    <t>한국베링거인겔하임</t>
  </si>
  <si>
    <t>EA028411</t>
  </si>
  <si>
    <t>한국서부발전</t>
  </si>
  <si>
    <t>EA085519</t>
  </si>
  <si>
    <t>한국선박글로벌2호선박투자회사</t>
  </si>
  <si>
    <t>EA078455</t>
  </si>
  <si>
    <t>한국선불카드</t>
  </si>
  <si>
    <t>EA027285</t>
  </si>
  <si>
    <t>한국세큐리트</t>
  </si>
  <si>
    <t>EA028366</t>
  </si>
  <si>
    <t>한국수력원자력</t>
  </si>
  <si>
    <t>EA056382</t>
  </si>
  <si>
    <t>한국실리콘</t>
  </si>
  <si>
    <t>EA081466</t>
  </si>
  <si>
    <t>한국썸벧</t>
  </si>
  <si>
    <t>EA027212</t>
  </si>
  <si>
    <t>한국씨엔티</t>
  </si>
  <si>
    <t>EA019856</t>
  </si>
  <si>
    <t>한국아이비엠</t>
  </si>
  <si>
    <t>EA018720</t>
  </si>
  <si>
    <t>한국알스트롬</t>
  </si>
  <si>
    <t>EA019862</t>
  </si>
  <si>
    <t>한국알콘</t>
  </si>
  <si>
    <t>EA038534</t>
  </si>
  <si>
    <t>한국에자이</t>
  </si>
  <si>
    <t>EA010492</t>
  </si>
  <si>
    <t>한국엔에스케이</t>
  </si>
  <si>
    <t>EA017694</t>
  </si>
  <si>
    <t>한국엔지니어링웍스</t>
  </si>
  <si>
    <t>EA019902</t>
  </si>
  <si>
    <t>한국오츠카제약</t>
  </si>
  <si>
    <t>EA084399</t>
  </si>
  <si>
    <t>한국유리공업</t>
  </si>
  <si>
    <t>EA052035</t>
  </si>
  <si>
    <t>한국음료</t>
  </si>
  <si>
    <t>EA059853</t>
  </si>
  <si>
    <t>EA018731</t>
  </si>
  <si>
    <t>한국인삼공사</t>
  </si>
  <si>
    <t>EA019923</t>
  </si>
  <si>
    <t>한국일보사</t>
  </si>
  <si>
    <t>EA084984</t>
  </si>
  <si>
    <t>한국전기차충전서비스</t>
  </si>
  <si>
    <t>EA085165</t>
  </si>
  <si>
    <t>한국전자판매</t>
  </si>
  <si>
    <t>EA086114</t>
  </si>
  <si>
    <t>한국종합기술홀딩스</t>
  </si>
  <si>
    <t>EA051912</t>
  </si>
  <si>
    <t>한국줄기세포뱅크</t>
  </si>
  <si>
    <t>EA028995</t>
  </si>
  <si>
    <t>한국중부발전</t>
  </si>
  <si>
    <t>EA061422</t>
  </si>
  <si>
    <t>한국쯔바키모토오토모티브</t>
  </si>
  <si>
    <t>EA019973</t>
  </si>
  <si>
    <t>한국체육산업개발</t>
  </si>
  <si>
    <t>EA010495</t>
  </si>
  <si>
    <t>EA027366</t>
  </si>
  <si>
    <t>한국캠브리지필터</t>
  </si>
  <si>
    <t>EA050592</t>
  </si>
  <si>
    <t>한국케이블텔레콤</t>
  </si>
  <si>
    <t>EA056373</t>
  </si>
  <si>
    <t>한국코러스</t>
  </si>
  <si>
    <t>EA066807</t>
  </si>
  <si>
    <t>한국타워크레인</t>
  </si>
  <si>
    <t>EA041218</t>
  </si>
  <si>
    <t>EA024680</t>
  </si>
  <si>
    <t>한국특수전지</t>
  </si>
  <si>
    <t>한국파마</t>
  </si>
  <si>
    <t>EA080154</t>
  </si>
  <si>
    <t>한국파워엔지니어링서비스</t>
  </si>
  <si>
    <t>EA086437</t>
  </si>
  <si>
    <t>한국페이즈서비스</t>
  </si>
  <si>
    <t>EA016466</t>
  </si>
  <si>
    <t>한국프리시전웍스</t>
  </si>
  <si>
    <t>EA065672</t>
  </si>
  <si>
    <t>한국해상풍력</t>
  </si>
  <si>
    <t>EA086420</t>
  </si>
  <si>
    <t>한국후지필름</t>
  </si>
  <si>
    <t>EA021503</t>
  </si>
  <si>
    <t>EA057082</t>
  </si>
  <si>
    <t>한덕철광산업</t>
  </si>
  <si>
    <t>EA020075</t>
  </si>
  <si>
    <t>한덕화학</t>
  </si>
  <si>
    <t>EA056332</t>
  </si>
  <si>
    <t>한동개발</t>
  </si>
  <si>
    <t>EA054671</t>
  </si>
  <si>
    <t>한라스택폴</t>
  </si>
  <si>
    <t>EA023422</t>
  </si>
  <si>
    <t>한라시멘트</t>
  </si>
  <si>
    <t>EA020089</t>
  </si>
  <si>
    <t>한라엔컴</t>
  </si>
  <si>
    <t>EA048522</t>
  </si>
  <si>
    <t>EA020094</t>
  </si>
  <si>
    <t>한림인텍</t>
  </si>
  <si>
    <t>EA010053</t>
  </si>
  <si>
    <t>한무쇼핑</t>
  </si>
  <si>
    <t>EA043021</t>
  </si>
  <si>
    <t>한미전선</t>
  </si>
  <si>
    <t>EA027504</t>
  </si>
  <si>
    <t>한미정밀화학</t>
  </si>
  <si>
    <t>EA053360</t>
  </si>
  <si>
    <t>한산디엠씨</t>
  </si>
  <si>
    <t>EA080168</t>
  </si>
  <si>
    <t>한샘개발</t>
  </si>
  <si>
    <t>EA057903</t>
  </si>
  <si>
    <t>한샘넥서스</t>
  </si>
  <si>
    <t>EA039177</t>
  </si>
  <si>
    <t>한샘도무스</t>
  </si>
  <si>
    <t>EA069273</t>
  </si>
  <si>
    <t>한샘서비스원</t>
  </si>
  <si>
    <t>EA017084</t>
  </si>
  <si>
    <t>한샘이펙스</t>
  </si>
  <si>
    <t>EA065838</t>
  </si>
  <si>
    <t>한선엔지니어링</t>
  </si>
  <si>
    <t>EA027535</t>
  </si>
  <si>
    <t>한성</t>
  </si>
  <si>
    <t>EA018769</t>
  </si>
  <si>
    <t>한성레미콘</t>
  </si>
  <si>
    <t>EA068841</t>
  </si>
  <si>
    <t>한성수산식품</t>
  </si>
  <si>
    <t>EA020153</t>
  </si>
  <si>
    <t>한성식품</t>
  </si>
  <si>
    <t>EA053681</t>
  </si>
  <si>
    <t>한성플랜지</t>
  </si>
  <si>
    <t>EA056296</t>
  </si>
  <si>
    <t>한성피씨건설</t>
  </si>
  <si>
    <t>EA086600</t>
  </si>
  <si>
    <t>한솔바이오텍</t>
  </si>
  <si>
    <t>EA038668</t>
  </si>
  <si>
    <t>한솔이엠이</t>
  </si>
  <si>
    <t>EA014344</t>
  </si>
  <si>
    <t>한솔페이퍼텍</t>
  </si>
  <si>
    <t>EA076152</t>
  </si>
  <si>
    <t>한우리열린교육</t>
  </si>
  <si>
    <t>EA080170</t>
  </si>
  <si>
    <t>한일건재</t>
  </si>
  <si>
    <t>EA020234</t>
  </si>
  <si>
    <t>한일레저</t>
  </si>
  <si>
    <t>EA010057</t>
  </si>
  <si>
    <t>한일산업</t>
  </si>
  <si>
    <t>EA080900</t>
  </si>
  <si>
    <t>한일신재생</t>
  </si>
  <si>
    <t>EA086313</t>
  </si>
  <si>
    <t>EA020261</t>
  </si>
  <si>
    <t>한전원자력연료</t>
  </si>
  <si>
    <t>EA078763</t>
  </si>
  <si>
    <t>한주반도체</t>
  </si>
  <si>
    <t>EA065808</t>
  </si>
  <si>
    <t>한진관광</t>
  </si>
  <si>
    <t>EA020274</t>
  </si>
  <si>
    <t>한진정보통신</t>
  </si>
  <si>
    <t>EA052130</t>
  </si>
  <si>
    <t>한청판지공업</t>
  </si>
  <si>
    <t>EA018814</t>
  </si>
  <si>
    <t>한컴</t>
  </si>
  <si>
    <t>EA043975</t>
  </si>
  <si>
    <t>한컴라이프케어</t>
  </si>
  <si>
    <t>EA060499</t>
  </si>
  <si>
    <t>한페이시스</t>
  </si>
  <si>
    <t>EA012816</t>
  </si>
  <si>
    <t>한화63시티</t>
  </si>
  <si>
    <t>EA010056</t>
  </si>
  <si>
    <t>한화갤러리아</t>
  </si>
  <si>
    <t>EA030609</t>
  </si>
  <si>
    <t>한화건설</t>
  </si>
  <si>
    <t>EA010095</t>
  </si>
  <si>
    <t>한화글로벌에셋</t>
  </si>
  <si>
    <t>EA056546</t>
  </si>
  <si>
    <t>한화도시개발</t>
  </si>
  <si>
    <t>EA080284</t>
  </si>
  <si>
    <t>한화디펜스</t>
  </si>
  <si>
    <t>EA054391</t>
  </si>
  <si>
    <t>한화손해사정</t>
  </si>
  <si>
    <t>EA085898</t>
  </si>
  <si>
    <t>한화솔라파워</t>
  </si>
  <si>
    <t>EA048033</t>
  </si>
  <si>
    <t>한화에너지</t>
  </si>
  <si>
    <t>EA016337</t>
  </si>
  <si>
    <t>한화에스테이트</t>
  </si>
  <si>
    <t>EA020294</t>
  </si>
  <si>
    <t>EA027707</t>
  </si>
  <si>
    <t>한화이글스</t>
  </si>
  <si>
    <t>EA080641</t>
  </si>
  <si>
    <t>한화정밀기계</t>
  </si>
  <si>
    <t>EA010024</t>
  </si>
  <si>
    <t>EA015186</t>
  </si>
  <si>
    <t>한화컴파운드</t>
  </si>
  <si>
    <t>EA057791</t>
  </si>
  <si>
    <t>한화케미칼오버시즈홀딩스</t>
  </si>
  <si>
    <t>EA084746</t>
  </si>
  <si>
    <t>한화테크윈</t>
  </si>
  <si>
    <t>EA038893</t>
  </si>
  <si>
    <t>EA080145</t>
  </si>
  <si>
    <t>한화파워시스템</t>
  </si>
  <si>
    <t>EA020289</t>
  </si>
  <si>
    <t>한화호텔앤드리조트</t>
  </si>
  <si>
    <t>EA043444</t>
  </si>
  <si>
    <t>항공종합서비스</t>
  </si>
  <si>
    <t>EA010729</t>
  </si>
  <si>
    <t>항소</t>
  </si>
  <si>
    <t>EA056264</t>
  </si>
  <si>
    <t>해동산업</t>
  </si>
  <si>
    <t>EA019724</t>
  </si>
  <si>
    <t>해비치컨트리클럽</t>
  </si>
  <si>
    <t>EA017362</t>
  </si>
  <si>
    <t>해비치호텔앤드리조트</t>
  </si>
  <si>
    <t>EA040302</t>
  </si>
  <si>
    <t>해성티피씨</t>
  </si>
  <si>
    <t>EA010058</t>
  </si>
  <si>
    <t>해양에너지</t>
  </si>
  <si>
    <t>EA020332</t>
  </si>
  <si>
    <t>해태에이치티비</t>
  </si>
  <si>
    <t>EA063139</t>
  </si>
  <si>
    <t>핸즈식스</t>
  </si>
  <si>
    <t>EA080615</t>
  </si>
  <si>
    <t>EA046072</t>
  </si>
  <si>
    <t>행복나래</t>
  </si>
  <si>
    <t>EA085028</t>
  </si>
  <si>
    <t>행복모아</t>
  </si>
  <si>
    <t>EA060454</t>
  </si>
  <si>
    <t>험프리에스엘큐원</t>
  </si>
  <si>
    <t>EA048226</t>
  </si>
  <si>
    <t>현대개발</t>
  </si>
  <si>
    <t>EA045037</t>
  </si>
  <si>
    <t>현대글로벌</t>
  </si>
  <si>
    <t>EA081877</t>
  </si>
  <si>
    <t>현대글로벌서비스</t>
  </si>
  <si>
    <t>EA070855</t>
  </si>
  <si>
    <t>현대기계산업</t>
  </si>
  <si>
    <t>EA051735</t>
  </si>
  <si>
    <t>현대도시개발</t>
  </si>
  <si>
    <t>EA045279</t>
  </si>
  <si>
    <t>현대드림투어</t>
  </si>
  <si>
    <t>EA076118</t>
  </si>
  <si>
    <t>현대렌탈케어</t>
  </si>
  <si>
    <t>EA060774</t>
  </si>
  <si>
    <t>현대무벡스</t>
  </si>
  <si>
    <t>EA054888</t>
  </si>
  <si>
    <t>EA084713</t>
  </si>
  <si>
    <t>현대백화점면세점</t>
  </si>
  <si>
    <t>EA020891</t>
  </si>
  <si>
    <t>현대삼호중공업</t>
  </si>
  <si>
    <t>EA047816</t>
  </si>
  <si>
    <t>EA010920</t>
  </si>
  <si>
    <t>현대쇼핑</t>
  </si>
  <si>
    <t>EA066576</t>
  </si>
  <si>
    <t>현대쉘베이스오일</t>
  </si>
  <si>
    <t>EA039530</t>
  </si>
  <si>
    <t>현대스틸산업</t>
  </si>
  <si>
    <t>EA012968</t>
  </si>
  <si>
    <t>현대씨앤알</t>
  </si>
  <si>
    <t>EA060461</t>
  </si>
  <si>
    <t>현대아반시스</t>
  </si>
  <si>
    <t>EA018423</t>
  </si>
  <si>
    <t>현대아이에이치엘</t>
  </si>
  <si>
    <t>EA087792</t>
  </si>
  <si>
    <t>현대아이티앤이</t>
  </si>
  <si>
    <t>EA043883</t>
  </si>
  <si>
    <t>현대알루미늄</t>
  </si>
  <si>
    <t>EA057756</t>
  </si>
  <si>
    <t>EA051256</t>
  </si>
  <si>
    <t>현대에이앤아이</t>
  </si>
  <si>
    <t>EA030295</t>
  </si>
  <si>
    <t>현대에이치디에스</t>
  </si>
  <si>
    <t>EA020367</t>
  </si>
  <si>
    <t>현대엔지니어링</t>
  </si>
  <si>
    <t>EA069056</t>
  </si>
  <si>
    <t>현대엘앤씨</t>
  </si>
  <si>
    <t>EA066000</t>
  </si>
  <si>
    <t>현대엘앤알</t>
  </si>
  <si>
    <t>EA063272</t>
  </si>
  <si>
    <t>EA038663</t>
  </si>
  <si>
    <t>현대엠시트</t>
  </si>
  <si>
    <t>EA080250</t>
  </si>
  <si>
    <t>현대오씨아이</t>
  </si>
  <si>
    <t>EA010003</t>
  </si>
  <si>
    <t>현대오일뱅크</t>
  </si>
  <si>
    <t>EA065724</t>
  </si>
  <si>
    <t>현대오일터미널</t>
  </si>
  <si>
    <t>EA054353</t>
  </si>
  <si>
    <t>현대오트론</t>
  </si>
  <si>
    <t>EA072404</t>
  </si>
  <si>
    <t>현대위아터보</t>
  </si>
  <si>
    <t>EA054366</t>
  </si>
  <si>
    <t>현대이엔티</t>
  </si>
  <si>
    <t>EA029559</t>
  </si>
  <si>
    <t>현대제이콤</t>
  </si>
  <si>
    <t>EA010522</t>
  </si>
  <si>
    <t>현대종합금속</t>
  </si>
  <si>
    <t>EA051462</t>
  </si>
  <si>
    <t>현대종합설계건축사사무소</t>
  </si>
  <si>
    <t>EA051642</t>
  </si>
  <si>
    <t>EA060665</t>
  </si>
  <si>
    <t>현대종합특수강</t>
  </si>
  <si>
    <t>EA080676</t>
  </si>
  <si>
    <t>현대중공업모스</t>
  </si>
  <si>
    <t>EA080119</t>
  </si>
  <si>
    <t>현대중공업터보기계</t>
  </si>
  <si>
    <t>EA047132</t>
  </si>
  <si>
    <t>현대첨단소재</t>
  </si>
  <si>
    <t>EA066522</t>
  </si>
  <si>
    <t>현대캐터링시스템</t>
  </si>
  <si>
    <t>EA072486</t>
  </si>
  <si>
    <t>현대케미칼</t>
  </si>
  <si>
    <t>EA010445</t>
  </si>
  <si>
    <t>현대케피코</t>
  </si>
  <si>
    <t>EA061296</t>
  </si>
  <si>
    <t>현대코스모</t>
  </si>
  <si>
    <t>EA020061</t>
  </si>
  <si>
    <t>현대트랜시스</t>
  </si>
  <si>
    <t>EA050783</t>
  </si>
  <si>
    <t>현대하이라이프손해사정</t>
  </si>
  <si>
    <t>EA020385</t>
  </si>
  <si>
    <t>현대하이카손해사정</t>
  </si>
  <si>
    <t>EA087412</t>
  </si>
  <si>
    <t>현대화펀드선박투자회사</t>
  </si>
  <si>
    <t>EA054829</t>
  </si>
  <si>
    <t>현대힘스</t>
  </si>
  <si>
    <t>EA070134</t>
  </si>
  <si>
    <t>호남풍력발전</t>
  </si>
  <si>
    <t>EA058254</t>
  </si>
  <si>
    <t>호리바에스텍코리아</t>
  </si>
  <si>
    <t>EA048711</t>
  </si>
  <si>
    <t>호리바코리아</t>
  </si>
  <si>
    <t>EA018857</t>
  </si>
  <si>
    <t>호텔롯데</t>
  </si>
  <si>
    <t>EA078580</t>
  </si>
  <si>
    <t>홈센타</t>
  </si>
  <si>
    <t>EA085423</t>
  </si>
  <si>
    <t>홈앤서비스</t>
  </si>
  <si>
    <t>EA063103</t>
  </si>
  <si>
    <t>홈앤쇼핑</t>
  </si>
  <si>
    <t>EA058103</t>
  </si>
  <si>
    <t>홈초이스</t>
  </si>
  <si>
    <t>EA015051</t>
  </si>
  <si>
    <t>홈플러스</t>
  </si>
  <si>
    <t>EA042749</t>
  </si>
  <si>
    <t>화산테크</t>
  </si>
  <si>
    <t>EA026456</t>
  </si>
  <si>
    <t>화순컨트리클럽</t>
  </si>
  <si>
    <t>EA026510</t>
  </si>
  <si>
    <t>EA084701</t>
  </si>
  <si>
    <t>화승케미칼</t>
  </si>
  <si>
    <t>EA080396</t>
  </si>
  <si>
    <t>화앤담픽쳐스</t>
  </si>
  <si>
    <t>EA018874</t>
  </si>
  <si>
    <t>화진피에프</t>
  </si>
  <si>
    <t>EA047087</t>
  </si>
  <si>
    <t>화창</t>
  </si>
  <si>
    <t>EA084847</t>
  </si>
  <si>
    <t>환경시설관리</t>
  </si>
  <si>
    <t>EA085542</t>
  </si>
  <si>
    <t>환경에너지</t>
  </si>
  <si>
    <t>EA028850</t>
  </si>
  <si>
    <t>환영철강공업</t>
  </si>
  <si>
    <t>EA020509</t>
  </si>
  <si>
    <t>효성굿스프링스</t>
  </si>
  <si>
    <t>EA048735</t>
  </si>
  <si>
    <t>효성에프엠에스</t>
  </si>
  <si>
    <t>EA020510</t>
  </si>
  <si>
    <t>효성인포메이션시스템</t>
  </si>
  <si>
    <t>EA067307</t>
  </si>
  <si>
    <t>효성토요타</t>
  </si>
  <si>
    <t>EA014196</t>
  </si>
  <si>
    <t>효성투자개발</t>
  </si>
  <si>
    <t>EA027994</t>
  </si>
  <si>
    <t>효성트랜스월드</t>
  </si>
  <si>
    <t>EA020505</t>
  </si>
  <si>
    <t>효성티앤에스</t>
  </si>
  <si>
    <t>EA043110</t>
  </si>
  <si>
    <t>훽트</t>
  </si>
  <si>
    <t>EA086922</t>
  </si>
  <si>
    <t>휴맥스오토모티브</t>
  </si>
  <si>
    <t>EA063531</t>
  </si>
  <si>
    <t>휴먼스캔</t>
  </si>
  <si>
    <t>EA063052</t>
  </si>
  <si>
    <t>휴먼티에스에스</t>
  </si>
  <si>
    <t>EA066903</t>
  </si>
  <si>
    <t>휴베나</t>
  </si>
  <si>
    <t>EA019942</t>
  </si>
  <si>
    <t>EA048576</t>
  </si>
  <si>
    <t>휴세스</t>
  </si>
  <si>
    <t>EA061806</t>
  </si>
  <si>
    <t>EA063349</t>
  </si>
  <si>
    <t>휴온스메디케어</t>
  </si>
  <si>
    <t>EA015249</t>
  </si>
  <si>
    <t>희성전자</t>
  </si>
  <si>
    <t>EA020560</t>
  </si>
  <si>
    <t>희성촉매</t>
  </si>
  <si>
    <t>EA073015</t>
  </si>
  <si>
    <t>희성폴리머</t>
  </si>
  <si>
    <t>EA043082</t>
  </si>
  <si>
    <t>희성피엠텍</t>
  </si>
  <si>
    <t>EA018894</t>
  </si>
  <si>
    <t>희성화학</t>
  </si>
  <si>
    <t>EA020567</t>
  </si>
  <si>
    <t>히로세코리아</t>
  </si>
  <si>
    <t>EA047561</t>
  </si>
  <si>
    <t>EA049187</t>
  </si>
  <si>
    <t>힐리언스</t>
  </si>
  <si>
    <t>EA010534</t>
  </si>
  <si>
    <t>힐티코리아</t>
  </si>
  <si>
    <t>EA071660</t>
  </si>
  <si>
    <t>경남은행</t>
  </si>
  <si>
    <t>EA084192</t>
  </si>
  <si>
    <t>광주은행</t>
  </si>
  <si>
    <t>EA050931</t>
  </si>
  <si>
    <t>국민은행</t>
  </si>
  <si>
    <t>EA062719</t>
  </si>
  <si>
    <t>농협금융지주</t>
  </si>
  <si>
    <t>EA064207</t>
  </si>
  <si>
    <t>농협은행</t>
  </si>
  <si>
    <t>EA060215</t>
  </si>
  <si>
    <t>대구은행</t>
  </si>
  <si>
    <t>EA060042</t>
  </si>
  <si>
    <t>부산은행</t>
  </si>
  <si>
    <t>EA040439</t>
  </si>
  <si>
    <t>신한은행</t>
  </si>
  <si>
    <t>EA028858</t>
  </si>
  <si>
    <t>우리은행</t>
  </si>
  <si>
    <t>EA065335</t>
  </si>
  <si>
    <t>전북은행</t>
  </si>
  <si>
    <t>EA080528</t>
  </si>
  <si>
    <t>EA065190</t>
  </si>
  <si>
    <t>하나은행</t>
  </si>
  <si>
    <t>EA042654</t>
  </si>
  <si>
    <t>한국스탠다드차타드은행</t>
  </si>
  <si>
    <t>EA040445</t>
  </si>
  <si>
    <t>한국씨티은행</t>
  </si>
  <si>
    <t>EA080213</t>
  </si>
  <si>
    <t>EA014077</t>
  </si>
  <si>
    <t>DB생명보험</t>
  </si>
  <si>
    <t>EA014451</t>
  </si>
  <si>
    <t>DGB생명보험</t>
  </si>
  <si>
    <t>EA079310</t>
  </si>
  <si>
    <t>KB손해보험</t>
  </si>
  <si>
    <t>EA063181</t>
  </si>
  <si>
    <t>NH농협손해보험</t>
  </si>
  <si>
    <t>EA068862</t>
  </si>
  <si>
    <t>교보라이프플래닛생명보험</t>
  </si>
  <si>
    <t>EA010232</t>
  </si>
  <si>
    <t>교보생명보험</t>
  </si>
  <si>
    <t>EA064238</t>
  </si>
  <si>
    <t>농협생명보험</t>
  </si>
  <si>
    <t>EA040389</t>
  </si>
  <si>
    <t>EA042752</t>
  </si>
  <si>
    <t>라이나생명보험</t>
  </si>
  <si>
    <t>EA014564</t>
  </si>
  <si>
    <t>메트라이프생명보험</t>
  </si>
  <si>
    <t>EA040383</t>
  </si>
  <si>
    <t>비엔피파리바카디프생명보험</t>
  </si>
  <si>
    <t>EA042728</t>
  </si>
  <si>
    <t>EA015359</t>
  </si>
  <si>
    <t>서울보증보험</t>
  </si>
  <si>
    <t>EA016009</t>
  </si>
  <si>
    <t>EA062605</t>
  </si>
  <si>
    <t>아이비케이연금보험</t>
  </si>
  <si>
    <t>EA028422</t>
  </si>
  <si>
    <t>악사손해보험</t>
  </si>
  <si>
    <t>EA021044</t>
  </si>
  <si>
    <t>에이비엘생명보험</t>
  </si>
  <si>
    <t>EA087248</t>
  </si>
  <si>
    <t>에이아이에이생명보험</t>
  </si>
  <si>
    <t>EA067576</t>
  </si>
  <si>
    <t>에이아이지손해보험</t>
  </si>
  <si>
    <t>EA069020</t>
  </si>
  <si>
    <t>엠지손해보험</t>
  </si>
  <si>
    <t>EA010655</t>
  </si>
  <si>
    <t>처브라이프생명보험</t>
  </si>
  <si>
    <t>EA013246</t>
  </si>
  <si>
    <t>케이디비생명보험</t>
  </si>
  <si>
    <t>EA044868</t>
  </si>
  <si>
    <t>케이비생명보험</t>
  </si>
  <si>
    <t>EA019583</t>
  </si>
  <si>
    <t>푸르덴셜생명보험</t>
  </si>
  <si>
    <t>EA042684</t>
  </si>
  <si>
    <t>푸본현대생명보험</t>
  </si>
  <si>
    <t>EA019622</t>
  </si>
  <si>
    <t>하나생명보험</t>
  </si>
  <si>
    <t>EA020537</t>
  </si>
  <si>
    <t>흥국생명보험</t>
  </si>
  <si>
    <t>EA054846</t>
  </si>
  <si>
    <t>BNK자산운용</t>
  </si>
  <si>
    <t>EA014876</t>
  </si>
  <si>
    <t>BNK투자증권</t>
  </si>
  <si>
    <t>EA018910</t>
  </si>
  <si>
    <t>KB자산운용</t>
  </si>
  <si>
    <t>EA011270</t>
  </si>
  <si>
    <t>EA010819</t>
  </si>
  <si>
    <t>교보악사자산운용</t>
  </si>
  <si>
    <t>EA057486</t>
  </si>
  <si>
    <t>노무라금융투자</t>
  </si>
  <si>
    <t>EA065301</t>
  </si>
  <si>
    <t>다이와증권캐피탈마켓코리아</t>
  </si>
  <si>
    <t>EA013677</t>
  </si>
  <si>
    <t>대신자산운용</t>
  </si>
  <si>
    <t>EA028304</t>
  </si>
  <si>
    <t>도이치증권</t>
  </si>
  <si>
    <t>EA030555</t>
  </si>
  <si>
    <t>디더블유에스자산운용</t>
  </si>
  <si>
    <t>EA010817</t>
  </si>
  <si>
    <t>디비자산운용</t>
  </si>
  <si>
    <t>EA074913</t>
  </si>
  <si>
    <t>디셈버앤컴퍼니자산운용</t>
  </si>
  <si>
    <t>EA065229</t>
  </si>
  <si>
    <t>디에스자산운용</t>
  </si>
  <si>
    <t>EA057473</t>
  </si>
  <si>
    <t>디에스투자증권</t>
  </si>
  <si>
    <t>EA054360</t>
  </si>
  <si>
    <t>EA014504</t>
  </si>
  <si>
    <t>리딩투자증권</t>
  </si>
  <si>
    <t>EA080107</t>
  </si>
  <si>
    <t>마스턴투자운용</t>
  </si>
  <si>
    <t>EA011287</t>
  </si>
  <si>
    <t>마이다스에셋자산운용</t>
  </si>
  <si>
    <t>EA044829</t>
  </si>
  <si>
    <t>맥쿼리자산운용</t>
  </si>
  <si>
    <t>EA047590</t>
  </si>
  <si>
    <t>맥쿼리증권</t>
  </si>
  <si>
    <t>EA010544</t>
  </si>
  <si>
    <t>EA085070</t>
  </si>
  <si>
    <t>머스트자산운용</t>
  </si>
  <si>
    <t>EA010816</t>
  </si>
  <si>
    <t>멀티에셋자산운용</t>
  </si>
  <si>
    <t>EA060174</t>
  </si>
  <si>
    <t>메리츠자산운용</t>
  </si>
  <si>
    <t>EA023612</t>
  </si>
  <si>
    <t>미래에셋자산운용</t>
  </si>
  <si>
    <t>EA057459</t>
  </si>
  <si>
    <t>EA088306</t>
  </si>
  <si>
    <t>밸류시스템자산운용</t>
  </si>
  <si>
    <t>EA025281</t>
  </si>
  <si>
    <t>베어링자산운용</t>
  </si>
  <si>
    <t>EA060187</t>
  </si>
  <si>
    <t>브레인자산운용</t>
  </si>
  <si>
    <t>EA047560</t>
  </si>
  <si>
    <t>브이아이피자산운용</t>
  </si>
  <si>
    <t>EA054198</t>
  </si>
  <si>
    <t>블랙록자산운용</t>
  </si>
  <si>
    <t>EA042706</t>
  </si>
  <si>
    <t>비엔피파리바증권</t>
  </si>
  <si>
    <t>EA081099</t>
  </si>
  <si>
    <t>삼성액티브자산운용</t>
  </si>
  <si>
    <t>EA065722</t>
  </si>
  <si>
    <t>삼성에스알에이자산운용</t>
  </si>
  <si>
    <t>EA015052</t>
  </si>
  <si>
    <t>삼성자산운용</t>
  </si>
  <si>
    <t>EA079240</t>
  </si>
  <si>
    <t>수성자산운용</t>
  </si>
  <si>
    <t>EA028413</t>
  </si>
  <si>
    <t>슈로더투자신탁운용</t>
  </si>
  <si>
    <t>EA010896</t>
  </si>
  <si>
    <t>신영자산운용</t>
  </si>
  <si>
    <t>EA040536</t>
  </si>
  <si>
    <t>EA016025</t>
  </si>
  <si>
    <t>EA040410</t>
  </si>
  <si>
    <t>씨엘에스에이코리아증권</t>
  </si>
  <si>
    <t>EA014950</t>
  </si>
  <si>
    <t>씨티그룹글로벌마켓증권</t>
  </si>
  <si>
    <t>EA044830</t>
  </si>
  <si>
    <t>아이비케이자산운용</t>
  </si>
  <si>
    <t>EA051555</t>
  </si>
  <si>
    <t>아이비케이투자증권</t>
  </si>
  <si>
    <t>EA068222</t>
  </si>
  <si>
    <t>안다자산운용</t>
  </si>
  <si>
    <t>EA042748</t>
  </si>
  <si>
    <t>알파자산운용</t>
  </si>
  <si>
    <t>EA016319</t>
  </si>
  <si>
    <t>에셋플러스자산운용</t>
  </si>
  <si>
    <t>EA040392</t>
  </si>
  <si>
    <t>엔에이치아문디자산운용</t>
  </si>
  <si>
    <t>EA057514</t>
  </si>
  <si>
    <t>엠플러스자산운용</t>
  </si>
  <si>
    <t>EA014206</t>
  </si>
  <si>
    <t>우리자산운용</t>
  </si>
  <si>
    <t>EA013505</t>
  </si>
  <si>
    <t>유경피에스지자산운용</t>
  </si>
  <si>
    <t>EA012265</t>
  </si>
  <si>
    <t>유리자산운용</t>
  </si>
  <si>
    <t>EA020253</t>
  </si>
  <si>
    <t>유진자산운용</t>
  </si>
  <si>
    <t>EA028314</t>
  </si>
  <si>
    <t>이스트스프링자산운용코리아</t>
  </si>
  <si>
    <t>EA072184</t>
  </si>
  <si>
    <t>이지스자산운용</t>
  </si>
  <si>
    <t>EA057485</t>
  </si>
  <si>
    <t>제이비자산운용</t>
  </si>
  <si>
    <t>EA081362</t>
  </si>
  <si>
    <t>제이앤제이자산운용</t>
  </si>
  <si>
    <t>EA044871</t>
  </si>
  <si>
    <t>칸서스자산운용</t>
  </si>
  <si>
    <t>EA057443</t>
  </si>
  <si>
    <t>케이디비인프라자산운용</t>
  </si>
  <si>
    <t>EA075354</t>
  </si>
  <si>
    <t>케이비증권</t>
  </si>
  <si>
    <t>EA030400</t>
  </si>
  <si>
    <t>케이아이디비채권중개</t>
  </si>
  <si>
    <t>EA060167</t>
  </si>
  <si>
    <t>케이원투자자문</t>
  </si>
  <si>
    <t>EA057474</t>
  </si>
  <si>
    <t>케이프투자증권</t>
  </si>
  <si>
    <t>EA074013</t>
  </si>
  <si>
    <t>코람코자산운용</t>
  </si>
  <si>
    <t>EA014529</t>
  </si>
  <si>
    <t>코레이트자산운용</t>
  </si>
  <si>
    <t>EA071465</t>
  </si>
  <si>
    <t>쿼드자산운용</t>
  </si>
  <si>
    <t>EA020586</t>
  </si>
  <si>
    <t>키움투자자산운용</t>
  </si>
  <si>
    <t>EA083647</t>
  </si>
  <si>
    <t>EA065305</t>
  </si>
  <si>
    <t>타임폴리오자산운용</t>
  </si>
  <si>
    <t>EA025185</t>
  </si>
  <si>
    <t>트러스톤자산운용</t>
  </si>
  <si>
    <t>EA057513</t>
  </si>
  <si>
    <t>파빌리온자산운용</t>
  </si>
  <si>
    <t>EA085306</t>
  </si>
  <si>
    <t>파인밸류자산운용</t>
  </si>
  <si>
    <t>EA081323</t>
  </si>
  <si>
    <t>파인트리자산운용</t>
  </si>
  <si>
    <t>EA069035</t>
  </si>
  <si>
    <t>EA010366</t>
  </si>
  <si>
    <t>EA044874</t>
  </si>
  <si>
    <t>피델리티자산운용</t>
  </si>
  <si>
    <t>EA013882</t>
  </si>
  <si>
    <t>EA050780</t>
  </si>
  <si>
    <t>하나대체투자자산운용</t>
  </si>
  <si>
    <t>EA013881</t>
  </si>
  <si>
    <t>하나유비에스자산운용</t>
  </si>
  <si>
    <t>EA017354</t>
  </si>
  <si>
    <t>하이자산운용</t>
  </si>
  <si>
    <t>EA010427</t>
  </si>
  <si>
    <t>하이투자증권</t>
  </si>
  <si>
    <t>EA057237</t>
  </si>
  <si>
    <t>한국스탠다드차타드증권</t>
  </si>
  <si>
    <t>EA065940</t>
  </si>
  <si>
    <t>한국에스지증권</t>
  </si>
  <si>
    <t>EA019962</t>
  </si>
  <si>
    <t>한국증권금융</t>
  </si>
  <si>
    <t>EA047551</t>
  </si>
  <si>
    <t>한국투자밸류자산운용</t>
  </si>
  <si>
    <t>EA020020</t>
  </si>
  <si>
    <t>한국투자신탁운용</t>
  </si>
  <si>
    <t>EA020021</t>
  </si>
  <si>
    <t>한국투자증권</t>
  </si>
  <si>
    <t>EA020296</t>
  </si>
  <si>
    <t>한화자산운용</t>
  </si>
  <si>
    <t>EA030430</t>
  </si>
  <si>
    <t>현대인베스트먼트자산운용</t>
  </si>
  <si>
    <t>EA057455</t>
  </si>
  <si>
    <t>현대자산운용</t>
  </si>
  <si>
    <t>EA012360</t>
  </si>
  <si>
    <t>흥국자산운용</t>
  </si>
  <si>
    <t>EA028307</t>
  </si>
  <si>
    <t>흥국증권</t>
  </si>
  <si>
    <t>EA051284</t>
  </si>
  <si>
    <t>EA060248</t>
  </si>
  <si>
    <t>BNK캐피탈</t>
  </si>
  <si>
    <t>EA068995</t>
  </si>
  <si>
    <t>도이치파이낸셜</t>
  </si>
  <si>
    <t>EA060103</t>
  </si>
  <si>
    <t>디지비캐피탈</t>
  </si>
  <si>
    <t>EA085016</t>
  </si>
  <si>
    <t>레드에프앤아이대부</t>
  </si>
  <si>
    <t>EA062039</t>
  </si>
  <si>
    <t>롯데오토리스</t>
  </si>
  <si>
    <t>EA010718</t>
  </si>
  <si>
    <t>롯데카드</t>
  </si>
  <si>
    <t>EA014496</t>
  </si>
  <si>
    <t>롯데캐피탈</t>
  </si>
  <si>
    <t>EA038856</t>
  </si>
  <si>
    <t>메르세데스벤츠파이낸셜서비스코리아</t>
  </si>
  <si>
    <t>EA065367</t>
  </si>
  <si>
    <t>메리츠캐피탈</t>
  </si>
  <si>
    <t>EA087352</t>
  </si>
  <si>
    <t>모두론대부</t>
  </si>
  <si>
    <t>EA058053</t>
  </si>
  <si>
    <t>무림캐피탈</t>
  </si>
  <si>
    <t>EA014635</t>
  </si>
  <si>
    <t>미래에셋캐피탈</t>
  </si>
  <si>
    <t>EA014909</t>
  </si>
  <si>
    <t>비씨카드</t>
  </si>
  <si>
    <t>EA042726</t>
  </si>
  <si>
    <t>산은캐피탈</t>
  </si>
  <si>
    <t>EA011983</t>
  </si>
  <si>
    <t>신한카드</t>
  </si>
  <si>
    <t>EA028170</t>
  </si>
  <si>
    <t>신한캐피탈</t>
  </si>
  <si>
    <t>EA056356</t>
  </si>
  <si>
    <t>씨앤에이치캐피탈</t>
  </si>
  <si>
    <t>EA022231</t>
  </si>
  <si>
    <t>아이비케이캐피탈</t>
  </si>
  <si>
    <t>EA064196</t>
  </si>
  <si>
    <t>아이엔비자산관리대부</t>
  </si>
  <si>
    <t>EA045196</t>
  </si>
  <si>
    <t>애큐온캐피탈</t>
  </si>
  <si>
    <t>EA051071</t>
  </si>
  <si>
    <t>앤알캐피탈대부</t>
  </si>
  <si>
    <t>EA085541</t>
  </si>
  <si>
    <t>에스에스아이케이</t>
  </si>
  <si>
    <t>EA075951</t>
  </si>
  <si>
    <t>에스와이오토캐피탈</t>
  </si>
  <si>
    <t>EA057860</t>
  </si>
  <si>
    <t>에이치케이자산관리대부</t>
  </si>
  <si>
    <t>EA061295</t>
  </si>
  <si>
    <t>에코캐피탈</t>
  </si>
  <si>
    <t>EA050949</t>
  </si>
  <si>
    <t>엔에이치농협캐피탈</t>
  </si>
  <si>
    <t>EA010426</t>
  </si>
  <si>
    <t>오케이캐피탈</t>
  </si>
  <si>
    <t>EA073830</t>
  </si>
  <si>
    <t>와이앤케이파트너스대부</t>
  </si>
  <si>
    <t>EA065338</t>
  </si>
  <si>
    <t>우리카드</t>
  </si>
  <si>
    <t>EA074200</t>
  </si>
  <si>
    <t>제니스자산관리대부</t>
  </si>
  <si>
    <t>EA025565</t>
  </si>
  <si>
    <t>제이비우리캐피탈</t>
  </si>
  <si>
    <t>EA058878</t>
  </si>
  <si>
    <t>케이비국민카드</t>
  </si>
  <si>
    <t>EA079312</t>
  </si>
  <si>
    <t>케이비캐피탈</t>
  </si>
  <si>
    <t>EA019572</t>
  </si>
  <si>
    <t>포스코기술투자</t>
  </si>
  <si>
    <t>EA061212</t>
  </si>
  <si>
    <t>폭스바겐파이낸셜서비스코리아</t>
  </si>
  <si>
    <t>EA028171</t>
  </si>
  <si>
    <t>하나에프앤아이</t>
  </si>
  <si>
    <t>EA068462</t>
  </si>
  <si>
    <t>하나카드</t>
  </si>
  <si>
    <t>EA010449</t>
  </si>
  <si>
    <t>하나캐피탈</t>
  </si>
  <si>
    <t>EA065817</t>
  </si>
  <si>
    <t>한국자산캐피탈</t>
  </si>
  <si>
    <t>EA068758</t>
  </si>
  <si>
    <t>한국투자캐피탈</t>
  </si>
  <si>
    <t>EA069798</t>
  </si>
  <si>
    <t>한빛자산관리대부</t>
  </si>
  <si>
    <t>EA010731</t>
  </si>
  <si>
    <t>현대카드</t>
  </si>
  <si>
    <t>EA010692</t>
  </si>
  <si>
    <t>현대캐피탈</t>
  </si>
  <si>
    <t>EA047531</t>
  </si>
  <si>
    <t>현대커머셜</t>
  </si>
  <si>
    <t>EA010085</t>
  </si>
  <si>
    <t>EA051161</t>
  </si>
  <si>
    <t>EA047811</t>
  </si>
  <si>
    <t>네오플라이</t>
  </si>
  <si>
    <t>EA013418</t>
  </si>
  <si>
    <t>EA071447</t>
  </si>
  <si>
    <t>노무라인터내셔널펀딩피티이</t>
  </si>
  <si>
    <t>EA088314</t>
  </si>
  <si>
    <t>노스폴코리아비드코</t>
  </si>
  <si>
    <t>EA088313</t>
  </si>
  <si>
    <t>노스폴코리아홀드코</t>
  </si>
  <si>
    <t>EA040731</t>
  </si>
  <si>
    <t>대신에이엠씨</t>
  </si>
  <si>
    <t>EA030254</t>
  </si>
  <si>
    <t>대신에프앤아이</t>
  </si>
  <si>
    <t>EA013878</t>
  </si>
  <si>
    <t>대한토지신탁</t>
  </si>
  <si>
    <t>EA085068</t>
  </si>
  <si>
    <t>EA077315</t>
  </si>
  <si>
    <t>레졸루션얼라이언스코리아</t>
  </si>
  <si>
    <t>EA042721</t>
  </si>
  <si>
    <t>맥쿼리캐피탈코리아</t>
  </si>
  <si>
    <t>EA061125</t>
  </si>
  <si>
    <t>무궁화신탁</t>
  </si>
  <si>
    <t>EA015034</t>
  </si>
  <si>
    <t>삼성선물</t>
  </si>
  <si>
    <t>EA010929</t>
  </si>
  <si>
    <t>EA086773</t>
  </si>
  <si>
    <t>스톤브릿지벤처스</t>
  </si>
  <si>
    <t>EA015798</t>
  </si>
  <si>
    <t>스틱인베스트먼트</t>
  </si>
  <si>
    <t>EA043078</t>
  </si>
  <si>
    <t>신한대체투자운용</t>
  </si>
  <si>
    <t>EA051827</t>
  </si>
  <si>
    <t>EA010887</t>
  </si>
  <si>
    <t>엔에이치선물</t>
  </si>
  <si>
    <t>EA086624</t>
  </si>
  <si>
    <t>엠씨아이대부</t>
  </si>
  <si>
    <t>EA057648</t>
  </si>
  <si>
    <t>연합자산관리</t>
  </si>
  <si>
    <t>EA025604</t>
  </si>
  <si>
    <t>우신벤처투자</t>
  </si>
  <si>
    <t>EA010885</t>
  </si>
  <si>
    <t>유진투자선물</t>
  </si>
  <si>
    <t>EA066874</t>
  </si>
  <si>
    <t>이앤인베스트먼트</t>
  </si>
  <si>
    <t>EA068778</t>
  </si>
  <si>
    <t>제이알투자운용</t>
  </si>
  <si>
    <t>EA084872</t>
  </si>
  <si>
    <t>카카오페이</t>
  </si>
  <si>
    <t>EA010792</t>
  </si>
  <si>
    <t>케이비부동산신탁</t>
  </si>
  <si>
    <t>EA013125</t>
  </si>
  <si>
    <t>케이비인베스트먼트</t>
  </si>
  <si>
    <t>EA044824</t>
  </si>
  <si>
    <t>케이알투자증권</t>
  </si>
  <si>
    <t>EA054221</t>
  </si>
  <si>
    <t>케이티비네트워크</t>
  </si>
  <si>
    <t>EA039248</t>
  </si>
  <si>
    <t>코람코자산신탁</t>
  </si>
  <si>
    <t>EA064188</t>
  </si>
  <si>
    <t>코리아신탁</t>
  </si>
  <si>
    <t>EA084807</t>
  </si>
  <si>
    <t>키움프라이빗에쿼티</t>
  </si>
  <si>
    <t>EA029782</t>
  </si>
  <si>
    <t>하나자산신탁</t>
  </si>
  <si>
    <t>EA061036</t>
  </si>
  <si>
    <t>하나펀드서비스</t>
  </si>
  <si>
    <t>EA073109</t>
  </si>
  <si>
    <t>하이에스에어일호</t>
  </si>
  <si>
    <t>EA020362</t>
  </si>
  <si>
    <t>EA044309</t>
  </si>
  <si>
    <t>한국거래소</t>
  </si>
  <si>
    <t>EA080468</t>
  </si>
  <si>
    <t>한국성장금융투자운용</t>
  </si>
  <si>
    <t>EA019926</t>
  </si>
  <si>
    <t>한국자금중개</t>
  </si>
  <si>
    <t>EA020127</t>
  </si>
  <si>
    <t>한빛인베스트먼트</t>
  </si>
  <si>
    <t>EA010184</t>
  </si>
  <si>
    <t>화인파트너스</t>
  </si>
  <si>
    <t>년</t>
    <phoneticPr fontId="1" type="noConversion"/>
  </si>
  <si>
    <t>연결</t>
    <phoneticPr fontId="1" type="noConversion"/>
  </si>
  <si>
    <t>A</t>
    <phoneticPr fontId="1" type="noConversion"/>
  </si>
  <si>
    <t>누적</t>
    <phoneticPr fontId="1" type="noConversion"/>
  </si>
  <si>
    <t>영업이익</t>
    <phoneticPr fontId="1" type="noConversion"/>
  </si>
  <si>
    <t>영업이익</t>
    <phoneticPr fontId="1" type="noConversion"/>
  </si>
  <si>
    <t>영업이익</t>
    <phoneticPr fontId="1" type="noConversion"/>
  </si>
  <si>
    <t>개별</t>
    <phoneticPr fontId="1" type="noConversion"/>
  </si>
  <si>
    <t>외감 기업 성장성 비교</t>
    <phoneticPr fontId="1" type="noConversion"/>
  </si>
  <si>
    <t>코드</t>
    <phoneticPr fontId="1" type="noConversion"/>
  </si>
  <si>
    <t>기업명</t>
    <phoneticPr fontId="1" type="noConversion"/>
  </si>
  <si>
    <t>메타넷엠플랫폼</t>
  </si>
  <si>
    <t xml:space="preserve">기준  </t>
    <phoneticPr fontId="1" type="noConversion"/>
  </si>
  <si>
    <t>종목 정보</t>
    <phoneticPr fontId="1" type="noConversion"/>
  </si>
  <si>
    <t>연결</t>
  </si>
  <si>
    <t>298060</t>
  </si>
  <si>
    <t>신영스팩6호</t>
  </si>
  <si>
    <t>CBI</t>
  </si>
  <si>
    <t>CJ 바이오사이언스</t>
  </si>
  <si>
    <t>CNT85</t>
  </si>
  <si>
    <t>DL</t>
  </si>
  <si>
    <t>DL건설</t>
  </si>
  <si>
    <t>375500</t>
  </si>
  <si>
    <t>DL이앤씨</t>
  </si>
  <si>
    <t>365550</t>
  </si>
  <si>
    <t>ESR켄달스퀘어리츠</t>
  </si>
  <si>
    <t>ES큐브</t>
  </si>
  <si>
    <t>383220</t>
  </si>
  <si>
    <t>F&amp;F홀딩스</t>
  </si>
  <si>
    <t>FSN</t>
  </si>
  <si>
    <t>297890</t>
  </si>
  <si>
    <t>HB솔루션</t>
  </si>
  <si>
    <t>HDC랩스</t>
  </si>
  <si>
    <t>HD현대</t>
  </si>
  <si>
    <t>HJ중공업</t>
  </si>
  <si>
    <t>195940</t>
  </si>
  <si>
    <t>HK이노엔</t>
  </si>
  <si>
    <t>HLB</t>
  </si>
  <si>
    <t>HLB글로벌</t>
  </si>
  <si>
    <t>343090</t>
  </si>
  <si>
    <t>HLB생명과학</t>
  </si>
  <si>
    <t>HLB제약</t>
  </si>
  <si>
    <t>HLB테라퓨틱스</t>
  </si>
  <si>
    <t>HMM</t>
  </si>
  <si>
    <t>ITX-AI</t>
  </si>
  <si>
    <t>KBG</t>
  </si>
  <si>
    <t>KCC글라스</t>
  </si>
  <si>
    <t>KG스틸</t>
  </si>
  <si>
    <t>KH 건설</t>
  </si>
  <si>
    <t>KH 전자</t>
  </si>
  <si>
    <t>KH 필룩스</t>
  </si>
  <si>
    <t>373220</t>
  </si>
  <si>
    <t>LG에너지솔루션</t>
  </si>
  <si>
    <t>LS ELECTRIC</t>
  </si>
  <si>
    <t>LX세미콘</t>
  </si>
  <si>
    <t>LX인터내셔널</t>
  </si>
  <si>
    <t>LX하우시스</t>
  </si>
  <si>
    <t>383800</t>
  </si>
  <si>
    <t>LX홀딩스</t>
  </si>
  <si>
    <t>400760</t>
  </si>
  <si>
    <t>NH올원리츠</t>
  </si>
  <si>
    <t>PI첨단소재</t>
  </si>
  <si>
    <t>POSCO홀딩스</t>
  </si>
  <si>
    <t>RF머트리얼즈</t>
  </si>
  <si>
    <t>SBW생명과학</t>
  </si>
  <si>
    <t>SGC에너지</t>
  </si>
  <si>
    <t>SGC이테크건설</t>
  </si>
  <si>
    <t>SG글로벌</t>
  </si>
  <si>
    <t>SHD</t>
  </si>
  <si>
    <t>302440</t>
  </si>
  <si>
    <t>SK바이오사이언스</t>
  </si>
  <si>
    <t>326030</t>
  </si>
  <si>
    <t>SK바이오팜</t>
  </si>
  <si>
    <t>402340</t>
  </si>
  <si>
    <t>SK스퀘어</t>
  </si>
  <si>
    <t>361610</t>
  </si>
  <si>
    <t>SK아이이테크놀로지</t>
  </si>
  <si>
    <t>SNT모티브</t>
  </si>
  <si>
    <t>SNT에너지</t>
  </si>
  <si>
    <t>SNT중공업</t>
  </si>
  <si>
    <t>SNT홀딩스</t>
  </si>
  <si>
    <t>SUN&amp;L</t>
  </si>
  <si>
    <t>TKG애강</t>
  </si>
  <si>
    <t>TKG휴켐스</t>
  </si>
  <si>
    <t>TS트릴리온</t>
  </si>
  <si>
    <t>TYM</t>
  </si>
  <si>
    <t>399720</t>
  </si>
  <si>
    <t>가온칩스</t>
  </si>
  <si>
    <t>감성코퍼레이션</t>
  </si>
  <si>
    <t>강원에너지</t>
  </si>
  <si>
    <t>갤럭시아머니트리</t>
  </si>
  <si>
    <t>348150</t>
  </si>
  <si>
    <t>고바이오랩</t>
  </si>
  <si>
    <t>골드앤에스</t>
  </si>
  <si>
    <t>366030</t>
  </si>
  <si>
    <t>공구우먼</t>
  </si>
  <si>
    <t>광무</t>
  </si>
  <si>
    <t>339770</t>
  </si>
  <si>
    <t>국보</t>
  </si>
  <si>
    <t>국전약품</t>
  </si>
  <si>
    <t>그래디언트</t>
  </si>
  <si>
    <t>금호건설</t>
  </si>
  <si>
    <t>기아</t>
  </si>
  <si>
    <t>247660</t>
  </si>
  <si>
    <t>137080</t>
  </si>
  <si>
    <t>257990</t>
  </si>
  <si>
    <t>나우코스</t>
  </si>
  <si>
    <t>네오리진</t>
  </si>
  <si>
    <t>950220</t>
  </si>
  <si>
    <t>네오이뮨텍</t>
  </si>
  <si>
    <t>330860</t>
  </si>
  <si>
    <t>네패스아크</t>
  </si>
  <si>
    <t>넥스턴바이오</t>
  </si>
  <si>
    <t>348210</t>
  </si>
  <si>
    <t>넥슨게임즈</t>
  </si>
  <si>
    <t>노블엠앤비</t>
  </si>
  <si>
    <t>376930</t>
  </si>
  <si>
    <t>노을</t>
  </si>
  <si>
    <t>누리플렉스</t>
  </si>
  <si>
    <t>뉴지랩파마</t>
  </si>
  <si>
    <t>다보링크</t>
  </si>
  <si>
    <t>다이나믹디자인</t>
  </si>
  <si>
    <t>대덕</t>
  </si>
  <si>
    <t>353200</t>
  </si>
  <si>
    <t>대동</t>
  </si>
  <si>
    <t>대명소노시즌</t>
  </si>
  <si>
    <t>389260</t>
  </si>
  <si>
    <t>대명에너지</t>
  </si>
  <si>
    <t>대한그린파워</t>
  </si>
  <si>
    <t>대호특수강</t>
  </si>
  <si>
    <t>298540</t>
  </si>
  <si>
    <t>더블유에스아이</t>
  </si>
  <si>
    <t>348840</t>
  </si>
  <si>
    <t>도부마스크</t>
  </si>
  <si>
    <t>동성케미컬</t>
  </si>
  <si>
    <t>두산에너빌리티</t>
  </si>
  <si>
    <t>223250</t>
  </si>
  <si>
    <t>디아크</t>
  </si>
  <si>
    <t>376300</t>
  </si>
  <si>
    <t>디어유</t>
  </si>
  <si>
    <t>디에스앤엘</t>
  </si>
  <si>
    <t>디와이디</t>
  </si>
  <si>
    <t>디와이피엔에프</t>
  </si>
  <si>
    <t>315640</t>
  </si>
  <si>
    <t>딥노이드</t>
  </si>
  <si>
    <t>347700</t>
  </si>
  <si>
    <t>403360</t>
  </si>
  <si>
    <t>라피치</t>
  </si>
  <si>
    <t>412350</t>
  </si>
  <si>
    <t>레이저쎌</t>
  </si>
  <si>
    <t>277810</t>
  </si>
  <si>
    <t>렌딩머신</t>
  </si>
  <si>
    <t>로지스몬</t>
  </si>
  <si>
    <t>089860</t>
  </si>
  <si>
    <t>253610</t>
  </si>
  <si>
    <t>루트락</t>
  </si>
  <si>
    <t>377450</t>
  </si>
  <si>
    <t>리파인</t>
  </si>
  <si>
    <t>377480</t>
  </si>
  <si>
    <t>마인즈랩</t>
  </si>
  <si>
    <t>377030</t>
  </si>
  <si>
    <t>맥스트</t>
  </si>
  <si>
    <t>메디콕스</t>
  </si>
  <si>
    <t>009900</t>
  </si>
  <si>
    <t>348030</t>
  </si>
  <si>
    <t>288980</t>
  </si>
  <si>
    <t>모아데이타</t>
  </si>
  <si>
    <t>322970</t>
  </si>
  <si>
    <t>무진메디</t>
  </si>
  <si>
    <t>357250</t>
  </si>
  <si>
    <t>미래에셋맵스리츠</t>
  </si>
  <si>
    <t>미래엔에듀파트너</t>
  </si>
  <si>
    <t>950190</t>
  </si>
  <si>
    <t>미투젠</t>
  </si>
  <si>
    <t>301300</t>
  </si>
  <si>
    <t>바이브컴퍼니</t>
  </si>
  <si>
    <t>314930</t>
  </si>
  <si>
    <t>251120</t>
  </si>
  <si>
    <t>바이오에프디엔씨</t>
  </si>
  <si>
    <t>266470</t>
  </si>
  <si>
    <t>099430</t>
  </si>
  <si>
    <t>308080</t>
  </si>
  <si>
    <t>323990</t>
  </si>
  <si>
    <t>박셀바이오</t>
  </si>
  <si>
    <t>382900</t>
  </si>
  <si>
    <t>범한퓨얼셀</t>
  </si>
  <si>
    <t>베노홀딩스</t>
  </si>
  <si>
    <t>322190</t>
  </si>
  <si>
    <t>베른</t>
  </si>
  <si>
    <t>보령</t>
  </si>
  <si>
    <t>310210</t>
  </si>
  <si>
    <t>338220</t>
  </si>
  <si>
    <t>뷰노</t>
  </si>
  <si>
    <t>337930</t>
  </si>
  <si>
    <t>브랜드엑스코퍼레이션</t>
  </si>
  <si>
    <t>099390</t>
  </si>
  <si>
    <t>브레인즈컴퍼니</t>
  </si>
  <si>
    <t>365900</t>
  </si>
  <si>
    <t>브이씨</t>
  </si>
  <si>
    <t>블루탑</t>
  </si>
  <si>
    <t>369370</t>
  </si>
  <si>
    <t>블리츠웨이</t>
  </si>
  <si>
    <t>318410</t>
  </si>
  <si>
    <t>비비씨</t>
  </si>
  <si>
    <t>비비안</t>
  </si>
  <si>
    <t>146320</t>
  </si>
  <si>
    <t>비씨엔씨</t>
  </si>
  <si>
    <t>비엘</t>
  </si>
  <si>
    <t>비엘팜텍</t>
  </si>
  <si>
    <t>비엘헬스케어</t>
  </si>
  <si>
    <t>비케이탑스</t>
  </si>
  <si>
    <t>비케이홀딩스</t>
  </si>
  <si>
    <t>비투엔</t>
  </si>
  <si>
    <t>357880</t>
  </si>
  <si>
    <t>비트나인</t>
  </si>
  <si>
    <t>뿌리깊은나무들</t>
  </si>
  <si>
    <t>삼기</t>
  </si>
  <si>
    <t>361670</t>
  </si>
  <si>
    <t>삼영에스앤씨</t>
  </si>
  <si>
    <t>삼일씨엔에스</t>
  </si>
  <si>
    <t>252990</t>
  </si>
  <si>
    <t>357550</t>
  </si>
  <si>
    <t>석경에이티</t>
  </si>
  <si>
    <t>086710</t>
  </si>
  <si>
    <t>선진뷰티사이언스</t>
  </si>
  <si>
    <t>세림B&amp;G</t>
  </si>
  <si>
    <t>396300</t>
  </si>
  <si>
    <t>세아메카닉스</t>
  </si>
  <si>
    <t>세아베스틸지주</t>
  </si>
  <si>
    <t>세영디앤씨</t>
  </si>
  <si>
    <t>세원이앤씨</t>
  </si>
  <si>
    <t>347000</t>
  </si>
  <si>
    <t>센코</t>
  </si>
  <si>
    <t>센트럴인사이트</t>
  </si>
  <si>
    <t>331920</t>
  </si>
  <si>
    <t>셀레믹스</t>
  </si>
  <si>
    <t>소니드</t>
  </si>
  <si>
    <t>290690</t>
  </si>
  <si>
    <t>950200</t>
  </si>
  <si>
    <t>소마젠</t>
  </si>
  <si>
    <t>솔루스첨단소재</t>
  </si>
  <si>
    <t>248070</t>
  </si>
  <si>
    <t>357780</t>
  </si>
  <si>
    <t>솔브레인홀딩스</t>
  </si>
  <si>
    <t>304100</t>
  </si>
  <si>
    <t>276040</t>
  </si>
  <si>
    <t>스코넥</t>
  </si>
  <si>
    <t>스튜디오산타클로스</t>
  </si>
  <si>
    <t>시티랩스</t>
  </si>
  <si>
    <t>290520</t>
  </si>
  <si>
    <t>신일전자</t>
  </si>
  <si>
    <t>257720</t>
  </si>
  <si>
    <t>실리콘투</t>
  </si>
  <si>
    <t>356890</t>
  </si>
  <si>
    <t>쌍용C&amp;E</t>
  </si>
  <si>
    <t>쎌마테라퓨틱스</t>
  </si>
  <si>
    <t>352480</t>
  </si>
  <si>
    <t>씨앤씨인터내셔널</t>
  </si>
  <si>
    <t>352700</t>
  </si>
  <si>
    <t>359090</t>
  </si>
  <si>
    <t>씨엔알리서치</t>
  </si>
  <si>
    <t>286000</t>
  </si>
  <si>
    <t>씨엔티드림</t>
  </si>
  <si>
    <t>376290</t>
  </si>
  <si>
    <t>씨유테크</t>
  </si>
  <si>
    <t>씨티케이</t>
  </si>
  <si>
    <t>357580</t>
  </si>
  <si>
    <t>아센디오</t>
  </si>
  <si>
    <t>136410</t>
  </si>
  <si>
    <t>아셈스</t>
  </si>
  <si>
    <t>159010</t>
  </si>
  <si>
    <t>332370</t>
  </si>
  <si>
    <t>아이윈</t>
  </si>
  <si>
    <t>아이윈플러스</t>
  </si>
  <si>
    <t>262840</t>
  </si>
  <si>
    <t>아이퀘스트</t>
  </si>
  <si>
    <t>아이톡시</t>
  </si>
  <si>
    <t>372800</t>
  </si>
  <si>
    <t>아이티아이즈</t>
  </si>
  <si>
    <t>114840</t>
  </si>
  <si>
    <t>아이패밀리에스씨</t>
  </si>
  <si>
    <t>139990</t>
  </si>
  <si>
    <t>아주스틸</t>
  </si>
  <si>
    <t>361570</t>
  </si>
  <si>
    <t>알비더블유</t>
  </si>
  <si>
    <t>347860</t>
  </si>
  <si>
    <t>알체라</t>
  </si>
  <si>
    <t>291650</t>
  </si>
  <si>
    <t>애경케미칼</t>
  </si>
  <si>
    <t>애머릿지</t>
  </si>
  <si>
    <t>129890</t>
  </si>
  <si>
    <t>앱코</t>
  </si>
  <si>
    <t>어스앤에어로스페이스</t>
  </si>
  <si>
    <t>얼라인드</t>
  </si>
  <si>
    <t>137310</t>
  </si>
  <si>
    <t>에스디바이오센서</t>
  </si>
  <si>
    <t>에스에이치엔엘</t>
  </si>
  <si>
    <t>351320</t>
  </si>
  <si>
    <t>에스에이티이엔지</t>
  </si>
  <si>
    <t>에스엘바이오닉스</t>
  </si>
  <si>
    <t>에스엠벡셀</t>
  </si>
  <si>
    <t>187660</t>
  </si>
  <si>
    <t>에이디엠코리아</t>
  </si>
  <si>
    <t>에이루트</t>
  </si>
  <si>
    <t>에이치앤비디자인</t>
  </si>
  <si>
    <t>357230</t>
  </si>
  <si>
    <t>에이치피오</t>
  </si>
  <si>
    <t>에이트원</t>
  </si>
  <si>
    <t>에이팩트</t>
  </si>
  <si>
    <t>262260</t>
  </si>
  <si>
    <t>244920</t>
  </si>
  <si>
    <t>에이플러스에셋</t>
  </si>
  <si>
    <t>383310</t>
  </si>
  <si>
    <t>에코프로에이치엔</t>
  </si>
  <si>
    <t>엑스큐어</t>
  </si>
  <si>
    <t>236810</t>
  </si>
  <si>
    <t>333620</t>
  </si>
  <si>
    <t>엔시스</t>
  </si>
  <si>
    <t>470076</t>
  </si>
  <si>
    <t>엔에이치올원리츠                                                                          NH 2 REIT</t>
  </si>
  <si>
    <t>354200</t>
  </si>
  <si>
    <t>엔젠바이오</t>
  </si>
  <si>
    <t>348370</t>
  </si>
  <si>
    <t>엔켐</t>
  </si>
  <si>
    <t>엔투텍</t>
  </si>
  <si>
    <t>엔피</t>
  </si>
  <si>
    <t>376190</t>
  </si>
  <si>
    <t>169330</t>
  </si>
  <si>
    <t>엠브레인</t>
  </si>
  <si>
    <t>347890</t>
  </si>
  <si>
    <t>엠투아이</t>
  </si>
  <si>
    <t>엠투엔</t>
  </si>
  <si>
    <t>엠피대산</t>
  </si>
  <si>
    <t>연이비앤티</t>
  </si>
  <si>
    <t>060850</t>
  </si>
  <si>
    <t>영림원소프트랩</t>
  </si>
  <si>
    <t>영흥</t>
  </si>
  <si>
    <t>322310</t>
  </si>
  <si>
    <t>352910</t>
  </si>
  <si>
    <t>오비고</t>
  </si>
  <si>
    <t>329020</t>
  </si>
  <si>
    <t>오션스톤</t>
  </si>
  <si>
    <t>353590</t>
  </si>
  <si>
    <t>오토앤</t>
  </si>
  <si>
    <t>오하임아이엔티</t>
  </si>
  <si>
    <t>321820</t>
  </si>
  <si>
    <t>와이더플래닛</t>
  </si>
  <si>
    <t>와이어블</t>
  </si>
  <si>
    <t>273640</t>
  </si>
  <si>
    <t>와이투솔루션</t>
  </si>
  <si>
    <t>332570</t>
  </si>
  <si>
    <t>우리엔터프라이즈</t>
  </si>
  <si>
    <t>우림피티에스</t>
  </si>
  <si>
    <t>우성</t>
  </si>
  <si>
    <t>053080</t>
  </si>
  <si>
    <t>원익피앤이</t>
  </si>
  <si>
    <t>382840</t>
  </si>
  <si>
    <t>원준</t>
  </si>
  <si>
    <t>376980</t>
  </si>
  <si>
    <t>원티드랩</t>
  </si>
  <si>
    <t>122830</t>
  </si>
  <si>
    <t>원포유</t>
  </si>
  <si>
    <t>위니아</t>
  </si>
  <si>
    <t>330350</t>
  </si>
  <si>
    <t>348350</t>
  </si>
  <si>
    <t>위드텍</t>
  </si>
  <si>
    <t>위메이드맥스</t>
  </si>
  <si>
    <t>위메이드플레이</t>
  </si>
  <si>
    <t>유네코</t>
  </si>
  <si>
    <t>388720</t>
  </si>
  <si>
    <t>유일로보틱스</t>
  </si>
  <si>
    <t>340930</t>
  </si>
  <si>
    <t>유일에너테크</t>
  </si>
  <si>
    <t>이글루</t>
  </si>
  <si>
    <t>303530</t>
  </si>
  <si>
    <t>344860</t>
  </si>
  <si>
    <t>이노진</t>
  </si>
  <si>
    <t>164060</t>
  </si>
  <si>
    <t>이브이첨단소재</t>
  </si>
  <si>
    <t>351330</t>
  </si>
  <si>
    <t>이삭엔지니어링</t>
  </si>
  <si>
    <t>379390</t>
  </si>
  <si>
    <t>이성씨엔아이</t>
  </si>
  <si>
    <t>이엔코퍼레이션</t>
  </si>
  <si>
    <t>이엔플러스</t>
  </si>
  <si>
    <t>이엠앤아이</t>
  </si>
  <si>
    <t>294090</t>
  </si>
  <si>
    <t>353810</t>
  </si>
  <si>
    <t>350520</t>
  </si>
  <si>
    <t>이지스레지던스리츠</t>
  </si>
  <si>
    <t>334890</t>
  </si>
  <si>
    <t>이지스밸류리츠</t>
  </si>
  <si>
    <t>377330</t>
  </si>
  <si>
    <t>이지트로닉스</t>
  </si>
  <si>
    <t>이지홀딩스</t>
  </si>
  <si>
    <t>이큐셀</t>
  </si>
  <si>
    <t>352940</t>
  </si>
  <si>
    <t>인바이오</t>
  </si>
  <si>
    <t>인바이오젠</t>
  </si>
  <si>
    <t>인바이츠바이오코아</t>
  </si>
  <si>
    <t>일승</t>
  </si>
  <si>
    <t>271940</t>
  </si>
  <si>
    <t>일진하이솔루스</t>
  </si>
  <si>
    <t>289220</t>
  </si>
  <si>
    <t>361390</t>
  </si>
  <si>
    <t>제노코</t>
  </si>
  <si>
    <t>제이스코홀딩스</t>
  </si>
  <si>
    <t>제이시스메디칼</t>
  </si>
  <si>
    <t>348950</t>
  </si>
  <si>
    <t>제이알글로벌리츠</t>
  </si>
  <si>
    <t>제이엘케이</t>
  </si>
  <si>
    <t>254160</t>
  </si>
  <si>
    <t>제이엠멀티</t>
  </si>
  <si>
    <t>199820</t>
  </si>
  <si>
    <t>276730</t>
  </si>
  <si>
    <t>제주맥주</t>
  </si>
  <si>
    <t>248020</t>
  </si>
  <si>
    <t>젬</t>
  </si>
  <si>
    <t>젬백스링크</t>
  </si>
  <si>
    <t>중앙디앤엠</t>
  </si>
  <si>
    <t>지나인제약</t>
  </si>
  <si>
    <t>389030</t>
  </si>
  <si>
    <t>지니너스</t>
  </si>
  <si>
    <t>지더블유바이텍</t>
  </si>
  <si>
    <t>지씨셀</t>
  </si>
  <si>
    <t>382480</t>
  </si>
  <si>
    <t>지아이텍</t>
  </si>
  <si>
    <t>382800</t>
  </si>
  <si>
    <t>지앤비에스엔지니어링</t>
  </si>
  <si>
    <t>311320</t>
  </si>
  <si>
    <t>지오엘리먼트</t>
  </si>
  <si>
    <t>388050</t>
  </si>
  <si>
    <t>지투파워</t>
  </si>
  <si>
    <t>363250</t>
  </si>
  <si>
    <t>진시스템</t>
  </si>
  <si>
    <t>261780</t>
  </si>
  <si>
    <t>차백신연구소</t>
  </si>
  <si>
    <t>참존글로벌</t>
  </si>
  <si>
    <t>362320</t>
  </si>
  <si>
    <t>청담글로벌</t>
  </si>
  <si>
    <t>초록뱀미디어</t>
  </si>
  <si>
    <t>초록뱀컴퍼니</t>
  </si>
  <si>
    <t>초록뱀헬스케어</t>
  </si>
  <si>
    <t>293490</t>
  </si>
  <si>
    <t>377300</t>
  </si>
  <si>
    <t>커머스마이너</t>
  </si>
  <si>
    <t>컴투스홀딩스</t>
  </si>
  <si>
    <t>케스피온</t>
  </si>
  <si>
    <t>424140</t>
  </si>
  <si>
    <t>케이비제21호스팩</t>
  </si>
  <si>
    <t>102370</t>
  </si>
  <si>
    <t>381970</t>
  </si>
  <si>
    <t>케이카</t>
  </si>
  <si>
    <t>케이티알파</t>
  </si>
  <si>
    <t>케일럼</t>
  </si>
  <si>
    <t>402420</t>
  </si>
  <si>
    <t>켈스</t>
  </si>
  <si>
    <t>169670</t>
  </si>
  <si>
    <t>코스텍시스템</t>
  </si>
  <si>
    <t>코아시아옵틱스</t>
  </si>
  <si>
    <t>코원플레이</t>
  </si>
  <si>
    <t>코웨이</t>
  </si>
  <si>
    <t>콘텐트리중앙</t>
  </si>
  <si>
    <t>294570</t>
  </si>
  <si>
    <t>317690</t>
  </si>
  <si>
    <t>365270</t>
  </si>
  <si>
    <t>큐라클</t>
  </si>
  <si>
    <t>259960</t>
  </si>
  <si>
    <t>크레버스</t>
  </si>
  <si>
    <t>크리스탈지노믹스</t>
  </si>
  <si>
    <t>클라우드에어</t>
  </si>
  <si>
    <t>352770</t>
  </si>
  <si>
    <t>클리노믹스</t>
  </si>
  <si>
    <t>타스컴</t>
  </si>
  <si>
    <t>318660</t>
  </si>
  <si>
    <t>타임기술</t>
  </si>
  <si>
    <t>탑코미디어</t>
  </si>
  <si>
    <t>태경비케이</t>
  </si>
  <si>
    <t>태경케미컬</t>
  </si>
  <si>
    <t>테라사이언스</t>
  </si>
  <si>
    <t>393210</t>
  </si>
  <si>
    <t>토마토시스템</t>
  </si>
  <si>
    <t>290090</t>
  </si>
  <si>
    <t>티사이언티픽</t>
  </si>
  <si>
    <t>340570</t>
  </si>
  <si>
    <t>티앤엘</t>
  </si>
  <si>
    <t>티에스넥스젠</t>
  </si>
  <si>
    <t>356860</t>
  </si>
  <si>
    <t>티엘비</t>
  </si>
  <si>
    <t>363280</t>
  </si>
  <si>
    <t>티와이홀딩스</t>
  </si>
  <si>
    <t>파나케이아</t>
  </si>
  <si>
    <t>파마리서치</t>
  </si>
  <si>
    <t>파수</t>
  </si>
  <si>
    <t>팜젠사이언스</t>
  </si>
  <si>
    <t>389140</t>
  </si>
  <si>
    <t>포바이포</t>
  </si>
  <si>
    <t>포스코스틸리온</t>
  </si>
  <si>
    <t>318020</t>
  </si>
  <si>
    <t>폴라리스세원</t>
  </si>
  <si>
    <t>폴라리스오피스</t>
  </si>
  <si>
    <t>폴라리스우노</t>
  </si>
  <si>
    <t>371950</t>
  </si>
  <si>
    <t>370090</t>
  </si>
  <si>
    <t>퓨런티어</t>
  </si>
  <si>
    <t>334970</t>
  </si>
  <si>
    <t>프레스티지바이오로직스</t>
  </si>
  <si>
    <t>950210</t>
  </si>
  <si>
    <t>프레스티지바이오파마</t>
  </si>
  <si>
    <t>프로이천</t>
  </si>
  <si>
    <t>377220</t>
  </si>
  <si>
    <t>프롬바이오</t>
  </si>
  <si>
    <t>335810</t>
  </si>
  <si>
    <t>플래스크</t>
  </si>
  <si>
    <t>367000</t>
  </si>
  <si>
    <t>플래티어</t>
  </si>
  <si>
    <t>플레이그램</t>
  </si>
  <si>
    <t>피에이치에이</t>
  </si>
  <si>
    <t>347740</t>
  </si>
  <si>
    <t>376180</t>
  </si>
  <si>
    <t>피코그램</t>
  </si>
  <si>
    <t>304840</t>
  </si>
  <si>
    <t>347770</t>
  </si>
  <si>
    <t>핌스</t>
  </si>
  <si>
    <t>163730</t>
  </si>
  <si>
    <t>핑거</t>
  </si>
  <si>
    <t>299030</t>
  </si>
  <si>
    <t>하나기술</t>
  </si>
  <si>
    <t>352820</t>
  </si>
  <si>
    <t>하이브</t>
  </si>
  <si>
    <t>한국수출포장</t>
  </si>
  <si>
    <t>한국앤컴퍼니</t>
  </si>
  <si>
    <t>한국특강</t>
  </si>
  <si>
    <t>032300</t>
  </si>
  <si>
    <t>372910</t>
  </si>
  <si>
    <t>059270</t>
  </si>
  <si>
    <t>현대두산인프라코어</t>
  </si>
  <si>
    <t>현대바이오랜드</t>
  </si>
  <si>
    <t>현대에버다임</t>
  </si>
  <si>
    <t>현대에이치티</t>
  </si>
  <si>
    <t>현대이지웰</t>
  </si>
  <si>
    <t>329180</t>
  </si>
  <si>
    <t>현대중공업</t>
  </si>
  <si>
    <t>현대코퍼레이션</t>
  </si>
  <si>
    <t>현대퓨처넷</t>
  </si>
  <si>
    <t>협진</t>
  </si>
  <si>
    <t>378850</t>
  </si>
  <si>
    <t>화승코퍼레이션</t>
  </si>
  <si>
    <t>353190</t>
  </si>
  <si>
    <t>휴먼엔</t>
  </si>
  <si>
    <t>휴센텍</t>
  </si>
  <si>
    <t>휴엠앤씨</t>
  </si>
  <si>
    <t>323410</t>
  </si>
  <si>
    <t>카카오뱅크</t>
  </si>
  <si>
    <t>다올투자증권</t>
  </si>
  <si>
    <t>메리츠증권</t>
  </si>
  <si>
    <t>미래에셋증권</t>
  </si>
  <si>
    <t>404950</t>
  </si>
  <si>
    <t>DB금융스팩10호</t>
  </si>
  <si>
    <t>367340</t>
  </si>
  <si>
    <t>DB금융스팩8호</t>
  </si>
  <si>
    <t>367360</t>
  </si>
  <si>
    <t>DB금융스팩9호</t>
  </si>
  <si>
    <t>351340</t>
  </si>
  <si>
    <t>IBKS제13호스팩</t>
  </si>
  <si>
    <t>388790</t>
  </si>
  <si>
    <t>IBKS제16호스팩</t>
  </si>
  <si>
    <t>405350</t>
  </si>
  <si>
    <t>IBKS제17호스팩</t>
  </si>
  <si>
    <t>355150</t>
  </si>
  <si>
    <t>교보10호스팩</t>
  </si>
  <si>
    <t>397880</t>
  </si>
  <si>
    <t>교보11호스팩</t>
  </si>
  <si>
    <t>421800</t>
  </si>
  <si>
    <t>교보12호스팩</t>
  </si>
  <si>
    <t>누보</t>
  </si>
  <si>
    <t>298870</t>
  </si>
  <si>
    <t>다올인베스트먼트</t>
  </si>
  <si>
    <t>387310</t>
  </si>
  <si>
    <t>대신밸런스제10호스팩</t>
  </si>
  <si>
    <t>397500</t>
  </si>
  <si>
    <t>대신밸런스제11호스팩</t>
  </si>
  <si>
    <t>377190</t>
  </si>
  <si>
    <t>디앤디플랫폼리츠</t>
  </si>
  <si>
    <t>357430</t>
  </si>
  <si>
    <t>396690</t>
  </si>
  <si>
    <t>미래에셋글로벌리츠</t>
  </si>
  <si>
    <t>353490</t>
  </si>
  <si>
    <t>미래에셋대우스팩 5호</t>
  </si>
  <si>
    <t>412930</t>
  </si>
  <si>
    <t>미래에셋비전스팩1호</t>
  </si>
  <si>
    <t>380320</t>
  </si>
  <si>
    <t>삼성머스트스팩5호</t>
  </si>
  <si>
    <t>377630</t>
  </si>
  <si>
    <t>삼성스팩4호</t>
  </si>
  <si>
    <t>415580</t>
  </si>
  <si>
    <t>상상인제3호스팩</t>
  </si>
  <si>
    <t>330730</t>
  </si>
  <si>
    <t>419270</t>
  </si>
  <si>
    <t>신영스팩7호</t>
  </si>
  <si>
    <t>404990</t>
  </si>
  <si>
    <t>신한서부티엔디리츠</t>
  </si>
  <si>
    <t>366330</t>
  </si>
  <si>
    <t>신한제7호스팩</t>
  </si>
  <si>
    <t>393360</t>
  </si>
  <si>
    <t>신한제8호스팩</t>
  </si>
  <si>
    <t>405640</t>
  </si>
  <si>
    <t>신한제9호스팩</t>
  </si>
  <si>
    <t>408920</t>
  </si>
  <si>
    <t>에스케이증권7호스팩</t>
  </si>
  <si>
    <t>353070</t>
  </si>
  <si>
    <t>에이치엠씨제4호스팩</t>
  </si>
  <si>
    <t>353060</t>
  </si>
  <si>
    <t>에이치엠씨제5호스팩</t>
  </si>
  <si>
    <t>380440</t>
  </si>
  <si>
    <t>엔에이치스팩19호</t>
  </si>
  <si>
    <t>391060</t>
  </si>
  <si>
    <t>엔에이치스팩20호</t>
  </si>
  <si>
    <t>391710</t>
  </si>
  <si>
    <t>396770</t>
  </si>
  <si>
    <t>엔에이치스팩22호</t>
  </si>
  <si>
    <t>웨이버스</t>
  </si>
  <si>
    <t>377460</t>
  </si>
  <si>
    <t>위니아에이드</t>
  </si>
  <si>
    <t>367480</t>
  </si>
  <si>
    <t>유안타제8호스팩</t>
  </si>
  <si>
    <t>373340</t>
  </si>
  <si>
    <t>유진스팩6호</t>
  </si>
  <si>
    <t>388800</t>
  </si>
  <si>
    <t>유진스팩7호</t>
  </si>
  <si>
    <t>413630</t>
  </si>
  <si>
    <t>유진스팩8호</t>
  </si>
  <si>
    <t>349720</t>
  </si>
  <si>
    <t>417310</t>
  </si>
  <si>
    <t>코람코더원리츠</t>
  </si>
  <si>
    <t>357120</t>
  </si>
  <si>
    <t>코람코에너지리츠</t>
  </si>
  <si>
    <t>413600</t>
  </si>
  <si>
    <t>키움제6호스팩</t>
  </si>
  <si>
    <t>368770</t>
  </si>
  <si>
    <t>343510</t>
  </si>
  <si>
    <t>하나금융16호스팩</t>
  </si>
  <si>
    <t>363260</t>
  </si>
  <si>
    <t>388220</t>
  </si>
  <si>
    <t>하나금융19호스팩</t>
  </si>
  <si>
    <t>400560</t>
  </si>
  <si>
    <t>하나금융20호스팩</t>
  </si>
  <si>
    <t>406760</t>
  </si>
  <si>
    <t>하나금융21호스팩</t>
  </si>
  <si>
    <t>418170</t>
  </si>
  <si>
    <t>하나금융22호스팩</t>
  </si>
  <si>
    <t>372290</t>
  </si>
  <si>
    <t>하나머스트7호스팩</t>
  </si>
  <si>
    <t>365590</t>
  </si>
  <si>
    <t>하이딥</t>
  </si>
  <si>
    <t>377400</t>
  </si>
  <si>
    <t>하이제6호스팩</t>
  </si>
  <si>
    <t>400840</t>
  </si>
  <si>
    <t>하이제7호스팩</t>
  </si>
  <si>
    <t>373200</t>
  </si>
  <si>
    <t>하인크코리아</t>
  </si>
  <si>
    <t>409570</t>
  </si>
  <si>
    <t>한국제10호스팩</t>
  </si>
  <si>
    <t>386580</t>
  </si>
  <si>
    <t>한화플러스제2호스팩</t>
  </si>
  <si>
    <t>EA097202</t>
  </si>
  <si>
    <t>(유)돌코리아</t>
  </si>
  <si>
    <t>EA038598</t>
  </si>
  <si>
    <t>(유)랍코리아</t>
  </si>
  <si>
    <t>EA096625</t>
  </si>
  <si>
    <t>(유)브이피에이치아이</t>
  </si>
  <si>
    <t>DL모터스</t>
  </si>
  <si>
    <t>DL에너지</t>
  </si>
  <si>
    <t>EA093111</t>
  </si>
  <si>
    <t>DL에프엔씨</t>
  </si>
  <si>
    <t>EA097085</t>
  </si>
  <si>
    <t>DL케미칼</t>
  </si>
  <si>
    <t>EA093093</t>
  </si>
  <si>
    <t>GC케어</t>
  </si>
  <si>
    <t>EA094100</t>
  </si>
  <si>
    <t>KG스틸홀딩스</t>
  </si>
  <si>
    <t>EA097870</t>
  </si>
  <si>
    <t>KG이앤씨</t>
  </si>
  <si>
    <t>LS이브이코리아</t>
  </si>
  <si>
    <t>EA070440</t>
  </si>
  <si>
    <t>OCISE</t>
  </si>
  <si>
    <t>EA056299</t>
  </si>
  <si>
    <t>OCI스페셜티</t>
  </si>
  <si>
    <t>EA093075</t>
  </si>
  <si>
    <t>SGC솔루션</t>
  </si>
  <si>
    <t>SNTAMT</t>
  </si>
  <si>
    <t>EA098805</t>
  </si>
  <si>
    <t>가비아씨엔에스</t>
  </si>
  <si>
    <t>EA092971</t>
  </si>
  <si>
    <t>가온브로드밴드</t>
  </si>
  <si>
    <t>EA043025</t>
  </si>
  <si>
    <t>가온아이</t>
  </si>
  <si>
    <t>EA098343</t>
  </si>
  <si>
    <t>가온아이앤티</t>
  </si>
  <si>
    <t>EA091255</t>
  </si>
  <si>
    <t>EA064825</t>
  </si>
  <si>
    <t>가트너리서치어드바이저리코리아</t>
  </si>
  <si>
    <t>EA017424</t>
  </si>
  <si>
    <t>강남케이피아이</t>
  </si>
  <si>
    <t>EA098347</t>
  </si>
  <si>
    <t>강동식스피에프브이</t>
  </si>
  <si>
    <t>EA072429</t>
  </si>
  <si>
    <t>강우건설</t>
  </si>
  <si>
    <t>EA088634</t>
  </si>
  <si>
    <t>강원자석기술</t>
  </si>
  <si>
    <t>EA074301</t>
  </si>
  <si>
    <t>강원학교태양광</t>
  </si>
  <si>
    <t>EA095083</t>
  </si>
  <si>
    <t>갤트로닉스코리아</t>
  </si>
  <si>
    <t>EA088729</t>
  </si>
  <si>
    <t>거제피에프브이</t>
  </si>
  <si>
    <t>EA099384</t>
  </si>
  <si>
    <t>거창산업개발</t>
  </si>
  <si>
    <t>EA064344</t>
  </si>
  <si>
    <t>건강한사람들</t>
  </si>
  <si>
    <t>EA012896</t>
  </si>
  <si>
    <t>건화</t>
  </si>
  <si>
    <t>EA094643</t>
  </si>
  <si>
    <t>게이트고메코리아유한회사</t>
  </si>
  <si>
    <t>EA089493</t>
  </si>
  <si>
    <t>겜프스</t>
  </si>
  <si>
    <t>EA098442</t>
  </si>
  <si>
    <t>경동폴리움</t>
  </si>
  <si>
    <t>EA093349</t>
  </si>
  <si>
    <t>경북환경에너지</t>
  </si>
  <si>
    <t>경인자기관리부동산투자회사</t>
  </si>
  <si>
    <t>EA094096</t>
  </si>
  <si>
    <t>경포올림픽카운티</t>
  </si>
  <si>
    <t>EA091004</t>
  </si>
  <si>
    <t>EA088714</t>
  </si>
  <si>
    <t>고양삼송자이더빌리지주택위탁관리부동산투자회사</t>
  </si>
  <si>
    <t>EA098107</t>
  </si>
  <si>
    <t>고양성사혁신지구재생사업위탁관리부동산투자회사</t>
  </si>
  <si>
    <t>EA093605</t>
  </si>
  <si>
    <t>고양에이주택위탁관리부동산투자회사</t>
  </si>
  <si>
    <t>EA093208</t>
  </si>
  <si>
    <t>골프존지디알아카데미</t>
  </si>
  <si>
    <t>EA093663</t>
  </si>
  <si>
    <t>골프존카운티매니지먼트</t>
  </si>
  <si>
    <t>EA088189</t>
  </si>
  <si>
    <t>EA069177</t>
  </si>
  <si>
    <t>공차코리아</t>
  </si>
  <si>
    <t>EA094565</t>
  </si>
  <si>
    <t>광주글로벌모터스</t>
  </si>
  <si>
    <t>EA069021</t>
  </si>
  <si>
    <t>교육지대</t>
  </si>
  <si>
    <t>EA096577</t>
  </si>
  <si>
    <t>구글코리아유한회사</t>
  </si>
  <si>
    <t>EA096580</t>
  </si>
  <si>
    <t>구글클라우드코리아유한회사</t>
  </si>
  <si>
    <t>EA096578</t>
  </si>
  <si>
    <t>구글페이먼트코리아유한회사</t>
  </si>
  <si>
    <t>EA013155</t>
  </si>
  <si>
    <t>군산도시가스</t>
  </si>
  <si>
    <t>EA013159</t>
  </si>
  <si>
    <t>굴드펌프</t>
  </si>
  <si>
    <t>EA093199</t>
  </si>
  <si>
    <t>굿앤파트너스</t>
  </si>
  <si>
    <t>EA030634</t>
  </si>
  <si>
    <t>굿어스</t>
  </si>
  <si>
    <t>EA085160</t>
  </si>
  <si>
    <t>굿어스데이터</t>
  </si>
  <si>
    <t>EA096593</t>
  </si>
  <si>
    <t>굿윌로지스</t>
  </si>
  <si>
    <t>EA094411</t>
  </si>
  <si>
    <t>그라운드엑스</t>
  </si>
  <si>
    <t>EA099824</t>
  </si>
  <si>
    <t>그래핀스퀘어</t>
  </si>
  <si>
    <t>EA072671</t>
  </si>
  <si>
    <t>그룹아이디디</t>
  </si>
  <si>
    <t>EA088715</t>
  </si>
  <si>
    <t>그린리소스</t>
  </si>
  <si>
    <t>EA089944</t>
  </si>
  <si>
    <t>그린스토어</t>
  </si>
  <si>
    <t>EA085843</t>
  </si>
  <si>
    <t>글라세움</t>
  </si>
  <si>
    <t>글람</t>
  </si>
  <si>
    <t>EA091544</t>
  </si>
  <si>
    <t>글로벌레스토랑그룹</t>
  </si>
  <si>
    <t>글로벌심텍</t>
  </si>
  <si>
    <t>EA097166</t>
  </si>
  <si>
    <t>글로벌파워아시아</t>
  </si>
  <si>
    <t>EA066876</t>
  </si>
  <si>
    <t>글로비텍</t>
  </si>
  <si>
    <t>EA088501</t>
  </si>
  <si>
    <t>글로앤웰</t>
  </si>
  <si>
    <t>EA095786</t>
  </si>
  <si>
    <t>금강산업개발</t>
  </si>
  <si>
    <t>EA062265</t>
  </si>
  <si>
    <t>금양그린파워</t>
  </si>
  <si>
    <t>EA045297</t>
  </si>
  <si>
    <t>금호리조트</t>
  </si>
  <si>
    <t>EA095784</t>
  </si>
  <si>
    <t>금호익스프레스</t>
  </si>
  <si>
    <t>EA056764</t>
  </si>
  <si>
    <t>기가비스</t>
  </si>
  <si>
    <t>EA089295</t>
  </si>
  <si>
    <t>김포마송고양지축주택위탁관리부동산투자회사</t>
  </si>
  <si>
    <t>EA089389</t>
  </si>
  <si>
    <t>김포마송파주운정3주택위탁관리부동산투자회사</t>
  </si>
  <si>
    <t>EA101188</t>
  </si>
  <si>
    <t>꿈비</t>
  </si>
  <si>
    <t>EA098918</t>
  </si>
  <si>
    <t>나노팀</t>
  </si>
  <si>
    <t>EA076512</t>
  </si>
  <si>
    <t>나딕게임즈</t>
  </si>
  <si>
    <t>EA098838</t>
  </si>
  <si>
    <t>나우로보틱스</t>
  </si>
  <si>
    <t>EA093266</t>
  </si>
  <si>
    <t>나이스디앤알</t>
  </si>
  <si>
    <t>EA092898</t>
  </si>
  <si>
    <t>나이스파크둔산</t>
  </si>
  <si>
    <t>EA098963</t>
  </si>
  <si>
    <t>나이스팜</t>
  </si>
  <si>
    <t>EA093194</t>
  </si>
  <si>
    <t>나이스피앤아이</t>
  </si>
  <si>
    <t>EA089431</t>
  </si>
  <si>
    <t>나이콤</t>
  </si>
  <si>
    <t>EA098688</t>
  </si>
  <si>
    <t>남부공항서비스</t>
  </si>
  <si>
    <t>EA027886</t>
  </si>
  <si>
    <t>내셔날오일웰바르코코리아유한회사</t>
  </si>
  <si>
    <t>EA095342</t>
  </si>
  <si>
    <t>넛지헬스케어</t>
  </si>
  <si>
    <t>EA087302</t>
  </si>
  <si>
    <t>네모이엔지</t>
  </si>
  <si>
    <t>EA068895</t>
  </si>
  <si>
    <t>네오랩컨버전스</t>
  </si>
  <si>
    <t>EA093857</t>
  </si>
  <si>
    <t>네오밸류디앤씨유한회사</t>
  </si>
  <si>
    <t>EA098568</t>
  </si>
  <si>
    <t>네오시티</t>
  </si>
  <si>
    <t>EA061388</t>
  </si>
  <si>
    <t>네오싸이언</t>
  </si>
  <si>
    <t>EA092788</t>
  </si>
  <si>
    <t>EA093058</t>
  </si>
  <si>
    <t>네이버웹툰유한회사</t>
  </si>
  <si>
    <t>네이버웹툰컴퍼니</t>
  </si>
  <si>
    <t>EA095607</t>
  </si>
  <si>
    <t>네이버제트</t>
  </si>
  <si>
    <t>네이버클라우드</t>
  </si>
  <si>
    <t>EA088932</t>
  </si>
  <si>
    <t>네이버파이낸셜</t>
  </si>
  <si>
    <t>EA092110</t>
  </si>
  <si>
    <t>네이처앤네이처</t>
  </si>
  <si>
    <t>EA076514</t>
  </si>
  <si>
    <t>네추럴웨이</t>
  </si>
  <si>
    <t>EA093142</t>
  </si>
  <si>
    <t>네패스라웨</t>
  </si>
  <si>
    <t>EA089418</t>
  </si>
  <si>
    <t>EA028953</t>
  </si>
  <si>
    <t>넥서스커뮤니티</t>
  </si>
  <si>
    <t>EA056277</t>
  </si>
  <si>
    <t>넥센디앤에스</t>
  </si>
  <si>
    <t>EA080535</t>
  </si>
  <si>
    <t>넥셀</t>
  </si>
  <si>
    <t>EA066879</t>
  </si>
  <si>
    <t>넥스쳐</t>
  </si>
  <si>
    <t>EA089693</t>
  </si>
  <si>
    <t>넥스트미디어그룹</t>
  </si>
  <si>
    <t>EA097895</t>
  </si>
  <si>
    <t>넥스트브이시티피에프브이</t>
  </si>
  <si>
    <t>EA098415</t>
  </si>
  <si>
    <t>넥스트젠바이오사이언스</t>
  </si>
  <si>
    <t>EA093091</t>
  </si>
  <si>
    <t>넥스트칩</t>
  </si>
  <si>
    <t>EA089517</t>
  </si>
  <si>
    <t>넥스트커넥트피에프브이</t>
  </si>
  <si>
    <t>EA098772</t>
  </si>
  <si>
    <t>넥스포쏠라</t>
  </si>
  <si>
    <t>EA098767</t>
  </si>
  <si>
    <t>넥스포에너지</t>
  </si>
  <si>
    <t>EA088667</t>
  </si>
  <si>
    <t>넥싸이트</t>
  </si>
  <si>
    <t>EA093002</t>
  </si>
  <si>
    <t>넷마블에프앤씨</t>
  </si>
  <si>
    <t>EA096090</t>
  </si>
  <si>
    <t>넷플릭스서비시스코리아유한회사</t>
  </si>
  <si>
    <t>EA096944</t>
  </si>
  <si>
    <t>EA063924</t>
  </si>
  <si>
    <t>노키아솔루션앤네트웍스코리아</t>
  </si>
  <si>
    <t>EA020695</t>
  </si>
  <si>
    <t>녹수</t>
  </si>
  <si>
    <t>녹십자수의약품</t>
  </si>
  <si>
    <t>EA093760</t>
  </si>
  <si>
    <t>EA098686</t>
  </si>
  <si>
    <t>놀이의발견</t>
  </si>
  <si>
    <t>EA097490</t>
  </si>
  <si>
    <t>농심이스포츠</t>
  </si>
  <si>
    <t>EA029378</t>
  </si>
  <si>
    <t>농업회사법인(유)하이포크스마트팜</t>
  </si>
  <si>
    <t>농업회사법인사조원</t>
  </si>
  <si>
    <t>EA087268</t>
  </si>
  <si>
    <t>농업회사법인우듬지팜</t>
  </si>
  <si>
    <t>EA089174</t>
  </si>
  <si>
    <t>농업회사법인웰피그</t>
  </si>
  <si>
    <t>EA081681</t>
  </si>
  <si>
    <t>농업회사법인제이팜스</t>
  </si>
  <si>
    <t>EA076271</t>
  </si>
  <si>
    <t>농업회사법인팜스월드</t>
  </si>
  <si>
    <t>EA090066</t>
  </si>
  <si>
    <t>농업회사법인한라씨에프엔</t>
  </si>
  <si>
    <t>누리보이스</t>
  </si>
  <si>
    <t>누리온</t>
  </si>
  <si>
    <t>EA093958</t>
  </si>
  <si>
    <t>누리유니슨홀딩스</t>
  </si>
  <si>
    <t>EA086322</t>
  </si>
  <si>
    <t>EA087120</t>
  </si>
  <si>
    <t>뉴라클사이언스</t>
  </si>
  <si>
    <t>EA088731</t>
  </si>
  <si>
    <t>뉴라텍</t>
  </si>
  <si>
    <t>EA088807</t>
  </si>
  <si>
    <t>뉴포트탱크컨테이너스코리아</t>
  </si>
  <si>
    <t>EA099283</t>
  </si>
  <si>
    <t>니트로스튜디오</t>
  </si>
  <si>
    <t>EA099016</t>
  </si>
  <si>
    <t>닛시인베스트먼트</t>
  </si>
  <si>
    <t>EA095379</t>
  </si>
  <si>
    <t>다나스</t>
  </si>
  <si>
    <t>EA093293</t>
  </si>
  <si>
    <t>다나와컴퓨터</t>
  </si>
  <si>
    <t>다날에프엔비</t>
  </si>
  <si>
    <t>EA049126</t>
  </si>
  <si>
    <t>다올신용정보</t>
  </si>
  <si>
    <t>EA086887</t>
  </si>
  <si>
    <t>다원메닥스</t>
  </si>
  <si>
    <t>EA047451</t>
  </si>
  <si>
    <t>다이토키스코</t>
  </si>
  <si>
    <t>EA092896</t>
  </si>
  <si>
    <t>닥터스텍</t>
  </si>
  <si>
    <t>EA089390</t>
  </si>
  <si>
    <t>당진에코파워</t>
  </si>
  <si>
    <t>EA089163</t>
  </si>
  <si>
    <t>대광헬스케어</t>
  </si>
  <si>
    <t>대동모빌리티</t>
  </si>
  <si>
    <t>대림</t>
  </si>
  <si>
    <t>EA089972</t>
  </si>
  <si>
    <t>대림피앤피</t>
  </si>
  <si>
    <t>EA076977</t>
  </si>
  <si>
    <t>EA088621</t>
  </si>
  <si>
    <t>대산그린에너지</t>
  </si>
  <si>
    <t>EA088675</t>
  </si>
  <si>
    <t>대상에프앤비</t>
  </si>
  <si>
    <t>대상푸드플러스</t>
  </si>
  <si>
    <t>EA092597</t>
  </si>
  <si>
    <t>대생리클린</t>
  </si>
  <si>
    <t>EA060047</t>
  </si>
  <si>
    <t>대선조선</t>
  </si>
  <si>
    <t>EA046696</t>
  </si>
  <si>
    <t>대성하이텍</t>
  </si>
  <si>
    <t>대성히트에너시스</t>
  </si>
  <si>
    <t>EA046939</t>
  </si>
  <si>
    <t>대원씨아이</t>
  </si>
  <si>
    <t>EA096294</t>
  </si>
  <si>
    <t>대전승합</t>
  </si>
  <si>
    <t>EA090251</t>
  </si>
  <si>
    <t>대전신세계</t>
  </si>
  <si>
    <t>EA095138</t>
  </si>
  <si>
    <t>대한해운엘엔지</t>
  </si>
  <si>
    <t>EA053235</t>
  </si>
  <si>
    <t>대호테크</t>
  </si>
  <si>
    <t>EA077017</t>
  </si>
  <si>
    <t>대화항공산업</t>
  </si>
  <si>
    <t>EA096649</t>
  </si>
  <si>
    <t>더락포트컴퍼니코리아유한회사</t>
  </si>
  <si>
    <t>EA088172</t>
  </si>
  <si>
    <t>더마펌</t>
  </si>
  <si>
    <t>EA067306</t>
  </si>
  <si>
    <t>더본코리아</t>
  </si>
  <si>
    <t>더블다운인터액티브</t>
  </si>
  <si>
    <t>EA089727</t>
  </si>
  <si>
    <t>더블라썸묵동</t>
  </si>
  <si>
    <t>EA098340</t>
  </si>
  <si>
    <t>더블유엠엔터테인먼트</t>
  </si>
  <si>
    <t>더존비앤에프</t>
  </si>
  <si>
    <t>EA098374</t>
  </si>
  <si>
    <t>더테이스터블</t>
  </si>
  <si>
    <t>EA076121</t>
  </si>
  <si>
    <t>더핑크퐁컴퍼니</t>
  </si>
  <si>
    <t>EA069022</t>
  </si>
  <si>
    <t>덕산넵코어스</t>
  </si>
  <si>
    <t>EA099282</t>
  </si>
  <si>
    <t>데브캣</t>
  </si>
  <si>
    <t>EA097478</t>
  </si>
  <si>
    <t>데이블</t>
  </si>
  <si>
    <t>데이원에너지</t>
  </si>
  <si>
    <t>EA092921</t>
  </si>
  <si>
    <t>데이원컴퍼니</t>
  </si>
  <si>
    <t>EA094364</t>
  </si>
  <si>
    <t>데일리앤코</t>
  </si>
  <si>
    <t>EA099117</t>
  </si>
  <si>
    <t>데일리푸드홀딩스3</t>
  </si>
  <si>
    <t>EA088462</t>
  </si>
  <si>
    <t>데코앤이</t>
  </si>
  <si>
    <t>EA097134</t>
  </si>
  <si>
    <t>도레이배터리세퍼레이터필름한국유한회사</t>
  </si>
  <si>
    <t>EA097146</t>
  </si>
  <si>
    <t>도레이비에스에프코팅한국유한회사</t>
  </si>
  <si>
    <t>EA095542</t>
  </si>
  <si>
    <t>도시재생개발</t>
  </si>
  <si>
    <t>동국시스템즈</t>
  </si>
  <si>
    <t>EA093534</t>
  </si>
  <si>
    <t>동복에너지</t>
  </si>
  <si>
    <t>EA097516</t>
  </si>
  <si>
    <t>동부엔텍</t>
  </si>
  <si>
    <t>EA098062</t>
  </si>
  <si>
    <t>동북아엘엔지허브터미널</t>
  </si>
  <si>
    <t>EA093512</t>
  </si>
  <si>
    <t>EA098484</t>
  </si>
  <si>
    <t>동원로엑스냉장투</t>
  </si>
  <si>
    <t>동원부산컨테이너터미널</t>
  </si>
  <si>
    <t>EA060587</t>
  </si>
  <si>
    <t>동원씨앤에스</t>
  </si>
  <si>
    <t>EA096314</t>
  </si>
  <si>
    <t>동인여객</t>
  </si>
  <si>
    <t>EA076693</t>
  </si>
  <si>
    <t>동천수</t>
  </si>
  <si>
    <t>EA051295</t>
  </si>
  <si>
    <t>동해그린에너지</t>
  </si>
  <si>
    <t>EA089518</t>
  </si>
  <si>
    <t>동행복권</t>
  </si>
  <si>
    <t>동화일렉트로라이트</t>
  </si>
  <si>
    <t>EA014329</t>
  </si>
  <si>
    <t>동화청과</t>
  </si>
  <si>
    <t>EA088626</t>
  </si>
  <si>
    <t>두산경영연구원</t>
  </si>
  <si>
    <t>EA097602</t>
  </si>
  <si>
    <t>두산산업차량</t>
  </si>
  <si>
    <t>두산프라퍼티</t>
  </si>
  <si>
    <t>EA014358</t>
  </si>
  <si>
    <t>두성특장차</t>
  </si>
  <si>
    <t>두함지개발</t>
  </si>
  <si>
    <t>EA097376</t>
  </si>
  <si>
    <t>듀프리토마스쥴리코리아유한회사</t>
  </si>
  <si>
    <t>EA089742</t>
  </si>
  <si>
    <t>드라마앤컴퍼니</t>
  </si>
  <si>
    <t>EA098070</t>
  </si>
  <si>
    <t>드라마하우스스튜디오</t>
  </si>
  <si>
    <t>EA088706</t>
  </si>
  <si>
    <t>드림마크원</t>
  </si>
  <si>
    <t>EA094305</t>
  </si>
  <si>
    <t>드림인사이트</t>
  </si>
  <si>
    <t>EA092821</t>
  </si>
  <si>
    <t>디디아이레지덴셜제1호위탁관리자부동산투자회사</t>
  </si>
  <si>
    <t>EA093488</t>
  </si>
  <si>
    <t>디베이스앤</t>
  </si>
  <si>
    <t>EA053640</t>
  </si>
  <si>
    <t>디씨알이</t>
  </si>
  <si>
    <t>디아이머티리얼즈</t>
  </si>
  <si>
    <t>EA090999</t>
  </si>
  <si>
    <t>디아이비즈</t>
  </si>
  <si>
    <t>EA090573</t>
  </si>
  <si>
    <t>디아이시스템</t>
  </si>
  <si>
    <t>EA094668</t>
  </si>
  <si>
    <t>디아이웨어</t>
  </si>
  <si>
    <t>디아이지에어가스</t>
  </si>
  <si>
    <t>EA090160</t>
  </si>
  <si>
    <t>디앤디파마텍</t>
  </si>
  <si>
    <t>EA092798</t>
  </si>
  <si>
    <t>디앤디플랫폼위탁관리부동산투자회사</t>
  </si>
  <si>
    <t>디앤액트</t>
  </si>
  <si>
    <t>디앤에이모터스</t>
  </si>
  <si>
    <t>디앤오</t>
  </si>
  <si>
    <t>EA088771</t>
  </si>
  <si>
    <t>디앤오씨엠</t>
  </si>
  <si>
    <t>EA097607</t>
  </si>
  <si>
    <t>디앤케이켐텍</t>
  </si>
  <si>
    <t>디어스아이</t>
  </si>
  <si>
    <t>EA093320</t>
  </si>
  <si>
    <t>EA097244</t>
  </si>
  <si>
    <t>EA081689</t>
  </si>
  <si>
    <t>디에이치씨개발</t>
  </si>
  <si>
    <t>디에이치이노렉스</t>
  </si>
  <si>
    <t>EA094562</t>
  </si>
  <si>
    <t>디에이케이코리아</t>
  </si>
  <si>
    <t>EA014402</t>
  </si>
  <si>
    <t>디엔브이코리아유한회사</t>
  </si>
  <si>
    <t>디엔지비</t>
  </si>
  <si>
    <t>EA094625</t>
  </si>
  <si>
    <t>디오션시티포</t>
  </si>
  <si>
    <t>EA088692</t>
  </si>
  <si>
    <t>디오토모티브</t>
  </si>
  <si>
    <t>EA092883</t>
  </si>
  <si>
    <t>디와이이노베이트</t>
  </si>
  <si>
    <t>EA099452</t>
  </si>
  <si>
    <t>디와이피엔지</t>
  </si>
  <si>
    <t>EA066389</t>
  </si>
  <si>
    <t>디지털트리니티</t>
  </si>
  <si>
    <t>EA089469</t>
  </si>
  <si>
    <t>디지털퍼스트</t>
  </si>
  <si>
    <t>EA046665</t>
  </si>
  <si>
    <t>디케이씨</t>
  </si>
  <si>
    <t>EA093249</t>
  </si>
  <si>
    <t>디케이테크인</t>
  </si>
  <si>
    <t>EA094818</t>
  </si>
  <si>
    <t>디티앤씨알오</t>
  </si>
  <si>
    <t>EA094573</t>
  </si>
  <si>
    <t>딜라이브텔레웍스</t>
  </si>
  <si>
    <t>딤채홀딩스</t>
  </si>
  <si>
    <t>EA087625</t>
  </si>
  <si>
    <t>EA095878</t>
  </si>
  <si>
    <t>딥바이오</t>
  </si>
  <si>
    <t>EA092109</t>
  </si>
  <si>
    <t>떠나요</t>
  </si>
  <si>
    <t>EA072475</t>
  </si>
  <si>
    <t>라이언게임즈</t>
  </si>
  <si>
    <t>EA043050</t>
  </si>
  <si>
    <t>라이온코리아</t>
  </si>
  <si>
    <t>EA095738</t>
  </si>
  <si>
    <t>라이징윙스</t>
  </si>
  <si>
    <t>EA047382</t>
  </si>
  <si>
    <t>라이콤</t>
  </si>
  <si>
    <t>EA090933</t>
  </si>
  <si>
    <t>라인파이낸셜플러스</t>
  </si>
  <si>
    <t>라임</t>
  </si>
  <si>
    <t>EA093529</t>
  </si>
  <si>
    <t>라한호텔전주</t>
  </si>
  <si>
    <t>EA093353</t>
  </si>
  <si>
    <t>라한호텔포항</t>
  </si>
  <si>
    <t>EA094924</t>
  </si>
  <si>
    <t>랑세스코리아유한회사</t>
  </si>
  <si>
    <t>EA065442</t>
  </si>
  <si>
    <t>램리서치매뉴팩춰링코리아유한회사</t>
  </si>
  <si>
    <t>EA092766</t>
  </si>
  <si>
    <t>랩토</t>
  </si>
  <si>
    <t>EA096072</t>
  </si>
  <si>
    <t>러셀로보틱스</t>
  </si>
  <si>
    <t>EA100297</t>
  </si>
  <si>
    <t>럭스로보</t>
  </si>
  <si>
    <t>EA097992</t>
  </si>
  <si>
    <t>레드엔비아</t>
  </si>
  <si>
    <t>EA094892</t>
  </si>
  <si>
    <t>레메디</t>
  </si>
  <si>
    <t>EA090778</t>
  </si>
  <si>
    <t>레모넥스</t>
  </si>
  <si>
    <t>EA090873</t>
  </si>
  <si>
    <t>레몬헬스케어</t>
  </si>
  <si>
    <t>EA099909</t>
  </si>
  <si>
    <t>레보메드</t>
  </si>
  <si>
    <t>EA095549</t>
  </si>
  <si>
    <t>레뷰코퍼레이션</t>
  </si>
  <si>
    <t>EA013524</t>
  </si>
  <si>
    <t>레오니와이어링시스템즈코리아</t>
  </si>
  <si>
    <t>EA099874</t>
  </si>
  <si>
    <t>EA093412</t>
  </si>
  <si>
    <t>로드시스템</t>
  </si>
  <si>
    <t>EA051283</t>
  </si>
  <si>
    <t>로보터스</t>
  </si>
  <si>
    <t>EA096960</t>
  </si>
  <si>
    <t>로우카본</t>
  </si>
  <si>
    <t>EA096112</t>
  </si>
  <si>
    <t>로지스마일</t>
  </si>
  <si>
    <t>EA090299</t>
  </si>
  <si>
    <t>로지올</t>
  </si>
  <si>
    <t>로카모빌리티</t>
  </si>
  <si>
    <t>EA067431</t>
  </si>
  <si>
    <t>로하스리빙</t>
  </si>
  <si>
    <t>롯데씨브이에스711</t>
  </si>
  <si>
    <t>롯데이네오스화학</t>
  </si>
  <si>
    <t>EA097579</t>
  </si>
  <si>
    <t>롯데지에스화학</t>
  </si>
  <si>
    <t>EA095435</t>
  </si>
  <si>
    <t>롱라이프그린케어</t>
  </si>
  <si>
    <t>EA089114</t>
  </si>
  <si>
    <t>루닛</t>
  </si>
  <si>
    <t>EA048782</t>
  </si>
  <si>
    <t>EA089236</t>
  </si>
  <si>
    <t>리베토코리아</t>
  </si>
  <si>
    <t>EA089623</t>
  </si>
  <si>
    <t>리탠다드</t>
  </si>
  <si>
    <t>EA081752</t>
  </si>
  <si>
    <t>EA090036</t>
  </si>
  <si>
    <t>링크프라이스</t>
  </si>
  <si>
    <t>EA096466</t>
  </si>
  <si>
    <t>마곡마이스피에프브이</t>
  </si>
  <si>
    <t>EA097532</t>
  </si>
  <si>
    <t>마곡엘앤타워피에프브이</t>
  </si>
  <si>
    <t>EA078733</t>
  </si>
  <si>
    <t>마녀공장</t>
  </si>
  <si>
    <t>EA092682</t>
  </si>
  <si>
    <t>마스턴프리미어제1호위탁관리부동산투자회사</t>
  </si>
  <si>
    <t>EA097054</t>
  </si>
  <si>
    <t>마시모두띠코리아</t>
  </si>
  <si>
    <t>EA089597</t>
  </si>
  <si>
    <t>마이셀럽스</t>
  </si>
  <si>
    <t>EA085180</t>
  </si>
  <si>
    <t>EA098117</t>
  </si>
  <si>
    <t>마카온바이오테라퓨틱스</t>
  </si>
  <si>
    <t>EA097165</t>
  </si>
  <si>
    <t>마크티</t>
  </si>
  <si>
    <t>EA097289</t>
  </si>
  <si>
    <t>만도모빌리티솔루션즈</t>
  </si>
  <si>
    <t>EA090420</t>
  </si>
  <si>
    <t>매드업</t>
  </si>
  <si>
    <t>EA098816</t>
  </si>
  <si>
    <t>매일헬스뉴트리션</t>
  </si>
  <si>
    <t>맥스웰테크놀로지스코리아</t>
  </si>
  <si>
    <t>EA092846</t>
  </si>
  <si>
    <t>EA088614</t>
  </si>
  <si>
    <t>메가몬스터</t>
  </si>
  <si>
    <t>EA014557</t>
  </si>
  <si>
    <t>메가박스중앙</t>
  </si>
  <si>
    <t>EA061029</t>
  </si>
  <si>
    <t>메가슈플렉스에스마켓코리아</t>
  </si>
  <si>
    <t>EA098703</t>
  </si>
  <si>
    <t>메가존소프트</t>
  </si>
  <si>
    <t>EA099441</t>
  </si>
  <si>
    <t>메디칸</t>
  </si>
  <si>
    <t>EA094768</t>
  </si>
  <si>
    <t>메디컬아이피</t>
  </si>
  <si>
    <t>EA075895</t>
  </si>
  <si>
    <t>메디톡스코리아</t>
  </si>
  <si>
    <t>EA092218</t>
  </si>
  <si>
    <t>메디트</t>
  </si>
  <si>
    <t>EA097104</t>
  </si>
  <si>
    <t>메를로랩</t>
  </si>
  <si>
    <t>EA060660</t>
  </si>
  <si>
    <t>EA054844</t>
  </si>
  <si>
    <t>메인트란스</t>
  </si>
  <si>
    <t>EA051049</t>
  </si>
  <si>
    <t>메타넷티플랫폼</t>
  </si>
  <si>
    <t>EA090340</t>
  </si>
  <si>
    <t>메타보라</t>
  </si>
  <si>
    <t>EA091599</t>
  </si>
  <si>
    <t>메트라이프금융서비스</t>
  </si>
  <si>
    <t>EA098313</t>
  </si>
  <si>
    <t>모니터랩</t>
  </si>
  <si>
    <t>EA081085</t>
  </si>
  <si>
    <t>모두렌탈</t>
  </si>
  <si>
    <t>EA096756</t>
  </si>
  <si>
    <t>모두스테이</t>
  </si>
  <si>
    <t>EA078421</t>
  </si>
  <si>
    <t>모림</t>
  </si>
  <si>
    <t>EA089213</t>
  </si>
  <si>
    <t>모베이스정기</t>
  </si>
  <si>
    <t>모베이스코넥타</t>
  </si>
  <si>
    <t>EA089247</t>
  </si>
  <si>
    <t>EA076359</t>
  </si>
  <si>
    <t>모코엠시스</t>
  </si>
  <si>
    <t>EA093754</t>
  </si>
  <si>
    <t>모트롤</t>
  </si>
  <si>
    <t>몽클레르코리아</t>
  </si>
  <si>
    <t>EA093947</t>
  </si>
  <si>
    <t>무노스</t>
  </si>
  <si>
    <t>EA077580</t>
  </si>
  <si>
    <t>무신사</t>
  </si>
  <si>
    <t>EA098768</t>
  </si>
  <si>
    <t>무신사로지스틱스</t>
  </si>
  <si>
    <t>EA085271</t>
  </si>
  <si>
    <t>문고리닷컴</t>
  </si>
  <si>
    <t>EA041850</t>
  </si>
  <si>
    <t>문화유통북스</t>
  </si>
  <si>
    <t>EA094340</t>
  </si>
  <si>
    <t>뮤직앤뉴</t>
  </si>
  <si>
    <t>EA082141</t>
  </si>
  <si>
    <t>뮤텍코리아</t>
  </si>
  <si>
    <t>EA092893</t>
  </si>
  <si>
    <t>미가방유한회사</t>
  </si>
  <si>
    <t>미디어지니</t>
  </si>
  <si>
    <t>EA100027</t>
  </si>
  <si>
    <t>미디움</t>
  </si>
  <si>
    <t>EA093809</t>
  </si>
  <si>
    <t>미래셀바이오</t>
  </si>
  <si>
    <t>EA097375</t>
  </si>
  <si>
    <t>미래에셋글로벌위탁관리부동산투자회사</t>
  </si>
  <si>
    <t>EA093039</t>
  </si>
  <si>
    <t>미래에셋금융서비스</t>
  </si>
  <si>
    <t>EA092616</t>
  </si>
  <si>
    <t>미래에셋맵스제1호위탁관리부동산투자회사</t>
  </si>
  <si>
    <t>EA088694</t>
  </si>
  <si>
    <t>미래엠</t>
  </si>
  <si>
    <t>미쓰비시케미칼어드밴스드머티리얼즈코리아</t>
  </si>
  <si>
    <t>EA096034</t>
  </si>
  <si>
    <t>미코세라믹스</t>
  </si>
  <si>
    <t>EA097612</t>
  </si>
  <si>
    <t>미코파워</t>
  </si>
  <si>
    <t>EA092785</t>
  </si>
  <si>
    <t>미트박스글로벌</t>
  </si>
  <si>
    <t>EA099832</t>
  </si>
  <si>
    <t>민팃</t>
  </si>
  <si>
    <t>EA088562</t>
  </si>
  <si>
    <t>바람픽쳐스</t>
  </si>
  <si>
    <t>EA092257</t>
  </si>
  <si>
    <t>바른창호</t>
  </si>
  <si>
    <t>EA043322</t>
  </si>
  <si>
    <t>바스칸바이오제약</t>
  </si>
  <si>
    <t>EA014465</t>
  </si>
  <si>
    <t>바스프퍼포먼스폴리아마이드코리아</t>
  </si>
  <si>
    <t>EA047952</t>
  </si>
  <si>
    <t>바이오노트</t>
  </si>
  <si>
    <t>EA045627</t>
  </si>
  <si>
    <t>바이오로제트</t>
  </si>
  <si>
    <t>EA096391</t>
  </si>
  <si>
    <t>바이오메트릭스테크놀로지</t>
  </si>
  <si>
    <t>EA010475</t>
  </si>
  <si>
    <t>EA092358</t>
  </si>
  <si>
    <t>바이오앱</t>
  </si>
  <si>
    <t>EA077113</t>
  </si>
  <si>
    <t>EA098551</t>
  </si>
  <si>
    <t>바이오오케스트라</t>
  </si>
  <si>
    <t>EA072694</t>
  </si>
  <si>
    <t>바이오인프라</t>
  </si>
  <si>
    <t>EA090141</t>
  </si>
  <si>
    <t>바이오일레븐</t>
  </si>
  <si>
    <t>EA078943</t>
  </si>
  <si>
    <t>바이오제닉스코리아</t>
  </si>
  <si>
    <t>EA091836</t>
  </si>
  <si>
    <t>바이오코엔</t>
  </si>
  <si>
    <t>EA077814</t>
  </si>
  <si>
    <t>바이오포트코리아</t>
  </si>
  <si>
    <t>EA095283</t>
  </si>
  <si>
    <t>바이크뱅크</t>
  </si>
  <si>
    <t>EA094686</t>
  </si>
  <si>
    <t>바이포엠</t>
  </si>
  <si>
    <t>바텍엠시스</t>
  </si>
  <si>
    <t>EA088599</t>
  </si>
  <si>
    <t>EA098183</t>
  </si>
  <si>
    <t>발리안트</t>
  </si>
  <si>
    <t>EA029697</t>
  </si>
  <si>
    <t>배상면주가</t>
  </si>
  <si>
    <t>EA097075</t>
  </si>
  <si>
    <t>밸로프</t>
  </si>
  <si>
    <t>EA093041</t>
  </si>
  <si>
    <t>밸류그로스</t>
  </si>
  <si>
    <t>EA100049</t>
  </si>
  <si>
    <t>버드뷰</t>
  </si>
  <si>
    <t>EA092716</t>
  </si>
  <si>
    <t>범양플로이</t>
  </si>
  <si>
    <t>EA096653</t>
  </si>
  <si>
    <t>베네피트코스메틱스코리아유한회사</t>
  </si>
  <si>
    <t>베르상스퍼시픽</t>
  </si>
  <si>
    <t>EA087016</t>
  </si>
  <si>
    <t>베르티스</t>
  </si>
  <si>
    <t>EA088898</t>
  </si>
  <si>
    <t>베스핀글로벌</t>
  </si>
  <si>
    <t>EA043394</t>
  </si>
  <si>
    <t>베올리아워터솔루션스앤테크놀로지스코리아</t>
  </si>
  <si>
    <t>EA087470</t>
  </si>
  <si>
    <t>베이글코드</t>
  </si>
  <si>
    <t>EA096710</t>
  </si>
  <si>
    <t>벨로크</t>
  </si>
  <si>
    <t>EA052304</t>
  </si>
  <si>
    <t>벨이앤씨</t>
  </si>
  <si>
    <t>EA089902</t>
  </si>
  <si>
    <t>보노아</t>
  </si>
  <si>
    <t>EA014783</t>
  </si>
  <si>
    <t>보령바이오파마</t>
  </si>
  <si>
    <t>EA066199</t>
  </si>
  <si>
    <t>보령컨슈머헬스케어</t>
  </si>
  <si>
    <t>EA063802</t>
  </si>
  <si>
    <t>보성산업</t>
  </si>
  <si>
    <t>EA094877</t>
  </si>
  <si>
    <t>보원</t>
  </si>
  <si>
    <t>EA089932</t>
  </si>
  <si>
    <t>본팩토리</t>
  </si>
  <si>
    <t>EA091265</t>
  </si>
  <si>
    <t>볼로레로지스틱스코리아</t>
  </si>
  <si>
    <t>볼크</t>
  </si>
  <si>
    <t>EA014827</t>
  </si>
  <si>
    <t>부국티엔씨</t>
  </si>
  <si>
    <t>EA097448</t>
  </si>
  <si>
    <t>부산도시가스</t>
  </si>
  <si>
    <t>EA093723</t>
  </si>
  <si>
    <t>부산오션파크</t>
  </si>
  <si>
    <t>EA043503</t>
  </si>
  <si>
    <t>부산정관에너지</t>
  </si>
  <si>
    <t>EA084776</t>
  </si>
  <si>
    <t>EA090180</t>
  </si>
  <si>
    <t>뷰케이코리아</t>
  </si>
  <si>
    <t>EA062923</t>
  </si>
  <si>
    <t>뷰티르샤</t>
  </si>
  <si>
    <t>EA076478</t>
  </si>
  <si>
    <t>뷰티스킨</t>
  </si>
  <si>
    <t>EA093346</t>
  </si>
  <si>
    <t>브라코이미징코리아유한회사</t>
  </si>
  <si>
    <t>EA097205</t>
  </si>
  <si>
    <t>브랜드유니버스유한회사</t>
  </si>
  <si>
    <t>EA049410</t>
  </si>
  <si>
    <t>EA099007</t>
  </si>
  <si>
    <t>브릴리언트인베스트먼트</t>
  </si>
  <si>
    <t>EA089292</t>
  </si>
  <si>
    <t>EA093049</t>
  </si>
  <si>
    <t>브이엔티지</t>
  </si>
  <si>
    <t>EA095759</t>
  </si>
  <si>
    <t>브이피에이치메탈유한회사</t>
  </si>
  <si>
    <t>EA099784</t>
  </si>
  <si>
    <t>블라드스튜디오</t>
  </si>
  <si>
    <t>EA086059</t>
  </si>
  <si>
    <t>블랭크코퍼레이션</t>
  </si>
  <si>
    <t>EA098399</t>
  </si>
  <si>
    <t>블루엠텍</t>
  </si>
  <si>
    <t>EA095160</t>
  </si>
  <si>
    <t>블루포션게임즈</t>
  </si>
  <si>
    <t>EA091329</t>
  </si>
  <si>
    <t>블루포인트파트너스</t>
  </si>
  <si>
    <t>블룸비스타호텔앤컨퍼런스</t>
  </si>
  <si>
    <t>EA085428</t>
  </si>
  <si>
    <t>EA096981</t>
  </si>
  <si>
    <t>비그림파워코리아</t>
  </si>
  <si>
    <t>EA048278</t>
  </si>
  <si>
    <t>비보존제약</t>
  </si>
  <si>
    <t>EA097587</t>
  </si>
  <si>
    <t>비브로스</t>
  </si>
  <si>
    <t>EA088530</t>
  </si>
  <si>
    <t>비비비</t>
  </si>
  <si>
    <t>EA078214</t>
  </si>
  <si>
    <t>EA088747</t>
  </si>
  <si>
    <t>비상엠러닝</t>
  </si>
  <si>
    <t>EA096338</t>
  </si>
  <si>
    <t>비스토스</t>
  </si>
  <si>
    <t>EA086781</t>
  </si>
  <si>
    <t>EA089192</t>
  </si>
  <si>
    <t>비씨월드헬스케어</t>
  </si>
  <si>
    <t>EA096455</t>
  </si>
  <si>
    <t>비아이매트릭스</t>
  </si>
  <si>
    <t>EA081840</t>
  </si>
  <si>
    <t>비알팜</t>
  </si>
  <si>
    <t>EA056269</t>
  </si>
  <si>
    <t>비에스지파트너스</t>
  </si>
  <si>
    <t>EA088570</t>
  </si>
  <si>
    <t>비에이치엔터테인먼트</t>
  </si>
  <si>
    <t>EA092801</t>
  </si>
  <si>
    <t>비엔에스메드</t>
  </si>
  <si>
    <t>EA061255</t>
  </si>
  <si>
    <t>비엠스틸</t>
  </si>
  <si>
    <t>EA090408</t>
  </si>
  <si>
    <t>비오팜</t>
  </si>
  <si>
    <t>EA098168</t>
  </si>
  <si>
    <t>비전넥스트</t>
  </si>
  <si>
    <t>비전홀딩스코퍼레이션</t>
  </si>
  <si>
    <t>EA099164</t>
  </si>
  <si>
    <t>비즈마켓렌탈</t>
  </si>
  <si>
    <t>EA097576</t>
  </si>
  <si>
    <t>비지에프에코바이오</t>
  </si>
  <si>
    <t>EA094149</t>
  </si>
  <si>
    <t>비콘</t>
  </si>
  <si>
    <t>비테스코테크놀로지스코리아</t>
  </si>
  <si>
    <t>EA094161</t>
  </si>
  <si>
    <t>EA091023</t>
  </si>
  <si>
    <t>EA093123</t>
  </si>
  <si>
    <t>비트팍스</t>
  </si>
  <si>
    <t>EA089065</t>
  </si>
  <si>
    <t>비티알수성</t>
  </si>
  <si>
    <t>EA089970</t>
  </si>
  <si>
    <t>비티엘첨단소재</t>
  </si>
  <si>
    <t>EA099249</t>
  </si>
  <si>
    <t>빅히트뮤직</t>
  </si>
  <si>
    <t>EA095601</t>
  </si>
  <si>
    <t>빅히트쓰리식스티</t>
  </si>
  <si>
    <t>EA095600</t>
  </si>
  <si>
    <t>빅히트아이피</t>
  </si>
  <si>
    <t>EA080108</t>
  </si>
  <si>
    <t>빅히트엔터테인먼트</t>
  </si>
  <si>
    <t>EA101139</t>
  </si>
  <si>
    <t>빔모빌리티코리아</t>
  </si>
  <si>
    <t>빔보큐에스알코리아</t>
  </si>
  <si>
    <t>EA100201</t>
  </si>
  <si>
    <t>빛솔라에너지</t>
  </si>
  <si>
    <t>EA095162</t>
  </si>
  <si>
    <t>사조씨앤씨</t>
  </si>
  <si>
    <t>EA097897</t>
  </si>
  <si>
    <t>사화도시개발</t>
  </si>
  <si>
    <t>EA098307</t>
  </si>
  <si>
    <t>산단재생2호성남지식산업센터위탁관리부동산투자회사</t>
  </si>
  <si>
    <t>EA095534</t>
  </si>
  <si>
    <t>산돌</t>
  </si>
  <si>
    <t>EA098810</t>
  </si>
  <si>
    <t>삼기이브이</t>
  </si>
  <si>
    <t>EA098110</t>
  </si>
  <si>
    <t>삼기프리시젼</t>
  </si>
  <si>
    <t>EA098787</t>
  </si>
  <si>
    <t>삼부르네상스</t>
  </si>
  <si>
    <t>EA098788</t>
  </si>
  <si>
    <t>삼부르네상스더힐</t>
  </si>
  <si>
    <t>EA093250</t>
  </si>
  <si>
    <t>삼성전자서비스씨에스</t>
  </si>
  <si>
    <t>EA095289</t>
  </si>
  <si>
    <t>삼성코닝어드밴스드글라스유한회사</t>
  </si>
  <si>
    <t>EA062967</t>
  </si>
  <si>
    <t>삼아벤처</t>
  </si>
  <si>
    <t>EA097182</t>
  </si>
  <si>
    <t>삼아사운드유한회사</t>
  </si>
  <si>
    <t>EA097874</t>
  </si>
  <si>
    <t>삼양씨앤씨</t>
  </si>
  <si>
    <t>EA091380</t>
  </si>
  <si>
    <t>삼양제분</t>
  </si>
  <si>
    <t>EA029282</t>
  </si>
  <si>
    <t>삼척블루파워</t>
  </si>
  <si>
    <t>EA066016</t>
  </si>
  <si>
    <t>삼표레일웨이</t>
  </si>
  <si>
    <t>EA024216</t>
  </si>
  <si>
    <t>삼해상사</t>
  </si>
  <si>
    <t>EA015210</t>
  </si>
  <si>
    <t>삼현</t>
  </si>
  <si>
    <t>EA049425</t>
  </si>
  <si>
    <t>삼현비앤이</t>
  </si>
  <si>
    <t>EA080013</t>
  </si>
  <si>
    <t>상미식품</t>
  </si>
  <si>
    <t>EA017988</t>
  </si>
  <si>
    <t>상신금속</t>
  </si>
  <si>
    <t>EA097014</t>
  </si>
  <si>
    <t>상하농원(유)</t>
  </si>
  <si>
    <t>EA060442</t>
  </si>
  <si>
    <t>새빗켐</t>
  </si>
  <si>
    <t>EA098080</t>
  </si>
  <si>
    <t>샌즈랩</t>
  </si>
  <si>
    <t>생고뱅코리아홀딩스</t>
  </si>
  <si>
    <t>EA088955</t>
  </si>
  <si>
    <t>샤페론</t>
  </si>
  <si>
    <t>EA097168</t>
  </si>
  <si>
    <t>샤프도앤코코리아유한회사</t>
  </si>
  <si>
    <t>EA097552</t>
  </si>
  <si>
    <t>서연이화에이디엠</t>
  </si>
  <si>
    <t>EA093209</t>
  </si>
  <si>
    <t>서우테크놀로지</t>
  </si>
  <si>
    <t>EA015358</t>
  </si>
  <si>
    <t>서울미라마유한회사</t>
  </si>
  <si>
    <t>EA099190</t>
  </si>
  <si>
    <t>서울역북부역세권개발</t>
  </si>
  <si>
    <t>EA018022</t>
  </si>
  <si>
    <t>서일</t>
  </si>
  <si>
    <t>EA093097</t>
  </si>
  <si>
    <t>EA063431</t>
  </si>
  <si>
    <t>EA096509</t>
  </si>
  <si>
    <t>선과한국반도체신재료유한회사</t>
  </si>
  <si>
    <t>EA060579</t>
  </si>
  <si>
    <t>선광신컨테이너터미널</t>
  </si>
  <si>
    <t>EA077838</t>
  </si>
  <si>
    <t>선농종합식품</t>
  </si>
  <si>
    <t>선앤엘인테리어</t>
  </si>
  <si>
    <t>EA092956</t>
  </si>
  <si>
    <t>선우이엔지</t>
  </si>
  <si>
    <t>EA018042</t>
  </si>
  <si>
    <t>선진에프에스</t>
  </si>
  <si>
    <t>EA073975</t>
  </si>
  <si>
    <t>선헬스케어인터내셔널</t>
  </si>
  <si>
    <t>EA066736</t>
  </si>
  <si>
    <t>성인산업</t>
  </si>
  <si>
    <t>EA079984</t>
  </si>
  <si>
    <t>성일하이텍</t>
  </si>
  <si>
    <t>EA094209</t>
  </si>
  <si>
    <t>성주프로덕션</t>
  </si>
  <si>
    <t>EA070230</t>
  </si>
  <si>
    <t>세나테크놀로지</t>
  </si>
  <si>
    <t>EA084965</t>
  </si>
  <si>
    <t>세니젠</t>
  </si>
  <si>
    <t>EA099746</t>
  </si>
  <si>
    <t>세레스에프엔디</t>
  </si>
  <si>
    <t>EA076795</t>
  </si>
  <si>
    <t>세림비앤지</t>
  </si>
  <si>
    <t>EA089062</t>
  </si>
  <si>
    <t>세명하이트</t>
  </si>
  <si>
    <t>EA093131</t>
  </si>
  <si>
    <t>세미콜론문래위탁관리부동산투자회사</t>
  </si>
  <si>
    <t>EA088546</t>
  </si>
  <si>
    <t>세방리튬배터리</t>
  </si>
  <si>
    <t>EA043718</t>
  </si>
  <si>
    <t>EA088552</t>
  </si>
  <si>
    <t>세아스틸인터내셔날</t>
  </si>
  <si>
    <t>EA097008</t>
  </si>
  <si>
    <t>세아인베스트먼트</t>
  </si>
  <si>
    <t>EA072458</t>
  </si>
  <si>
    <t>세우인코퍼레이션</t>
  </si>
  <si>
    <t>EA097551</t>
  </si>
  <si>
    <t>세종이브이</t>
  </si>
  <si>
    <t>EA088753</t>
  </si>
  <si>
    <t>세포바이오</t>
  </si>
  <si>
    <t>EA098101</t>
  </si>
  <si>
    <t>센서뷰</t>
  </si>
  <si>
    <t>EA101266</t>
  </si>
  <si>
    <t>센스톤</t>
  </si>
  <si>
    <t>EA069980</t>
  </si>
  <si>
    <t>EA094743</t>
  </si>
  <si>
    <t>소프트레이어테크놀로지스코리아유한회사</t>
  </si>
  <si>
    <t>EA088677</t>
  </si>
  <si>
    <t>소프트아이텍</t>
  </si>
  <si>
    <t>속리산고속</t>
  </si>
  <si>
    <t>EA094746</t>
  </si>
  <si>
    <t>솔라시도태양광발전</t>
  </si>
  <si>
    <t>EA092188</t>
  </si>
  <si>
    <t>솔라엣지테크놀로지스코리아</t>
  </si>
  <si>
    <t>EA097630</t>
  </si>
  <si>
    <t>솔루스바이오텍</t>
  </si>
  <si>
    <t>EA070929</t>
  </si>
  <si>
    <t>솔리드이엔지</t>
  </si>
  <si>
    <t>EA073486</t>
  </si>
  <si>
    <t>솔리티</t>
  </si>
  <si>
    <t>EA062336</t>
  </si>
  <si>
    <t>솔젠트</t>
  </si>
  <si>
    <t>EA051937</t>
  </si>
  <si>
    <t>솔트웨어</t>
  </si>
  <si>
    <t>EA085636</t>
  </si>
  <si>
    <t>송도디엔씨</t>
  </si>
  <si>
    <t>EA093103</t>
  </si>
  <si>
    <t>송도랜드마크시티유한회사</t>
  </si>
  <si>
    <t>EA047972</t>
  </si>
  <si>
    <t>수산에너솔</t>
  </si>
  <si>
    <t>EA098668</t>
  </si>
  <si>
    <t>수성에이지브이</t>
  </si>
  <si>
    <t>EA093606</t>
  </si>
  <si>
    <t>수퍼히어로패턴스</t>
  </si>
  <si>
    <t>EA098969</t>
  </si>
  <si>
    <t>숨비</t>
  </si>
  <si>
    <t>EA088589</t>
  </si>
  <si>
    <t>숲엔터테인먼트</t>
  </si>
  <si>
    <t>EA069197</t>
  </si>
  <si>
    <t>슈어소프트테크</t>
  </si>
  <si>
    <t>EA088745</t>
  </si>
  <si>
    <t>슈펙스빌리지</t>
  </si>
  <si>
    <t>EA096738</t>
  </si>
  <si>
    <t>스마트나우</t>
  </si>
  <si>
    <t>EA099220</t>
  </si>
  <si>
    <t>스마트레이더시스템</t>
  </si>
  <si>
    <t>EA093727</t>
  </si>
  <si>
    <t>스마트비전</t>
  </si>
  <si>
    <t>EA097547</t>
  </si>
  <si>
    <t>스마트케이피에프브이</t>
  </si>
  <si>
    <t>EA094513</t>
  </si>
  <si>
    <t>스몰랩</t>
  </si>
  <si>
    <t>스와로브스키코리아</t>
  </si>
  <si>
    <t>EA088847</t>
  </si>
  <si>
    <t>스윙엔터테인먼트</t>
  </si>
  <si>
    <t>EA098353</t>
  </si>
  <si>
    <t>스카이랩스</t>
  </si>
  <si>
    <t>EA099624</t>
  </si>
  <si>
    <t>스켈터랩스</t>
  </si>
  <si>
    <t>EA085675</t>
  </si>
  <si>
    <t>스코넥엔터테인먼트</t>
  </si>
  <si>
    <t>EA093577</t>
  </si>
  <si>
    <t>스타콜라보</t>
  </si>
  <si>
    <t>EA089152</t>
  </si>
  <si>
    <t>스타필드수원</t>
  </si>
  <si>
    <t>EA089081</t>
  </si>
  <si>
    <t>스타필드안성</t>
  </si>
  <si>
    <t>EA093090</t>
  </si>
  <si>
    <t>스타필드창원</t>
  </si>
  <si>
    <t>EA095164</t>
  </si>
  <si>
    <t>스탠다임</t>
  </si>
  <si>
    <t>EA081261</t>
  </si>
  <si>
    <t>스톤빌리지</t>
  </si>
  <si>
    <t>EA083181</t>
  </si>
  <si>
    <t>스톰테크</t>
  </si>
  <si>
    <t>EA077331</t>
  </si>
  <si>
    <t>스튜디오미르</t>
  </si>
  <si>
    <t>EA098066</t>
  </si>
  <si>
    <t>스튜디오삼익</t>
  </si>
  <si>
    <t>EA094900</t>
  </si>
  <si>
    <t>스튜디오에스</t>
  </si>
  <si>
    <t>EA097486</t>
  </si>
  <si>
    <t>스틸코</t>
  </si>
  <si>
    <t>EA015810</t>
  </si>
  <si>
    <t>시공사</t>
  </si>
  <si>
    <t>EA076340</t>
  </si>
  <si>
    <t>시그마</t>
  </si>
  <si>
    <t>시너스텍</t>
  </si>
  <si>
    <t>EA052553</t>
  </si>
  <si>
    <t>시노텍스</t>
  </si>
  <si>
    <t>EA095217</t>
  </si>
  <si>
    <t>시선바이오머티리얼스</t>
  </si>
  <si>
    <t>EA098379</t>
  </si>
  <si>
    <t>시스콘</t>
  </si>
  <si>
    <t>EA090316</t>
  </si>
  <si>
    <t>시엔스</t>
  </si>
  <si>
    <t>EA073667</t>
  </si>
  <si>
    <t>시재도시개발</t>
  </si>
  <si>
    <t>EA098270</t>
  </si>
  <si>
    <t>시큐레터</t>
  </si>
  <si>
    <t>EA098286</t>
  </si>
  <si>
    <t>시큐텍</t>
  </si>
  <si>
    <t>EA101223</t>
  </si>
  <si>
    <t>시크릿타운</t>
  </si>
  <si>
    <t>EA092513</t>
  </si>
  <si>
    <t>식신</t>
  </si>
  <si>
    <t>EA090084</t>
  </si>
  <si>
    <t>신대양제지반월</t>
  </si>
  <si>
    <t>신라에이치엠</t>
  </si>
  <si>
    <t>EA081541</t>
  </si>
  <si>
    <t>신성프리시젼</t>
  </si>
  <si>
    <t>신세계까사</t>
  </si>
  <si>
    <t>EA093612</t>
  </si>
  <si>
    <t>신세계동서울피에프브이</t>
  </si>
  <si>
    <t>EA088952</t>
  </si>
  <si>
    <t>신세계디에프글로벌</t>
  </si>
  <si>
    <t>신세계라이브쇼핑</t>
  </si>
  <si>
    <t>EA016350</t>
  </si>
  <si>
    <t>신세계야구단</t>
  </si>
  <si>
    <t>EA049458</t>
  </si>
  <si>
    <t>신신사</t>
  </si>
  <si>
    <t>EA082728</t>
  </si>
  <si>
    <t>신우</t>
  </si>
  <si>
    <t>EA010588</t>
  </si>
  <si>
    <t>신진엠텍</t>
  </si>
  <si>
    <t>EA092570</t>
  </si>
  <si>
    <t>EA094611</t>
  </si>
  <si>
    <t>신한서부티엔디위탁관리부동산투자회사</t>
  </si>
  <si>
    <t>EA092810</t>
  </si>
  <si>
    <t>신한알파광교위탁관리부동산투자회사</t>
  </si>
  <si>
    <t>EA097406</t>
  </si>
  <si>
    <t>신한알파남산위탁관리부동산투자회사</t>
  </si>
  <si>
    <t>EA097407</t>
  </si>
  <si>
    <t>신한알파역삼위탁관리부동산투자회사</t>
  </si>
  <si>
    <t>EA097167</t>
  </si>
  <si>
    <t>신한케이제1호위탁관리부동산투자회사</t>
  </si>
  <si>
    <t>EA056426</t>
  </si>
  <si>
    <t>신화어드밴스</t>
  </si>
  <si>
    <t>EA066083</t>
  </si>
  <si>
    <t>EA066259</t>
  </si>
  <si>
    <t>심원개발</t>
  </si>
  <si>
    <t>EA096877</t>
  </si>
  <si>
    <t>싸토리우스코리아</t>
  </si>
  <si>
    <t>EA019844</t>
  </si>
  <si>
    <t>쌍신전자통신</t>
  </si>
  <si>
    <t>EA043201</t>
  </si>
  <si>
    <t>써머스플랫폼</t>
  </si>
  <si>
    <t>EA095527</t>
  </si>
  <si>
    <t>쓰리디메디비젼</t>
  </si>
  <si>
    <t>EA095537</t>
  </si>
  <si>
    <t>쓰리빌리언</t>
  </si>
  <si>
    <t>EA086388</t>
  </si>
  <si>
    <t>쓰리에이씨</t>
  </si>
  <si>
    <t>EA097894</t>
  </si>
  <si>
    <t>씨네큐</t>
  </si>
  <si>
    <t>EA097514</t>
  </si>
  <si>
    <t>씨브이파트너스</t>
  </si>
  <si>
    <t>EA041867</t>
  </si>
  <si>
    <t>씨싸이트</t>
  </si>
  <si>
    <t>EA083193</t>
  </si>
  <si>
    <t>EA094427</t>
  </si>
  <si>
    <t>씨어스테크놀로지</t>
  </si>
  <si>
    <t>EA078022</t>
  </si>
  <si>
    <t>EA088618</t>
  </si>
  <si>
    <t>씨엠디엘</t>
  </si>
  <si>
    <t>EA097415</t>
  </si>
  <si>
    <t>씨엠씨머티리얼즈코리아유한회사</t>
  </si>
  <si>
    <t>EA065904</t>
  </si>
  <si>
    <t>씨엠에스랩</t>
  </si>
  <si>
    <t>EA062880</t>
  </si>
  <si>
    <t>EA046332</t>
  </si>
  <si>
    <t>EA089942</t>
  </si>
  <si>
    <t>씨제이올리브영</t>
  </si>
  <si>
    <t>EA090329</t>
  </si>
  <si>
    <t>씨제이피드앤케어</t>
  </si>
  <si>
    <t>EA098654</t>
  </si>
  <si>
    <t>씨지오</t>
  </si>
  <si>
    <t>EA089252</t>
  </si>
  <si>
    <t>씨케이앤비</t>
  </si>
  <si>
    <t>EA092875</t>
  </si>
  <si>
    <t>씨티씨</t>
  </si>
  <si>
    <t>EA089492</t>
  </si>
  <si>
    <t>씨티씨백</t>
  </si>
  <si>
    <t>EA098481</t>
  </si>
  <si>
    <t>씨플랫폼</t>
  </si>
  <si>
    <t>EA096907</t>
  </si>
  <si>
    <t>아고다트레블오퍼레이션스코리아유한회사</t>
  </si>
  <si>
    <t>EA096913</t>
  </si>
  <si>
    <t>아고다페이먼트코리아유한회사</t>
  </si>
  <si>
    <t>EA091391</t>
  </si>
  <si>
    <t>아데나소프트웨어</t>
  </si>
  <si>
    <t>EA098197</t>
  </si>
  <si>
    <t>아람코아시아코리아유한회사</t>
  </si>
  <si>
    <t>아름일렉트로닉스</t>
  </si>
  <si>
    <t>EA091277</t>
  </si>
  <si>
    <t>아마쎌지오스에어로젤스</t>
  </si>
  <si>
    <t>EA096547</t>
  </si>
  <si>
    <t>아마쎌코리아(유)</t>
  </si>
  <si>
    <t>EA099103</t>
  </si>
  <si>
    <t>아모제푸드시스템</t>
  </si>
  <si>
    <t>EA095333</t>
  </si>
  <si>
    <t>아미코젠퍼시픽</t>
  </si>
  <si>
    <t>EA063269</t>
  </si>
  <si>
    <t>EA072733</t>
  </si>
  <si>
    <t>아시아퍼시픽33호선박투자회사</t>
  </si>
  <si>
    <t>EA076143</t>
  </si>
  <si>
    <t>아시아퍼시픽34호선박투자회사</t>
  </si>
  <si>
    <t>EA089574</t>
  </si>
  <si>
    <t>아시아퍼시픽50호선박투자회사</t>
  </si>
  <si>
    <t>EA098492</t>
  </si>
  <si>
    <t>아시아퍼시픽51호선박투자회사</t>
  </si>
  <si>
    <t>EA094033</t>
  </si>
  <si>
    <t>아이나비시스템즈</t>
  </si>
  <si>
    <t>아이디스파워텔</t>
  </si>
  <si>
    <t>EA093316</t>
  </si>
  <si>
    <t>아이디언스</t>
  </si>
  <si>
    <t>EA095964</t>
  </si>
  <si>
    <t>아이메디신</t>
  </si>
  <si>
    <t>EA077330</t>
  </si>
  <si>
    <t>아이브스</t>
  </si>
  <si>
    <t>EA094243</t>
  </si>
  <si>
    <t>아이비젼웍스</t>
  </si>
  <si>
    <t>EA064592</t>
  </si>
  <si>
    <t>아이솔라에너지</t>
  </si>
  <si>
    <t>EA092505</t>
  </si>
  <si>
    <t>아이씨디머트리얼즈</t>
  </si>
  <si>
    <t>EA085158</t>
  </si>
  <si>
    <t>아이씨에이치</t>
  </si>
  <si>
    <t>EA093850</t>
  </si>
  <si>
    <t>아이씨엠</t>
  </si>
  <si>
    <t>EA093054</t>
  </si>
  <si>
    <t>아이앤케이신항만</t>
  </si>
  <si>
    <t>아이언그레이</t>
  </si>
  <si>
    <t>EA093079</t>
  </si>
  <si>
    <t>아이에스티엔터테인먼트</t>
  </si>
  <si>
    <t>EA099399</t>
  </si>
  <si>
    <t>아이엠지티</t>
  </si>
  <si>
    <t>EA057900</t>
  </si>
  <si>
    <t>EA098194</t>
  </si>
  <si>
    <t>아이오베드</t>
  </si>
  <si>
    <t>EA088763</t>
  </si>
  <si>
    <t>아이유노글로벌</t>
  </si>
  <si>
    <t>EA073904</t>
  </si>
  <si>
    <t>아이지에이웍스</t>
  </si>
  <si>
    <t>EA097991</t>
  </si>
  <si>
    <t>아이지엘</t>
  </si>
  <si>
    <t>EA097313</t>
  </si>
  <si>
    <t>아이콘루프</t>
  </si>
  <si>
    <t>EA077210</t>
  </si>
  <si>
    <t>EA046177</t>
  </si>
  <si>
    <t>아이트로닉스</t>
  </si>
  <si>
    <t>EA089274</t>
  </si>
  <si>
    <t>EA097053</t>
  </si>
  <si>
    <t>아이티엑스코리아</t>
  </si>
  <si>
    <t>EA098607</t>
  </si>
  <si>
    <t>아이티엠티시</t>
  </si>
  <si>
    <t>EA051488</t>
  </si>
  <si>
    <t>아이피엑스</t>
  </si>
  <si>
    <t>EA042631</t>
  </si>
  <si>
    <t>EA097597</t>
  </si>
  <si>
    <t>아토세이프</t>
  </si>
  <si>
    <t>EA097436</t>
  </si>
  <si>
    <t>아틀라스네이벌엔지니어링유한회사</t>
  </si>
  <si>
    <t>EA093774</t>
  </si>
  <si>
    <t>아프리카오픈스튜디오</t>
  </si>
  <si>
    <t>EA050796</t>
  </si>
  <si>
    <t>아하</t>
  </si>
  <si>
    <t>EA011335</t>
  </si>
  <si>
    <t>안국바이오진단</t>
  </si>
  <si>
    <t>EA093282</t>
  </si>
  <si>
    <t>안다르</t>
  </si>
  <si>
    <t>EA068691</t>
  </si>
  <si>
    <t>알디에스</t>
  </si>
  <si>
    <t>EA097613</t>
  </si>
  <si>
    <t>알루아시아</t>
  </si>
  <si>
    <t>EA012903</t>
  </si>
  <si>
    <t>알멕</t>
  </si>
  <si>
    <t>EA086791</t>
  </si>
  <si>
    <t>EA095180</t>
  </si>
  <si>
    <t>알스탈</t>
  </si>
  <si>
    <t>EA093061</t>
  </si>
  <si>
    <t>알에프바이오</t>
  </si>
  <si>
    <t>EA085403</t>
  </si>
  <si>
    <t>알에프시스템즈</t>
  </si>
  <si>
    <t>알에프케이알</t>
  </si>
  <si>
    <t>EA091362</t>
  </si>
  <si>
    <t>EA085075</t>
  </si>
  <si>
    <t>알케이드코리아</t>
  </si>
  <si>
    <t>EA091884</t>
  </si>
  <si>
    <t>알티미디어</t>
  </si>
  <si>
    <t>EA089782</t>
  </si>
  <si>
    <t>알파플러스</t>
  </si>
  <si>
    <t>EA077931</t>
  </si>
  <si>
    <t>알피바이오</t>
  </si>
  <si>
    <t>EA098704</t>
  </si>
  <si>
    <t>애그리로보텍</t>
  </si>
  <si>
    <t>EA090512</t>
  </si>
  <si>
    <t>애니코스</t>
  </si>
  <si>
    <t>EA057763</t>
  </si>
  <si>
    <t>애드리치</t>
  </si>
  <si>
    <t>EA096370</t>
  </si>
  <si>
    <t>애드엑스</t>
  </si>
  <si>
    <t>EA098027</t>
  </si>
  <si>
    <t>애드파마</t>
  </si>
  <si>
    <t>EA091845</t>
  </si>
  <si>
    <t>애자일소다</t>
  </si>
  <si>
    <t>EA016283</t>
  </si>
  <si>
    <t>애플코리아유한회사</t>
  </si>
  <si>
    <t>EA091661</t>
  </si>
  <si>
    <t>앤앤컴퍼니</t>
  </si>
  <si>
    <t>EA095886</t>
  </si>
  <si>
    <t>앰틱스바이오</t>
  </si>
  <si>
    <t>EA097169</t>
  </si>
  <si>
    <t>앰플리튜드코리아</t>
  </si>
  <si>
    <t>EA080557</t>
  </si>
  <si>
    <t>EA063271</t>
  </si>
  <si>
    <t>야놀자</t>
  </si>
  <si>
    <t>EA087798</t>
  </si>
  <si>
    <t>야놀자씨앤디</t>
  </si>
  <si>
    <t>EA084744</t>
  </si>
  <si>
    <t>어업회사법인여수새고막</t>
  </si>
  <si>
    <t>EA100163</t>
  </si>
  <si>
    <t>에너지파크</t>
  </si>
  <si>
    <t>EA090306</t>
  </si>
  <si>
    <t>에버스핀</t>
  </si>
  <si>
    <t>EA100048</t>
  </si>
  <si>
    <t>에비오시스테크놀러지스</t>
  </si>
  <si>
    <t>EA076989</t>
  </si>
  <si>
    <t>에스더블유엠</t>
  </si>
  <si>
    <t>EA057968</t>
  </si>
  <si>
    <t>EA092519</t>
  </si>
  <si>
    <t>EA088887</t>
  </si>
  <si>
    <t>에스비에스플러스</t>
  </si>
  <si>
    <t>에스씨케이컴퍼니</t>
  </si>
  <si>
    <t>EA097535</t>
  </si>
  <si>
    <t>에스아이에이</t>
  </si>
  <si>
    <t>EA095433</t>
  </si>
  <si>
    <t>에스아이에프씨리테일몰디벨로프먼트유한회사</t>
  </si>
  <si>
    <t>EA095447</t>
  </si>
  <si>
    <t>에스아이에프씨타워쓰리디벨로프먼트유한회사</t>
  </si>
  <si>
    <t>EA095436</t>
  </si>
  <si>
    <t>에스아이에프씨타워원디벨로프먼트유한회사</t>
  </si>
  <si>
    <t>EA095146</t>
  </si>
  <si>
    <t>에스아이에프씨타워투디벨로프먼트유한회사</t>
  </si>
  <si>
    <t>EA095409</t>
  </si>
  <si>
    <t>에스아이에프씨호텔디벨로프먼트유한회사</t>
  </si>
  <si>
    <t>에스알테크노팩</t>
  </si>
  <si>
    <t>EA098614</t>
  </si>
  <si>
    <t>EA067343</t>
  </si>
  <si>
    <t>에스앤제이네트웍스</t>
  </si>
  <si>
    <t>EA089226</t>
  </si>
  <si>
    <t>에스앤케이인터랙티브</t>
  </si>
  <si>
    <t>EA048003</t>
  </si>
  <si>
    <t>에스앤케이항공</t>
  </si>
  <si>
    <t>EA073367</t>
  </si>
  <si>
    <t>에스에이엠지엔터테인먼트</t>
  </si>
  <si>
    <t>EA101254</t>
  </si>
  <si>
    <t>EA098507</t>
  </si>
  <si>
    <t>에스에프스틸</t>
  </si>
  <si>
    <t>EA039063</t>
  </si>
  <si>
    <t>EA094751</t>
  </si>
  <si>
    <t>에스에프이노텍</t>
  </si>
  <si>
    <t>EA094594</t>
  </si>
  <si>
    <t>에스엔바이오사이언스</t>
  </si>
  <si>
    <t>EA017392</t>
  </si>
  <si>
    <t>에스엘엘중앙</t>
  </si>
  <si>
    <t>EA095166</t>
  </si>
  <si>
    <t>에스엠랩</t>
  </si>
  <si>
    <t>EA094576</t>
  </si>
  <si>
    <t>에스엠브랜드마케팅</t>
  </si>
  <si>
    <t>EA092407</t>
  </si>
  <si>
    <t>에스엠엘제니트리</t>
  </si>
  <si>
    <t>EA017326</t>
  </si>
  <si>
    <t>에스엠인더스트리</t>
  </si>
  <si>
    <t>EA018873</t>
  </si>
  <si>
    <t>에스엠화진</t>
  </si>
  <si>
    <t>EA086474</t>
  </si>
  <si>
    <t>에스와이디엔씨</t>
  </si>
  <si>
    <t>EA084730</t>
  </si>
  <si>
    <t>에스와이라이프</t>
  </si>
  <si>
    <t>EA092900</t>
  </si>
  <si>
    <t>에스원씨알엠</t>
  </si>
  <si>
    <t>EA092818</t>
  </si>
  <si>
    <t>에스이그린에너지</t>
  </si>
  <si>
    <t>EA071015</t>
  </si>
  <si>
    <t>에스지메디칼</t>
  </si>
  <si>
    <t>에스지씨그린파워</t>
  </si>
  <si>
    <t>에스지씨디벨롭먼트</t>
  </si>
  <si>
    <t>에스지유</t>
  </si>
  <si>
    <t>EA098946</t>
  </si>
  <si>
    <t>에스지이건설산업</t>
  </si>
  <si>
    <t>EA088929</t>
  </si>
  <si>
    <t>에스케이넥실리스</t>
  </si>
  <si>
    <t>EA097834</t>
  </si>
  <si>
    <t>EA040681</t>
  </si>
  <si>
    <t>에스케이머티리얼즈리뉴텍</t>
  </si>
  <si>
    <t>에스케이머티리얼즈에어플러스</t>
  </si>
  <si>
    <t>EA099342</t>
  </si>
  <si>
    <t>에스케이머티리얼즈퍼포먼스</t>
  </si>
  <si>
    <t>EA097569</t>
  </si>
  <si>
    <t>에스케이멀티유틸리티</t>
  </si>
  <si>
    <t>에스케이쉴더스</t>
  </si>
  <si>
    <t>EA011975</t>
  </si>
  <si>
    <t>에스케이씨솔믹스</t>
  </si>
  <si>
    <t>EA090807</t>
  </si>
  <si>
    <t>에스케이씨에코솔루션즈</t>
  </si>
  <si>
    <t>EA097544</t>
  </si>
  <si>
    <t>에스케이씨에프티홀딩스</t>
  </si>
  <si>
    <t>EA088642</t>
  </si>
  <si>
    <t>에스케이아이이테크놀로지</t>
  </si>
  <si>
    <t>EA097507</t>
  </si>
  <si>
    <t>에스케이온</t>
  </si>
  <si>
    <t>EA097258</t>
  </si>
  <si>
    <t>에스케이위탁관리부동산투자회사</t>
  </si>
  <si>
    <t>에스케이지오센트릭</t>
  </si>
  <si>
    <t>EA096619</t>
  </si>
  <si>
    <t>에스케이텔레콤씨에스티원</t>
  </si>
  <si>
    <t>EA092909</t>
  </si>
  <si>
    <t>에스케이피아이씨글로벌</t>
  </si>
  <si>
    <t>EA089955</t>
  </si>
  <si>
    <t>에스켐</t>
  </si>
  <si>
    <t>EA067089</t>
  </si>
  <si>
    <t>에스티유니타스</t>
  </si>
  <si>
    <t>에스티젠바이오</t>
  </si>
  <si>
    <t>EA090254</t>
  </si>
  <si>
    <t>에스피소프트</t>
  </si>
  <si>
    <t>EA041639</t>
  </si>
  <si>
    <t>에실로코리아</t>
  </si>
  <si>
    <t>EA088550</t>
  </si>
  <si>
    <t>에쓰쎄븐</t>
  </si>
  <si>
    <t>EA010686</t>
  </si>
  <si>
    <t>에쓰씨케이</t>
  </si>
  <si>
    <t>EA085594</t>
  </si>
  <si>
    <t>에쓰푸드</t>
  </si>
  <si>
    <t>EA098483</t>
  </si>
  <si>
    <t>에쓰피케이</t>
  </si>
  <si>
    <t>EA097284</t>
  </si>
  <si>
    <t>에어에너지키트코</t>
  </si>
  <si>
    <t>EA017905</t>
  </si>
  <si>
    <t>에어퍼스트</t>
  </si>
  <si>
    <t>EA088681</t>
  </si>
  <si>
    <t>에어프레미아</t>
  </si>
  <si>
    <t>EA089406</t>
  </si>
  <si>
    <t>EA090003</t>
  </si>
  <si>
    <t>에이렌탈앤서비스</t>
  </si>
  <si>
    <t>EA088696</t>
  </si>
  <si>
    <t>에이씨앤티시스템</t>
  </si>
  <si>
    <t>EA091507</t>
  </si>
  <si>
    <t>에이아이메딕</t>
  </si>
  <si>
    <t>EA097324</t>
  </si>
  <si>
    <t>EA097401</t>
  </si>
  <si>
    <t>에이아이엠해외가치투자제1호위탁관리부동산투자회사</t>
  </si>
  <si>
    <t>EA085818</t>
  </si>
  <si>
    <t>에이아이코리아</t>
  </si>
  <si>
    <t>EA042753</t>
  </si>
  <si>
    <t>에이알에이코리아</t>
  </si>
  <si>
    <t>EA080717</t>
  </si>
  <si>
    <t>에이앤피아이디</t>
  </si>
  <si>
    <t>EA098728</t>
  </si>
  <si>
    <t>에이에스텍</t>
  </si>
  <si>
    <t>EA068535</t>
  </si>
  <si>
    <t>에이에이아이헬스케어</t>
  </si>
  <si>
    <t>EA040740</t>
  </si>
  <si>
    <t>에이엘티</t>
  </si>
  <si>
    <t>EA058638</t>
  </si>
  <si>
    <t>에이엠테크놀로지</t>
  </si>
  <si>
    <t>EA095072</t>
  </si>
  <si>
    <t>에이원엔지니어링코리아(유)</t>
  </si>
  <si>
    <t>EA090239</t>
  </si>
  <si>
    <t>에이유플렉스</t>
  </si>
  <si>
    <t>에이자기관리부동산투자회사</t>
  </si>
  <si>
    <t>EA091387</t>
  </si>
  <si>
    <t>에이제이대원</t>
  </si>
  <si>
    <t>EA093711</t>
  </si>
  <si>
    <t>에이제이렌탈서비스</t>
  </si>
  <si>
    <t>EA051606</t>
  </si>
  <si>
    <t>에이제이메인터넌스파트너스</t>
  </si>
  <si>
    <t>EA093369</t>
  </si>
  <si>
    <t>에이제이엠</t>
  </si>
  <si>
    <t>에이제이오토파킹시스템즈</t>
  </si>
  <si>
    <t>에이치그린파워</t>
  </si>
  <si>
    <t>EA020308</t>
  </si>
  <si>
    <t>에이치디</t>
  </si>
  <si>
    <t>EA097220</t>
  </si>
  <si>
    <t>에이치로보틱스</t>
  </si>
  <si>
    <t>EA093385</t>
  </si>
  <si>
    <t>에이치비옵틱스</t>
  </si>
  <si>
    <t>EA095228</t>
  </si>
  <si>
    <t>에이치씨엔</t>
  </si>
  <si>
    <t>EA056690</t>
  </si>
  <si>
    <t>에이치아이티오토모티브</t>
  </si>
  <si>
    <t>에이치앤이루자</t>
  </si>
  <si>
    <t>EA029969</t>
  </si>
  <si>
    <t>에이치엘비에너지</t>
  </si>
  <si>
    <t>에이치엘클레무브</t>
  </si>
  <si>
    <t>에이치엠엠퍼시픽</t>
  </si>
  <si>
    <t>EA061281</t>
  </si>
  <si>
    <t>에이치와이티씨</t>
  </si>
  <si>
    <t>EA097073</t>
  </si>
  <si>
    <t>에이치이엠파마</t>
  </si>
  <si>
    <t>EA096730</t>
  </si>
  <si>
    <t>에이치케이이노엔</t>
  </si>
  <si>
    <t>EA078052</t>
  </si>
  <si>
    <t>에이치케이특수지상사</t>
  </si>
  <si>
    <t>EA093388</t>
  </si>
  <si>
    <t>에이치케이피앤에스</t>
  </si>
  <si>
    <t>EA085496</t>
  </si>
  <si>
    <t>에이치피에스피</t>
  </si>
  <si>
    <t>EA073422</t>
  </si>
  <si>
    <t>에이치피프린팅코리아유한회사</t>
  </si>
  <si>
    <t>EA092805</t>
  </si>
  <si>
    <t>에이텀</t>
  </si>
  <si>
    <t>EA100204</t>
  </si>
  <si>
    <t>에이텐코리아</t>
  </si>
  <si>
    <t>EA091698</t>
  </si>
  <si>
    <t>에이티지씨</t>
  </si>
  <si>
    <t>EA095404</t>
  </si>
  <si>
    <t>에이티커니코리아유한회사</t>
  </si>
  <si>
    <t>EA019459</t>
  </si>
  <si>
    <t>에이팸</t>
  </si>
  <si>
    <t>EA089336</t>
  </si>
  <si>
    <t>에이프릴바이오</t>
  </si>
  <si>
    <t>EA092885</t>
  </si>
  <si>
    <t>에이플</t>
  </si>
  <si>
    <t>EA094529</t>
  </si>
  <si>
    <t>에이플러스디</t>
  </si>
  <si>
    <t>EA057609</t>
  </si>
  <si>
    <t>에이플러스라이프</t>
  </si>
  <si>
    <t>EA057336</t>
  </si>
  <si>
    <t>에이플러스리얼티</t>
  </si>
  <si>
    <t>EA089199</t>
  </si>
  <si>
    <t>에이플러스비</t>
  </si>
  <si>
    <t>EA098792</t>
  </si>
  <si>
    <t>에이플러스효담라이프케어</t>
  </si>
  <si>
    <t>EA077194</t>
  </si>
  <si>
    <t>에이피알</t>
  </si>
  <si>
    <t>EA093485</t>
  </si>
  <si>
    <t>에이피에스머티리얼즈</t>
  </si>
  <si>
    <t>에코비트</t>
  </si>
  <si>
    <t>에코비트그린</t>
  </si>
  <si>
    <t>에코비트그린충주</t>
  </si>
  <si>
    <t>에코비트에너지울산</t>
  </si>
  <si>
    <t>에코비트에너지전주</t>
  </si>
  <si>
    <t>에코비트엔지니어링</t>
  </si>
  <si>
    <t>EA093254</t>
  </si>
  <si>
    <t>에코비트엠엔에스</t>
  </si>
  <si>
    <t>에코비트워터</t>
  </si>
  <si>
    <t>에코비트프리텍</t>
  </si>
  <si>
    <t>EA081378</t>
  </si>
  <si>
    <t>에코아이</t>
  </si>
  <si>
    <t>EA098044</t>
  </si>
  <si>
    <t>에코프로에이피</t>
  </si>
  <si>
    <t>EA097577</t>
  </si>
  <si>
    <t>에코프로이엠</t>
  </si>
  <si>
    <t>EA094234</t>
  </si>
  <si>
    <t>에펜도르프코리아</t>
  </si>
  <si>
    <t>EA098874</t>
  </si>
  <si>
    <t>에포크피에프브이</t>
  </si>
  <si>
    <t>에프디스플레이</t>
  </si>
  <si>
    <t>EA096075</t>
  </si>
  <si>
    <t>에프앤씨시스템</t>
  </si>
  <si>
    <t>EA094583</t>
  </si>
  <si>
    <t>엑셀세라퓨틱스</t>
  </si>
  <si>
    <t>EA085714</t>
  </si>
  <si>
    <t>엑소코바이오</t>
  </si>
  <si>
    <t>EA089582</t>
  </si>
  <si>
    <t>엑스게이트</t>
  </si>
  <si>
    <t>엑스얼라이언스</t>
  </si>
  <si>
    <t>EA090926</t>
  </si>
  <si>
    <t>엑티브온</t>
  </si>
  <si>
    <t>EA076624</t>
  </si>
  <si>
    <t>엔드림</t>
  </si>
  <si>
    <t>엔디케이</t>
  </si>
  <si>
    <t>EA089979</t>
  </si>
  <si>
    <t>엔브이에이치원방테크</t>
  </si>
  <si>
    <t>EA086534</t>
  </si>
  <si>
    <t>EA097072</t>
  </si>
  <si>
    <t>엔아이디에스</t>
  </si>
  <si>
    <t>EA093233</t>
  </si>
  <si>
    <t>엔아이티서비스</t>
  </si>
  <si>
    <t>EA097301</t>
  </si>
  <si>
    <t>엔에스홈쇼핑미디어센터</t>
  </si>
  <si>
    <t>EA093183</t>
  </si>
  <si>
    <t>엔에이치씨엠에스</t>
  </si>
  <si>
    <t>EA097553</t>
  </si>
  <si>
    <t>엔에이치엔다이퀘스트</t>
  </si>
  <si>
    <t>EA097599</t>
  </si>
  <si>
    <t>엔에이치엔빅풋</t>
  </si>
  <si>
    <t>EA087420</t>
  </si>
  <si>
    <t>엔에이치엔에듀</t>
  </si>
  <si>
    <t>EA062119</t>
  </si>
  <si>
    <t>엔에이치엔여행박사</t>
  </si>
  <si>
    <t>엔에이치엔커머스</t>
  </si>
  <si>
    <t>EA089261</t>
  </si>
  <si>
    <t>엔에이치엔티켓링크</t>
  </si>
  <si>
    <t>EA092907</t>
  </si>
  <si>
    <t>엔에이치올원위탁관리부동산투자회사</t>
  </si>
  <si>
    <t>EA092685</t>
  </si>
  <si>
    <t>엔에이치제3호위탁관리부동산투자회사</t>
  </si>
  <si>
    <t>EA088464</t>
  </si>
  <si>
    <t>엔에이치프라임위탁관리부동산투자회사</t>
  </si>
  <si>
    <t>EA074567</t>
  </si>
  <si>
    <t>엔에프</t>
  </si>
  <si>
    <t>EA091243</t>
  </si>
  <si>
    <t>EA097779</t>
  </si>
  <si>
    <t>엔젤로보틱스</t>
  </si>
  <si>
    <t>EA101256</t>
  </si>
  <si>
    <t>엔젯</t>
  </si>
  <si>
    <t>EA085182</t>
  </si>
  <si>
    <t>엔지노믹스</t>
  </si>
  <si>
    <t>엔카닷컴</t>
  </si>
  <si>
    <t>EA092986</t>
  </si>
  <si>
    <t>엔케이에테르</t>
  </si>
  <si>
    <t>EA070224</t>
  </si>
  <si>
    <t>EA095331</t>
  </si>
  <si>
    <t>엔탑자산관리</t>
  </si>
  <si>
    <t>EA095650</t>
  </si>
  <si>
    <t>엔토리</t>
  </si>
  <si>
    <t>EA049119</t>
  </si>
  <si>
    <t>엔트리브소프트</t>
  </si>
  <si>
    <t>엔티엠</t>
  </si>
  <si>
    <t>EA089595</t>
  </si>
  <si>
    <t>엔피씨몰텍</t>
  </si>
  <si>
    <t>EA095879</t>
  </si>
  <si>
    <t>엔피씨시팅</t>
  </si>
  <si>
    <t>EA096167</t>
  </si>
  <si>
    <t>엔픽셀</t>
  </si>
  <si>
    <t>EA096026</t>
  </si>
  <si>
    <t>엘브이엠에치코스메틱스(유)</t>
  </si>
  <si>
    <t>EA096686</t>
  </si>
  <si>
    <t>엘아이에스머티리얼즈</t>
  </si>
  <si>
    <t>EA097581</t>
  </si>
  <si>
    <t>엘아이지풍산프로테크</t>
  </si>
  <si>
    <t>EA098924</t>
  </si>
  <si>
    <t>엘에스머트리얼즈</t>
  </si>
  <si>
    <t>EA088596</t>
  </si>
  <si>
    <t>엘에스알스코</t>
  </si>
  <si>
    <t>EA088660</t>
  </si>
  <si>
    <t>엘에스에이홀딩스</t>
  </si>
  <si>
    <t>EA088661</t>
  </si>
  <si>
    <t>엘에스오토모티브테크놀로지스</t>
  </si>
  <si>
    <t>EA094042</t>
  </si>
  <si>
    <t>엘에이치사옥관리</t>
  </si>
  <si>
    <t>EA094458</t>
  </si>
  <si>
    <t>엘에이치주거복지정보</t>
  </si>
  <si>
    <t>엘엑스엠엠에이</t>
  </si>
  <si>
    <t>엘엑스판토스</t>
  </si>
  <si>
    <t>EA099477</t>
  </si>
  <si>
    <t>엘엔피브랜즈</t>
  </si>
  <si>
    <t>EA094319</t>
  </si>
  <si>
    <t>엘오케이(유)</t>
  </si>
  <si>
    <t>EA099894</t>
  </si>
  <si>
    <t>엘오티티에스</t>
  </si>
  <si>
    <t>EA097556</t>
  </si>
  <si>
    <t>엘지마그나이파워트레인</t>
  </si>
  <si>
    <t>EA092892</t>
  </si>
  <si>
    <t>엘지에너지솔루션</t>
  </si>
  <si>
    <t>EA020558</t>
  </si>
  <si>
    <t>엘티메탈(구.희성금속)</t>
  </si>
  <si>
    <t>EA045107</t>
  </si>
  <si>
    <t>엘티소재</t>
  </si>
  <si>
    <t>EA029951</t>
  </si>
  <si>
    <t>엘티엔터테인먼트</t>
  </si>
  <si>
    <t>EA020561</t>
  </si>
  <si>
    <t>엘티정밀</t>
  </si>
  <si>
    <t>EA065449</t>
  </si>
  <si>
    <t>EA085187</t>
  </si>
  <si>
    <t>엠디뮨</t>
  </si>
  <si>
    <t>EA090937</t>
  </si>
  <si>
    <t>엠디헬스케어</t>
  </si>
  <si>
    <t>EA094993</t>
  </si>
  <si>
    <t>엠뷰티</t>
  </si>
  <si>
    <t>EA099256</t>
  </si>
  <si>
    <t>엠비케이파트너스스페셜시튜에이션스</t>
  </si>
  <si>
    <t>EA042659</t>
  </si>
  <si>
    <t>엠소닉</t>
  </si>
  <si>
    <t>EA085588</t>
  </si>
  <si>
    <t>엠에이치앤코</t>
  </si>
  <si>
    <t>EA082261</t>
  </si>
  <si>
    <t>엠에프씨</t>
  </si>
  <si>
    <t>EA099060</t>
  </si>
  <si>
    <t>엠오티</t>
  </si>
  <si>
    <t>EA048556</t>
  </si>
  <si>
    <t>EA099590</t>
  </si>
  <si>
    <t>엠티브이반달섬씨원개발피에프브이</t>
  </si>
  <si>
    <t>EA073019</t>
  </si>
  <si>
    <t>엠티오메가</t>
  </si>
  <si>
    <t>EA091756</t>
  </si>
  <si>
    <t>엠피씨</t>
  </si>
  <si>
    <t>EA098148</t>
  </si>
  <si>
    <t>여수광양항만관리</t>
  </si>
  <si>
    <t>EA093825</t>
  </si>
  <si>
    <t>여우미</t>
  </si>
  <si>
    <t>EA089157</t>
  </si>
  <si>
    <t>여주에너지서비스</t>
  </si>
  <si>
    <t>EA073233</t>
  </si>
  <si>
    <t>영광백수풍력발전</t>
  </si>
  <si>
    <t>EA016522</t>
  </si>
  <si>
    <t>영산콘크리트공업</t>
  </si>
  <si>
    <t>EA088935</t>
  </si>
  <si>
    <t>영신</t>
  </si>
  <si>
    <t>EA064520</t>
  </si>
  <si>
    <t>영인기술</t>
  </si>
  <si>
    <t>EA016555</t>
  </si>
  <si>
    <t>영종아스콘</t>
  </si>
  <si>
    <t>EA095515</t>
  </si>
  <si>
    <t>영종하늘도시2차주택위탁관리부동산투자회사</t>
  </si>
  <si>
    <t>EA050533</t>
  </si>
  <si>
    <t>영창케미칼</t>
  </si>
  <si>
    <t>EA090067</t>
  </si>
  <si>
    <t>영천배기</t>
  </si>
  <si>
    <t>EA090069</t>
  </si>
  <si>
    <t>영천시트</t>
  </si>
  <si>
    <t>EA046106</t>
  </si>
  <si>
    <t>영흥산업환경</t>
  </si>
  <si>
    <t>EA011503</t>
  </si>
  <si>
    <t>예스코이에스</t>
  </si>
  <si>
    <t>EA089237</t>
  </si>
  <si>
    <t>예스코컨설팅</t>
  </si>
  <si>
    <t>EA089094</t>
  </si>
  <si>
    <t>예스파워테크닉스</t>
  </si>
  <si>
    <t>EA098013</t>
  </si>
  <si>
    <t>예스히팅테크닉스</t>
  </si>
  <si>
    <t>EA029452</t>
  </si>
  <si>
    <t>오드펠터미널코리아</t>
  </si>
  <si>
    <t>EA097468</t>
  </si>
  <si>
    <t>오뚜기라면지주</t>
  </si>
  <si>
    <t>EA092849</t>
  </si>
  <si>
    <t>오뚜기물류서비스</t>
  </si>
  <si>
    <t>EA025467</t>
  </si>
  <si>
    <t>오뚜기물류서비스지주</t>
  </si>
  <si>
    <t>EA079982</t>
  </si>
  <si>
    <t>오뚜기에스에프</t>
  </si>
  <si>
    <t>EA088549</t>
  </si>
  <si>
    <t>오뚜기제유</t>
  </si>
  <si>
    <t>EA096188</t>
  </si>
  <si>
    <t>오리엔트플라스틱</t>
  </si>
  <si>
    <t>EA088624</t>
  </si>
  <si>
    <t>오리온제주용암수</t>
  </si>
  <si>
    <t>EA096521</t>
  </si>
  <si>
    <t>오브젠</t>
  </si>
  <si>
    <t>EA041710</t>
  </si>
  <si>
    <t>EA093397</t>
  </si>
  <si>
    <t>오설록</t>
  </si>
  <si>
    <t>EA093515</t>
  </si>
  <si>
    <t>오션</t>
  </si>
  <si>
    <t>EA092968</t>
  </si>
  <si>
    <t>오스템파마</t>
  </si>
  <si>
    <t>EA090942</t>
  </si>
  <si>
    <t>오아</t>
  </si>
  <si>
    <t>EA093069</t>
  </si>
  <si>
    <t>오에스피</t>
  </si>
  <si>
    <t>EA088737</t>
  </si>
  <si>
    <t>EA094872</t>
  </si>
  <si>
    <t>오텍오티스파킹시스템유한회사</t>
  </si>
  <si>
    <t>EA095254</t>
  </si>
  <si>
    <t>오텍캐리어냉장유한회사</t>
  </si>
  <si>
    <t>EA097585</t>
  </si>
  <si>
    <t>오토소프트</t>
  </si>
  <si>
    <t>EA074153</t>
  </si>
  <si>
    <t>EA098114</t>
  </si>
  <si>
    <t>오픈엣지테크놀로지</t>
  </si>
  <si>
    <t>EA088909</t>
  </si>
  <si>
    <t>온코크로스</t>
  </si>
  <si>
    <t>EA028305</t>
  </si>
  <si>
    <t>올림푸스한국</t>
  </si>
  <si>
    <t>EA097931</t>
  </si>
  <si>
    <t>올림플래닛</t>
  </si>
  <si>
    <t>EA092325</t>
  </si>
  <si>
    <t>옵토레인</t>
  </si>
  <si>
    <t>EA062970</t>
  </si>
  <si>
    <t>옵티멀에너지서비스</t>
  </si>
  <si>
    <t>EA093628</t>
  </si>
  <si>
    <t>옵티코어</t>
  </si>
  <si>
    <t>EA089238</t>
  </si>
  <si>
    <t>와디즈</t>
  </si>
  <si>
    <t>EA093635</t>
  </si>
  <si>
    <t>와디즈파이낸스</t>
  </si>
  <si>
    <t>EA085786</t>
  </si>
  <si>
    <t>와우벤처스</t>
  </si>
  <si>
    <t>EA072503</t>
  </si>
  <si>
    <t>EA099965</t>
  </si>
  <si>
    <t>와이랩</t>
  </si>
  <si>
    <t>EA099400</t>
  </si>
  <si>
    <t>와이브레인</t>
  </si>
  <si>
    <t>EA087806</t>
  </si>
  <si>
    <t>와이시너지</t>
  </si>
  <si>
    <t>EA021471</t>
  </si>
  <si>
    <t>와이어트</t>
  </si>
  <si>
    <t>EA084860</t>
  </si>
  <si>
    <t>와이컴</t>
  </si>
  <si>
    <t>EA093138</t>
  </si>
  <si>
    <t>와이케이스틸</t>
  </si>
  <si>
    <t>EA098228</t>
  </si>
  <si>
    <t>와이티엔플러스</t>
  </si>
  <si>
    <t>EA095202</t>
  </si>
  <si>
    <t>왓챠</t>
  </si>
  <si>
    <t>EA093059</t>
  </si>
  <si>
    <t>용현컨소시엄</t>
  </si>
  <si>
    <t>EA084684</t>
  </si>
  <si>
    <t>우당기술산업</t>
  </si>
  <si>
    <t>EA090458</t>
  </si>
  <si>
    <t>우리에프앤지</t>
  </si>
  <si>
    <t>EA094248</t>
  </si>
  <si>
    <t>우리엔</t>
  </si>
  <si>
    <t>EA097622</t>
  </si>
  <si>
    <t>EA013926</t>
  </si>
  <si>
    <t>우신세이프티시스템</t>
  </si>
  <si>
    <t>EA095313</t>
  </si>
  <si>
    <t>우아한청년들</t>
  </si>
  <si>
    <t>EA073508</t>
  </si>
  <si>
    <t>우아한형제들</t>
  </si>
  <si>
    <t>EA096030</t>
  </si>
  <si>
    <t>우진홀딩스</t>
  </si>
  <si>
    <t>EA092939</t>
  </si>
  <si>
    <t>울릉샘물</t>
  </si>
  <si>
    <t>EA048588</t>
  </si>
  <si>
    <t>EA061041</t>
  </si>
  <si>
    <t>워트</t>
  </si>
  <si>
    <t>EA069877</t>
  </si>
  <si>
    <t>원더플레이스</t>
  </si>
  <si>
    <t>EA075867</t>
  </si>
  <si>
    <t>EA093271</t>
  </si>
  <si>
    <t>원방삼현</t>
  </si>
  <si>
    <t>EA041793</t>
  </si>
  <si>
    <t>원일티엔아이</t>
  </si>
  <si>
    <t>EA096124</t>
  </si>
  <si>
    <t>EA094019</t>
  </si>
  <si>
    <t>원창포장공업</t>
  </si>
  <si>
    <t>EA060788</t>
  </si>
  <si>
    <t>원택</t>
  </si>
  <si>
    <t>EA085480</t>
  </si>
  <si>
    <t>원투씨엠</t>
  </si>
  <si>
    <t>EA094393</t>
  </si>
  <si>
    <t>EA094284</t>
  </si>
  <si>
    <t>EA084656</t>
  </si>
  <si>
    <t>웨이비스</t>
  </si>
  <si>
    <t>EA089791</t>
  </si>
  <si>
    <t>웰마커바이오</t>
  </si>
  <si>
    <t>EA098003</t>
  </si>
  <si>
    <t>웹젠레드코어</t>
  </si>
  <si>
    <t>EA076865</t>
  </si>
  <si>
    <t>위너스</t>
  </si>
  <si>
    <t>EA098505</t>
  </si>
  <si>
    <t>위너웰</t>
  </si>
  <si>
    <t>EA064952</t>
  </si>
  <si>
    <t>EA093130</t>
  </si>
  <si>
    <t>위메이드넥스트</t>
  </si>
  <si>
    <t>위메이드엑스알</t>
  </si>
  <si>
    <t>위메이드커넥트</t>
  </si>
  <si>
    <t>EA095277</t>
  </si>
  <si>
    <t>위버스컴퍼니</t>
  </si>
  <si>
    <t>EA097028</t>
  </si>
  <si>
    <t>위워크서울1호유한회사</t>
  </si>
  <si>
    <t>EA097029</t>
  </si>
  <si>
    <t>위워크서울2호유한회사</t>
  </si>
  <si>
    <t>EA097030</t>
  </si>
  <si>
    <t>위워크서울3호유한회사</t>
  </si>
  <si>
    <t>EA097031</t>
  </si>
  <si>
    <t>위워크서울4호유한회사</t>
  </si>
  <si>
    <t>EA097032</t>
  </si>
  <si>
    <t>위워크코리아유한회사</t>
  </si>
  <si>
    <t>EA094998</t>
  </si>
  <si>
    <t>위즈베라</t>
  </si>
  <si>
    <t>EA092964</t>
  </si>
  <si>
    <t>위츠</t>
  </si>
  <si>
    <t>EA096531</t>
  </si>
  <si>
    <t>위클리웨어</t>
  </si>
  <si>
    <t>EA073001</t>
  </si>
  <si>
    <t>윈플러스마트</t>
  </si>
  <si>
    <t>EA070635</t>
  </si>
  <si>
    <t>윈플러스마트남부</t>
  </si>
  <si>
    <t>EA088832</t>
  </si>
  <si>
    <t>윈플러스마트동부</t>
  </si>
  <si>
    <t>EA049466</t>
  </si>
  <si>
    <t>윌비에스엔티</t>
  </si>
  <si>
    <t>EA099876</t>
  </si>
  <si>
    <t>윌패션</t>
  </si>
  <si>
    <t>EA058531</t>
  </si>
  <si>
    <t>윙스풋</t>
  </si>
  <si>
    <t>EA016884</t>
  </si>
  <si>
    <t>유나이티드인터팜</t>
  </si>
  <si>
    <t>EA064263</t>
  </si>
  <si>
    <t>유니슨에이치케이알</t>
  </si>
  <si>
    <t>EA015544</t>
  </si>
  <si>
    <t>유니원</t>
  </si>
  <si>
    <t>EA093777</t>
  </si>
  <si>
    <t>유니파이</t>
  </si>
  <si>
    <t>EA016910</t>
  </si>
  <si>
    <t>유도</t>
  </si>
  <si>
    <t>EA027043</t>
  </si>
  <si>
    <t>유베이스</t>
  </si>
  <si>
    <t>EA085414</t>
  </si>
  <si>
    <t>유비머트리얼즈</t>
  </si>
  <si>
    <t>EA099834</t>
  </si>
  <si>
    <t>유유헬스케어</t>
  </si>
  <si>
    <t>EA078456</t>
  </si>
  <si>
    <t>EA089053</t>
  </si>
  <si>
    <t>EA090281</t>
  </si>
  <si>
    <t>유진디랩</t>
  </si>
  <si>
    <t>유진레저</t>
  </si>
  <si>
    <t>유진로지스틱스</t>
  </si>
  <si>
    <t>EA093704</t>
  </si>
  <si>
    <t>유진에이엠씨유한회사</t>
  </si>
  <si>
    <t>유진판지</t>
  </si>
  <si>
    <t>유진한일합섬</t>
  </si>
  <si>
    <t>EA091834</t>
  </si>
  <si>
    <t>유진홈센터</t>
  </si>
  <si>
    <t>EA038936</t>
  </si>
  <si>
    <t>유코카캐리어스</t>
  </si>
  <si>
    <t>EA097540</t>
  </si>
  <si>
    <t>유플러스홈서비스</t>
  </si>
  <si>
    <t>EA095041</t>
  </si>
  <si>
    <t>유한건강생활</t>
  </si>
  <si>
    <t>유한회사코캄</t>
  </si>
  <si>
    <t>EA064120</t>
  </si>
  <si>
    <t>윤성에프앤씨</t>
  </si>
  <si>
    <t>EA098373</t>
  </si>
  <si>
    <t>윤앤플락</t>
  </si>
  <si>
    <t>EA089815</t>
  </si>
  <si>
    <t>이감</t>
  </si>
  <si>
    <t>EA057922</t>
  </si>
  <si>
    <t>이건그린텍</t>
  </si>
  <si>
    <t>이네스트</t>
  </si>
  <si>
    <t>EA080831</t>
  </si>
  <si>
    <t>이노6</t>
  </si>
  <si>
    <t>EA056995</t>
  </si>
  <si>
    <t>이노그리드</t>
  </si>
  <si>
    <t>EA092289</t>
  </si>
  <si>
    <t>이노룰스</t>
  </si>
  <si>
    <t>EA089543</t>
  </si>
  <si>
    <t>이노코스텍</t>
  </si>
  <si>
    <t>EA093451</t>
  </si>
  <si>
    <t>이노파우더</t>
  </si>
  <si>
    <t>EA044549</t>
  </si>
  <si>
    <t>이노폴리텍</t>
  </si>
  <si>
    <t>EA093837</t>
  </si>
  <si>
    <t>이누스</t>
  </si>
  <si>
    <t>EA099764</t>
  </si>
  <si>
    <t>이누인터내셔날</t>
  </si>
  <si>
    <t>EA090255</t>
  </si>
  <si>
    <t>이니바이오</t>
  </si>
  <si>
    <t>EA099034</t>
  </si>
  <si>
    <t>이담엔터테인먼트</t>
  </si>
  <si>
    <t>EA093120</t>
  </si>
  <si>
    <t>이더블유피서비스</t>
  </si>
  <si>
    <t>EA073472</t>
  </si>
  <si>
    <t>이도</t>
  </si>
  <si>
    <t>EA096532</t>
  </si>
  <si>
    <t>이도블루인천</t>
  </si>
  <si>
    <t>이도헬스케어</t>
  </si>
  <si>
    <t>EA093106</t>
  </si>
  <si>
    <t>이랜드이노플</t>
  </si>
  <si>
    <t>EA089741</t>
  </si>
  <si>
    <t>이랜드이츠</t>
  </si>
  <si>
    <t>EA089037</t>
  </si>
  <si>
    <t>이랜드테마파크제주</t>
  </si>
  <si>
    <t>EA092826</t>
  </si>
  <si>
    <t>EA089086</t>
  </si>
  <si>
    <t>이뮤니스바이오</t>
  </si>
  <si>
    <t>EA100174</t>
  </si>
  <si>
    <t>이비이여수</t>
  </si>
  <si>
    <t>EA076535</t>
  </si>
  <si>
    <t>EA097242</t>
  </si>
  <si>
    <t>이솝코리아유한회사</t>
  </si>
  <si>
    <t>EA074276</t>
  </si>
  <si>
    <t>이스트게임즈</t>
  </si>
  <si>
    <t>EA080731</t>
  </si>
  <si>
    <t>이스트베이</t>
  </si>
  <si>
    <t>EA088722</t>
  </si>
  <si>
    <t>이스트시큐리티</t>
  </si>
  <si>
    <t>EA099623</t>
  </si>
  <si>
    <t>이스페이스인베스텍</t>
  </si>
  <si>
    <t>EA088837</t>
  </si>
  <si>
    <t>이앤씨월드</t>
  </si>
  <si>
    <t>EA101189</t>
  </si>
  <si>
    <t>이앤에스헬스케어</t>
  </si>
  <si>
    <t>EA097451</t>
  </si>
  <si>
    <t>이에스알켄달스퀘어에셋1호위탁관리부동산투자회사</t>
  </si>
  <si>
    <t>EA092643</t>
  </si>
  <si>
    <t>이에스알켄달스퀘어위탁관리부동산투자회사</t>
  </si>
  <si>
    <t>EA094011</t>
  </si>
  <si>
    <t>이에이트</t>
  </si>
  <si>
    <t>EA098328</t>
  </si>
  <si>
    <t>이엔셀</t>
  </si>
  <si>
    <t>EA057786</t>
  </si>
  <si>
    <t>이엔에이치</t>
  </si>
  <si>
    <t>EA028253</t>
  </si>
  <si>
    <t>EA041698</t>
  </si>
  <si>
    <t>이엠네트웍스</t>
  </si>
  <si>
    <t>이오</t>
  </si>
  <si>
    <t>EA099916</t>
  </si>
  <si>
    <t>이웰</t>
  </si>
  <si>
    <t>EA075166</t>
  </si>
  <si>
    <t>이이더불유케이에이치피시</t>
  </si>
  <si>
    <t>EA030319</t>
  </si>
  <si>
    <t>이이더불유코리아</t>
  </si>
  <si>
    <t>EA092823</t>
  </si>
  <si>
    <t>이지스글로벌위탁관리부동산투자회사</t>
  </si>
  <si>
    <t>EA092618</t>
  </si>
  <si>
    <t>이지스레지던스위탁관리부동산투자회사</t>
  </si>
  <si>
    <t>EA065698</t>
  </si>
  <si>
    <t>이지켐</t>
  </si>
  <si>
    <t>EA056553</t>
  </si>
  <si>
    <t>이지테크</t>
  </si>
  <si>
    <t>EA101219</t>
  </si>
  <si>
    <t>이지템</t>
  </si>
  <si>
    <t>EA076591</t>
  </si>
  <si>
    <t>EA095070</t>
  </si>
  <si>
    <t>이지티엠</t>
  </si>
  <si>
    <t>이크루즈</t>
  </si>
  <si>
    <t>EA093196</t>
  </si>
  <si>
    <t>이포즌</t>
  </si>
  <si>
    <t>이피엔워터</t>
  </si>
  <si>
    <t>EA062322</t>
  </si>
  <si>
    <t>익수제약</t>
  </si>
  <si>
    <t>EA097050</t>
  </si>
  <si>
    <t>인디텍스바스트고드코리아유한회사</t>
  </si>
  <si>
    <t>EA017105</t>
  </si>
  <si>
    <t>EA094550</t>
  </si>
  <si>
    <t>인벤티지랩</t>
  </si>
  <si>
    <t>EA093805</t>
  </si>
  <si>
    <t>인스그린</t>
  </si>
  <si>
    <t>EA051291</t>
  </si>
  <si>
    <t>인지소프트</t>
  </si>
  <si>
    <t>EA097291</t>
  </si>
  <si>
    <t>인지어스유한회사</t>
  </si>
  <si>
    <t>EA088766</t>
  </si>
  <si>
    <t>인천공항시설관리</t>
  </si>
  <si>
    <t>EA094999</t>
  </si>
  <si>
    <t>인천공항운영서비스</t>
  </si>
  <si>
    <t>EA098426</t>
  </si>
  <si>
    <t>인천국제공항보안</t>
  </si>
  <si>
    <t>EA088928</t>
  </si>
  <si>
    <t>인천연료전지</t>
  </si>
  <si>
    <t>EA052443</t>
  </si>
  <si>
    <t>인천항보안공사</t>
  </si>
  <si>
    <t>EA093486</t>
  </si>
  <si>
    <t>인크루트</t>
  </si>
  <si>
    <t>EA094555</t>
  </si>
  <si>
    <t>인터지스웅동센터</t>
  </si>
  <si>
    <t>EA017771</t>
  </si>
  <si>
    <t>인터지스중앙부두</t>
  </si>
  <si>
    <t>인터코스코리아</t>
  </si>
  <si>
    <t>EA093088</t>
  </si>
  <si>
    <t>인터파크로지스틱스</t>
  </si>
  <si>
    <t>EA063130</t>
  </si>
  <si>
    <t>인텔렉추얼디스커버리</t>
  </si>
  <si>
    <t>EA088595</t>
  </si>
  <si>
    <t>인투셀</t>
  </si>
  <si>
    <t>EA050985</t>
  </si>
  <si>
    <t>인피니언테크놀로지스코리아유한회사</t>
  </si>
  <si>
    <t>EA092929</t>
  </si>
  <si>
    <t>인피닉</t>
  </si>
  <si>
    <t>EA091014</t>
  </si>
  <si>
    <t>EA096758</t>
  </si>
  <si>
    <t>일승산업</t>
  </si>
  <si>
    <t>EA059401</t>
  </si>
  <si>
    <t>일양바이오팜</t>
  </si>
  <si>
    <t>EA097051</t>
  </si>
  <si>
    <t>자라홈코리아</t>
  </si>
  <si>
    <t>EA097623</t>
  </si>
  <si>
    <t>자이씨앤에이</t>
  </si>
  <si>
    <t>자일자동차</t>
  </si>
  <si>
    <t>EA089202</t>
  </si>
  <si>
    <t>잼팟</t>
  </si>
  <si>
    <t>EA089885</t>
  </si>
  <si>
    <t>저스템</t>
  </si>
  <si>
    <t>EA094003</t>
  </si>
  <si>
    <t>저스트코코리아온쇼어유한회사</t>
  </si>
  <si>
    <t>전진건설로봇</t>
  </si>
  <si>
    <t>EA080852</t>
  </si>
  <si>
    <t>정암풍력발전</t>
  </si>
  <si>
    <t>EA017999</t>
  </si>
  <si>
    <t>EA089017</t>
  </si>
  <si>
    <t>제너럴브랜즈</t>
  </si>
  <si>
    <t>제네시스디벨롭먼트홀딩스</t>
  </si>
  <si>
    <t>EA068722</t>
  </si>
  <si>
    <t>EA097178</t>
  </si>
  <si>
    <t>제스프리인터내셔날코리아(유)</t>
  </si>
  <si>
    <t>EA018512</t>
  </si>
  <si>
    <t>제이더블유생활건강</t>
  </si>
  <si>
    <t>EA057542</t>
  </si>
  <si>
    <t>제이디씨예래리조트</t>
  </si>
  <si>
    <t>EA093602</t>
  </si>
  <si>
    <t>제이디씨파트너스</t>
  </si>
  <si>
    <t>EA062994</t>
  </si>
  <si>
    <t>제이씨패밀리</t>
  </si>
  <si>
    <t>EA088867</t>
  </si>
  <si>
    <t>제이아이테크</t>
  </si>
  <si>
    <t>EA088580</t>
  </si>
  <si>
    <t>제이알글로벌위탁관리부동산투자회사</t>
  </si>
  <si>
    <t>EA092790</t>
  </si>
  <si>
    <t>제이알제26호위탁관리부동산투자회사</t>
  </si>
  <si>
    <t>EA072718</t>
  </si>
  <si>
    <t>제이에스글로벌</t>
  </si>
  <si>
    <t>EA091175</t>
  </si>
  <si>
    <t>제이에스시티개발</t>
  </si>
  <si>
    <t>제이오알알앤디</t>
  </si>
  <si>
    <t>EA052478</t>
  </si>
  <si>
    <t>제이월드</t>
  </si>
  <si>
    <t>EA093685</t>
  </si>
  <si>
    <t>제이콘텐트리스튜디오</t>
  </si>
  <si>
    <t>EA090493</t>
  </si>
  <si>
    <t>제이투에이치바이오텍</t>
  </si>
  <si>
    <t>EA099827</t>
  </si>
  <si>
    <t>제이투케이바이오</t>
  </si>
  <si>
    <t>EA090323</t>
  </si>
  <si>
    <t>EA064603</t>
  </si>
  <si>
    <t>제이티비씨</t>
  </si>
  <si>
    <t>EA084856</t>
  </si>
  <si>
    <t>제일에프에이</t>
  </si>
  <si>
    <t>EA054714</t>
  </si>
  <si>
    <t>제일종합관리서비스</t>
  </si>
  <si>
    <t>EA080226</t>
  </si>
  <si>
    <t>EA089879</t>
  </si>
  <si>
    <t>제주한림해상풍력</t>
  </si>
  <si>
    <t>EA060569</t>
  </si>
  <si>
    <t>제주해양과학관</t>
  </si>
  <si>
    <t>EA098029</t>
  </si>
  <si>
    <t>젠시스</t>
  </si>
  <si>
    <t>EA090805</t>
  </si>
  <si>
    <t>젠트로그룹</t>
  </si>
  <si>
    <t>EA062898</t>
  </si>
  <si>
    <t>조선내화이엔지</t>
  </si>
  <si>
    <t>조선호텔앤리조트</t>
  </si>
  <si>
    <t>EA018499</t>
  </si>
  <si>
    <t>조이렌트카</t>
  </si>
  <si>
    <t>EA089298</t>
  </si>
  <si>
    <t>조인디앤아이</t>
  </si>
  <si>
    <t>EA063616</t>
  </si>
  <si>
    <t>주)프레시원중부</t>
  </si>
  <si>
    <t>EA093273</t>
  </si>
  <si>
    <t>준성하이테크</t>
  </si>
  <si>
    <t>EA093117</t>
  </si>
  <si>
    <t>중부발전서비스</t>
  </si>
  <si>
    <t>EA078122</t>
  </si>
  <si>
    <t>중원</t>
  </si>
  <si>
    <t>중원신소재</t>
  </si>
  <si>
    <t>EA089636</t>
  </si>
  <si>
    <t>즐거운쇼핑</t>
  </si>
  <si>
    <t>EA095402</t>
  </si>
  <si>
    <t>EA097397</t>
  </si>
  <si>
    <t>지멘스에너지유한회사</t>
  </si>
  <si>
    <t>EA096398</t>
  </si>
  <si>
    <t>지수앤화인테크</t>
  </si>
  <si>
    <t>EA051542</t>
  </si>
  <si>
    <t>EA069723</t>
  </si>
  <si>
    <t>지씨감포</t>
  </si>
  <si>
    <t>EA041625</t>
  </si>
  <si>
    <t>지씨경남</t>
  </si>
  <si>
    <t>EA069722</t>
  </si>
  <si>
    <t>지씨구미</t>
  </si>
  <si>
    <t>EA017500</t>
  </si>
  <si>
    <t>지씨선산</t>
  </si>
  <si>
    <t>EA041937</t>
  </si>
  <si>
    <t>지씨순천</t>
  </si>
  <si>
    <t>EA089170</t>
  </si>
  <si>
    <t>지씨엠</t>
  </si>
  <si>
    <t>EA046908</t>
  </si>
  <si>
    <t>지씨진천</t>
  </si>
  <si>
    <t>EA093710</t>
  </si>
  <si>
    <t>지아이바이옴</t>
  </si>
  <si>
    <t>EA098329</t>
  </si>
  <si>
    <t>지아이셀</t>
  </si>
  <si>
    <t>EA090620</t>
  </si>
  <si>
    <t>지아이이노베이션</t>
  </si>
  <si>
    <t>EA086886</t>
  </si>
  <si>
    <t>EA028889</t>
  </si>
  <si>
    <t>지아이티</t>
  </si>
  <si>
    <t>EA066337</t>
  </si>
  <si>
    <t>EA089729</t>
  </si>
  <si>
    <t>지에스네트웍스</t>
  </si>
  <si>
    <t>EA042874</t>
  </si>
  <si>
    <t>지에스텔레서비스</t>
  </si>
  <si>
    <t>EA038635</t>
  </si>
  <si>
    <t>지에프퍼멘텍</t>
  </si>
  <si>
    <t>EA043334</t>
  </si>
  <si>
    <t>지엔티파마</t>
  </si>
  <si>
    <t>지엘파마</t>
  </si>
  <si>
    <t>EA092895</t>
  </si>
  <si>
    <t>지엠비엘피스</t>
  </si>
  <si>
    <t>EA089926</t>
  </si>
  <si>
    <t>지엠피글로벌</t>
  </si>
  <si>
    <t>EA094512</t>
  </si>
  <si>
    <t>지역난방안전</t>
  </si>
  <si>
    <t>EA026445</t>
  </si>
  <si>
    <t>지오다노</t>
  </si>
  <si>
    <t>EA051503</t>
  </si>
  <si>
    <t>EA051410</t>
  </si>
  <si>
    <t>지유온</t>
  </si>
  <si>
    <t>EA082630</t>
  </si>
  <si>
    <t>지이</t>
  </si>
  <si>
    <t>EA099906</t>
  </si>
  <si>
    <t>지이모션</t>
  </si>
  <si>
    <t>EA094252</t>
  </si>
  <si>
    <t>지케이엘위드</t>
  </si>
  <si>
    <t>EA096999</t>
  </si>
  <si>
    <t>EA096084</t>
  </si>
  <si>
    <t>지티아이디</t>
  </si>
  <si>
    <t>EA095563</t>
  </si>
  <si>
    <t>지티아이솔루션스코리아</t>
  </si>
  <si>
    <t>EA085118</t>
  </si>
  <si>
    <t>지플러스생명과학</t>
  </si>
  <si>
    <t>EA080115</t>
  </si>
  <si>
    <t>지피씨알</t>
  </si>
  <si>
    <t>EA076890</t>
  </si>
  <si>
    <t>지피아이</t>
  </si>
  <si>
    <t>EA094255</t>
  </si>
  <si>
    <t>EA059438</t>
  </si>
  <si>
    <t>EA095188</t>
  </si>
  <si>
    <t>진전기</t>
  </si>
  <si>
    <t>EA093003</t>
  </si>
  <si>
    <t>진캐스트</t>
  </si>
  <si>
    <t>EA076935</t>
  </si>
  <si>
    <t>EA063188</t>
  </si>
  <si>
    <t>차이커뮤니케이션</t>
  </si>
  <si>
    <t>EA039422</t>
  </si>
  <si>
    <t>창원컨트리클럽</t>
  </si>
  <si>
    <t>EA099601</t>
  </si>
  <si>
    <t>천안북부일반산업단지</t>
  </si>
  <si>
    <t>EA097208</t>
  </si>
  <si>
    <t>EA095200</t>
  </si>
  <si>
    <t>초록뱀푸드팜</t>
  </si>
  <si>
    <t>카나리아바이오</t>
  </si>
  <si>
    <t>EA095654</t>
  </si>
  <si>
    <t>카이트버드코리아유한회사</t>
  </si>
  <si>
    <t>EA088725</t>
  </si>
  <si>
    <t>카일룸디앤디</t>
  </si>
  <si>
    <t>EA090351</t>
  </si>
  <si>
    <t>카카오스타일</t>
  </si>
  <si>
    <t>카카오스페이스</t>
  </si>
  <si>
    <t>카카오엔터테인먼트</t>
  </si>
  <si>
    <t>EA093343</t>
  </si>
  <si>
    <t>카카오엔터프라이즈</t>
  </si>
  <si>
    <t>EA088597</t>
  </si>
  <si>
    <t>카카오엠</t>
  </si>
  <si>
    <t>EA086998</t>
  </si>
  <si>
    <t>카테노이드</t>
  </si>
  <si>
    <t>캐논코리아</t>
  </si>
  <si>
    <t>EA088630</t>
  </si>
  <si>
    <t>캠시스글로벌</t>
  </si>
  <si>
    <t>EA090587</t>
  </si>
  <si>
    <t>캠코시설관리</t>
  </si>
  <si>
    <t>EA075962</t>
  </si>
  <si>
    <t>컬리</t>
  </si>
  <si>
    <t>EA092537</t>
  </si>
  <si>
    <t>컴버스테크</t>
  </si>
  <si>
    <t>컴투스플랫폼</t>
  </si>
  <si>
    <t>EA088882</t>
  </si>
  <si>
    <t>컴파트너스</t>
  </si>
  <si>
    <t>EA038597</t>
  </si>
  <si>
    <t>케미그라스</t>
  </si>
  <si>
    <t>EA093622</t>
  </si>
  <si>
    <t>케이더블유북스</t>
  </si>
  <si>
    <t>EA094865</t>
  </si>
  <si>
    <t>케이디비비즈</t>
  </si>
  <si>
    <t>케이디지엠텍</t>
  </si>
  <si>
    <t>EA054197</t>
  </si>
  <si>
    <t>케이리츠투자운용</t>
  </si>
  <si>
    <t>EA092587</t>
  </si>
  <si>
    <t>케이박스</t>
  </si>
  <si>
    <t>EA094800</t>
  </si>
  <si>
    <t>케이브이머티리얼즈</t>
  </si>
  <si>
    <t>EA093752</t>
  </si>
  <si>
    <t>케이씨그린에너지</t>
  </si>
  <si>
    <t>EA053584</t>
  </si>
  <si>
    <t>케이씨솔라에너지</t>
  </si>
  <si>
    <t>EA093267</t>
  </si>
  <si>
    <t>케이씨씨실리콘</t>
  </si>
  <si>
    <t>EA099385</t>
  </si>
  <si>
    <t>케이씨유리자원</t>
  </si>
  <si>
    <t>EA080120</t>
  </si>
  <si>
    <t>케이씨인더스트리얼</t>
  </si>
  <si>
    <t>EA093368</t>
  </si>
  <si>
    <t>케이아이티</t>
  </si>
  <si>
    <t>EA093180</t>
  </si>
  <si>
    <t>케이앤웍스</t>
  </si>
  <si>
    <t>EA083007</t>
  </si>
  <si>
    <t>케이앤케이</t>
  </si>
  <si>
    <t>EA088698</t>
  </si>
  <si>
    <t>케이앤티로지스틱스</t>
  </si>
  <si>
    <t>EA018581</t>
  </si>
  <si>
    <t>케이에스넷</t>
  </si>
  <si>
    <t>EA089842</t>
  </si>
  <si>
    <t>케이에이씨공항서비스</t>
  </si>
  <si>
    <t>EA098945</t>
  </si>
  <si>
    <t>케이엠솔루션</t>
  </si>
  <si>
    <t>EA098873</t>
  </si>
  <si>
    <t>케이엠식스</t>
  </si>
  <si>
    <t>케이이씨디바이스</t>
  </si>
  <si>
    <t>EA061111</t>
  </si>
  <si>
    <t>케이이티솔루션</t>
  </si>
  <si>
    <t>EA097471</t>
  </si>
  <si>
    <t>케이잼</t>
  </si>
  <si>
    <t>EA093734</t>
  </si>
  <si>
    <t>케이제이금융</t>
  </si>
  <si>
    <t>케이조선</t>
  </si>
  <si>
    <t>케이지지엔에스</t>
  </si>
  <si>
    <t>EA047832</t>
  </si>
  <si>
    <t>케이지할리스에프앤비</t>
  </si>
  <si>
    <t>EA084985</t>
  </si>
  <si>
    <t>EA099031</t>
  </si>
  <si>
    <t>케이투더블유인베스트먼트</t>
  </si>
  <si>
    <t>케이티엔지니어링</t>
  </si>
  <si>
    <t>EA090905</t>
  </si>
  <si>
    <t>케이티엠오에스남부</t>
  </si>
  <si>
    <t>EA090462</t>
  </si>
  <si>
    <t>케이티엠오에스북부</t>
  </si>
  <si>
    <t>EA088687</t>
  </si>
  <si>
    <t>케이피제이</t>
  </si>
  <si>
    <t>EA064206</t>
  </si>
  <si>
    <t>켐옵틱스</t>
  </si>
  <si>
    <t>켑코솔라</t>
  </si>
  <si>
    <t>켑코이에스</t>
  </si>
  <si>
    <t>EA048633</t>
  </si>
  <si>
    <t>코난테크놀로지</t>
  </si>
  <si>
    <t>EA092577</t>
  </si>
  <si>
    <t>코람코가치부가형부동산제2의1호위탁관리자부동산투자회사</t>
  </si>
  <si>
    <t>EA092578</t>
  </si>
  <si>
    <t>코람코가치부가형부동산제2의2호위탁관리부동산투자회사</t>
  </si>
  <si>
    <t>EA092792</t>
  </si>
  <si>
    <t>코람코가치부가형부동산제2의3호위탁관리자부동산투자회사</t>
  </si>
  <si>
    <t>EA089962</t>
  </si>
  <si>
    <t>코람코가치부가형부동산제2호위탁관리모부동산투자회사</t>
  </si>
  <si>
    <t>EA097421</t>
  </si>
  <si>
    <t>코람코가치투자부동산제3의1호위탁관리자부동산투자회사</t>
  </si>
  <si>
    <t>EA097422</t>
  </si>
  <si>
    <t>코람코가치투자부동산제3의2호위탁관리자부동산투자회사</t>
  </si>
  <si>
    <t>EA097245</t>
  </si>
  <si>
    <t>코람코가치투자부동산제3호위탁관리모부동산투자회사</t>
  </si>
  <si>
    <t>EA075742</t>
  </si>
  <si>
    <t>코람코더원위탁관리부동산투자회사</t>
  </si>
  <si>
    <t>EA092650</t>
  </si>
  <si>
    <t>코람코에너지플러스위탁관리부동산투자회사</t>
  </si>
  <si>
    <t>EA100055</t>
  </si>
  <si>
    <t>코레이트투자운용</t>
  </si>
  <si>
    <t>EA066588</t>
  </si>
  <si>
    <t>코리아미카사</t>
  </si>
  <si>
    <t>EA068974</t>
  </si>
  <si>
    <t>코리아에너지발전소</t>
  </si>
  <si>
    <t>EA097440</t>
  </si>
  <si>
    <t>코리아에너지터미널</t>
  </si>
  <si>
    <t>EA058133</t>
  </si>
  <si>
    <t>코마스인터렉티브</t>
  </si>
  <si>
    <t>EA093173</t>
  </si>
  <si>
    <t>코셈</t>
  </si>
  <si>
    <t>EA093570</t>
  </si>
  <si>
    <t>코스맥스이스트</t>
  </si>
  <si>
    <t>코스맥스파마</t>
  </si>
  <si>
    <t>EA012410</t>
  </si>
  <si>
    <t>코스텍시스</t>
  </si>
  <si>
    <t>EA093496</t>
  </si>
  <si>
    <t>코스포서비스</t>
  </si>
  <si>
    <t>EA093644</t>
  </si>
  <si>
    <t>코어라인소프트</t>
  </si>
  <si>
    <t>EA093129</t>
  </si>
  <si>
    <t>코엔서비스</t>
  </si>
  <si>
    <t>EA050872</t>
  </si>
  <si>
    <t>EA094368</t>
  </si>
  <si>
    <t>코오롱바이오텍</t>
  </si>
  <si>
    <t>EA093226</t>
  </si>
  <si>
    <t>코오롱오토케어서비스</t>
  </si>
  <si>
    <t>EA089878</t>
  </si>
  <si>
    <t>코오롱화이버</t>
  </si>
  <si>
    <t>EA097464</t>
  </si>
  <si>
    <t>코웍스</t>
  </si>
  <si>
    <t>코웨이엔텍</t>
  </si>
  <si>
    <t>EA092844</t>
  </si>
  <si>
    <t>코웨포서비스</t>
  </si>
  <si>
    <t>EA098487</t>
  </si>
  <si>
    <t>코크레인에스피씨</t>
  </si>
  <si>
    <t>EA048531</t>
  </si>
  <si>
    <t>코템</t>
  </si>
  <si>
    <t>EA097039</t>
  </si>
  <si>
    <t>코포스</t>
  </si>
  <si>
    <t>EA096432</t>
  </si>
  <si>
    <t>콕스</t>
  </si>
  <si>
    <t>EA093135</t>
  </si>
  <si>
    <t>콘티넨탈타이어코리아유한회사</t>
  </si>
  <si>
    <t>EA096359</t>
  </si>
  <si>
    <t>콘티테크플루이드코리아</t>
  </si>
  <si>
    <t>EA038770</t>
  </si>
  <si>
    <t>콤텍정보통신</t>
  </si>
  <si>
    <t>EA099317</t>
  </si>
  <si>
    <t>콩스튜디오코리아</t>
  </si>
  <si>
    <t>EA071708</t>
  </si>
  <si>
    <t>쿠첸</t>
  </si>
  <si>
    <t>EA096427</t>
  </si>
  <si>
    <t>쿠팡풀필먼트서비스유한회사</t>
  </si>
  <si>
    <t>EA089421</t>
  </si>
  <si>
    <t>EA088782</t>
  </si>
  <si>
    <t>큐라티스</t>
  </si>
  <si>
    <t>EA099781</t>
  </si>
  <si>
    <t>큐로드</t>
  </si>
  <si>
    <t>EA094579</t>
  </si>
  <si>
    <t>큐로셀</t>
  </si>
  <si>
    <t>EA096206</t>
  </si>
  <si>
    <t>큐리옥스바이오시스템즈</t>
  </si>
  <si>
    <t>EA090848</t>
  </si>
  <si>
    <t>큐버</t>
  </si>
  <si>
    <t>EA085983</t>
  </si>
  <si>
    <t>큐어바이오</t>
  </si>
  <si>
    <t>EA094462</t>
  </si>
  <si>
    <t>크라우드웍스</t>
  </si>
  <si>
    <t>EA097560</t>
  </si>
  <si>
    <t>크라운에프앤비</t>
  </si>
  <si>
    <t>EA091671</t>
  </si>
  <si>
    <t>크래프트테크놀로지스</t>
  </si>
  <si>
    <t>EA098803</t>
  </si>
  <si>
    <t>EA074004</t>
  </si>
  <si>
    <t>크로네스코리아</t>
  </si>
  <si>
    <t>EA093211</t>
  </si>
  <si>
    <t>크로엔</t>
  </si>
  <si>
    <t>EA096103</t>
  </si>
  <si>
    <t>크리스탈제이드코리아</t>
  </si>
  <si>
    <t>EA048133</t>
  </si>
  <si>
    <t>크리오스</t>
  </si>
  <si>
    <t>EA093298</t>
  </si>
  <si>
    <t>크리테오코리아유한회사</t>
  </si>
  <si>
    <t>EA098133</t>
  </si>
  <si>
    <t>크림</t>
  </si>
  <si>
    <t>EA095962</t>
  </si>
  <si>
    <t>클라우드그램</t>
  </si>
  <si>
    <t>EA088839</t>
  </si>
  <si>
    <t>클레버</t>
  </si>
  <si>
    <t>EA096588</t>
  </si>
  <si>
    <t>클로버게임즈</t>
  </si>
  <si>
    <t>EA089522</t>
  </si>
  <si>
    <t>EA097506</t>
  </si>
  <si>
    <t>클린에너지위탁관리부동산투자회사</t>
  </si>
  <si>
    <t>EA077778</t>
  </si>
  <si>
    <t>클립스비엔씨</t>
  </si>
  <si>
    <t>EA072123</t>
  </si>
  <si>
    <t>키사이트테크놀로지스코리아</t>
  </si>
  <si>
    <t>EA092987</t>
  </si>
  <si>
    <t>키움에셋플래너</t>
  </si>
  <si>
    <t>EA093965</t>
  </si>
  <si>
    <t>키즈노트</t>
  </si>
  <si>
    <t>EA038926</t>
  </si>
  <si>
    <t>킨텍스</t>
  </si>
  <si>
    <t>EA070887</t>
  </si>
  <si>
    <t>타이드스퀘어</t>
  </si>
  <si>
    <t>EA091952</t>
  </si>
  <si>
    <t>탑머티리얼</t>
  </si>
  <si>
    <t>태경에스비씨</t>
  </si>
  <si>
    <t>EA090280</t>
  </si>
  <si>
    <t>태백가덕산풍력발전</t>
  </si>
  <si>
    <t>EA060993</t>
  </si>
  <si>
    <t>EA051872</t>
  </si>
  <si>
    <t>태일송풍기</t>
  </si>
  <si>
    <t>EA084671</t>
  </si>
  <si>
    <t>테라베스트</t>
  </si>
  <si>
    <t>EA093192</t>
  </si>
  <si>
    <t>테라젠바이오</t>
  </si>
  <si>
    <t>EA095528</t>
  </si>
  <si>
    <t>테라젠지놈케어</t>
  </si>
  <si>
    <t>EA099254</t>
  </si>
  <si>
    <t>테이크원컴퍼니</t>
  </si>
  <si>
    <t>EA098595</t>
  </si>
  <si>
    <t>테크노프로브코리아</t>
  </si>
  <si>
    <t>EA101215</t>
  </si>
  <si>
    <t>텐핑</t>
  </si>
  <si>
    <t>EA098754</t>
  </si>
  <si>
    <t>텔라이프</t>
  </si>
  <si>
    <t>EA071340</t>
  </si>
  <si>
    <t>토이트론</t>
  </si>
  <si>
    <t>EA093317</t>
  </si>
  <si>
    <t>통영에코파워</t>
  </si>
  <si>
    <t>EA095332</t>
  </si>
  <si>
    <t>투게더앱스</t>
  </si>
  <si>
    <t>EA093296</t>
  </si>
  <si>
    <t>투스라이프</t>
  </si>
  <si>
    <t>EA077308</t>
  </si>
  <si>
    <t>투에이취켐</t>
  </si>
  <si>
    <t>EA052709</t>
  </si>
  <si>
    <t>트래디션코리아외국환중개</t>
  </si>
  <si>
    <t>EA088800</t>
  </si>
  <si>
    <t>트랜드아이</t>
  </si>
  <si>
    <t>EA075823</t>
  </si>
  <si>
    <t>트루엔</t>
  </si>
  <si>
    <t>EA060573</t>
  </si>
  <si>
    <t>트리노테크놀로지</t>
  </si>
  <si>
    <t>EA091921</t>
  </si>
  <si>
    <t>트윈웍스피에프브이</t>
  </si>
  <si>
    <t>EA093885</t>
  </si>
  <si>
    <t>티맵모빌리티</t>
  </si>
  <si>
    <t>EA094901</t>
  </si>
  <si>
    <t>티빙</t>
  </si>
  <si>
    <t>EA069365</t>
  </si>
  <si>
    <t>EA028352</t>
  </si>
  <si>
    <t>티씨티</t>
  </si>
  <si>
    <t>티앤에프글로벌</t>
  </si>
  <si>
    <t>EA048275</t>
  </si>
  <si>
    <t>티에이케이텍스타일</t>
  </si>
  <si>
    <t>EA068961</t>
  </si>
  <si>
    <t>티에프이</t>
  </si>
  <si>
    <t>EA063403</t>
  </si>
  <si>
    <t>EA092958</t>
  </si>
  <si>
    <t>티웨이에어서비스</t>
  </si>
  <si>
    <t>EA085914</t>
  </si>
  <si>
    <t>티이엠씨</t>
  </si>
  <si>
    <t>EA095049</t>
  </si>
  <si>
    <t>티제이파트너스</t>
  </si>
  <si>
    <t>티케이엘리베이터코리아</t>
  </si>
  <si>
    <t>EA026912</t>
  </si>
  <si>
    <t>티케이지태광</t>
  </si>
  <si>
    <t>EA049061</t>
  </si>
  <si>
    <t>파나시아</t>
  </si>
  <si>
    <t>EA086911</t>
  </si>
  <si>
    <t>파두</t>
  </si>
  <si>
    <t>EA097161</t>
  </si>
  <si>
    <t>파로스아이바이오</t>
  </si>
  <si>
    <t>EA093919</t>
  </si>
  <si>
    <t>파빌리온충무로피에프브이</t>
  </si>
  <si>
    <t>EA094802</t>
  </si>
  <si>
    <t>파이퍼베큠세미코리아유한회사</t>
  </si>
  <si>
    <t>EA093558</t>
  </si>
  <si>
    <t>파인메딕스</t>
  </si>
  <si>
    <t>EA086319</t>
  </si>
  <si>
    <t>파주비앤알</t>
  </si>
  <si>
    <t>EA012442</t>
  </si>
  <si>
    <t>EA062412</t>
  </si>
  <si>
    <t>EA090928</t>
  </si>
  <si>
    <t>팜캐드</t>
  </si>
  <si>
    <t>EA099629</t>
  </si>
  <si>
    <t>패스트박스</t>
  </si>
  <si>
    <t>EA084697</t>
  </si>
  <si>
    <t>패스트파이브</t>
  </si>
  <si>
    <t>EA075902</t>
  </si>
  <si>
    <t>팸텍</t>
  </si>
  <si>
    <t>EA085147</t>
  </si>
  <si>
    <t>퍼멘텍</t>
  </si>
  <si>
    <t>EA090165</t>
  </si>
  <si>
    <t>퍼스트바이오테라퓨틱스</t>
  </si>
  <si>
    <t>EA098144</t>
  </si>
  <si>
    <t>퍼스트키퍼스</t>
  </si>
  <si>
    <t>EA098457</t>
  </si>
  <si>
    <t>퍼시픽물류전문제1의1호위탁관리부동산투자회사</t>
  </si>
  <si>
    <t>EA089968</t>
  </si>
  <si>
    <t>페녹스코리아</t>
  </si>
  <si>
    <t>EA096817</t>
  </si>
  <si>
    <t>페더럴모굴아시아인베스트먼츠홀딩코리아</t>
  </si>
  <si>
    <t>EA094254</t>
  </si>
  <si>
    <t>페이스북코리아유한회사</t>
  </si>
  <si>
    <t>펨코제17호기업구조조정부동산투자회사</t>
  </si>
  <si>
    <t>EA065894</t>
  </si>
  <si>
    <t>펨트론</t>
  </si>
  <si>
    <t>EA099993</t>
  </si>
  <si>
    <t>평택석정파크드림</t>
  </si>
  <si>
    <t>EA092959</t>
  </si>
  <si>
    <t>평택싸이로</t>
  </si>
  <si>
    <t>EA022480</t>
  </si>
  <si>
    <t>포레시아코리아</t>
  </si>
  <si>
    <t>EA068885</t>
  </si>
  <si>
    <t>포르쉐코리아</t>
  </si>
  <si>
    <t>EA095696</t>
  </si>
  <si>
    <t>EA060510</t>
  </si>
  <si>
    <t>포스뱅크</t>
  </si>
  <si>
    <t>EA092976</t>
  </si>
  <si>
    <t>포스코모빌리티솔루션</t>
  </si>
  <si>
    <t>포스코플로우</t>
  </si>
  <si>
    <t>EA095312</t>
  </si>
  <si>
    <t>푸드테크</t>
  </si>
  <si>
    <t>EA094762</t>
  </si>
  <si>
    <t>푸디스트</t>
  </si>
  <si>
    <t>EA095541</t>
  </si>
  <si>
    <t>푸르웰</t>
  </si>
  <si>
    <t>EA095872</t>
  </si>
  <si>
    <t>푸마코리아유한회사</t>
  </si>
  <si>
    <t>EA090302</t>
  </si>
  <si>
    <t>풀무원녹즙</t>
  </si>
  <si>
    <t>EA038886</t>
  </si>
  <si>
    <t>풀무원샘물</t>
  </si>
  <si>
    <t>EA090464</t>
  </si>
  <si>
    <t>풀무원아이엔</t>
  </si>
  <si>
    <t>EA080076</t>
  </si>
  <si>
    <t>풍림피앤피</t>
  </si>
  <si>
    <t>EA088713</t>
  </si>
  <si>
    <t>EA073714</t>
  </si>
  <si>
    <t>EA101156</t>
  </si>
  <si>
    <t>퓨처플레이</t>
  </si>
  <si>
    <t>EA092741</t>
  </si>
  <si>
    <t>EA093764</t>
  </si>
  <si>
    <t>프레시원부산</t>
  </si>
  <si>
    <t>EA095118</t>
  </si>
  <si>
    <t>프레시코</t>
  </si>
  <si>
    <t>EA026475</t>
  </si>
  <si>
    <t>프레제니우스메디칼케어코리아</t>
  </si>
  <si>
    <t>EA010202</t>
  </si>
  <si>
    <t>프레지니우스카비코리아</t>
  </si>
  <si>
    <t>EA069548</t>
  </si>
  <si>
    <t>EA082336</t>
  </si>
  <si>
    <t>EA082359</t>
  </si>
  <si>
    <t>프리닉스</t>
  </si>
  <si>
    <t>EA048302</t>
  </si>
  <si>
    <t>프리시스</t>
  </si>
  <si>
    <t>EA019633</t>
  </si>
  <si>
    <t>플라스틱옴니엄</t>
  </si>
  <si>
    <t>EA091286</t>
  </si>
  <si>
    <t>플라잉타이거코리아</t>
  </si>
  <si>
    <t>EA093429</t>
  </si>
  <si>
    <t>플라자디앤씨</t>
  </si>
  <si>
    <t>EA093604</t>
  </si>
  <si>
    <t>플라즈마텍</t>
  </si>
  <si>
    <t>EA094091</t>
  </si>
  <si>
    <t>EA086521</t>
  </si>
  <si>
    <t>플레디스엔터테인먼트</t>
  </si>
  <si>
    <t>EA099376</t>
  </si>
  <si>
    <t>플레이링스</t>
  </si>
  <si>
    <t>EA098455</t>
  </si>
  <si>
    <t>플레이오토</t>
  </si>
  <si>
    <t>EA098630</t>
  </si>
  <si>
    <t>플렉스페이</t>
  </si>
  <si>
    <t>EA050100</t>
  </si>
  <si>
    <t>플루오린코리아</t>
  </si>
  <si>
    <t>EA098095</t>
  </si>
  <si>
    <t>플루토솔루션</t>
  </si>
  <si>
    <t>EA089167</t>
  </si>
  <si>
    <t>피노바이오</t>
  </si>
  <si>
    <t>EA096847</t>
  </si>
  <si>
    <t>피라인</t>
  </si>
  <si>
    <t>EA099500</t>
  </si>
  <si>
    <t>피앤에스네트웍스로지스</t>
  </si>
  <si>
    <t>EA018680</t>
  </si>
  <si>
    <t>EA089162</t>
  </si>
  <si>
    <t>피앤티</t>
  </si>
  <si>
    <t>피에몬테</t>
  </si>
  <si>
    <t>EA096590</t>
  </si>
  <si>
    <t>피에이치에이에차유한회사</t>
  </si>
  <si>
    <t>EA093645</t>
  </si>
  <si>
    <t>피에프에스</t>
  </si>
  <si>
    <t>EA049690</t>
  </si>
  <si>
    <t>EA070528</t>
  </si>
  <si>
    <t>피플라이프</t>
  </si>
  <si>
    <t>EA090269</t>
  </si>
  <si>
    <t>피피이씨글로벌김치</t>
  </si>
  <si>
    <t>EA095149</t>
  </si>
  <si>
    <t>핀텔</t>
  </si>
  <si>
    <t>EA092979</t>
  </si>
  <si>
    <t>필에너지</t>
  </si>
  <si>
    <t>EA080754</t>
  </si>
  <si>
    <t>필웨이</t>
  </si>
  <si>
    <t>EA091905</t>
  </si>
  <si>
    <t>EA077551</t>
  </si>
  <si>
    <t>EA099498</t>
  </si>
  <si>
    <t>핑거스토리</t>
  </si>
  <si>
    <t>EA049549</t>
  </si>
  <si>
    <t>EA041637</t>
  </si>
  <si>
    <t>하나에프엠케이</t>
  </si>
  <si>
    <t>EA092891</t>
  </si>
  <si>
    <t>하누리</t>
  </si>
  <si>
    <t>EA092592</t>
  </si>
  <si>
    <t>하미글로벌</t>
  </si>
  <si>
    <t>EA092363</t>
  </si>
  <si>
    <t>하버시티개발</t>
  </si>
  <si>
    <t>하이그린파킹</t>
  </si>
  <si>
    <t>EA060901</t>
  </si>
  <si>
    <t>하이드로텍</t>
  </si>
  <si>
    <t>EA054769</t>
  </si>
  <si>
    <t>하이로지스</t>
  </si>
  <si>
    <t>EA093873</t>
  </si>
  <si>
    <t>하이브랩</t>
  </si>
  <si>
    <t>EA090613</t>
  </si>
  <si>
    <t>하이센스바이오</t>
  </si>
  <si>
    <t>EA093045</t>
  </si>
  <si>
    <t>하이시티파킹유한회사</t>
  </si>
  <si>
    <t>EA047813</t>
  </si>
  <si>
    <t>하이얼전자판매</t>
  </si>
  <si>
    <t>EA060895</t>
  </si>
  <si>
    <t>하이에어공조</t>
  </si>
  <si>
    <t>EA020041</t>
  </si>
  <si>
    <t>하이에어코리아</t>
  </si>
  <si>
    <t>EA058579</t>
  </si>
  <si>
    <t>하이에어코리아의장</t>
  </si>
  <si>
    <t>EA098434</t>
  </si>
  <si>
    <t>하이원파트너스</t>
  </si>
  <si>
    <t>EA091076</t>
  </si>
  <si>
    <t>하이윈코퍼레이션</t>
  </si>
  <si>
    <t>하이즈복합재산업</t>
  </si>
  <si>
    <t>EA098480</t>
  </si>
  <si>
    <t>하이케어솔루션</t>
  </si>
  <si>
    <t>EA075973</t>
  </si>
  <si>
    <t>하이파킹</t>
  </si>
  <si>
    <t>EA097058</t>
  </si>
  <si>
    <t>한강식품</t>
  </si>
  <si>
    <t>EA067668</t>
  </si>
  <si>
    <t>한국검정</t>
  </si>
  <si>
    <t>EA093037</t>
  </si>
  <si>
    <t>한국금거래소</t>
  </si>
  <si>
    <t>EA094488</t>
  </si>
  <si>
    <t>한국넥슬렌유한회사</t>
  </si>
  <si>
    <t>EA093067</t>
  </si>
  <si>
    <t>한국도로공사서비스</t>
  </si>
  <si>
    <t>EA094123</t>
  </si>
  <si>
    <t>한국도로공사시설관리</t>
  </si>
  <si>
    <t>EA098625</t>
  </si>
  <si>
    <t>한국마사회시설관리</t>
  </si>
  <si>
    <t>EA017819</t>
  </si>
  <si>
    <t>한국마이크로소프트유한회사</t>
  </si>
  <si>
    <t>한국바이오텍</t>
  </si>
  <si>
    <t>EA069484</t>
  </si>
  <si>
    <t>한국발전기술</t>
  </si>
  <si>
    <t>EA043706</t>
  </si>
  <si>
    <t>한국베링거인겔하임동물약품</t>
  </si>
  <si>
    <t>EA089173</t>
  </si>
  <si>
    <t>한국북부발전</t>
  </si>
  <si>
    <t>EA058468</t>
  </si>
  <si>
    <t>한국비엠아이</t>
  </si>
  <si>
    <t>한국쇼와덴코전자재료</t>
  </si>
  <si>
    <t>EA094679</t>
  </si>
  <si>
    <t>한국아이비엠글로벌파이낸싱대부유한회사</t>
  </si>
  <si>
    <t>EA094677</t>
  </si>
  <si>
    <t>한국아이비엠테크니컬솔루션(유)</t>
  </si>
  <si>
    <t>EA040381</t>
  </si>
  <si>
    <t>한국요꼬가와일렉트로닉스매뉴팩처링</t>
  </si>
  <si>
    <t>EA088650</t>
  </si>
  <si>
    <t>한국유미코아촉매</t>
  </si>
  <si>
    <t>EA072697</t>
  </si>
  <si>
    <t>한국의약연구소</t>
  </si>
  <si>
    <t>EA098811</t>
  </si>
  <si>
    <t>한국임팩카본</t>
  </si>
  <si>
    <t>EA058078</t>
  </si>
  <si>
    <t>한국전기초자</t>
  </si>
  <si>
    <t>EA093847</t>
  </si>
  <si>
    <t>한국정보기술</t>
  </si>
  <si>
    <t>EA094767</t>
  </si>
  <si>
    <t>EA097402</t>
  </si>
  <si>
    <t>한국지멘스일렉트로닉디자인오토메이션유한회사</t>
  </si>
  <si>
    <t>한국초저온평택</t>
  </si>
  <si>
    <t>EA040415</t>
  </si>
  <si>
    <t>한국티이케이</t>
  </si>
  <si>
    <t>EA044106</t>
  </si>
  <si>
    <t>한국페링제약</t>
  </si>
  <si>
    <t>EA090442</t>
  </si>
  <si>
    <t>한국퓨얼셀</t>
  </si>
  <si>
    <t>EA057859</t>
  </si>
  <si>
    <t>한국플랜트서비스</t>
  </si>
  <si>
    <t>EA088606</t>
  </si>
  <si>
    <t>한국항공서비스</t>
  </si>
  <si>
    <t>EA094370</t>
  </si>
  <si>
    <t>한국해양선박데크하우스</t>
  </si>
  <si>
    <t>EA094376</t>
  </si>
  <si>
    <t>한국해양크랭크샤프트</t>
  </si>
  <si>
    <t>EA095401</t>
  </si>
  <si>
    <t>한국화웨이기술유한회사</t>
  </si>
  <si>
    <t>EA018749</t>
  </si>
  <si>
    <t>한국화이바</t>
  </si>
  <si>
    <t>EA092920</t>
  </si>
  <si>
    <t>한내포티</t>
  </si>
  <si>
    <t>EA077585</t>
  </si>
  <si>
    <t>한산매니지먼트</t>
  </si>
  <si>
    <t>EA091180</t>
  </si>
  <si>
    <t>한산씨티개발</t>
  </si>
  <si>
    <t>EA069338</t>
  </si>
  <si>
    <t>한성크린텍</t>
  </si>
  <si>
    <t>EA045162</t>
  </si>
  <si>
    <t>한세드림</t>
  </si>
  <si>
    <t>EA043623</t>
  </si>
  <si>
    <t>한수테크니칼서비스</t>
  </si>
  <si>
    <t>EA098602</t>
  </si>
  <si>
    <t>한싹</t>
  </si>
  <si>
    <t>EA012769</t>
  </si>
  <si>
    <t>한양</t>
  </si>
  <si>
    <t>EA040559</t>
  </si>
  <si>
    <t>한영특수강</t>
  </si>
  <si>
    <t>EA096735</t>
  </si>
  <si>
    <t>한오토모빌레</t>
  </si>
  <si>
    <t>EA093161</t>
  </si>
  <si>
    <t>한온시스템이에프피</t>
  </si>
  <si>
    <t>EA057736</t>
  </si>
  <si>
    <t>한올</t>
  </si>
  <si>
    <t>EA088958</t>
  </si>
  <si>
    <t>한일인터내셔널</t>
  </si>
  <si>
    <t>EA098580</t>
  </si>
  <si>
    <t>한전씨에스씨</t>
  </si>
  <si>
    <t>EA094327</t>
  </si>
  <si>
    <t>한전에프엠에스</t>
  </si>
  <si>
    <t>EA094330</t>
  </si>
  <si>
    <t>한전엠씨에스</t>
  </si>
  <si>
    <t>EA016798</t>
  </si>
  <si>
    <t>한주</t>
  </si>
  <si>
    <t>EA020265</t>
  </si>
  <si>
    <t>한주금속</t>
  </si>
  <si>
    <t>EA093285</t>
  </si>
  <si>
    <t>한주케미칼</t>
  </si>
  <si>
    <t>EA093297</t>
  </si>
  <si>
    <t>한컴인텔리전스</t>
  </si>
  <si>
    <t>EA097509</t>
  </si>
  <si>
    <t>한컴헬스케어</t>
  </si>
  <si>
    <t>EA092476</t>
  </si>
  <si>
    <t>EA054465</t>
  </si>
  <si>
    <t>한화라이프랩</t>
  </si>
  <si>
    <t>EA065779</t>
  </si>
  <si>
    <t>한화비앤비</t>
  </si>
  <si>
    <t>한화임팩트</t>
  </si>
  <si>
    <t>EA090201</t>
  </si>
  <si>
    <t>한화임팩트글로벌</t>
  </si>
  <si>
    <t>한화커넥트</t>
  </si>
  <si>
    <t>한화토탈에너지스</t>
  </si>
  <si>
    <t>EA101124</t>
  </si>
  <si>
    <t>할시온코리아홀드코</t>
  </si>
  <si>
    <t>EA098025</t>
  </si>
  <si>
    <t>항공보안파트너스</t>
  </si>
  <si>
    <t>EA099540</t>
  </si>
  <si>
    <t>해모둠태양광</t>
  </si>
  <si>
    <t>EA089608</t>
  </si>
  <si>
    <t>해성테크놀로지</t>
  </si>
  <si>
    <t>EA046788</t>
  </si>
  <si>
    <t>해원단조</t>
  </si>
  <si>
    <t>EA086834</t>
  </si>
  <si>
    <t>해줌</t>
  </si>
  <si>
    <t>EA093040</t>
  </si>
  <si>
    <t>해태아이스크림</t>
  </si>
  <si>
    <t>EA097119</t>
  </si>
  <si>
    <t>EA094977</t>
  </si>
  <si>
    <t>헨켈코리아(유)</t>
  </si>
  <si>
    <t>EA094978</t>
  </si>
  <si>
    <t>헨켈홈케어코리아유한회사</t>
  </si>
  <si>
    <t>EA088954</t>
  </si>
  <si>
    <t>헬로네이처</t>
  </si>
  <si>
    <t>EA097524</t>
  </si>
  <si>
    <t>헬리스타항공</t>
  </si>
  <si>
    <t>EA096138</t>
  </si>
  <si>
    <t>헬스허브</t>
  </si>
  <si>
    <t>EA051089</t>
  </si>
  <si>
    <t>현대그린파워</t>
  </si>
  <si>
    <t>EA091133</t>
  </si>
  <si>
    <t>현대네트워크</t>
  </si>
  <si>
    <t>EA092999</t>
  </si>
  <si>
    <t>현대로보틱스</t>
  </si>
  <si>
    <t>EA094750</t>
  </si>
  <si>
    <t>현대리바트엠앤에스</t>
  </si>
  <si>
    <t>EA093083</t>
  </si>
  <si>
    <t>현대아이에프씨</t>
  </si>
  <si>
    <t>EA089175</t>
  </si>
  <si>
    <t>현대에코에너지</t>
  </si>
  <si>
    <t>EA054466</t>
  </si>
  <si>
    <t>현대엔진유한회사</t>
  </si>
  <si>
    <t>EA098269</t>
  </si>
  <si>
    <t>현대엘리베이터서비스</t>
  </si>
  <si>
    <t>EA098112</t>
  </si>
  <si>
    <t>현대엘앤에스</t>
  </si>
  <si>
    <t>EA097561</t>
  </si>
  <si>
    <t>현대인프라솔루션</t>
  </si>
  <si>
    <t>EA088559</t>
  </si>
  <si>
    <t>EA090245</t>
  </si>
  <si>
    <t>현대중공업파워시스템</t>
  </si>
  <si>
    <t>EA088749</t>
  </si>
  <si>
    <t>현대코어모션</t>
  </si>
  <si>
    <t>EA090882</t>
  </si>
  <si>
    <t>현대폰터스</t>
  </si>
  <si>
    <t>EA061113</t>
  </si>
  <si>
    <t>현대플라스포</t>
  </si>
  <si>
    <t>EA069622</t>
  </si>
  <si>
    <t>현진그린밀</t>
  </si>
  <si>
    <t>EA047751</t>
  </si>
  <si>
    <t>현현교육</t>
  </si>
  <si>
    <t>EA069572</t>
  </si>
  <si>
    <t>협진커넥터</t>
  </si>
  <si>
    <t>EA027867</t>
  </si>
  <si>
    <t>호반건설</t>
  </si>
  <si>
    <t>EA015334</t>
  </si>
  <si>
    <t>호반서서울</t>
  </si>
  <si>
    <t>EA016252</t>
  </si>
  <si>
    <t>호반호텔앤리조트</t>
  </si>
  <si>
    <t>EA054733</t>
  </si>
  <si>
    <t>호텔에이치디씨</t>
  </si>
  <si>
    <t>EA069434</t>
  </si>
  <si>
    <t>화미</t>
  </si>
  <si>
    <t>EA094008</t>
  </si>
  <si>
    <t>화승섬유</t>
  </si>
  <si>
    <t>EA092871</t>
  </si>
  <si>
    <t>화승크라운</t>
  </si>
  <si>
    <t>EA018867</t>
  </si>
  <si>
    <t>EA044077</t>
  </si>
  <si>
    <t>화인써키트</t>
  </si>
  <si>
    <t>EA085692</t>
  </si>
  <si>
    <t>화인엔지니어링</t>
  </si>
  <si>
    <t>환경에너지솔루션</t>
  </si>
  <si>
    <t>EA020491</t>
  </si>
  <si>
    <t>환경이엔지</t>
  </si>
  <si>
    <t>EA069327</t>
  </si>
  <si>
    <t>효성금속</t>
  </si>
  <si>
    <t>EA020522</t>
  </si>
  <si>
    <t>후지테크코리아</t>
  </si>
  <si>
    <t>EA020524</t>
  </si>
  <si>
    <t>훼미모드</t>
  </si>
  <si>
    <t>EA094119</t>
  </si>
  <si>
    <t>휠라코리아</t>
  </si>
  <si>
    <t>EA011392</t>
  </si>
  <si>
    <t>휴넷</t>
  </si>
  <si>
    <t>EA092951</t>
  </si>
  <si>
    <t>휴런</t>
  </si>
  <si>
    <t>EA099037</t>
  </si>
  <si>
    <t>휴맥스네트웍스</t>
  </si>
  <si>
    <t>EA094222</t>
  </si>
  <si>
    <t>휴맥스모빌리티</t>
  </si>
  <si>
    <t>EA056237</t>
  </si>
  <si>
    <t>휴맥스아이앤씨</t>
  </si>
  <si>
    <t>EA095497</t>
  </si>
  <si>
    <t>EA098504</t>
  </si>
  <si>
    <t>휴먼스홀딩스제1차피에프브이</t>
  </si>
  <si>
    <t>EA081379</t>
  </si>
  <si>
    <t>휴민텍</t>
  </si>
  <si>
    <t>EA098083</t>
  </si>
  <si>
    <t>휴비딕</t>
  </si>
  <si>
    <t>휴온스메디컬</t>
  </si>
  <si>
    <t>EA097549</t>
  </si>
  <si>
    <t>휴온스바이오파마</t>
  </si>
  <si>
    <t>휴온스푸디언스</t>
  </si>
  <si>
    <t>EA098611</t>
  </si>
  <si>
    <t>휴이노</t>
  </si>
  <si>
    <t>EA089949</t>
  </si>
  <si>
    <t>희망빛발전</t>
  </si>
  <si>
    <t>EA093729</t>
  </si>
  <si>
    <t>히타치에너지코리아</t>
  </si>
  <si>
    <t>히타치하이테크코리아</t>
  </si>
  <si>
    <t>EA086122</t>
  </si>
  <si>
    <t>힐세리온</t>
  </si>
  <si>
    <t>케이뱅크</t>
  </si>
  <si>
    <t>EA099755</t>
  </si>
  <si>
    <t>토스뱅크</t>
  </si>
  <si>
    <t>신한라이프생명보험</t>
  </si>
  <si>
    <t>EA010570</t>
  </si>
  <si>
    <t>오렌지라이프생명보험</t>
  </si>
  <si>
    <t>EA092992</t>
  </si>
  <si>
    <t>캐롯손해보험</t>
  </si>
  <si>
    <t>하나손해보험</t>
  </si>
  <si>
    <t>다올자산운용</t>
  </si>
  <si>
    <t>EA092996</t>
  </si>
  <si>
    <t>디티에이인베스트먼트</t>
  </si>
  <si>
    <t>EA062560</t>
  </si>
  <si>
    <t>로버스트자산운용</t>
  </si>
  <si>
    <t>브이아이자산운용</t>
  </si>
  <si>
    <t>신한자산운용</t>
  </si>
  <si>
    <t>EA093006</t>
  </si>
  <si>
    <t>씨앗자산운용</t>
  </si>
  <si>
    <t>EA093203</t>
  </si>
  <si>
    <t>알펜루트자산운용</t>
  </si>
  <si>
    <t>EA092880</t>
  </si>
  <si>
    <t>에이디에프자산운용</t>
  </si>
  <si>
    <t>EA093158</t>
  </si>
  <si>
    <t>에이아이피자산운용</t>
  </si>
  <si>
    <t>EA093000</t>
  </si>
  <si>
    <t>엔에이치헤지자산운용</t>
  </si>
  <si>
    <t>카카오페이증권</t>
  </si>
  <si>
    <t>EA092884</t>
  </si>
  <si>
    <t>캡스톤자산운용</t>
  </si>
  <si>
    <t>EA094897</t>
  </si>
  <si>
    <t>케이클라비스자산운용</t>
  </si>
  <si>
    <t>EA095674</t>
  </si>
  <si>
    <t>켄달스퀘어자산운용</t>
  </si>
  <si>
    <t>타이거자산운용투자일임</t>
  </si>
  <si>
    <t>파인만자산운용</t>
  </si>
  <si>
    <t>한국포스증권</t>
  </si>
  <si>
    <t>EA089426</t>
  </si>
  <si>
    <t>더줌대부금융</t>
  </si>
  <si>
    <t>EA097160</t>
  </si>
  <si>
    <t>리딩에이스캐피탈</t>
  </si>
  <si>
    <t>EA100358</t>
  </si>
  <si>
    <t>베델자산관리대부</t>
  </si>
  <si>
    <t>EA088450</t>
  </si>
  <si>
    <t>볼보파이낸셜서비스코리아</t>
  </si>
  <si>
    <t>EA030034</t>
  </si>
  <si>
    <t>비엠더블유파이낸셜서비스코리아</t>
  </si>
  <si>
    <t>EA099079</t>
  </si>
  <si>
    <t>솔림헬프자산관리대부</t>
  </si>
  <si>
    <t>EA019627</t>
  </si>
  <si>
    <t>아프로파이낸셜대부</t>
  </si>
  <si>
    <t>엔비에이치캐피탈</t>
  </si>
  <si>
    <t>엠캐피탈</t>
  </si>
  <si>
    <t>EA073421</t>
  </si>
  <si>
    <t>오케이홀딩스대부</t>
  </si>
  <si>
    <t>EA097001</t>
  </si>
  <si>
    <t>외환베리타스제2차대부유한회사</t>
  </si>
  <si>
    <t>EA010697</t>
  </si>
  <si>
    <t>우리금융캐피탈</t>
  </si>
  <si>
    <t>EA080234</t>
  </si>
  <si>
    <t>웰컴캐피탈</t>
  </si>
  <si>
    <t>EA043339</t>
  </si>
  <si>
    <t>웰컴크레디라인</t>
  </si>
  <si>
    <t>EA088906</t>
  </si>
  <si>
    <t>케이카캐피탈</t>
  </si>
  <si>
    <t>EA088421</t>
  </si>
  <si>
    <t>키움캐피탈</t>
  </si>
  <si>
    <t>EA083318</t>
  </si>
  <si>
    <t>투게더대부</t>
  </si>
  <si>
    <t>EA088659</t>
  </si>
  <si>
    <t>하나벤처스</t>
  </si>
  <si>
    <t>EA098119</t>
  </si>
  <si>
    <t>행복드림금융대부</t>
  </si>
  <si>
    <t>교보자산신탁</t>
  </si>
  <si>
    <t>EA099326</t>
  </si>
  <si>
    <t>기간산업협력업체지원기구유한회사</t>
  </si>
  <si>
    <t>EA097221</t>
  </si>
  <si>
    <t>대신밸런스제10호기업인수목적</t>
  </si>
  <si>
    <t>EA097325</t>
  </si>
  <si>
    <t>대신밸런스제11호기업인수목적</t>
  </si>
  <si>
    <t>EA092949</t>
  </si>
  <si>
    <t>대신자산신탁</t>
  </si>
  <si>
    <t>EA090534</t>
  </si>
  <si>
    <t>두나무앤파트너스</t>
  </si>
  <si>
    <t>EA097729</t>
  </si>
  <si>
    <t>디바인산업가스</t>
  </si>
  <si>
    <t>EA097733</t>
  </si>
  <si>
    <t>디바인코리아홀딩스</t>
  </si>
  <si>
    <t>EA092735</t>
  </si>
  <si>
    <t>디비금융제8호기업인수목적</t>
  </si>
  <si>
    <t>EA092819</t>
  </si>
  <si>
    <t>디비금융제9호기업인수목적</t>
  </si>
  <si>
    <t>EA097441</t>
  </si>
  <si>
    <t>미래에셋비전기업인수목적1호</t>
  </si>
  <si>
    <t>브이아이금융투자</t>
  </si>
  <si>
    <t>EA097542</t>
  </si>
  <si>
    <t>상상인제3호기업인수목적</t>
  </si>
  <si>
    <t>EA014901</t>
  </si>
  <si>
    <t>솔본인베스트먼트</t>
  </si>
  <si>
    <t>EA100271</t>
  </si>
  <si>
    <t>수피아이티센홀딩스</t>
  </si>
  <si>
    <t>EA094182</t>
  </si>
  <si>
    <t>스프링캠프</t>
  </si>
  <si>
    <t>신한벤처투자</t>
  </si>
  <si>
    <t>EA097222</t>
  </si>
  <si>
    <t>신한제8호기업인수목적</t>
  </si>
  <si>
    <t>EA097443</t>
  </si>
  <si>
    <t>신한제9호기업인수목적</t>
  </si>
  <si>
    <t>EA092799</t>
  </si>
  <si>
    <t>아이비케이에스제15호기업인수목적</t>
  </si>
  <si>
    <t>EA097212</t>
  </si>
  <si>
    <t>아이비케이에스제16호기업인수목적</t>
  </si>
  <si>
    <t>EA097131</t>
  </si>
  <si>
    <t>아이엠이파트너스</t>
  </si>
  <si>
    <t>EA018635</t>
  </si>
  <si>
    <t>에이치비인베스트먼트</t>
  </si>
  <si>
    <t>EA092625</t>
  </si>
  <si>
    <t>엔에이치기업인수목적17호</t>
  </si>
  <si>
    <t>EA097219</t>
  </si>
  <si>
    <t>엔에이치기업인수목적20호</t>
  </si>
  <si>
    <t>EA097225</t>
  </si>
  <si>
    <t>엔에이치기업인수목적21호</t>
  </si>
  <si>
    <t>EA020585</t>
  </si>
  <si>
    <t>엘비인베스트먼트</t>
  </si>
  <si>
    <t>EA053070</t>
  </si>
  <si>
    <t>엘앤에스벤처캐피탈</t>
  </si>
  <si>
    <t>EA097306</t>
  </si>
  <si>
    <t>우리자산신탁</t>
  </si>
  <si>
    <t>EA092738</t>
  </si>
  <si>
    <t>유안타제8호기업인수목적</t>
  </si>
  <si>
    <t>EA092832</t>
  </si>
  <si>
    <t>유진기업인수목적6호</t>
  </si>
  <si>
    <t>EA097214</t>
  </si>
  <si>
    <t>유진기업인수목적7호</t>
  </si>
  <si>
    <t>EA097446</t>
  </si>
  <si>
    <t>유진기업인수목적8호</t>
  </si>
  <si>
    <t>EA100285</t>
  </si>
  <si>
    <t>이글파이브유동화제일차</t>
  </si>
  <si>
    <t>EA088237</t>
  </si>
  <si>
    <t>이베스트이안기업인수목적1호</t>
  </si>
  <si>
    <t>EA021230</t>
  </si>
  <si>
    <t>일신창업투자</t>
  </si>
  <si>
    <t>EA093213</t>
  </si>
  <si>
    <t>케이디비인베스트먼트</t>
  </si>
  <si>
    <t>EA084579</t>
  </si>
  <si>
    <t>케이비제17호기업인수목적</t>
  </si>
  <si>
    <t>EA088569</t>
  </si>
  <si>
    <t>케이아이디비자금중개</t>
  </si>
  <si>
    <t>EA097496</t>
  </si>
  <si>
    <t>키움에프앤아이</t>
  </si>
  <si>
    <t>EA084296</t>
  </si>
  <si>
    <t>키움제5호기업인수목적</t>
  </si>
  <si>
    <t>EA097453</t>
  </si>
  <si>
    <t>키움제6호기업인수목적</t>
  </si>
  <si>
    <t>EA092783</t>
  </si>
  <si>
    <t>하나금융17호기업인수목적</t>
  </si>
  <si>
    <t>EA097235</t>
  </si>
  <si>
    <t>하나금융19호기업인수목적</t>
  </si>
  <si>
    <t>EA097356</t>
  </si>
  <si>
    <t>하나금융20호기업인수목적</t>
  </si>
  <si>
    <t>한국인베스트먼트뱅크</t>
  </si>
  <si>
    <t>EA080231</t>
  </si>
  <si>
    <t>한국제7호기업인수목적</t>
  </si>
  <si>
    <t>EA092717</t>
  </si>
  <si>
    <t>한국해외인프라도시개발지원공사</t>
  </si>
  <si>
    <t>BGF에코머티리얼즈</t>
  </si>
  <si>
    <t>DN오토모티브</t>
  </si>
  <si>
    <t>DXVX</t>
  </si>
  <si>
    <t>HL D&amp;I</t>
  </si>
  <si>
    <t>HL만도</t>
  </si>
  <si>
    <t>HL홀딩스</t>
  </si>
  <si>
    <t>403870</t>
  </si>
  <si>
    <t>HPSP</t>
  </si>
  <si>
    <t>432320</t>
  </si>
  <si>
    <t>KB스타리츠</t>
  </si>
  <si>
    <t>KX</t>
  </si>
  <si>
    <t>KX하이텍</t>
  </si>
  <si>
    <t>MDS테크</t>
  </si>
  <si>
    <t>MIT</t>
  </si>
  <si>
    <t>419530</t>
  </si>
  <si>
    <t>SAMG엔터</t>
  </si>
  <si>
    <t>407400</t>
  </si>
  <si>
    <t>417010</t>
  </si>
  <si>
    <t>396270</t>
  </si>
  <si>
    <t>348340</t>
  </si>
  <si>
    <t>129920</t>
  </si>
  <si>
    <t>393890</t>
  </si>
  <si>
    <t>더코디</t>
  </si>
  <si>
    <t>데이드림엔터테인먼트</t>
  </si>
  <si>
    <t>두산테스나</t>
  </si>
  <si>
    <t>디딤이앤에프</t>
  </si>
  <si>
    <t>383930</t>
  </si>
  <si>
    <t>328130</t>
  </si>
  <si>
    <t>448780</t>
  </si>
  <si>
    <t>마이크로엔엑스</t>
  </si>
  <si>
    <t>417970</t>
  </si>
  <si>
    <t>무송지오씨</t>
  </si>
  <si>
    <t>254490</t>
  </si>
  <si>
    <t>미래반도체</t>
  </si>
  <si>
    <t>354390</t>
  </si>
  <si>
    <t>377740</t>
  </si>
  <si>
    <t>블레이드 Ent</t>
  </si>
  <si>
    <t>357130</t>
  </si>
  <si>
    <t>비보존 제약</t>
  </si>
  <si>
    <t>419540</t>
  </si>
  <si>
    <t>비엔지티</t>
  </si>
  <si>
    <t>빅토리콘텐츠</t>
  </si>
  <si>
    <t>419120</t>
  </si>
  <si>
    <t>419050</t>
  </si>
  <si>
    <t>107600</t>
  </si>
  <si>
    <t>411080</t>
  </si>
  <si>
    <t>378800</t>
  </si>
  <si>
    <t>365340</t>
  </si>
  <si>
    <t>세토피아</t>
  </si>
  <si>
    <t>셀피글로벌</t>
  </si>
  <si>
    <t>126720</t>
  </si>
  <si>
    <t>수성샐바시온</t>
  </si>
  <si>
    <t>스마트솔루션즈</t>
  </si>
  <si>
    <t>408900</t>
  </si>
  <si>
    <t>162300</t>
  </si>
  <si>
    <t>신풍</t>
  </si>
  <si>
    <t>403550</t>
  </si>
  <si>
    <t>쏘카</t>
  </si>
  <si>
    <t>씨앤투스</t>
  </si>
  <si>
    <t>368600</t>
  </si>
  <si>
    <t>447690</t>
  </si>
  <si>
    <t>아이오바이오</t>
  </si>
  <si>
    <t>102950</t>
  </si>
  <si>
    <t>314140</t>
  </si>
  <si>
    <t>390110</t>
  </si>
  <si>
    <t>애니메디솔루션</t>
  </si>
  <si>
    <t>어반리튬</t>
  </si>
  <si>
    <t>389500</t>
  </si>
  <si>
    <t>에스엘테라퓨틱스</t>
  </si>
  <si>
    <t>에스케이시그넷</t>
  </si>
  <si>
    <t>311960</t>
  </si>
  <si>
    <t>에이아이더뉴트리진</t>
  </si>
  <si>
    <t>에이치엘비사이언스</t>
  </si>
  <si>
    <t>148930</t>
  </si>
  <si>
    <t>397030</t>
  </si>
  <si>
    <t>에코앤드림</t>
  </si>
  <si>
    <t>엑서지21</t>
  </si>
  <si>
    <t>419080</t>
  </si>
  <si>
    <t>엠피씨플러스</t>
  </si>
  <si>
    <t>112290</t>
  </si>
  <si>
    <t>368970</t>
  </si>
  <si>
    <t>394280</t>
  </si>
  <si>
    <t>옵투스제약</t>
  </si>
  <si>
    <t>380540</t>
  </si>
  <si>
    <t>446070</t>
  </si>
  <si>
    <t>유니드비티플러스</t>
  </si>
  <si>
    <t>372170</t>
  </si>
  <si>
    <t>296640</t>
  </si>
  <si>
    <t>이노시스</t>
  </si>
  <si>
    <t>이엠비</t>
  </si>
  <si>
    <t>389470</t>
  </si>
  <si>
    <t>389020</t>
  </si>
  <si>
    <t>자람테크놀로지</t>
  </si>
  <si>
    <t>417840</t>
  </si>
  <si>
    <t>417500</t>
  </si>
  <si>
    <t>418550</t>
  </si>
  <si>
    <t>제이오</t>
  </si>
  <si>
    <t>388610</t>
  </si>
  <si>
    <t>지에프씨생명과학</t>
  </si>
  <si>
    <t>초록뱀이앤엠</t>
  </si>
  <si>
    <t>446600</t>
  </si>
  <si>
    <t>카이바이오텍</t>
  </si>
  <si>
    <t>커넥트웨이브</t>
  </si>
  <si>
    <t>케이씨산업</t>
  </si>
  <si>
    <t>176590</t>
  </si>
  <si>
    <t>코나솔</t>
  </si>
  <si>
    <t>402030</t>
  </si>
  <si>
    <t>코아스템켐온</t>
  </si>
  <si>
    <t>큐러블</t>
  </si>
  <si>
    <t>405100</t>
  </si>
  <si>
    <t>346010</t>
  </si>
  <si>
    <t>434190</t>
  </si>
  <si>
    <t>탈로스</t>
  </si>
  <si>
    <t>360070</t>
  </si>
  <si>
    <t>테크엘</t>
  </si>
  <si>
    <t>204610</t>
  </si>
  <si>
    <t>티쓰리</t>
  </si>
  <si>
    <t>425420</t>
  </si>
  <si>
    <t>413300</t>
  </si>
  <si>
    <t>티엘엔지니어링</t>
  </si>
  <si>
    <t>425040</t>
  </si>
  <si>
    <t>441270</t>
  </si>
  <si>
    <t>파인엠텍</t>
  </si>
  <si>
    <t>168360</t>
  </si>
  <si>
    <t>341170</t>
  </si>
  <si>
    <t>405000</t>
  </si>
  <si>
    <t>플라즈맵</t>
  </si>
  <si>
    <t>291810</t>
  </si>
  <si>
    <t>417180</t>
  </si>
  <si>
    <t>하이드로리튬</t>
  </si>
  <si>
    <t>한솔아이원스</t>
  </si>
  <si>
    <t>198940</t>
  </si>
  <si>
    <t>한주라이트메탈</t>
  </si>
  <si>
    <t>헥토이노베이션</t>
  </si>
  <si>
    <t>헥토파이낸셜</t>
  </si>
  <si>
    <t>휴림네트웍스</t>
  </si>
  <si>
    <t>424760</t>
  </si>
  <si>
    <t>IBKS제18호스팩</t>
  </si>
  <si>
    <t>426550</t>
  </si>
  <si>
    <t>IBKS제19호스팩</t>
  </si>
  <si>
    <t>439730</t>
  </si>
  <si>
    <t>IBKS제20호스팩</t>
  </si>
  <si>
    <t>442770</t>
  </si>
  <si>
    <t>IBKS제21호스팩</t>
  </si>
  <si>
    <t>395400</t>
  </si>
  <si>
    <t>SK리츠</t>
  </si>
  <si>
    <t>440790</t>
  </si>
  <si>
    <t>교보13호스팩</t>
  </si>
  <si>
    <t>426670</t>
  </si>
  <si>
    <t>대신밸런스제12호스팩</t>
  </si>
  <si>
    <t>438220</t>
  </si>
  <si>
    <t>대신밸런스제13호스팩</t>
  </si>
  <si>
    <t>442310</t>
  </si>
  <si>
    <t>대신밸런스제14호스팩</t>
  </si>
  <si>
    <t>마스턴프리미어리츠</t>
  </si>
  <si>
    <t>204210</t>
  </si>
  <si>
    <t>모두투어리츠</t>
  </si>
  <si>
    <t>446190</t>
  </si>
  <si>
    <t>미래에셋비전스팩2호</t>
  </si>
  <si>
    <t>199730</t>
  </si>
  <si>
    <t>445360</t>
  </si>
  <si>
    <t>비엔케이제1호스팩</t>
  </si>
  <si>
    <t>425290</t>
  </si>
  <si>
    <t>삼성스팩6호</t>
  </si>
  <si>
    <t>439250</t>
  </si>
  <si>
    <t>삼성스팩7호</t>
  </si>
  <si>
    <t>448740</t>
  </si>
  <si>
    <t>삼성스팩8호</t>
  </si>
  <si>
    <t>430220</t>
  </si>
  <si>
    <t>신영스팩8호</t>
  </si>
  <si>
    <t>445970</t>
  </si>
  <si>
    <t>신영스팩9호</t>
  </si>
  <si>
    <t>293940</t>
  </si>
  <si>
    <t>신한알파리츠</t>
  </si>
  <si>
    <t>418210</t>
  </si>
  <si>
    <t>신한제10호스팩</t>
  </si>
  <si>
    <t>435870</t>
  </si>
  <si>
    <t>에스케이증권제8호스팩</t>
  </si>
  <si>
    <t>140910</t>
  </si>
  <si>
    <t>에이리츠</t>
  </si>
  <si>
    <t>422040</t>
  </si>
  <si>
    <t>엔에이치스팩23호</t>
  </si>
  <si>
    <t>437780</t>
  </si>
  <si>
    <t>엔에이치스팩24호</t>
  </si>
  <si>
    <t>438580</t>
  </si>
  <si>
    <t>엔에이치스팩25호</t>
  </si>
  <si>
    <t>439410</t>
  </si>
  <si>
    <t>엔에이치스팩26호</t>
  </si>
  <si>
    <t>440820</t>
  </si>
  <si>
    <t>엔에이치스팩27호</t>
  </si>
  <si>
    <t>417860</t>
  </si>
  <si>
    <t>370190</t>
  </si>
  <si>
    <t>435380</t>
  </si>
  <si>
    <t>유안타제10호스팩</t>
  </si>
  <si>
    <t>446150</t>
  </si>
  <si>
    <t>유안타제12호스팩                                                                          Yuanta 12</t>
  </si>
  <si>
    <t>449020</t>
  </si>
  <si>
    <t>유안타제13호스팩</t>
  </si>
  <si>
    <t>430700</t>
  </si>
  <si>
    <t>유안타제9호스팩</t>
  </si>
  <si>
    <t>442130</t>
  </si>
  <si>
    <t>유진스팩9호</t>
  </si>
  <si>
    <t>088260</t>
  </si>
  <si>
    <t>이리츠코크렙</t>
  </si>
  <si>
    <t>이베스트기업인수목적5호</t>
  </si>
  <si>
    <t>케이비제20호기업인수목적</t>
  </si>
  <si>
    <t>436530</t>
  </si>
  <si>
    <t>케이비제22호스팩</t>
  </si>
  <si>
    <t>440200</t>
  </si>
  <si>
    <t>케이비제23호스팩</t>
  </si>
  <si>
    <t>145270</t>
  </si>
  <si>
    <t>케이탑리츠</t>
  </si>
  <si>
    <t>433530</t>
  </si>
  <si>
    <t>키움제7호스팩</t>
  </si>
  <si>
    <t>하나금융15호기업인수목적</t>
  </si>
  <si>
    <t>427950</t>
  </si>
  <si>
    <t>하나금융23호스팩</t>
  </si>
  <si>
    <t>430230</t>
  </si>
  <si>
    <t>하나금융24호스팩</t>
  </si>
  <si>
    <t>435620</t>
  </si>
  <si>
    <t>하나금융25호스팩</t>
  </si>
  <si>
    <t>436610</t>
  </si>
  <si>
    <t>한국제11호스팩</t>
  </si>
  <si>
    <t>430460</t>
  </si>
  <si>
    <t>한화플러스제3호스팩</t>
  </si>
  <si>
    <t>EA041907</t>
  </si>
  <si>
    <t>(유)아웃백스테이크하우스코리아</t>
  </si>
  <si>
    <t>EA090561</t>
  </si>
  <si>
    <t>가나에너지</t>
  </si>
  <si>
    <t>골프존커머스</t>
  </si>
  <si>
    <t>EA097701</t>
  </si>
  <si>
    <t>과천상상피에프브이</t>
  </si>
  <si>
    <t>EA097708</t>
  </si>
  <si>
    <t>굴업풍력개발</t>
  </si>
  <si>
    <t>EA094856</t>
  </si>
  <si>
    <t>그래핀랩</t>
  </si>
  <si>
    <t>EA100613</t>
  </si>
  <si>
    <t>글로벌워터솔루션</t>
  </si>
  <si>
    <t>EA100437</t>
  </si>
  <si>
    <t>글루가</t>
  </si>
  <si>
    <t>EA097647</t>
  </si>
  <si>
    <t>글앤그림미디어</t>
  </si>
  <si>
    <t>EA017563</t>
  </si>
  <si>
    <t>남성인프라넷</t>
  </si>
  <si>
    <t>EA090001</t>
  </si>
  <si>
    <t>넥스트바이오메디컬</t>
  </si>
  <si>
    <t>EA097634</t>
  </si>
  <si>
    <t>노루로지넷</t>
  </si>
  <si>
    <t>EA017585</t>
  </si>
  <si>
    <t>노브랜드</t>
  </si>
  <si>
    <t>농업회사법인순우리</t>
  </si>
  <si>
    <t>EA048283</t>
  </si>
  <si>
    <t>EA097787</t>
  </si>
  <si>
    <t>뉴젠솔루션</t>
  </si>
  <si>
    <t>EA100925</t>
  </si>
  <si>
    <t>니어스랩</t>
  </si>
  <si>
    <t>EA072255</t>
  </si>
  <si>
    <t>다인소재</t>
  </si>
  <si>
    <t>대상웰라이프</t>
  </si>
  <si>
    <t>EA101385</t>
  </si>
  <si>
    <t>대진첨단소재</t>
  </si>
  <si>
    <t>EA101474</t>
  </si>
  <si>
    <t>더블유에스오디올로지코리아유한회사</t>
  </si>
  <si>
    <t>덱스터크레마</t>
  </si>
  <si>
    <t>EA091068</t>
  </si>
  <si>
    <t>도우인시스</t>
  </si>
  <si>
    <t>EA097764</t>
  </si>
  <si>
    <t>동원디어푸드</t>
  </si>
  <si>
    <t>EA097716</t>
  </si>
  <si>
    <t>동화</t>
  </si>
  <si>
    <t>EA097783</t>
  </si>
  <si>
    <t>두산로지스틱스솔루션</t>
  </si>
  <si>
    <t>디더블유미디어홀딩스</t>
  </si>
  <si>
    <t>EA097751</t>
  </si>
  <si>
    <t>디디아이백암로지스틱스위탁관리부동산투자회사</t>
  </si>
  <si>
    <t>EA064119</t>
  </si>
  <si>
    <t>디스트릭트코리아</t>
  </si>
  <si>
    <t>디엔솔루션즈</t>
  </si>
  <si>
    <t>EA066764</t>
  </si>
  <si>
    <t>라온텍</t>
  </si>
  <si>
    <t>EA097851</t>
  </si>
  <si>
    <t>라이온하트스튜디오</t>
  </si>
  <si>
    <t>EA085270</t>
  </si>
  <si>
    <t>레다즈</t>
  </si>
  <si>
    <t>EA013469</t>
  </si>
  <si>
    <t>EA075960</t>
  </si>
  <si>
    <t>레이저옵텍</t>
  </si>
  <si>
    <t>EA080998</t>
  </si>
  <si>
    <t>레진엔터테인먼트</t>
  </si>
  <si>
    <t>EA097645</t>
  </si>
  <si>
    <t>로고스필름</t>
  </si>
  <si>
    <t>EA010019</t>
  </si>
  <si>
    <t>롯데건설</t>
  </si>
  <si>
    <t>EA097857</t>
  </si>
  <si>
    <t>마스턴제81호도산150피에프브이</t>
  </si>
  <si>
    <t>EA088653</t>
  </si>
  <si>
    <t>마이지놈박스</t>
  </si>
  <si>
    <t>EA101636</t>
  </si>
  <si>
    <t>마이체크업</t>
  </si>
  <si>
    <t>마이크로투나노</t>
  </si>
  <si>
    <t>EA087849</t>
  </si>
  <si>
    <t>마인드웨어？p스</t>
  </si>
  <si>
    <t>EA071619</t>
  </si>
  <si>
    <t>맘스터치앤컴퍼니</t>
  </si>
  <si>
    <t>EA100120</t>
  </si>
  <si>
    <t>메디에이지</t>
  </si>
  <si>
    <t>EA084601</t>
  </si>
  <si>
    <t>모노리스</t>
  </si>
  <si>
    <t>EA084602</t>
  </si>
  <si>
    <t>모노리스제주파크</t>
  </si>
  <si>
    <t>EA100464</t>
  </si>
  <si>
    <t>모티브인텔리전스</t>
  </si>
  <si>
    <t>EA085571</t>
  </si>
  <si>
    <t>미라셀</t>
  </si>
  <si>
    <t>EA014631</t>
  </si>
  <si>
    <t>EA101543</t>
  </si>
  <si>
    <t>미래에셋글로벌제1호위탁관리부동산투자회사</t>
  </si>
  <si>
    <t>EA061617</t>
  </si>
  <si>
    <t>미래오토스</t>
  </si>
  <si>
    <t>EA100760</t>
  </si>
  <si>
    <t>미양3산업단지개발</t>
  </si>
  <si>
    <t>EA093100</t>
  </si>
  <si>
    <t>밀리의서재</t>
  </si>
  <si>
    <t>EA090704</t>
  </si>
  <si>
    <t>EA100388</t>
  </si>
  <si>
    <t>블루홀스튜디오</t>
  </si>
  <si>
    <t>비엘사이언스</t>
  </si>
  <si>
    <t>비즈마켓</t>
  </si>
  <si>
    <t>비즈테크아이</t>
  </si>
  <si>
    <t>EA100308</t>
  </si>
  <si>
    <t>비츠로이에스</t>
  </si>
  <si>
    <t>EA061412</t>
  </si>
  <si>
    <t>삼라마이다스</t>
  </si>
  <si>
    <t>EA100362</t>
  </si>
  <si>
    <t>상하농어촌테마공원유한회사</t>
  </si>
  <si>
    <t>EA101062</t>
  </si>
  <si>
    <t>세미티에스</t>
  </si>
  <si>
    <t>EA101363</t>
  </si>
  <si>
    <t>세븐브로이맥주</t>
  </si>
  <si>
    <t>EA101476</t>
  </si>
  <si>
    <t>세아베스틸</t>
  </si>
  <si>
    <t>EA101389</t>
  </si>
  <si>
    <t>EA097668</t>
  </si>
  <si>
    <t>세종전선</t>
  </si>
  <si>
    <t>EA097639</t>
  </si>
  <si>
    <t>셀론텍</t>
  </si>
  <si>
    <t>EA028934</t>
  </si>
  <si>
    <t>셀트리온스킨큐어</t>
  </si>
  <si>
    <t>소닉모터스</t>
  </si>
  <si>
    <t>EA014679</t>
  </si>
  <si>
    <t>EA097658</t>
  </si>
  <si>
    <t>솔머티리얼즈</t>
  </si>
  <si>
    <t>EA097656</t>
  </si>
  <si>
    <t>스토리위즈</t>
  </si>
  <si>
    <t>스틸싸이클</t>
  </si>
  <si>
    <t>EA097866</t>
  </si>
  <si>
    <t>스페클립스</t>
  </si>
  <si>
    <t>EA011850</t>
  </si>
  <si>
    <t>스포츠서울</t>
  </si>
  <si>
    <t>EA084657</t>
  </si>
  <si>
    <t>시지트로닉스</t>
  </si>
  <si>
    <t>EA070808</t>
  </si>
  <si>
    <t>신디프</t>
  </si>
  <si>
    <t>EA101527</t>
  </si>
  <si>
    <t>신한서부티엔디제1호위탁관리부동산투자회사</t>
  </si>
  <si>
    <t>EA101661</t>
  </si>
  <si>
    <t>신한케이제2호위탁관리부동산투자회사</t>
  </si>
  <si>
    <t>EA070112</t>
  </si>
  <si>
    <t>EA101466</t>
  </si>
  <si>
    <t>씨제스걸리버스튜디오</t>
  </si>
  <si>
    <t>EA070644</t>
  </si>
  <si>
    <t>씨제스엔터테인먼트</t>
  </si>
  <si>
    <t>EA100738</t>
  </si>
  <si>
    <t>씨피엘비</t>
  </si>
  <si>
    <t>EA089346</t>
  </si>
  <si>
    <t>아이리시스</t>
  </si>
  <si>
    <t>EA097642</t>
  </si>
  <si>
    <t>아이브이웍스</t>
  </si>
  <si>
    <t>EA088495</t>
  </si>
  <si>
    <t>아이씨티케이홀딩스</t>
  </si>
  <si>
    <t>EA100381</t>
  </si>
  <si>
    <t>아이지이</t>
  </si>
  <si>
    <t>EA097633</t>
  </si>
  <si>
    <t>아이큐어비앤피</t>
  </si>
  <si>
    <t>EA080454</t>
  </si>
  <si>
    <t>아이필름코퍼레이션</t>
  </si>
  <si>
    <t>EA097641</t>
  </si>
  <si>
    <t>아쿠아플라넷</t>
  </si>
  <si>
    <t>EA101448</t>
  </si>
  <si>
    <t>아크미디어</t>
  </si>
  <si>
    <t>EA093901</t>
  </si>
  <si>
    <t>EA101051</t>
  </si>
  <si>
    <t>애스톤사이언스</t>
  </si>
  <si>
    <t>EA097632</t>
  </si>
  <si>
    <t>에스비노브스</t>
  </si>
  <si>
    <t>에스비에스아이</t>
  </si>
  <si>
    <t>EA084253</t>
  </si>
  <si>
    <t>에스앤케이</t>
  </si>
  <si>
    <t>EA010861</t>
  </si>
  <si>
    <t>에스케이스페셜티</t>
  </si>
  <si>
    <t>EA097710</t>
  </si>
  <si>
    <t>에스케이어스온</t>
  </si>
  <si>
    <t>EA010028</t>
  </si>
  <si>
    <t>에스케이에코플랜트</t>
  </si>
  <si>
    <t>에스케이피유코어</t>
  </si>
  <si>
    <t>에쓰-오일토탈에너지스윤활유</t>
  </si>
  <si>
    <t>EA101312</t>
  </si>
  <si>
    <t>에이비엠홀딩스</t>
  </si>
  <si>
    <t>EA097848</t>
  </si>
  <si>
    <t>에이스바이옴</t>
  </si>
  <si>
    <t>EA101587</t>
  </si>
  <si>
    <t>에이스팩토리</t>
  </si>
  <si>
    <t>EA088183</t>
  </si>
  <si>
    <t>EA097667</t>
  </si>
  <si>
    <t>에이치디씨현대피씨이</t>
  </si>
  <si>
    <t>EA100212</t>
  </si>
  <si>
    <t>에이치앤파워</t>
  </si>
  <si>
    <t>EA100347</t>
  </si>
  <si>
    <t>에이치에스홀딩스</t>
  </si>
  <si>
    <t>에이치엘로지스앤코</t>
  </si>
  <si>
    <t>EA100385</t>
  </si>
  <si>
    <t>에퀴닉스코리아유한회사</t>
  </si>
  <si>
    <t>EA086073</t>
  </si>
  <si>
    <t>엑소스템텍</t>
  </si>
  <si>
    <t>EA029352</t>
  </si>
  <si>
    <t>EA097802</t>
  </si>
  <si>
    <t>엔에이치제5호위탁관리부동산투자회사</t>
  </si>
  <si>
    <t>EA097660</t>
  </si>
  <si>
    <t>엘에스아이티씨</t>
  </si>
  <si>
    <t>엘에스엠앤엠</t>
  </si>
  <si>
    <t>엘엑스판토스부산신항물류센터</t>
  </si>
  <si>
    <t>EA095644</t>
  </si>
  <si>
    <t>엘피엔</t>
  </si>
  <si>
    <t>EA096775</t>
  </si>
  <si>
    <t>엠아이큐브솔루션</t>
  </si>
  <si>
    <t>EA041702</t>
  </si>
  <si>
    <t>EA097781</t>
  </si>
  <si>
    <t>영화사월광</t>
  </si>
  <si>
    <t>EA093133</t>
  </si>
  <si>
    <t>오씨아이파워</t>
  </si>
  <si>
    <t>EA101048</t>
  </si>
  <si>
    <t>오엠씨</t>
  </si>
  <si>
    <t>오토허브셀카</t>
  </si>
  <si>
    <t>EA100240</t>
  </si>
  <si>
    <t>오픈놀</t>
  </si>
  <si>
    <t>EA097775</t>
  </si>
  <si>
    <t>우수AMI</t>
  </si>
  <si>
    <t>EA095059</t>
  </si>
  <si>
    <t>EA097756</t>
  </si>
  <si>
    <t>유니골프앤리조트</t>
  </si>
  <si>
    <t>EA097435</t>
  </si>
  <si>
    <t>유우일렉트로닉스</t>
  </si>
  <si>
    <t>EA072641</t>
  </si>
  <si>
    <t>유진테크놀로지</t>
  </si>
  <si>
    <t>EA052173</t>
  </si>
  <si>
    <t>유텔</t>
  </si>
  <si>
    <t>EA059363</t>
  </si>
  <si>
    <t>이머니</t>
  </si>
  <si>
    <t>EA097461</t>
  </si>
  <si>
    <t>이브이알스튜디오</t>
  </si>
  <si>
    <t>EA101471</t>
  </si>
  <si>
    <t>이에스알켄달스퀘어에셋2호위탁관리부동산투자회사</t>
  </si>
  <si>
    <t>EA101551</t>
  </si>
  <si>
    <t>인핸스드바이오</t>
  </si>
  <si>
    <t>EA089245</t>
  </si>
  <si>
    <t>일리아스바이오로직스</t>
  </si>
  <si>
    <t>EA077643</t>
  </si>
  <si>
    <t>잉카엔트웍스</t>
  </si>
  <si>
    <t>EA090621</t>
  </si>
  <si>
    <t>EA097743</t>
  </si>
  <si>
    <t>자이언트</t>
  </si>
  <si>
    <t>재믹스씨앤비</t>
  </si>
  <si>
    <t>EA097739</t>
  </si>
  <si>
    <t>제이더블유이노스퀘어피에프브이</t>
  </si>
  <si>
    <t>EA101649</t>
  </si>
  <si>
    <t>제이알제28호위탁관리부동산투자회사</t>
  </si>
  <si>
    <t>제이앤케이인더스트리</t>
  </si>
  <si>
    <t>EA029808</t>
  </si>
  <si>
    <t>EA043039</t>
  </si>
  <si>
    <t>제일엠앤에스</t>
  </si>
  <si>
    <t>EA092305</t>
  </si>
  <si>
    <t>지뉴브</t>
  </si>
  <si>
    <t>지씨지놈</t>
  </si>
  <si>
    <t>지엘케이에쿼티인베스트</t>
  </si>
  <si>
    <t>EA097684</t>
  </si>
  <si>
    <t>지역난방플러스</t>
  </si>
  <si>
    <t>EA097838</t>
  </si>
  <si>
    <t>지타운피에프브이</t>
  </si>
  <si>
    <t>EA097785</t>
  </si>
  <si>
    <t>지투지바이오</t>
  </si>
  <si>
    <t>EA097664</t>
  </si>
  <si>
    <t>지피씨</t>
  </si>
  <si>
    <t>EA097758</t>
  </si>
  <si>
    <t>진메디신</t>
  </si>
  <si>
    <t>진영</t>
  </si>
  <si>
    <t>EA019054</t>
  </si>
  <si>
    <t>진합</t>
  </si>
  <si>
    <t>EA062498</t>
  </si>
  <si>
    <t>EA097659</t>
  </si>
  <si>
    <t>청보산업</t>
  </si>
  <si>
    <t>카나리아바이오엠</t>
  </si>
  <si>
    <t>EA097861</t>
  </si>
  <si>
    <t>케이디탱크터미널</t>
  </si>
  <si>
    <t>EA101505</t>
  </si>
  <si>
    <t>케이비스타위탁관리부동산투자회사</t>
  </si>
  <si>
    <t>EA023237</t>
  </si>
  <si>
    <t>케이비아이텍</t>
  </si>
  <si>
    <t>EA097651</t>
  </si>
  <si>
    <t>케이솔라이호</t>
  </si>
  <si>
    <t>EA097650</t>
  </si>
  <si>
    <t>케이솔라일호</t>
  </si>
  <si>
    <t>케이엠파크</t>
  </si>
  <si>
    <t>EA047838</t>
  </si>
  <si>
    <t>케이웨더</t>
  </si>
  <si>
    <t>EA081347</t>
  </si>
  <si>
    <t>케이피티</t>
  </si>
  <si>
    <t>EA097655</t>
  </si>
  <si>
    <t>켄달스퀘어리츠운용</t>
  </si>
  <si>
    <t>EA101433</t>
  </si>
  <si>
    <t>코람코가치투자부동산제3의3호위탁관리자부동산투자회사</t>
  </si>
  <si>
    <t>EA101434</t>
  </si>
  <si>
    <t>코람코가치투자부동산제3의4호위탁관리자부동산투자회사</t>
  </si>
  <si>
    <t>EA100324</t>
  </si>
  <si>
    <t>코람코반포프로젝트금융투자</t>
  </si>
  <si>
    <t>EA101662</t>
  </si>
  <si>
    <t>코람코지속성장오피스제1의1호위탁관리자부동산투자회사</t>
  </si>
  <si>
    <t>EA101663</t>
  </si>
  <si>
    <t>코람코지속성장오피스제1의2호위탁관리자부동산투자회사</t>
  </si>
  <si>
    <t>EA101497</t>
  </si>
  <si>
    <t>코람코지속성장오피스제1호위탁관리모부동산투자회사</t>
  </si>
  <si>
    <t>EA072561</t>
  </si>
  <si>
    <t>코아시아넥셀</t>
  </si>
  <si>
    <t>EA029805</t>
  </si>
  <si>
    <t>콘텔라</t>
  </si>
  <si>
    <t>EA100734</t>
  </si>
  <si>
    <t>쿠팡대전풀필먼트제일차</t>
  </si>
  <si>
    <t>EA100732</t>
  </si>
  <si>
    <t>쿠팡페이</t>
  </si>
  <si>
    <t>EA100502</t>
  </si>
  <si>
    <t>퀄리타스반도체</t>
  </si>
  <si>
    <t>EA090901</t>
  </si>
  <si>
    <t>퀄슨</t>
  </si>
  <si>
    <t>EA101521</t>
  </si>
  <si>
    <t>큐익스프레스</t>
  </si>
  <si>
    <t>EA097637</t>
  </si>
  <si>
    <t>크리에이션엘</t>
  </si>
  <si>
    <t>EA100637</t>
  </si>
  <si>
    <t>킥더허들</t>
  </si>
  <si>
    <t>EA101042</t>
  </si>
  <si>
    <t>테크로스</t>
  </si>
  <si>
    <t>EA087461</t>
  </si>
  <si>
    <t>테토스</t>
  </si>
  <si>
    <t>EA101040</t>
  </si>
  <si>
    <t>텐텍</t>
  </si>
  <si>
    <t>EA097264</t>
  </si>
  <si>
    <t>템퍼스</t>
  </si>
  <si>
    <t>EA097742</t>
  </si>
  <si>
    <t>토모큐브</t>
  </si>
  <si>
    <t>EA078228</t>
  </si>
  <si>
    <t>트레져헌터</t>
  </si>
  <si>
    <t>EA082022</t>
  </si>
  <si>
    <t>티디에스팜</t>
  </si>
  <si>
    <t>EA091662</t>
  </si>
  <si>
    <t>티디엘</t>
  </si>
  <si>
    <t>EA097784</t>
  </si>
  <si>
    <t>티에스에너지25호</t>
  </si>
  <si>
    <t>EA048753</t>
  </si>
  <si>
    <t>팍트라인터내셔널</t>
  </si>
  <si>
    <t>EA101383</t>
  </si>
  <si>
    <t>퍼시픽물류전문제1호위탁관리부동산투자회사</t>
  </si>
  <si>
    <t>EA100766</t>
  </si>
  <si>
    <t>페리지에어로스페이스</t>
  </si>
  <si>
    <t>EA085634</t>
  </si>
  <si>
    <t>펜타브리드</t>
  </si>
  <si>
    <t>EA101327</t>
  </si>
  <si>
    <t>포스코</t>
  </si>
  <si>
    <t>EA097447</t>
  </si>
  <si>
    <t>EA091134</t>
  </si>
  <si>
    <t>퓨어만</t>
  </si>
  <si>
    <t>EA100221</t>
  </si>
  <si>
    <t>EA100624</t>
  </si>
  <si>
    <t>피아이이</t>
  </si>
  <si>
    <t>피케이밸브앤엔지니어링</t>
  </si>
  <si>
    <t>EA100322</t>
  </si>
  <si>
    <t>하나더블유엘에스</t>
  </si>
  <si>
    <t>EA101646</t>
  </si>
  <si>
    <t>하마마츠포토닉스코리아</t>
  </si>
  <si>
    <t>EA072924</t>
  </si>
  <si>
    <t>EA100330</t>
  </si>
  <si>
    <t>하이픈코퍼레이션</t>
  </si>
  <si>
    <t>EA100755</t>
  </si>
  <si>
    <t>한강로지스</t>
  </si>
  <si>
    <t>EA097727</t>
  </si>
  <si>
    <t>한국미디어테크</t>
  </si>
  <si>
    <t>EA019812</t>
  </si>
  <si>
    <t>한국세르비에</t>
  </si>
  <si>
    <t>EA019873</t>
  </si>
  <si>
    <t>한국에스엠씨</t>
  </si>
  <si>
    <t>EA020047</t>
  </si>
  <si>
    <t>한국화낙</t>
  </si>
  <si>
    <t>EA057465</t>
  </si>
  <si>
    <t>한국화낙서비스</t>
  </si>
  <si>
    <t>EA011554</t>
  </si>
  <si>
    <t>EA014712</t>
  </si>
  <si>
    <t>한프</t>
  </si>
  <si>
    <t>EA097754</t>
  </si>
  <si>
    <t>한화생명금융서비스</t>
  </si>
  <si>
    <t>EA101677</t>
  </si>
  <si>
    <t>한화위탁관리부동산투자회사</t>
  </si>
  <si>
    <t>EA097766</t>
  </si>
  <si>
    <t>현대네비스</t>
  </si>
  <si>
    <t>EA020399</t>
  </si>
  <si>
    <t>현진소재</t>
  </si>
  <si>
    <t>EA097762</t>
  </si>
  <si>
    <t>호남환경에너지</t>
  </si>
  <si>
    <t>EA100754</t>
  </si>
  <si>
    <t>후성글로벌</t>
  </si>
  <si>
    <t>휴스토리</t>
  </si>
  <si>
    <t>신한이지손해보험</t>
  </si>
  <si>
    <t>EA097738</t>
  </si>
  <si>
    <t>메테우스자산운용</t>
  </si>
  <si>
    <t>EA098209</t>
  </si>
  <si>
    <t>바로자산운용</t>
  </si>
  <si>
    <t>EA101424</t>
  </si>
  <si>
    <t>비엔비자산운용</t>
  </si>
  <si>
    <t>EA101384</t>
  </si>
  <si>
    <t>신영부동산신탁</t>
  </si>
  <si>
    <t>EA098597</t>
  </si>
  <si>
    <t>신한에이아이</t>
  </si>
  <si>
    <t>신한투자증권</t>
  </si>
  <si>
    <t>EA057480</t>
  </si>
  <si>
    <t>씨비알이인베스트먼트매니지먼트자산운용</t>
  </si>
  <si>
    <t>EA098077</t>
  </si>
  <si>
    <t>엘비자산운용</t>
  </si>
  <si>
    <t>EA098317</t>
  </si>
  <si>
    <t>제이엠씨자산운용</t>
  </si>
  <si>
    <t>EA101429</t>
  </si>
  <si>
    <t>토러스자산운용</t>
  </si>
  <si>
    <t>EA088256</t>
  </si>
  <si>
    <t>트리니티자산운용</t>
  </si>
  <si>
    <t>EA096974</t>
  </si>
  <si>
    <t>푸른파트너스자산운용</t>
  </si>
  <si>
    <t>프랭클린템플턴투자자문</t>
  </si>
  <si>
    <t>하나증권</t>
  </si>
  <si>
    <t>EA101380</t>
  </si>
  <si>
    <t>한국채권투자운용</t>
  </si>
  <si>
    <t>EA098578</t>
  </si>
  <si>
    <t>헤리티지자산운용</t>
  </si>
  <si>
    <t>EA101501</t>
  </si>
  <si>
    <t>대신밸런스제13호기업인수목적</t>
  </si>
  <si>
    <t>EA101613</t>
  </si>
  <si>
    <t>대신밸런스제14호기업인수목적</t>
  </si>
  <si>
    <t>EA101599</t>
  </si>
  <si>
    <t>미래에셋드림기업인수목적1호</t>
  </si>
  <si>
    <t>EA101633</t>
  </si>
  <si>
    <t>미래에셋비전기업인수목적2호</t>
  </si>
  <si>
    <t>EA101632</t>
  </si>
  <si>
    <t>신영해피투모로우제9호기업인수목적</t>
  </si>
  <si>
    <t>신한자산신탁</t>
  </si>
  <si>
    <t>EA101486</t>
  </si>
  <si>
    <t>에스케이증권제8호기업인수목적</t>
  </si>
  <si>
    <t>EA101480</t>
  </si>
  <si>
    <t>엔에이치기업인수목적24호</t>
  </si>
  <si>
    <t>EA101606</t>
  </si>
  <si>
    <t>엔에이치기업인수목적26호</t>
  </si>
  <si>
    <t>EA101617</t>
  </si>
  <si>
    <t>엔에이치기업인수목적27호</t>
  </si>
  <si>
    <t>엠비케이파트너스유한책임회사</t>
  </si>
  <si>
    <t>EA101479</t>
  </si>
  <si>
    <t>유안타제10호기업인수목적</t>
  </si>
  <si>
    <t>EA101315</t>
  </si>
  <si>
    <t>케이비제21호기업인수목적</t>
  </si>
  <si>
    <t>EA101468</t>
  </si>
  <si>
    <t>케이비제22호기업인수목적</t>
  </si>
  <si>
    <t>EA088516</t>
  </si>
  <si>
    <t>케이프이에스제4호기업인수목적</t>
  </si>
  <si>
    <t>EA101438</t>
  </si>
  <si>
    <t>키움제7호기업인수목적</t>
  </si>
  <si>
    <t>EA101452</t>
  </si>
  <si>
    <t>하나금융23호기업인수목적</t>
  </si>
  <si>
    <t>EA101459</t>
  </si>
  <si>
    <t>하나금융24호기업인수목적</t>
  </si>
  <si>
    <t>EA101475</t>
  </si>
  <si>
    <t>하나금융25호기업인수목적</t>
  </si>
  <si>
    <t>EA084182</t>
  </si>
  <si>
    <t>하나머스트제6호기업인수목적</t>
  </si>
  <si>
    <t>EA101469</t>
  </si>
  <si>
    <t>한국제11호기업인수목적</t>
  </si>
  <si>
    <t>EA101482</t>
  </si>
  <si>
    <t>한화플러스제3호기업인수목적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</si>
</sst>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??,???,???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20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9"/>
      <color rgb="FF000000"/>
      <name val="굴림"/>
      <family val="3"/>
      <charset val="129"/>
    </font>
    <font>
      <sz val="10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0" fillId="3" borderId="0" xfId="0" applyFill="1">
      <alignment vertical="center"/>
    </xf>
    <xf numFmtId="49" fontId="0" fillId="0" borderId="0" xfId="0" applyNumberFormat="1">
      <alignment vertical="center"/>
    </xf>
    <xf numFmtId="49" fontId="0" fillId="5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0" fillId="0" borderId="0" xfId="0" applyAlignment="1">
      <alignment horizontal="left" vertical="center"/>
    </xf>
    <xf numFmtId="49" fontId="0" fillId="0" borderId="0" xfId="0" quotePrefix="1" applyNumberFormat="1">
      <alignment vertical="center"/>
    </xf>
    <xf numFmtId="0" fontId="0" fillId="0" borderId="0" xfId="0" applyNumberFormat="1">
      <alignment vertical="center"/>
    </xf>
    <xf numFmtId="0" fontId="0" fillId="4" borderId="0" xfId="0" applyNumberFormat="1" applyFill="1">
      <alignment vertical="center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4" fontId="0" fillId="0" borderId="0" xfId="0" applyNumberFormat="1" applyAlignment="1">
      <alignment horizontal="center" vertical="center"/>
    </xf>
    <xf numFmtId="0" fontId="0" fillId="2" borderId="0" xfId="0" applyFill="1" applyBorder="1">
      <alignment vertical="center"/>
    </xf>
    <xf numFmtId="176" fontId="0" fillId="0" borderId="0" xfId="0" applyNumberFormat="1">
      <alignment vertical="center"/>
    </xf>
    <xf numFmtId="0" fontId="0" fillId="0" borderId="0" xfId="0" applyFill="1" applyBorder="1">
      <alignment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0" fontId="4" fillId="7" borderId="12" xfId="0" applyFont="1" applyFill="1" applyBorder="1" applyAlignment="1">
      <alignment horizontal="right" vertical="center"/>
    </xf>
    <xf numFmtId="0" fontId="0" fillId="0" borderId="13" xfId="0" applyBorder="1">
      <alignment vertical="center"/>
    </xf>
    <xf numFmtId="14" fontId="0" fillId="0" borderId="11" xfId="0" applyNumberFormat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22" fontId="0" fillId="0" borderId="14" xfId="0" applyNumberFormat="1" applyBorder="1">
      <alignment vertical="center"/>
    </xf>
    <xf numFmtId="0" fontId="0" fillId="0" borderId="5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3" fillId="8" borderId="0" xfId="0" applyFont="1" applyFill="1" applyAlignment="1">
      <alignment horizontal="left" vertical="center"/>
    </xf>
  </cellXfs>
  <cellStyles count="1">
    <cellStyle name="표준" xfId="0" builtinId="0"/>
  </cellStyles>
  <dxfs count="2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>
        <v>0</v>
        <stp/>
        <stp>H</stp>
        <stp>x2.1gOF</stp>
        <stp>59</stp>
        <stp>1054504</stp>
        <tr r="A6" s="1"/>
      </tp>
      <tp>
        <v>0</v>
        <stp/>
        <stp>H</stp>
        <stp>x1.1gOF</stp>
        <stp>58</stp>
        <stp>1054504</stp>
        <tr r="G6" s="1"/>
      </tp>
      <tp>
        <v>0</v>
        <stp/>
        <stp>H</stp>
        <stp>x3.1gOF</stp>
        <stp>60</stp>
        <stp>1054504</stp>
        <tr r="D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영업이익</a:t>
            </a:r>
          </a:p>
        </c:rich>
      </c:tx>
      <c:layout>
        <c:manualLayout>
          <c:xMode val="edge"/>
          <c:yMode val="edge"/>
          <c:x val="0.3117831790123457"/>
          <c:y val="4.3117283950617286E-2"/>
        </c:manualLayout>
      </c:layout>
      <c:overlay val="1"/>
      <c:spPr>
        <a:solidFill>
          <a:schemeClr val="bg1"/>
        </a:solidFill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raw!$W$1</c:f>
              <c:strCache>
                <c:ptCount val="1"/>
                <c:pt idx="0">
                  <c:v>쿠팡</c:v>
                </c:pt>
              </c:strCache>
            </c:strRef>
          </c:tx>
          <c:cat>
            <c:numRef>
              <c:f>raw!$N$2:$N$41</c:f>
              <c:numCache>
                <c:formatCode>m/d/yyyy</c:formatCode>
                <c:ptCount val="40"/>
                <c:pt idx="0">
                  <c:v>37256</c:v>
                </c:pt>
                <c:pt idx="1">
                  <c:v>37621</c:v>
                </c:pt>
                <c:pt idx="2">
                  <c:v>37986</c:v>
                </c:pt>
                <c:pt idx="3">
                  <c:v>38352</c:v>
                </c:pt>
                <c:pt idx="4">
                  <c:v>38717</c:v>
                </c:pt>
                <c:pt idx="5">
                  <c:v>39082</c:v>
                </c:pt>
                <c:pt idx="6">
                  <c:v>39447</c:v>
                </c:pt>
                <c:pt idx="7">
                  <c:v>39813</c:v>
                </c:pt>
                <c:pt idx="8">
                  <c:v>40178</c:v>
                </c:pt>
                <c:pt idx="9">
                  <c:v>40543</c:v>
                </c:pt>
                <c:pt idx="10">
                  <c:v>40908</c:v>
                </c:pt>
                <c:pt idx="11">
                  <c:v>41274</c:v>
                </c:pt>
                <c:pt idx="12">
                  <c:v>41639</c:v>
                </c:pt>
                <c:pt idx="13">
                  <c:v>42004</c:v>
                </c:pt>
                <c:pt idx="14">
                  <c:v>42369</c:v>
                </c:pt>
                <c:pt idx="15">
                  <c:v>42735</c:v>
                </c:pt>
                <c:pt idx="16">
                  <c:v>43100</c:v>
                </c:pt>
                <c:pt idx="17">
                  <c:v>43465</c:v>
                </c:pt>
                <c:pt idx="18">
                  <c:v>43830</c:v>
                </c:pt>
                <c:pt idx="19">
                  <c:v>44196</c:v>
                </c:pt>
                <c:pt idx="20">
                  <c:v>44561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cat>
          <c:val>
            <c:numRef>
              <c:f>raw!$W$2:$W$41</c:f>
              <c:numCache>
                <c:formatCode>General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-547013000</c:v>
                </c:pt>
                <c:pt idx="15">
                  <c:v>-565270000</c:v>
                </c:pt>
                <c:pt idx="16">
                  <c:v>-638897000</c:v>
                </c:pt>
                <c:pt idx="17">
                  <c:v>-1127964000</c:v>
                </c:pt>
                <c:pt idx="18">
                  <c:v>-720529000</c:v>
                </c:pt>
                <c:pt idx="19">
                  <c:v>-550430000</c:v>
                </c:pt>
                <c:pt idx="20">
                  <c:v>-1120881000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98-46A6-8C39-674A9930D6DA}"/>
            </c:ext>
          </c:extLst>
        </c:ser>
        <c:ser>
          <c:idx val="1"/>
          <c:order val="1"/>
          <c:tx>
            <c:strRef>
              <c:f>raw!$X$1</c:f>
              <c:strCache>
                <c:ptCount val="1"/>
                <c:pt idx="0">
                  <c:v>카카오</c:v>
                </c:pt>
              </c:strCache>
            </c:strRef>
          </c:tx>
          <c:cat>
            <c:numRef>
              <c:f>raw!$N$2:$N$41</c:f>
              <c:numCache>
                <c:formatCode>m/d/yyyy</c:formatCode>
                <c:ptCount val="40"/>
                <c:pt idx="0">
                  <c:v>37256</c:v>
                </c:pt>
                <c:pt idx="1">
                  <c:v>37621</c:v>
                </c:pt>
                <c:pt idx="2">
                  <c:v>37986</c:v>
                </c:pt>
                <c:pt idx="3">
                  <c:v>38352</c:v>
                </c:pt>
                <c:pt idx="4">
                  <c:v>38717</c:v>
                </c:pt>
                <c:pt idx="5">
                  <c:v>39082</c:v>
                </c:pt>
                <c:pt idx="6">
                  <c:v>39447</c:v>
                </c:pt>
                <c:pt idx="7">
                  <c:v>39813</c:v>
                </c:pt>
                <c:pt idx="8">
                  <c:v>40178</c:v>
                </c:pt>
                <c:pt idx="9">
                  <c:v>40543</c:v>
                </c:pt>
                <c:pt idx="10">
                  <c:v>40908</c:v>
                </c:pt>
                <c:pt idx="11">
                  <c:v>41274</c:v>
                </c:pt>
                <c:pt idx="12">
                  <c:v>41639</c:v>
                </c:pt>
                <c:pt idx="13">
                  <c:v>42004</c:v>
                </c:pt>
                <c:pt idx="14">
                  <c:v>42369</c:v>
                </c:pt>
                <c:pt idx="15">
                  <c:v>42735</c:v>
                </c:pt>
                <c:pt idx="16">
                  <c:v>43100</c:v>
                </c:pt>
                <c:pt idx="17">
                  <c:v>43465</c:v>
                </c:pt>
                <c:pt idx="18">
                  <c:v>43830</c:v>
                </c:pt>
                <c:pt idx="19">
                  <c:v>44196</c:v>
                </c:pt>
                <c:pt idx="20">
                  <c:v>44561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cat>
          <c:val>
            <c:numRef>
              <c:f>raw!$X$2:$X$41</c:f>
              <c:numCache>
                <c:formatCode>General</c:formatCode>
                <c:ptCount val="40"/>
                <c:pt idx="0">
                  <c:v>-7882925</c:v>
                </c:pt>
                <c:pt idx="1">
                  <c:v>12698479</c:v>
                </c:pt>
                <c:pt idx="2">
                  <c:v>#N/A</c:v>
                </c:pt>
                <c:pt idx="3">
                  <c:v>1240238</c:v>
                </c:pt>
                <c:pt idx="4">
                  <c:v>-16339541</c:v>
                </c:pt>
                <c:pt idx="5">
                  <c:v>13125384</c:v>
                </c:pt>
                <c:pt idx="6">
                  <c:v>#N/A</c:v>
                </c:pt>
                <c:pt idx="7">
                  <c:v>40626379</c:v>
                </c:pt>
                <c:pt idx="8">
                  <c:v>44033371</c:v>
                </c:pt>
                <c:pt idx="9">
                  <c:v>92647538</c:v>
                </c:pt>
                <c:pt idx="10">
                  <c:v>116754641</c:v>
                </c:pt>
                <c:pt idx="11">
                  <c:v>101756984</c:v>
                </c:pt>
                <c:pt idx="12">
                  <c:v>65852344</c:v>
                </c:pt>
                <c:pt idx="13">
                  <c:v>176427094</c:v>
                </c:pt>
                <c:pt idx="14">
                  <c:v>88588297</c:v>
                </c:pt>
                <c:pt idx="15">
                  <c:v>116135056</c:v>
                </c:pt>
                <c:pt idx="16">
                  <c:v>165379528</c:v>
                </c:pt>
                <c:pt idx="17">
                  <c:v>72948890</c:v>
                </c:pt>
                <c:pt idx="18">
                  <c:v>206786222</c:v>
                </c:pt>
                <c:pt idx="19">
                  <c:v>455855515</c:v>
                </c:pt>
                <c:pt idx="20">
                  <c:v>594916913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198-46A6-8C39-674A9930D6DA}"/>
            </c:ext>
          </c:extLst>
        </c:ser>
        <c:ser>
          <c:idx val="2"/>
          <c:order val="2"/>
          <c:tx>
            <c:strRef>
              <c:f>raw!$Y$1</c:f>
              <c:strCache>
                <c:ptCount val="1"/>
                <c:pt idx="0">
                  <c:v>NAVER</c:v>
                </c:pt>
              </c:strCache>
            </c:strRef>
          </c:tx>
          <c:cat>
            <c:numRef>
              <c:f>raw!$N$2:$N$41</c:f>
              <c:numCache>
                <c:formatCode>m/d/yyyy</c:formatCode>
                <c:ptCount val="40"/>
                <c:pt idx="0">
                  <c:v>37256</c:v>
                </c:pt>
                <c:pt idx="1">
                  <c:v>37621</c:v>
                </c:pt>
                <c:pt idx="2">
                  <c:v>37986</c:v>
                </c:pt>
                <c:pt idx="3">
                  <c:v>38352</c:v>
                </c:pt>
                <c:pt idx="4">
                  <c:v>38717</c:v>
                </c:pt>
                <c:pt idx="5">
                  <c:v>39082</c:v>
                </c:pt>
                <c:pt idx="6">
                  <c:v>39447</c:v>
                </c:pt>
                <c:pt idx="7">
                  <c:v>39813</c:v>
                </c:pt>
                <c:pt idx="8">
                  <c:v>40178</c:v>
                </c:pt>
                <c:pt idx="9">
                  <c:v>40543</c:v>
                </c:pt>
                <c:pt idx="10">
                  <c:v>40908</c:v>
                </c:pt>
                <c:pt idx="11">
                  <c:v>41274</c:v>
                </c:pt>
                <c:pt idx="12">
                  <c:v>41639</c:v>
                </c:pt>
                <c:pt idx="13">
                  <c:v>42004</c:v>
                </c:pt>
                <c:pt idx="14">
                  <c:v>42369</c:v>
                </c:pt>
                <c:pt idx="15">
                  <c:v>42735</c:v>
                </c:pt>
                <c:pt idx="16">
                  <c:v>43100</c:v>
                </c:pt>
                <c:pt idx="17">
                  <c:v>43465</c:v>
                </c:pt>
                <c:pt idx="18">
                  <c:v>43830</c:v>
                </c:pt>
                <c:pt idx="19">
                  <c:v>44196</c:v>
                </c:pt>
                <c:pt idx="20">
                  <c:v>44561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cat>
          <c:val>
            <c:numRef>
              <c:f>raw!$Y$2:$Y$41</c:f>
              <c:numCache>
                <c:formatCode>General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68631684</c:v>
                </c:pt>
                <c:pt idx="4">
                  <c:v>109674008</c:v>
                </c:pt>
                <c:pt idx="5">
                  <c:v>233816485</c:v>
                </c:pt>
                <c:pt idx="6">
                  <c:v>401307786</c:v>
                </c:pt>
                <c:pt idx="7">
                  <c:v>508573353</c:v>
                </c:pt>
                <c:pt idx="8">
                  <c:v>579007952</c:v>
                </c:pt>
                <c:pt idx="9">
                  <c:v>590372766</c:v>
                </c:pt>
                <c:pt idx="10">
                  <c:v>660352453</c:v>
                </c:pt>
                <c:pt idx="11">
                  <c:v>521187072</c:v>
                </c:pt>
                <c:pt idx="12">
                  <c:v>506538818</c:v>
                </c:pt>
                <c:pt idx="13">
                  <c:v>758199066</c:v>
                </c:pt>
                <c:pt idx="14">
                  <c:v>830224961</c:v>
                </c:pt>
                <c:pt idx="15">
                  <c:v>1102040476</c:v>
                </c:pt>
                <c:pt idx="16">
                  <c:v>1179187806</c:v>
                </c:pt>
                <c:pt idx="17">
                  <c:v>942532562</c:v>
                </c:pt>
                <c:pt idx="18">
                  <c:v>1155025444</c:v>
                </c:pt>
                <c:pt idx="19">
                  <c:v>1215342457</c:v>
                </c:pt>
                <c:pt idx="20">
                  <c:v>1325478171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198-46A6-8C39-674A9930D6DA}"/>
            </c:ext>
          </c:extLst>
        </c:ser>
        <c:ser>
          <c:idx val="3"/>
          <c:order val="3"/>
          <c:tx>
            <c:strRef>
              <c:f>raw!$Z$1</c:f>
              <c:strCache>
                <c:ptCount val="1"/>
                <c:pt idx="0">
                  <c:v>#N/A</c:v>
                </c:pt>
              </c:strCache>
            </c:strRef>
          </c:tx>
          <c:cat>
            <c:numRef>
              <c:f>raw!$N$2:$N$41</c:f>
              <c:numCache>
                <c:formatCode>m/d/yyyy</c:formatCode>
                <c:ptCount val="40"/>
                <c:pt idx="0">
                  <c:v>37256</c:v>
                </c:pt>
                <c:pt idx="1">
                  <c:v>37621</c:v>
                </c:pt>
                <c:pt idx="2">
                  <c:v>37986</c:v>
                </c:pt>
                <c:pt idx="3">
                  <c:v>38352</c:v>
                </c:pt>
                <c:pt idx="4">
                  <c:v>38717</c:v>
                </c:pt>
                <c:pt idx="5">
                  <c:v>39082</c:v>
                </c:pt>
                <c:pt idx="6">
                  <c:v>39447</c:v>
                </c:pt>
                <c:pt idx="7">
                  <c:v>39813</c:v>
                </c:pt>
                <c:pt idx="8">
                  <c:v>40178</c:v>
                </c:pt>
                <c:pt idx="9">
                  <c:v>40543</c:v>
                </c:pt>
                <c:pt idx="10">
                  <c:v>40908</c:v>
                </c:pt>
                <c:pt idx="11">
                  <c:v>41274</c:v>
                </c:pt>
                <c:pt idx="12">
                  <c:v>41639</c:v>
                </c:pt>
                <c:pt idx="13">
                  <c:v>42004</c:v>
                </c:pt>
                <c:pt idx="14">
                  <c:v>42369</c:v>
                </c:pt>
                <c:pt idx="15">
                  <c:v>42735</c:v>
                </c:pt>
                <c:pt idx="16">
                  <c:v>43100</c:v>
                </c:pt>
                <c:pt idx="17">
                  <c:v>43465</c:v>
                </c:pt>
                <c:pt idx="18">
                  <c:v>43830</c:v>
                </c:pt>
                <c:pt idx="19">
                  <c:v>44196</c:v>
                </c:pt>
                <c:pt idx="20">
                  <c:v>44561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cat>
          <c:val>
            <c:numRef>
              <c:f>raw!$Z$2:$Z$41</c:f>
              <c:numCache>
                <c:formatCode>General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198-46A6-8C39-674A9930D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512384"/>
        <c:axId val="236513920"/>
      </c:lineChart>
      <c:dateAx>
        <c:axId val="236512384"/>
        <c:scaling>
          <c:orientation val="minMax"/>
        </c:scaling>
        <c:delete val="0"/>
        <c:axPos val="b"/>
        <c:numFmt formatCode="yy" sourceLinked="0"/>
        <c:majorTickMark val="cross"/>
        <c:minorTickMark val="none"/>
        <c:tickLblPos val="nextTo"/>
        <c:txPr>
          <a:bodyPr/>
          <a:lstStyle/>
          <a:p>
            <a:pPr>
              <a:defRPr b="1">
                <a:solidFill>
                  <a:sysClr val="windowText" lastClr="000000"/>
                </a:solidFill>
              </a:defRPr>
            </a:pPr>
            <a:endParaRPr lang="ko-KR"/>
          </a:p>
        </c:txPr>
        <c:crossAx val="236513920"/>
        <c:crossesAt val="-1.0000000000000002E+54"/>
        <c:auto val="1"/>
        <c:lblOffset val="100"/>
        <c:baseTimeUnit val="years"/>
      </c:dateAx>
      <c:valAx>
        <c:axId val="2365139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numFmt formatCode="#,##0_ " sourceLinked="0"/>
        <c:majorTickMark val="none"/>
        <c:minorTickMark val="none"/>
        <c:tickLblPos val="nextTo"/>
        <c:crossAx val="236512384"/>
        <c:crosses val="autoZero"/>
        <c:crossBetween val="midCat"/>
        <c:dispUnits>
          <c:builtInUnit val="millions"/>
        </c:dispUnits>
      </c:valAx>
    </c:plotArea>
    <c:legend>
      <c:legendPos val="l"/>
      <c:layout>
        <c:manualLayout>
          <c:xMode val="edge"/>
          <c:yMode val="edge"/>
          <c:x val="0.10107978395061727"/>
          <c:y val="4.163611111111111E-2"/>
          <c:w val="0.1827780864197531"/>
          <c:h val="0.1933679012345679"/>
        </c:manualLayout>
      </c:layout>
      <c:overlay val="1"/>
      <c:spPr>
        <a:solidFill>
          <a:schemeClr val="bg1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누적 영업이익</a:t>
            </a:r>
          </a:p>
        </c:rich>
      </c:tx>
      <c:layout>
        <c:manualLayout>
          <c:xMode val="edge"/>
          <c:yMode val="edge"/>
          <c:x val="0.33398742544425997"/>
          <c:y val="0.10189898730552167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raw!$AA$1</c:f>
              <c:strCache>
                <c:ptCount val="1"/>
                <c:pt idx="0">
                  <c:v>쿠팡</c:v>
                </c:pt>
              </c:strCache>
            </c:strRef>
          </c:tx>
          <c:marker>
            <c:symbol val="none"/>
          </c:marker>
          <c:cat>
            <c:numRef>
              <c:f>raw!$N$2:$N$41</c:f>
              <c:numCache>
                <c:formatCode>m/d/yyyy</c:formatCode>
                <c:ptCount val="40"/>
                <c:pt idx="0">
                  <c:v>37256</c:v>
                </c:pt>
                <c:pt idx="1">
                  <c:v>37621</c:v>
                </c:pt>
                <c:pt idx="2">
                  <c:v>37986</c:v>
                </c:pt>
                <c:pt idx="3">
                  <c:v>38352</c:v>
                </c:pt>
                <c:pt idx="4">
                  <c:v>38717</c:v>
                </c:pt>
                <c:pt idx="5">
                  <c:v>39082</c:v>
                </c:pt>
                <c:pt idx="6">
                  <c:v>39447</c:v>
                </c:pt>
                <c:pt idx="7">
                  <c:v>39813</c:v>
                </c:pt>
                <c:pt idx="8">
                  <c:v>40178</c:v>
                </c:pt>
                <c:pt idx="9">
                  <c:v>40543</c:v>
                </c:pt>
                <c:pt idx="10">
                  <c:v>40908</c:v>
                </c:pt>
                <c:pt idx="11">
                  <c:v>41274</c:v>
                </c:pt>
                <c:pt idx="12">
                  <c:v>41639</c:v>
                </c:pt>
                <c:pt idx="13">
                  <c:v>42004</c:v>
                </c:pt>
                <c:pt idx="14">
                  <c:v>42369</c:v>
                </c:pt>
                <c:pt idx="15">
                  <c:v>42735</c:v>
                </c:pt>
                <c:pt idx="16">
                  <c:v>43100</c:v>
                </c:pt>
                <c:pt idx="17">
                  <c:v>43465</c:v>
                </c:pt>
                <c:pt idx="18">
                  <c:v>43830</c:v>
                </c:pt>
                <c:pt idx="19">
                  <c:v>44196</c:v>
                </c:pt>
                <c:pt idx="20">
                  <c:v>44561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cat>
          <c:val>
            <c:numRef>
              <c:f>raw!$AA$2:$AA$41</c:f>
              <c:numCache>
                <c:formatCode>General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-547013000</c:v>
                </c:pt>
                <c:pt idx="15">
                  <c:v>-1112283000</c:v>
                </c:pt>
                <c:pt idx="16">
                  <c:v>-1751180000</c:v>
                </c:pt>
                <c:pt idx="17">
                  <c:v>-2879144000</c:v>
                </c:pt>
                <c:pt idx="18">
                  <c:v>-3599673000</c:v>
                </c:pt>
                <c:pt idx="19">
                  <c:v>-4150103000</c:v>
                </c:pt>
                <c:pt idx="20">
                  <c:v>-5270984000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A5E-493F-94CE-A57F085E1DEC}"/>
            </c:ext>
          </c:extLst>
        </c:ser>
        <c:ser>
          <c:idx val="1"/>
          <c:order val="1"/>
          <c:tx>
            <c:strRef>
              <c:f>raw!$AB$1</c:f>
              <c:strCache>
                <c:ptCount val="1"/>
                <c:pt idx="0">
                  <c:v>카카오</c:v>
                </c:pt>
              </c:strCache>
            </c:strRef>
          </c:tx>
          <c:marker>
            <c:symbol val="none"/>
          </c:marker>
          <c:cat>
            <c:numRef>
              <c:f>raw!$N$2:$N$41</c:f>
              <c:numCache>
                <c:formatCode>m/d/yyyy</c:formatCode>
                <c:ptCount val="40"/>
                <c:pt idx="0">
                  <c:v>37256</c:v>
                </c:pt>
                <c:pt idx="1">
                  <c:v>37621</c:v>
                </c:pt>
                <c:pt idx="2">
                  <c:v>37986</c:v>
                </c:pt>
                <c:pt idx="3">
                  <c:v>38352</c:v>
                </c:pt>
                <c:pt idx="4">
                  <c:v>38717</c:v>
                </c:pt>
                <c:pt idx="5">
                  <c:v>39082</c:v>
                </c:pt>
                <c:pt idx="6">
                  <c:v>39447</c:v>
                </c:pt>
                <c:pt idx="7">
                  <c:v>39813</c:v>
                </c:pt>
                <c:pt idx="8">
                  <c:v>40178</c:v>
                </c:pt>
                <c:pt idx="9">
                  <c:v>40543</c:v>
                </c:pt>
                <c:pt idx="10">
                  <c:v>40908</c:v>
                </c:pt>
                <c:pt idx="11">
                  <c:v>41274</c:v>
                </c:pt>
                <c:pt idx="12">
                  <c:v>41639</c:v>
                </c:pt>
                <c:pt idx="13">
                  <c:v>42004</c:v>
                </c:pt>
                <c:pt idx="14">
                  <c:v>42369</c:v>
                </c:pt>
                <c:pt idx="15">
                  <c:v>42735</c:v>
                </c:pt>
                <c:pt idx="16">
                  <c:v>43100</c:v>
                </c:pt>
                <c:pt idx="17">
                  <c:v>43465</c:v>
                </c:pt>
                <c:pt idx="18">
                  <c:v>43830</c:v>
                </c:pt>
                <c:pt idx="19">
                  <c:v>44196</c:v>
                </c:pt>
                <c:pt idx="20">
                  <c:v>44561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cat>
          <c:val>
            <c:numRef>
              <c:f>raw!$AB$2:$AB$41</c:f>
              <c:numCache>
                <c:formatCode>General</c:formatCode>
                <c:ptCount val="40"/>
                <c:pt idx="0">
                  <c:v>-7882925</c:v>
                </c:pt>
                <c:pt idx="1">
                  <c:v>4815554</c:v>
                </c:pt>
                <c:pt idx="2">
                  <c:v>#N/A</c:v>
                </c:pt>
                <c:pt idx="3">
                  <c:v>6055792</c:v>
                </c:pt>
                <c:pt idx="4">
                  <c:v>-10283749</c:v>
                </c:pt>
                <c:pt idx="5">
                  <c:v>2841635</c:v>
                </c:pt>
                <c:pt idx="6">
                  <c:v>#N/A</c:v>
                </c:pt>
                <c:pt idx="7">
                  <c:v>43468014</c:v>
                </c:pt>
                <c:pt idx="8">
                  <c:v>87501385</c:v>
                </c:pt>
                <c:pt idx="9">
                  <c:v>180148923</c:v>
                </c:pt>
                <c:pt idx="10">
                  <c:v>296903564</c:v>
                </c:pt>
                <c:pt idx="11">
                  <c:v>398660548</c:v>
                </c:pt>
                <c:pt idx="12">
                  <c:v>464512892</c:v>
                </c:pt>
                <c:pt idx="13">
                  <c:v>640939986</c:v>
                </c:pt>
                <c:pt idx="14">
                  <c:v>729528283</c:v>
                </c:pt>
                <c:pt idx="15">
                  <c:v>845663339</c:v>
                </c:pt>
                <c:pt idx="16">
                  <c:v>1011042867</c:v>
                </c:pt>
                <c:pt idx="17">
                  <c:v>1083991757</c:v>
                </c:pt>
                <c:pt idx="18">
                  <c:v>1290777979</c:v>
                </c:pt>
                <c:pt idx="19">
                  <c:v>1746633494</c:v>
                </c:pt>
                <c:pt idx="20">
                  <c:v>2341550407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A5E-493F-94CE-A57F085E1DEC}"/>
            </c:ext>
          </c:extLst>
        </c:ser>
        <c:ser>
          <c:idx val="2"/>
          <c:order val="2"/>
          <c:tx>
            <c:strRef>
              <c:f>raw!$AC$1</c:f>
              <c:strCache>
                <c:ptCount val="1"/>
                <c:pt idx="0">
                  <c:v>NAVER</c:v>
                </c:pt>
              </c:strCache>
            </c:strRef>
          </c:tx>
          <c:marker>
            <c:symbol val="none"/>
          </c:marker>
          <c:cat>
            <c:numRef>
              <c:f>raw!$N$2:$N$41</c:f>
              <c:numCache>
                <c:formatCode>m/d/yyyy</c:formatCode>
                <c:ptCount val="40"/>
                <c:pt idx="0">
                  <c:v>37256</c:v>
                </c:pt>
                <c:pt idx="1">
                  <c:v>37621</c:v>
                </c:pt>
                <c:pt idx="2">
                  <c:v>37986</c:v>
                </c:pt>
                <c:pt idx="3">
                  <c:v>38352</c:v>
                </c:pt>
                <c:pt idx="4">
                  <c:v>38717</c:v>
                </c:pt>
                <c:pt idx="5">
                  <c:v>39082</c:v>
                </c:pt>
                <c:pt idx="6">
                  <c:v>39447</c:v>
                </c:pt>
                <c:pt idx="7">
                  <c:v>39813</c:v>
                </c:pt>
                <c:pt idx="8">
                  <c:v>40178</c:v>
                </c:pt>
                <c:pt idx="9">
                  <c:v>40543</c:v>
                </c:pt>
                <c:pt idx="10">
                  <c:v>40908</c:v>
                </c:pt>
                <c:pt idx="11">
                  <c:v>41274</c:v>
                </c:pt>
                <c:pt idx="12">
                  <c:v>41639</c:v>
                </c:pt>
                <c:pt idx="13">
                  <c:v>42004</c:v>
                </c:pt>
                <c:pt idx="14">
                  <c:v>42369</c:v>
                </c:pt>
                <c:pt idx="15">
                  <c:v>42735</c:v>
                </c:pt>
                <c:pt idx="16">
                  <c:v>43100</c:v>
                </c:pt>
                <c:pt idx="17">
                  <c:v>43465</c:v>
                </c:pt>
                <c:pt idx="18">
                  <c:v>43830</c:v>
                </c:pt>
                <c:pt idx="19">
                  <c:v>44196</c:v>
                </c:pt>
                <c:pt idx="20">
                  <c:v>44561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cat>
          <c:val>
            <c:numRef>
              <c:f>raw!$AC$2:$AC$41</c:f>
              <c:numCache>
                <c:formatCode>General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68631684</c:v>
                </c:pt>
                <c:pt idx="4">
                  <c:v>178305692</c:v>
                </c:pt>
                <c:pt idx="5">
                  <c:v>412122177</c:v>
                </c:pt>
                <c:pt idx="6">
                  <c:v>813429963</c:v>
                </c:pt>
                <c:pt idx="7">
                  <c:v>1322003316</c:v>
                </c:pt>
                <c:pt idx="8">
                  <c:v>1901011268</c:v>
                </c:pt>
                <c:pt idx="9">
                  <c:v>2491384034</c:v>
                </c:pt>
                <c:pt idx="10">
                  <c:v>3151736487</c:v>
                </c:pt>
                <c:pt idx="11">
                  <c:v>3672923559</c:v>
                </c:pt>
                <c:pt idx="12">
                  <c:v>4179462377</c:v>
                </c:pt>
                <c:pt idx="13">
                  <c:v>4937661443</c:v>
                </c:pt>
                <c:pt idx="14">
                  <c:v>5767886404</c:v>
                </c:pt>
                <c:pt idx="15">
                  <c:v>6869926880</c:v>
                </c:pt>
                <c:pt idx="16">
                  <c:v>8049114686</c:v>
                </c:pt>
                <c:pt idx="17">
                  <c:v>8991647248</c:v>
                </c:pt>
                <c:pt idx="18">
                  <c:v>10146672692</c:v>
                </c:pt>
                <c:pt idx="19">
                  <c:v>11362015149</c:v>
                </c:pt>
                <c:pt idx="20">
                  <c:v>12687493320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A5E-493F-94CE-A57F085E1DEC}"/>
            </c:ext>
          </c:extLst>
        </c:ser>
        <c:ser>
          <c:idx val="3"/>
          <c:order val="3"/>
          <c:tx>
            <c:strRef>
              <c:f>raw!$AD$1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raw!$N$2:$N$41</c:f>
              <c:numCache>
                <c:formatCode>m/d/yyyy</c:formatCode>
                <c:ptCount val="40"/>
                <c:pt idx="0">
                  <c:v>37256</c:v>
                </c:pt>
                <c:pt idx="1">
                  <c:v>37621</c:v>
                </c:pt>
                <c:pt idx="2">
                  <c:v>37986</c:v>
                </c:pt>
                <c:pt idx="3">
                  <c:v>38352</c:v>
                </c:pt>
                <c:pt idx="4">
                  <c:v>38717</c:v>
                </c:pt>
                <c:pt idx="5">
                  <c:v>39082</c:v>
                </c:pt>
                <c:pt idx="6">
                  <c:v>39447</c:v>
                </c:pt>
                <c:pt idx="7">
                  <c:v>39813</c:v>
                </c:pt>
                <c:pt idx="8">
                  <c:v>40178</c:v>
                </c:pt>
                <c:pt idx="9">
                  <c:v>40543</c:v>
                </c:pt>
                <c:pt idx="10">
                  <c:v>40908</c:v>
                </c:pt>
                <c:pt idx="11">
                  <c:v>41274</c:v>
                </c:pt>
                <c:pt idx="12">
                  <c:v>41639</c:v>
                </c:pt>
                <c:pt idx="13">
                  <c:v>42004</c:v>
                </c:pt>
                <c:pt idx="14">
                  <c:v>42369</c:v>
                </c:pt>
                <c:pt idx="15">
                  <c:v>42735</c:v>
                </c:pt>
                <c:pt idx="16">
                  <c:v>43100</c:v>
                </c:pt>
                <c:pt idx="17">
                  <c:v>43465</c:v>
                </c:pt>
                <c:pt idx="18">
                  <c:v>43830</c:v>
                </c:pt>
                <c:pt idx="19">
                  <c:v>44196</c:v>
                </c:pt>
                <c:pt idx="20">
                  <c:v>44561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cat>
          <c:val>
            <c:numRef>
              <c:f>raw!$AD$2:$AD$41</c:f>
              <c:numCache>
                <c:formatCode>General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A5E-493F-94CE-A57F085E1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27168"/>
        <c:axId val="235528960"/>
      </c:lineChart>
      <c:dateAx>
        <c:axId val="235527168"/>
        <c:scaling>
          <c:orientation val="minMax"/>
        </c:scaling>
        <c:delete val="0"/>
        <c:axPos val="t"/>
        <c:numFmt formatCode="yy" sourceLinked="0"/>
        <c:majorTickMark val="out"/>
        <c:minorTickMark val="none"/>
        <c:tickLblPos val="high"/>
        <c:txPr>
          <a:bodyPr/>
          <a:lstStyle/>
          <a:p>
            <a:pPr>
              <a:defRPr b="1">
                <a:solidFill>
                  <a:sysClr val="windowText" lastClr="000000"/>
                </a:solidFill>
              </a:defRPr>
            </a:pPr>
            <a:endParaRPr lang="ko-KR"/>
          </a:p>
        </c:txPr>
        <c:crossAx val="235528960"/>
        <c:crosses val="max"/>
        <c:auto val="1"/>
        <c:lblOffset val="100"/>
        <c:baseTimeUnit val="years"/>
      </c:dateAx>
      <c:valAx>
        <c:axId val="23552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numFmt formatCode="#,##0_ " sourceLinked="0"/>
        <c:majorTickMark val="none"/>
        <c:minorTickMark val="none"/>
        <c:tickLblPos val="nextTo"/>
        <c:crossAx val="235527168"/>
        <c:crosses val="autoZero"/>
        <c:crossBetween val="midCat"/>
        <c:dispUnits>
          <c:builtInUnit val="millions"/>
        </c:dispUnits>
      </c:valAx>
    </c:plotArea>
    <c:legend>
      <c:legendPos val="l"/>
      <c:layout>
        <c:manualLayout>
          <c:xMode val="edge"/>
          <c:yMode val="edge"/>
          <c:x val="0.10583333333333333"/>
          <c:y val="9.888892454907694E-2"/>
          <c:w val="0.2070263788968825"/>
          <c:h val="0.19730013973307525"/>
        </c:manualLayout>
      </c:layout>
      <c:overlay val="1"/>
      <c:spPr>
        <a:solidFill>
          <a:schemeClr val="bg1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매출액</a:t>
            </a:r>
          </a:p>
        </c:rich>
      </c:tx>
      <c:layout>
        <c:manualLayout>
          <c:xMode val="edge"/>
          <c:yMode val="edge"/>
          <c:x val="0.29421296296296295"/>
          <c:y val="4.3117283950617286E-2"/>
        </c:manualLayout>
      </c:layout>
      <c:overlay val="1"/>
      <c:spPr>
        <a:solidFill>
          <a:schemeClr val="bg1"/>
        </a:solidFill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raw!$O$1</c:f>
              <c:strCache>
                <c:ptCount val="1"/>
                <c:pt idx="0">
                  <c:v>쿠팡</c:v>
                </c:pt>
              </c:strCache>
            </c:strRef>
          </c:tx>
          <c:cat>
            <c:numRef>
              <c:f>raw!$N$2:$N$41</c:f>
              <c:numCache>
                <c:formatCode>m/d/yyyy</c:formatCode>
                <c:ptCount val="40"/>
                <c:pt idx="0">
                  <c:v>37256</c:v>
                </c:pt>
                <c:pt idx="1">
                  <c:v>37621</c:v>
                </c:pt>
                <c:pt idx="2">
                  <c:v>37986</c:v>
                </c:pt>
                <c:pt idx="3">
                  <c:v>38352</c:v>
                </c:pt>
                <c:pt idx="4">
                  <c:v>38717</c:v>
                </c:pt>
                <c:pt idx="5">
                  <c:v>39082</c:v>
                </c:pt>
                <c:pt idx="6">
                  <c:v>39447</c:v>
                </c:pt>
                <c:pt idx="7">
                  <c:v>39813</c:v>
                </c:pt>
                <c:pt idx="8">
                  <c:v>40178</c:v>
                </c:pt>
                <c:pt idx="9">
                  <c:v>40543</c:v>
                </c:pt>
                <c:pt idx="10">
                  <c:v>40908</c:v>
                </c:pt>
                <c:pt idx="11">
                  <c:v>41274</c:v>
                </c:pt>
                <c:pt idx="12">
                  <c:v>41639</c:v>
                </c:pt>
                <c:pt idx="13">
                  <c:v>42004</c:v>
                </c:pt>
                <c:pt idx="14">
                  <c:v>42369</c:v>
                </c:pt>
                <c:pt idx="15">
                  <c:v>42735</c:v>
                </c:pt>
                <c:pt idx="16">
                  <c:v>43100</c:v>
                </c:pt>
                <c:pt idx="17">
                  <c:v>43465</c:v>
                </c:pt>
                <c:pt idx="18">
                  <c:v>43830</c:v>
                </c:pt>
                <c:pt idx="19">
                  <c:v>44196</c:v>
                </c:pt>
                <c:pt idx="20">
                  <c:v>44561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cat>
          <c:val>
            <c:numRef>
              <c:f>raw!$O$2:$O$41</c:f>
              <c:numCache>
                <c:formatCode>General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1133752000</c:v>
                </c:pt>
                <c:pt idx="15">
                  <c:v>1915938000</c:v>
                </c:pt>
                <c:pt idx="16">
                  <c:v>2684630000</c:v>
                </c:pt>
                <c:pt idx="17">
                  <c:v>4354586000</c:v>
                </c:pt>
                <c:pt idx="18">
                  <c:v>7153094000</c:v>
                </c:pt>
                <c:pt idx="19">
                  <c:v>13923597000</c:v>
                </c:pt>
                <c:pt idx="20">
                  <c:v>20881259000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2-47D6-89A0-CC1598F9DEDE}"/>
            </c:ext>
          </c:extLst>
        </c:ser>
        <c:ser>
          <c:idx val="1"/>
          <c:order val="1"/>
          <c:tx>
            <c:strRef>
              <c:f>raw!$P$1</c:f>
              <c:strCache>
                <c:ptCount val="1"/>
                <c:pt idx="0">
                  <c:v>카카오</c:v>
                </c:pt>
              </c:strCache>
            </c:strRef>
          </c:tx>
          <c:cat>
            <c:numRef>
              <c:f>raw!$N$2:$N$41</c:f>
              <c:numCache>
                <c:formatCode>m/d/yyyy</c:formatCode>
                <c:ptCount val="40"/>
                <c:pt idx="0">
                  <c:v>37256</c:v>
                </c:pt>
                <c:pt idx="1">
                  <c:v>37621</c:v>
                </c:pt>
                <c:pt idx="2">
                  <c:v>37986</c:v>
                </c:pt>
                <c:pt idx="3">
                  <c:v>38352</c:v>
                </c:pt>
                <c:pt idx="4">
                  <c:v>38717</c:v>
                </c:pt>
                <c:pt idx="5">
                  <c:v>39082</c:v>
                </c:pt>
                <c:pt idx="6">
                  <c:v>39447</c:v>
                </c:pt>
                <c:pt idx="7">
                  <c:v>39813</c:v>
                </c:pt>
                <c:pt idx="8">
                  <c:v>40178</c:v>
                </c:pt>
                <c:pt idx="9">
                  <c:v>40543</c:v>
                </c:pt>
                <c:pt idx="10">
                  <c:v>40908</c:v>
                </c:pt>
                <c:pt idx="11">
                  <c:v>41274</c:v>
                </c:pt>
                <c:pt idx="12">
                  <c:v>41639</c:v>
                </c:pt>
                <c:pt idx="13">
                  <c:v>42004</c:v>
                </c:pt>
                <c:pt idx="14">
                  <c:v>42369</c:v>
                </c:pt>
                <c:pt idx="15">
                  <c:v>42735</c:v>
                </c:pt>
                <c:pt idx="16">
                  <c:v>43100</c:v>
                </c:pt>
                <c:pt idx="17">
                  <c:v>43465</c:v>
                </c:pt>
                <c:pt idx="18">
                  <c:v>43830</c:v>
                </c:pt>
                <c:pt idx="19">
                  <c:v>44196</c:v>
                </c:pt>
                <c:pt idx="20">
                  <c:v>44561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cat>
          <c:val>
            <c:numRef>
              <c:f>raw!$P$2:$P$41</c:f>
              <c:numCache>
                <c:formatCode>General</c:formatCode>
                <c:ptCount val="40"/>
                <c:pt idx="0">
                  <c:v>90162965</c:v>
                </c:pt>
                <c:pt idx="1">
                  <c:v>226113979</c:v>
                </c:pt>
                <c:pt idx="2">
                  <c:v>#N/A</c:v>
                </c:pt>
                <c:pt idx="3">
                  <c:v>268478264</c:v>
                </c:pt>
                <c:pt idx="4">
                  <c:v>401773499</c:v>
                </c:pt>
                <c:pt idx="5">
                  <c:v>473685090</c:v>
                </c:pt>
                <c:pt idx="6">
                  <c:v>#N/A</c:v>
                </c:pt>
                <c:pt idx="7">
                  <c:v>260014881</c:v>
                </c:pt>
                <c:pt idx="8">
                  <c:v>274282433</c:v>
                </c:pt>
                <c:pt idx="9">
                  <c:v>350423340</c:v>
                </c:pt>
                <c:pt idx="10">
                  <c:v>421266779</c:v>
                </c:pt>
                <c:pt idx="11">
                  <c:v>453387737</c:v>
                </c:pt>
                <c:pt idx="12">
                  <c:v>210775882</c:v>
                </c:pt>
                <c:pt idx="13">
                  <c:v>498857729</c:v>
                </c:pt>
                <c:pt idx="14">
                  <c:v>932151827</c:v>
                </c:pt>
                <c:pt idx="15">
                  <c:v>1464232790</c:v>
                </c:pt>
                <c:pt idx="16">
                  <c:v>1972326479</c:v>
                </c:pt>
                <c:pt idx="17">
                  <c:v>2416992441</c:v>
                </c:pt>
                <c:pt idx="18">
                  <c:v>3070111365</c:v>
                </c:pt>
                <c:pt idx="19">
                  <c:v>4156816121</c:v>
                </c:pt>
                <c:pt idx="20">
                  <c:v>6136669168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DF2-47D6-89A0-CC1598F9DEDE}"/>
            </c:ext>
          </c:extLst>
        </c:ser>
        <c:ser>
          <c:idx val="2"/>
          <c:order val="2"/>
          <c:tx>
            <c:strRef>
              <c:f>raw!$Q$1</c:f>
              <c:strCache>
                <c:ptCount val="1"/>
                <c:pt idx="0">
                  <c:v>NAVER</c:v>
                </c:pt>
              </c:strCache>
            </c:strRef>
          </c:tx>
          <c:cat>
            <c:numRef>
              <c:f>raw!$N$2:$N$41</c:f>
              <c:numCache>
                <c:formatCode>m/d/yyyy</c:formatCode>
                <c:ptCount val="40"/>
                <c:pt idx="0">
                  <c:v>37256</c:v>
                </c:pt>
                <c:pt idx="1">
                  <c:v>37621</c:v>
                </c:pt>
                <c:pt idx="2">
                  <c:v>37986</c:v>
                </c:pt>
                <c:pt idx="3">
                  <c:v>38352</c:v>
                </c:pt>
                <c:pt idx="4">
                  <c:v>38717</c:v>
                </c:pt>
                <c:pt idx="5">
                  <c:v>39082</c:v>
                </c:pt>
                <c:pt idx="6">
                  <c:v>39447</c:v>
                </c:pt>
                <c:pt idx="7">
                  <c:v>39813</c:v>
                </c:pt>
                <c:pt idx="8">
                  <c:v>40178</c:v>
                </c:pt>
                <c:pt idx="9">
                  <c:v>40543</c:v>
                </c:pt>
                <c:pt idx="10">
                  <c:v>40908</c:v>
                </c:pt>
                <c:pt idx="11">
                  <c:v>41274</c:v>
                </c:pt>
                <c:pt idx="12">
                  <c:v>41639</c:v>
                </c:pt>
                <c:pt idx="13">
                  <c:v>42004</c:v>
                </c:pt>
                <c:pt idx="14">
                  <c:v>42369</c:v>
                </c:pt>
                <c:pt idx="15">
                  <c:v>42735</c:v>
                </c:pt>
                <c:pt idx="16">
                  <c:v>43100</c:v>
                </c:pt>
                <c:pt idx="17">
                  <c:v>43465</c:v>
                </c:pt>
                <c:pt idx="18">
                  <c:v>43830</c:v>
                </c:pt>
                <c:pt idx="19">
                  <c:v>44196</c:v>
                </c:pt>
                <c:pt idx="20">
                  <c:v>44561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cat>
          <c:val>
            <c:numRef>
              <c:f>raw!$Q$2:$Q$41</c:f>
              <c:numCache>
                <c:formatCode>General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261925311</c:v>
                </c:pt>
                <c:pt idx="4">
                  <c:v>414594058</c:v>
                </c:pt>
                <c:pt idx="5">
                  <c:v>645106663</c:v>
                </c:pt>
                <c:pt idx="6">
                  <c:v>1017988839</c:v>
                </c:pt>
                <c:pt idx="7">
                  <c:v>1380102306</c:v>
                </c:pt>
                <c:pt idx="8">
                  <c:v>1597949099</c:v>
                </c:pt>
                <c:pt idx="9">
                  <c:v>1785388877</c:v>
                </c:pt>
                <c:pt idx="10">
                  <c:v>2121317926</c:v>
                </c:pt>
                <c:pt idx="11">
                  <c:v>1798657243</c:v>
                </c:pt>
                <c:pt idx="12">
                  <c:v>2259138612</c:v>
                </c:pt>
                <c:pt idx="13">
                  <c:v>2758478837</c:v>
                </c:pt>
                <c:pt idx="14">
                  <c:v>3253930352</c:v>
                </c:pt>
                <c:pt idx="15">
                  <c:v>4022629620</c:v>
                </c:pt>
                <c:pt idx="16">
                  <c:v>4678468928</c:v>
                </c:pt>
                <c:pt idx="17">
                  <c:v>5586904533</c:v>
                </c:pt>
                <c:pt idx="18">
                  <c:v>4356239667</c:v>
                </c:pt>
                <c:pt idx="19">
                  <c:v>5304145900</c:v>
                </c:pt>
                <c:pt idx="20">
                  <c:v>6817599707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F2-47D6-89A0-CC1598F9DEDE}"/>
            </c:ext>
          </c:extLst>
        </c:ser>
        <c:ser>
          <c:idx val="3"/>
          <c:order val="3"/>
          <c:tx>
            <c:strRef>
              <c:f>raw!$R$1</c:f>
              <c:strCache>
                <c:ptCount val="1"/>
                <c:pt idx="0">
                  <c:v>#N/A</c:v>
                </c:pt>
              </c:strCache>
            </c:strRef>
          </c:tx>
          <c:cat>
            <c:numRef>
              <c:f>raw!$N$2:$N$41</c:f>
              <c:numCache>
                <c:formatCode>m/d/yyyy</c:formatCode>
                <c:ptCount val="40"/>
                <c:pt idx="0">
                  <c:v>37256</c:v>
                </c:pt>
                <c:pt idx="1">
                  <c:v>37621</c:v>
                </c:pt>
                <c:pt idx="2">
                  <c:v>37986</c:v>
                </c:pt>
                <c:pt idx="3">
                  <c:v>38352</c:v>
                </c:pt>
                <c:pt idx="4">
                  <c:v>38717</c:v>
                </c:pt>
                <c:pt idx="5">
                  <c:v>39082</c:v>
                </c:pt>
                <c:pt idx="6">
                  <c:v>39447</c:v>
                </c:pt>
                <c:pt idx="7">
                  <c:v>39813</c:v>
                </c:pt>
                <c:pt idx="8">
                  <c:v>40178</c:v>
                </c:pt>
                <c:pt idx="9">
                  <c:v>40543</c:v>
                </c:pt>
                <c:pt idx="10">
                  <c:v>40908</c:v>
                </c:pt>
                <c:pt idx="11">
                  <c:v>41274</c:v>
                </c:pt>
                <c:pt idx="12">
                  <c:v>41639</c:v>
                </c:pt>
                <c:pt idx="13">
                  <c:v>42004</c:v>
                </c:pt>
                <c:pt idx="14">
                  <c:v>42369</c:v>
                </c:pt>
                <c:pt idx="15">
                  <c:v>42735</c:v>
                </c:pt>
                <c:pt idx="16">
                  <c:v>43100</c:v>
                </c:pt>
                <c:pt idx="17">
                  <c:v>43465</c:v>
                </c:pt>
                <c:pt idx="18">
                  <c:v>43830</c:v>
                </c:pt>
                <c:pt idx="19">
                  <c:v>44196</c:v>
                </c:pt>
                <c:pt idx="20">
                  <c:v>44561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cat>
          <c:val>
            <c:numRef>
              <c:f>raw!$R$2:$R$41</c:f>
              <c:numCache>
                <c:formatCode>General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F2-47D6-89A0-CC1598F9D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340160"/>
        <c:axId val="237341696"/>
      </c:lineChart>
      <c:dateAx>
        <c:axId val="237340160"/>
        <c:scaling>
          <c:orientation val="minMax"/>
        </c:scaling>
        <c:delete val="0"/>
        <c:axPos val="b"/>
        <c:numFmt formatCode="yy" sourceLinked="0"/>
        <c:majorTickMark val="out"/>
        <c:minorTickMark val="cross"/>
        <c:tickLblPos val="nextTo"/>
        <c:txPr>
          <a:bodyPr/>
          <a:lstStyle/>
          <a:p>
            <a:pPr>
              <a:defRPr b="1"/>
            </a:pPr>
            <a:endParaRPr lang="ko-KR"/>
          </a:p>
        </c:txPr>
        <c:crossAx val="237341696"/>
        <c:crosses val="autoZero"/>
        <c:auto val="1"/>
        <c:lblOffset val="100"/>
        <c:baseTimeUnit val="years"/>
      </c:dateAx>
      <c:valAx>
        <c:axId val="237341696"/>
        <c:scaling>
          <c:orientation val="minMax"/>
        </c:scaling>
        <c:delete val="0"/>
        <c:axPos val="r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numFmt formatCode="#,##0_ " sourceLinked="0"/>
        <c:majorTickMark val="none"/>
        <c:minorTickMark val="none"/>
        <c:tickLblPos val="nextTo"/>
        <c:txPr>
          <a:bodyPr rot="0" vert="horz" anchor="ctr" anchorCtr="0"/>
          <a:lstStyle/>
          <a:p>
            <a:pPr>
              <a:defRPr/>
            </a:pPr>
            <a:endParaRPr lang="ko-KR"/>
          </a:p>
        </c:txPr>
        <c:crossAx val="237340160"/>
        <c:crosses val="max"/>
        <c:crossBetween val="midCat"/>
        <c:dispUnits>
          <c:builtInUnit val="millions"/>
        </c:dispUnits>
      </c:valAx>
    </c:plotArea>
    <c:legend>
      <c:legendPos val="l"/>
      <c:layout>
        <c:manualLayout>
          <c:xMode val="edge"/>
          <c:yMode val="edge"/>
          <c:x val="3.4252623456790129E-2"/>
          <c:y val="4.4658024691358024E-2"/>
          <c:w val="0.19794753086419753"/>
          <c:h val="0.23648518518518519"/>
        </c:manualLayout>
      </c:layout>
      <c:overlay val="1"/>
      <c:spPr>
        <a:solidFill>
          <a:schemeClr val="bg1"/>
        </a:solidFill>
        <a:ln>
          <a:solidFill>
            <a:sysClr val="windowText" lastClr="000000"/>
          </a:solidFill>
        </a:ln>
      </c:spPr>
    </c:legend>
    <c:plotVisOnly val="1"/>
    <c:dispBlanksAs val="zero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누적 매출액</a:t>
            </a:r>
          </a:p>
        </c:rich>
      </c:tx>
      <c:layout>
        <c:manualLayout>
          <c:xMode val="edge"/>
          <c:yMode val="edge"/>
          <c:x val="0.23035474314336327"/>
          <c:y val="0.10975305254535415"/>
        </c:manualLayout>
      </c:layout>
      <c:overlay val="1"/>
      <c:spPr>
        <a:solidFill>
          <a:schemeClr val="bg1"/>
        </a:solidFill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raw!$S$1</c:f>
              <c:strCache>
                <c:ptCount val="1"/>
                <c:pt idx="0">
                  <c:v>쿠팡</c:v>
                </c:pt>
              </c:strCache>
            </c:strRef>
          </c:tx>
          <c:marker>
            <c:symbol val="none"/>
          </c:marker>
          <c:cat>
            <c:numRef>
              <c:f>raw!$N$2:$N$41</c:f>
              <c:numCache>
                <c:formatCode>m/d/yyyy</c:formatCode>
                <c:ptCount val="40"/>
                <c:pt idx="0">
                  <c:v>37256</c:v>
                </c:pt>
                <c:pt idx="1">
                  <c:v>37621</c:v>
                </c:pt>
                <c:pt idx="2">
                  <c:v>37986</c:v>
                </c:pt>
                <c:pt idx="3">
                  <c:v>38352</c:v>
                </c:pt>
                <c:pt idx="4">
                  <c:v>38717</c:v>
                </c:pt>
                <c:pt idx="5">
                  <c:v>39082</c:v>
                </c:pt>
                <c:pt idx="6">
                  <c:v>39447</c:v>
                </c:pt>
                <c:pt idx="7">
                  <c:v>39813</c:v>
                </c:pt>
                <c:pt idx="8">
                  <c:v>40178</c:v>
                </c:pt>
                <c:pt idx="9">
                  <c:v>40543</c:v>
                </c:pt>
                <c:pt idx="10">
                  <c:v>40908</c:v>
                </c:pt>
                <c:pt idx="11">
                  <c:v>41274</c:v>
                </c:pt>
                <c:pt idx="12">
                  <c:v>41639</c:v>
                </c:pt>
                <c:pt idx="13">
                  <c:v>42004</c:v>
                </c:pt>
                <c:pt idx="14">
                  <c:v>42369</c:v>
                </c:pt>
                <c:pt idx="15">
                  <c:v>42735</c:v>
                </c:pt>
                <c:pt idx="16">
                  <c:v>43100</c:v>
                </c:pt>
                <c:pt idx="17">
                  <c:v>43465</c:v>
                </c:pt>
                <c:pt idx="18">
                  <c:v>43830</c:v>
                </c:pt>
                <c:pt idx="19">
                  <c:v>44196</c:v>
                </c:pt>
                <c:pt idx="20">
                  <c:v>44561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cat>
          <c:val>
            <c:numRef>
              <c:f>raw!$S$2:$S$41</c:f>
              <c:numCache>
                <c:formatCode>General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1133752000</c:v>
                </c:pt>
                <c:pt idx="15">
                  <c:v>3049690000</c:v>
                </c:pt>
                <c:pt idx="16">
                  <c:v>5734320000</c:v>
                </c:pt>
                <c:pt idx="17">
                  <c:v>10088906000</c:v>
                </c:pt>
                <c:pt idx="18">
                  <c:v>17242000000</c:v>
                </c:pt>
                <c:pt idx="19">
                  <c:v>31165597000</c:v>
                </c:pt>
                <c:pt idx="20">
                  <c:v>52046856000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34-4CCA-A9B7-290A832E1CC4}"/>
            </c:ext>
          </c:extLst>
        </c:ser>
        <c:ser>
          <c:idx val="1"/>
          <c:order val="1"/>
          <c:tx>
            <c:strRef>
              <c:f>raw!$T$1</c:f>
              <c:strCache>
                <c:ptCount val="1"/>
                <c:pt idx="0">
                  <c:v>카카오</c:v>
                </c:pt>
              </c:strCache>
            </c:strRef>
          </c:tx>
          <c:marker>
            <c:symbol val="none"/>
          </c:marker>
          <c:cat>
            <c:numRef>
              <c:f>raw!$N$2:$N$41</c:f>
              <c:numCache>
                <c:formatCode>m/d/yyyy</c:formatCode>
                <c:ptCount val="40"/>
                <c:pt idx="0">
                  <c:v>37256</c:v>
                </c:pt>
                <c:pt idx="1">
                  <c:v>37621</c:v>
                </c:pt>
                <c:pt idx="2">
                  <c:v>37986</c:v>
                </c:pt>
                <c:pt idx="3">
                  <c:v>38352</c:v>
                </c:pt>
                <c:pt idx="4">
                  <c:v>38717</c:v>
                </c:pt>
                <c:pt idx="5">
                  <c:v>39082</c:v>
                </c:pt>
                <c:pt idx="6">
                  <c:v>39447</c:v>
                </c:pt>
                <c:pt idx="7">
                  <c:v>39813</c:v>
                </c:pt>
                <c:pt idx="8">
                  <c:v>40178</c:v>
                </c:pt>
                <c:pt idx="9">
                  <c:v>40543</c:v>
                </c:pt>
                <c:pt idx="10">
                  <c:v>40908</c:v>
                </c:pt>
                <c:pt idx="11">
                  <c:v>41274</c:v>
                </c:pt>
                <c:pt idx="12">
                  <c:v>41639</c:v>
                </c:pt>
                <c:pt idx="13">
                  <c:v>42004</c:v>
                </c:pt>
                <c:pt idx="14">
                  <c:v>42369</c:v>
                </c:pt>
                <c:pt idx="15">
                  <c:v>42735</c:v>
                </c:pt>
                <c:pt idx="16">
                  <c:v>43100</c:v>
                </c:pt>
                <c:pt idx="17">
                  <c:v>43465</c:v>
                </c:pt>
                <c:pt idx="18">
                  <c:v>43830</c:v>
                </c:pt>
                <c:pt idx="19">
                  <c:v>44196</c:v>
                </c:pt>
                <c:pt idx="20">
                  <c:v>44561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cat>
          <c:val>
            <c:numRef>
              <c:f>raw!$T$2:$T$41</c:f>
              <c:numCache>
                <c:formatCode>General</c:formatCode>
                <c:ptCount val="40"/>
                <c:pt idx="0">
                  <c:v>90162965</c:v>
                </c:pt>
                <c:pt idx="1">
                  <c:v>316276944</c:v>
                </c:pt>
                <c:pt idx="2">
                  <c:v>#N/A</c:v>
                </c:pt>
                <c:pt idx="3">
                  <c:v>584755208</c:v>
                </c:pt>
                <c:pt idx="4">
                  <c:v>986528707</c:v>
                </c:pt>
                <c:pt idx="5">
                  <c:v>1460213797</c:v>
                </c:pt>
                <c:pt idx="6">
                  <c:v>#N/A</c:v>
                </c:pt>
                <c:pt idx="7">
                  <c:v>1720228678</c:v>
                </c:pt>
                <c:pt idx="8">
                  <c:v>1994511111</c:v>
                </c:pt>
                <c:pt idx="9">
                  <c:v>2344934451</c:v>
                </c:pt>
                <c:pt idx="10">
                  <c:v>2766201230</c:v>
                </c:pt>
                <c:pt idx="11">
                  <c:v>3219588967</c:v>
                </c:pt>
                <c:pt idx="12">
                  <c:v>3430364849</c:v>
                </c:pt>
                <c:pt idx="13">
                  <c:v>3929222578</c:v>
                </c:pt>
                <c:pt idx="14">
                  <c:v>4861374405</c:v>
                </c:pt>
                <c:pt idx="15">
                  <c:v>6325607195</c:v>
                </c:pt>
                <c:pt idx="16">
                  <c:v>8297933674</c:v>
                </c:pt>
                <c:pt idx="17">
                  <c:v>10714926115</c:v>
                </c:pt>
                <c:pt idx="18">
                  <c:v>13785037480</c:v>
                </c:pt>
                <c:pt idx="19">
                  <c:v>17941853601</c:v>
                </c:pt>
                <c:pt idx="20">
                  <c:v>24078522769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C34-4CCA-A9B7-290A832E1CC4}"/>
            </c:ext>
          </c:extLst>
        </c:ser>
        <c:ser>
          <c:idx val="2"/>
          <c:order val="2"/>
          <c:tx>
            <c:strRef>
              <c:f>raw!$U$1</c:f>
              <c:strCache>
                <c:ptCount val="1"/>
                <c:pt idx="0">
                  <c:v>NAVER</c:v>
                </c:pt>
              </c:strCache>
            </c:strRef>
          </c:tx>
          <c:marker>
            <c:symbol val="none"/>
          </c:marker>
          <c:cat>
            <c:numRef>
              <c:f>raw!$N$2:$N$41</c:f>
              <c:numCache>
                <c:formatCode>m/d/yyyy</c:formatCode>
                <c:ptCount val="40"/>
                <c:pt idx="0">
                  <c:v>37256</c:v>
                </c:pt>
                <c:pt idx="1">
                  <c:v>37621</c:v>
                </c:pt>
                <c:pt idx="2">
                  <c:v>37986</c:v>
                </c:pt>
                <c:pt idx="3">
                  <c:v>38352</c:v>
                </c:pt>
                <c:pt idx="4">
                  <c:v>38717</c:v>
                </c:pt>
                <c:pt idx="5">
                  <c:v>39082</c:v>
                </c:pt>
                <c:pt idx="6">
                  <c:v>39447</c:v>
                </c:pt>
                <c:pt idx="7">
                  <c:v>39813</c:v>
                </c:pt>
                <c:pt idx="8">
                  <c:v>40178</c:v>
                </c:pt>
                <c:pt idx="9">
                  <c:v>40543</c:v>
                </c:pt>
                <c:pt idx="10">
                  <c:v>40908</c:v>
                </c:pt>
                <c:pt idx="11">
                  <c:v>41274</c:v>
                </c:pt>
                <c:pt idx="12">
                  <c:v>41639</c:v>
                </c:pt>
                <c:pt idx="13">
                  <c:v>42004</c:v>
                </c:pt>
                <c:pt idx="14">
                  <c:v>42369</c:v>
                </c:pt>
                <c:pt idx="15">
                  <c:v>42735</c:v>
                </c:pt>
                <c:pt idx="16">
                  <c:v>43100</c:v>
                </c:pt>
                <c:pt idx="17">
                  <c:v>43465</c:v>
                </c:pt>
                <c:pt idx="18">
                  <c:v>43830</c:v>
                </c:pt>
                <c:pt idx="19">
                  <c:v>44196</c:v>
                </c:pt>
                <c:pt idx="20">
                  <c:v>44561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cat>
          <c:val>
            <c:numRef>
              <c:f>raw!$U$2:$U$41</c:f>
              <c:numCache>
                <c:formatCode>General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261925311</c:v>
                </c:pt>
                <c:pt idx="4">
                  <c:v>676519369</c:v>
                </c:pt>
                <c:pt idx="5">
                  <c:v>1321626032</c:v>
                </c:pt>
                <c:pt idx="6">
                  <c:v>2339614871</c:v>
                </c:pt>
                <c:pt idx="7">
                  <c:v>3719717177</c:v>
                </c:pt>
                <c:pt idx="8">
                  <c:v>5317666276</c:v>
                </c:pt>
                <c:pt idx="9">
                  <c:v>7103055153</c:v>
                </c:pt>
                <c:pt idx="10">
                  <c:v>9224373079</c:v>
                </c:pt>
                <c:pt idx="11">
                  <c:v>11023030322</c:v>
                </c:pt>
                <c:pt idx="12">
                  <c:v>13282168934</c:v>
                </c:pt>
                <c:pt idx="13">
                  <c:v>16040647771</c:v>
                </c:pt>
                <c:pt idx="14">
                  <c:v>19294578123</c:v>
                </c:pt>
                <c:pt idx="15">
                  <c:v>23317207743</c:v>
                </c:pt>
                <c:pt idx="16">
                  <c:v>27995676671</c:v>
                </c:pt>
                <c:pt idx="17">
                  <c:v>33582581204</c:v>
                </c:pt>
                <c:pt idx="18">
                  <c:v>37938820871</c:v>
                </c:pt>
                <c:pt idx="19">
                  <c:v>43242966771</c:v>
                </c:pt>
                <c:pt idx="20">
                  <c:v>50060566478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C34-4CCA-A9B7-290A832E1CC4}"/>
            </c:ext>
          </c:extLst>
        </c:ser>
        <c:ser>
          <c:idx val="3"/>
          <c:order val="3"/>
          <c:tx>
            <c:strRef>
              <c:f>raw!$V$1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raw!$N$2:$N$41</c:f>
              <c:numCache>
                <c:formatCode>m/d/yyyy</c:formatCode>
                <c:ptCount val="40"/>
                <c:pt idx="0">
                  <c:v>37256</c:v>
                </c:pt>
                <c:pt idx="1">
                  <c:v>37621</c:v>
                </c:pt>
                <c:pt idx="2">
                  <c:v>37986</c:v>
                </c:pt>
                <c:pt idx="3">
                  <c:v>38352</c:v>
                </c:pt>
                <c:pt idx="4">
                  <c:v>38717</c:v>
                </c:pt>
                <c:pt idx="5">
                  <c:v>39082</c:v>
                </c:pt>
                <c:pt idx="6">
                  <c:v>39447</c:v>
                </c:pt>
                <c:pt idx="7">
                  <c:v>39813</c:v>
                </c:pt>
                <c:pt idx="8">
                  <c:v>40178</c:v>
                </c:pt>
                <c:pt idx="9">
                  <c:v>40543</c:v>
                </c:pt>
                <c:pt idx="10">
                  <c:v>40908</c:v>
                </c:pt>
                <c:pt idx="11">
                  <c:v>41274</c:v>
                </c:pt>
                <c:pt idx="12">
                  <c:v>41639</c:v>
                </c:pt>
                <c:pt idx="13">
                  <c:v>42004</c:v>
                </c:pt>
                <c:pt idx="14">
                  <c:v>42369</c:v>
                </c:pt>
                <c:pt idx="15">
                  <c:v>42735</c:v>
                </c:pt>
                <c:pt idx="16">
                  <c:v>43100</c:v>
                </c:pt>
                <c:pt idx="17">
                  <c:v>43465</c:v>
                </c:pt>
                <c:pt idx="18">
                  <c:v>43830</c:v>
                </c:pt>
                <c:pt idx="19">
                  <c:v>44196</c:v>
                </c:pt>
                <c:pt idx="20">
                  <c:v>44561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cat>
          <c:val>
            <c:numRef>
              <c:f>raw!$V$2:$V$41</c:f>
              <c:numCache>
                <c:formatCode>General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C34-4CCA-A9B7-290A832E1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192320"/>
        <c:axId val="241206400"/>
      </c:lineChart>
      <c:dateAx>
        <c:axId val="241192320"/>
        <c:scaling>
          <c:orientation val="minMax"/>
        </c:scaling>
        <c:delete val="0"/>
        <c:axPos val="t"/>
        <c:numFmt formatCode="yy" sourceLinked="0"/>
        <c:majorTickMark val="cross"/>
        <c:minorTickMark val="none"/>
        <c:tickLblPos val="nextTo"/>
        <c:txPr>
          <a:bodyPr/>
          <a:lstStyle/>
          <a:p>
            <a:pPr>
              <a:defRPr sz="1000" b="1"/>
            </a:pPr>
            <a:endParaRPr lang="ko-KR"/>
          </a:p>
        </c:txPr>
        <c:crossAx val="241206400"/>
        <c:crosses val="max"/>
        <c:auto val="1"/>
        <c:lblOffset val="100"/>
        <c:baseTimeUnit val="years"/>
      </c:dateAx>
      <c:valAx>
        <c:axId val="241206400"/>
        <c:scaling>
          <c:orientation val="minMax"/>
        </c:scaling>
        <c:delete val="0"/>
        <c:axPos val="r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numFmt formatCode="#,##0_ " sourceLinked="0"/>
        <c:majorTickMark val="none"/>
        <c:minorTickMark val="none"/>
        <c:tickLblPos val="nextTo"/>
        <c:txPr>
          <a:bodyPr rot="0" vert="horz" anchor="ctr" anchorCtr="0"/>
          <a:lstStyle/>
          <a:p>
            <a:pPr>
              <a:defRPr/>
            </a:pPr>
            <a:endParaRPr lang="ko-KR"/>
          </a:p>
        </c:txPr>
        <c:crossAx val="241192320"/>
        <c:crosses val="max"/>
        <c:crossBetween val="midCat"/>
        <c:dispUnits>
          <c:builtInUnit val="millions"/>
        </c:dispUnits>
      </c:valAx>
    </c:plotArea>
    <c:legend>
      <c:legendPos val="l"/>
      <c:layout>
        <c:manualLayout>
          <c:xMode val="edge"/>
          <c:yMode val="edge"/>
          <c:x val="2.7726467534054122E-2"/>
          <c:y val="9.6818488636268935E-2"/>
          <c:w val="0.18392233217274448"/>
          <c:h val="0.20120734530637491"/>
        </c:manualLayout>
      </c:layout>
      <c:overlay val="1"/>
      <c:spPr>
        <a:solidFill>
          <a:schemeClr val="bg1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매출액 비중</a:t>
            </a:r>
          </a:p>
        </c:rich>
      </c:tx>
      <c:layout>
        <c:manualLayout>
          <c:xMode val="edge"/>
          <c:yMode val="edge"/>
          <c:x val="0.45968066814050601"/>
          <c:y val="0.88740987243483083"/>
        </c:manualLayout>
      </c:layout>
      <c:overlay val="1"/>
      <c:spPr>
        <a:noFill/>
      </c:sp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raw!$O$1</c:f>
              <c:strCache>
                <c:ptCount val="1"/>
                <c:pt idx="0">
                  <c:v>쿠팡</c:v>
                </c:pt>
              </c:strCache>
            </c:strRef>
          </c:tx>
          <c:spPr>
            <a:solidFill>
              <a:schemeClr val="tx1">
                <a:alpha val="60000"/>
              </a:schemeClr>
            </a:solidFill>
            <a:ln w="76200">
              <a:solidFill>
                <a:srgbClr val="FF0000"/>
              </a:solidFill>
            </a:ln>
          </c:spPr>
          <c:cat>
            <c:numRef>
              <c:f>raw!$N$2:$N$41</c:f>
              <c:numCache>
                <c:formatCode>m/d/yyyy</c:formatCode>
                <c:ptCount val="40"/>
                <c:pt idx="0">
                  <c:v>37256</c:v>
                </c:pt>
                <c:pt idx="1">
                  <c:v>37621</c:v>
                </c:pt>
                <c:pt idx="2">
                  <c:v>37986</c:v>
                </c:pt>
                <c:pt idx="3">
                  <c:v>38352</c:v>
                </c:pt>
                <c:pt idx="4">
                  <c:v>38717</c:v>
                </c:pt>
                <c:pt idx="5">
                  <c:v>39082</c:v>
                </c:pt>
                <c:pt idx="6">
                  <c:v>39447</c:v>
                </c:pt>
                <c:pt idx="7">
                  <c:v>39813</c:v>
                </c:pt>
                <c:pt idx="8">
                  <c:v>40178</c:v>
                </c:pt>
                <c:pt idx="9">
                  <c:v>40543</c:v>
                </c:pt>
                <c:pt idx="10">
                  <c:v>40908</c:v>
                </c:pt>
                <c:pt idx="11">
                  <c:v>41274</c:v>
                </c:pt>
                <c:pt idx="12">
                  <c:v>41639</c:v>
                </c:pt>
                <c:pt idx="13">
                  <c:v>42004</c:v>
                </c:pt>
                <c:pt idx="14">
                  <c:v>42369</c:v>
                </c:pt>
                <c:pt idx="15">
                  <c:v>42735</c:v>
                </c:pt>
                <c:pt idx="16">
                  <c:v>43100</c:v>
                </c:pt>
                <c:pt idx="17">
                  <c:v>43465</c:v>
                </c:pt>
                <c:pt idx="18">
                  <c:v>43830</c:v>
                </c:pt>
                <c:pt idx="19">
                  <c:v>44196</c:v>
                </c:pt>
                <c:pt idx="20">
                  <c:v>44561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cat>
          <c:val>
            <c:numRef>
              <c:f>raw!$O$2:$O$41</c:f>
              <c:numCache>
                <c:formatCode>General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1133752000</c:v>
                </c:pt>
                <c:pt idx="15">
                  <c:v>1915938000</c:v>
                </c:pt>
                <c:pt idx="16">
                  <c:v>2684630000</c:v>
                </c:pt>
                <c:pt idx="17">
                  <c:v>4354586000</c:v>
                </c:pt>
                <c:pt idx="18">
                  <c:v>7153094000</c:v>
                </c:pt>
                <c:pt idx="19">
                  <c:v>13923597000</c:v>
                </c:pt>
                <c:pt idx="20">
                  <c:v>20881259000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80-493E-9A57-109CD244FC68}"/>
            </c:ext>
          </c:extLst>
        </c:ser>
        <c:ser>
          <c:idx val="1"/>
          <c:order val="1"/>
          <c:tx>
            <c:strRef>
              <c:f>raw!$P$1</c:f>
              <c:strCache>
                <c:ptCount val="1"/>
                <c:pt idx="0">
                  <c:v>카카오</c:v>
                </c:pt>
              </c:strCache>
            </c:strRef>
          </c:tx>
          <c:spPr>
            <a:solidFill>
              <a:srgbClr val="FFFF00">
                <a:alpha val="60000"/>
              </a:srgbClr>
            </a:solidFill>
          </c:spPr>
          <c:cat>
            <c:numRef>
              <c:f>raw!$N$2:$N$41</c:f>
              <c:numCache>
                <c:formatCode>m/d/yyyy</c:formatCode>
                <c:ptCount val="40"/>
                <c:pt idx="0">
                  <c:v>37256</c:v>
                </c:pt>
                <c:pt idx="1">
                  <c:v>37621</c:v>
                </c:pt>
                <c:pt idx="2">
                  <c:v>37986</c:v>
                </c:pt>
                <c:pt idx="3">
                  <c:v>38352</c:v>
                </c:pt>
                <c:pt idx="4">
                  <c:v>38717</c:v>
                </c:pt>
                <c:pt idx="5">
                  <c:v>39082</c:v>
                </c:pt>
                <c:pt idx="6">
                  <c:v>39447</c:v>
                </c:pt>
                <c:pt idx="7">
                  <c:v>39813</c:v>
                </c:pt>
                <c:pt idx="8">
                  <c:v>40178</c:v>
                </c:pt>
                <c:pt idx="9">
                  <c:v>40543</c:v>
                </c:pt>
                <c:pt idx="10">
                  <c:v>40908</c:v>
                </c:pt>
                <c:pt idx="11">
                  <c:v>41274</c:v>
                </c:pt>
                <c:pt idx="12">
                  <c:v>41639</c:v>
                </c:pt>
                <c:pt idx="13">
                  <c:v>42004</c:v>
                </c:pt>
                <c:pt idx="14">
                  <c:v>42369</c:v>
                </c:pt>
                <c:pt idx="15">
                  <c:v>42735</c:v>
                </c:pt>
                <c:pt idx="16">
                  <c:v>43100</c:v>
                </c:pt>
                <c:pt idx="17">
                  <c:v>43465</c:v>
                </c:pt>
                <c:pt idx="18">
                  <c:v>43830</c:v>
                </c:pt>
                <c:pt idx="19">
                  <c:v>44196</c:v>
                </c:pt>
                <c:pt idx="20">
                  <c:v>44561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cat>
          <c:val>
            <c:numRef>
              <c:f>raw!$P$2:$P$41</c:f>
              <c:numCache>
                <c:formatCode>General</c:formatCode>
                <c:ptCount val="40"/>
                <c:pt idx="0">
                  <c:v>90162965</c:v>
                </c:pt>
                <c:pt idx="1">
                  <c:v>226113979</c:v>
                </c:pt>
                <c:pt idx="2">
                  <c:v>#N/A</c:v>
                </c:pt>
                <c:pt idx="3">
                  <c:v>268478264</c:v>
                </c:pt>
                <c:pt idx="4">
                  <c:v>401773499</c:v>
                </c:pt>
                <c:pt idx="5">
                  <c:v>473685090</c:v>
                </c:pt>
                <c:pt idx="6">
                  <c:v>#N/A</c:v>
                </c:pt>
                <c:pt idx="7">
                  <c:v>260014881</c:v>
                </c:pt>
                <c:pt idx="8">
                  <c:v>274282433</c:v>
                </c:pt>
                <c:pt idx="9">
                  <c:v>350423340</c:v>
                </c:pt>
                <c:pt idx="10">
                  <c:v>421266779</c:v>
                </c:pt>
                <c:pt idx="11">
                  <c:v>453387737</c:v>
                </c:pt>
                <c:pt idx="12">
                  <c:v>210775882</c:v>
                </c:pt>
                <c:pt idx="13">
                  <c:v>498857729</c:v>
                </c:pt>
                <c:pt idx="14">
                  <c:v>932151827</c:v>
                </c:pt>
                <c:pt idx="15">
                  <c:v>1464232790</c:v>
                </c:pt>
                <c:pt idx="16">
                  <c:v>1972326479</c:v>
                </c:pt>
                <c:pt idx="17">
                  <c:v>2416992441</c:v>
                </c:pt>
                <c:pt idx="18">
                  <c:v>3070111365</c:v>
                </c:pt>
                <c:pt idx="19">
                  <c:v>4156816121</c:v>
                </c:pt>
                <c:pt idx="20">
                  <c:v>6136669168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A80-493E-9A57-109CD244FC68}"/>
            </c:ext>
          </c:extLst>
        </c:ser>
        <c:ser>
          <c:idx val="2"/>
          <c:order val="2"/>
          <c:tx>
            <c:strRef>
              <c:f>raw!$Q$1</c:f>
              <c:strCache>
                <c:ptCount val="1"/>
                <c:pt idx="0">
                  <c:v>NAVER</c:v>
                </c:pt>
              </c:strCache>
            </c:strRef>
          </c:tx>
          <c:spPr>
            <a:solidFill>
              <a:srgbClr val="00B050">
                <a:alpha val="60000"/>
              </a:srgbClr>
            </a:solidFill>
          </c:spPr>
          <c:cat>
            <c:numRef>
              <c:f>raw!$N$2:$N$41</c:f>
              <c:numCache>
                <c:formatCode>m/d/yyyy</c:formatCode>
                <c:ptCount val="40"/>
                <c:pt idx="0">
                  <c:v>37256</c:v>
                </c:pt>
                <c:pt idx="1">
                  <c:v>37621</c:v>
                </c:pt>
                <c:pt idx="2">
                  <c:v>37986</c:v>
                </c:pt>
                <c:pt idx="3">
                  <c:v>38352</c:v>
                </c:pt>
                <c:pt idx="4">
                  <c:v>38717</c:v>
                </c:pt>
                <c:pt idx="5">
                  <c:v>39082</c:v>
                </c:pt>
                <c:pt idx="6">
                  <c:v>39447</c:v>
                </c:pt>
                <c:pt idx="7">
                  <c:v>39813</c:v>
                </c:pt>
                <c:pt idx="8">
                  <c:v>40178</c:v>
                </c:pt>
                <c:pt idx="9">
                  <c:v>40543</c:v>
                </c:pt>
                <c:pt idx="10">
                  <c:v>40908</c:v>
                </c:pt>
                <c:pt idx="11">
                  <c:v>41274</c:v>
                </c:pt>
                <c:pt idx="12">
                  <c:v>41639</c:v>
                </c:pt>
                <c:pt idx="13">
                  <c:v>42004</c:v>
                </c:pt>
                <c:pt idx="14">
                  <c:v>42369</c:v>
                </c:pt>
                <c:pt idx="15">
                  <c:v>42735</c:v>
                </c:pt>
                <c:pt idx="16">
                  <c:v>43100</c:v>
                </c:pt>
                <c:pt idx="17">
                  <c:v>43465</c:v>
                </c:pt>
                <c:pt idx="18">
                  <c:v>43830</c:v>
                </c:pt>
                <c:pt idx="19">
                  <c:v>44196</c:v>
                </c:pt>
                <c:pt idx="20">
                  <c:v>44561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cat>
          <c:val>
            <c:numRef>
              <c:f>raw!$Q$2:$Q$41</c:f>
              <c:numCache>
                <c:formatCode>General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261925311</c:v>
                </c:pt>
                <c:pt idx="4">
                  <c:v>414594058</c:v>
                </c:pt>
                <c:pt idx="5">
                  <c:v>645106663</c:v>
                </c:pt>
                <c:pt idx="6">
                  <c:v>1017988839</c:v>
                </c:pt>
                <c:pt idx="7">
                  <c:v>1380102306</c:v>
                </c:pt>
                <c:pt idx="8">
                  <c:v>1597949099</c:v>
                </c:pt>
                <c:pt idx="9">
                  <c:v>1785388877</c:v>
                </c:pt>
                <c:pt idx="10">
                  <c:v>2121317926</c:v>
                </c:pt>
                <c:pt idx="11">
                  <c:v>1798657243</c:v>
                </c:pt>
                <c:pt idx="12">
                  <c:v>2259138612</c:v>
                </c:pt>
                <c:pt idx="13">
                  <c:v>2758478837</c:v>
                </c:pt>
                <c:pt idx="14">
                  <c:v>3253930352</c:v>
                </c:pt>
                <c:pt idx="15">
                  <c:v>4022629620</c:v>
                </c:pt>
                <c:pt idx="16">
                  <c:v>4678468928</c:v>
                </c:pt>
                <c:pt idx="17">
                  <c:v>5586904533</c:v>
                </c:pt>
                <c:pt idx="18">
                  <c:v>4356239667</c:v>
                </c:pt>
                <c:pt idx="19">
                  <c:v>5304145900</c:v>
                </c:pt>
                <c:pt idx="20">
                  <c:v>6817599707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A80-493E-9A57-109CD244FC68}"/>
            </c:ext>
          </c:extLst>
        </c:ser>
        <c:ser>
          <c:idx val="3"/>
          <c:order val="3"/>
          <c:tx>
            <c:strRef>
              <c:f>raw!$R$1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002060">
                <a:alpha val="60000"/>
              </a:srgbClr>
            </a:solidFill>
          </c:spPr>
          <c:cat>
            <c:numRef>
              <c:f>raw!$N$2:$N$41</c:f>
              <c:numCache>
                <c:formatCode>m/d/yyyy</c:formatCode>
                <c:ptCount val="40"/>
                <c:pt idx="0">
                  <c:v>37256</c:v>
                </c:pt>
                <c:pt idx="1">
                  <c:v>37621</c:v>
                </c:pt>
                <c:pt idx="2">
                  <c:v>37986</c:v>
                </c:pt>
                <c:pt idx="3">
                  <c:v>38352</c:v>
                </c:pt>
                <c:pt idx="4">
                  <c:v>38717</c:v>
                </c:pt>
                <c:pt idx="5">
                  <c:v>39082</c:v>
                </c:pt>
                <c:pt idx="6">
                  <c:v>39447</c:v>
                </c:pt>
                <c:pt idx="7">
                  <c:v>39813</c:v>
                </c:pt>
                <c:pt idx="8">
                  <c:v>40178</c:v>
                </c:pt>
                <c:pt idx="9">
                  <c:v>40543</c:v>
                </c:pt>
                <c:pt idx="10">
                  <c:v>40908</c:v>
                </c:pt>
                <c:pt idx="11">
                  <c:v>41274</c:v>
                </c:pt>
                <c:pt idx="12">
                  <c:v>41639</c:v>
                </c:pt>
                <c:pt idx="13">
                  <c:v>42004</c:v>
                </c:pt>
                <c:pt idx="14">
                  <c:v>42369</c:v>
                </c:pt>
                <c:pt idx="15">
                  <c:v>42735</c:v>
                </c:pt>
                <c:pt idx="16">
                  <c:v>43100</c:v>
                </c:pt>
                <c:pt idx="17">
                  <c:v>43465</c:v>
                </c:pt>
                <c:pt idx="18">
                  <c:v>43830</c:v>
                </c:pt>
                <c:pt idx="19">
                  <c:v>44196</c:v>
                </c:pt>
                <c:pt idx="20">
                  <c:v>44561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cat>
          <c:val>
            <c:numRef>
              <c:f>raw!$R$2:$R$41</c:f>
              <c:numCache>
                <c:formatCode>General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A80-493E-9A57-109CD244F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237376"/>
        <c:axId val="240862336"/>
      </c:areaChart>
      <c:dateAx>
        <c:axId val="241237376"/>
        <c:scaling>
          <c:orientation val="minMax"/>
        </c:scaling>
        <c:delete val="0"/>
        <c:axPos val="t"/>
        <c:majorGridlines/>
        <c:numFmt formatCode="yy" sourceLinked="0"/>
        <c:majorTickMark val="cross"/>
        <c:minorTickMark val="none"/>
        <c:tickLblPos val="nextTo"/>
        <c:txPr>
          <a:bodyPr/>
          <a:lstStyle/>
          <a:p>
            <a:pPr>
              <a:defRPr sz="1000" b="1"/>
            </a:pPr>
            <a:endParaRPr lang="ko-KR"/>
          </a:p>
        </c:txPr>
        <c:crossAx val="240862336"/>
        <c:crosses val="autoZero"/>
        <c:auto val="1"/>
        <c:lblOffset val="100"/>
        <c:baseTimeUnit val="years"/>
      </c:dateAx>
      <c:valAx>
        <c:axId val="240862336"/>
        <c:scaling>
          <c:orientation val="maxMin"/>
        </c:scaling>
        <c:delete val="0"/>
        <c:axPos val="r"/>
        <c:majorGridlines/>
        <c:numFmt formatCode="0%" sourceLinked="0"/>
        <c:majorTickMark val="out"/>
        <c:minorTickMark val="none"/>
        <c:tickLblPos val="nextTo"/>
        <c:txPr>
          <a:bodyPr rot="0" vert="horz" anchor="ctr" anchorCtr="0"/>
          <a:lstStyle/>
          <a:p>
            <a:pPr>
              <a:defRPr/>
            </a:pPr>
            <a:endParaRPr lang="ko-KR"/>
          </a:p>
        </c:txPr>
        <c:crossAx val="241237376"/>
        <c:crosses val="max"/>
        <c:crossBetween val="midCat"/>
      </c:valAx>
    </c:plotArea>
    <c:legend>
      <c:legendPos val="l"/>
      <c:layout>
        <c:manualLayout>
          <c:xMode val="edge"/>
          <c:yMode val="edge"/>
          <c:x val="2.4353120243531201E-2"/>
          <c:y val="8.6986431188613877E-2"/>
          <c:w val="0.10315351332741476"/>
          <c:h val="0.12941021307444722"/>
        </c:manualLayout>
      </c:layout>
      <c:overlay val="1"/>
      <c:spPr>
        <a:solidFill>
          <a:schemeClr val="bg1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$B$4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152400</xdr:rowOff>
    </xdr:from>
    <xdr:to>
      <xdr:col>3</xdr:col>
      <xdr:colOff>9525</xdr:colOff>
      <xdr:row>3</xdr:row>
      <xdr:rowOff>171450</xdr:rowOff>
    </xdr:to>
    <xdr:sp macro="" textlink="">
      <xdr:nvSpPr>
        <xdr:cNvPr id="4" name="직사각형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95275" y="819150"/>
          <a:ext cx="1752600" cy="2286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13</xdr:col>
      <xdr:colOff>87449</xdr:colOff>
      <xdr:row>3</xdr:row>
      <xdr:rowOff>171450</xdr:rowOff>
    </xdr:from>
    <xdr:to>
      <xdr:col>22</xdr:col>
      <xdr:colOff>395249</xdr:colOff>
      <xdr:row>18</xdr:row>
      <xdr:rowOff>192000</xdr:rowOff>
    </xdr:to>
    <xdr:graphicFrame macro="">
      <xdr:nvGraphicFramePr>
        <xdr:cNvPr id="13" name="차트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13</xdr:col>
      <xdr:colOff>62249</xdr:colOff>
      <xdr:row>17</xdr:row>
      <xdr:rowOff>207586</xdr:rowOff>
    </xdr:from>
    <xdr:to>
      <xdr:col>22</xdr:col>
      <xdr:colOff>395249</xdr:colOff>
      <xdr:row>33</xdr:row>
      <xdr:rowOff>95250</xdr:rowOff>
    </xdr:to>
    <xdr:graphicFrame macro="">
      <xdr:nvGraphicFramePr>
        <xdr:cNvPr id="14" name="차트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254175</xdr:colOff>
      <xdr:row>3</xdr:row>
      <xdr:rowOff>171450</xdr:rowOff>
    </xdr:from>
    <xdr:to>
      <xdr:col>12</xdr:col>
      <xdr:colOff>561975</xdr:colOff>
      <xdr:row>18</xdr:row>
      <xdr:rowOff>192000</xdr:rowOff>
    </xdr:to>
    <xdr:graphicFrame macro="">
      <xdr:nvGraphicFramePr>
        <xdr:cNvPr id="8" name="차트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3</xdr:col>
      <xdr:colOff>249529</xdr:colOff>
      <xdr:row>17</xdr:row>
      <xdr:rowOff>207818</xdr:rowOff>
    </xdr:from>
    <xdr:to>
      <xdr:col>12</xdr:col>
      <xdr:colOff>625729</xdr:colOff>
      <xdr:row>33</xdr:row>
      <xdr:rowOff>95019</xdr:rowOff>
    </xdr:to>
    <xdr:graphicFrame macro="">
      <xdr:nvGraphicFramePr>
        <xdr:cNvPr id="9" name="차트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247649</xdr:colOff>
      <xdr:row>34</xdr:row>
      <xdr:rowOff>19050</xdr:rowOff>
    </xdr:from>
    <xdr:to>
      <xdr:col>22</xdr:col>
      <xdr:colOff>142874</xdr:colOff>
      <xdr:row>61</xdr:row>
      <xdr:rowOff>85725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2</xdr:row>
          <xdr:rowOff>104775</xdr:rowOff>
        </xdr:from>
        <xdr:to>
          <xdr:col>3</xdr:col>
          <xdr:colOff>19050</xdr:colOff>
          <xdr:row>3</xdr:row>
          <xdr:rowOff>209550</xdr:rowOff>
        </xdr:to>
        <xdr:grpSp>
          <xdr:nvGrpSpPr>
            <xdr:cNvPr id="5" name="그룹 4">
              <a:extLst>
                <a:ext uri="{FF2B5EF4-FFF2-40B4-BE49-F238E27FC236}">
                  <a16:creationId xmlns=""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285750" y="771525"/>
              <a:ext cx="1771650" cy="314325"/>
              <a:chOff x="285750" y="771525"/>
              <a:chExt cx="1771650" cy="314325"/>
            </a:xfrm>
          </xdr:grpSpPr>
          <xdr:sp macro="" textlink="">
            <xdr:nvSpPr>
              <xdr:cNvPr id="3074" name="Group Box 2" hidden="1">
                <a:extLst>
                  <a:ext uri="{63B3BB69-23CF-44E3-9099-C40C66FF867C}">
                    <a14:compatExt spid="_x0000_s3074"/>
                  </a:ext>
                </a:extLst>
              </xdr:cNvPr>
              <xdr:cNvSpPr/>
            </xdr:nvSpPr>
            <xdr:spPr>
              <a:xfrm>
                <a:off x="285750" y="771525"/>
                <a:ext cx="1771650" cy="314325"/>
              </a:xfrm>
              <a:prstGeom prst="rect">
                <a:avLst/>
              </a:prstGeom>
            </xdr:spPr>
          </xdr:sp>
          <xdr:sp macro="" textlink="">
            <xdr:nvSpPr>
              <xdr:cNvPr id="3075" name="Option 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>
              <a:xfrm>
                <a:off x="295275" y="838200"/>
                <a:ext cx="8096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굴림"/>
                    <a:ea typeface="굴림"/>
                  </a:rPr>
                  <a:t>코드 입력</a:t>
                </a:r>
              </a:p>
            </xdr:txBody>
          </xdr:sp>
          <xdr:sp macro="" textlink="">
            <xdr:nvSpPr>
              <xdr:cNvPr id="3076" name="Option 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>
              <a:xfrm>
                <a:off x="1152525" y="838200"/>
                <a:ext cx="8096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굴림"/>
                    <a:ea typeface="굴림"/>
                  </a:rPr>
                  <a:t>기업명 입력</a:t>
                </a:r>
              </a:p>
            </xdr:txBody>
          </xdr:sp>
        </xdr:grpSp>
        <xdr:clientData/>
      </xdr:twoCellAnchor>
    </mc:Choice>
    <mc:Fallback/>
  </mc:AlternateContent>
  <xdr:oneCellAnchor>
    <xdr:from>
      <xdr:col>12</xdr:col>
      <xdr:colOff>445396</xdr:colOff>
      <xdr:row>17</xdr:row>
      <xdr:rowOff>176964</xdr:rowOff>
    </xdr:from>
    <xdr:ext cx="537841" cy="325217"/>
    <xdr:sp macro="" textlink="">
      <xdr:nvSpPr>
        <xdr:cNvPr id="18" name="TextBox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8655946" y="4063164"/>
          <a:ext cx="537841" cy="3252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altLang="ko-KR" sz="1050" b="1"/>
            <a:t>(</a:t>
          </a:r>
          <a:r>
            <a:rPr lang="ko-KR" altLang="en-US" sz="1050" b="1"/>
            <a:t>십억</a:t>
          </a:r>
          <a:r>
            <a:rPr lang="en-US" altLang="ko-KR" sz="1050" b="1"/>
            <a:t>)</a:t>
          </a:r>
          <a:endParaRPr lang="ko-KR" altLang="en-US" sz="105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19050</xdr:rowOff>
        </xdr:from>
        <xdr:to>
          <xdr:col>2</xdr:col>
          <xdr:colOff>885825</xdr:colOff>
          <xdr:row>13</xdr:row>
          <xdr:rowOff>200025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 정보 업데이트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celcode_klat_5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W26"/>
  <sheetViews>
    <sheetView showGridLines="0" showRowColHeaders="0" tabSelected="1" zoomScaleNormal="100" workbookViewId="0">
      <selection activeCell="C14" sqref="C14"/>
    </sheetView>
  </sheetViews>
  <sheetFormatPr defaultRowHeight="16.5" x14ac:dyDescent="0.3"/>
  <cols>
    <col min="1" max="1" width="3.875" customWidth="1"/>
    <col min="2" max="2" width="10.625" customWidth="1"/>
    <col min="3" max="3" width="12.25" customWidth="1"/>
  </cols>
  <sheetData>
    <row r="2" spans="2:23" ht="36" customHeight="1" x14ac:dyDescent="0.3">
      <c r="B2" s="31" t="s">
        <v>8583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</row>
    <row r="4" spans="2:23" ht="17.25" thickBot="1" x14ac:dyDescent="0.35">
      <c r="B4">
        <v>1</v>
      </c>
    </row>
    <row r="5" spans="2:23" ht="17.25" thickBot="1" x14ac:dyDescent="0.35">
      <c r="B5" s="18" t="s">
        <v>8584</v>
      </c>
      <c r="C5" s="19" t="s">
        <v>8585</v>
      </c>
    </row>
    <row r="6" spans="2:23" x14ac:dyDescent="0.3">
      <c r="B6" s="28" t="s">
        <v>7340</v>
      </c>
      <c r="C6" s="20" t="str">
        <f>INDEX(code!$B:$B,MATCH(graph!$B6,code!$A:$A,0))</f>
        <v>쿠팡</v>
      </c>
    </row>
    <row r="7" spans="2:23" x14ac:dyDescent="0.3">
      <c r="B7" s="29" t="s">
        <v>3130</v>
      </c>
      <c r="C7" s="21" t="str">
        <f>INDEX(code!$B:$B,MATCH(graph!$B7,code!$A:$A,0))</f>
        <v>카카오</v>
      </c>
    </row>
    <row r="8" spans="2:23" x14ac:dyDescent="0.3">
      <c r="B8" s="29" t="s">
        <v>213</v>
      </c>
      <c r="C8" s="21" t="str">
        <f>INDEX(code!$B:$B,MATCH(graph!$B8,code!$A:$A,0))</f>
        <v>NAVER</v>
      </c>
    </row>
    <row r="9" spans="2:23" ht="17.25" thickBot="1" x14ac:dyDescent="0.35">
      <c r="B9" s="30"/>
      <c r="C9" s="22" t="e">
        <f>INDEX(code!$B:$B,MATCH(graph!$B9,code!$A:$A,0))</f>
        <v>#N/A</v>
      </c>
    </row>
    <row r="10" spans="2:23" ht="17.25" thickBot="1" x14ac:dyDescent="0.35"/>
    <row r="11" spans="2:23" ht="17.25" thickBot="1" x14ac:dyDescent="0.35">
      <c r="B11" s="23" t="s">
        <v>8587</v>
      </c>
      <c r="C11" s="26" t="s">
        <v>8589</v>
      </c>
    </row>
    <row r="12" spans="2:23" ht="17.25" thickBot="1" x14ac:dyDescent="0.35"/>
    <row r="13" spans="2:23" ht="17.25" thickBot="1" x14ac:dyDescent="0.35">
      <c r="B13" s="23" t="s">
        <v>8588</v>
      </c>
      <c r="C13" s="25">
        <v>44951.473055671297</v>
      </c>
    </row>
    <row r="14" spans="2:23" ht="17.25" thickBot="1" x14ac:dyDescent="0.35">
      <c r="B14" s="24"/>
      <c r="C14" s="27">
        <v>44951.474358912033</v>
      </c>
    </row>
    <row r="21" spans="2:2" x14ac:dyDescent="0.3">
      <c r="B21" s="16"/>
    </row>
    <row r="22" spans="2:2" x14ac:dyDescent="0.3">
      <c r="B22" s="16"/>
    </row>
    <row r="23" spans="2:2" x14ac:dyDescent="0.3">
      <c r="B23" s="16"/>
    </row>
    <row r="24" spans="2:2" x14ac:dyDescent="0.3">
      <c r="B24" s="16"/>
    </row>
    <row r="25" spans="2:2" x14ac:dyDescent="0.3">
      <c r="B25" s="8"/>
    </row>
    <row r="26" spans="2:2" x14ac:dyDescent="0.3">
      <c r="B26" s="4"/>
    </row>
  </sheetData>
  <mergeCells count="1">
    <mergeCell ref="B2:W2"/>
  </mergeCells>
  <phoneticPr fontId="1" type="noConversion"/>
  <conditionalFormatting sqref="B6:B9">
    <cfRule type="expression" dxfId="1" priority="2">
      <formula>($B$4=1)</formula>
    </cfRule>
  </conditionalFormatting>
  <conditionalFormatting sqref="C6:C9">
    <cfRule type="expression" dxfId="0" priority="1">
      <formula>($B$4=2)</formula>
    </cfRule>
  </conditionalFormatting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Group Box 2">
              <controlPr defaultSize="0" autoFill="0" autoPict="0">
                <anchor moveWithCells="1">
                  <from>
                    <xdr:col>0</xdr:col>
                    <xdr:colOff>285750</xdr:colOff>
                    <xdr:row>2</xdr:row>
                    <xdr:rowOff>104775</xdr:rowOff>
                  </from>
                  <to>
                    <xdr:col>3</xdr:col>
                    <xdr:colOff>19050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 macro="[0]!input_chk">
                <anchor moveWithCells="1">
                  <from>
                    <xdr:col>1</xdr:col>
                    <xdr:colOff>0</xdr:colOff>
                    <xdr:row>2</xdr:row>
                    <xdr:rowOff>171450</xdr:rowOff>
                  </from>
                  <to>
                    <xdr:col>2</xdr:col>
                    <xdr:colOff>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Option Button 4">
              <controlPr defaultSize="0" autoFill="0" autoLine="0" autoPict="0" macro="[0]!input_chk">
                <anchor moveWithCells="1">
                  <from>
                    <xdr:col>2</xdr:col>
                    <xdr:colOff>47625</xdr:colOff>
                    <xdr:row>2</xdr:row>
                    <xdr:rowOff>171450</xdr:rowOff>
                  </from>
                  <to>
                    <xdr:col>2</xdr:col>
                    <xdr:colOff>857250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upd">
                <anchor moveWithCells="1">
                  <from>
                    <xdr:col>1</xdr:col>
                    <xdr:colOff>38100</xdr:colOff>
                    <xdr:row>13</xdr:row>
                    <xdr:rowOff>19050</xdr:rowOff>
                  </from>
                  <to>
                    <xdr:col>2</xdr:col>
                    <xdr:colOff>885825</xdr:colOff>
                    <xdr:row>13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raw!$D$3:$D$4</xm:f>
          </x14:formula1>
          <xm:sqref>C11</xm:sqref>
        </x14:dataValidation>
        <x14:dataValidation type="list" allowBlank="1" showInputMessage="1" showErrorMessage="1">
          <x14:formula1>
            <xm:f>code!$A$3:$A$6565</xm:f>
          </x14:formula1>
          <xm:sqref>B6:B9</xm:sqref>
        </x14:dataValidation>
        <x14:dataValidation type="list" allowBlank="1" showInputMessage="1" showErrorMessage="1">
          <x14:formula1>
            <xm:f>code!$B$3:$B$6565</xm:f>
          </x14:formula1>
          <xm:sqref>C6:C9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LX1007"/>
  <sheetViews>
    <sheetView topLeftCell="D1" workbookViewId="0">
      <selection activeCell="K17" sqref="K17"/>
    </sheetView>
  </sheetViews>
  <sheetFormatPr defaultRowHeight="16.5" x14ac:dyDescent="0.3"/>
  <cols>
    <col min="1" max="1" width="10.625" customWidth="1"/>
    <col min="2" max="2" width="11.125" bestFit="1" customWidth="1"/>
    <col min="3" max="3" width="10.75" customWidth="1"/>
    <col min="4" max="4" width="11.125" bestFit="1" customWidth="1"/>
    <col min="5" max="5" width="11.5" customWidth="1"/>
    <col min="6" max="6" width="12" customWidth="1"/>
    <col min="7" max="7" width="11.25" bestFit="1" customWidth="1"/>
    <col min="8" max="9" width="11.25" customWidth="1"/>
    <col min="10" max="13" width="11.125" customWidth="1"/>
    <col min="14" max="14" width="14.5" bestFit="1" customWidth="1"/>
    <col min="15" max="15" width="13.75" bestFit="1" customWidth="1"/>
    <col min="16" max="16" width="11.125" bestFit="1" customWidth="1"/>
    <col min="17" max="17" width="11.75" bestFit="1" customWidth="1"/>
    <col min="18" max="18" width="11.75" customWidth="1"/>
    <col min="19" max="21" width="11.75" bestFit="1" customWidth="1"/>
    <col min="22" max="22" width="11.75" customWidth="1"/>
    <col min="23" max="23" width="11.625" bestFit="1" customWidth="1"/>
    <col min="24" max="24" width="9.25" customWidth="1"/>
    <col min="25" max="25" width="11.125" bestFit="1" customWidth="1"/>
    <col min="26" max="26" width="11.125" customWidth="1"/>
    <col min="27" max="29" width="11.125" bestFit="1" customWidth="1"/>
    <col min="32" max="32" width="10" customWidth="1"/>
  </cols>
  <sheetData>
    <row r="1" spans="1:1012" x14ac:dyDescent="0.3">
      <c r="A1" s="1" t="s">
        <v>0</v>
      </c>
      <c r="B1" s="2">
        <v>32874</v>
      </c>
      <c r="C1" s="1" t="s">
        <v>3</v>
      </c>
      <c r="D1" t="s">
        <v>8575</v>
      </c>
      <c r="G1" s="2"/>
      <c r="H1" s="2"/>
      <c r="I1" s="2"/>
      <c r="J1" s="2"/>
      <c r="K1" s="2"/>
      <c r="L1" s="2"/>
      <c r="M1" s="9"/>
      <c r="N1">
        <f>COUNTA(code!$B:$B)+1</f>
        <v>6565</v>
      </c>
      <c r="O1" s="14" t="str">
        <f>IF(graph!$C$6&lt;&gt;"",graph!$C$6,"")</f>
        <v>쿠팡</v>
      </c>
      <c r="P1" s="14" t="str">
        <f>IF(graph!$C$7&lt;&gt;"",graph!$C$7,"")</f>
        <v>카카오</v>
      </c>
      <c r="Q1" s="14" t="str">
        <f>IF(graph!$C$8&lt;&gt;"",graph!$C$8,"")</f>
        <v>NAVER</v>
      </c>
      <c r="R1" s="14" t="e">
        <f>IF(graph!$C$9&lt;&gt;"",graph!$C$9,"")</f>
        <v>#N/A</v>
      </c>
      <c r="S1" s="14" t="str">
        <f>IF(graph!$C$6&lt;&gt;"",graph!$C$6,"")</f>
        <v>쿠팡</v>
      </c>
      <c r="T1" s="14" t="str">
        <f>IF(graph!$C$7&lt;&gt;"",graph!$C$7,"")</f>
        <v>카카오</v>
      </c>
      <c r="U1" s="14" t="str">
        <f>IF(graph!$C$8&lt;&gt;"",graph!$C$8,"")</f>
        <v>NAVER</v>
      </c>
      <c r="V1" s="14" t="e">
        <f>IF(graph!$C$9&lt;&gt;"",graph!$C$9,"")</f>
        <v>#N/A</v>
      </c>
      <c r="W1" s="14" t="str">
        <f>IF(graph!$C$6&lt;&gt;"",graph!$C$6,"")</f>
        <v>쿠팡</v>
      </c>
      <c r="X1" s="14" t="str">
        <f>IF(graph!$C$7&lt;&gt;"",graph!$C$7,"")</f>
        <v>카카오</v>
      </c>
      <c r="Y1" s="14" t="str">
        <f>IF(graph!$C$8&lt;&gt;"",graph!$C$8,"")</f>
        <v>NAVER</v>
      </c>
      <c r="Z1" s="14" t="e">
        <f>IF(graph!$C$9&lt;&gt;"",graph!$C$9,"")</f>
        <v>#N/A</v>
      </c>
      <c r="AA1" s="14" t="str">
        <f>IF(graph!$C$6&lt;&gt;"",graph!$C$6,"")</f>
        <v>쿠팡</v>
      </c>
      <c r="AB1" s="14" t="str">
        <f>IF(graph!$C$7&lt;&gt;"",graph!$C$7,"")</f>
        <v>카카오</v>
      </c>
      <c r="AC1" s="14" t="str">
        <f>IF(graph!$C$8&lt;&gt;"",graph!$C$8,"")</f>
        <v>NAVER</v>
      </c>
      <c r="AD1" s="14" t="e">
        <f>IF(graph!$C$9&lt;&gt;"",graph!$C$9,"")</f>
        <v>#N/A</v>
      </c>
      <c r="AE1" s="14" t="str">
        <f>IF(graph!$C$6&lt;&gt;"",graph!$C$6,"")</f>
        <v>쿠팡</v>
      </c>
      <c r="AF1" s="14" t="str">
        <f>IF(graph!$C$7&lt;&gt;"",graph!$C$7,"")</f>
        <v>카카오</v>
      </c>
      <c r="AG1" s="14" t="str">
        <f>IF(graph!$C$8&lt;&gt;"",graph!$C$8,"")</f>
        <v>NAVER</v>
      </c>
      <c r="AH1" s="14" t="e">
        <f>IF(graph!$C$9&lt;&gt;"",graph!$C$9,"")</f>
        <v>#N/A</v>
      </c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</row>
    <row r="2" spans="1:1012" x14ac:dyDescent="0.3">
      <c r="A2" s="1" t="s">
        <v>1</v>
      </c>
      <c r="B2" s="2">
        <f ca="1">TODAY()</f>
        <v>44951</v>
      </c>
      <c r="C2" s="1" t="s">
        <v>4</v>
      </c>
      <c r="D2" t="s">
        <v>8577</v>
      </c>
      <c r="F2" s="2"/>
      <c r="G2" s="2"/>
      <c r="H2" s="2"/>
      <c r="I2" s="2"/>
      <c r="J2" s="9"/>
      <c r="K2" s="9"/>
      <c r="L2" s="9"/>
      <c r="M2" s="9"/>
      <c r="N2" s="2">
        <f ca="1">MIN($A:$A,$D:$D,$G:$G)</f>
        <v>37256</v>
      </c>
      <c r="O2" s="9" t="e">
        <f t="shared" ref="O2:O24" ca="1" si="0">IF(O$1&lt;&gt;"",VLOOKUP($N2,$A:$C,2,0),NA())</f>
        <v>#N/A</v>
      </c>
      <c r="P2" s="9">
        <f t="shared" ref="P2:P24" ca="1" si="1">IF(P$1&lt;&gt;"",VLOOKUP($N2,$D:$F,2,0),NA())</f>
        <v>90162965</v>
      </c>
      <c r="Q2" s="9" t="e">
        <f t="shared" ref="Q2:Q24" ca="1" si="2">IF(Q$1&lt;&gt;"",VLOOKUP($N2,$G:$I,2,0),NA())</f>
        <v>#N/A</v>
      </c>
      <c r="R2" s="9" t="e">
        <f t="shared" ref="R2:R24" si="3">IF(R$1&lt;&gt;"",VLOOKUP($N2,$J:$L,2,0),NA())</f>
        <v>#N/A</v>
      </c>
      <c r="S2" s="9" t="e">
        <f ca="1">IF( OR(ISERROR(O2),SUMIF(O$2:O2,"&lt;&gt;#N/A")=0), NA(), SUMIF(O$2:O2,"&lt;&gt;#N/A") )</f>
        <v>#N/A</v>
      </c>
      <c r="T2" s="9">
        <f ca="1">IF( OR(ISERROR(P2),SUMIF(P$2:P2,"&lt;&gt;#N/A")=0), NA(), SUMIF(P$2:P2,"&lt;&gt;#N/A") )</f>
        <v>90162965</v>
      </c>
      <c r="U2" s="9" t="e">
        <f ca="1">IF( OR(ISERROR(Q2),SUMIF(Q$2:Q2,"&lt;&gt;#N/A")=0), NA(), SUMIF(Q$2:Q2,"&lt;&gt;#N/A") )</f>
        <v>#N/A</v>
      </c>
      <c r="V2" s="9" t="e">
        <f>IF( OR(ISERROR(R2),SUMIF(R$2:R2,"&lt;&gt;#N/A")=0), NA(), SUMIF(R$2:R2,"&lt;&gt;#N/A") )</f>
        <v>#N/A</v>
      </c>
      <c r="W2" s="9" t="e">
        <f t="shared" ref="W2:W24" ca="1" si="4">IF(W$1&lt;&gt;"",VLOOKUP($N2,$A:$C,3,0),NA())</f>
        <v>#N/A</v>
      </c>
      <c r="X2" s="9">
        <f t="shared" ref="X2:X24" ca="1" si="5">IF(X$1&lt;&gt;"", VLOOKUP($N2,$D:$F,3,0), NA())</f>
        <v>-7882925</v>
      </c>
      <c r="Y2" s="9" t="e">
        <f t="shared" ref="Y2:Y24" ca="1" si="6">IF(Y$1&lt;&gt;"", VLOOKUP($N2,$G:$I,3,0), NA())</f>
        <v>#N/A</v>
      </c>
      <c r="Z2" s="9" t="e">
        <f t="shared" ref="Z2:Z24" si="7">IF(Z$1&lt;&gt;"", VLOOKUP($N2,$J:$L,3,0), NA())</f>
        <v>#N/A</v>
      </c>
      <c r="AA2" s="9" t="e">
        <f ca="1">IF( OR(ISERROR(W2),SUMIF(W$2:W2,"&lt;&gt;#N/A")=0), NA(), SUMIF(W$2:W2,"&lt;&gt;#N/A") )</f>
        <v>#N/A</v>
      </c>
      <c r="AB2" s="9">
        <f ca="1">IF( OR(ISERROR(X2),SUMIF(X$2:X2,"&lt;&gt;#N/A")=0), NA(), SUMIF(X$2:X2,"&lt;&gt;#N/A") )</f>
        <v>-7882925</v>
      </c>
      <c r="AC2" s="9" t="e">
        <f ca="1">IF( OR(ISERROR(Y2),SUMIF(Y$2:Y2,"&lt;&gt;#N/A")=0), NA(), SUMIF(Y$2:Y2,"&lt;&gt;#N/A") )</f>
        <v>#N/A</v>
      </c>
      <c r="AD2" s="9" t="e">
        <f>IF( OR(ISERROR(Z2),SUMIF(Z$2:Z2,"&lt;&gt;#N/A")=0), NA(), SUMIF(Z$2:Z2,"&lt;&gt;#N/A") )</f>
        <v>#N/A</v>
      </c>
      <c r="AE2" s="9" t="e">
        <f ca="1">W2/O2*100</f>
        <v>#N/A</v>
      </c>
      <c r="AF2" s="9">
        <f t="shared" ref="AF2:AF24" ca="1" si="8">X2/P2*100</f>
        <v>-8.7429744574171888</v>
      </c>
      <c r="AG2" s="9" t="e">
        <f t="shared" ref="AG2:AG24" ca="1" si="9">Y2/Q2*100</f>
        <v>#N/A</v>
      </c>
      <c r="AH2" s="9" t="e">
        <f t="shared" ref="AH2:AH24" si="10">Z2/R2*100</f>
        <v>#N/A</v>
      </c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</row>
    <row r="3" spans="1:1012" x14ac:dyDescent="0.3">
      <c r="A3" s="1" t="s">
        <v>2</v>
      </c>
      <c r="B3">
        <v>1000</v>
      </c>
      <c r="C3" s="7">
        <v>0</v>
      </c>
      <c r="D3" s="13" t="s">
        <v>8576</v>
      </c>
      <c r="G3" s="2"/>
      <c r="H3" s="2"/>
      <c r="I3" s="2"/>
      <c r="J3" s="2"/>
      <c r="K3" s="2"/>
      <c r="L3" s="2"/>
      <c r="M3" s="9"/>
      <c r="N3" s="2">
        <f ca="1">IF(EOMONTH(N2,12)&gt;MAX($A:$A,$D:$D,$G:$G),NA(),EOMONTH(N2,12))</f>
        <v>37621</v>
      </c>
      <c r="O3" s="9" t="e">
        <f t="shared" ca="1" si="0"/>
        <v>#N/A</v>
      </c>
      <c r="P3" s="9">
        <f t="shared" ca="1" si="1"/>
        <v>226113979</v>
      </c>
      <c r="Q3" s="9" t="e">
        <f t="shared" ca="1" si="2"/>
        <v>#N/A</v>
      </c>
      <c r="R3" s="9" t="e">
        <f t="shared" si="3"/>
        <v>#N/A</v>
      </c>
      <c r="S3" s="9" t="e">
        <f ca="1">IF( OR(ISERROR(O3),SUMIF(O$2:O3,"&lt;&gt;#N/A")=0), NA(), SUMIF(O$2:O3,"&lt;&gt;#N/A") )</f>
        <v>#N/A</v>
      </c>
      <c r="T3" s="9">
        <f ca="1">IF( OR(ISERROR(P3),SUMIF(P$2:P3,"&lt;&gt;#N/A")=0), NA(), SUMIF(P$2:P3,"&lt;&gt;#N/A") )</f>
        <v>316276944</v>
      </c>
      <c r="U3" s="9" t="e">
        <f ca="1">IF( OR(ISERROR(Q3),SUMIF(Q$2:Q3,"&lt;&gt;#N/A")=0), NA(), SUMIF(Q$2:Q3,"&lt;&gt;#N/A") )</f>
        <v>#N/A</v>
      </c>
      <c r="V3" s="9" t="e">
        <f>IF( OR(ISERROR(R3),SUMIF(R$2:R3,"&lt;&gt;#N/A")=0), NA(), SUMIF(R$2:R3,"&lt;&gt;#N/A") )</f>
        <v>#N/A</v>
      </c>
      <c r="W3" s="9" t="e">
        <f t="shared" ca="1" si="4"/>
        <v>#N/A</v>
      </c>
      <c r="X3" s="9">
        <f t="shared" ca="1" si="5"/>
        <v>12698479</v>
      </c>
      <c r="Y3" s="9" t="e">
        <f t="shared" ca="1" si="6"/>
        <v>#N/A</v>
      </c>
      <c r="Z3" s="9" t="e">
        <f t="shared" si="7"/>
        <v>#N/A</v>
      </c>
      <c r="AA3" s="9" t="e">
        <f ca="1">IF( OR(ISERROR(W3),SUMIF(W$2:W3,"&lt;&gt;#N/A")=0), NA(), SUMIF(W$2:W3,"&lt;&gt;#N/A") )</f>
        <v>#N/A</v>
      </c>
      <c r="AB3" s="9">
        <f ca="1">IF( OR(ISERROR(X3),SUMIF(X$2:X3,"&lt;&gt;#N/A")=0), NA(), SUMIF(X$2:X3,"&lt;&gt;#N/A") )</f>
        <v>4815554</v>
      </c>
      <c r="AC3" s="9" t="e">
        <f ca="1">IF( OR(ISERROR(Y3),SUMIF(Y$2:Y3,"&lt;&gt;#N/A")=0), NA(), SUMIF(Y$2:Y3,"&lt;&gt;#N/A") )</f>
        <v>#N/A</v>
      </c>
      <c r="AD3" t="e">
        <f>IF( OR(ISERROR(Z3),SUMIF(Z$2:Z3,"&lt;&gt;#N/A")=0), NA(), SUMIF(Z$2:Z3,"&lt;&gt;#N/A") )</f>
        <v>#N/A</v>
      </c>
      <c r="AE3" s="9" t="e">
        <f t="shared" ref="AE3:AE24" ca="1" si="11">W3/O3*100</f>
        <v>#N/A</v>
      </c>
      <c r="AF3" s="9">
        <f t="shared" ca="1" si="8"/>
        <v>5.6159637082853688</v>
      </c>
      <c r="AG3" s="9" t="e">
        <f t="shared" ca="1" si="9"/>
        <v>#N/A</v>
      </c>
      <c r="AH3" s="9" t="e">
        <f t="shared" si="10"/>
        <v>#N/A</v>
      </c>
    </row>
    <row r="4" spans="1:1012" x14ac:dyDescent="0.3">
      <c r="A4" s="11" t="s">
        <v>8578</v>
      </c>
      <c r="B4" s="12">
        <v>4</v>
      </c>
      <c r="C4" t="s">
        <v>5</v>
      </c>
      <c r="D4" s="17" t="s">
        <v>8582</v>
      </c>
      <c r="G4" s="2"/>
      <c r="H4" s="2"/>
      <c r="I4" s="2"/>
      <c r="J4" s="2"/>
      <c r="K4" s="2"/>
      <c r="L4" s="2"/>
      <c r="M4" s="9"/>
      <c r="N4" s="2">
        <f t="shared" ref="N4:N41" ca="1" si="12">IF(EOMONTH(N3,12)&gt;MAX($A:$A,$D:$D,$G:$G),NA(),EOMONTH(N3,12))</f>
        <v>37986</v>
      </c>
      <c r="O4" s="9" t="e">
        <f t="shared" ca="1" si="0"/>
        <v>#N/A</v>
      </c>
      <c r="P4" s="9" t="e">
        <f t="shared" ca="1" si="1"/>
        <v>#N/A</v>
      </c>
      <c r="Q4" s="9" t="e">
        <f t="shared" ca="1" si="2"/>
        <v>#N/A</v>
      </c>
      <c r="R4" s="9" t="e">
        <f t="shared" si="3"/>
        <v>#N/A</v>
      </c>
      <c r="S4" s="9" t="e">
        <f ca="1">IF( OR(ISERROR(O4),SUMIF(O$2:O4,"&lt;&gt;#N/A")=0), NA(), SUMIF(O$2:O4,"&lt;&gt;#N/A") )</f>
        <v>#N/A</v>
      </c>
      <c r="T4" s="9" t="e">
        <f ca="1">IF( OR(ISERROR(P4),SUMIF(P$2:P4,"&lt;&gt;#N/A")=0), NA(), SUMIF(P$2:P4,"&lt;&gt;#N/A") )</f>
        <v>#N/A</v>
      </c>
      <c r="U4" s="9" t="e">
        <f ca="1">IF( OR(ISERROR(Q4),SUMIF(Q$2:Q4,"&lt;&gt;#N/A")=0), NA(), SUMIF(Q$2:Q4,"&lt;&gt;#N/A") )</f>
        <v>#N/A</v>
      </c>
      <c r="V4" s="9" t="e">
        <f>IF( OR(ISERROR(R4),SUMIF(R$2:R4,"&lt;&gt;#N/A")=0), NA(), SUMIF(R$2:R4,"&lt;&gt;#N/A") )</f>
        <v>#N/A</v>
      </c>
      <c r="W4" s="9" t="e">
        <f t="shared" ca="1" si="4"/>
        <v>#N/A</v>
      </c>
      <c r="X4" s="9" t="e">
        <f t="shared" ca="1" si="5"/>
        <v>#N/A</v>
      </c>
      <c r="Y4" s="9" t="e">
        <f t="shared" ca="1" si="6"/>
        <v>#N/A</v>
      </c>
      <c r="Z4" s="9" t="e">
        <f t="shared" si="7"/>
        <v>#N/A</v>
      </c>
      <c r="AA4" s="9" t="e">
        <f ca="1">IF( OR(ISERROR(W4),SUMIF(W$2:W4,"&lt;&gt;#N/A")=0), NA(), SUMIF(W$2:W4,"&lt;&gt;#N/A") )</f>
        <v>#N/A</v>
      </c>
      <c r="AB4" s="9" t="e">
        <f ca="1">IF( OR(ISERROR(X4),SUMIF(X$2:X4,"&lt;&gt;#N/A")=0), NA(), SUMIF(X$2:X4,"&lt;&gt;#N/A") )</f>
        <v>#N/A</v>
      </c>
      <c r="AC4" s="9" t="e">
        <f ca="1">IF( OR(ISERROR(Y4),SUMIF(Y$2:Y4,"&lt;&gt;#N/A")=0), NA(), SUMIF(Y$2:Y4,"&lt;&gt;#N/A") )</f>
        <v>#N/A</v>
      </c>
      <c r="AD4" t="e">
        <f>IF( OR(ISERROR(Z4),SUMIF(Z$2:Z4,"&lt;&gt;#N/A")=0), NA(), SUMIF(Z$2:Z4,"&lt;&gt;#N/A") )</f>
        <v>#N/A</v>
      </c>
      <c r="AE4" s="9" t="e">
        <f t="shared" ca="1" si="11"/>
        <v>#N/A</v>
      </c>
      <c r="AF4" s="9" t="e">
        <f t="shared" ca="1" si="8"/>
        <v>#N/A</v>
      </c>
      <c r="AG4" s="9" t="e">
        <f t="shared" ca="1" si="9"/>
        <v>#N/A</v>
      </c>
      <c r="AH4" s="9" t="e">
        <f t="shared" si="10"/>
        <v>#N/A</v>
      </c>
    </row>
    <row r="5" spans="1:1012" x14ac:dyDescent="0.3">
      <c r="G5" s="2"/>
      <c r="H5" s="2"/>
      <c r="I5" s="2"/>
      <c r="J5" s="2"/>
      <c r="K5" s="2"/>
      <c r="L5" s="2"/>
      <c r="M5" s="9"/>
      <c r="N5" s="2">
        <f t="shared" ca="1" si="12"/>
        <v>38352</v>
      </c>
      <c r="O5" s="9" t="e">
        <f t="shared" ca="1" si="0"/>
        <v>#N/A</v>
      </c>
      <c r="P5" s="9">
        <f t="shared" ca="1" si="1"/>
        <v>268478264</v>
      </c>
      <c r="Q5" s="9">
        <f t="shared" ca="1" si="2"/>
        <v>261925311</v>
      </c>
      <c r="R5" s="9" t="e">
        <f t="shared" si="3"/>
        <v>#N/A</v>
      </c>
      <c r="S5" s="9" t="e">
        <f ca="1">IF( OR(ISERROR(O5),SUMIF(O$2:O5,"&lt;&gt;#N/A")=0), NA(), SUMIF(O$2:O5,"&lt;&gt;#N/A") )</f>
        <v>#N/A</v>
      </c>
      <c r="T5" s="9">
        <f ca="1">IF( OR(ISERROR(P5),SUMIF(P$2:P5,"&lt;&gt;#N/A")=0), NA(), SUMIF(P$2:P5,"&lt;&gt;#N/A") )</f>
        <v>584755208</v>
      </c>
      <c r="U5" s="9">
        <f ca="1">IF( OR(ISERROR(Q5),SUMIF(Q$2:Q5,"&lt;&gt;#N/A")=0), NA(), SUMIF(Q$2:Q5,"&lt;&gt;#N/A") )</f>
        <v>261925311</v>
      </c>
      <c r="V5" s="9" t="e">
        <f>IF( OR(ISERROR(R5),SUMIF(R$2:R5,"&lt;&gt;#N/A")=0), NA(), SUMIF(R$2:R5,"&lt;&gt;#N/A") )</f>
        <v>#N/A</v>
      </c>
      <c r="W5" s="9" t="e">
        <f t="shared" ca="1" si="4"/>
        <v>#N/A</v>
      </c>
      <c r="X5" s="9">
        <f t="shared" ca="1" si="5"/>
        <v>1240238</v>
      </c>
      <c r="Y5" s="9">
        <f t="shared" ca="1" si="6"/>
        <v>68631684</v>
      </c>
      <c r="Z5" s="9" t="e">
        <f t="shared" si="7"/>
        <v>#N/A</v>
      </c>
      <c r="AA5" s="9" t="e">
        <f ca="1">IF( OR(ISERROR(W5),SUMIF(W$2:W5,"&lt;&gt;#N/A")=0), NA(), SUMIF(W$2:W5,"&lt;&gt;#N/A") )</f>
        <v>#N/A</v>
      </c>
      <c r="AB5" s="9">
        <f ca="1">IF( OR(ISERROR(X5),SUMIF(X$2:X5,"&lt;&gt;#N/A")=0), NA(), SUMIF(X$2:X5,"&lt;&gt;#N/A") )</f>
        <v>6055792</v>
      </c>
      <c r="AC5" s="9">
        <f ca="1">IF( OR(ISERROR(Y5),SUMIF(Y$2:Y5,"&lt;&gt;#N/A")=0), NA(), SUMIF(Y$2:Y5,"&lt;&gt;#N/A") )</f>
        <v>68631684</v>
      </c>
      <c r="AD5" t="e">
        <f>IF( OR(ISERROR(Z5),SUMIF(Z$2:Z5,"&lt;&gt;#N/A")=0), NA(), SUMIF(Z$2:Z5,"&lt;&gt;#N/A") )</f>
        <v>#N/A</v>
      </c>
      <c r="AE5" s="9" t="e">
        <f t="shared" ca="1" si="11"/>
        <v>#N/A</v>
      </c>
      <c r="AF5" s="9">
        <f t="shared" ca="1" si="8"/>
        <v>0.46195099056510586</v>
      </c>
      <c r="AG5" s="9">
        <f t="shared" ca="1" si="9"/>
        <v>26.202768925985925</v>
      </c>
      <c r="AH5" s="9" t="e">
        <f t="shared" si="10"/>
        <v>#N/A</v>
      </c>
    </row>
    <row r="6" spans="1:1012" x14ac:dyDescent="0.3">
      <c r="A6" t="str">
        <f ca="1">_xll.IMDH("STK",graph!B6,A7:C7,$B$1,$B$2,$B$3,"Per="&amp;$D$1&amp;",sort="&amp;$D$2&amp;",real=false,Bizday="&amp;$C$3&amp;",Quote="&amp;$C$4&amp;",Pos=20,Orient=V,Cons="&amp;graph!$C$11&amp;",Comp="&amp;$A$4&amp;",Trai="&amp;$B$4&amp;",DtFmt=1,TmFmt=1")</f>
        <v>조회[EA071287]</v>
      </c>
      <c r="D6" t="str">
        <f ca="1">_xll.IMDH("STK",graph!B7,D7:F7,$B$1,$B$2,$B$3,"Per="&amp;$D$1&amp;",sort="&amp;$D$2&amp;",real=false,Bizday="&amp;$C$3&amp;",Quote="&amp;$C$4&amp;",Pos=20,Orient=V,Cons="&amp;graph!$C$11&amp;",Comp="&amp;$A$4&amp;",Trai="&amp;$B$4&amp;",DtFmt=1,TmFmt=1")</f>
        <v>조회[035720]</v>
      </c>
      <c r="G6" t="str">
        <f ca="1">_xll.IMDH("STK",graph!B8,G7:I7,$B$1,$B$2,$B$3,"Per="&amp;$D$1&amp;",sort="&amp;$D$2&amp;",real=false,Bizday="&amp;$C$3&amp;",Quote="&amp;$C$4&amp;",Pos=20,Orient=V,Cons="&amp;graph!$C$11&amp;",Comp="&amp;$A$4&amp;",Trai="&amp;$B$4&amp;",DtFmt=1,TmFmt=1")</f>
        <v>조회[035420]</v>
      </c>
      <c r="I6" s="2"/>
      <c r="J6" t="str">
        <f ca="1">_xll.IMDH("STK",graph!B9,J7:L7,$B$1,$B$2,$B$3,"Per="&amp;$D$1&amp;",sort="&amp;$D$2&amp;",real=false,Bizday="&amp;$C$3&amp;",Quote="&amp;$C$4&amp;",Pos=20,Orient=V,Cons="&amp;graph!$C$11&amp;",Comp="&amp;$A$4&amp;",Trai="&amp;$B$4&amp;",DtFmt=1,TmFmt=1")</f>
        <v>입력오류</v>
      </c>
      <c r="L6" s="2"/>
      <c r="M6" s="9"/>
      <c r="N6" s="2">
        <f t="shared" ca="1" si="12"/>
        <v>38717</v>
      </c>
      <c r="O6" s="9" t="e">
        <f t="shared" ca="1" si="0"/>
        <v>#N/A</v>
      </c>
      <c r="P6" s="9">
        <f t="shared" ca="1" si="1"/>
        <v>401773499</v>
      </c>
      <c r="Q6" s="9">
        <f t="shared" ca="1" si="2"/>
        <v>414594058</v>
      </c>
      <c r="R6" s="9" t="e">
        <f t="shared" si="3"/>
        <v>#N/A</v>
      </c>
      <c r="S6" s="9" t="e">
        <f ca="1">IF( OR(ISERROR(O6),SUMIF(O$2:O6,"&lt;&gt;#N/A")=0), NA(), SUMIF(O$2:O6,"&lt;&gt;#N/A") )</f>
        <v>#N/A</v>
      </c>
      <c r="T6" s="9">
        <f ca="1">IF( OR(ISERROR(P6),SUMIF(P$2:P6,"&lt;&gt;#N/A")=0), NA(), SUMIF(P$2:P6,"&lt;&gt;#N/A") )</f>
        <v>986528707</v>
      </c>
      <c r="U6" s="9">
        <f ca="1">IF( OR(ISERROR(Q6),SUMIF(Q$2:Q6,"&lt;&gt;#N/A")=0), NA(), SUMIF(Q$2:Q6,"&lt;&gt;#N/A") )</f>
        <v>676519369</v>
      </c>
      <c r="V6" s="9" t="e">
        <f>IF( OR(ISERROR(R6),SUMIF(R$2:R6,"&lt;&gt;#N/A")=0), NA(), SUMIF(R$2:R6,"&lt;&gt;#N/A") )</f>
        <v>#N/A</v>
      </c>
      <c r="W6" s="9" t="e">
        <f t="shared" ca="1" si="4"/>
        <v>#N/A</v>
      </c>
      <c r="X6" s="9">
        <f t="shared" ca="1" si="5"/>
        <v>-16339541</v>
      </c>
      <c r="Y6" s="9">
        <f t="shared" ca="1" si="6"/>
        <v>109674008</v>
      </c>
      <c r="Z6" s="9" t="e">
        <f t="shared" si="7"/>
        <v>#N/A</v>
      </c>
      <c r="AA6" s="9" t="e">
        <f ca="1">IF( OR(ISERROR(W6),SUMIF(W$2:W6,"&lt;&gt;#N/A")=0), NA(), SUMIF(W$2:W6,"&lt;&gt;#N/A") )</f>
        <v>#N/A</v>
      </c>
      <c r="AB6" s="9">
        <f ca="1">IF( OR(ISERROR(X6),SUMIF(X$2:X6,"&lt;&gt;#N/A")=0), NA(), SUMIF(X$2:X6,"&lt;&gt;#N/A") )</f>
        <v>-10283749</v>
      </c>
      <c r="AC6" s="9">
        <f ca="1">IF( OR(ISERROR(Y6),SUMIF(Y$2:Y6,"&lt;&gt;#N/A")=0), NA(), SUMIF(Y$2:Y6,"&lt;&gt;#N/A") )</f>
        <v>178305692</v>
      </c>
      <c r="AD6" t="e">
        <f>IF( OR(ISERROR(Z6),SUMIF(Z$2:Z6,"&lt;&gt;#N/A")=0), NA(), SUMIF(Z$2:Z6,"&lt;&gt;#N/A") )</f>
        <v>#N/A</v>
      </c>
      <c r="AE6" s="9" t="e">
        <f t="shared" ca="1" si="11"/>
        <v>#N/A</v>
      </c>
      <c r="AF6" s="9">
        <f t="shared" ca="1" si="8"/>
        <v>-4.0668538469233386</v>
      </c>
      <c r="AG6" s="9">
        <f t="shared" ca="1" si="9"/>
        <v>26.45334777084528</v>
      </c>
      <c r="AH6" s="9" t="e">
        <f t="shared" si="10"/>
        <v>#N/A</v>
      </c>
    </row>
    <row r="7" spans="1:1012" x14ac:dyDescent="0.3">
      <c r="A7" s="3" t="s">
        <v>6</v>
      </c>
      <c r="B7" s="10" t="s">
        <v>7</v>
      </c>
      <c r="C7" s="15" t="s">
        <v>8579</v>
      </c>
      <c r="D7" s="3" t="s">
        <v>6</v>
      </c>
      <c r="E7" s="5" t="s">
        <v>7</v>
      </c>
      <c r="F7" t="s">
        <v>8580</v>
      </c>
      <c r="G7" s="3" t="s">
        <v>6</v>
      </c>
      <c r="H7" s="6" t="s">
        <v>7</v>
      </c>
      <c r="I7" s="2" t="s">
        <v>8581</v>
      </c>
      <c r="J7" s="3" t="s">
        <v>6</v>
      </c>
      <c r="K7" s="6" t="s">
        <v>7</v>
      </c>
      <c r="L7" s="2" t="s">
        <v>8581</v>
      </c>
      <c r="M7" s="9"/>
      <c r="N7" s="2">
        <f t="shared" ca="1" si="12"/>
        <v>39082</v>
      </c>
      <c r="O7" s="9" t="e">
        <f t="shared" ca="1" si="0"/>
        <v>#N/A</v>
      </c>
      <c r="P7" s="9">
        <f t="shared" ca="1" si="1"/>
        <v>473685090</v>
      </c>
      <c r="Q7" s="9">
        <f t="shared" ca="1" si="2"/>
        <v>645106663</v>
      </c>
      <c r="R7" s="9" t="e">
        <f t="shared" si="3"/>
        <v>#N/A</v>
      </c>
      <c r="S7" s="9" t="e">
        <f ca="1">IF( OR(ISERROR(O7),SUMIF(O$2:O7,"&lt;&gt;#N/A")=0), NA(), SUMIF(O$2:O7,"&lt;&gt;#N/A") )</f>
        <v>#N/A</v>
      </c>
      <c r="T7" s="9">
        <f ca="1">IF( OR(ISERROR(P7),SUMIF(P$2:P7,"&lt;&gt;#N/A")=0), NA(), SUMIF(P$2:P7,"&lt;&gt;#N/A") )</f>
        <v>1460213797</v>
      </c>
      <c r="U7" s="9">
        <f ca="1">IF( OR(ISERROR(Q7),SUMIF(Q$2:Q7,"&lt;&gt;#N/A")=0), NA(), SUMIF(Q$2:Q7,"&lt;&gt;#N/A") )</f>
        <v>1321626032</v>
      </c>
      <c r="V7" s="9" t="e">
        <f>IF( OR(ISERROR(R7),SUMIF(R$2:R7,"&lt;&gt;#N/A")=0), NA(), SUMIF(R$2:R7,"&lt;&gt;#N/A") )</f>
        <v>#N/A</v>
      </c>
      <c r="W7" s="9" t="e">
        <f t="shared" ca="1" si="4"/>
        <v>#N/A</v>
      </c>
      <c r="X7" s="9">
        <f t="shared" ca="1" si="5"/>
        <v>13125384</v>
      </c>
      <c r="Y7" s="9">
        <f t="shared" ca="1" si="6"/>
        <v>233816485</v>
      </c>
      <c r="Z7" s="9" t="e">
        <f t="shared" si="7"/>
        <v>#N/A</v>
      </c>
      <c r="AA7" s="9" t="e">
        <f ca="1">IF( OR(ISERROR(W7),SUMIF(W$2:W7,"&lt;&gt;#N/A")=0), NA(), SUMIF(W$2:W7,"&lt;&gt;#N/A") )</f>
        <v>#N/A</v>
      </c>
      <c r="AB7" s="9">
        <f ca="1">IF( OR(ISERROR(X7),SUMIF(X$2:X7,"&lt;&gt;#N/A")=0), NA(), SUMIF(X$2:X7,"&lt;&gt;#N/A") )</f>
        <v>2841635</v>
      </c>
      <c r="AC7" s="9">
        <f ca="1">IF( OR(ISERROR(Y7),SUMIF(Y$2:Y7,"&lt;&gt;#N/A")=0), NA(), SUMIF(Y$2:Y7,"&lt;&gt;#N/A") )</f>
        <v>412122177</v>
      </c>
      <c r="AD7" t="e">
        <f>IF( OR(ISERROR(Z7),SUMIF(Z$2:Z7,"&lt;&gt;#N/A")=0), NA(), SUMIF(Z$2:Z7,"&lt;&gt;#N/A") )</f>
        <v>#N/A</v>
      </c>
      <c r="AE7" s="9" t="e">
        <f t="shared" ca="1" si="11"/>
        <v>#N/A</v>
      </c>
      <c r="AF7" s="9">
        <f t="shared" ca="1" si="8"/>
        <v>2.7709092553451495</v>
      </c>
      <c r="AG7" s="9">
        <f t="shared" ca="1" si="9"/>
        <v>36.244624092496778</v>
      </c>
      <c r="AH7" s="9" t="e">
        <f t="shared" si="10"/>
        <v>#N/A</v>
      </c>
    </row>
    <row r="8" spans="1:1012" x14ac:dyDescent="0.3">
      <c r="A8" s="2">
        <v>42369</v>
      </c>
      <c r="B8">
        <v>1133752000</v>
      </c>
      <c r="C8">
        <v>-547013000</v>
      </c>
      <c r="D8" s="2">
        <v>37256</v>
      </c>
      <c r="E8">
        <v>90162965</v>
      </c>
      <c r="F8">
        <v>-7882925</v>
      </c>
      <c r="G8" s="2">
        <v>38352</v>
      </c>
      <c r="H8">
        <v>261925311</v>
      </c>
      <c r="I8" s="9">
        <v>68631684</v>
      </c>
      <c r="J8" s="2">
        <v>38717</v>
      </c>
      <c r="K8" s="9">
        <v>9348144359</v>
      </c>
      <c r="L8" s="9">
        <v>822715664</v>
      </c>
      <c r="M8" s="9"/>
      <c r="N8" s="2">
        <f t="shared" ca="1" si="12"/>
        <v>39447</v>
      </c>
      <c r="O8" s="9" t="e">
        <f t="shared" ca="1" si="0"/>
        <v>#N/A</v>
      </c>
      <c r="P8" s="9" t="e">
        <f t="shared" ca="1" si="1"/>
        <v>#N/A</v>
      </c>
      <c r="Q8" s="9">
        <f t="shared" ca="1" si="2"/>
        <v>1017988839</v>
      </c>
      <c r="R8" s="9" t="e">
        <f t="shared" si="3"/>
        <v>#N/A</v>
      </c>
      <c r="S8" s="9" t="e">
        <f ca="1">IF( OR(ISERROR(O8),SUMIF(O$2:O8,"&lt;&gt;#N/A")=0), NA(), SUMIF(O$2:O8,"&lt;&gt;#N/A") )</f>
        <v>#N/A</v>
      </c>
      <c r="T8" s="9" t="e">
        <f ca="1">IF( OR(ISERROR(P8),SUMIF(P$2:P8,"&lt;&gt;#N/A")=0), NA(), SUMIF(P$2:P8,"&lt;&gt;#N/A") )</f>
        <v>#N/A</v>
      </c>
      <c r="U8" s="9">
        <f ca="1">IF( OR(ISERROR(Q8),SUMIF(Q$2:Q8,"&lt;&gt;#N/A")=0), NA(), SUMIF(Q$2:Q8,"&lt;&gt;#N/A") )</f>
        <v>2339614871</v>
      </c>
      <c r="V8" s="9" t="e">
        <f>IF( OR(ISERROR(R8),SUMIF(R$2:R8,"&lt;&gt;#N/A")=0), NA(), SUMIF(R$2:R8,"&lt;&gt;#N/A") )</f>
        <v>#N/A</v>
      </c>
      <c r="W8" s="9" t="e">
        <f t="shared" ca="1" si="4"/>
        <v>#N/A</v>
      </c>
      <c r="X8" s="9" t="e">
        <f t="shared" ca="1" si="5"/>
        <v>#N/A</v>
      </c>
      <c r="Y8" s="9">
        <f t="shared" ca="1" si="6"/>
        <v>401307786</v>
      </c>
      <c r="Z8" s="9" t="e">
        <f t="shared" si="7"/>
        <v>#N/A</v>
      </c>
      <c r="AA8" s="9" t="e">
        <f ca="1">IF( OR(ISERROR(W8),SUMIF(W$2:W8,"&lt;&gt;#N/A")=0), NA(), SUMIF(W$2:W8,"&lt;&gt;#N/A") )</f>
        <v>#N/A</v>
      </c>
      <c r="AB8" s="9" t="e">
        <f ca="1">IF( OR(ISERROR(X8),SUMIF(X$2:X8,"&lt;&gt;#N/A")=0), NA(), SUMIF(X$2:X8,"&lt;&gt;#N/A") )</f>
        <v>#N/A</v>
      </c>
      <c r="AC8" s="9">
        <f ca="1">IF( OR(ISERROR(Y8),SUMIF(Y$2:Y8,"&lt;&gt;#N/A")=0), NA(), SUMIF(Y$2:Y8,"&lt;&gt;#N/A") )</f>
        <v>813429963</v>
      </c>
      <c r="AD8" t="e">
        <f>IF( OR(ISERROR(Z8),SUMIF(Z$2:Z8,"&lt;&gt;#N/A")=0), NA(), SUMIF(Z$2:Z8,"&lt;&gt;#N/A") )</f>
        <v>#N/A</v>
      </c>
      <c r="AE8" s="9" t="e">
        <f t="shared" ca="1" si="11"/>
        <v>#N/A</v>
      </c>
      <c r="AF8" s="9" t="e">
        <f t="shared" ca="1" si="8"/>
        <v>#N/A</v>
      </c>
      <c r="AG8" s="9">
        <f t="shared" ca="1" si="9"/>
        <v>39.421629258157317</v>
      </c>
      <c r="AH8" s="9" t="e">
        <f t="shared" si="10"/>
        <v>#N/A</v>
      </c>
    </row>
    <row r="9" spans="1:1012" x14ac:dyDescent="0.3">
      <c r="A9" s="2">
        <v>42735</v>
      </c>
      <c r="B9">
        <v>1915938000</v>
      </c>
      <c r="C9">
        <v>-565270000</v>
      </c>
      <c r="D9" s="2">
        <v>37621</v>
      </c>
      <c r="E9">
        <v>226113979</v>
      </c>
      <c r="F9">
        <v>12698479</v>
      </c>
      <c r="G9" s="2">
        <v>38717</v>
      </c>
      <c r="H9">
        <v>414594058</v>
      </c>
      <c r="I9" s="9">
        <v>109674008</v>
      </c>
      <c r="J9" s="2">
        <v>39082</v>
      </c>
      <c r="K9" s="9">
        <v>9997925025</v>
      </c>
      <c r="L9" s="9">
        <v>967601008</v>
      </c>
      <c r="M9" s="9"/>
      <c r="N9" s="2">
        <f t="shared" ca="1" si="12"/>
        <v>39813</v>
      </c>
      <c r="O9" s="9" t="e">
        <f t="shared" ca="1" si="0"/>
        <v>#N/A</v>
      </c>
      <c r="P9" s="9">
        <f t="shared" ca="1" si="1"/>
        <v>260014881</v>
      </c>
      <c r="Q9" s="9">
        <f t="shared" ca="1" si="2"/>
        <v>1380102306</v>
      </c>
      <c r="R9" s="9" t="e">
        <f t="shared" si="3"/>
        <v>#N/A</v>
      </c>
      <c r="S9" s="9" t="e">
        <f ca="1">IF( OR(ISERROR(O9),SUMIF(O$2:O9,"&lt;&gt;#N/A")=0), NA(), SUMIF(O$2:O9,"&lt;&gt;#N/A") )</f>
        <v>#N/A</v>
      </c>
      <c r="T9" s="9">
        <f ca="1">IF( OR(ISERROR(P9),SUMIF(P$2:P9,"&lt;&gt;#N/A")=0), NA(), SUMIF(P$2:P9,"&lt;&gt;#N/A") )</f>
        <v>1720228678</v>
      </c>
      <c r="U9" s="9">
        <f ca="1">IF( OR(ISERROR(Q9),SUMIF(Q$2:Q9,"&lt;&gt;#N/A")=0), NA(), SUMIF(Q$2:Q9,"&lt;&gt;#N/A") )</f>
        <v>3719717177</v>
      </c>
      <c r="V9" s="9" t="e">
        <f>IF( OR(ISERROR(R9),SUMIF(R$2:R9,"&lt;&gt;#N/A")=0), NA(), SUMIF(R$2:R9,"&lt;&gt;#N/A") )</f>
        <v>#N/A</v>
      </c>
      <c r="W9" s="9" t="e">
        <f t="shared" ca="1" si="4"/>
        <v>#N/A</v>
      </c>
      <c r="X9" s="9">
        <f t="shared" ca="1" si="5"/>
        <v>40626379</v>
      </c>
      <c r="Y9" s="9">
        <f t="shared" ca="1" si="6"/>
        <v>508573353</v>
      </c>
      <c r="Z9" s="9" t="e">
        <f t="shared" si="7"/>
        <v>#N/A</v>
      </c>
      <c r="AA9" s="9" t="e">
        <f ca="1">IF( OR(ISERROR(W9),SUMIF(W$2:W9,"&lt;&gt;#N/A")=0), NA(), SUMIF(W$2:W9,"&lt;&gt;#N/A") )</f>
        <v>#N/A</v>
      </c>
      <c r="AB9" s="9">
        <f ca="1">IF( OR(ISERROR(X9),SUMIF(X$2:X9,"&lt;&gt;#N/A")=0), NA(), SUMIF(X$2:X9,"&lt;&gt;#N/A") )</f>
        <v>43468014</v>
      </c>
      <c r="AC9" s="9">
        <f ca="1">IF( OR(ISERROR(Y9),SUMIF(Y$2:Y9,"&lt;&gt;#N/A")=0), NA(), SUMIF(Y$2:Y9,"&lt;&gt;#N/A") )</f>
        <v>1322003316</v>
      </c>
      <c r="AD9" t="e">
        <f>IF( OR(ISERROR(Z9),SUMIF(Z$2:Z9,"&lt;&gt;#N/A")=0), NA(), SUMIF(Z$2:Z9,"&lt;&gt;#N/A") )</f>
        <v>#N/A</v>
      </c>
      <c r="AE9" s="9" t="e">
        <f t="shared" ca="1" si="11"/>
        <v>#N/A</v>
      </c>
      <c r="AF9" s="9">
        <f t="shared" ca="1" si="8"/>
        <v>15.624636114576843</v>
      </c>
      <c r="AG9" s="9">
        <f t="shared" ca="1" si="9"/>
        <v>36.850409624632569</v>
      </c>
      <c r="AH9" s="9" t="e">
        <f t="shared" si="10"/>
        <v>#N/A</v>
      </c>
    </row>
    <row r="10" spans="1:1012" x14ac:dyDescent="0.3">
      <c r="A10" s="2">
        <v>43100</v>
      </c>
      <c r="B10">
        <v>2684630000</v>
      </c>
      <c r="C10">
        <v>-638897000</v>
      </c>
      <c r="D10" s="2">
        <v>38352</v>
      </c>
      <c r="E10">
        <v>268478264</v>
      </c>
      <c r="F10">
        <v>1240238</v>
      </c>
      <c r="G10" s="2">
        <v>39082</v>
      </c>
      <c r="H10">
        <v>645106663</v>
      </c>
      <c r="I10" s="9">
        <v>233816485</v>
      </c>
      <c r="J10" s="2">
        <v>39447</v>
      </c>
      <c r="K10" s="9">
        <v>11063229190</v>
      </c>
      <c r="L10" s="9">
        <v>871241449</v>
      </c>
      <c r="M10" s="9"/>
      <c r="N10" s="2">
        <f t="shared" ca="1" si="12"/>
        <v>40178</v>
      </c>
      <c r="O10" s="9" t="e">
        <f t="shared" ca="1" si="0"/>
        <v>#N/A</v>
      </c>
      <c r="P10" s="9">
        <f t="shared" ca="1" si="1"/>
        <v>274282433</v>
      </c>
      <c r="Q10" s="9">
        <f t="shared" ca="1" si="2"/>
        <v>1597949099</v>
      </c>
      <c r="R10" s="9" t="e">
        <f t="shared" si="3"/>
        <v>#N/A</v>
      </c>
      <c r="S10" s="9" t="e">
        <f ca="1">IF( OR(ISERROR(O10),SUMIF(O$2:O10,"&lt;&gt;#N/A")=0), NA(), SUMIF(O$2:O10,"&lt;&gt;#N/A") )</f>
        <v>#N/A</v>
      </c>
      <c r="T10" s="9">
        <f ca="1">IF( OR(ISERROR(P10),SUMIF(P$2:P10,"&lt;&gt;#N/A")=0), NA(), SUMIF(P$2:P10,"&lt;&gt;#N/A") )</f>
        <v>1994511111</v>
      </c>
      <c r="U10" s="9">
        <f ca="1">IF( OR(ISERROR(Q10),SUMIF(Q$2:Q10,"&lt;&gt;#N/A")=0), NA(), SUMIF(Q$2:Q10,"&lt;&gt;#N/A") )</f>
        <v>5317666276</v>
      </c>
      <c r="V10" s="9" t="e">
        <f>IF( OR(ISERROR(R10),SUMIF(R$2:R10,"&lt;&gt;#N/A")=0), NA(), SUMIF(R$2:R10,"&lt;&gt;#N/A") )</f>
        <v>#N/A</v>
      </c>
      <c r="W10" s="9" t="e">
        <f t="shared" ca="1" si="4"/>
        <v>#N/A</v>
      </c>
      <c r="X10" s="9">
        <f t="shared" ca="1" si="5"/>
        <v>44033371</v>
      </c>
      <c r="Y10" s="9">
        <f t="shared" ca="1" si="6"/>
        <v>579007952</v>
      </c>
      <c r="Z10" s="9" t="e">
        <f t="shared" si="7"/>
        <v>#N/A</v>
      </c>
      <c r="AA10" s="9" t="e">
        <f ca="1">IF( OR(ISERROR(W10),SUMIF(W$2:W10,"&lt;&gt;#N/A")=0), NA(), SUMIF(W$2:W10,"&lt;&gt;#N/A") )</f>
        <v>#N/A</v>
      </c>
      <c r="AB10" s="9">
        <f ca="1">IF( OR(ISERROR(X10),SUMIF(X$2:X10,"&lt;&gt;#N/A")=0), NA(), SUMIF(X$2:X10,"&lt;&gt;#N/A") )</f>
        <v>87501385</v>
      </c>
      <c r="AC10" s="9">
        <f ca="1">IF( OR(ISERROR(Y10),SUMIF(Y$2:Y10,"&lt;&gt;#N/A")=0), NA(), SUMIF(Y$2:Y10,"&lt;&gt;#N/A") )</f>
        <v>1901011268</v>
      </c>
      <c r="AD10" t="e">
        <f>IF( OR(ISERROR(Z10),SUMIF(Z$2:Z10,"&lt;&gt;#N/A")=0), NA(), SUMIF(Z$2:Z10,"&lt;&gt;#N/A") )</f>
        <v>#N/A</v>
      </c>
      <c r="AE10" s="9" t="e">
        <f t="shared" ca="1" si="11"/>
        <v>#N/A</v>
      </c>
      <c r="AF10" s="9">
        <f t="shared" ca="1" si="8"/>
        <v>16.054025231721639</v>
      </c>
      <c r="AG10" s="9">
        <f t="shared" ca="1" si="9"/>
        <v>36.234442784338029</v>
      </c>
      <c r="AH10" s="9" t="e">
        <f t="shared" si="10"/>
        <v>#N/A</v>
      </c>
    </row>
    <row r="11" spans="1:1012" x14ac:dyDescent="0.3">
      <c r="A11" s="2">
        <v>43465</v>
      </c>
      <c r="B11">
        <v>4354586000</v>
      </c>
      <c r="C11">
        <v>-1127964000</v>
      </c>
      <c r="D11" s="2">
        <v>38717</v>
      </c>
      <c r="E11">
        <v>401773499</v>
      </c>
      <c r="F11">
        <v>-16339541</v>
      </c>
      <c r="G11" s="2">
        <v>39447</v>
      </c>
      <c r="H11">
        <v>1017988839</v>
      </c>
      <c r="I11" s="9">
        <v>401307786</v>
      </c>
      <c r="J11" s="2">
        <v>39813</v>
      </c>
      <c r="K11" s="9">
        <v>12839316542</v>
      </c>
      <c r="L11" s="9">
        <v>1012022075</v>
      </c>
      <c r="M11" s="9"/>
      <c r="N11" s="2">
        <f t="shared" ca="1" si="12"/>
        <v>40543</v>
      </c>
      <c r="O11" s="9" t="e">
        <f t="shared" ca="1" si="0"/>
        <v>#N/A</v>
      </c>
      <c r="P11" s="9">
        <f t="shared" ca="1" si="1"/>
        <v>350423340</v>
      </c>
      <c r="Q11" s="9">
        <f t="shared" ca="1" si="2"/>
        <v>1785388877</v>
      </c>
      <c r="R11" s="9" t="e">
        <f t="shared" si="3"/>
        <v>#N/A</v>
      </c>
      <c r="S11" s="9" t="e">
        <f ca="1">IF( OR(ISERROR(O11),SUMIF(O$2:O11,"&lt;&gt;#N/A")=0), NA(), SUMIF(O$2:O11,"&lt;&gt;#N/A") )</f>
        <v>#N/A</v>
      </c>
      <c r="T11" s="9">
        <f ca="1">IF( OR(ISERROR(P11),SUMIF(P$2:P11,"&lt;&gt;#N/A")=0), NA(), SUMIF(P$2:P11,"&lt;&gt;#N/A") )</f>
        <v>2344934451</v>
      </c>
      <c r="U11" s="9">
        <f ca="1">IF( OR(ISERROR(Q11),SUMIF(Q$2:Q11,"&lt;&gt;#N/A")=0), NA(), SUMIF(Q$2:Q11,"&lt;&gt;#N/A") )</f>
        <v>7103055153</v>
      </c>
      <c r="V11" s="9" t="e">
        <f>IF( OR(ISERROR(R11),SUMIF(R$2:R11,"&lt;&gt;#N/A")=0), NA(), SUMIF(R$2:R11,"&lt;&gt;#N/A") )</f>
        <v>#N/A</v>
      </c>
      <c r="W11" s="9" t="e">
        <f t="shared" ca="1" si="4"/>
        <v>#N/A</v>
      </c>
      <c r="X11" s="9">
        <f t="shared" ca="1" si="5"/>
        <v>92647538</v>
      </c>
      <c r="Y11" s="9">
        <f t="shared" ca="1" si="6"/>
        <v>590372766</v>
      </c>
      <c r="Z11" s="9" t="e">
        <f t="shared" si="7"/>
        <v>#N/A</v>
      </c>
      <c r="AA11" s="9" t="e">
        <f ca="1">IF( OR(ISERROR(W11),SUMIF(W$2:W11,"&lt;&gt;#N/A")=0), NA(), SUMIF(W$2:W11,"&lt;&gt;#N/A") )</f>
        <v>#N/A</v>
      </c>
      <c r="AB11" s="9">
        <f ca="1">IF( OR(ISERROR(X11),SUMIF(X$2:X11,"&lt;&gt;#N/A")=0), NA(), SUMIF(X$2:X11,"&lt;&gt;#N/A") )</f>
        <v>180148923</v>
      </c>
      <c r="AC11" s="9">
        <f ca="1">IF( OR(ISERROR(Y11),SUMIF(Y$2:Y11,"&lt;&gt;#N/A")=0), NA(), SUMIF(Y$2:Y11,"&lt;&gt;#N/A") )</f>
        <v>2491384034</v>
      </c>
      <c r="AD11" t="e">
        <f>IF( OR(ISERROR(Z11),SUMIF(Z$2:Z11,"&lt;&gt;#N/A")=0), NA(), SUMIF(Z$2:Z11,"&lt;&gt;#N/A") )</f>
        <v>#N/A</v>
      </c>
      <c r="AE11" s="9" t="e">
        <f t="shared" ca="1" si="11"/>
        <v>#N/A</v>
      </c>
      <c r="AF11" s="9">
        <f t="shared" ca="1" si="8"/>
        <v>26.438746346062452</v>
      </c>
      <c r="AG11" s="9">
        <f t="shared" ca="1" si="9"/>
        <v>33.066900640268749</v>
      </c>
      <c r="AH11" s="9" t="e">
        <f t="shared" si="10"/>
        <v>#N/A</v>
      </c>
    </row>
    <row r="12" spans="1:1012" x14ac:dyDescent="0.3">
      <c r="A12" s="2">
        <v>43830</v>
      </c>
      <c r="B12">
        <v>7153094000</v>
      </c>
      <c r="C12">
        <v>-720529000</v>
      </c>
      <c r="D12" s="2">
        <v>39082</v>
      </c>
      <c r="E12">
        <v>473685090</v>
      </c>
      <c r="F12">
        <v>13125384</v>
      </c>
      <c r="G12" s="2">
        <v>39813</v>
      </c>
      <c r="H12">
        <v>1380102306</v>
      </c>
      <c r="I12" s="9">
        <v>508573353</v>
      </c>
      <c r="J12" s="2">
        <v>40178</v>
      </c>
      <c r="K12" s="9">
        <v>16010344403</v>
      </c>
      <c r="L12" s="9">
        <v>1148316746</v>
      </c>
      <c r="M12" s="9"/>
      <c r="N12" s="2">
        <f t="shared" ca="1" si="12"/>
        <v>40908</v>
      </c>
      <c r="O12" s="9" t="e">
        <f t="shared" ca="1" si="0"/>
        <v>#N/A</v>
      </c>
      <c r="P12" s="9">
        <f t="shared" ca="1" si="1"/>
        <v>421266779</v>
      </c>
      <c r="Q12" s="9">
        <f t="shared" ca="1" si="2"/>
        <v>2121317926</v>
      </c>
      <c r="R12" s="9" t="e">
        <f t="shared" si="3"/>
        <v>#N/A</v>
      </c>
      <c r="S12" s="9" t="e">
        <f ca="1">IF( OR(ISERROR(O12),SUMIF(O$2:O12,"&lt;&gt;#N/A")=0), NA(), SUMIF(O$2:O12,"&lt;&gt;#N/A") )</f>
        <v>#N/A</v>
      </c>
      <c r="T12" s="9">
        <f ca="1">IF( OR(ISERROR(P12),SUMIF(P$2:P12,"&lt;&gt;#N/A")=0), NA(), SUMIF(P$2:P12,"&lt;&gt;#N/A") )</f>
        <v>2766201230</v>
      </c>
      <c r="U12" s="9">
        <f ca="1">IF( OR(ISERROR(Q12),SUMIF(Q$2:Q12,"&lt;&gt;#N/A")=0), NA(), SUMIF(Q$2:Q12,"&lt;&gt;#N/A") )</f>
        <v>9224373079</v>
      </c>
      <c r="V12" s="9" t="e">
        <f>IF( OR(ISERROR(R12),SUMIF(R$2:R12,"&lt;&gt;#N/A")=0), NA(), SUMIF(R$2:R12,"&lt;&gt;#N/A") )</f>
        <v>#N/A</v>
      </c>
      <c r="W12" s="9" t="e">
        <f t="shared" ca="1" si="4"/>
        <v>#N/A</v>
      </c>
      <c r="X12" s="9">
        <f t="shared" ca="1" si="5"/>
        <v>116754641</v>
      </c>
      <c r="Y12" s="9">
        <f t="shared" ca="1" si="6"/>
        <v>660352453</v>
      </c>
      <c r="Z12" s="9" t="e">
        <f t="shared" si="7"/>
        <v>#N/A</v>
      </c>
      <c r="AA12" s="9" t="e">
        <f ca="1">IF( OR(ISERROR(W12),SUMIF(W$2:W12,"&lt;&gt;#N/A")=0), NA(), SUMIF(W$2:W12,"&lt;&gt;#N/A") )</f>
        <v>#N/A</v>
      </c>
      <c r="AB12" s="9">
        <f ca="1">IF( OR(ISERROR(X12),SUMIF(X$2:X12,"&lt;&gt;#N/A")=0), NA(), SUMIF(X$2:X12,"&lt;&gt;#N/A") )</f>
        <v>296903564</v>
      </c>
      <c r="AC12" s="9">
        <f ca="1">IF( OR(ISERROR(Y12),SUMIF(Y$2:Y12,"&lt;&gt;#N/A")=0), NA(), SUMIF(Y$2:Y12,"&lt;&gt;#N/A") )</f>
        <v>3151736487</v>
      </c>
      <c r="AD12" t="e">
        <f>IF( OR(ISERROR(Z12),SUMIF(Z$2:Z12,"&lt;&gt;#N/A")=0), NA(), SUMIF(Z$2:Z12,"&lt;&gt;#N/A") )</f>
        <v>#N/A</v>
      </c>
      <c r="AE12" s="9" t="e">
        <f t="shared" ca="1" si="11"/>
        <v>#N/A</v>
      </c>
      <c r="AF12" s="9">
        <f t="shared" ca="1" si="8"/>
        <v>27.715131318247149</v>
      </c>
      <c r="AG12" s="9">
        <f t="shared" ca="1" si="9"/>
        <v>31.129348642481609</v>
      </c>
      <c r="AH12" s="9" t="e">
        <f t="shared" si="10"/>
        <v>#N/A</v>
      </c>
    </row>
    <row r="13" spans="1:1012" x14ac:dyDescent="0.3">
      <c r="A13" s="2">
        <v>44196</v>
      </c>
      <c r="B13">
        <v>13923597000</v>
      </c>
      <c r="C13">
        <v>-550430000</v>
      </c>
      <c r="D13" s="2">
        <v>39813</v>
      </c>
      <c r="E13">
        <v>260014881</v>
      </c>
      <c r="F13">
        <v>40626379</v>
      </c>
      <c r="G13" s="2">
        <v>40178</v>
      </c>
      <c r="H13">
        <v>1597949099</v>
      </c>
      <c r="I13" s="9">
        <v>579007952</v>
      </c>
      <c r="J13" s="2">
        <v>40543</v>
      </c>
      <c r="K13" s="9">
        <v>19017744314</v>
      </c>
      <c r="L13" s="9">
        <v>1597733922</v>
      </c>
      <c r="M13" s="9"/>
      <c r="N13" s="2">
        <f t="shared" ca="1" si="12"/>
        <v>41274</v>
      </c>
      <c r="O13" s="9" t="e">
        <f t="shared" ca="1" si="0"/>
        <v>#N/A</v>
      </c>
      <c r="P13" s="9">
        <f t="shared" ca="1" si="1"/>
        <v>453387737</v>
      </c>
      <c r="Q13" s="9">
        <f t="shared" ca="1" si="2"/>
        <v>1798657243</v>
      </c>
      <c r="R13" s="9" t="e">
        <f t="shared" si="3"/>
        <v>#N/A</v>
      </c>
      <c r="S13" s="9" t="e">
        <f ca="1">IF( OR(ISERROR(O13),SUMIF(O$2:O13,"&lt;&gt;#N/A")=0), NA(), SUMIF(O$2:O13,"&lt;&gt;#N/A") )</f>
        <v>#N/A</v>
      </c>
      <c r="T13" s="9">
        <f ca="1">IF( OR(ISERROR(P13),SUMIF(P$2:P13,"&lt;&gt;#N/A")=0), NA(), SUMIF(P$2:P13,"&lt;&gt;#N/A") )</f>
        <v>3219588967</v>
      </c>
      <c r="U13" s="9">
        <f ca="1">IF( OR(ISERROR(Q13),SUMIF(Q$2:Q13,"&lt;&gt;#N/A")=0), NA(), SUMIF(Q$2:Q13,"&lt;&gt;#N/A") )</f>
        <v>11023030322</v>
      </c>
      <c r="V13" s="9" t="e">
        <f>IF( OR(ISERROR(R13),SUMIF(R$2:R13,"&lt;&gt;#N/A")=0), NA(), SUMIF(R$2:R13,"&lt;&gt;#N/A") )</f>
        <v>#N/A</v>
      </c>
      <c r="W13" s="9" t="e">
        <f t="shared" ca="1" si="4"/>
        <v>#N/A</v>
      </c>
      <c r="X13" s="9">
        <f t="shared" ca="1" si="5"/>
        <v>101756984</v>
      </c>
      <c r="Y13" s="9">
        <f t="shared" ca="1" si="6"/>
        <v>521187072</v>
      </c>
      <c r="Z13" s="9" t="e">
        <f t="shared" si="7"/>
        <v>#N/A</v>
      </c>
      <c r="AA13" s="9" t="e">
        <f ca="1">IF( OR(ISERROR(W13),SUMIF(W$2:W13,"&lt;&gt;#N/A")=0), NA(), SUMIF(W$2:W13,"&lt;&gt;#N/A") )</f>
        <v>#N/A</v>
      </c>
      <c r="AB13" s="9">
        <f ca="1">IF( OR(ISERROR(X13),SUMIF(X$2:X13,"&lt;&gt;#N/A")=0), NA(), SUMIF(X$2:X13,"&lt;&gt;#N/A") )</f>
        <v>398660548</v>
      </c>
      <c r="AC13" s="9">
        <f ca="1">IF( OR(ISERROR(Y13),SUMIF(Y$2:Y13,"&lt;&gt;#N/A")=0), NA(), SUMIF(Y$2:Y13,"&lt;&gt;#N/A") )</f>
        <v>3672923559</v>
      </c>
      <c r="AD13" t="e">
        <f>IF( OR(ISERROR(Z13),SUMIF(Z$2:Z13,"&lt;&gt;#N/A")=0), NA(), SUMIF(Z$2:Z13,"&lt;&gt;#N/A") )</f>
        <v>#N/A</v>
      </c>
      <c r="AE13" s="9" t="e">
        <f t="shared" ca="1" si="11"/>
        <v>#N/A</v>
      </c>
      <c r="AF13" s="9">
        <f t="shared" ca="1" si="8"/>
        <v>22.443700103869375</v>
      </c>
      <c r="AG13" s="9">
        <f t="shared" ca="1" si="9"/>
        <v>28.976453075112097</v>
      </c>
      <c r="AH13" s="9" t="e">
        <f t="shared" si="10"/>
        <v>#N/A</v>
      </c>
    </row>
    <row r="14" spans="1:1012" x14ac:dyDescent="0.3">
      <c r="A14" s="2">
        <v>44561</v>
      </c>
      <c r="B14">
        <v>20881259000</v>
      </c>
      <c r="C14">
        <v>-1120881000</v>
      </c>
      <c r="D14" s="2">
        <v>40178</v>
      </c>
      <c r="E14">
        <v>274282433</v>
      </c>
      <c r="F14">
        <v>44033371</v>
      </c>
      <c r="G14" s="2">
        <v>40543</v>
      </c>
      <c r="H14">
        <v>1785388877</v>
      </c>
      <c r="I14" s="9">
        <v>590372766</v>
      </c>
      <c r="J14" s="2">
        <v>40908</v>
      </c>
      <c r="K14" s="9">
        <v>22253087551</v>
      </c>
      <c r="L14" s="9">
        <v>1694898112</v>
      </c>
      <c r="M14" s="9"/>
      <c r="N14" s="2">
        <f t="shared" ca="1" si="12"/>
        <v>41639</v>
      </c>
      <c r="O14" s="9" t="e">
        <f t="shared" ca="1" si="0"/>
        <v>#N/A</v>
      </c>
      <c r="P14" s="9">
        <f t="shared" ca="1" si="1"/>
        <v>210775882</v>
      </c>
      <c r="Q14" s="9">
        <f t="shared" ca="1" si="2"/>
        <v>2259138612</v>
      </c>
      <c r="R14" s="9" t="e">
        <f t="shared" si="3"/>
        <v>#N/A</v>
      </c>
      <c r="S14" s="9" t="e">
        <f ca="1">IF( OR(ISERROR(O14),SUMIF(O$2:O14,"&lt;&gt;#N/A")=0), NA(), SUMIF(O$2:O14,"&lt;&gt;#N/A") )</f>
        <v>#N/A</v>
      </c>
      <c r="T14" s="9">
        <f ca="1">IF( OR(ISERROR(P14),SUMIF(P$2:P14,"&lt;&gt;#N/A")=0), NA(), SUMIF(P$2:P14,"&lt;&gt;#N/A") )</f>
        <v>3430364849</v>
      </c>
      <c r="U14" s="9">
        <f ca="1">IF( OR(ISERROR(Q14),SUMIF(Q$2:Q14,"&lt;&gt;#N/A")=0), NA(), SUMIF(Q$2:Q14,"&lt;&gt;#N/A") )</f>
        <v>13282168934</v>
      </c>
      <c r="V14" s="9" t="e">
        <f>IF( OR(ISERROR(R14),SUMIF(R$2:R14,"&lt;&gt;#N/A")=0), NA(), SUMIF(R$2:R14,"&lt;&gt;#N/A") )</f>
        <v>#N/A</v>
      </c>
      <c r="W14" s="9" t="e">
        <f t="shared" ca="1" si="4"/>
        <v>#N/A</v>
      </c>
      <c r="X14" s="9">
        <f t="shared" ca="1" si="5"/>
        <v>65852344</v>
      </c>
      <c r="Y14" s="9">
        <f t="shared" ca="1" si="6"/>
        <v>506538818</v>
      </c>
      <c r="Z14" s="9" t="e">
        <f t="shared" si="7"/>
        <v>#N/A</v>
      </c>
      <c r="AA14" s="9" t="e">
        <f ca="1">IF( OR(ISERROR(W14),SUMIF(W$2:W14,"&lt;&gt;#N/A")=0), NA(), SUMIF(W$2:W14,"&lt;&gt;#N/A") )</f>
        <v>#N/A</v>
      </c>
      <c r="AB14" s="9">
        <f ca="1">IF( OR(ISERROR(X14),SUMIF(X$2:X14,"&lt;&gt;#N/A")=0), NA(), SUMIF(X$2:X14,"&lt;&gt;#N/A") )</f>
        <v>464512892</v>
      </c>
      <c r="AC14" s="9">
        <f ca="1">IF( OR(ISERROR(Y14),SUMIF(Y$2:Y14,"&lt;&gt;#N/A")=0), NA(), SUMIF(Y$2:Y14,"&lt;&gt;#N/A") )</f>
        <v>4179462377</v>
      </c>
      <c r="AD14" t="e">
        <f>IF( OR(ISERROR(Z14),SUMIF(Z$2:Z14,"&lt;&gt;#N/A")=0), NA(), SUMIF(Z$2:Z14,"&lt;&gt;#N/A") )</f>
        <v>#N/A</v>
      </c>
      <c r="AE14" s="9" t="e">
        <f t="shared" ca="1" si="11"/>
        <v>#N/A</v>
      </c>
      <c r="AF14" s="9">
        <f t="shared" ca="1" si="8"/>
        <v>31.242826918878698</v>
      </c>
      <c r="AG14" s="9">
        <f t="shared" ca="1" si="9"/>
        <v>22.421767983132501</v>
      </c>
      <c r="AH14" s="9" t="e">
        <f t="shared" si="10"/>
        <v>#N/A</v>
      </c>
    </row>
    <row r="15" spans="1:1012" x14ac:dyDescent="0.3">
      <c r="A15" s="2"/>
      <c r="D15" s="2">
        <v>40543</v>
      </c>
      <c r="E15">
        <v>350423340</v>
      </c>
      <c r="F15">
        <v>92647538</v>
      </c>
      <c r="G15" s="2">
        <v>40908</v>
      </c>
      <c r="H15">
        <v>2121317926</v>
      </c>
      <c r="I15" s="9">
        <v>660352453</v>
      </c>
      <c r="J15" s="2">
        <v>41274</v>
      </c>
      <c r="K15" s="9">
        <v>25043680472</v>
      </c>
      <c r="L15" s="9">
        <v>1467467563</v>
      </c>
      <c r="M15" s="9"/>
      <c r="N15" s="2">
        <f t="shared" ca="1" si="12"/>
        <v>42004</v>
      </c>
      <c r="O15" s="9" t="e">
        <f t="shared" ca="1" si="0"/>
        <v>#N/A</v>
      </c>
      <c r="P15" s="9">
        <f t="shared" ca="1" si="1"/>
        <v>498857729</v>
      </c>
      <c r="Q15" s="9">
        <f t="shared" ca="1" si="2"/>
        <v>2758478837</v>
      </c>
      <c r="R15" s="9" t="e">
        <f t="shared" si="3"/>
        <v>#N/A</v>
      </c>
      <c r="S15" s="9" t="e">
        <f ca="1">IF( OR(ISERROR(O15),SUMIF(O$2:O15,"&lt;&gt;#N/A")=0), NA(), SUMIF(O$2:O15,"&lt;&gt;#N/A") )</f>
        <v>#N/A</v>
      </c>
      <c r="T15" s="9">
        <f ca="1">IF( OR(ISERROR(P15),SUMIF(P$2:P15,"&lt;&gt;#N/A")=0), NA(), SUMIF(P$2:P15,"&lt;&gt;#N/A") )</f>
        <v>3929222578</v>
      </c>
      <c r="U15" s="9">
        <f ca="1">IF( OR(ISERROR(Q15),SUMIF(Q$2:Q15,"&lt;&gt;#N/A")=0), NA(), SUMIF(Q$2:Q15,"&lt;&gt;#N/A") )</f>
        <v>16040647771</v>
      </c>
      <c r="V15" s="9" t="e">
        <f>IF( OR(ISERROR(R15),SUMIF(R$2:R15,"&lt;&gt;#N/A")=0), NA(), SUMIF(R$2:R15,"&lt;&gt;#N/A") )</f>
        <v>#N/A</v>
      </c>
      <c r="W15" s="9" t="e">
        <f t="shared" ca="1" si="4"/>
        <v>#N/A</v>
      </c>
      <c r="X15" s="9">
        <f t="shared" ca="1" si="5"/>
        <v>176427094</v>
      </c>
      <c r="Y15" s="9">
        <f t="shared" ca="1" si="6"/>
        <v>758199066</v>
      </c>
      <c r="Z15" s="9" t="e">
        <f t="shared" si="7"/>
        <v>#N/A</v>
      </c>
      <c r="AA15" s="9" t="e">
        <f ca="1">IF( OR(ISERROR(W15),SUMIF(W$2:W15,"&lt;&gt;#N/A")=0), NA(), SUMIF(W$2:W15,"&lt;&gt;#N/A") )</f>
        <v>#N/A</v>
      </c>
      <c r="AB15" s="9">
        <f ca="1">IF( OR(ISERROR(X15),SUMIF(X$2:X15,"&lt;&gt;#N/A")=0), NA(), SUMIF(X$2:X15,"&lt;&gt;#N/A") )</f>
        <v>640939986</v>
      </c>
      <c r="AC15" s="9">
        <f ca="1">IF( OR(ISERROR(Y15),SUMIF(Y$2:Y15,"&lt;&gt;#N/A")=0), NA(), SUMIF(Y$2:Y15,"&lt;&gt;#N/A") )</f>
        <v>4937661443</v>
      </c>
      <c r="AD15" t="e">
        <f>IF( OR(ISERROR(Z15),SUMIF(Z$2:Z15,"&lt;&gt;#N/A")=0), NA(), SUMIF(Z$2:Z15,"&lt;&gt;#N/A") )</f>
        <v>#N/A</v>
      </c>
      <c r="AE15" s="9" t="e">
        <f t="shared" ca="1" si="11"/>
        <v>#N/A</v>
      </c>
      <c r="AF15" s="9">
        <f t="shared" ca="1" si="8"/>
        <v>35.366214402182791</v>
      </c>
      <c r="AG15" s="9">
        <f t="shared" ca="1" si="9"/>
        <v>27.4861295229143</v>
      </c>
      <c r="AH15" s="9" t="e">
        <f t="shared" si="10"/>
        <v>#N/A</v>
      </c>
    </row>
    <row r="16" spans="1:1012" x14ac:dyDescent="0.3">
      <c r="A16" s="2"/>
      <c r="D16" s="2">
        <v>40908</v>
      </c>
      <c r="E16">
        <v>421266779</v>
      </c>
      <c r="F16">
        <v>116754641</v>
      </c>
      <c r="G16" s="2">
        <v>41274</v>
      </c>
      <c r="H16">
        <v>1798657243</v>
      </c>
      <c r="I16" s="9">
        <v>521187072</v>
      </c>
      <c r="J16" s="2">
        <v>41639</v>
      </c>
      <c r="K16" s="9">
        <v>28211702494</v>
      </c>
      <c r="L16" s="9">
        <v>1485260918</v>
      </c>
      <c r="M16" s="9"/>
      <c r="N16" s="2">
        <f t="shared" ca="1" si="12"/>
        <v>42369</v>
      </c>
      <c r="O16" s="9">
        <f t="shared" ca="1" si="0"/>
        <v>1133752000</v>
      </c>
      <c r="P16" s="9">
        <f t="shared" ca="1" si="1"/>
        <v>932151827</v>
      </c>
      <c r="Q16" s="9">
        <f t="shared" ca="1" si="2"/>
        <v>3253930352</v>
      </c>
      <c r="R16" s="9" t="e">
        <f t="shared" si="3"/>
        <v>#N/A</v>
      </c>
      <c r="S16" s="9">
        <f ca="1">IF( OR(ISERROR(O16),SUMIF(O$2:O16,"&lt;&gt;#N/A")=0), NA(), SUMIF(O$2:O16,"&lt;&gt;#N/A") )</f>
        <v>1133752000</v>
      </c>
      <c r="T16" s="9">
        <f ca="1">IF( OR(ISERROR(P16),SUMIF(P$2:P16,"&lt;&gt;#N/A")=0), NA(), SUMIF(P$2:P16,"&lt;&gt;#N/A") )</f>
        <v>4861374405</v>
      </c>
      <c r="U16" s="9">
        <f ca="1">IF( OR(ISERROR(Q16),SUMIF(Q$2:Q16,"&lt;&gt;#N/A")=0), NA(), SUMIF(Q$2:Q16,"&lt;&gt;#N/A") )</f>
        <v>19294578123</v>
      </c>
      <c r="V16" s="9" t="e">
        <f>IF( OR(ISERROR(R16),SUMIF(R$2:R16,"&lt;&gt;#N/A")=0), NA(), SUMIF(R$2:R16,"&lt;&gt;#N/A") )</f>
        <v>#N/A</v>
      </c>
      <c r="W16" s="9">
        <f t="shared" ca="1" si="4"/>
        <v>-547013000</v>
      </c>
      <c r="X16" s="9">
        <f t="shared" ca="1" si="5"/>
        <v>88588297</v>
      </c>
      <c r="Y16" s="9">
        <f t="shared" ca="1" si="6"/>
        <v>830224961</v>
      </c>
      <c r="Z16" s="9" t="e">
        <f t="shared" si="7"/>
        <v>#N/A</v>
      </c>
      <c r="AA16" s="9">
        <f ca="1">IF( OR(ISERROR(W16),SUMIF(W$2:W16,"&lt;&gt;#N/A")=0), NA(), SUMIF(W$2:W16,"&lt;&gt;#N/A") )</f>
        <v>-547013000</v>
      </c>
      <c r="AB16" s="9">
        <f ca="1">IF( OR(ISERROR(X16),SUMIF(X$2:X16,"&lt;&gt;#N/A")=0), NA(), SUMIF(X$2:X16,"&lt;&gt;#N/A") )</f>
        <v>729528283</v>
      </c>
      <c r="AC16" s="9">
        <f ca="1">IF( OR(ISERROR(Y16),SUMIF(Y$2:Y16,"&lt;&gt;#N/A")=0), NA(), SUMIF(Y$2:Y16,"&lt;&gt;#N/A") )</f>
        <v>5767886404</v>
      </c>
      <c r="AD16" t="e">
        <f>IF( OR(ISERROR(Z16),SUMIF(Z$2:Z16,"&lt;&gt;#N/A")=0), NA(), SUMIF(Z$2:Z16,"&lt;&gt;#N/A") )</f>
        <v>#N/A</v>
      </c>
      <c r="AE16" s="9">
        <f t="shared" ca="1" si="11"/>
        <v>-48.248029551436296</v>
      </c>
      <c r="AF16" s="9">
        <f t="shared" ca="1" si="8"/>
        <v>9.5036338967557477</v>
      </c>
      <c r="AG16" s="9">
        <f t="shared" ca="1" si="9"/>
        <v>25.514527700007761</v>
      </c>
      <c r="AH16" s="9" t="e">
        <f t="shared" si="10"/>
        <v>#N/A</v>
      </c>
    </row>
    <row r="17" spans="1:34" x14ac:dyDescent="0.3">
      <c r="A17" s="2"/>
      <c r="D17" s="2">
        <v>41274</v>
      </c>
      <c r="E17">
        <v>453387737</v>
      </c>
      <c r="F17">
        <v>101756984</v>
      </c>
      <c r="G17" s="2">
        <v>41639</v>
      </c>
      <c r="H17">
        <v>2259138612</v>
      </c>
      <c r="I17" s="9">
        <v>506538818</v>
      </c>
      <c r="J17" s="2">
        <v>42004</v>
      </c>
      <c r="K17" s="9">
        <v>28099567272</v>
      </c>
      <c r="L17" s="9">
        <v>1188378784</v>
      </c>
      <c r="M17" s="9"/>
      <c r="N17" s="2">
        <f t="shared" ca="1" si="12"/>
        <v>42735</v>
      </c>
      <c r="O17" s="9">
        <f t="shared" ca="1" si="0"/>
        <v>1915938000</v>
      </c>
      <c r="P17" s="9">
        <f t="shared" ca="1" si="1"/>
        <v>1464232790</v>
      </c>
      <c r="Q17" s="9">
        <f t="shared" ca="1" si="2"/>
        <v>4022629620</v>
      </c>
      <c r="R17" s="9" t="e">
        <f t="shared" si="3"/>
        <v>#N/A</v>
      </c>
      <c r="S17" s="9">
        <f ca="1">IF( OR(ISERROR(O17),SUMIF(O$2:O17,"&lt;&gt;#N/A")=0), NA(), SUMIF(O$2:O17,"&lt;&gt;#N/A") )</f>
        <v>3049690000</v>
      </c>
      <c r="T17" s="9">
        <f ca="1">IF( OR(ISERROR(P17),SUMIF(P$2:P17,"&lt;&gt;#N/A")=0), NA(), SUMIF(P$2:P17,"&lt;&gt;#N/A") )</f>
        <v>6325607195</v>
      </c>
      <c r="U17" s="9">
        <f ca="1">IF( OR(ISERROR(Q17),SUMIF(Q$2:Q17,"&lt;&gt;#N/A")=0), NA(), SUMIF(Q$2:Q17,"&lt;&gt;#N/A") )</f>
        <v>23317207743</v>
      </c>
      <c r="V17" s="9" t="e">
        <f>IF( OR(ISERROR(R17),SUMIF(R$2:R17,"&lt;&gt;#N/A")=0), NA(), SUMIF(R$2:R17,"&lt;&gt;#N/A") )</f>
        <v>#N/A</v>
      </c>
      <c r="W17" s="9">
        <f t="shared" ca="1" si="4"/>
        <v>-565270000</v>
      </c>
      <c r="X17" s="9">
        <f t="shared" ca="1" si="5"/>
        <v>116135056</v>
      </c>
      <c r="Y17" s="9">
        <f t="shared" ca="1" si="6"/>
        <v>1102040476</v>
      </c>
      <c r="Z17" s="9" t="e">
        <f t="shared" si="7"/>
        <v>#N/A</v>
      </c>
      <c r="AA17" s="9">
        <f ca="1">IF( OR(ISERROR(W17),SUMIF(W$2:W17,"&lt;&gt;#N/A")=0), NA(), SUMIF(W$2:W17,"&lt;&gt;#N/A") )</f>
        <v>-1112283000</v>
      </c>
      <c r="AB17" s="9">
        <f ca="1">IF( OR(ISERROR(X17),SUMIF(X$2:X17,"&lt;&gt;#N/A")=0), NA(), SUMIF(X$2:X17,"&lt;&gt;#N/A") )</f>
        <v>845663339</v>
      </c>
      <c r="AC17" s="9">
        <f ca="1">IF( OR(ISERROR(Y17),SUMIF(Y$2:Y17,"&lt;&gt;#N/A")=0), NA(), SUMIF(Y$2:Y17,"&lt;&gt;#N/A") )</f>
        <v>6869926880</v>
      </c>
      <c r="AD17" t="e">
        <f>IF( OR(ISERROR(Z17),SUMIF(Z$2:Z17,"&lt;&gt;#N/A")=0), NA(), SUMIF(Z$2:Z17,"&lt;&gt;#N/A") )</f>
        <v>#N/A</v>
      </c>
      <c r="AE17" s="9">
        <f t="shared" ca="1" si="11"/>
        <v>-29.503564311580021</v>
      </c>
      <c r="AF17" s="9">
        <f t="shared" ca="1" si="8"/>
        <v>7.931461226189314</v>
      </c>
      <c r="AG17" s="9">
        <f t="shared" ca="1" si="9"/>
        <v>27.39602151092399</v>
      </c>
      <c r="AH17" s="9" t="e">
        <f t="shared" si="10"/>
        <v>#N/A</v>
      </c>
    </row>
    <row r="18" spans="1:34" x14ac:dyDescent="0.3">
      <c r="A18" s="2"/>
      <c r="D18" s="2">
        <v>41639</v>
      </c>
      <c r="E18">
        <v>210775882</v>
      </c>
      <c r="F18">
        <v>65852344</v>
      </c>
      <c r="G18" s="2">
        <v>42004</v>
      </c>
      <c r="H18">
        <v>2758478837</v>
      </c>
      <c r="I18" s="9">
        <v>758199066</v>
      </c>
      <c r="J18" s="2">
        <v>42369</v>
      </c>
      <c r="K18" s="9">
        <v>29127654925</v>
      </c>
      <c r="L18" s="9">
        <v>853713008</v>
      </c>
      <c r="M18" s="9"/>
      <c r="N18" s="2">
        <f t="shared" ca="1" si="12"/>
        <v>43100</v>
      </c>
      <c r="O18" s="9">
        <f t="shared" ca="1" si="0"/>
        <v>2684630000</v>
      </c>
      <c r="P18" s="9">
        <f t="shared" ca="1" si="1"/>
        <v>1972326479</v>
      </c>
      <c r="Q18" s="9">
        <f t="shared" ca="1" si="2"/>
        <v>4678468928</v>
      </c>
      <c r="R18" s="9" t="e">
        <f t="shared" si="3"/>
        <v>#N/A</v>
      </c>
      <c r="S18" s="9">
        <f ca="1">IF( OR(ISERROR(O18),SUMIF(O$2:O18,"&lt;&gt;#N/A")=0), NA(), SUMIF(O$2:O18,"&lt;&gt;#N/A") )</f>
        <v>5734320000</v>
      </c>
      <c r="T18" s="9">
        <f ca="1">IF( OR(ISERROR(P18),SUMIF(P$2:P18,"&lt;&gt;#N/A")=0), NA(), SUMIF(P$2:P18,"&lt;&gt;#N/A") )</f>
        <v>8297933674</v>
      </c>
      <c r="U18" s="9">
        <f ca="1">IF( OR(ISERROR(Q18),SUMIF(Q$2:Q18,"&lt;&gt;#N/A")=0), NA(), SUMIF(Q$2:Q18,"&lt;&gt;#N/A") )</f>
        <v>27995676671</v>
      </c>
      <c r="V18" s="9" t="e">
        <f>IF( OR(ISERROR(R18),SUMIF(R$2:R18,"&lt;&gt;#N/A")=0), NA(), SUMIF(R$2:R18,"&lt;&gt;#N/A") )</f>
        <v>#N/A</v>
      </c>
      <c r="W18" s="9">
        <f t="shared" ca="1" si="4"/>
        <v>-638897000</v>
      </c>
      <c r="X18" s="9">
        <f t="shared" ca="1" si="5"/>
        <v>165379528</v>
      </c>
      <c r="Y18" s="9">
        <f t="shared" ca="1" si="6"/>
        <v>1179187806</v>
      </c>
      <c r="Z18" s="9" t="e">
        <f t="shared" si="7"/>
        <v>#N/A</v>
      </c>
      <c r="AA18" s="9">
        <f ca="1">IF( OR(ISERROR(W18),SUMIF(W$2:W18,"&lt;&gt;#N/A")=0), NA(), SUMIF(W$2:W18,"&lt;&gt;#N/A") )</f>
        <v>-1751180000</v>
      </c>
      <c r="AB18" s="9">
        <f ca="1">IF( OR(ISERROR(X18),SUMIF(X$2:X18,"&lt;&gt;#N/A")=0), NA(), SUMIF(X$2:X18,"&lt;&gt;#N/A") )</f>
        <v>1011042867</v>
      </c>
      <c r="AC18" s="9">
        <f ca="1">IF( OR(ISERROR(Y18),SUMIF(Y$2:Y18,"&lt;&gt;#N/A")=0), NA(), SUMIF(Y$2:Y18,"&lt;&gt;#N/A") )</f>
        <v>8049114686</v>
      </c>
      <c r="AD18" t="e">
        <f>IF( OR(ISERROR(Z18),SUMIF(Z$2:Z18,"&lt;&gt;#N/A")=0), NA(), SUMIF(Z$2:Z18,"&lt;&gt;#N/A") )</f>
        <v>#N/A</v>
      </c>
      <c r="AE18" s="9">
        <f t="shared" ca="1" si="11"/>
        <v>-23.7983260263053</v>
      </c>
      <c r="AF18" s="9">
        <f t="shared" ca="1" si="8"/>
        <v>8.3849976036345648</v>
      </c>
      <c r="AG18" s="9">
        <f t="shared" ca="1" si="9"/>
        <v>25.204566368769093</v>
      </c>
      <c r="AH18" s="9" t="e">
        <f t="shared" si="10"/>
        <v>#N/A</v>
      </c>
    </row>
    <row r="19" spans="1:34" x14ac:dyDescent="0.3">
      <c r="A19" s="2"/>
      <c r="D19" s="2">
        <v>42004</v>
      </c>
      <c r="E19">
        <v>498857729</v>
      </c>
      <c r="F19">
        <v>176427094</v>
      </c>
      <c r="G19" s="2">
        <v>42369</v>
      </c>
      <c r="H19">
        <v>3253930352</v>
      </c>
      <c r="I19" s="9">
        <v>830224961</v>
      </c>
      <c r="J19" s="2">
        <v>42735</v>
      </c>
      <c r="K19" s="9">
        <v>24114328795</v>
      </c>
      <c r="L19" s="9">
        <v>763326206</v>
      </c>
      <c r="M19" s="9"/>
      <c r="N19" s="2">
        <f t="shared" ca="1" si="12"/>
        <v>43465</v>
      </c>
      <c r="O19" s="9">
        <f t="shared" ca="1" si="0"/>
        <v>4354586000</v>
      </c>
      <c r="P19" s="9">
        <f t="shared" ca="1" si="1"/>
        <v>2416992441</v>
      </c>
      <c r="Q19" s="9">
        <f t="shared" ca="1" si="2"/>
        <v>5586904533</v>
      </c>
      <c r="R19" s="9" t="e">
        <f t="shared" si="3"/>
        <v>#N/A</v>
      </c>
      <c r="S19" s="9">
        <f ca="1">IF( OR(ISERROR(O19),SUMIF(O$2:O19,"&lt;&gt;#N/A")=0), NA(), SUMIF(O$2:O19,"&lt;&gt;#N/A") )</f>
        <v>10088906000</v>
      </c>
      <c r="T19" s="9">
        <f ca="1">IF( OR(ISERROR(P19),SUMIF(P$2:P19,"&lt;&gt;#N/A")=0), NA(), SUMIF(P$2:P19,"&lt;&gt;#N/A") )</f>
        <v>10714926115</v>
      </c>
      <c r="U19" s="9">
        <f ca="1">IF( OR(ISERROR(Q19),SUMIF(Q$2:Q19,"&lt;&gt;#N/A")=0), NA(), SUMIF(Q$2:Q19,"&lt;&gt;#N/A") )</f>
        <v>33582581204</v>
      </c>
      <c r="V19" s="9" t="e">
        <f>IF( OR(ISERROR(R19),SUMIF(R$2:R19,"&lt;&gt;#N/A")=0), NA(), SUMIF(R$2:R19,"&lt;&gt;#N/A") )</f>
        <v>#N/A</v>
      </c>
      <c r="W19" s="9">
        <f t="shared" ca="1" si="4"/>
        <v>-1127964000</v>
      </c>
      <c r="X19" s="9">
        <f t="shared" ca="1" si="5"/>
        <v>72948890</v>
      </c>
      <c r="Y19" s="9">
        <f t="shared" ca="1" si="6"/>
        <v>942532562</v>
      </c>
      <c r="Z19" s="9" t="e">
        <f t="shared" si="7"/>
        <v>#N/A</v>
      </c>
      <c r="AA19" s="9">
        <f ca="1">IF( OR(ISERROR(W19),SUMIF(W$2:W19,"&lt;&gt;#N/A")=0), NA(), SUMIF(W$2:W19,"&lt;&gt;#N/A") )</f>
        <v>-2879144000</v>
      </c>
      <c r="AB19" s="9">
        <f ca="1">IF( OR(ISERROR(X19),SUMIF(X$2:X19,"&lt;&gt;#N/A")=0), NA(), SUMIF(X$2:X19,"&lt;&gt;#N/A") )</f>
        <v>1083991757</v>
      </c>
      <c r="AC19" s="9">
        <f ca="1">IF( OR(ISERROR(Y19),SUMIF(Y$2:Y19,"&lt;&gt;#N/A")=0), NA(), SUMIF(Y$2:Y19,"&lt;&gt;#N/A") )</f>
        <v>8991647248</v>
      </c>
      <c r="AD19" t="e">
        <f>IF( OR(ISERROR(Z19),SUMIF(Z$2:Z19,"&lt;&gt;#N/A")=0), NA(), SUMIF(Z$2:Z19,"&lt;&gt;#N/A") )</f>
        <v>#N/A</v>
      </c>
      <c r="AE19" s="9">
        <f t="shared" ca="1" si="11"/>
        <v>-25.902898691172936</v>
      </c>
      <c r="AF19" s="9">
        <f t="shared" ca="1" si="8"/>
        <v>3.0181679000128905</v>
      </c>
      <c r="AG19" s="9">
        <f t="shared" ca="1" si="9"/>
        <v>16.870389612580123</v>
      </c>
      <c r="AH19" s="9" t="e">
        <f t="shared" si="10"/>
        <v>#N/A</v>
      </c>
    </row>
    <row r="20" spans="1:34" x14ac:dyDescent="0.3">
      <c r="A20" s="2"/>
      <c r="D20" s="2">
        <v>42369</v>
      </c>
      <c r="E20">
        <v>932151827</v>
      </c>
      <c r="F20">
        <v>88588297</v>
      </c>
      <c r="G20" s="2">
        <v>42735</v>
      </c>
      <c r="H20">
        <v>4022629620</v>
      </c>
      <c r="I20" s="9">
        <v>1102040476</v>
      </c>
      <c r="J20" s="2">
        <v>43100</v>
      </c>
      <c r="K20" s="9">
        <v>17926062646</v>
      </c>
      <c r="L20" s="9">
        <v>801038447</v>
      </c>
      <c r="M20" s="9"/>
      <c r="N20" s="2">
        <f t="shared" ca="1" si="12"/>
        <v>43830</v>
      </c>
      <c r="O20" s="9">
        <f t="shared" ca="1" si="0"/>
        <v>7153094000</v>
      </c>
      <c r="P20" s="9">
        <f t="shared" ca="1" si="1"/>
        <v>3070111365</v>
      </c>
      <c r="Q20" s="9">
        <f t="shared" ca="1" si="2"/>
        <v>4356239667</v>
      </c>
      <c r="R20" s="9" t="e">
        <f t="shared" si="3"/>
        <v>#N/A</v>
      </c>
      <c r="S20" s="9">
        <f ca="1">IF( OR(ISERROR(O20),SUMIF(O$2:O20,"&lt;&gt;#N/A")=0), NA(), SUMIF(O$2:O20,"&lt;&gt;#N/A") )</f>
        <v>17242000000</v>
      </c>
      <c r="T20" s="9">
        <f ca="1">IF( OR(ISERROR(P20),SUMIF(P$2:P20,"&lt;&gt;#N/A")=0), NA(), SUMIF(P$2:P20,"&lt;&gt;#N/A") )</f>
        <v>13785037480</v>
      </c>
      <c r="U20" s="9">
        <f ca="1">IF( OR(ISERROR(Q20),SUMIF(Q$2:Q20,"&lt;&gt;#N/A")=0), NA(), SUMIF(Q$2:Q20,"&lt;&gt;#N/A") )</f>
        <v>37938820871</v>
      </c>
      <c r="V20" s="9" t="e">
        <f>IF( OR(ISERROR(R20),SUMIF(R$2:R20,"&lt;&gt;#N/A")=0), NA(), SUMIF(R$2:R20,"&lt;&gt;#N/A") )</f>
        <v>#N/A</v>
      </c>
      <c r="W20" s="9">
        <f t="shared" ca="1" si="4"/>
        <v>-720529000</v>
      </c>
      <c r="X20" s="9">
        <f t="shared" ca="1" si="5"/>
        <v>206786222</v>
      </c>
      <c r="Y20" s="9">
        <f t="shared" ca="1" si="6"/>
        <v>1155025444</v>
      </c>
      <c r="Z20" s="9" t="e">
        <f t="shared" si="7"/>
        <v>#N/A</v>
      </c>
      <c r="AA20" s="9">
        <f ca="1">IF( OR(ISERROR(W20),SUMIF(W$2:W20,"&lt;&gt;#N/A")=0), NA(), SUMIF(W$2:W20,"&lt;&gt;#N/A") )</f>
        <v>-3599673000</v>
      </c>
      <c r="AB20" s="9">
        <f ca="1">IF( OR(ISERROR(X20),SUMIF(X$2:X20,"&lt;&gt;#N/A")=0), NA(), SUMIF(X$2:X20,"&lt;&gt;#N/A") )</f>
        <v>1290777979</v>
      </c>
      <c r="AC20" s="9">
        <f ca="1">IF( OR(ISERROR(Y20),SUMIF(Y$2:Y20,"&lt;&gt;#N/A")=0), NA(), SUMIF(Y$2:Y20,"&lt;&gt;#N/A") )</f>
        <v>10146672692</v>
      </c>
      <c r="AD20" t="e">
        <f>IF( OR(ISERROR(Z20),SUMIF(Z$2:Z20,"&lt;&gt;#N/A")=0), NA(), SUMIF(Z$2:Z20,"&lt;&gt;#N/A") )</f>
        <v>#N/A</v>
      </c>
      <c r="AE20" s="9">
        <f t="shared" ca="1" si="11"/>
        <v>-10.072969822569087</v>
      </c>
      <c r="AF20" s="9">
        <f t="shared" ca="1" si="8"/>
        <v>6.7354632264292471</v>
      </c>
      <c r="AG20" s="9">
        <f t="shared" ca="1" si="9"/>
        <v>26.514276814237547</v>
      </c>
      <c r="AH20" s="9" t="e">
        <f t="shared" si="10"/>
        <v>#N/A</v>
      </c>
    </row>
    <row r="21" spans="1:34" x14ac:dyDescent="0.3">
      <c r="A21" s="2"/>
      <c r="D21" s="2">
        <v>42735</v>
      </c>
      <c r="E21">
        <v>1464232790</v>
      </c>
      <c r="F21">
        <v>116135056</v>
      </c>
      <c r="G21" s="2">
        <v>43100</v>
      </c>
      <c r="H21">
        <v>4678468928</v>
      </c>
      <c r="I21" s="9">
        <v>1179187806</v>
      </c>
      <c r="J21" s="2">
        <v>43465</v>
      </c>
      <c r="K21" s="9">
        <v>17820781435</v>
      </c>
      <c r="L21" s="9">
        <v>597003599</v>
      </c>
      <c r="M21" s="9"/>
      <c r="N21" s="2">
        <f t="shared" ca="1" si="12"/>
        <v>44196</v>
      </c>
      <c r="O21" s="9">
        <f t="shared" ca="1" si="0"/>
        <v>13923597000</v>
      </c>
      <c r="P21" s="9">
        <f t="shared" ca="1" si="1"/>
        <v>4156816121</v>
      </c>
      <c r="Q21" s="9">
        <f t="shared" ca="1" si="2"/>
        <v>5304145900</v>
      </c>
      <c r="R21" s="9" t="e">
        <f t="shared" si="3"/>
        <v>#N/A</v>
      </c>
      <c r="S21" s="9">
        <f ca="1">IF( OR(ISERROR(O21),SUMIF(O$2:O21,"&lt;&gt;#N/A")=0), NA(), SUMIF(O$2:O21,"&lt;&gt;#N/A") )</f>
        <v>31165597000</v>
      </c>
      <c r="T21" s="9">
        <f ca="1">IF( OR(ISERROR(P21),SUMIF(P$2:P21,"&lt;&gt;#N/A")=0), NA(), SUMIF(P$2:P21,"&lt;&gt;#N/A") )</f>
        <v>17941853601</v>
      </c>
      <c r="U21" s="9">
        <f ca="1">IF( OR(ISERROR(Q21),SUMIF(Q$2:Q21,"&lt;&gt;#N/A")=0), NA(), SUMIF(Q$2:Q21,"&lt;&gt;#N/A") )</f>
        <v>43242966771</v>
      </c>
      <c r="V21" s="9" t="e">
        <f>IF( OR(ISERROR(R21),SUMIF(R$2:R21,"&lt;&gt;#N/A")=0), NA(), SUMIF(R$2:R21,"&lt;&gt;#N/A") )</f>
        <v>#N/A</v>
      </c>
      <c r="W21" s="9">
        <f t="shared" ca="1" si="4"/>
        <v>-550430000</v>
      </c>
      <c r="X21" s="9">
        <f t="shared" ca="1" si="5"/>
        <v>455855515</v>
      </c>
      <c r="Y21" s="9">
        <f t="shared" ca="1" si="6"/>
        <v>1215342457</v>
      </c>
      <c r="Z21" s="9" t="e">
        <f t="shared" si="7"/>
        <v>#N/A</v>
      </c>
      <c r="AA21" s="9">
        <f ca="1">IF( OR(ISERROR(W21),SUMIF(W$2:W21,"&lt;&gt;#N/A")=0), NA(), SUMIF(W$2:W21,"&lt;&gt;#N/A") )</f>
        <v>-4150103000</v>
      </c>
      <c r="AB21" s="9">
        <f ca="1">IF( OR(ISERROR(X21),SUMIF(X$2:X21,"&lt;&gt;#N/A")=0), NA(), SUMIF(X$2:X21,"&lt;&gt;#N/A") )</f>
        <v>1746633494</v>
      </c>
      <c r="AC21" s="9">
        <f ca="1">IF( OR(ISERROR(Y21),SUMIF(Y$2:Y21,"&lt;&gt;#N/A")=0), NA(), SUMIF(Y$2:Y21,"&lt;&gt;#N/A") )</f>
        <v>11362015149</v>
      </c>
      <c r="AD21" t="e">
        <f>IF( OR(ISERROR(Z21),SUMIF(Z$2:Z21,"&lt;&gt;#N/A")=0), NA(), SUMIF(Z$2:Z21,"&lt;&gt;#N/A") )</f>
        <v>#N/A</v>
      </c>
      <c r="AE21" s="9">
        <f t="shared" ca="1" si="11"/>
        <v>-3.9532169740333618</v>
      </c>
      <c r="AF21" s="9">
        <f t="shared" ca="1" si="8"/>
        <v>10.96645850407103</v>
      </c>
      <c r="AG21" s="9">
        <f t="shared" ca="1" si="9"/>
        <v>22.913066116827594</v>
      </c>
      <c r="AH21" s="9" t="e">
        <f t="shared" si="10"/>
        <v>#N/A</v>
      </c>
    </row>
    <row r="22" spans="1:34" x14ac:dyDescent="0.3">
      <c r="A22" s="2"/>
      <c r="D22" s="2">
        <v>43100</v>
      </c>
      <c r="E22">
        <v>1972326479</v>
      </c>
      <c r="F22">
        <v>165379528</v>
      </c>
      <c r="G22" s="2">
        <v>43465</v>
      </c>
      <c r="H22">
        <v>5586904533</v>
      </c>
      <c r="I22" s="9">
        <v>942532562</v>
      </c>
      <c r="J22" s="2"/>
      <c r="K22" s="9"/>
      <c r="L22" s="9"/>
      <c r="M22" s="9"/>
      <c r="N22" s="2">
        <f t="shared" ca="1" si="12"/>
        <v>44561</v>
      </c>
      <c r="O22" s="9">
        <f t="shared" ca="1" si="0"/>
        <v>20881259000</v>
      </c>
      <c r="P22" s="9">
        <f t="shared" ca="1" si="1"/>
        <v>6136669168</v>
      </c>
      <c r="Q22" s="9">
        <f t="shared" ca="1" si="2"/>
        <v>6817599707</v>
      </c>
      <c r="R22" s="9" t="e">
        <f t="shared" si="3"/>
        <v>#N/A</v>
      </c>
      <c r="S22" s="9">
        <f ca="1">IF( OR(ISERROR(O22),SUMIF(O$2:O22,"&lt;&gt;#N/A")=0), NA(), SUMIF(O$2:O22,"&lt;&gt;#N/A") )</f>
        <v>52046856000</v>
      </c>
      <c r="T22" s="9">
        <f ca="1">IF( OR(ISERROR(P22),SUMIF(P$2:P22,"&lt;&gt;#N/A")=0), NA(), SUMIF(P$2:P22,"&lt;&gt;#N/A") )</f>
        <v>24078522769</v>
      </c>
      <c r="U22" s="9">
        <f ca="1">IF( OR(ISERROR(Q22),SUMIF(Q$2:Q22,"&lt;&gt;#N/A")=0), NA(), SUMIF(Q$2:Q22,"&lt;&gt;#N/A") )</f>
        <v>50060566478</v>
      </c>
      <c r="V22" s="9" t="e">
        <f>IF( OR(ISERROR(R22),SUMIF(R$2:R22,"&lt;&gt;#N/A")=0), NA(), SUMIF(R$2:R22,"&lt;&gt;#N/A") )</f>
        <v>#N/A</v>
      </c>
      <c r="W22" s="9">
        <f t="shared" ca="1" si="4"/>
        <v>-1120881000</v>
      </c>
      <c r="X22" s="9">
        <f t="shared" ca="1" si="5"/>
        <v>594916913</v>
      </c>
      <c r="Y22" s="9">
        <f t="shared" ca="1" si="6"/>
        <v>1325478171</v>
      </c>
      <c r="Z22" s="9" t="e">
        <f t="shared" si="7"/>
        <v>#N/A</v>
      </c>
      <c r="AA22" s="9">
        <f ca="1">IF( OR(ISERROR(W22),SUMIF(W$2:W22,"&lt;&gt;#N/A")=0), NA(), SUMIF(W$2:W22,"&lt;&gt;#N/A") )</f>
        <v>-5270984000</v>
      </c>
      <c r="AB22" s="9">
        <f ca="1">IF( OR(ISERROR(X22),SUMIF(X$2:X22,"&lt;&gt;#N/A")=0), NA(), SUMIF(X$2:X22,"&lt;&gt;#N/A") )</f>
        <v>2341550407</v>
      </c>
      <c r="AC22" s="9">
        <f ca="1">IF( OR(ISERROR(Y22),SUMIF(Y$2:Y22,"&lt;&gt;#N/A")=0), NA(), SUMIF(Y$2:Y22,"&lt;&gt;#N/A") )</f>
        <v>12687493320</v>
      </c>
      <c r="AD22" t="e">
        <f>IF( OR(ISERROR(Z22),SUMIF(Z$2:Z22,"&lt;&gt;#N/A")=0), NA(), SUMIF(Z$2:Z22,"&lt;&gt;#N/A") )</f>
        <v>#N/A</v>
      </c>
      <c r="AE22" s="9">
        <f t="shared" ca="1" si="11"/>
        <v>-5.3678803562562969</v>
      </c>
      <c r="AF22" s="9">
        <f t="shared" ca="1" si="8"/>
        <v>9.6944595954793691</v>
      </c>
      <c r="AG22" s="9">
        <f t="shared" ca="1" si="9"/>
        <v>19.442006394700169</v>
      </c>
      <c r="AH22" s="9" t="e">
        <f t="shared" si="10"/>
        <v>#N/A</v>
      </c>
    </row>
    <row r="23" spans="1:34" x14ac:dyDescent="0.3">
      <c r="A23" s="2"/>
      <c r="D23" s="2">
        <v>43465</v>
      </c>
      <c r="E23">
        <v>2416992441</v>
      </c>
      <c r="F23">
        <v>72948890</v>
      </c>
      <c r="G23" s="2">
        <v>43830</v>
      </c>
      <c r="H23">
        <v>4356239667</v>
      </c>
      <c r="I23" s="2">
        <v>1155025444</v>
      </c>
      <c r="J23" s="2"/>
      <c r="K23" s="9"/>
      <c r="L23" s="9"/>
      <c r="M23" s="9"/>
      <c r="N23" s="2" t="e">
        <f t="shared" ca="1" si="12"/>
        <v>#N/A</v>
      </c>
      <c r="O23" s="9" t="e">
        <f t="shared" ca="1" si="0"/>
        <v>#N/A</v>
      </c>
      <c r="P23" s="9" t="e">
        <f t="shared" ca="1" si="1"/>
        <v>#N/A</v>
      </c>
      <c r="Q23" s="9" t="e">
        <f t="shared" ca="1" si="2"/>
        <v>#N/A</v>
      </c>
      <c r="R23" s="9" t="e">
        <f t="shared" si="3"/>
        <v>#N/A</v>
      </c>
      <c r="S23" s="9" t="e">
        <f ca="1">IF( OR(ISERROR(O23),SUMIF(O$2:O23,"&lt;&gt;#N/A")=0), NA(), SUMIF(O$2:O23,"&lt;&gt;#N/A") )</f>
        <v>#N/A</v>
      </c>
      <c r="T23" s="9" t="e">
        <f ca="1">IF( OR(ISERROR(P23),SUMIF(P$2:P23,"&lt;&gt;#N/A")=0), NA(), SUMIF(P$2:P23,"&lt;&gt;#N/A") )</f>
        <v>#N/A</v>
      </c>
      <c r="U23" s="9" t="e">
        <f ca="1">IF( OR(ISERROR(Q23),SUMIF(Q$2:Q23,"&lt;&gt;#N/A")=0), NA(), SUMIF(Q$2:Q23,"&lt;&gt;#N/A") )</f>
        <v>#N/A</v>
      </c>
      <c r="V23" s="9" t="e">
        <f>IF( OR(ISERROR(R23),SUMIF(R$2:R23,"&lt;&gt;#N/A")=0), NA(), SUMIF(R$2:R23,"&lt;&gt;#N/A") )</f>
        <v>#N/A</v>
      </c>
      <c r="W23" s="9" t="e">
        <f t="shared" ca="1" si="4"/>
        <v>#N/A</v>
      </c>
      <c r="X23" s="9" t="e">
        <f t="shared" ca="1" si="5"/>
        <v>#N/A</v>
      </c>
      <c r="Y23" s="9" t="e">
        <f t="shared" ca="1" si="6"/>
        <v>#N/A</v>
      </c>
      <c r="Z23" s="9" t="e">
        <f t="shared" si="7"/>
        <v>#N/A</v>
      </c>
      <c r="AA23" s="9" t="e">
        <f ca="1">IF( OR(ISERROR(W23),SUMIF(W$2:W23,"&lt;&gt;#N/A")=0), NA(), SUMIF(W$2:W23,"&lt;&gt;#N/A") )</f>
        <v>#N/A</v>
      </c>
      <c r="AB23" s="9" t="e">
        <f ca="1">IF( OR(ISERROR(X23),SUMIF(X$2:X23,"&lt;&gt;#N/A")=0), NA(), SUMIF(X$2:X23,"&lt;&gt;#N/A") )</f>
        <v>#N/A</v>
      </c>
      <c r="AC23" s="9" t="e">
        <f ca="1">IF( OR(ISERROR(Y23),SUMIF(Y$2:Y23,"&lt;&gt;#N/A")=0), NA(), SUMIF(Y$2:Y23,"&lt;&gt;#N/A") )</f>
        <v>#N/A</v>
      </c>
      <c r="AD23" t="e">
        <f>IF( OR(ISERROR(Z23),SUMIF(Z$2:Z23,"&lt;&gt;#N/A")=0), NA(), SUMIF(Z$2:Z23,"&lt;&gt;#N/A") )</f>
        <v>#N/A</v>
      </c>
      <c r="AE23" s="9" t="e">
        <f t="shared" ca="1" si="11"/>
        <v>#N/A</v>
      </c>
      <c r="AF23" s="9" t="e">
        <f t="shared" ca="1" si="8"/>
        <v>#N/A</v>
      </c>
      <c r="AG23" s="9" t="e">
        <f t="shared" ca="1" si="9"/>
        <v>#N/A</v>
      </c>
      <c r="AH23" s="9" t="e">
        <f t="shared" si="10"/>
        <v>#N/A</v>
      </c>
    </row>
    <row r="24" spans="1:34" x14ac:dyDescent="0.3">
      <c r="A24" s="2"/>
      <c r="C24" s="2"/>
      <c r="D24" s="2">
        <v>43830</v>
      </c>
      <c r="E24" s="2">
        <v>3070111365</v>
      </c>
      <c r="F24">
        <v>206786222</v>
      </c>
      <c r="G24" s="2">
        <v>44196</v>
      </c>
      <c r="H24" s="2">
        <v>5304145900</v>
      </c>
      <c r="I24" s="2">
        <v>1215342457</v>
      </c>
      <c r="J24" s="2"/>
      <c r="K24" s="9"/>
      <c r="L24" s="9"/>
      <c r="M24" s="9"/>
      <c r="N24" s="2" t="e">
        <f t="shared" ca="1" si="12"/>
        <v>#N/A</v>
      </c>
      <c r="O24" s="9" t="e">
        <f t="shared" ca="1" si="0"/>
        <v>#N/A</v>
      </c>
      <c r="P24" s="9" t="e">
        <f t="shared" ca="1" si="1"/>
        <v>#N/A</v>
      </c>
      <c r="Q24" s="9" t="e">
        <f t="shared" ca="1" si="2"/>
        <v>#N/A</v>
      </c>
      <c r="R24" s="9" t="e">
        <f t="shared" si="3"/>
        <v>#N/A</v>
      </c>
      <c r="S24" s="9" t="e">
        <f ca="1">IF( OR(ISERROR(O24),SUMIF(O$2:O24,"&lt;&gt;#N/A")=0), NA(), SUMIF(O$2:O24,"&lt;&gt;#N/A") )</f>
        <v>#N/A</v>
      </c>
      <c r="T24" s="9" t="e">
        <f ca="1">IF( OR(ISERROR(P24),SUMIF(P$2:P24,"&lt;&gt;#N/A")=0), NA(), SUMIF(P$2:P24,"&lt;&gt;#N/A") )</f>
        <v>#N/A</v>
      </c>
      <c r="U24" s="9" t="e">
        <f ca="1">IF( OR(ISERROR(Q24),SUMIF(Q$2:Q24,"&lt;&gt;#N/A")=0), NA(), SUMIF(Q$2:Q24,"&lt;&gt;#N/A") )</f>
        <v>#N/A</v>
      </c>
      <c r="V24" s="9" t="e">
        <f>IF( OR(ISERROR(R24),SUMIF(R$2:R24,"&lt;&gt;#N/A")=0), NA(), SUMIF(R$2:R24,"&lt;&gt;#N/A") )</f>
        <v>#N/A</v>
      </c>
      <c r="W24" s="9" t="e">
        <f t="shared" ca="1" si="4"/>
        <v>#N/A</v>
      </c>
      <c r="X24" s="9" t="e">
        <f t="shared" ca="1" si="5"/>
        <v>#N/A</v>
      </c>
      <c r="Y24" s="9" t="e">
        <f t="shared" ca="1" si="6"/>
        <v>#N/A</v>
      </c>
      <c r="Z24" s="9" t="e">
        <f t="shared" si="7"/>
        <v>#N/A</v>
      </c>
      <c r="AA24" s="9" t="e">
        <f ca="1">IF( OR(ISERROR(W24),SUMIF(W$2:W24,"&lt;&gt;#N/A")=0), NA(), SUMIF(W$2:W24,"&lt;&gt;#N/A") )</f>
        <v>#N/A</v>
      </c>
      <c r="AB24" s="9" t="e">
        <f ca="1">IF( OR(ISERROR(X24),SUMIF(X$2:X24,"&lt;&gt;#N/A")=0), NA(), SUMIF(X$2:X24,"&lt;&gt;#N/A") )</f>
        <v>#N/A</v>
      </c>
      <c r="AC24" s="9" t="e">
        <f ca="1">IF( OR(ISERROR(Y24),SUMIF(Y$2:Y24,"&lt;&gt;#N/A")=0), NA(), SUMIF(Y$2:Y24,"&lt;&gt;#N/A") )</f>
        <v>#N/A</v>
      </c>
      <c r="AD24" t="e">
        <f>IF( OR(ISERROR(Z24),SUMIF(Z$2:Z24,"&lt;&gt;#N/A")=0), NA(), SUMIF(Z$2:Z24,"&lt;&gt;#N/A") )</f>
        <v>#N/A</v>
      </c>
      <c r="AE24" s="9" t="e">
        <f t="shared" ca="1" si="11"/>
        <v>#N/A</v>
      </c>
      <c r="AF24" s="9" t="e">
        <f t="shared" ca="1" si="8"/>
        <v>#N/A</v>
      </c>
      <c r="AG24" s="9" t="e">
        <f t="shared" ca="1" si="9"/>
        <v>#N/A</v>
      </c>
      <c r="AH24" s="9" t="e">
        <f t="shared" si="10"/>
        <v>#N/A</v>
      </c>
    </row>
    <row r="25" spans="1:34" x14ac:dyDescent="0.3">
      <c r="A25" s="2"/>
      <c r="C25" s="2"/>
      <c r="D25" s="2">
        <v>44196</v>
      </c>
      <c r="E25" s="2">
        <v>4156816121</v>
      </c>
      <c r="F25">
        <v>455855515</v>
      </c>
      <c r="G25" s="2">
        <v>44561</v>
      </c>
      <c r="H25" s="2">
        <v>6817599707</v>
      </c>
      <c r="I25" s="2">
        <v>1325478171</v>
      </c>
      <c r="J25" s="2"/>
      <c r="K25" s="9"/>
      <c r="L25" s="9"/>
      <c r="M25" s="2"/>
      <c r="N25" s="2" t="e">
        <f t="shared" ca="1" si="12"/>
        <v>#N/A</v>
      </c>
      <c r="O25" s="9" t="e">
        <f t="shared" ref="O25:O41" ca="1" si="13">IF(O$1&lt;&gt;"",VLOOKUP($N25,$A:$C,2,0),NA())</f>
        <v>#N/A</v>
      </c>
      <c r="P25" s="9" t="e">
        <f t="shared" ref="P25:P41" ca="1" si="14">IF(P$1&lt;&gt;"",VLOOKUP($N25,$D:$F,2,0),NA())</f>
        <v>#N/A</v>
      </c>
      <c r="Q25" s="9" t="e">
        <f t="shared" ref="Q25:Q41" ca="1" si="15">IF(Q$1&lt;&gt;"",VLOOKUP($N25,$G:$I,2,0),NA())</f>
        <v>#N/A</v>
      </c>
      <c r="R25" s="9" t="e">
        <f t="shared" ref="R25:R41" si="16">IF(R$1&lt;&gt;"",VLOOKUP($N25,$J:$L,2,0),NA())</f>
        <v>#N/A</v>
      </c>
      <c r="S25" s="9" t="e">
        <f ca="1">IF( OR(ISERROR(O25),SUMIF(O$2:O25,"&lt;&gt;#N/A")=0), NA(), SUMIF(O$2:O25,"&lt;&gt;#N/A") )</f>
        <v>#N/A</v>
      </c>
      <c r="T25" s="9" t="e">
        <f ca="1">IF( OR(ISERROR(P25),SUMIF(P$2:P25,"&lt;&gt;#N/A")=0), NA(), SUMIF(P$2:P25,"&lt;&gt;#N/A") )</f>
        <v>#N/A</v>
      </c>
      <c r="U25" s="9" t="e">
        <f ca="1">IF( OR(ISERROR(Q25),SUMIF(Q$2:Q25,"&lt;&gt;#N/A")=0), NA(), SUMIF(Q$2:Q25,"&lt;&gt;#N/A") )</f>
        <v>#N/A</v>
      </c>
      <c r="V25" s="9" t="e">
        <f>IF( OR(ISERROR(R25),SUMIF(R$2:R25,"&lt;&gt;#N/A")=0), NA(), SUMIF(R$2:R25,"&lt;&gt;#N/A") )</f>
        <v>#N/A</v>
      </c>
      <c r="W25" s="9" t="e">
        <f t="shared" ref="W25:W41" ca="1" si="17">IF(W$1&lt;&gt;"",VLOOKUP($N25,$A:$C,3,0),NA())</f>
        <v>#N/A</v>
      </c>
      <c r="X25" s="9" t="e">
        <f t="shared" ref="X25:X41" ca="1" si="18">IF(X$1&lt;&gt;"", VLOOKUP($N25,$D:$F,3,0), NA())</f>
        <v>#N/A</v>
      </c>
      <c r="Y25" s="9" t="e">
        <f t="shared" ref="Y25:Y41" ca="1" si="19">IF(Y$1&lt;&gt;"", VLOOKUP($N25,$G:$I,3,0), NA())</f>
        <v>#N/A</v>
      </c>
      <c r="Z25" s="9" t="e">
        <f t="shared" ref="Z25:Z41" si="20">IF(Z$1&lt;&gt;"", VLOOKUP($N25,$J:$L,3,0), NA())</f>
        <v>#N/A</v>
      </c>
      <c r="AA25" s="9" t="e">
        <f ca="1">IF( OR(ISERROR(W25),SUMIF(W$2:W25,"&lt;&gt;#N/A")=0), NA(), SUMIF(W$2:W25,"&lt;&gt;#N/A") )</f>
        <v>#N/A</v>
      </c>
      <c r="AB25" s="9" t="e">
        <f ca="1">IF( OR(ISERROR(X25),SUMIF(X$2:X25,"&lt;&gt;#N/A")=0), NA(), SUMIF(X$2:X25,"&lt;&gt;#N/A") )</f>
        <v>#N/A</v>
      </c>
      <c r="AC25" s="9" t="e">
        <f ca="1">IF( OR(ISERROR(Y25),SUMIF(Y$2:Y25,"&lt;&gt;#N/A")=0), NA(), SUMIF(Y$2:Y25,"&lt;&gt;#N/A") )</f>
        <v>#N/A</v>
      </c>
      <c r="AD25" t="e">
        <f>IF( OR(ISERROR(Z25),SUMIF(Z$2:Z25,"&lt;&gt;#N/A")=0), NA(), SUMIF(Z$2:Z25,"&lt;&gt;#N/A") )</f>
        <v>#N/A</v>
      </c>
      <c r="AE25" s="9" t="e">
        <f t="shared" ref="AE25:AE41" ca="1" si="21">W25/O25*100</f>
        <v>#N/A</v>
      </c>
      <c r="AF25" s="9" t="e">
        <f t="shared" ref="AF25:AF41" ca="1" si="22">X25/P25*100</f>
        <v>#N/A</v>
      </c>
      <c r="AG25" s="9" t="e">
        <f t="shared" ref="AG25:AG41" ca="1" si="23">Y25/Q25*100</f>
        <v>#N/A</v>
      </c>
      <c r="AH25" s="9" t="e">
        <f t="shared" ref="AH25:AH41" si="24">Z25/R25*100</f>
        <v>#N/A</v>
      </c>
    </row>
    <row r="26" spans="1:34" x14ac:dyDescent="0.3">
      <c r="A26" s="2"/>
      <c r="C26" s="2"/>
      <c r="D26" s="2">
        <v>44561</v>
      </c>
      <c r="E26" s="2">
        <v>6136669168</v>
      </c>
      <c r="F26">
        <v>594916913</v>
      </c>
      <c r="G26" s="2"/>
      <c r="H26" s="2"/>
      <c r="I26" s="2"/>
      <c r="J26" s="2"/>
      <c r="K26" s="9"/>
      <c r="L26" s="9"/>
      <c r="M26" s="2"/>
      <c r="N26" s="2" t="e">
        <f t="shared" ca="1" si="12"/>
        <v>#N/A</v>
      </c>
      <c r="O26" s="9" t="e">
        <f t="shared" ca="1" si="13"/>
        <v>#N/A</v>
      </c>
      <c r="P26" s="9" t="e">
        <f t="shared" ca="1" si="14"/>
        <v>#N/A</v>
      </c>
      <c r="Q26" s="9" t="e">
        <f t="shared" ca="1" si="15"/>
        <v>#N/A</v>
      </c>
      <c r="R26" s="9" t="e">
        <f t="shared" si="16"/>
        <v>#N/A</v>
      </c>
      <c r="S26" s="9" t="e">
        <f ca="1">IF( OR(ISERROR(O26),SUMIF(O$2:O26,"&lt;&gt;#N/A")=0), NA(), SUMIF(O$2:O26,"&lt;&gt;#N/A") )</f>
        <v>#N/A</v>
      </c>
      <c r="T26" s="9" t="e">
        <f ca="1">IF( OR(ISERROR(P26),SUMIF(P$2:P26,"&lt;&gt;#N/A")=0), NA(), SUMIF(P$2:P26,"&lt;&gt;#N/A") )</f>
        <v>#N/A</v>
      </c>
      <c r="U26" s="9" t="e">
        <f ca="1">IF( OR(ISERROR(Q26),SUMIF(Q$2:Q26,"&lt;&gt;#N/A")=0), NA(), SUMIF(Q$2:Q26,"&lt;&gt;#N/A") )</f>
        <v>#N/A</v>
      </c>
      <c r="V26" s="9" t="e">
        <f>IF( OR(ISERROR(R26),SUMIF(R$2:R26,"&lt;&gt;#N/A")=0), NA(), SUMIF(R$2:R26,"&lt;&gt;#N/A") )</f>
        <v>#N/A</v>
      </c>
      <c r="W26" s="9" t="e">
        <f t="shared" ca="1" si="17"/>
        <v>#N/A</v>
      </c>
      <c r="X26" s="9" t="e">
        <f t="shared" ca="1" si="18"/>
        <v>#N/A</v>
      </c>
      <c r="Y26" s="9" t="e">
        <f t="shared" ca="1" si="19"/>
        <v>#N/A</v>
      </c>
      <c r="Z26" s="9" t="e">
        <f t="shared" si="20"/>
        <v>#N/A</v>
      </c>
      <c r="AA26" s="9" t="e">
        <f ca="1">IF( OR(ISERROR(W26),SUMIF(W$2:W26,"&lt;&gt;#N/A")=0), NA(), SUMIF(W$2:W26,"&lt;&gt;#N/A") )</f>
        <v>#N/A</v>
      </c>
      <c r="AB26" s="9" t="e">
        <f ca="1">IF( OR(ISERROR(X26),SUMIF(X$2:X26,"&lt;&gt;#N/A")=0), NA(), SUMIF(X$2:X26,"&lt;&gt;#N/A") )</f>
        <v>#N/A</v>
      </c>
      <c r="AC26" s="9" t="e">
        <f ca="1">IF( OR(ISERROR(Y26),SUMIF(Y$2:Y26,"&lt;&gt;#N/A")=0), NA(), SUMIF(Y$2:Y26,"&lt;&gt;#N/A") )</f>
        <v>#N/A</v>
      </c>
      <c r="AD26" t="e">
        <f>IF( OR(ISERROR(Z26),SUMIF(Z$2:Z26,"&lt;&gt;#N/A")=0), NA(), SUMIF(Z$2:Z26,"&lt;&gt;#N/A") )</f>
        <v>#N/A</v>
      </c>
      <c r="AE26" s="9" t="e">
        <f t="shared" ca="1" si="21"/>
        <v>#N/A</v>
      </c>
      <c r="AF26" s="9" t="e">
        <f t="shared" ca="1" si="22"/>
        <v>#N/A</v>
      </c>
      <c r="AG26" s="9" t="e">
        <f t="shared" ca="1" si="23"/>
        <v>#N/A</v>
      </c>
      <c r="AH26" s="9" t="e">
        <f t="shared" si="24"/>
        <v>#N/A</v>
      </c>
    </row>
    <row r="27" spans="1:34" x14ac:dyDescent="0.3">
      <c r="A27" s="2"/>
      <c r="C27" s="2"/>
      <c r="D27" s="2"/>
      <c r="E27" s="2"/>
      <c r="G27" s="2"/>
      <c r="H27" s="2"/>
      <c r="I27" s="2"/>
      <c r="J27" s="2"/>
      <c r="K27" s="9"/>
      <c r="L27" s="9"/>
      <c r="M27" s="2"/>
      <c r="N27" s="2" t="e">
        <f t="shared" ca="1" si="12"/>
        <v>#N/A</v>
      </c>
      <c r="O27" s="9" t="e">
        <f t="shared" ca="1" si="13"/>
        <v>#N/A</v>
      </c>
      <c r="P27" s="9" t="e">
        <f t="shared" ca="1" si="14"/>
        <v>#N/A</v>
      </c>
      <c r="Q27" s="9" t="e">
        <f t="shared" ca="1" si="15"/>
        <v>#N/A</v>
      </c>
      <c r="R27" s="9" t="e">
        <f t="shared" si="16"/>
        <v>#N/A</v>
      </c>
      <c r="S27" s="9" t="e">
        <f ca="1">IF( OR(ISERROR(O27),SUMIF(O$2:O27,"&lt;&gt;#N/A")=0), NA(), SUMIF(O$2:O27,"&lt;&gt;#N/A") )</f>
        <v>#N/A</v>
      </c>
      <c r="T27" s="9" t="e">
        <f ca="1">IF( OR(ISERROR(P27),SUMIF(P$2:P27,"&lt;&gt;#N/A")=0), NA(), SUMIF(P$2:P27,"&lt;&gt;#N/A") )</f>
        <v>#N/A</v>
      </c>
      <c r="U27" s="9" t="e">
        <f ca="1">IF( OR(ISERROR(Q27),SUMIF(Q$2:Q27,"&lt;&gt;#N/A")=0), NA(), SUMIF(Q$2:Q27,"&lt;&gt;#N/A") )</f>
        <v>#N/A</v>
      </c>
      <c r="V27" s="9" t="e">
        <f>IF( OR(ISERROR(R27),SUMIF(R$2:R27,"&lt;&gt;#N/A")=0), NA(), SUMIF(R$2:R27,"&lt;&gt;#N/A") )</f>
        <v>#N/A</v>
      </c>
      <c r="W27" s="9" t="e">
        <f t="shared" ca="1" si="17"/>
        <v>#N/A</v>
      </c>
      <c r="X27" s="9" t="e">
        <f t="shared" ca="1" si="18"/>
        <v>#N/A</v>
      </c>
      <c r="Y27" s="9" t="e">
        <f t="shared" ca="1" si="19"/>
        <v>#N/A</v>
      </c>
      <c r="Z27" s="9" t="e">
        <f t="shared" si="20"/>
        <v>#N/A</v>
      </c>
      <c r="AA27" s="9" t="e">
        <f ca="1">IF( OR(ISERROR(W27),SUMIF(W$2:W27,"&lt;&gt;#N/A")=0), NA(), SUMIF(W$2:W27,"&lt;&gt;#N/A") )</f>
        <v>#N/A</v>
      </c>
      <c r="AB27" s="9" t="e">
        <f ca="1">IF( OR(ISERROR(X27),SUMIF(X$2:X27,"&lt;&gt;#N/A")=0), NA(), SUMIF(X$2:X27,"&lt;&gt;#N/A") )</f>
        <v>#N/A</v>
      </c>
      <c r="AC27" s="9" t="e">
        <f ca="1">IF( OR(ISERROR(Y27),SUMIF(Y$2:Y27,"&lt;&gt;#N/A")=0), NA(), SUMIF(Y$2:Y27,"&lt;&gt;#N/A") )</f>
        <v>#N/A</v>
      </c>
      <c r="AD27" t="e">
        <f>IF( OR(ISERROR(Z27),SUMIF(Z$2:Z27,"&lt;&gt;#N/A")=0), NA(), SUMIF(Z$2:Z27,"&lt;&gt;#N/A") )</f>
        <v>#N/A</v>
      </c>
      <c r="AE27" s="9" t="e">
        <f t="shared" ca="1" si="21"/>
        <v>#N/A</v>
      </c>
      <c r="AF27" s="9" t="e">
        <f t="shared" ca="1" si="22"/>
        <v>#N/A</v>
      </c>
      <c r="AG27" s="9" t="e">
        <f t="shared" ca="1" si="23"/>
        <v>#N/A</v>
      </c>
      <c r="AH27" s="9" t="e">
        <f t="shared" si="24"/>
        <v>#N/A</v>
      </c>
    </row>
    <row r="28" spans="1:34" x14ac:dyDescent="0.3">
      <c r="A28" s="2"/>
      <c r="C28" s="2"/>
      <c r="D28" s="2"/>
      <c r="E28" s="2"/>
      <c r="G28" s="2"/>
      <c r="H28" s="2"/>
      <c r="I28" s="2"/>
      <c r="J28" s="2"/>
      <c r="K28" s="9"/>
      <c r="L28" s="9"/>
      <c r="M28" s="2"/>
      <c r="N28" s="2" t="e">
        <f t="shared" ca="1" si="12"/>
        <v>#N/A</v>
      </c>
      <c r="O28" s="9" t="e">
        <f t="shared" ca="1" si="13"/>
        <v>#N/A</v>
      </c>
      <c r="P28" s="9" t="e">
        <f t="shared" ca="1" si="14"/>
        <v>#N/A</v>
      </c>
      <c r="Q28" s="9" t="e">
        <f t="shared" ca="1" si="15"/>
        <v>#N/A</v>
      </c>
      <c r="R28" s="9" t="e">
        <f t="shared" si="16"/>
        <v>#N/A</v>
      </c>
      <c r="S28" s="9" t="e">
        <f ca="1">IF( OR(ISERROR(O28),SUMIF(O$2:O28,"&lt;&gt;#N/A")=0), NA(), SUMIF(O$2:O28,"&lt;&gt;#N/A") )</f>
        <v>#N/A</v>
      </c>
      <c r="T28" s="9" t="e">
        <f ca="1">IF( OR(ISERROR(P28),SUMIF(P$2:P28,"&lt;&gt;#N/A")=0), NA(), SUMIF(P$2:P28,"&lt;&gt;#N/A") )</f>
        <v>#N/A</v>
      </c>
      <c r="U28" s="9" t="e">
        <f ca="1">IF( OR(ISERROR(Q28),SUMIF(Q$2:Q28,"&lt;&gt;#N/A")=0), NA(), SUMIF(Q$2:Q28,"&lt;&gt;#N/A") )</f>
        <v>#N/A</v>
      </c>
      <c r="V28" s="9" t="e">
        <f>IF( OR(ISERROR(R28),SUMIF(R$2:R28,"&lt;&gt;#N/A")=0), NA(), SUMIF(R$2:R28,"&lt;&gt;#N/A") )</f>
        <v>#N/A</v>
      </c>
      <c r="W28" s="9" t="e">
        <f t="shared" ca="1" si="17"/>
        <v>#N/A</v>
      </c>
      <c r="X28" s="9" t="e">
        <f t="shared" ca="1" si="18"/>
        <v>#N/A</v>
      </c>
      <c r="Y28" s="9" t="e">
        <f t="shared" ca="1" si="19"/>
        <v>#N/A</v>
      </c>
      <c r="Z28" s="9" t="e">
        <f t="shared" si="20"/>
        <v>#N/A</v>
      </c>
      <c r="AA28" s="9" t="e">
        <f ca="1">IF( OR(ISERROR(W28),SUMIF(W$2:W28,"&lt;&gt;#N/A")=0), NA(), SUMIF(W$2:W28,"&lt;&gt;#N/A") )</f>
        <v>#N/A</v>
      </c>
      <c r="AB28" s="9" t="e">
        <f ca="1">IF( OR(ISERROR(X28),SUMIF(X$2:X28,"&lt;&gt;#N/A")=0), NA(), SUMIF(X$2:X28,"&lt;&gt;#N/A") )</f>
        <v>#N/A</v>
      </c>
      <c r="AC28" s="9" t="e">
        <f ca="1">IF( OR(ISERROR(Y28),SUMIF(Y$2:Y28,"&lt;&gt;#N/A")=0), NA(), SUMIF(Y$2:Y28,"&lt;&gt;#N/A") )</f>
        <v>#N/A</v>
      </c>
      <c r="AD28" t="e">
        <f>IF( OR(ISERROR(Z28),SUMIF(Z$2:Z28,"&lt;&gt;#N/A")=0), NA(), SUMIF(Z$2:Z28,"&lt;&gt;#N/A") )</f>
        <v>#N/A</v>
      </c>
      <c r="AE28" s="9" t="e">
        <f t="shared" ca="1" si="21"/>
        <v>#N/A</v>
      </c>
      <c r="AF28" s="9" t="e">
        <f t="shared" ca="1" si="22"/>
        <v>#N/A</v>
      </c>
      <c r="AG28" s="9" t="e">
        <f t="shared" ca="1" si="23"/>
        <v>#N/A</v>
      </c>
      <c r="AH28" s="9" t="e">
        <f t="shared" si="24"/>
        <v>#N/A</v>
      </c>
    </row>
    <row r="29" spans="1:34" x14ac:dyDescent="0.3">
      <c r="A29" s="2"/>
      <c r="C29" s="2"/>
      <c r="D29" s="2"/>
      <c r="E29" s="2"/>
      <c r="G29" s="2"/>
      <c r="H29" s="2"/>
      <c r="I29" s="2"/>
      <c r="J29" s="2"/>
      <c r="K29" s="9"/>
      <c r="L29" s="9"/>
      <c r="M29" s="2"/>
      <c r="N29" s="2" t="e">
        <f t="shared" ca="1" si="12"/>
        <v>#N/A</v>
      </c>
      <c r="O29" s="9" t="e">
        <f t="shared" ca="1" si="13"/>
        <v>#N/A</v>
      </c>
      <c r="P29" s="9" t="e">
        <f t="shared" ca="1" si="14"/>
        <v>#N/A</v>
      </c>
      <c r="Q29" s="9" t="e">
        <f t="shared" ca="1" si="15"/>
        <v>#N/A</v>
      </c>
      <c r="R29" s="9" t="e">
        <f t="shared" si="16"/>
        <v>#N/A</v>
      </c>
      <c r="S29" s="9" t="e">
        <f ca="1">IF( OR(ISERROR(O29),SUMIF(O$2:O29,"&lt;&gt;#N/A")=0), NA(), SUMIF(O$2:O29,"&lt;&gt;#N/A") )</f>
        <v>#N/A</v>
      </c>
      <c r="T29" s="9" t="e">
        <f ca="1">IF( OR(ISERROR(P29),SUMIF(P$2:P29,"&lt;&gt;#N/A")=0), NA(), SUMIF(P$2:P29,"&lt;&gt;#N/A") )</f>
        <v>#N/A</v>
      </c>
      <c r="U29" s="9" t="e">
        <f ca="1">IF( OR(ISERROR(Q29),SUMIF(Q$2:Q29,"&lt;&gt;#N/A")=0), NA(), SUMIF(Q$2:Q29,"&lt;&gt;#N/A") )</f>
        <v>#N/A</v>
      </c>
      <c r="V29" s="9" t="e">
        <f>IF( OR(ISERROR(R29),SUMIF(R$2:R29,"&lt;&gt;#N/A")=0), NA(), SUMIF(R$2:R29,"&lt;&gt;#N/A") )</f>
        <v>#N/A</v>
      </c>
      <c r="W29" s="9" t="e">
        <f t="shared" ca="1" si="17"/>
        <v>#N/A</v>
      </c>
      <c r="X29" s="9" t="e">
        <f t="shared" ca="1" si="18"/>
        <v>#N/A</v>
      </c>
      <c r="Y29" s="9" t="e">
        <f t="shared" ca="1" si="19"/>
        <v>#N/A</v>
      </c>
      <c r="Z29" s="9" t="e">
        <f t="shared" si="20"/>
        <v>#N/A</v>
      </c>
      <c r="AA29" s="9" t="e">
        <f ca="1">IF( OR(ISERROR(W29),SUMIF(W$2:W29,"&lt;&gt;#N/A")=0), NA(), SUMIF(W$2:W29,"&lt;&gt;#N/A") )</f>
        <v>#N/A</v>
      </c>
      <c r="AB29" s="9" t="e">
        <f ca="1">IF( OR(ISERROR(X29),SUMIF(X$2:X29,"&lt;&gt;#N/A")=0), NA(), SUMIF(X$2:X29,"&lt;&gt;#N/A") )</f>
        <v>#N/A</v>
      </c>
      <c r="AC29" s="9" t="e">
        <f ca="1">IF( OR(ISERROR(Y29),SUMIF(Y$2:Y29,"&lt;&gt;#N/A")=0), NA(), SUMIF(Y$2:Y29,"&lt;&gt;#N/A") )</f>
        <v>#N/A</v>
      </c>
      <c r="AD29" t="e">
        <f>IF( OR(ISERROR(Z29),SUMIF(Z$2:Z29,"&lt;&gt;#N/A")=0), NA(), SUMIF(Z$2:Z29,"&lt;&gt;#N/A") )</f>
        <v>#N/A</v>
      </c>
      <c r="AE29" s="9" t="e">
        <f t="shared" ca="1" si="21"/>
        <v>#N/A</v>
      </c>
      <c r="AF29" s="9" t="e">
        <f t="shared" ca="1" si="22"/>
        <v>#N/A</v>
      </c>
      <c r="AG29" s="9" t="e">
        <f t="shared" ca="1" si="23"/>
        <v>#N/A</v>
      </c>
      <c r="AH29" s="9" t="e">
        <f t="shared" si="24"/>
        <v>#N/A</v>
      </c>
    </row>
    <row r="30" spans="1:34" x14ac:dyDescent="0.3">
      <c r="A30" s="2"/>
      <c r="C30" s="2"/>
      <c r="D30" s="2"/>
      <c r="E30" s="2"/>
      <c r="G30" s="2"/>
      <c r="H30" s="2"/>
      <c r="I30" s="2"/>
      <c r="J30" s="2"/>
      <c r="K30" s="9"/>
      <c r="L30" s="9"/>
      <c r="M30" s="2"/>
      <c r="N30" s="2" t="e">
        <f t="shared" ca="1" si="12"/>
        <v>#N/A</v>
      </c>
      <c r="O30" s="9" t="e">
        <f t="shared" ca="1" si="13"/>
        <v>#N/A</v>
      </c>
      <c r="P30" s="9" t="e">
        <f t="shared" ca="1" si="14"/>
        <v>#N/A</v>
      </c>
      <c r="Q30" s="9" t="e">
        <f t="shared" ca="1" si="15"/>
        <v>#N/A</v>
      </c>
      <c r="R30" s="9" t="e">
        <f t="shared" si="16"/>
        <v>#N/A</v>
      </c>
      <c r="S30" s="9" t="e">
        <f ca="1">IF( OR(ISERROR(O30),SUMIF(O$2:O30,"&lt;&gt;#N/A")=0), NA(), SUMIF(O$2:O30,"&lt;&gt;#N/A") )</f>
        <v>#N/A</v>
      </c>
      <c r="T30" s="9" t="e">
        <f ca="1">IF( OR(ISERROR(P30),SUMIF(P$2:P30,"&lt;&gt;#N/A")=0), NA(), SUMIF(P$2:P30,"&lt;&gt;#N/A") )</f>
        <v>#N/A</v>
      </c>
      <c r="U30" s="9" t="e">
        <f ca="1">IF( OR(ISERROR(Q30),SUMIF(Q$2:Q30,"&lt;&gt;#N/A")=0), NA(), SUMIF(Q$2:Q30,"&lt;&gt;#N/A") )</f>
        <v>#N/A</v>
      </c>
      <c r="V30" s="9" t="e">
        <f>IF( OR(ISERROR(R30),SUMIF(R$2:R30,"&lt;&gt;#N/A")=0), NA(), SUMIF(R$2:R30,"&lt;&gt;#N/A") )</f>
        <v>#N/A</v>
      </c>
      <c r="W30" s="9" t="e">
        <f t="shared" ca="1" si="17"/>
        <v>#N/A</v>
      </c>
      <c r="X30" s="9" t="e">
        <f t="shared" ca="1" si="18"/>
        <v>#N/A</v>
      </c>
      <c r="Y30" s="9" t="e">
        <f t="shared" ca="1" si="19"/>
        <v>#N/A</v>
      </c>
      <c r="Z30" s="9" t="e">
        <f t="shared" si="20"/>
        <v>#N/A</v>
      </c>
      <c r="AA30" s="9" t="e">
        <f ca="1">IF( OR(ISERROR(W30),SUMIF(W$2:W30,"&lt;&gt;#N/A")=0), NA(), SUMIF(W$2:W30,"&lt;&gt;#N/A") )</f>
        <v>#N/A</v>
      </c>
      <c r="AB30" s="9" t="e">
        <f ca="1">IF( OR(ISERROR(X30),SUMIF(X$2:X30,"&lt;&gt;#N/A")=0), NA(), SUMIF(X$2:X30,"&lt;&gt;#N/A") )</f>
        <v>#N/A</v>
      </c>
      <c r="AC30" s="9" t="e">
        <f ca="1">IF( OR(ISERROR(Y30),SUMIF(Y$2:Y30,"&lt;&gt;#N/A")=0), NA(), SUMIF(Y$2:Y30,"&lt;&gt;#N/A") )</f>
        <v>#N/A</v>
      </c>
      <c r="AD30" t="e">
        <f>IF( OR(ISERROR(Z30),SUMIF(Z$2:Z30,"&lt;&gt;#N/A")=0), NA(), SUMIF(Z$2:Z30,"&lt;&gt;#N/A") )</f>
        <v>#N/A</v>
      </c>
      <c r="AE30" s="9" t="e">
        <f t="shared" ca="1" si="21"/>
        <v>#N/A</v>
      </c>
      <c r="AF30" s="9" t="e">
        <f t="shared" ca="1" si="22"/>
        <v>#N/A</v>
      </c>
      <c r="AG30" s="9" t="e">
        <f t="shared" ca="1" si="23"/>
        <v>#N/A</v>
      </c>
      <c r="AH30" s="9" t="e">
        <f t="shared" si="24"/>
        <v>#N/A</v>
      </c>
    </row>
    <row r="31" spans="1:34" x14ac:dyDescent="0.3">
      <c r="A31" s="2"/>
      <c r="C31" s="2"/>
      <c r="D31" s="2"/>
      <c r="E31" s="2"/>
      <c r="G31" s="2"/>
      <c r="H31" s="2"/>
      <c r="I31" s="2"/>
      <c r="J31" s="2"/>
      <c r="K31" s="9"/>
      <c r="L31" s="9"/>
      <c r="M31" s="2"/>
      <c r="N31" s="2" t="e">
        <f t="shared" ca="1" si="12"/>
        <v>#N/A</v>
      </c>
      <c r="O31" s="9" t="e">
        <f t="shared" ca="1" si="13"/>
        <v>#N/A</v>
      </c>
      <c r="P31" s="9" t="e">
        <f t="shared" ca="1" si="14"/>
        <v>#N/A</v>
      </c>
      <c r="Q31" s="9" t="e">
        <f t="shared" ca="1" si="15"/>
        <v>#N/A</v>
      </c>
      <c r="R31" s="9" t="e">
        <f t="shared" si="16"/>
        <v>#N/A</v>
      </c>
      <c r="S31" s="9" t="e">
        <f ca="1">IF( OR(ISERROR(O31),SUMIF(O$2:O31,"&lt;&gt;#N/A")=0), NA(), SUMIF(O$2:O31,"&lt;&gt;#N/A") )</f>
        <v>#N/A</v>
      </c>
      <c r="T31" s="9" t="e">
        <f ca="1">IF( OR(ISERROR(P31),SUMIF(P$2:P31,"&lt;&gt;#N/A")=0), NA(), SUMIF(P$2:P31,"&lt;&gt;#N/A") )</f>
        <v>#N/A</v>
      </c>
      <c r="U31" s="9" t="e">
        <f ca="1">IF( OR(ISERROR(Q31),SUMIF(Q$2:Q31,"&lt;&gt;#N/A")=0), NA(), SUMIF(Q$2:Q31,"&lt;&gt;#N/A") )</f>
        <v>#N/A</v>
      </c>
      <c r="V31" s="9" t="e">
        <f>IF( OR(ISERROR(R31),SUMIF(R$2:R31,"&lt;&gt;#N/A")=0), NA(), SUMIF(R$2:R31,"&lt;&gt;#N/A") )</f>
        <v>#N/A</v>
      </c>
      <c r="W31" s="9" t="e">
        <f t="shared" ca="1" si="17"/>
        <v>#N/A</v>
      </c>
      <c r="X31" s="9" t="e">
        <f t="shared" ca="1" si="18"/>
        <v>#N/A</v>
      </c>
      <c r="Y31" s="9" t="e">
        <f t="shared" ca="1" si="19"/>
        <v>#N/A</v>
      </c>
      <c r="Z31" s="9" t="e">
        <f t="shared" si="20"/>
        <v>#N/A</v>
      </c>
      <c r="AA31" s="9" t="e">
        <f ca="1">IF( OR(ISERROR(W31),SUMIF(W$2:W31,"&lt;&gt;#N/A")=0), NA(), SUMIF(W$2:W31,"&lt;&gt;#N/A") )</f>
        <v>#N/A</v>
      </c>
      <c r="AB31" s="9" t="e">
        <f ca="1">IF( OR(ISERROR(X31),SUMIF(X$2:X31,"&lt;&gt;#N/A")=0), NA(), SUMIF(X$2:X31,"&lt;&gt;#N/A") )</f>
        <v>#N/A</v>
      </c>
      <c r="AC31" s="9" t="e">
        <f ca="1">IF( OR(ISERROR(Y31),SUMIF(Y$2:Y31,"&lt;&gt;#N/A")=0), NA(), SUMIF(Y$2:Y31,"&lt;&gt;#N/A") )</f>
        <v>#N/A</v>
      </c>
      <c r="AD31" t="e">
        <f>IF( OR(ISERROR(Z31),SUMIF(Z$2:Z31,"&lt;&gt;#N/A")=0), NA(), SUMIF(Z$2:Z31,"&lt;&gt;#N/A") )</f>
        <v>#N/A</v>
      </c>
      <c r="AE31" s="9" t="e">
        <f t="shared" ca="1" si="21"/>
        <v>#N/A</v>
      </c>
      <c r="AF31" s="9" t="e">
        <f t="shared" ca="1" si="22"/>
        <v>#N/A</v>
      </c>
      <c r="AG31" s="9" t="e">
        <f t="shared" ca="1" si="23"/>
        <v>#N/A</v>
      </c>
      <c r="AH31" s="9" t="e">
        <f t="shared" si="24"/>
        <v>#N/A</v>
      </c>
    </row>
    <row r="32" spans="1:34" x14ac:dyDescent="0.3">
      <c r="A32" s="2"/>
      <c r="C32" s="2"/>
      <c r="D32" s="2"/>
      <c r="E32" s="2"/>
      <c r="G32" s="2"/>
      <c r="H32" s="2"/>
      <c r="I32" s="2"/>
      <c r="J32" s="2"/>
      <c r="K32" s="9"/>
      <c r="L32" s="9"/>
      <c r="M32" s="2"/>
      <c r="N32" s="2" t="e">
        <f t="shared" ca="1" si="12"/>
        <v>#N/A</v>
      </c>
      <c r="O32" s="9" t="e">
        <f t="shared" ca="1" si="13"/>
        <v>#N/A</v>
      </c>
      <c r="P32" s="9" t="e">
        <f t="shared" ca="1" si="14"/>
        <v>#N/A</v>
      </c>
      <c r="Q32" s="9" t="e">
        <f t="shared" ca="1" si="15"/>
        <v>#N/A</v>
      </c>
      <c r="R32" s="9" t="e">
        <f t="shared" si="16"/>
        <v>#N/A</v>
      </c>
      <c r="S32" s="9" t="e">
        <f ca="1">IF( OR(ISERROR(O32),SUMIF(O$2:O32,"&lt;&gt;#N/A")=0), NA(), SUMIF(O$2:O32,"&lt;&gt;#N/A") )</f>
        <v>#N/A</v>
      </c>
      <c r="T32" s="9" t="e">
        <f ca="1">IF( OR(ISERROR(P32),SUMIF(P$2:P32,"&lt;&gt;#N/A")=0), NA(), SUMIF(P$2:P32,"&lt;&gt;#N/A") )</f>
        <v>#N/A</v>
      </c>
      <c r="U32" s="9" t="e">
        <f ca="1">IF( OR(ISERROR(Q32),SUMIF(Q$2:Q32,"&lt;&gt;#N/A")=0), NA(), SUMIF(Q$2:Q32,"&lt;&gt;#N/A") )</f>
        <v>#N/A</v>
      </c>
      <c r="V32" s="9" t="e">
        <f>IF( OR(ISERROR(R32),SUMIF(R$2:R32,"&lt;&gt;#N/A")=0), NA(), SUMIF(R$2:R32,"&lt;&gt;#N/A") )</f>
        <v>#N/A</v>
      </c>
      <c r="W32" s="9" t="e">
        <f t="shared" ca="1" si="17"/>
        <v>#N/A</v>
      </c>
      <c r="X32" s="9" t="e">
        <f t="shared" ca="1" si="18"/>
        <v>#N/A</v>
      </c>
      <c r="Y32" s="9" t="e">
        <f t="shared" ca="1" si="19"/>
        <v>#N/A</v>
      </c>
      <c r="Z32" s="9" t="e">
        <f t="shared" si="20"/>
        <v>#N/A</v>
      </c>
      <c r="AA32" s="9" t="e">
        <f ca="1">IF( OR(ISERROR(W32),SUMIF(W$2:W32,"&lt;&gt;#N/A")=0), NA(), SUMIF(W$2:W32,"&lt;&gt;#N/A") )</f>
        <v>#N/A</v>
      </c>
      <c r="AB32" s="9" t="e">
        <f ca="1">IF( OR(ISERROR(X32),SUMIF(X$2:X32,"&lt;&gt;#N/A")=0), NA(), SUMIF(X$2:X32,"&lt;&gt;#N/A") )</f>
        <v>#N/A</v>
      </c>
      <c r="AC32" s="9" t="e">
        <f ca="1">IF( OR(ISERROR(Y32),SUMIF(Y$2:Y32,"&lt;&gt;#N/A")=0), NA(), SUMIF(Y$2:Y32,"&lt;&gt;#N/A") )</f>
        <v>#N/A</v>
      </c>
      <c r="AD32" t="e">
        <f>IF( OR(ISERROR(Z32),SUMIF(Z$2:Z32,"&lt;&gt;#N/A")=0), NA(), SUMIF(Z$2:Z32,"&lt;&gt;#N/A") )</f>
        <v>#N/A</v>
      </c>
      <c r="AE32" s="9" t="e">
        <f t="shared" ca="1" si="21"/>
        <v>#N/A</v>
      </c>
      <c r="AF32" s="9" t="e">
        <f t="shared" ca="1" si="22"/>
        <v>#N/A</v>
      </c>
      <c r="AG32" s="9" t="e">
        <f t="shared" ca="1" si="23"/>
        <v>#N/A</v>
      </c>
      <c r="AH32" s="9" t="e">
        <f t="shared" si="24"/>
        <v>#N/A</v>
      </c>
    </row>
    <row r="33" spans="1:34" x14ac:dyDescent="0.3">
      <c r="A33" s="2"/>
      <c r="C33" s="2"/>
      <c r="D33" s="2"/>
      <c r="E33" s="2"/>
      <c r="G33" s="2"/>
      <c r="H33" s="2"/>
      <c r="I33" s="2"/>
      <c r="J33" s="2"/>
      <c r="K33" s="9"/>
      <c r="L33" s="9"/>
      <c r="M33" s="2"/>
      <c r="N33" s="2" t="e">
        <f t="shared" ca="1" si="12"/>
        <v>#N/A</v>
      </c>
      <c r="O33" s="9" t="e">
        <f t="shared" ca="1" si="13"/>
        <v>#N/A</v>
      </c>
      <c r="P33" s="9" t="e">
        <f t="shared" ca="1" si="14"/>
        <v>#N/A</v>
      </c>
      <c r="Q33" s="9" t="e">
        <f t="shared" ca="1" si="15"/>
        <v>#N/A</v>
      </c>
      <c r="R33" s="9" t="e">
        <f t="shared" si="16"/>
        <v>#N/A</v>
      </c>
      <c r="S33" s="9" t="e">
        <f ca="1">IF( OR(ISERROR(O33),SUMIF(O$2:O33,"&lt;&gt;#N/A")=0), NA(), SUMIF(O$2:O33,"&lt;&gt;#N/A") )</f>
        <v>#N/A</v>
      </c>
      <c r="T33" s="9" t="e">
        <f ca="1">IF( OR(ISERROR(P33),SUMIF(P$2:P33,"&lt;&gt;#N/A")=0), NA(), SUMIF(P$2:P33,"&lt;&gt;#N/A") )</f>
        <v>#N/A</v>
      </c>
      <c r="U33" s="9" t="e">
        <f ca="1">IF( OR(ISERROR(Q33),SUMIF(Q$2:Q33,"&lt;&gt;#N/A")=0), NA(), SUMIF(Q$2:Q33,"&lt;&gt;#N/A") )</f>
        <v>#N/A</v>
      </c>
      <c r="V33" s="9" t="e">
        <f>IF( OR(ISERROR(R33),SUMIF(R$2:R33,"&lt;&gt;#N/A")=0), NA(), SUMIF(R$2:R33,"&lt;&gt;#N/A") )</f>
        <v>#N/A</v>
      </c>
      <c r="W33" s="9" t="e">
        <f t="shared" ca="1" si="17"/>
        <v>#N/A</v>
      </c>
      <c r="X33" s="9" t="e">
        <f t="shared" ca="1" si="18"/>
        <v>#N/A</v>
      </c>
      <c r="Y33" s="9" t="e">
        <f t="shared" ca="1" si="19"/>
        <v>#N/A</v>
      </c>
      <c r="Z33" s="9" t="e">
        <f t="shared" si="20"/>
        <v>#N/A</v>
      </c>
      <c r="AA33" s="9" t="e">
        <f ca="1">IF( OR(ISERROR(W33),SUMIF(W$2:W33,"&lt;&gt;#N/A")=0), NA(), SUMIF(W$2:W33,"&lt;&gt;#N/A") )</f>
        <v>#N/A</v>
      </c>
      <c r="AB33" s="9" t="e">
        <f ca="1">IF( OR(ISERROR(X33),SUMIF(X$2:X33,"&lt;&gt;#N/A")=0), NA(), SUMIF(X$2:X33,"&lt;&gt;#N/A") )</f>
        <v>#N/A</v>
      </c>
      <c r="AC33" s="9" t="e">
        <f ca="1">IF( OR(ISERROR(Y33),SUMIF(Y$2:Y33,"&lt;&gt;#N/A")=0), NA(), SUMIF(Y$2:Y33,"&lt;&gt;#N/A") )</f>
        <v>#N/A</v>
      </c>
      <c r="AD33" t="e">
        <f>IF( OR(ISERROR(Z33),SUMIF(Z$2:Z33,"&lt;&gt;#N/A")=0), NA(), SUMIF(Z$2:Z33,"&lt;&gt;#N/A") )</f>
        <v>#N/A</v>
      </c>
      <c r="AE33" s="9" t="e">
        <f t="shared" ca="1" si="21"/>
        <v>#N/A</v>
      </c>
      <c r="AF33" s="9" t="e">
        <f t="shared" ca="1" si="22"/>
        <v>#N/A</v>
      </c>
      <c r="AG33" s="9" t="e">
        <f t="shared" ca="1" si="23"/>
        <v>#N/A</v>
      </c>
      <c r="AH33" s="9" t="e">
        <f t="shared" si="24"/>
        <v>#N/A</v>
      </c>
    </row>
    <row r="34" spans="1:34" x14ac:dyDescent="0.3">
      <c r="A34" s="2"/>
      <c r="C34" s="2"/>
      <c r="D34" s="2"/>
      <c r="E34" s="2"/>
      <c r="G34" s="2"/>
      <c r="H34" s="2"/>
      <c r="I34" s="2"/>
      <c r="J34" s="2"/>
      <c r="K34" s="2"/>
      <c r="L34" s="2"/>
      <c r="M34" s="2"/>
      <c r="N34" s="2" t="e">
        <f t="shared" ca="1" si="12"/>
        <v>#N/A</v>
      </c>
      <c r="O34" s="9" t="e">
        <f t="shared" ca="1" si="13"/>
        <v>#N/A</v>
      </c>
      <c r="P34" s="9" t="e">
        <f t="shared" ca="1" si="14"/>
        <v>#N/A</v>
      </c>
      <c r="Q34" s="9" t="e">
        <f t="shared" ca="1" si="15"/>
        <v>#N/A</v>
      </c>
      <c r="R34" s="9" t="e">
        <f t="shared" si="16"/>
        <v>#N/A</v>
      </c>
      <c r="S34" s="9" t="e">
        <f ca="1">IF( OR(ISERROR(O34),SUMIF(O$2:O34,"&lt;&gt;#N/A")=0), NA(), SUMIF(O$2:O34,"&lt;&gt;#N/A") )</f>
        <v>#N/A</v>
      </c>
      <c r="T34" s="9" t="e">
        <f ca="1">IF( OR(ISERROR(P34),SUMIF(P$2:P34,"&lt;&gt;#N/A")=0), NA(), SUMIF(P$2:P34,"&lt;&gt;#N/A") )</f>
        <v>#N/A</v>
      </c>
      <c r="U34" s="9" t="e">
        <f ca="1">IF( OR(ISERROR(Q34),SUMIF(Q$2:Q34,"&lt;&gt;#N/A")=0), NA(), SUMIF(Q$2:Q34,"&lt;&gt;#N/A") )</f>
        <v>#N/A</v>
      </c>
      <c r="V34" s="9" t="e">
        <f>IF( OR(ISERROR(R34),SUMIF(R$2:R34,"&lt;&gt;#N/A")=0), NA(), SUMIF(R$2:R34,"&lt;&gt;#N/A") )</f>
        <v>#N/A</v>
      </c>
      <c r="W34" s="9" t="e">
        <f t="shared" ca="1" si="17"/>
        <v>#N/A</v>
      </c>
      <c r="X34" s="9" t="e">
        <f t="shared" ca="1" si="18"/>
        <v>#N/A</v>
      </c>
      <c r="Y34" s="9" t="e">
        <f t="shared" ca="1" si="19"/>
        <v>#N/A</v>
      </c>
      <c r="Z34" s="9" t="e">
        <f t="shared" si="20"/>
        <v>#N/A</v>
      </c>
      <c r="AA34" s="9" t="e">
        <f ca="1">IF( OR(ISERROR(W34),SUMIF(W$2:W34,"&lt;&gt;#N/A")=0), NA(), SUMIF(W$2:W34,"&lt;&gt;#N/A") )</f>
        <v>#N/A</v>
      </c>
      <c r="AB34" s="9" t="e">
        <f ca="1">IF( OR(ISERROR(X34),SUMIF(X$2:X34,"&lt;&gt;#N/A")=0), NA(), SUMIF(X$2:X34,"&lt;&gt;#N/A") )</f>
        <v>#N/A</v>
      </c>
      <c r="AC34" s="9" t="e">
        <f ca="1">IF( OR(ISERROR(Y34),SUMIF(Y$2:Y34,"&lt;&gt;#N/A")=0), NA(), SUMIF(Y$2:Y34,"&lt;&gt;#N/A") )</f>
        <v>#N/A</v>
      </c>
      <c r="AD34" t="e">
        <f>IF( OR(ISERROR(Z34),SUMIF(Z$2:Z34,"&lt;&gt;#N/A")=0), NA(), SUMIF(Z$2:Z34,"&lt;&gt;#N/A") )</f>
        <v>#N/A</v>
      </c>
      <c r="AE34" s="9" t="e">
        <f t="shared" ca="1" si="21"/>
        <v>#N/A</v>
      </c>
      <c r="AF34" s="9" t="e">
        <f t="shared" ca="1" si="22"/>
        <v>#N/A</v>
      </c>
      <c r="AG34" s="9" t="e">
        <f t="shared" ca="1" si="23"/>
        <v>#N/A</v>
      </c>
      <c r="AH34" s="9" t="e">
        <f t="shared" si="24"/>
        <v>#N/A</v>
      </c>
    </row>
    <row r="35" spans="1:34" x14ac:dyDescent="0.3">
      <c r="A35" s="2"/>
      <c r="C35" s="2"/>
      <c r="D35" s="2"/>
      <c r="E35" s="2"/>
      <c r="G35" s="2"/>
      <c r="H35" s="2"/>
      <c r="I35" s="2"/>
      <c r="J35" s="2"/>
      <c r="K35" s="2"/>
      <c r="L35" s="2"/>
      <c r="M35" s="2"/>
      <c r="N35" s="2" t="e">
        <f t="shared" ca="1" si="12"/>
        <v>#N/A</v>
      </c>
      <c r="O35" s="9" t="e">
        <f t="shared" ca="1" si="13"/>
        <v>#N/A</v>
      </c>
      <c r="P35" s="9" t="e">
        <f t="shared" ca="1" si="14"/>
        <v>#N/A</v>
      </c>
      <c r="Q35" s="9" t="e">
        <f t="shared" ca="1" si="15"/>
        <v>#N/A</v>
      </c>
      <c r="R35" s="9" t="e">
        <f t="shared" si="16"/>
        <v>#N/A</v>
      </c>
      <c r="S35" s="9" t="e">
        <f ca="1">IF( OR(ISERROR(O35),SUMIF(O$2:O35,"&lt;&gt;#N/A")=0), NA(), SUMIF(O$2:O35,"&lt;&gt;#N/A") )</f>
        <v>#N/A</v>
      </c>
      <c r="T35" s="9" t="e">
        <f ca="1">IF( OR(ISERROR(P35),SUMIF(P$2:P35,"&lt;&gt;#N/A")=0), NA(), SUMIF(P$2:P35,"&lt;&gt;#N/A") )</f>
        <v>#N/A</v>
      </c>
      <c r="U35" s="9" t="e">
        <f ca="1">IF( OR(ISERROR(Q35),SUMIF(Q$2:Q35,"&lt;&gt;#N/A")=0), NA(), SUMIF(Q$2:Q35,"&lt;&gt;#N/A") )</f>
        <v>#N/A</v>
      </c>
      <c r="V35" s="9" t="e">
        <f>IF( OR(ISERROR(R35),SUMIF(R$2:R35,"&lt;&gt;#N/A")=0), NA(), SUMIF(R$2:R35,"&lt;&gt;#N/A") )</f>
        <v>#N/A</v>
      </c>
      <c r="W35" s="9" t="e">
        <f t="shared" ca="1" si="17"/>
        <v>#N/A</v>
      </c>
      <c r="X35" s="9" t="e">
        <f t="shared" ca="1" si="18"/>
        <v>#N/A</v>
      </c>
      <c r="Y35" s="9" t="e">
        <f t="shared" ca="1" si="19"/>
        <v>#N/A</v>
      </c>
      <c r="Z35" s="9" t="e">
        <f t="shared" si="20"/>
        <v>#N/A</v>
      </c>
      <c r="AA35" s="9" t="e">
        <f ca="1">IF( OR(ISERROR(W35),SUMIF(W$2:W35,"&lt;&gt;#N/A")=0), NA(), SUMIF(W$2:W35,"&lt;&gt;#N/A") )</f>
        <v>#N/A</v>
      </c>
      <c r="AB35" s="9" t="e">
        <f ca="1">IF( OR(ISERROR(X35),SUMIF(X$2:X35,"&lt;&gt;#N/A")=0), NA(), SUMIF(X$2:X35,"&lt;&gt;#N/A") )</f>
        <v>#N/A</v>
      </c>
      <c r="AC35" s="9" t="e">
        <f ca="1">IF( OR(ISERROR(Y35),SUMIF(Y$2:Y35,"&lt;&gt;#N/A")=0), NA(), SUMIF(Y$2:Y35,"&lt;&gt;#N/A") )</f>
        <v>#N/A</v>
      </c>
      <c r="AD35" t="e">
        <f>IF( OR(ISERROR(Z35),SUMIF(Z$2:Z35,"&lt;&gt;#N/A")=0), NA(), SUMIF(Z$2:Z35,"&lt;&gt;#N/A") )</f>
        <v>#N/A</v>
      </c>
      <c r="AE35" s="9" t="e">
        <f t="shared" ca="1" si="21"/>
        <v>#N/A</v>
      </c>
      <c r="AF35" s="9" t="e">
        <f t="shared" ca="1" si="22"/>
        <v>#N/A</v>
      </c>
      <c r="AG35" s="9" t="e">
        <f t="shared" ca="1" si="23"/>
        <v>#N/A</v>
      </c>
      <c r="AH35" s="9" t="e">
        <f t="shared" si="24"/>
        <v>#N/A</v>
      </c>
    </row>
    <row r="36" spans="1:34" x14ac:dyDescent="0.3">
      <c r="A36" s="2"/>
      <c r="C36" s="2"/>
      <c r="D36" s="2"/>
      <c r="E36" s="2"/>
      <c r="G36" s="2"/>
      <c r="H36" s="2"/>
      <c r="I36" s="2"/>
      <c r="J36" s="2"/>
      <c r="K36" s="2"/>
      <c r="L36" s="2"/>
      <c r="M36" s="2"/>
      <c r="N36" s="2" t="e">
        <f t="shared" ca="1" si="12"/>
        <v>#N/A</v>
      </c>
      <c r="O36" s="9" t="e">
        <f t="shared" ca="1" si="13"/>
        <v>#N/A</v>
      </c>
      <c r="P36" s="9" t="e">
        <f t="shared" ca="1" si="14"/>
        <v>#N/A</v>
      </c>
      <c r="Q36" s="9" t="e">
        <f t="shared" ca="1" si="15"/>
        <v>#N/A</v>
      </c>
      <c r="R36" s="9" t="e">
        <f t="shared" si="16"/>
        <v>#N/A</v>
      </c>
      <c r="S36" s="9" t="e">
        <f ca="1">IF( OR(ISERROR(O36),SUMIF(O$2:O36,"&lt;&gt;#N/A")=0), NA(), SUMIF(O$2:O36,"&lt;&gt;#N/A") )</f>
        <v>#N/A</v>
      </c>
      <c r="T36" s="9" t="e">
        <f ca="1">IF( OR(ISERROR(P36),SUMIF(P$2:P36,"&lt;&gt;#N/A")=0), NA(), SUMIF(P$2:P36,"&lt;&gt;#N/A") )</f>
        <v>#N/A</v>
      </c>
      <c r="U36" s="9" t="e">
        <f ca="1">IF( OR(ISERROR(Q36),SUMIF(Q$2:Q36,"&lt;&gt;#N/A")=0), NA(), SUMIF(Q$2:Q36,"&lt;&gt;#N/A") )</f>
        <v>#N/A</v>
      </c>
      <c r="V36" s="9" t="e">
        <f>IF( OR(ISERROR(R36),SUMIF(R$2:R36,"&lt;&gt;#N/A")=0), NA(), SUMIF(R$2:R36,"&lt;&gt;#N/A") )</f>
        <v>#N/A</v>
      </c>
      <c r="W36" s="9" t="e">
        <f t="shared" ca="1" si="17"/>
        <v>#N/A</v>
      </c>
      <c r="X36" s="9" t="e">
        <f t="shared" ca="1" si="18"/>
        <v>#N/A</v>
      </c>
      <c r="Y36" s="9" t="e">
        <f t="shared" ca="1" si="19"/>
        <v>#N/A</v>
      </c>
      <c r="Z36" s="9" t="e">
        <f t="shared" si="20"/>
        <v>#N/A</v>
      </c>
      <c r="AA36" s="9" t="e">
        <f ca="1">IF( OR(ISERROR(W36),SUMIF(W$2:W36,"&lt;&gt;#N/A")=0), NA(), SUMIF(W$2:W36,"&lt;&gt;#N/A") )</f>
        <v>#N/A</v>
      </c>
      <c r="AB36" s="9" t="e">
        <f ca="1">IF( OR(ISERROR(X36),SUMIF(X$2:X36,"&lt;&gt;#N/A")=0), NA(), SUMIF(X$2:X36,"&lt;&gt;#N/A") )</f>
        <v>#N/A</v>
      </c>
      <c r="AC36" s="9" t="e">
        <f ca="1">IF( OR(ISERROR(Y36),SUMIF(Y$2:Y36,"&lt;&gt;#N/A")=0), NA(), SUMIF(Y$2:Y36,"&lt;&gt;#N/A") )</f>
        <v>#N/A</v>
      </c>
      <c r="AD36" t="e">
        <f>IF( OR(ISERROR(Z36),SUMIF(Z$2:Z36,"&lt;&gt;#N/A")=0), NA(), SUMIF(Z$2:Z36,"&lt;&gt;#N/A") )</f>
        <v>#N/A</v>
      </c>
      <c r="AE36" s="9" t="e">
        <f t="shared" ca="1" si="21"/>
        <v>#N/A</v>
      </c>
      <c r="AF36" s="9" t="e">
        <f t="shared" ca="1" si="22"/>
        <v>#N/A</v>
      </c>
      <c r="AG36" s="9" t="e">
        <f t="shared" ca="1" si="23"/>
        <v>#N/A</v>
      </c>
      <c r="AH36" s="9" t="e">
        <f t="shared" si="24"/>
        <v>#N/A</v>
      </c>
    </row>
    <row r="37" spans="1:34" x14ac:dyDescent="0.3">
      <c r="A37" s="2"/>
      <c r="C37" s="2"/>
      <c r="D37" s="2"/>
      <c r="E37" s="2"/>
      <c r="G37" s="2"/>
      <c r="H37" s="2"/>
      <c r="I37" s="2"/>
      <c r="J37" s="2"/>
      <c r="K37" s="2"/>
      <c r="L37" s="2"/>
      <c r="M37" s="2"/>
      <c r="N37" s="2" t="e">
        <f t="shared" ca="1" si="12"/>
        <v>#N/A</v>
      </c>
      <c r="O37" s="9" t="e">
        <f t="shared" ca="1" si="13"/>
        <v>#N/A</v>
      </c>
      <c r="P37" s="9" t="e">
        <f t="shared" ca="1" si="14"/>
        <v>#N/A</v>
      </c>
      <c r="Q37" s="9" t="e">
        <f t="shared" ca="1" si="15"/>
        <v>#N/A</v>
      </c>
      <c r="R37" s="9" t="e">
        <f t="shared" si="16"/>
        <v>#N/A</v>
      </c>
      <c r="S37" s="9" t="e">
        <f ca="1">IF( OR(ISERROR(O37),SUMIF(O$2:O37,"&lt;&gt;#N/A")=0), NA(), SUMIF(O$2:O37,"&lt;&gt;#N/A") )</f>
        <v>#N/A</v>
      </c>
      <c r="T37" s="9" t="e">
        <f ca="1">IF( OR(ISERROR(P37),SUMIF(P$2:P37,"&lt;&gt;#N/A")=0), NA(), SUMIF(P$2:P37,"&lt;&gt;#N/A") )</f>
        <v>#N/A</v>
      </c>
      <c r="U37" s="9" t="e">
        <f ca="1">IF( OR(ISERROR(Q37),SUMIF(Q$2:Q37,"&lt;&gt;#N/A")=0), NA(), SUMIF(Q$2:Q37,"&lt;&gt;#N/A") )</f>
        <v>#N/A</v>
      </c>
      <c r="V37" s="9" t="e">
        <f>IF( OR(ISERROR(R37),SUMIF(R$2:R37,"&lt;&gt;#N/A")=0), NA(), SUMIF(R$2:R37,"&lt;&gt;#N/A") )</f>
        <v>#N/A</v>
      </c>
      <c r="W37" s="9" t="e">
        <f t="shared" ca="1" si="17"/>
        <v>#N/A</v>
      </c>
      <c r="X37" s="9" t="e">
        <f t="shared" ca="1" si="18"/>
        <v>#N/A</v>
      </c>
      <c r="Y37" s="9" t="e">
        <f t="shared" ca="1" si="19"/>
        <v>#N/A</v>
      </c>
      <c r="Z37" s="9" t="e">
        <f t="shared" si="20"/>
        <v>#N/A</v>
      </c>
      <c r="AA37" s="9" t="e">
        <f ca="1">IF( OR(ISERROR(W37),SUMIF(W$2:W37,"&lt;&gt;#N/A")=0), NA(), SUMIF(W$2:W37,"&lt;&gt;#N/A") )</f>
        <v>#N/A</v>
      </c>
      <c r="AB37" s="9" t="e">
        <f ca="1">IF( OR(ISERROR(X37),SUMIF(X$2:X37,"&lt;&gt;#N/A")=0), NA(), SUMIF(X$2:X37,"&lt;&gt;#N/A") )</f>
        <v>#N/A</v>
      </c>
      <c r="AC37" s="9" t="e">
        <f ca="1">IF( OR(ISERROR(Y37),SUMIF(Y$2:Y37,"&lt;&gt;#N/A")=0), NA(), SUMIF(Y$2:Y37,"&lt;&gt;#N/A") )</f>
        <v>#N/A</v>
      </c>
      <c r="AD37" t="e">
        <f>IF( OR(ISERROR(Z37),SUMIF(Z$2:Z37,"&lt;&gt;#N/A")=0), NA(), SUMIF(Z$2:Z37,"&lt;&gt;#N/A") )</f>
        <v>#N/A</v>
      </c>
      <c r="AE37" s="9" t="e">
        <f t="shared" ca="1" si="21"/>
        <v>#N/A</v>
      </c>
      <c r="AF37" s="9" t="e">
        <f t="shared" ca="1" si="22"/>
        <v>#N/A</v>
      </c>
      <c r="AG37" s="9" t="e">
        <f t="shared" ca="1" si="23"/>
        <v>#N/A</v>
      </c>
      <c r="AH37" s="9" t="e">
        <f t="shared" si="24"/>
        <v>#N/A</v>
      </c>
    </row>
    <row r="38" spans="1:34" x14ac:dyDescent="0.3">
      <c r="A38" s="2"/>
      <c r="C38" s="2"/>
      <c r="D38" s="2"/>
      <c r="E38" s="2"/>
      <c r="G38" s="2"/>
      <c r="H38" s="2"/>
      <c r="I38" s="2"/>
      <c r="J38" s="2"/>
      <c r="K38" s="2"/>
      <c r="L38" s="2"/>
      <c r="M38" s="2"/>
      <c r="N38" s="2" t="e">
        <f t="shared" ca="1" si="12"/>
        <v>#N/A</v>
      </c>
      <c r="O38" s="9" t="e">
        <f t="shared" ca="1" si="13"/>
        <v>#N/A</v>
      </c>
      <c r="P38" s="9" t="e">
        <f t="shared" ca="1" si="14"/>
        <v>#N/A</v>
      </c>
      <c r="Q38" s="9" t="e">
        <f t="shared" ca="1" si="15"/>
        <v>#N/A</v>
      </c>
      <c r="R38" s="9" t="e">
        <f t="shared" si="16"/>
        <v>#N/A</v>
      </c>
      <c r="S38" s="9" t="e">
        <f ca="1">IF( OR(ISERROR(O38),SUMIF(O$2:O38,"&lt;&gt;#N/A")=0), NA(), SUMIF(O$2:O38,"&lt;&gt;#N/A") )</f>
        <v>#N/A</v>
      </c>
      <c r="T38" s="9" t="e">
        <f ca="1">IF( OR(ISERROR(P38),SUMIF(P$2:P38,"&lt;&gt;#N/A")=0), NA(), SUMIF(P$2:P38,"&lt;&gt;#N/A") )</f>
        <v>#N/A</v>
      </c>
      <c r="U38" s="9" t="e">
        <f ca="1">IF( OR(ISERROR(Q38),SUMIF(Q$2:Q38,"&lt;&gt;#N/A")=0), NA(), SUMIF(Q$2:Q38,"&lt;&gt;#N/A") )</f>
        <v>#N/A</v>
      </c>
      <c r="V38" s="9" t="e">
        <f>IF( OR(ISERROR(R38),SUMIF(R$2:R38,"&lt;&gt;#N/A")=0), NA(), SUMIF(R$2:R38,"&lt;&gt;#N/A") )</f>
        <v>#N/A</v>
      </c>
      <c r="W38" s="9" t="e">
        <f t="shared" ca="1" si="17"/>
        <v>#N/A</v>
      </c>
      <c r="X38" s="9" t="e">
        <f t="shared" ca="1" si="18"/>
        <v>#N/A</v>
      </c>
      <c r="Y38" s="9" t="e">
        <f t="shared" ca="1" si="19"/>
        <v>#N/A</v>
      </c>
      <c r="Z38" s="9" t="e">
        <f t="shared" si="20"/>
        <v>#N/A</v>
      </c>
      <c r="AA38" s="9" t="e">
        <f ca="1">IF( OR(ISERROR(W38),SUMIF(W$2:W38,"&lt;&gt;#N/A")=0), NA(), SUMIF(W$2:W38,"&lt;&gt;#N/A") )</f>
        <v>#N/A</v>
      </c>
      <c r="AB38" s="9" t="e">
        <f ca="1">IF( OR(ISERROR(X38),SUMIF(X$2:X38,"&lt;&gt;#N/A")=0), NA(), SUMIF(X$2:X38,"&lt;&gt;#N/A") )</f>
        <v>#N/A</v>
      </c>
      <c r="AC38" s="9" t="e">
        <f ca="1">IF( OR(ISERROR(Y38),SUMIF(Y$2:Y38,"&lt;&gt;#N/A")=0), NA(), SUMIF(Y$2:Y38,"&lt;&gt;#N/A") )</f>
        <v>#N/A</v>
      </c>
      <c r="AD38" t="e">
        <f>IF( OR(ISERROR(Z38),SUMIF(Z$2:Z38,"&lt;&gt;#N/A")=0), NA(), SUMIF(Z$2:Z38,"&lt;&gt;#N/A") )</f>
        <v>#N/A</v>
      </c>
      <c r="AE38" s="9" t="e">
        <f t="shared" ca="1" si="21"/>
        <v>#N/A</v>
      </c>
      <c r="AF38" s="9" t="e">
        <f t="shared" ca="1" si="22"/>
        <v>#N/A</v>
      </c>
      <c r="AG38" s="9" t="e">
        <f t="shared" ca="1" si="23"/>
        <v>#N/A</v>
      </c>
      <c r="AH38" s="9" t="e">
        <f t="shared" si="24"/>
        <v>#N/A</v>
      </c>
    </row>
    <row r="39" spans="1:34" x14ac:dyDescent="0.3">
      <c r="A39" s="2"/>
      <c r="C39" s="2"/>
      <c r="D39" s="2"/>
      <c r="E39" s="2"/>
      <c r="G39" s="2"/>
      <c r="H39" s="2"/>
      <c r="I39" s="2"/>
      <c r="J39" s="2"/>
      <c r="K39" s="2"/>
      <c r="L39" s="2"/>
      <c r="M39" s="2"/>
      <c r="N39" s="2" t="e">
        <f t="shared" ca="1" si="12"/>
        <v>#N/A</v>
      </c>
      <c r="O39" s="9" t="e">
        <f t="shared" ca="1" si="13"/>
        <v>#N/A</v>
      </c>
      <c r="P39" s="9" t="e">
        <f t="shared" ca="1" si="14"/>
        <v>#N/A</v>
      </c>
      <c r="Q39" s="9" t="e">
        <f t="shared" ca="1" si="15"/>
        <v>#N/A</v>
      </c>
      <c r="R39" s="9" t="e">
        <f t="shared" si="16"/>
        <v>#N/A</v>
      </c>
      <c r="S39" s="9" t="e">
        <f ca="1">IF( OR(ISERROR(O39),SUMIF(O$2:O39,"&lt;&gt;#N/A")=0), NA(), SUMIF(O$2:O39,"&lt;&gt;#N/A") )</f>
        <v>#N/A</v>
      </c>
      <c r="T39" s="9" t="e">
        <f ca="1">IF( OR(ISERROR(P39),SUMIF(P$2:P39,"&lt;&gt;#N/A")=0), NA(), SUMIF(P$2:P39,"&lt;&gt;#N/A") )</f>
        <v>#N/A</v>
      </c>
      <c r="U39" s="9" t="e">
        <f ca="1">IF( OR(ISERROR(Q39),SUMIF(Q$2:Q39,"&lt;&gt;#N/A")=0), NA(), SUMIF(Q$2:Q39,"&lt;&gt;#N/A") )</f>
        <v>#N/A</v>
      </c>
      <c r="V39" s="9" t="e">
        <f>IF( OR(ISERROR(R39),SUMIF(R$2:R39,"&lt;&gt;#N/A")=0), NA(), SUMIF(R$2:R39,"&lt;&gt;#N/A") )</f>
        <v>#N/A</v>
      </c>
      <c r="W39" s="9" t="e">
        <f t="shared" ca="1" si="17"/>
        <v>#N/A</v>
      </c>
      <c r="X39" s="9" t="e">
        <f t="shared" ca="1" si="18"/>
        <v>#N/A</v>
      </c>
      <c r="Y39" s="9" t="e">
        <f t="shared" ca="1" si="19"/>
        <v>#N/A</v>
      </c>
      <c r="Z39" s="9" t="e">
        <f t="shared" si="20"/>
        <v>#N/A</v>
      </c>
      <c r="AA39" s="9" t="e">
        <f ca="1">IF( OR(ISERROR(W39),SUMIF(W$2:W39,"&lt;&gt;#N/A")=0), NA(), SUMIF(W$2:W39,"&lt;&gt;#N/A") )</f>
        <v>#N/A</v>
      </c>
      <c r="AB39" s="9" t="e">
        <f ca="1">IF( OR(ISERROR(X39),SUMIF(X$2:X39,"&lt;&gt;#N/A")=0), NA(), SUMIF(X$2:X39,"&lt;&gt;#N/A") )</f>
        <v>#N/A</v>
      </c>
      <c r="AC39" s="9" t="e">
        <f ca="1">IF( OR(ISERROR(Y39),SUMIF(Y$2:Y39,"&lt;&gt;#N/A")=0), NA(), SUMIF(Y$2:Y39,"&lt;&gt;#N/A") )</f>
        <v>#N/A</v>
      </c>
      <c r="AD39" t="e">
        <f>IF( OR(ISERROR(Z39),SUMIF(Z$2:Z39,"&lt;&gt;#N/A")=0), NA(), SUMIF(Z$2:Z39,"&lt;&gt;#N/A") )</f>
        <v>#N/A</v>
      </c>
      <c r="AE39" s="9" t="e">
        <f t="shared" ca="1" si="21"/>
        <v>#N/A</v>
      </c>
      <c r="AF39" s="9" t="e">
        <f t="shared" ca="1" si="22"/>
        <v>#N/A</v>
      </c>
      <c r="AG39" s="9" t="e">
        <f t="shared" ca="1" si="23"/>
        <v>#N/A</v>
      </c>
      <c r="AH39" s="9" t="e">
        <f t="shared" si="24"/>
        <v>#N/A</v>
      </c>
    </row>
    <row r="40" spans="1:34" x14ac:dyDescent="0.3">
      <c r="A40" s="2"/>
      <c r="C40" s="2"/>
      <c r="D40" s="2"/>
      <c r="E40" s="2"/>
      <c r="G40" s="2"/>
      <c r="H40" s="2"/>
      <c r="I40" s="2"/>
      <c r="J40" s="2"/>
      <c r="K40" s="2"/>
      <c r="L40" s="2"/>
      <c r="M40" s="2"/>
      <c r="N40" s="2" t="e">
        <f t="shared" ca="1" si="12"/>
        <v>#N/A</v>
      </c>
      <c r="O40" s="9" t="e">
        <f t="shared" ca="1" si="13"/>
        <v>#N/A</v>
      </c>
      <c r="P40" s="9" t="e">
        <f t="shared" ca="1" si="14"/>
        <v>#N/A</v>
      </c>
      <c r="Q40" s="9" t="e">
        <f t="shared" ca="1" si="15"/>
        <v>#N/A</v>
      </c>
      <c r="R40" s="9" t="e">
        <f t="shared" si="16"/>
        <v>#N/A</v>
      </c>
      <c r="S40" s="9" t="e">
        <f ca="1">IF( OR(ISERROR(O40),SUMIF(O$2:O40,"&lt;&gt;#N/A")=0), NA(), SUMIF(O$2:O40,"&lt;&gt;#N/A") )</f>
        <v>#N/A</v>
      </c>
      <c r="T40" s="9" t="e">
        <f ca="1">IF( OR(ISERROR(P40),SUMIF(P$2:P40,"&lt;&gt;#N/A")=0), NA(), SUMIF(P$2:P40,"&lt;&gt;#N/A") )</f>
        <v>#N/A</v>
      </c>
      <c r="U40" s="9" t="e">
        <f ca="1">IF( OR(ISERROR(Q40),SUMIF(Q$2:Q40,"&lt;&gt;#N/A")=0), NA(), SUMIF(Q$2:Q40,"&lt;&gt;#N/A") )</f>
        <v>#N/A</v>
      </c>
      <c r="V40" s="9" t="e">
        <f>IF( OR(ISERROR(R40),SUMIF(R$2:R40,"&lt;&gt;#N/A")=0), NA(), SUMIF(R$2:R40,"&lt;&gt;#N/A") )</f>
        <v>#N/A</v>
      </c>
      <c r="W40" s="9" t="e">
        <f t="shared" ca="1" si="17"/>
        <v>#N/A</v>
      </c>
      <c r="X40" s="9" t="e">
        <f t="shared" ca="1" si="18"/>
        <v>#N/A</v>
      </c>
      <c r="Y40" s="9" t="e">
        <f t="shared" ca="1" si="19"/>
        <v>#N/A</v>
      </c>
      <c r="Z40" s="9" t="e">
        <f t="shared" si="20"/>
        <v>#N/A</v>
      </c>
      <c r="AA40" s="9" t="e">
        <f ca="1">IF( OR(ISERROR(W40),SUMIF(W$2:W40,"&lt;&gt;#N/A")=0), NA(), SUMIF(W$2:W40,"&lt;&gt;#N/A") )</f>
        <v>#N/A</v>
      </c>
      <c r="AB40" s="9" t="e">
        <f ca="1">IF( OR(ISERROR(X40),SUMIF(X$2:X40,"&lt;&gt;#N/A")=0), NA(), SUMIF(X$2:X40,"&lt;&gt;#N/A") )</f>
        <v>#N/A</v>
      </c>
      <c r="AC40" s="9" t="e">
        <f ca="1">IF( OR(ISERROR(Y40),SUMIF(Y$2:Y40,"&lt;&gt;#N/A")=0), NA(), SUMIF(Y$2:Y40,"&lt;&gt;#N/A") )</f>
        <v>#N/A</v>
      </c>
      <c r="AD40" t="e">
        <f>IF( OR(ISERROR(Z40),SUMIF(Z$2:Z40,"&lt;&gt;#N/A")=0), NA(), SUMIF(Z$2:Z40,"&lt;&gt;#N/A") )</f>
        <v>#N/A</v>
      </c>
      <c r="AE40" s="9" t="e">
        <f t="shared" ca="1" si="21"/>
        <v>#N/A</v>
      </c>
      <c r="AF40" s="9" t="e">
        <f t="shared" ca="1" si="22"/>
        <v>#N/A</v>
      </c>
      <c r="AG40" s="9" t="e">
        <f t="shared" ca="1" si="23"/>
        <v>#N/A</v>
      </c>
      <c r="AH40" s="9" t="e">
        <f t="shared" si="24"/>
        <v>#N/A</v>
      </c>
    </row>
    <row r="41" spans="1:34" x14ac:dyDescent="0.3">
      <c r="A41" s="2"/>
      <c r="C41" s="2"/>
      <c r="D41" s="2"/>
      <c r="E41" s="2"/>
      <c r="G41" s="2"/>
      <c r="H41" s="2"/>
      <c r="I41" s="2"/>
      <c r="J41" s="2"/>
      <c r="K41" s="2"/>
      <c r="L41" s="2"/>
      <c r="M41" s="2"/>
      <c r="N41" s="2" t="e">
        <f t="shared" ca="1" si="12"/>
        <v>#N/A</v>
      </c>
      <c r="O41" s="9" t="e">
        <f t="shared" ca="1" si="13"/>
        <v>#N/A</v>
      </c>
      <c r="P41" s="9" t="e">
        <f t="shared" ca="1" si="14"/>
        <v>#N/A</v>
      </c>
      <c r="Q41" s="9" t="e">
        <f t="shared" ca="1" si="15"/>
        <v>#N/A</v>
      </c>
      <c r="R41" s="9" t="e">
        <f t="shared" si="16"/>
        <v>#N/A</v>
      </c>
      <c r="S41" s="9" t="e">
        <f ca="1">IF( OR(ISERROR(O41),SUMIF(O$2:O41,"&lt;&gt;#N/A")=0), NA(), SUMIF(O$2:O41,"&lt;&gt;#N/A") )</f>
        <v>#N/A</v>
      </c>
      <c r="T41" s="9" t="e">
        <f ca="1">IF( OR(ISERROR(P41),SUMIF(P$2:P41,"&lt;&gt;#N/A")=0), NA(), SUMIF(P$2:P41,"&lt;&gt;#N/A") )</f>
        <v>#N/A</v>
      </c>
      <c r="U41" s="9" t="e">
        <f ca="1">IF( OR(ISERROR(Q41),SUMIF(Q$2:Q41,"&lt;&gt;#N/A")=0), NA(), SUMIF(Q$2:Q41,"&lt;&gt;#N/A") )</f>
        <v>#N/A</v>
      </c>
      <c r="V41" s="9" t="e">
        <f>IF( OR(ISERROR(R41),SUMIF(R$2:R41,"&lt;&gt;#N/A")=0), NA(), SUMIF(R$2:R41,"&lt;&gt;#N/A") )</f>
        <v>#N/A</v>
      </c>
      <c r="W41" s="9" t="e">
        <f t="shared" ca="1" si="17"/>
        <v>#N/A</v>
      </c>
      <c r="X41" s="9" t="e">
        <f t="shared" ca="1" si="18"/>
        <v>#N/A</v>
      </c>
      <c r="Y41" s="9" t="e">
        <f t="shared" ca="1" si="19"/>
        <v>#N/A</v>
      </c>
      <c r="Z41" s="9" t="e">
        <f t="shared" si="20"/>
        <v>#N/A</v>
      </c>
      <c r="AA41" s="9" t="e">
        <f ca="1">IF( OR(ISERROR(W41),SUMIF(W$2:W41,"&lt;&gt;#N/A")=0), NA(), SUMIF(W$2:W41,"&lt;&gt;#N/A") )</f>
        <v>#N/A</v>
      </c>
      <c r="AB41" s="9" t="e">
        <f ca="1">IF( OR(ISERROR(X41),SUMIF(X$2:X41,"&lt;&gt;#N/A")=0), NA(), SUMIF(X$2:X41,"&lt;&gt;#N/A") )</f>
        <v>#N/A</v>
      </c>
      <c r="AC41" s="9" t="e">
        <f ca="1">IF( OR(ISERROR(Y41),SUMIF(Y$2:Y41,"&lt;&gt;#N/A")=0), NA(), SUMIF(Y$2:Y41,"&lt;&gt;#N/A") )</f>
        <v>#N/A</v>
      </c>
      <c r="AD41" t="e">
        <f>IF( OR(ISERROR(Z41),SUMIF(Z$2:Z41,"&lt;&gt;#N/A")=0), NA(), SUMIF(Z$2:Z41,"&lt;&gt;#N/A") )</f>
        <v>#N/A</v>
      </c>
      <c r="AE41" s="9" t="e">
        <f t="shared" ca="1" si="21"/>
        <v>#N/A</v>
      </c>
      <c r="AF41" s="9" t="e">
        <f t="shared" ca="1" si="22"/>
        <v>#N/A</v>
      </c>
      <c r="AG41" s="9" t="e">
        <f t="shared" ca="1" si="23"/>
        <v>#N/A</v>
      </c>
      <c r="AH41" s="9" t="e">
        <f t="shared" si="24"/>
        <v>#N/A</v>
      </c>
    </row>
    <row r="42" spans="1:34" x14ac:dyDescent="0.3">
      <c r="A42" s="2"/>
      <c r="C42" s="2"/>
      <c r="D42" s="2"/>
      <c r="E42" s="2"/>
      <c r="G42" s="2"/>
      <c r="H42" s="2"/>
      <c r="I42" s="2"/>
      <c r="J42" s="2"/>
      <c r="K42" s="2"/>
      <c r="L42" s="2"/>
      <c r="M42" s="2"/>
      <c r="N42" s="2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E42" s="9"/>
      <c r="AF42" s="9"/>
      <c r="AG42" s="9"/>
      <c r="AH42" s="9"/>
    </row>
    <row r="43" spans="1:34" x14ac:dyDescent="0.3">
      <c r="A43" s="2"/>
      <c r="C43" s="2"/>
      <c r="D43" s="2"/>
      <c r="E43" s="2"/>
      <c r="G43" s="2"/>
      <c r="H43" s="2"/>
      <c r="I43" s="2"/>
      <c r="J43" s="2"/>
      <c r="K43" s="2"/>
      <c r="L43" s="2"/>
      <c r="M43" s="2"/>
      <c r="N43" s="2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E43" s="9"/>
      <c r="AF43" s="9"/>
      <c r="AG43" s="9"/>
      <c r="AH43" s="9"/>
    </row>
    <row r="44" spans="1:34" x14ac:dyDescent="0.3">
      <c r="A44" s="2"/>
      <c r="C44" s="2"/>
      <c r="D44" s="2"/>
      <c r="E44" s="2"/>
      <c r="G44" s="2"/>
      <c r="H44" s="2"/>
      <c r="I44" s="2"/>
      <c r="J44" s="2"/>
      <c r="K44" s="2"/>
      <c r="L44" s="2"/>
      <c r="M44" s="2"/>
      <c r="N44" s="2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E44" s="9"/>
      <c r="AF44" s="9"/>
      <c r="AG44" s="9"/>
      <c r="AH44" s="9"/>
    </row>
    <row r="45" spans="1:34" x14ac:dyDescent="0.3">
      <c r="A45" s="2"/>
      <c r="C45" s="2"/>
      <c r="D45" s="2"/>
      <c r="E45" s="2"/>
      <c r="G45" s="2"/>
      <c r="H45" s="2"/>
      <c r="I45" s="2"/>
      <c r="J45" s="2"/>
      <c r="K45" s="2"/>
      <c r="L45" s="2"/>
      <c r="M45" s="2"/>
      <c r="N45" s="2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E45" s="9"/>
      <c r="AF45" s="9"/>
      <c r="AG45" s="9"/>
      <c r="AH45" s="9"/>
    </row>
    <row r="46" spans="1:34" x14ac:dyDescent="0.3">
      <c r="A46" s="2"/>
      <c r="C46" s="2"/>
      <c r="D46" s="2"/>
      <c r="E46" s="2"/>
      <c r="G46" s="2"/>
      <c r="H46" s="2"/>
      <c r="I46" s="2"/>
      <c r="J46" s="2"/>
      <c r="K46" s="2"/>
      <c r="L46" s="2"/>
      <c r="M46" s="2"/>
      <c r="N46" s="2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E46" s="9"/>
      <c r="AF46" s="9"/>
      <c r="AG46" s="9"/>
      <c r="AH46" s="9"/>
    </row>
    <row r="47" spans="1:34" x14ac:dyDescent="0.3">
      <c r="A47" s="2"/>
      <c r="C47" s="2"/>
      <c r="D47" s="2"/>
      <c r="E47" s="2"/>
      <c r="G47" s="2"/>
      <c r="H47" s="2"/>
      <c r="I47" s="2"/>
      <c r="J47" s="2"/>
      <c r="K47" s="2"/>
      <c r="L47" s="2"/>
      <c r="M47" s="2"/>
      <c r="N47" s="2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E47" s="9"/>
      <c r="AF47" s="9"/>
      <c r="AG47" s="9"/>
      <c r="AH47" s="9"/>
    </row>
    <row r="48" spans="1:34" x14ac:dyDescent="0.3">
      <c r="A48" s="2"/>
      <c r="C48" s="2"/>
      <c r="D48" s="2"/>
      <c r="E48" s="2"/>
      <c r="G48" s="2"/>
      <c r="H48" s="2"/>
      <c r="I48" s="2"/>
      <c r="J48" s="2"/>
      <c r="K48" s="2"/>
      <c r="L48" s="2"/>
      <c r="M48" s="2"/>
      <c r="N48" s="2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E48" s="9"/>
      <c r="AF48" s="9"/>
      <c r="AG48" s="9"/>
      <c r="AH48" s="9"/>
    </row>
    <row r="49" spans="1:13" x14ac:dyDescent="0.3">
      <c r="A49" s="2"/>
      <c r="C49" s="2"/>
      <c r="D49" s="2"/>
      <c r="E49" s="2"/>
      <c r="G49" s="2"/>
      <c r="H49" s="2"/>
      <c r="I49" s="2"/>
      <c r="J49" s="2"/>
      <c r="K49" s="2"/>
      <c r="L49" s="2"/>
      <c r="M49" s="2"/>
    </row>
    <row r="50" spans="1:13" x14ac:dyDescent="0.3">
      <c r="A50" s="2"/>
      <c r="C50" s="2"/>
      <c r="D50" s="2"/>
      <c r="E50" s="2"/>
      <c r="G50" s="2"/>
      <c r="H50" s="2"/>
      <c r="I50" s="2"/>
      <c r="J50" s="2"/>
      <c r="K50" s="2"/>
      <c r="L50" s="2"/>
      <c r="M50" s="2"/>
    </row>
    <row r="51" spans="1:13" x14ac:dyDescent="0.3">
      <c r="A51" s="2"/>
      <c r="C51" s="2"/>
      <c r="D51" s="2"/>
      <c r="E51" s="2"/>
      <c r="G51" s="2"/>
      <c r="H51" s="2"/>
      <c r="I51" s="2"/>
      <c r="J51" s="2"/>
      <c r="K51" s="2"/>
      <c r="L51" s="2"/>
      <c r="M51" s="2"/>
    </row>
    <row r="52" spans="1:13" x14ac:dyDescent="0.3">
      <c r="A52" s="2"/>
      <c r="C52" s="2"/>
      <c r="D52" s="2"/>
      <c r="E52" s="2"/>
      <c r="G52" s="2"/>
      <c r="H52" s="2"/>
      <c r="I52" s="2"/>
      <c r="J52" s="2"/>
      <c r="K52" s="2"/>
      <c r="L52" s="2"/>
      <c r="M52" s="2"/>
    </row>
    <row r="53" spans="1:13" x14ac:dyDescent="0.3">
      <c r="A53" s="2"/>
      <c r="C53" s="2"/>
      <c r="D53" s="2"/>
      <c r="E53" s="2"/>
      <c r="G53" s="2"/>
      <c r="H53" s="2"/>
      <c r="I53" s="2"/>
      <c r="J53" s="2"/>
      <c r="K53" s="2"/>
      <c r="L53" s="2"/>
      <c r="M53" s="2"/>
    </row>
    <row r="54" spans="1:13" x14ac:dyDescent="0.3">
      <c r="A54" s="2"/>
      <c r="C54" s="2"/>
      <c r="D54" s="2"/>
      <c r="E54" s="2"/>
      <c r="G54" s="2"/>
      <c r="H54" s="2"/>
      <c r="I54" s="2"/>
      <c r="J54" s="2"/>
      <c r="K54" s="2"/>
      <c r="L54" s="2"/>
      <c r="M54" s="2"/>
    </row>
    <row r="55" spans="1:13" x14ac:dyDescent="0.3">
      <c r="A55" s="2"/>
      <c r="C55" s="2"/>
      <c r="D55" s="2"/>
      <c r="E55" s="2"/>
      <c r="G55" s="2"/>
      <c r="H55" s="2"/>
      <c r="I55" s="2"/>
      <c r="J55" s="2"/>
      <c r="K55" s="2"/>
      <c r="L55" s="2"/>
      <c r="M55" s="2"/>
    </row>
    <row r="56" spans="1:13" x14ac:dyDescent="0.3">
      <c r="A56" s="2"/>
      <c r="C56" s="2"/>
      <c r="D56" s="2"/>
      <c r="E56" s="2"/>
      <c r="G56" s="2"/>
      <c r="H56" s="2"/>
      <c r="I56" s="2"/>
      <c r="J56" s="2"/>
      <c r="K56" s="2"/>
      <c r="L56" s="2"/>
      <c r="M56" s="2"/>
    </row>
    <row r="57" spans="1:13" x14ac:dyDescent="0.3">
      <c r="A57" s="2"/>
      <c r="C57" s="2"/>
      <c r="D57" s="2"/>
      <c r="E57" s="2"/>
      <c r="G57" s="2"/>
      <c r="H57" s="2"/>
      <c r="I57" s="2"/>
      <c r="J57" s="2"/>
      <c r="K57" s="2"/>
      <c r="L57" s="2"/>
      <c r="M57" s="2"/>
    </row>
    <row r="58" spans="1:13" x14ac:dyDescent="0.3">
      <c r="A58" s="2"/>
      <c r="C58" s="2"/>
      <c r="D58" s="2"/>
      <c r="E58" s="2"/>
      <c r="G58" s="2"/>
      <c r="H58" s="2"/>
      <c r="I58" s="2"/>
      <c r="J58" s="2"/>
      <c r="K58" s="2"/>
      <c r="L58" s="2"/>
      <c r="M58" s="2"/>
    </row>
    <row r="59" spans="1:13" x14ac:dyDescent="0.3">
      <c r="A59" s="2"/>
      <c r="C59" s="2"/>
      <c r="D59" s="2"/>
      <c r="E59" s="2"/>
      <c r="G59" s="2"/>
      <c r="H59" s="2"/>
      <c r="I59" s="2"/>
      <c r="J59" s="2"/>
      <c r="K59" s="2"/>
      <c r="L59" s="2"/>
      <c r="M59" s="2"/>
    </row>
    <row r="60" spans="1:13" x14ac:dyDescent="0.3">
      <c r="A60" s="2"/>
      <c r="C60" s="2"/>
      <c r="D60" s="2"/>
      <c r="E60" s="2"/>
      <c r="G60" s="2"/>
      <c r="H60" s="2"/>
      <c r="I60" s="2"/>
      <c r="J60" s="2"/>
      <c r="K60" s="2"/>
      <c r="L60" s="2"/>
      <c r="M60" s="2"/>
    </row>
    <row r="61" spans="1:13" x14ac:dyDescent="0.3">
      <c r="A61" s="2"/>
      <c r="C61" s="2"/>
      <c r="D61" s="2"/>
      <c r="E61" s="2"/>
      <c r="G61" s="2"/>
      <c r="H61" s="2"/>
      <c r="I61" s="2"/>
      <c r="J61" s="2"/>
      <c r="K61" s="2"/>
      <c r="L61" s="2"/>
      <c r="M61" s="2"/>
    </row>
    <row r="62" spans="1:13" x14ac:dyDescent="0.3">
      <c r="A62" s="2"/>
      <c r="C62" s="2"/>
      <c r="D62" s="2"/>
      <c r="E62" s="2"/>
      <c r="G62" s="2"/>
      <c r="H62" s="2"/>
      <c r="I62" s="2"/>
      <c r="J62" s="2"/>
      <c r="K62" s="2"/>
      <c r="L62" s="2"/>
      <c r="M62" s="2"/>
    </row>
    <row r="63" spans="1:13" x14ac:dyDescent="0.3">
      <c r="A63" s="2"/>
      <c r="C63" s="2"/>
      <c r="D63" s="2"/>
      <c r="E63" s="2"/>
      <c r="G63" s="2"/>
      <c r="H63" s="2"/>
      <c r="I63" s="2"/>
      <c r="J63" s="2"/>
      <c r="K63" s="2"/>
      <c r="L63" s="2"/>
      <c r="M63" s="2"/>
    </row>
    <row r="64" spans="1:13" x14ac:dyDescent="0.3">
      <c r="A64" s="2"/>
      <c r="C64" s="2"/>
      <c r="D64" s="2"/>
      <c r="E64" s="2"/>
      <c r="G64" s="2"/>
      <c r="H64" s="2"/>
      <c r="I64" s="2"/>
      <c r="J64" s="2"/>
      <c r="K64" s="2"/>
      <c r="L64" s="2"/>
      <c r="M64" s="2"/>
    </row>
    <row r="65" spans="1:13" x14ac:dyDescent="0.3">
      <c r="A65" s="2"/>
      <c r="C65" s="2"/>
      <c r="D65" s="2"/>
      <c r="E65" s="2"/>
      <c r="G65" s="2"/>
      <c r="H65" s="2"/>
      <c r="I65" s="2"/>
      <c r="J65" s="2"/>
      <c r="K65" s="2"/>
      <c r="L65" s="2"/>
      <c r="M65" s="2"/>
    </row>
    <row r="66" spans="1:13" x14ac:dyDescent="0.3">
      <c r="A66" s="2"/>
      <c r="C66" s="2"/>
      <c r="D66" s="2"/>
      <c r="E66" s="2"/>
      <c r="G66" s="2"/>
      <c r="H66" s="2"/>
      <c r="I66" s="2"/>
      <c r="J66" s="2"/>
      <c r="K66" s="2"/>
      <c r="L66" s="2"/>
      <c r="M66" s="2"/>
    </row>
    <row r="67" spans="1:13" x14ac:dyDescent="0.3">
      <c r="A67" s="2"/>
      <c r="C67" s="2"/>
      <c r="D67" s="2"/>
      <c r="E67" s="2"/>
      <c r="G67" s="2"/>
      <c r="H67" s="2"/>
      <c r="I67" s="2"/>
      <c r="J67" s="2"/>
      <c r="K67" s="2"/>
      <c r="L67" s="2"/>
      <c r="M67" s="2"/>
    </row>
    <row r="68" spans="1:13" x14ac:dyDescent="0.3">
      <c r="A68" s="2"/>
      <c r="C68" s="2"/>
      <c r="D68" s="2"/>
      <c r="E68" s="2"/>
      <c r="G68" s="2"/>
      <c r="H68" s="2"/>
      <c r="I68" s="2"/>
      <c r="J68" s="2"/>
      <c r="K68" s="2"/>
      <c r="L68" s="2"/>
      <c r="M68" s="2"/>
    </row>
    <row r="69" spans="1:13" x14ac:dyDescent="0.3">
      <c r="A69" s="2"/>
      <c r="C69" s="2"/>
      <c r="D69" s="2"/>
      <c r="E69" s="2"/>
      <c r="G69" s="2"/>
      <c r="H69" s="2"/>
      <c r="I69" s="2"/>
      <c r="J69" s="2"/>
      <c r="K69" s="2"/>
      <c r="L69" s="2"/>
      <c r="M69" s="2"/>
    </row>
    <row r="70" spans="1:13" x14ac:dyDescent="0.3">
      <c r="A70" s="2"/>
      <c r="C70" s="2"/>
      <c r="D70" s="2"/>
      <c r="E70" s="2"/>
      <c r="G70" s="2"/>
      <c r="H70" s="2"/>
      <c r="I70" s="2"/>
      <c r="J70" s="2"/>
      <c r="K70" s="2"/>
      <c r="L70" s="2"/>
      <c r="M70" s="2"/>
    </row>
    <row r="71" spans="1:13" x14ac:dyDescent="0.3">
      <c r="A71" s="2"/>
      <c r="C71" s="2"/>
      <c r="D71" s="2"/>
      <c r="E71" s="2"/>
      <c r="G71" s="2"/>
      <c r="H71" s="2"/>
      <c r="I71" s="2"/>
      <c r="J71" s="2"/>
      <c r="K71" s="2"/>
      <c r="L71" s="2"/>
      <c r="M71" s="2"/>
    </row>
    <row r="72" spans="1:13" x14ac:dyDescent="0.3">
      <c r="A72" s="2"/>
      <c r="C72" s="2"/>
      <c r="D72" s="2"/>
      <c r="E72" s="2"/>
      <c r="G72" s="2"/>
      <c r="H72" s="2"/>
      <c r="I72" s="2"/>
      <c r="J72" s="2"/>
      <c r="K72" s="2"/>
      <c r="L72" s="2"/>
      <c r="M72" s="2"/>
    </row>
    <row r="73" spans="1:13" x14ac:dyDescent="0.3">
      <c r="A73" s="2"/>
      <c r="C73" s="2"/>
      <c r="D73" s="2"/>
      <c r="E73" s="2"/>
      <c r="G73" s="2"/>
      <c r="H73" s="2"/>
      <c r="I73" s="2"/>
      <c r="J73" s="2"/>
      <c r="K73" s="2"/>
      <c r="L73" s="2"/>
      <c r="M73" s="2"/>
    </row>
    <row r="74" spans="1:13" x14ac:dyDescent="0.3">
      <c r="A74" s="2"/>
      <c r="C74" s="2"/>
      <c r="D74" s="2"/>
      <c r="E74" s="2"/>
      <c r="G74" s="2"/>
      <c r="H74" s="2"/>
      <c r="I74" s="2"/>
      <c r="J74" s="2"/>
      <c r="K74" s="2"/>
      <c r="L74" s="2"/>
      <c r="M74" s="2"/>
    </row>
    <row r="75" spans="1:13" x14ac:dyDescent="0.3">
      <c r="A75" s="2"/>
      <c r="C75" s="2"/>
      <c r="D75" s="2"/>
      <c r="E75" s="2"/>
      <c r="G75" s="2"/>
      <c r="H75" s="2"/>
      <c r="I75" s="2"/>
      <c r="J75" s="2"/>
      <c r="K75" s="2"/>
      <c r="L75" s="2"/>
      <c r="M75" s="2"/>
    </row>
    <row r="76" spans="1:13" x14ac:dyDescent="0.3">
      <c r="A76" s="2"/>
      <c r="C76" s="2"/>
      <c r="D76" s="2"/>
      <c r="E76" s="2"/>
      <c r="G76" s="2"/>
      <c r="H76" s="2"/>
      <c r="I76" s="2"/>
      <c r="J76" s="2"/>
      <c r="K76" s="2"/>
      <c r="L76" s="2"/>
      <c r="M76" s="2"/>
    </row>
    <row r="77" spans="1:13" x14ac:dyDescent="0.3">
      <c r="A77" s="2"/>
      <c r="C77" s="2"/>
      <c r="D77" s="2"/>
      <c r="E77" s="2"/>
      <c r="G77" s="2"/>
      <c r="H77" s="2"/>
      <c r="I77" s="2"/>
      <c r="J77" s="2"/>
      <c r="K77" s="2"/>
      <c r="L77" s="2"/>
      <c r="M77" s="2"/>
    </row>
    <row r="78" spans="1:13" x14ac:dyDescent="0.3">
      <c r="A78" s="2"/>
      <c r="C78" s="2"/>
      <c r="D78" s="2"/>
      <c r="E78" s="2"/>
      <c r="G78" s="2"/>
      <c r="H78" s="2"/>
      <c r="I78" s="2"/>
      <c r="J78" s="2"/>
      <c r="K78" s="2"/>
      <c r="L78" s="2"/>
      <c r="M78" s="2"/>
    </row>
    <row r="79" spans="1:13" x14ac:dyDescent="0.3">
      <c r="A79" s="2"/>
      <c r="C79" s="2"/>
      <c r="D79" s="2"/>
      <c r="E79" s="2"/>
      <c r="G79" s="2"/>
      <c r="H79" s="2"/>
      <c r="I79" s="2"/>
      <c r="J79" s="2"/>
      <c r="K79" s="2"/>
      <c r="L79" s="2"/>
      <c r="M79" s="2"/>
    </row>
    <row r="80" spans="1:13" x14ac:dyDescent="0.3">
      <c r="A80" s="2"/>
      <c r="C80" s="2"/>
      <c r="D80" s="2"/>
      <c r="E80" s="2"/>
      <c r="G80" s="2"/>
      <c r="H80" s="2"/>
      <c r="I80" s="2"/>
      <c r="J80" s="2"/>
      <c r="K80" s="2"/>
      <c r="L80" s="2"/>
      <c r="M80" s="2"/>
    </row>
    <row r="81" spans="1:13" x14ac:dyDescent="0.3">
      <c r="A81" s="2"/>
      <c r="C81" s="2"/>
      <c r="D81" s="2"/>
      <c r="E81" s="2"/>
      <c r="G81" s="2"/>
      <c r="H81" s="2"/>
      <c r="I81" s="2"/>
      <c r="J81" s="2"/>
      <c r="K81" s="2"/>
      <c r="L81" s="2"/>
      <c r="M81" s="2"/>
    </row>
    <row r="82" spans="1:13" x14ac:dyDescent="0.3">
      <c r="A82" s="2"/>
      <c r="C82" s="2"/>
      <c r="D82" s="2"/>
      <c r="E82" s="2"/>
      <c r="G82" s="2"/>
      <c r="H82" s="2"/>
      <c r="I82" s="2"/>
      <c r="J82" s="2"/>
      <c r="K82" s="2"/>
      <c r="L82" s="2"/>
      <c r="M82" s="2"/>
    </row>
    <row r="83" spans="1:13" x14ac:dyDescent="0.3">
      <c r="A83" s="2"/>
      <c r="C83" s="2"/>
      <c r="D83" s="2"/>
      <c r="E83" s="2"/>
      <c r="G83" s="2"/>
      <c r="H83" s="2"/>
      <c r="I83" s="2"/>
      <c r="J83" s="2"/>
      <c r="K83" s="2"/>
      <c r="L83" s="2"/>
      <c r="M83" s="2"/>
    </row>
    <row r="84" spans="1:13" x14ac:dyDescent="0.3">
      <c r="A84" s="2"/>
      <c r="C84" s="2"/>
      <c r="D84" s="2"/>
      <c r="E84" s="2"/>
      <c r="G84" s="2"/>
      <c r="H84" s="2"/>
      <c r="I84" s="2"/>
      <c r="J84" s="2"/>
      <c r="K84" s="2"/>
      <c r="L84" s="2"/>
      <c r="M84" s="2"/>
    </row>
    <row r="85" spans="1:13" x14ac:dyDescent="0.3">
      <c r="A85" s="2"/>
      <c r="C85" s="2"/>
      <c r="D85" s="2"/>
      <c r="E85" s="2"/>
      <c r="G85" s="2"/>
      <c r="H85" s="2"/>
      <c r="I85" s="2"/>
      <c r="J85" s="2"/>
      <c r="K85" s="2"/>
      <c r="L85" s="2"/>
      <c r="M85" s="2"/>
    </row>
    <row r="86" spans="1:13" x14ac:dyDescent="0.3">
      <c r="A86" s="2"/>
      <c r="C86" s="2"/>
      <c r="D86" s="2"/>
      <c r="E86" s="2"/>
      <c r="G86" s="2"/>
      <c r="H86" s="2"/>
      <c r="I86" s="2"/>
      <c r="J86" s="2"/>
      <c r="K86" s="2"/>
      <c r="L86" s="2"/>
      <c r="M86" s="2"/>
    </row>
    <row r="87" spans="1:13" x14ac:dyDescent="0.3">
      <c r="A87" s="2"/>
      <c r="C87" s="2"/>
      <c r="D87" s="2"/>
      <c r="E87" s="2"/>
      <c r="G87" s="2"/>
      <c r="H87" s="2"/>
      <c r="I87" s="2"/>
      <c r="J87" s="2"/>
      <c r="K87" s="2"/>
      <c r="L87" s="2"/>
      <c r="M87" s="2"/>
    </row>
    <row r="88" spans="1:13" x14ac:dyDescent="0.3">
      <c r="A88" s="2"/>
      <c r="C88" s="2"/>
      <c r="D88" s="2"/>
      <c r="E88" s="2"/>
      <c r="G88" s="2"/>
      <c r="H88" s="2"/>
      <c r="I88" s="2"/>
      <c r="J88" s="2"/>
      <c r="K88" s="2"/>
      <c r="L88" s="2"/>
      <c r="M88" s="2"/>
    </row>
    <row r="89" spans="1:13" x14ac:dyDescent="0.3">
      <c r="A89" s="2"/>
      <c r="C89" s="2"/>
      <c r="D89" s="2"/>
      <c r="E89" s="2"/>
      <c r="G89" s="2"/>
      <c r="H89" s="2"/>
      <c r="I89" s="2"/>
      <c r="J89" s="2"/>
      <c r="K89" s="2"/>
      <c r="L89" s="2"/>
      <c r="M89" s="2"/>
    </row>
    <row r="90" spans="1:13" x14ac:dyDescent="0.3">
      <c r="A90" s="2"/>
      <c r="C90" s="2"/>
      <c r="D90" s="2"/>
      <c r="E90" s="2"/>
      <c r="G90" s="2"/>
      <c r="H90" s="2"/>
      <c r="I90" s="2"/>
      <c r="J90" s="2"/>
      <c r="K90" s="2"/>
      <c r="L90" s="2"/>
      <c r="M90" s="2"/>
    </row>
    <row r="91" spans="1:13" x14ac:dyDescent="0.3">
      <c r="A91" s="2"/>
      <c r="C91" s="2"/>
      <c r="D91" s="2"/>
      <c r="E91" s="2"/>
      <c r="G91" s="2"/>
      <c r="H91" s="2"/>
      <c r="I91" s="2"/>
      <c r="J91" s="2"/>
      <c r="K91" s="2"/>
      <c r="L91" s="2"/>
      <c r="M91" s="2"/>
    </row>
    <row r="92" spans="1:13" x14ac:dyDescent="0.3">
      <c r="A92" s="2"/>
      <c r="C92" s="2"/>
      <c r="D92" s="2"/>
      <c r="E92" s="2"/>
      <c r="G92" s="2"/>
      <c r="H92" s="2"/>
      <c r="I92" s="2"/>
      <c r="J92" s="2"/>
      <c r="K92" s="2"/>
      <c r="L92" s="2"/>
      <c r="M92" s="2"/>
    </row>
    <row r="93" spans="1:13" x14ac:dyDescent="0.3">
      <c r="A93" s="2"/>
      <c r="C93" s="2"/>
      <c r="D93" s="2"/>
      <c r="E93" s="2"/>
      <c r="G93" s="2"/>
      <c r="H93" s="2"/>
      <c r="I93" s="2"/>
      <c r="J93" s="2"/>
      <c r="K93" s="2"/>
      <c r="L93" s="2"/>
      <c r="M93" s="2"/>
    </row>
    <row r="94" spans="1:13" x14ac:dyDescent="0.3">
      <c r="A94" s="2"/>
      <c r="C94" s="2"/>
      <c r="D94" s="2"/>
      <c r="E94" s="2"/>
      <c r="G94" s="2"/>
      <c r="H94" s="2"/>
      <c r="I94" s="2"/>
      <c r="J94" s="2"/>
      <c r="K94" s="2"/>
      <c r="L94" s="2"/>
      <c r="M94" s="2"/>
    </row>
    <row r="95" spans="1:13" x14ac:dyDescent="0.3">
      <c r="A95" s="2"/>
      <c r="C95" s="2"/>
      <c r="D95" s="2"/>
      <c r="E95" s="2"/>
      <c r="G95" s="2"/>
      <c r="H95" s="2"/>
      <c r="I95" s="2"/>
      <c r="J95" s="2"/>
      <c r="K95" s="2"/>
      <c r="L95" s="2"/>
      <c r="M95" s="2"/>
    </row>
    <row r="96" spans="1:13" x14ac:dyDescent="0.3">
      <c r="A96" s="2"/>
      <c r="C96" s="2"/>
      <c r="D96" s="2"/>
      <c r="E96" s="2"/>
      <c r="G96" s="2"/>
      <c r="H96" s="2"/>
      <c r="I96" s="2"/>
      <c r="J96" s="2"/>
      <c r="K96" s="2"/>
      <c r="L96" s="2"/>
      <c r="M96" s="2"/>
    </row>
    <row r="97" spans="1:13" x14ac:dyDescent="0.3">
      <c r="A97" s="2"/>
      <c r="C97" s="2"/>
      <c r="D97" s="2"/>
      <c r="E97" s="2"/>
      <c r="G97" s="2"/>
      <c r="H97" s="2"/>
      <c r="I97" s="2"/>
      <c r="J97" s="2"/>
      <c r="K97" s="2"/>
      <c r="L97" s="2"/>
      <c r="M97" s="2"/>
    </row>
    <row r="98" spans="1:13" x14ac:dyDescent="0.3">
      <c r="A98" s="2"/>
      <c r="C98" s="2"/>
      <c r="D98" s="2"/>
      <c r="E98" s="2"/>
      <c r="G98" s="2"/>
      <c r="H98" s="2"/>
      <c r="I98" s="2"/>
      <c r="J98" s="2"/>
      <c r="K98" s="2"/>
      <c r="L98" s="2"/>
      <c r="M98" s="2"/>
    </row>
    <row r="99" spans="1:13" x14ac:dyDescent="0.3">
      <c r="A99" s="2"/>
      <c r="C99" s="2"/>
      <c r="D99" s="2"/>
      <c r="E99" s="2"/>
      <c r="G99" s="2"/>
      <c r="H99" s="2"/>
      <c r="I99" s="2"/>
      <c r="J99" s="2"/>
      <c r="K99" s="2"/>
      <c r="L99" s="2"/>
      <c r="M99" s="2"/>
    </row>
    <row r="100" spans="1:13" x14ac:dyDescent="0.3">
      <c r="A100" s="2"/>
      <c r="C100" s="2"/>
      <c r="D100" s="2"/>
      <c r="E100" s="2"/>
      <c r="G100" s="2"/>
      <c r="H100" s="2"/>
      <c r="I100" s="2"/>
      <c r="J100" s="2"/>
      <c r="K100" s="2"/>
      <c r="L100" s="2"/>
      <c r="M100" s="2"/>
    </row>
    <row r="101" spans="1:13" x14ac:dyDescent="0.3">
      <c r="A101" s="2"/>
      <c r="C101" s="2"/>
      <c r="D101" s="2"/>
      <c r="E101" s="2"/>
      <c r="G101" s="2"/>
      <c r="J101" s="2"/>
    </row>
    <row r="102" spans="1:13" x14ac:dyDescent="0.3">
      <c r="A102" s="2"/>
      <c r="C102" s="2"/>
      <c r="D102" s="2"/>
      <c r="E102" s="2"/>
      <c r="G102" s="2"/>
      <c r="J102" s="2"/>
    </row>
    <row r="103" spans="1:13" x14ac:dyDescent="0.3">
      <c r="A103" s="2"/>
      <c r="C103" s="2"/>
      <c r="D103" s="2"/>
      <c r="E103" s="2"/>
      <c r="G103" s="2"/>
      <c r="J103" s="2"/>
    </row>
    <row r="104" spans="1:13" x14ac:dyDescent="0.3">
      <c r="A104" s="2"/>
      <c r="C104" s="2"/>
      <c r="D104" s="2"/>
      <c r="E104" s="2"/>
      <c r="G104" s="2"/>
      <c r="J104" s="2"/>
    </row>
    <row r="105" spans="1:13" x14ac:dyDescent="0.3">
      <c r="A105" s="2"/>
      <c r="C105" s="2"/>
      <c r="D105" s="2"/>
      <c r="E105" s="2"/>
      <c r="G105" s="2"/>
      <c r="J105" s="2"/>
    </row>
    <row r="106" spans="1:13" x14ac:dyDescent="0.3">
      <c r="A106" s="2"/>
      <c r="C106" s="2"/>
      <c r="D106" s="2"/>
      <c r="E106" s="2"/>
      <c r="G106" s="2"/>
      <c r="J106" s="2"/>
    </row>
    <row r="107" spans="1:13" x14ac:dyDescent="0.3">
      <c r="A107" s="2"/>
      <c r="C107" s="2"/>
      <c r="D107" s="2"/>
      <c r="E107" s="2"/>
      <c r="G107" s="2"/>
      <c r="J107" s="2"/>
    </row>
    <row r="108" spans="1:13" x14ac:dyDescent="0.3">
      <c r="A108" s="2"/>
      <c r="C108" s="2"/>
      <c r="D108" s="2"/>
      <c r="E108" s="2"/>
      <c r="G108" s="2"/>
      <c r="J108" s="2"/>
    </row>
    <row r="109" spans="1:13" x14ac:dyDescent="0.3">
      <c r="A109" s="2"/>
      <c r="C109" s="2"/>
      <c r="D109" s="2"/>
      <c r="E109" s="2"/>
      <c r="G109" s="2"/>
      <c r="J109" s="2"/>
    </row>
    <row r="110" spans="1:13" x14ac:dyDescent="0.3">
      <c r="A110" s="2"/>
      <c r="C110" s="2"/>
      <c r="D110" s="2"/>
      <c r="E110" s="2"/>
      <c r="G110" s="2"/>
      <c r="J110" s="2"/>
    </row>
    <row r="111" spans="1:13" x14ac:dyDescent="0.3">
      <c r="A111" s="2"/>
      <c r="C111" s="2"/>
      <c r="D111" s="2"/>
      <c r="E111" s="2"/>
      <c r="G111" s="2"/>
      <c r="J111" s="2"/>
    </row>
    <row r="112" spans="1:13" x14ac:dyDescent="0.3">
      <c r="A112" s="2"/>
      <c r="C112" s="2"/>
      <c r="D112" s="2"/>
      <c r="E112" s="2"/>
      <c r="G112" s="2"/>
      <c r="J112" s="2"/>
    </row>
    <row r="113" spans="1:10" x14ac:dyDescent="0.3">
      <c r="A113" s="2"/>
      <c r="C113" s="2"/>
      <c r="D113" s="2"/>
      <c r="E113" s="2"/>
      <c r="G113" s="2"/>
      <c r="J113" s="2"/>
    </row>
    <row r="114" spans="1:10" x14ac:dyDescent="0.3">
      <c r="A114" s="2"/>
      <c r="C114" s="2"/>
      <c r="D114" s="2"/>
      <c r="E114" s="2"/>
      <c r="G114" s="2"/>
      <c r="J114" s="2"/>
    </row>
    <row r="115" spans="1:10" x14ac:dyDescent="0.3">
      <c r="A115" s="2"/>
      <c r="C115" s="2"/>
      <c r="D115" s="2"/>
      <c r="E115" s="2"/>
      <c r="G115" s="2"/>
      <c r="J115" s="2"/>
    </row>
    <row r="116" spans="1:10" x14ac:dyDescent="0.3">
      <c r="A116" s="2"/>
      <c r="C116" s="2"/>
      <c r="D116" s="2"/>
      <c r="E116" s="2"/>
      <c r="G116" s="2"/>
      <c r="J116" s="2"/>
    </row>
    <row r="117" spans="1:10" x14ac:dyDescent="0.3">
      <c r="A117" s="2"/>
      <c r="C117" s="2"/>
      <c r="D117" s="2"/>
      <c r="E117" s="2"/>
      <c r="G117" s="2"/>
      <c r="J117" s="2"/>
    </row>
    <row r="118" spans="1:10" x14ac:dyDescent="0.3">
      <c r="A118" s="2"/>
      <c r="C118" s="2"/>
      <c r="D118" s="2"/>
      <c r="E118" s="2"/>
      <c r="G118" s="2"/>
      <c r="J118" s="2"/>
    </row>
    <row r="119" spans="1:10" x14ac:dyDescent="0.3">
      <c r="A119" s="2"/>
      <c r="C119" s="2"/>
      <c r="D119" s="2"/>
      <c r="E119" s="2"/>
      <c r="G119" s="2"/>
      <c r="J119" s="2"/>
    </row>
    <row r="120" spans="1:10" x14ac:dyDescent="0.3">
      <c r="A120" s="2"/>
      <c r="C120" s="2"/>
      <c r="D120" s="2"/>
      <c r="E120" s="2"/>
      <c r="G120" s="2"/>
      <c r="J120" s="2"/>
    </row>
    <row r="121" spans="1:10" x14ac:dyDescent="0.3">
      <c r="A121" s="2"/>
      <c r="C121" s="2"/>
      <c r="D121" s="2"/>
      <c r="E121" s="2"/>
      <c r="G121" s="2"/>
      <c r="J121" s="2"/>
    </row>
    <row r="122" spans="1:10" x14ac:dyDescent="0.3">
      <c r="A122" s="2"/>
      <c r="C122" s="2"/>
      <c r="D122" s="2"/>
      <c r="E122" s="2"/>
      <c r="G122" s="2"/>
      <c r="J122" s="2"/>
    </row>
    <row r="123" spans="1:10" x14ac:dyDescent="0.3">
      <c r="A123" s="2"/>
      <c r="C123" s="2"/>
      <c r="D123" s="2"/>
      <c r="E123" s="2"/>
      <c r="G123" s="2"/>
      <c r="J123" s="2"/>
    </row>
    <row r="124" spans="1:10" x14ac:dyDescent="0.3">
      <c r="A124" s="2"/>
      <c r="C124" s="2"/>
      <c r="D124" s="2"/>
      <c r="E124" s="2"/>
      <c r="G124" s="2"/>
      <c r="J124" s="2"/>
    </row>
    <row r="125" spans="1:10" x14ac:dyDescent="0.3">
      <c r="A125" s="2"/>
      <c r="C125" s="2"/>
      <c r="D125" s="2"/>
      <c r="E125" s="2"/>
      <c r="G125" s="2"/>
      <c r="J125" s="2"/>
    </row>
    <row r="126" spans="1:10" x14ac:dyDescent="0.3">
      <c r="A126" s="2"/>
      <c r="C126" s="2"/>
      <c r="D126" s="2"/>
      <c r="E126" s="2"/>
      <c r="G126" s="2"/>
      <c r="J126" s="2"/>
    </row>
    <row r="127" spans="1:10" x14ac:dyDescent="0.3">
      <c r="A127" s="2"/>
      <c r="C127" s="2"/>
      <c r="D127" s="2"/>
      <c r="E127" s="2"/>
      <c r="G127" s="2"/>
      <c r="J127" s="2"/>
    </row>
    <row r="128" spans="1:10" x14ac:dyDescent="0.3">
      <c r="A128" s="2"/>
      <c r="C128" s="2"/>
      <c r="D128" s="2"/>
      <c r="E128" s="2"/>
      <c r="G128" s="2"/>
      <c r="J128" s="2"/>
    </row>
    <row r="129" spans="1:10" x14ac:dyDescent="0.3">
      <c r="A129" s="2"/>
      <c r="C129" s="2"/>
      <c r="D129" s="2"/>
      <c r="E129" s="2"/>
      <c r="G129" s="2"/>
      <c r="J129" s="2"/>
    </row>
    <row r="130" spans="1:10" x14ac:dyDescent="0.3">
      <c r="A130" s="2"/>
      <c r="C130" s="2"/>
      <c r="D130" s="2"/>
      <c r="E130" s="2"/>
      <c r="G130" s="2"/>
      <c r="J130" s="2"/>
    </row>
    <row r="131" spans="1:10" x14ac:dyDescent="0.3">
      <c r="A131" s="2"/>
      <c r="C131" s="2"/>
      <c r="D131" s="2"/>
      <c r="E131" s="2"/>
      <c r="G131" s="2"/>
      <c r="J131" s="2"/>
    </row>
    <row r="132" spans="1:10" x14ac:dyDescent="0.3">
      <c r="A132" s="2"/>
      <c r="C132" s="2"/>
      <c r="D132" s="2"/>
      <c r="E132" s="2"/>
      <c r="G132" s="2"/>
      <c r="J132" s="2"/>
    </row>
    <row r="133" spans="1:10" x14ac:dyDescent="0.3">
      <c r="A133" s="2"/>
      <c r="C133" s="2"/>
      <c r="D133" s="2"/>
      <c r="E133" s="2"/>
      <c r="G133" s="2"/>
      <c r="J133" s="2"/>
    </row>
    <row r="134" spans="1:10" x14ac:dyDescent="0.3">
      <c r="A134" s="2"/>
      <c r="C134" s="2"/>
      <c r="D134" s="2"/>
      <c r="E134" s="2"/>
      <c r="G134" s="2"/>
      <c r="J134" s="2"/>
    </row>
    <row r="135" spans="1:10" x14ac:dyDescent="0.3">
      <c r="A135" s="2"/>
      <c r="C135" s="2"/>
      <c r="D135" s="2"/>
      <c r="E135" s="2"/>
      <c r="G135" s="2"/>
      <c r="J135" s="2"/>
    </row>
    <row r="136" spans="1:10" x14ac:dyDescent="0.3">
      <c r="A136" s="2"/>
      <c r="C136" s="2"/>
      <c r="D136" s="2"/>
      <c r="E136" s="2"/>
      <c r="G136" s="2"/>
      <c r="J136" s="2"/>
    </row>
    <row r="137" spans="1:10" x14ac:dyDescent="0.3">
      <c r="A137" s="2"/>
      <c r="C137" s="2"/>
      <c r="D137" s="2"/>
      <c r="E137" s="2"/>
      <c r="G137" s="2"/>
      <c r="J137" s="2"/>
    </row>
    <row r="138" spans="1:10" x14ac:dyDescent="0.3">
      <c r="A138" s="2"/>
      <c r="C138" s="2"/>
      <c r="D138" s="2"/>
      <c r="E138" s="2"/>
      <c r="G138" s="2"/>
      <c r="J138" s="2"/>
    </row>
    <row r="139" spans="1:10" x14ac:dyDescent="0.3">
      <c r="A139" s="2"/>
      <c r="C139" s="2"/>
      <c r="D139" s="2"/>
      <c r="E139" s="2"/>
      <c r="G139" s="2"/>
      <c r="J139" s="2"/>
    </row>
    <row r="140" spans="1:10" x14ac:dyDescent="0.3">
      <c r="A140" s="2"/>
      <c r="C140" s="2"/>
      <c r="D140" s="2"/>
      <c r="E140" s="2"/>
      <c r="G140" s="2"/>
      <c r="J140" s="2"/>
    </row>
    <row r="141" spans="1:10" x14ac:dyDescent="0.3">
      <c r="A141" s="2"/>
      <c r="C141" s="2"/>
      <c r="D141" s="2"/>
      <c r="E141" s="2"/>
      <c r="G141" s="2"/>
      <c r="J141" s="2"/>
    </row>
    <row r="142" spans="1:10" x14ac:dyDescent="0.3">
      <c r="A142" s="2"/>
      <c r="C142" s="2"/>
      <c r="D142" s="2"/>
      <c r="E142" s="2"/>
      <c r="G142" s="2"/>
      <c r="J142" s="2"/>
    </row>
    <row r="143" spans="1:10" x14ac:dyDescent="0.3">
      <c r="A143" s="2"/>
      <c r="C143" s="2"/>
      <c r="D143" s="2"/>
      <c r="E143" s="2"/>
      <c r="G143" s="2"/>
      <c r="J143" s="2"/>
    </row>
    <row r="144" spans="1:10" x14ac:dyDescent="0.3">
      <c r="A144" s="2"/>
      <c r="C144" s="2"/>
      <c r="D144" s="2"/>
      <c r="E144" s="2"/>
      <c r="G144" s="2"/>
      <c r="J144" s="2"/>
    </row>
    <row r="145" spans="1:10" x14ac:dyDescent="0.3">
      <c r="A145" s="2"/>
      <c r="C145" s="2"/>
      <c r="D145" s="2"/>
      <c r="E145" s="2"/>
      <c r="G145" s="2"/>
      <c r="J145" s="2"/>
    </row>
    <row r="146" spans="1:10" x14ac:dyDescent="0.3">
      <c r="A146" s="2"/>
      <c r="C146" s="2"/>
      <c r="D146" s="2"/>
      <c r="E146" s="2"/>
      <c r="G146" s="2"/>
      <c r="J146" s="2"/>
    </row>
    <row r="147" spans="1:10" x14ac:dyDescent="0.3">
      <c r="A147" s="2"/>
      <c r="C147" s="2"/>
      <c r="D147" s="2"/>
      <c r="E147" s="2"/>
      <c r="G147" s="2"/>
      <c r="J147" s="2"/>
    </row>
    <row r="148" spans="1:10" x14ac:dyDescent="0.3">
      <c r="A148" s="2"/>
      <c r="C148" s="2"/>
      <c r="D148" s="2"/>
      <c r="E148" s="2"/>
      <c r="G148" s="2"/>
      <c r="J148" s="2"/>
    </row>
    <row r="149" spans="1:10" x14ac:dyDescent="0.3">
      <c r="A149" s="2"/>
      <c r="C149" s="2"/>
      <c r="D149" s="2"/>
      <c r="E149" s="2"/>
      <c r="G149" s="2"/>
      <c r="J149" s="2"/>
    </row>
    <row r="150" spans="1:10" x14ac:dyDescent="0.3">
      <c r="A150" s="2"/>
      <c r="C150" s="2"/>
      <c r="D150" s="2"/>
      <c r="E150" s="2"/>
      <c r="G150" s="2"/>
      <c r="J150" s="2"/>
    </row>
    <row r="151" spans="1:10" x14ac:dyDescent="0.3">
      <c r="A151" s="2"/>
      <c r="C151" s="2"/>
      <c r="D151" s="2"/>
      <c r="E151" s="2"/>
      <c r="G151" s="2"/>
      <c r="J151" s="2"/>
    </row>
    <row r="152" spans="1:10" x14ac:dyDescent="0.3">
      <c r="A152" s="2"/>
      <c r="C152" s="2"/>
      <c r="D152" s="2"/>
      <c r="E152" s="2"/>
      <c r="G152" s="2"/>
      <c r="J152" s="2"/>
    </row>
    <row r="153" spans="1:10" x14ac:dyDescent="0.3">
      <c r="A153" s="2"/>
      <c r="C153" s="2"/>
      <c r="D153" s="2"/>
      <c r="E153" s="2"/>
      <c r="G153" s="2"/>
      <c r="J153" s="2"/>
    </row>
    <row r="154" spans="1:10" x14ac:dyDescent="0.3">
      <c r="A154" s="2"/>
      <c r="C154" s="2"/>
      <c r="D154" s="2"/>
      <c r="E154" s="2"/>
      <c r="G154" s="2"/>
      <c r="J154" s="2"/>
    </row>
    <row r="155" spans="1:10" x14ac:dyDescent="0.3">
      <c r="A155" s="2"/>
      <c r="C155" s="2"/>
      <c r="D155" s="2"/>
      <c r="E155" s="2"/>
      <c r="G155" s="2"/>
      <c r="J155" s="2"/>
    </row>
    <row r="156" spans="1:10" x14ac:dyDescent="0.3">
      <c r="A156" s="2"/>
      <c r="C156" s="2"/>
      <c r="D156" s="2"/>
      <c r="E156" s="2"/>
      <c r="G156" s="2"/>
      <c r="J156" s="2"/>
    </row>
    <row r="157" spans="1:10" x14ac:dyDescent="0.3">
      <c r="A157" s="2"/>
      <c r="C157" s="2"/>
      <c r="D157" s="2"/>
      <c r="E157" s="2"/>
      <c r="G157" s="2"/>
      <c r="J157" s="2"/>
    </row>
    <row r="158" spans="1:10" x14ac:dyDescent="0.3">
      <c r="A158" s="2"/>
      <c r="C158" s="2"/>
      <c r="D158" s="2"/>
      <c r="E158" s="2"/>
      <c r="G158" s="2"/>
      <c r="J158" s="2"/>
    </row>
    <row r="159" spans="1:10" x14ac:dyDescent="0.3">
      <c r="A159" s="2"/>
      <c r="C159" s="2"/>
      <c r="D159" s="2"/>
      <c r="E159" s="2"/>
      <c r="G159" s="2"/>
      <c r="J159" s="2"/>
    </row>
    <row r="160" spans="1:10" x14ac:dyDescent="0.3">
      <c r="A160" s="2"/>
      <c r="C160" s="2"/>
      <c r="D160" s="2"/>
      <c r="E160" s="2"/>
      <c r="G160" s="2"/>
      <c r="J160" s="2"/>
    </row>
    <row r="161" spans="1:10" x14ac:dyDescent="0.3">
      <c r="A161" s="2"/>
      <c r="C161" s="2"/>
      <c r="D161" s="2"/>
      <c r="E161" s="2"/>
      <c r="G161" s="2"/>
      <c r="J161" s="2"/>
    </row>
    <row r="162" spans="1:10" x14ac:dyDescent="0.3">
      <c r="A162" s="2"/>
      <c r="C162" s="2"/>
      <c r="D162" s="2"/>
      <c r="E162" s="2"/>
      <c r="G162" s="2"/>
      <c r="J162" s="2"/>
    </row>
    <row r="163" spans="1:10" x14ac:dyDescent="0.3">
      <c r="A163" s="2"/>
      <c r="C163" s="2"/>
      <c r="D163" s="2"/>
      <c r="E163" s="2"/>
      <c r="G163" s="2"/>
      <c r="J163" s="2"/>
    </row>
    <row r="164" spans="1:10" x14ac:dyDescent="0.3">
      <c r="A164" s="2"/>
      <c r="C164" s="2"/>
      <c r="D164" s="2"/>
      <c r="E164" s="2"/>
      <c r="G164" s="2"/>
      <c r="J164" s="2"/>
    </row>
    <row r="165" spans="1:10" x14ac:dyDescent="0.3">
      <c r="A165" s="2"/>
      <c r="C165" s="2"/>
      <c r="D165" s="2"/>
      <c r="E165" s="2"/>
      <c r="G165" s="2"/>
      <c r="J165" s="2"/>
    </row>
    <row r="166" spans="1:10" x14ac:dyDescent="0.3">
      <c r="A166" s="2"/>
      <c r="C166" s="2"/>
      <c r="D166" s="2"/>
      <c r="E166" s="2"/>
      <c r="G166" s="2"/>
      <c r="J166" s="2"/>
    </row>
    <row r="167" spans="1:10" x14ac:dyDescent="0.3">
      <c r="A167" s="2"/>
      <c r="C167" s="2"/>
      <c r="D167" s="2"/>
      <c r="E167" s="2"/>
      <c r="G167" s="2"/>
      <c r="J167" s="2"/>
    </row>
    <row r="168" spans="1:10" x14ac:dyDescent="0.3">
      <c r="A168" s="2"/>
      <c r="C168" s="2"/>
      <c r="D168" s="2"/>
      <c r="E168" s="2"/>
      <c r="G168" s="2"/>
      <c r="J168" s="2"/>
    </row>
    <row r="169" spans="1:10" x14ac:dyDescent="0.3">
      <c r="A169" s="2"/>
      <c r="C169" s="2"/>
      <c r="D169" s="2"/>
      <c r="E169" s="2"/>
      <c r="G169" s="2"/>
      <c r="J169" s="2"/>
    </row>
    <row r="170" spans="1:10" x14ac:dyDescent="0.3">
      <c r="A170" s="2"/>
      <c r="C170" s="2"/>
      <c r="D170" s="2"/>
      <c r="E170" s="2"/>
      <c r="G170" s="2"/>
      <c r="J170" s="2"/>
    </row>
    <row r="171" spans="1:10" x14ac:dyDescent="0.3">
      <c r="A171" s="2"/>
      <c r="C171" s="2"/>
      <c r="D171" s="2"/>
      <c r="E171" s="2"/>
      <c r="G171" s="2"/>
      <c r="J171" s="2"/>
    </row>
    <row r="172" spans="1:10" x14ac:dyDescent="0.3">
      <c r="A172" s="2"/>
      <c r="C172" s="2"/>
      <c r="D172" s="2"/>
      <c r="E172" s="2"/>
      <c r="G172" s="2"/>
      <c r="J172" s="2"/>
    </row>
    <row r="173" spans="1:10" x14ac:dyDescent="0.3">
      <c r="A173" s="2"/>
      <c r="C173" s="2"/>
      <c r="D173" s="2"/>
      <c r="E173" s="2"/>
      <c r="G173" s="2"/>
      <c r="J173" s="2"/>
    </row>
    <row r="174" spans="1:10" x14ac:dyDescent="0.3">
      <c r="A174" s="2"/>
      <c r="C174" s="2"/>
      <c r="D174" s="2"/>
      <c r="E174" s="2"/>
      <c r="G174" s="2"/>
      <c r="J174" s="2"/>
    </row>
    <row r="175" spans="1:10" x14ac:dyDescent="0.3">
      <c r="A175" s="2"/>
      <c r="C175" s="2"/>
      <c r="D175" s="2"/>
      <c r="E175" s="2"/>
      <c r="G175" s="2"/>
      <c r="J175" s="2"/>
    </row>
    <row r="176" spans="1:10" x14ac:dyDescent="0.3">
      <c r="A176" s="2"/>
      <c r="C176" s="2"/>
      <c r="D176" s="2"/>
      <c r="E176" s="2"/>
      <c r="G176" s="2"/>
      <c r="J176" s="2"/>
    </row>
    <row r="177" spans="1:10" x14ac:dyDescent="0.3">
      <c r="A177" s="2"/>
      <c r="C177" s="2"/>
      <c r="D177" s="2"/>
      <c r="E177" s="2"/>
      <c r="G177" s="2"/>
      <c r="J177" s="2"/>
    </row>
    <row r="178" spans="1:10" x14ac:dyDescent="0.3">
      <c r="A178" s="2"/>
      <c r="C178" s="2"/>
      <c r="D178" s="2"/>
      <c r="E178" s="2"/>
      <c r="G178" s="2"/>
      <c r="J178" s="2"/>
    </row>
    <row r="179" spans="1:10" x14ac:dyDescent="0.3">
      <c r="A179" s="2"/>
      <c r="C179" s="2"/>
      <c r="D179" s="2"/>
      <c r="E179" s="2"/>
      <c r="G179" s="2"/>
      <c r="J179" s="2"/>
    </row>
    <row r="180" spans="1:10" x14ac:dyDescent="0.3">
      <c r="A180" s="2"/>
      <c r="C180" s="2"/>
      <c r="D180" s="2"/>
      <c r="E180" s="2"/>
      <c r="G180" s="2"/>
      <c r="J180" s="2"/>
    </row>
    <row r="181" spans="1:10" x14ac:dyDescent="0.3">
      <c r="A181" s="2"/>
      <c r="C181" s="2"/>
      <c r="D181" s="2"/>
      <c r="E181" s="2"/>
      <c r="G181" s="2"/>
      <c r="J181" s="2"/>
    </row>
    <row r="182" spans="1:10" x14ac:dyDescent="0.3">
      <c r="A182" s="2"/>
      <c r="C182" s="2"/>
      <c r="D182" s="2"/>
      <c r="E182" s="2"/>
      <c r="G182" s="2"/>
      <c r="J182" s="2"/>
    </row>
    <row r="183" spans="1:10" x14ac:dyDescent="0.3">
      <c r="A183" s="2"/>
      <c r="C183" s="2"/>
      <c r="D183" s="2"/>
      <c r="E183" s="2"/>
      <c r="G183" s="2"/>
      <c r="J183" s="2"/>
    </row>
    <row r="184" spans="1:10" x14ac:dyDescent="0.3">
      <c r="A184" s="2"/>
      <c r="C184" s="2"/>
      <c r="D184" s="2"/>
      <c r="E184" s="2"/>
      <c r="G184" s="2"/>
      <c r="J184" s="2"/>
    </row>
    <row r="185" spans="1:10" x14ac:dyDescent="0.3">
      <c r="A185" s="2"/>
      <c r="C185" s="2"/>
      <c r="D185" s="2"/>
      <c r="E185" s="2"/>
      <c r="G185" s="2"/>
      <c r="J185" s="2"/>
    </row>
    <row r="186" spans="1:10" x14ac:dyDescent="0.3">
      <c r="A186" s="2"/>
      <c r="C186" s="2"/>
      <c r="D186" s="2"/>
      <c r="E186" s="2"/>
      <c r="G186" s="2"/>
      <c r="J186" s="2"/>
    </row>
    <row r="187" spans="1:10" x14ac:dyDescent="0.3">
      <c r="A187" s="2"/>
      <c r="C187" s="2"/>
      <c r="D187" s="2"/>
      <c r="E187" s="2"/>
      <c r="G187" s="2"/>
      <c r="J187" s="2"/>
    </row>
    <row r="188" spans="1:10" x14ac:dyDescent="0.3">
      <c r="A188" s="2"/>
      <c r="C188" s="2"/>
      <c r="D188" s="2"/>
      <c r="E188" s="2"/>
      <c r="G188" s="2"/>
      <c r="J188" s="2"/>
    </row>
    <row r="189" spans="1:10" x14ac:dyDescent="0.3">
      <c r="A189" s="2"/>
      <c r="C189" s="2"/>
      <c r="D189" s="2"/>
      <c r="E189" s="2"/>
      <c r="G189" s="2"/>
      <c r="J189" s="2"/>
    </row>
    <row r="190" spans="1:10" x14ac:dyDescent="0.3">
      <c r="A190" s="2"/>
      <c r="C190" s="2"/>
      <c r="D190" s="2"/>
      <c r="E190" s="2"/>
      <c r="G190" s="2"/>
      <c r="J190" s="2"/>
    </row>
    <row r="191" spans="1:10" x14ac:dyDescent="0.3">
      <c r="A191" s="2"/>
      <c r="C191" s="2"/>
      <c r="D191" s="2"/>
      <c r="E191" s="2"/>
      <c r="G191" s="2"/>
      <c r="J191" s="2"/>
    </row>
    <row r="192" spans="1:10" x14ac:dyDescent="0.3">
      <c r="A192" s="2"/>
      <c r="C192" s="2"/>
      <c r="D192" s="2"/>
      <c r="E192" s="2"/>
      <c r="G192" s="2"/>
      <c r="J192" s="2"/>
    </row>
    <row r="193" spans="1:10" x14ac:dyDescent="0.3">
      <c r="A193" s="2"/>
      <c r="C193" s="2"/>
      <c r="D193" s="2"/>
      <c r="E193" s="2"/>
      <c r="G193" s="2"/>
      <c r="J193" s="2"/>
    </row>
    <row r="194" spans="1:10" x14ac:dyDescent="0.3">
      <c r="A194" s="2"/>
      <c r="C194" s="2"/>
      <c r="D194" s="2"/>
      <c r="E194" s="2"/>
      <c r="G194" s="2"/>
      <c r="J194" s="2"/>
    </row>
    <row r="195" spans="1:10" x14ac:dyDescent="0.3">
      <c r="A195" s="2"/>
      <c r="C195" s="2"/>
      <c r="D195" s="2"/>
      <c r="E195" s="2"/>
      <c r="G195" s="2"/>
      <c r="J195" s="2"/>
    </row>
    <row r="196" spans="1:10" x14ac:dyDescent="0.3">
      <c r="A196" s="2"/>
      <c r="C196" s="2"/>
      <c r="D196" s="2"/>
      <c r="E196" s="2"/>
      <c r="G196" s="2"/>
      <c r="J196" s="2"/>
    </row>
    <row r="197" spans="1:10" x14ac:dyDescent="0.3">
      <c r="A197" s="2"/>
      <c r="C197" s="2"/>
      <c r="D197" s="2"/>
      <c r="E197" s="2"/>
      <c r="G197" s="2"/>
      <c r="J197" s="2"/>
    </row>
    <row r="198" spans="1:10" x14ac:dyDescent="0.3">
      <c r="A198" s="2"/>
      <c r="C198" s="2"/>
      <c r="D198" s="2"/>
      <c r="E198" s="2"/>
      <c r="G198" s="2"/>
      <c r="J198" s="2"/>
    </row>
    <row r="199" spans="1:10" x14ac:dyDescent="0.3">
      <c r="A199" s="2"/>
      <c r="C199" s="2"/>
      <c r="D199" s="2"/>
      <c r="E199" s="2"/>
      <c r="G199" s="2"/>
      <c r="J199" s="2"/>
    </row>
    <row r="200" spans="1:10" x14ac:dyDescent="0.3">
      <c r="A200" s="2"/>
      <c r="C200" s="2"/>
      <c r="D200" s="2"/>
      <c r="E200" s="2"/>
      <c r="G200" s="2"/>
      <c r="J200" s="2"/>
    </row>
    <row r="201" spans="1:10" x14ac:dyDescent="0.3">
      <c r="A201" s="2"/>
      <c r="C201" s="2"/>
      <c r="D201" s="2"/>
      <c r="E201" s="2"/>
      <c r="G201" s="2"/>
      <c r="J201" s="2"/>
    </row>
    <row r="202" spans="1:10" x14ac:dyDescent="0.3">
      <c r="A202" s="2"/>
      <c r="C202" s="2"/>
      <c r="D202" s="2"/>
      <c r="E202" s="2"/>
      <c r="G202" s="2"/>
      <c r="J202" s="2"/>
    </row>
    <row r="203" spans="1:10" x14ac:dyDescent="0.3">
      <c r="A203" s="2"/>
      <c r="C203" s="2"/>
      <c r="D203" s="2"/>
      <c r="E203" s="2"/>
      <c r="G203" s="2"/>
      <c r="J203" s="2"/>
    </row>
    <row r="204" spans="1:10" x14ac:dyDescent="0.3">
      <c r="A204" s="2"/>
      <c r="C204" s="2"/>
      <c r="D204" s="2"/>
      <c r="E204" s="2"/>
      <c r="G204" s="2"/>
      <c r="J204" s="2"/>
    </row>
    <row r="205" spans="1:10" x14ac:dyDescent="0.3">
      <c r="A205" s="2"/>
      <c r="C205" s="2"/>
      <c r="D205" s="2"/>
      <c r="E205" s="2"/>
      <c r="G205" s="2"/>
      <c r="J205" s="2"/>
    </row>
    <row r="206" spans="1:10" x14ac:dyDescent="0.3">
      <c r="A206" s="2"/>
      <c r="C206" s="2"/>
      <c r="D206" s="2"/>
      <c r="E206" s="2"/>
      <c r="G206" s="2"/>
      <c r="J206" s="2"/>
    </row>
    <row r="207" spans="1:10" x14ac:dyDescent="0.3">
      <c r="A207" s="2"/>
      <c r="C207" s="2"/>
      <c r="D207" s="2"/>
      <c r="E207" s="2"/>
      <c r="G207" s="2"/>
      <c r="J207" s="2"/>
    </row>
    <row r="208" spans="1:10" x14ac:dyDescent="0.3">
      <c r="A208" s="2"/>
      <c r="C208" s="2"/>
      <c r="D208" s="2"/>
      <c r="E208" s="2"/>
      <c r="G208" s="2"/>
      <c r="J208" s="2"/>
    </row>
    <row r="209" spans="1:10" x14ac:dyDescent="0.3">
      <c r="A209" s="2"/>
      <c r="C209" s="2"/>
      <c r="D209" s="2"/>
      <c r="E209" s="2"/>
      <c r="G209" s="2"/>
      <c r="J209" s="2"/>
    </row>
    <row r="210" spans="1:10" x14ac:dyDescent="0.3">
      <c r="A210" s="2"/>
      <c r="C210" s="2"/>
      <c r="D210" s="2"/>
      <c r="E210" s="2"/>
      <c r="G210" s="2"/>
      <c r="J210" s="2"/>
    </row>
    <row r="211" spans="1:10" x14ac:dyDescent="0.3">
      <c r="A211" s="2"/>
      <c r="C211" s="2"/>
      <c r="D211" s="2"/>
      <c r="E211" s="2"/>
      <c r="G211" s="2"/>
      <c r="J211" s="2"/>
    </row>
    <row r="212" spans="1:10" x14ac:dyDescent="0.3">
      <c r="A212" s="2"/>
      <c r="C212" s="2"/>
      <c r="D212" s="2"/>
      <c r="E212" s="2"/>
      <c r="G212" s="2"/>
      <c r="J212" s="2"/>
    </row>
    <row r="213" spans="1:10" x14ac:dyDescent="0.3">
      <c r="A213" s="2"/>
      <c r="C213" s="2"/>
      <c r="D213" s="2"/>
      <c r="E213" s="2"/>
      <c r="G213" s="2"/>
      <c r="J213" s="2"/>
    </row>
    <row r="214" spans="1:10" x14ac:dyDescent="0.3">
      <c r="A214" s="2"/>
      <c r="C214" s="2"/>
      <c r="D214" s="2"/>
      <c r="E214" s="2"/>
      <c r="G214" s="2"/>
      <c r="J214" s="2"/>
    </row>
    <row r="215" spans="1:10" x14ac:dyDescent="0.3">
      <c r="A215" s="2"/>
      <c r="C215" s="2"/>
      <c r="D215" s="2"/>
      <c r="E215" s="2"/>
      <c r="G215" s="2"/>
      <c r="J215" s="2"/>
    </row>
    <row r="216" spans="1:10" x14ac:dyDescent="0.3">
      <c r="A216" s="2"/>
      <c r="C216" s="2"/>
      <c r="D216" s="2"/>
      <c r="E216" s="2"/>
      <c r="G216" s="2"/>
      <c r="J216" s="2"/>
    </row>
    <row r="217" spans="1:10" x14ac:dyDescent="0.3">
      <c r="A217" s="2"/>
      <c r="C217" s="2"/>
      <c r="D217" s="2"/>
      <c r="E217" s="2"/>
      <c r="G217" s="2"/>
      <c r="J217" s="2"/>
    </row>
    <row r="218" spans="1:10" x14ac:dyDescent="0.3">
      <c r="A218" s="2"/>
      <c r="C218" s="2"/>
      <c r="D218" s="2"/>
      <c r="E218" s="2"/>
      <c r="G218" s="2"/>
      <c r="J218" s="2"/>
    </row>
    <row r="219" spans="1:10" x14ac:dyDescent="0.3">
      <c r="A219" s="2"/>
      <c r="C219" s="2"/>
      <c r="D219" s="2"/>
      <c r="E219" s="2"/>
      <c r="G219" s="2"/>
      <c r="J219" s="2"/>
    </row>
    <row r="220" spans="1:10" x14ac:dyDescent="0.3">
      <c r="A220" s="2"/>
      <c r="C220" s="2"/>
      <c r="D220" s="2"/>
      <c r="E220" s="2"/>
      <c r="G220" s="2"/>
      <c r="J220" s="2"/>
    </row>
    <row r="221" spans="1:10" x14ac:dyDescent="0.3">
      <c r="A221" s="2"/>
      <c r="C221" s="2"/>
      <c r="D221" s="2"/>
      <c r="E221" s="2"/>
      <c r="G221" s="2"/>
      <c r="J221" s="2"/>
    </row>
    <row r="222" spans="1:10" x14ac:dyDescent="0.3">
      <c r="A222" s="2"/>
      <c r="C222" s="2"/>
      <c r="D222" s="2"/>
      <c r="E222" s="2"/>
      <c r="G222" s="2"/>
      <c r="J222" s="2"/>
    </row>
    <row r="223" spans="1:10" x14ac:dyDescent="0.3">
      <c r="A223" s="2"/>
      <c r="C223" s="2"/>
      <c r="D223" s="2"/>
      <c r="E223" s="2"/>
      <c r="G223" s="2"/>
      <c r="J223" s="2"/>
    </row>
    <row r="224" spans="1:10" x14ac:dyDescent="0.3">
      <c r="A224" s="2"/>
      <c r="C224" s="2"/>
      <c r="D224" s="2"/>
      <c r="E224" s="2"/>
      <c r="G224" s="2"/>
      <c r="J224" s="2"/>
    </row>
    <row r="225" spans="1:10" x14ac:dyDescent="0.3">
      <c r="A225" s="2"/>
      <c r="C225" s="2"/>
      <c r="D225" s="2"/>
      <c r="E225" s="2"/>
      <c r="G225" s="2"/>
      <c r="J225" s="2"/>
    </row>
    <row r="226" spans="1:10" x14ac:dyDescent="0.3">
      <c r="A226" s="2"/>
      <c r="C226" s="2"/>
      <c r="D226" s="2"/>
      <c r="E226" s="2"/>
      <c r="G226" s="2"/>
      <c r="J226" s="2"/>
    </row>
    <row r="227" spans="1:10" x14ac:dyDescent="0.3">
      <c r="A227" s="2"/>
      <c r="C227" s="2"/>
      <c r="D227" s="2"/>
      <c r="E227" s="2"/>
      <c r="G227" s="2"/>
      <c r="J227" s="2"/>
    </row>
    <row r="228" spans="1:10" x14ac:dyDescent="0.3">
      <c r="A228" s="2"/>
      <c r="C228" s="2"/>
      <c r="D228" s="2"/>
      <c r="E228" s="2"/>
      <c r="G228" s="2"/>
      <c r="J228" s="2"/>
    </row>
    <row r="229" spans="1:10" x14ac:dyDescent="0.3">
      <c r="A229" s="2"/>
      <c r="C229" s="2"/>
      <c r="D229" s="2"/>
      <c r="E229" s="2"/>
      <c r="G229" s="2"/>
      <c r="J229" s="2"/>
    </row>
    <row r="230" spans="1:10" x14ac:dyDescent="0.3">
      <c r="A230" s="2"/>
      <c r="C230" s="2"/>
      <c r="D230" s="2"/>
      <c r="E230" s="2"/>
      <c r="G230" s="2"/>
      <c r="J230" s="2"/>
    </row>
    <row r="231" spans="1:10" x14ac:dyDescent="0.3">
      <c r="A231" s="2"/>
      <c r="C231" s="2"/>
      <c r="D231" s="2"/>
      <c r="E231" s="2"/>
      <c r="G231" s="2"/>
      <c r="J231" s="2"/>
    </row>
    <row r="232" spans="1:10" x14ac:dyDescent="0.3">
      <c r="A232" s="2"/>
      <c r="C232" s="2"/>
      <c r="D232" s="2"/>
      <c r="E232" s="2"/>
      <c r="G232" s="2"/>
      <c r="J232" s="2"/>
    </row>
    <row r="233" spans="1:10" x14ac:dyDescent="0.3">
      <c r="A233" s="2"/>
      <c r="C233" s="2"/>
      <c r="D233" s="2"/>
      <c r="E233" s="2"/>
      <c r="G233" s="2"/>
      <c r="J233" s="2"/>
    </row>
    <row r="234" spans="1:10" x14ac:dyDescent="0.3">
      <c r="A234" s="2"/>
      <c r="C234" s="2"/>
      <c r="D234" s="2"/>
      <c r="E234" s="2"/>
      <c r="G234" s="2"/>
      <c r="J234" s="2"/>
    </row>
    <row r="235" spans="1:10" x14ac:dyDescent="0.3">
      <c r="A235" s="2"/>
      <c r="C235" s="2"/>
      <c r="D235" s="2"/>
      <c r="E235" s="2"/>
      <c r="G235" s="2"/>
      <c r="J235" s="2"/>
    </row>
    <row r="236" spans="1:10" x14ac:dyDescent="0.3">
      <c r="A236" s="2"/>
      <c r="C236" s="2"/>
      <c r="D236" s="2"/>
      <c r="E236" s="2"/>
      <c r="G236" s="2"/>
      <c r="J236" s="2"/>
    </row>
    <row r="237" spans="1:10" x14ac:dyDescent="0.3">
      <c r="A237" s="2"/>
      <c r="C237" s="2"/>
      <c r="D237" s="2"/>
      <c r="E237" s="2"/>
      <c r="G237" s="2"/>
      <c r="J237" s="2"/>
    </row>
    <row r="238" spans="1:10" x14ac:dyDescent="0.3">
      <c r="A238" s="2"/>
      <c r="C238" s="2"/>
      <c r="D238" s="2"/>
      <c r="E238" s="2"/>
      <c r="G238" s="2"/>
      <c r="J238" s="2"/>
    </row>
    <row r="239" spans="1:10" x14ac:dyDescent="0.3">
      <c r="A239" s="2"/>
      <c r="C239" s="2"/>
      <c r="D239" s="2"/>
      <c r="E239" s="2"/>
      <c r="G239" s="2"/>
      <c r="J239" s="2"/>
    </row>
    <row r="240" spans="1:10" x14ac:dyDescent="0.3">
      <c r="A240" s="2"/>
      <c r="C240" s="2"/>
      <c r="D240" s="2"/>
      <c r="E240" s="2"/>
      <c r="G240" s="2"/>
      <c r="J240" s="2"/>
    </row>
    <row r="241" spans="1:10" x14ac:dyDescent="0.3">
      <c r="A241" s="2"/>
      <c r="C241" s="2"/>
      <c r="D241" s="2"/>
      <c r="E241" s="2"/>
      <c r="G241" s="2"/>
      <c r="J241" s="2"/>
    </row>
    <row r="242" spans="1:10" x14ac:dyDescent="0.3">
      <c r="A242" s="2"/>
      <c r="C242" s="2"/>
      <c r="D242" s="2"/>
      <c r="E242" s="2"/>
      <c r="G242" s="2"/>
      <c r="J242" s="2"/>
    </row>
    <row r="243" spans="1:10" x14ac:dyDescent="0.3">
      <c r="A243" s="2"/>
      <c r="C243" s="2"/>
      <c r="D243" s="2"/>
      <c r="E243" s="2"/>
      <c r="G243" s="2"/>
      <c r="J243" s="2"/>
    </row>
    <row r="244" spans="1:10" x14ac:dyDescent="0.3">
      <c r="A244" s="2"/>
      <c r="C244" s="2"/>
      <c r="D244" s="2"/>
      <c r="E244" s="2"/>
      <c r="G244" s="2"/>
      <c r="J244" s="2"/>
    </row>
    <row r="245" spans="1:10" x14ac:dyDescent="0.3">
      <c r="A245" s="2"/>
      <c r="C245" s="2"/>
      <c r="D245" s="2"/>
      <c r="E245" s="2"/>
      <c r="G245" s="2"/>
      <c r="J245" s="2"/>
    </row>
    <row r="246" spans="1:10" x14ac:dyDescent="0.3">
      <c r="A246" s="2"/>
      <c r="C246" s="2"/>
      <c r="D246" s="2"/>
      <c r="E246" s="2"/>
      <c r="G246" s="2"/>
      <c r="J246" s="2"/>
    </row>
    <row r="247" spans="1:10" x14ac:dyDescent="0.3">
      <c r="A247" s="2"/>
      <c r="C247" s="2"/>
      <c r="D247" s="2"/>
      <c r="E247" s="2"/>
      <c r="G247" s="2"/>
      <c r="J247" s="2"/>
    </row>
    <row r="248" spans="1:10" x14ac:dyDescent="0.3">
      <c r="A248" s="2"/>
      <c r="C248" s="2"/>
      <c r="D248" s="2"/>
      <c r="E248" s="2"/>
      <c r="G248" s="2"/>
      <c r="J248" s="2"/>
    </row>
    <row r="249" spans="1:10" x14ac:dyDescent="0.3">
      <c r="A249" s="2"/>
      <c r="C249" s="2"/>
      <c r="D249" s="2"/>
      <c r="E249" s="2"/>
      <c r="G249" s="2"/>
      <c r="J249" s="2"/>
    </row>
    <row r="250" spans="1:10" x14ac:dyDescent="0.3">
      <c r="A250" s="2"/>
      <c r="C250" s="2"/>
      <c r="D250" s="2"/>
      <c r="E250" s="2"/>
      <c r="G250" s="2"/>
      <c r="J250" s="2"/>
    </row>
    <row r="251" spans="1:10" x14ac:dyDescent="0.3">
      <c r="A251" s="2"/>
      <c r="C251" s="2"/>
      <c r="D251" s="2"/>
      <c r="E251" s="2"/>
      <c r="G251" s="2"/>
      <c r="J251" s="2"/>
    </row>
    <row r="252" spans="1:10" x14ac:dyDescent="0.3">
      <c r="A252" s="2"/>
      <c r="C252" s="2"/>
      <c r="D252" s="2"/>
      <c r="E252" s="2"/>
      <c r="G252" s="2"/>
      <c r="J252" s="2"/>
    </row>
    <row r="253" spans="1:10" x14ac:dyDescent="0.3">
      <c r="A253" s="2"/>
      <c r="C253" s="2"/>
      <c r="D253" s="2"/>
      <c r="E253" s="2"/>
      <c r="G253" s="2"/>
      <c r="J253" s="2"/>
    </row>
    <row r="254" spans="1:10" x14ac:dyDescent="0.3">
      <c r="A254" s="2"/>
      <c r="C254" s="2"/>
      <c r="D254" s="2"/>
      <c r="E254" s="2"/>
      <c r="G254" s="2"/>
      <c r="J254" s="2"/>
    </row>
    <row r="255" spans="1:10" x14ac:dyDescent="0.3">
      <c r="A255" s="2"/>
      <c r="C255" s="2"/>
      <c r="D255" s="2"/>
      <c r="E255" s="2"/>
      <c r="G255" s="2"/>
      <c r="J255" s="2"/>
    </row>
    <row r="256" spans="1:10" x14ac:dyDescent="0.3">
      <c r="A256" s="2"/>
      <c r="C256" s="2"/>
      <c r="D256" s="2"/>
      <c r="E256" s="2"/>
      <c r="G256" s="2"/>
      <c r="J256" s="2"/>
    </row>
    <row r="257" spans="1:10" x14ac:dyDescent="0.3">
      <c r="A257" s="2"/>
      <c r="C257" s="2"/>
      <c r="D257" s="2"/>
      <c r="E257" s="2"/>
      <c r="G257" s="2"/>
      <c r="J257" s="2"/>
    </row>
    <row r="258" spans="1:10" x14ac:dyDescent="0.3">
      <c r="A258" s="2"/>
      <c r="C258" s="2"/>
      <c r="D258" s="2"/>
      <c r="E258" s="2"/>
      <c r="G258" s="2"/>
      <c r="J258" s="2"/>
    </row>
    <row r="259" spans="1:10" x14ac:dyDescent="0.3">
      <c r="A259" s="2"/>
      <c r="C259" s="2"/>
      <c r="D259" s="2"/>
      <c r="E259" s="2"/>
      <c r="G259" s="2"/>
      <c r="J259" s="2"/>
    </row>
    <row r="260" spans="1:10" x14ac:dyDescent="0.3">
      <c r="A260" s="2"/>
      <c r="C260" s="2"/>
      <c r="D260" s="2"/>
      <c r="E260" s="2"/>
      <c r="G260" s="2"/>
      <c r="J260" s="2"/>
    </row>
    <row r="261" spans="1:10" x14ac:dyDescent="0.3">
      <c r="A261" s="2"/>
      <c r="C261" s="2"/>
      <c r="D261" s="2"/>
      <c r="E261" s="2"/>
      <c r="G261" s="2"/>
      <c r="J261" s="2"/>
    </row>
    <row r="262" spans="1:10" x14ac:dyDescent="0.3">
      <c r="A262" s="2"/>
      <c r="C262" s="2"/>
      <c r="D262" s="2"/>
      <c r="E262" s="2"/>
      <c r="G262" s="2"/>
      <c r="J262" s="2"/>
    </row>
    <row r="263" spans="1:10" x14ac:dyDescent="0.3">
      <c r="A263" s="2"/>
      <c r="C263" s="2"/>
      <c r="D263" s="2"/>
      <c r="E263" s="2"/>
      <c r="G263" s="2"/>
      <c r="J263" s="2"/>
    </row>
    <row r="264" spans="1:10" x14ac:dyDescent="0.3">
      <c r="A264" s="2"/>
      <c r="C264" s="2"/>
      <c r="D264" s="2"/>
      <c r="E264" s="2"/>
      <c r="G264" s="2"/>
      <c r="J264" s="2"/>
    </row>
    <row r="265" spans="1:10" x14ac:dyDescent="0.3">
      <c r="A265" s="2"/>
      <c r="C265" s="2"/>
      <c r="D265" s="2"/>
      <c r="E265" s="2"/>
      <c r="G265" s="2"/>
      <c r="J265" s="2"/>
    </row>
    <row r="266" spans="1:10" x14ac:dyDescent="0.3">
      <c r="A266" s="2"/>
      <c r="C266" s="2"/>
      <c r="D266" s="2"/>
      <c r="E266" s="2"/>
      <c r="G266" s="2"/>
      <c r="J266" s="2"/>
    </row>
    <row r="267" spans="1:10" x14ac:dyDescent="0.3">
      <c r="A267" s="2"/>
      <c r="C267" s="2"/>
      <c r="D267" s="2"/>
      <c r="E267" s="2"/>
      <c r="G267" s="2"/>
      <c r="J267" s="2"/>
    </row>
    <row r="268" spans="1:10" x14ac:dyDescent="0.3">
      <c r="A268" s="2"/>
      <c r="C268" s="2"/>
      <c r="D268" s="2"/>
      <c r="E268" s="2"/>
      <c r="G268" s="2"/>
      <c r="J268" s="2"/>
    </row>
    <row r="269" spans="1:10" x14ac:dyDescent="0.3">
      <c r="A269" s="2"/>
      <c r="C269" s="2"/>
      <c r="D269" s="2"/>
      <c r="E269" s="2"/>
      <c r="G269" s="2"/>
      <c r="J269" s="2"/>
    </row>
    <row r="270" spans="1:10" x14ac:dyDescent="0.3">
      <c r="A270" s="2"/>
      <c r="C270" s="2"/>
      <c r="D270" s="2"/>
      <c r="E270" s="2"/>
      <c r="G270" s="2"/>
      <c r="J270" s="2"/>
    </row>
    <row r="271" spans="1:10" x14ac:dyDescent="0.3">
      <c r="A271" s="2"/>
      <c r="C271" s="2"/>
      <c r="D271" s="2"/>
      <c r="E271" s="2"/>
      <c r="G271" s="2"/>
      <c r="J271" s="2"/>
    </row>
    <row r="272" spans="1:10" x14ac:dyDescent="0.3">
      <c r="A272" s="2"/>
      <c r="C272" s="2"/>
      <c r="D272" s="2"/>
      <c r="E272" s="2"/>
      <c r="G272" s="2"/>
      <c r="J272" s="2"/>
    </row>
    <row r="273" spans="1:10" x14ac:dyDescent="0.3">
      <c r="A273" s="2"/>
      <c r="C273" s="2"/>
      <c r="D273" s="2"/>
      <c r="E273" s="2"/>
      <c r="G273" s="2"/>
      <c r="J273" s="2"/>
    </row>
    <row r="274" spans="1:10" x14ac:dyDescent="0.3">
      <c r="A274" s="2"/>
      <c r="C274" s="2"/>
      <c r="D274" s="2"/>
      <c r="E274" s="2"/>
      <c r="G274" s="2"/>
      <c r="J274" s="2"/>
    </row>
    <row r="275" spans="1:10" x14ac:dyDescent="0.3">
      <c r="A275" s="2"/>
      <c r="C275" s="2"/>
      <c r="D275" s="2"/>
      <c r="E275" s="2"/>
      <c r="G275" s="2"/>
      <c r="J275" s="2"/>
    </row>
    <row r="276" spans="1:10" x14ac:dyDescent="0.3">
      <c r="A276" s="2"/>
      <c r="C276" s="2"/>
      <c r="D276" s="2"/>
      <c r="E276" s="2"/>
      <c r="G276" s="2"/>
      <c r="J276" s="2"/>
    </row>
    <row r="277" spans="1:10" x14ac:dyDescent="0.3">
      <c r="A277" s="2"/>
      <c r="C277" s="2"/>
      <c r="D277" s="2"/>
      <c r="E277" s="2"/>
      <c r="G277" s="2"/>
      <c r="J277" s="2"/>
    </row>
    <row r="278" spans="1:10" x14ac:dyDescent="0.3">
      <c r="A278" s="2"/>
      <c r="C278" s="2"/>
      <c r="D278" s="2"/>
      <c r="E278" s="2"/>
      <c r="G278" s="2"/>
      <c r="J278" s="2"/>
    </row>
    <row r="279" spans="1:10" x14ac:dyDescent="0.3">
      <c r="A279" s="2"/>
      <c r="C279" s="2"/>
      <c r="D279" s="2"/>
      <c r="E279" s="2"/>
      <c r="G279" s="2"/>
      <c r="J279" s="2"/>
    </row>
    <row r="280" spans="1:10" x14ac:dyDescent="0.3">
      <c r="A280" s="2"/>
      <c r="C280" s="2"/>
      <c r="D280" s="2"/>
      <c r="E280" s="2"/>
      <c r="G280" s="2"/>
      <c r="J280" s="2"/>
    </row>
    <row r="281" spans="1:10" x14ac:dyDescent="0.3">
      <c r="A281" s="2"/>
      <c r="C281" s="2"/>
      <c r="D281" s="2"/>
      <c r="E281" s="2"/>
      <c r="G281" s="2"/>
      <c r="J281" s="2"/>
    </row>
    <row r="282" spans="1:10" x14ac:dyDescent="0.3">
      <c r="A282" s="2"/>
      <c r="C282" s="2"/>
      <c r="D282" s="2"/>
      <c r="E282" s="2"/>
      <c r="G282" s="2"/>
      <c r="J282" s="2"/>
    </row>
    <row r="283" spans="1:10" x14ac:dyDescent="0.3">
      <c r="A283" s="2"/>
      <c r="C283" s="2"/>
      <c r="D283" s="2"/>
      <c r="E283" s="2"/>
      <c r="G283" s="2"/>
      <c r="J283" s="2"/>
    </row>
    <row r="284" spans="1:10" x14ac:dyDescent="0.3">
      <c r="A284" s="2"/>
      <c r="C284" s="2"/>
      <c r="D284" s="2"/>
      <c r="E284" s="2"/>
      <c r="G284" s="2"/>
      <c r="J284" s="2"/>
    </row>
    <row r="285" spans="1:10" x14ac:dyDescent="0.3">
      <c r="A285" s="2"/>
      <c r="C285" s="2"/>
      <c r="D285" s="2"/>
      <c r="E285" s="2"/>
      <c r="G285" s="2"/>
      <c r="J285" s="2"/>
    </row>
    <row r="286" spans="1:10" x14ac:dyDescent="0.3">
      <c r="A286" s="2"/>
      <c r="C286" s="2"/>
      <c r="D286" s="2"/>
      <c r="E286" s="2"/>
      <c r="G286" s="2"/>
      <c r="J286" s="2"/>
    </row>
    <row r="287" spans="1:10" x14ac:dyDescent="0.3">
      <c r="A287" s="2"/>
      <c r="C287" s="2"/>
      <c r="D287" s="2"/>
      <c r="E287" s="2"/>
      <c r="G287" s="2"/>
      <c r="J287" s="2"/>
    </row>
    <row r="288" spans="1:10" x14ac:dyDescent="0.3">
      <c r="A288" s="2"/>
      <c r="C288" s="2"/>
      <c r="D288" s="2"/>
      <c r="E288" s="2"/>
      <c r="G288" s="2"/>
      <c r="J288" s="2"/>
    </row>
    <row r="289" spans="1:10" x14ac:dyDescent="0.3">
      <c r="A289" s="2"/>
      <c r="C289" s="2"/>
      <c r="D289" s="2"/>
      <c r="E289" s="2"/>
      <c r="G289" s="2"/>
      <c r="J289" s="2"/>
    </row>
    <row r="290" spans="1:10" x14ac:dyDescent="0.3">
      <c r="A290" s="2"/>
      <c r="C290" s="2"/>
      <c r="D290" s="2"/>
      <c r="E290" s="2"/>
      <c r="G290" s="2"/>
      <c r="J290" s="2"/>
    </row>
    <row r="291" spans="1:10" x14ac:dyDescent="0.3">
      <c r="A291" s="2"/>
      <c r="C291" s="2"/>
      <c r="D291" s="2"/>
      <c r="E291" s="2"/>
      <c r="G291" s="2"/>
      <c r="J291" s="2"/>
    </row>
    <row r="292" spans="1:10" x14ac:dyDescent="0.3">
      <c r="A292" s="2"/>
      <c r="C292" s="2"/>
      <c r="D292" s="2"/>
      <c r="E292" s="2"/>
      <c r="G292" s="2"/>
      <c r="J292" s="2"/>
    </row>
    <row r="293" spans="1:10" x14ac:dyDescent="0.3">
      <c r="A293" s="2"/>
      <c r="C293" s="2"/>
      <c r="D293" s="2"/>
      <c r="E293" s="2"/>
      <c r="G293" s="2"/>
      <c r="J293" s="2"/>
    </row>
    <row r="294" spans="1:10" x14ac:dyDescent="0.3">
      <c r="A294" s="2"/>
      <c r="C294" s="2"/>
      <c r="D294" s="2"/>
      <c r="E294" s="2"/>
      <c r="G294" s="2"/>
      <c r="J294" s="2"/>
    </row>
    <row r="295" spans="1:10" x14ac:dyDescent="0.3">
      <c r="A295" s="2"/>
      <c r="C295" s="2"/>
      <c r="D295" s="2"/>
      <c r="E295" s="2"/>
      <c r="G295" s="2"/>
      <c r="J295" s="2"/>
    </row>
    <row r="296" spans="1:10" x14ac:dyDescent="0.3">
      <c r="A296" s="2"/>
      <c r="C296" s="2"/>
      <c r="D296" s="2"/>
      <c r="E296" s="2"/>
      <c r="G296" s="2"/>
      <c r="J296" s="2"/>
    </row>
    <row r="297" spans="1:10" x14ac:dyDescent="0.3">
      <c r="A297" s="2"/>
      <c r="C297" s="2"/>
      <c r="D297" s="2"/>
      <c r="E297" s="2"/>
      <c r="G297" s="2"/>
      <c r="J297" s="2"/>
    </row>
    <row r="298" spans="1:10" x14ac:dyDescent="0.3">
      <c r="A298" s="2"/>
      <c r="C298" s="2"/>
      <c r="D298" s="2"/>
      <c r="E298" s="2"/>
      <c r="G298" s="2"/>
      <c r="J298" s="2"/>
    </row>
    <row r="299" spans="1:10" x14ac:dyDescent="0.3">
      <c r="A299" s="2"/>
      <c r="C299" s="2"/>
      <c r="D299" s="2"/>
      <c r="E299" s="2"/>
      <c r="G299" s="2"/>
      <c r="J299" s="2"/>
    </row>
    <row r="300" spans="1:10" x14ac:dyDescent="0.3">
      <c r="A300" s="2"/>
      <c r="C300" s="2"/>
      <c r="D300" s="2"/>
      <c r="E300" s="2"/>
      <c r="G300" s="2"/>
      <c r="J300" s="2"/>
    </row>
    <row r="301" spans="1:10" x14ac:dyDescent="0.3">
      <c r="A301" s="2"/>
      <c r="C301" s="2"/>
      <c r="D301" s="2"/>
      <c r="E301" s="2"/>
      <c r="G301" s="2"/>
      <c r="J301" s="2"/>
    </row>
    <row r="302" spans="1:10" x14ac:dyDescent="0.3">
      <c r="A302" s="2"/>
      <c r="C302" s="2"/>
      <c r="D302" s="2"/>
      <c r="E302" s="2"/>
      <c r="G302" s="2"/>
      <c r="J302" s="2"/>
    </row>
    <row r="303" spans="1:10" x14ac:dyDescent="0.3">
      <c r="A303" s="2"/>
      <c r="C303" s="2"/>
      <c r="D303" s="2"/>
      <c r="E303" s="2"/>
      <c r="G303" s="2"/>
      <c r="J303" s="2"/>
    </row>
    <row r="304" spans="1:10" x14ac:dyDescent="0.3">
      <c r="A304" s="2"/>
      <c r="C304" s="2"/>
      <c r="D304" s="2"/>
      <c r="E304" s="2"/>
      <c r="G304" s="2"/>
      <c r="J304" s="2"/>
    </row>
    <row r="305" spans="1:10" x14ac:dyDescent="0.3">
      <c r="A305" s="2"/>
      <c r="C305" s="2"/>
      <c r="D305" s="2"/>
      <c r="E305" s="2"/>
      <c r="G305" s="2"/>
      <c r="J305" s="2"/>
    </row>
    <row r="306" spans="1:10" x14ac:dyDescent="0.3">
      <c r="A306" s="2"/>
      <c r="C306" s="2"/>
      <c r="D306" s="2"/>
      <c r="E306" s="2"/>
      <c r="G306" s="2"/>
      <c r="J306" s="2"/>
    </row>
    <row r="307" spans="1:10" x14ac:dyDescent="0.3">
      <c r="A307" s="2"/>
      <c r="C307" s="2"/>
      <c r="D307" s="2"/>
      <c r="E307" s="2"/>
      <c r="G307" s="2"/>
      <c r="J307" s="2"/>
    </row>
    <row r="308" spans="1:10" x14ac:dyDescent="0.3">
      <c r="A308" s="2"/>
      <c r="C308" s="2"/>
      <c r="D308" s="2"/>
      <c r="E308" s="2"/>
      <c r="G308" s="2"/>
      <c r="J308" s="2"/>
    </row>
    <row r="309" spans="1:10" x14ac:dyDescent="0.3">
      <c r="A309" s="2"/>
      <c r="C309" s="2"/>
      <c r="D309" s="2"/>
      <c r="E309" s="2"/>
      <c r="G309" s="2"/>
      <c r="J309" s="2"/>
    </row>
    <row r="310" spans="1:10" x14ac:dyDescent="0.3">
      <c r="A310" s="2"/>
      <c r="C310" s="2"/>
      <c r="D310" s="2"/>
      <c r="E310" s="2"/>
      <c r="G310" s="2"/>
      <c r="J310" s="2"/>
    </row>
    <row r="311" spans="1:10" x14ac:dyDescent="0.3">
      <c r="A311" s="2"/>
      <c r="C311" s="2"/>
      <c r="D311" s="2"/>
      <c r="E311" s="2"/>
      <c r="G311" s="2"/>
      <c r="J311" s="2"/>
    </row>
    <row r="312" spans="1:10" x14ac:dyDescent="0.3">
      <c r="A312" s="2"/>
      <c r="C312" s="2"/>
      <c r="D312" s="2"/>
      <c r="E312" s="2"/>
      <c r="G312" s="2"/>
      <c r="J312" s="2"/>
    </row>
    <row r="313" spans="1:10" x14ac:dyDescent="0.3">
      <c r="A313" s="2"/>
      <c r="C313" s="2"/>
      <c r="D313" s="2"/>
      <c r="E313" s="2"/>
      <c r="G313" s="2"/>
      <c r="J313" s="2"/>
    </row>
    <row r="314" spans="1:10" x14ac:dyDescent="0.3">
      <c r="A314" s="2"/>
      <c r="C314" s="2"/>
      <c r="D314" s="2"/>
      <c r="E314" s="2"/>
      <c r="G314" s="2"/>
      <c r="J314" s="2"/>
    </row>
    <row r="315" spans="1:10" x14ac:dyDescent="0.3">
      <c r="A315" s="2"/>
      <c r="C315" s="2"/>
      <c r="D315" s="2"/>
      <c r="E315" s="2"/>
      <c r="G315" s="2"/>
      <c r="J315" s="2"/>
    </row>
    <row r="316" spans="1:10" x14ac:dyDescent="0.3">
      <c r="A316" s="2"/>
      <c r="C316" s="2"/>
      <c r="D316" s="2"/>
      <c r="E316" s="2"/>
      <c r="G316" s="2"/>
      <c r="J316" s="2"/>
    </row>
    <row r="317" spans="1:10" x14ac:dyDescent="0.3">
      <c r="A317" s="2"/>
      <c r="C317" s="2"/>
      <c r="D317" s="2"/>
      <c r="E317" s="2"/>
      <c r="G317" s="2"/>
      <c r="J317" s="2"/>
    </row>
    <row r="318" spans="1:10" x14ac:dyDescent="0.3">
      <c r="A318" s="2"/>
      <c r="C318" s="2"/>
      <c r="D318" s="2"/>
      <c r="E318" s="2"/>
      <c r="G318" s="2"/>
      <c r="J318" s="2"/>
    </row>
    <row r="319" spans="1:10" x14ac:dyDescent="0.3">
      <c r="A319" s="2"/>
      <c r="C319" s="2"/>
      <c r="D319" s="2"/>
      <c r="E319" s="2"/>
      <c r="G319" s="2"/>
      <c r="J319" s="2"/>
    </row>
    <row r="320" spans="1:10" x14ac:dyDescent="0.3">
      <c r="A320" s="2"/>
      <c r="C320" s="2"/>
      <c r="D320" s="2"/>
      <c r="E320" s="2"/>
      <c r="G320" s="2"/>
      <c r="J320" s="2"/>
    </row>
    <row r="321" spans="1:10" x14ac:dyDescent="0.3">
      <c r="A321" s="2"/>
      <c r="C321" s="2"/>
      <c r="D321" s="2"/>
      <c r="E321" s="2"/>
      <c r="G321" s="2"/>
      <c r="J321" s="2"/>
    </row>
    <row r="322" spans="1:10" x14ac:dyDescent="0.3">
      <c r="A322" s="2"/>
      <c r="C322" s="2"/>
      <c r="D322" s="2"/>
      <c r="E322" s="2"/>
      <c r="G322" s="2"/>
      <c r="J322" s="2"/>
    </row>
    <row r="323" spans="1:10" x14ac:dyDescent="0.3">
      <c r="A323" s="2"/>
      <c r="C323" s="2"/>
      <c r="D323" s="2"/>
      <c r="E323" s="2"/>
      <c r="G323" s="2"/>
      <c r="J323" s="2"/>
    </row>
    <row r="324" spans="1:10" x14ac:dyDescent="0.3">
      <c r="A324" s="2"/>
      <c r="C324" s="2"/>
      <c r="D324" s="2"/>
      <c r="E324" s="2"/>
      <c r="G324" s="2"/>
      <c r="J324" s="2"/>
    </row>
    <row r="325" spans="1:10" x14ac:dyDescent="0.3">
      <c r="A325" s="2"/>
      <c r="C325" s="2"/>
      <c r="D325" s="2"/>
      <c r="E325" s="2"/>
      <c r="G325" s="2"/>
      <c r="J325" s="2"/>
    </row>
    <row r="326" spans="1:10" x14ac:dyDescent="0.3">
      <c r="A326" s="2"/>
      <c r="C326" s="2"/>
      <c r="D326" s="2"/>
      <c r="E326" s="2"/>
      <c r="G326" s="2"/>
      <c r="J326" s="2"/>
    </row>
    <row r="327" spans="1:10" x14ac:dyDescent="0.3">
      <c r="A327" s="2"/>
      <c r="C327" s="2"/>
      <c r="D327" s="2"/>
      <c r="E327" s="2"/>
      <c r="G327" s="2"/>
      <c r="J327" s="2"/>
    </row>
    <row r="328" spans="1:10" x14ac:dyDescent="0.3">
      <c r="A328" s="2"/>
      <c r="C328" s="2"/>
      <c r="D328" s="2"/>
      <c r="E328" s="2"/>
      <c r="G328" s="2"/>
      <c r="J328" s="2"/>
    </row>
    <row r="329" spans="1:10" x14ac:dyDescent="0.3">
      <c r="A329" s="2"/>
      <c r="C329" s="2"/>
      <c r="D329" s="2"/>
      <c r="E329" s="2"/>
      <c r="G329" s="2"/>
      <c r="J329" s="2"/>
    </row>
    <row r="330" spans="1:10" x14ac:dyDescent="0.3">
      <c r="A330" s="2"/>
      <c r="C330" s="2"/>
      <c r="D330" s="2"/>
      <c r="E330" s="2"/>
      <c r="G330" s="2"/>
      <c r="J330" s="2"/>
    </row>
    <row r="331" spans="1:10" x14ac:dyDescent="0.3">
      <c r="A331" s="2"/>
      <c r="C331" s="2"/>
      <c r="D331" s="2"/>
      <c r="E331" s="2"/>
      <c r="G331" s="2"/>
      <c r="J331" s="2"/>
    </row>
    <row r="332" spans="1:10" x14ac:dyDescent="0.3">
      <c r="A332" s="2"/>
      <c r="C332" s="2"/>
      <c r="D332" s="2"/>
      <c r="E332" s="2"/>
      <c r="G332" s="2"/>
      <c r="J332" s="2"/>
    </row>
    <row r="333" spans="1:10" x14ac:dyDescent="0.3">
      <c r="A333" s="2"/>
      <c r="C333" s="2"/>
      <c r="D333" s="2"/>
      <c r="E333" s="2"/>
      <c r="G333" s="2"/>
      <c r="J333" s="2"/>
    </row>
    <row r="334" spans="1:10" x14ac:dyDescent="0.3">
      <c r="A334" s="2"/>
      <c r="C334" s="2"/>
      <c r="D334" s="2"/>
      <c r="E334" s="2"/>
      <c r="G334" s="2"/>
      <c r="J334" s="2"/>
    </row>
    <row r="335" spans="1:10" x14ac:dyDescent="0.3">
      <c r="A335" s="2"/>
      <c r="C335" s="2"/>
      <c r="D335" s="2"/>
      <c r="E335" s="2"/>
      <c r="G335" s="2"/>
      <c r="J335" s="2"/>
    </row>
    <row r="336" spans="1:10" x14ac:dyDescent="0.3">
      <c r="A336" s="2"/>
      <c r="C336" s="2"/>
      <c r="D336" s="2"/>
      <c r="E336" s="2"/>
      <c r="G336" s="2"/>
      <c r="J336" s="2"/>
    </row>
    <row r="337" spans="1:10" x14ac:dyDescent="0.3">
      <c r="A337" s="2"/>
      <c r="C337" s="2"/>
      <c r="D337" s="2"/>
      <c r="E337" s="2"/>
      <c r="G337" s="2"/>
      <c r="J337" s="2"/>
    </row>
    <row r="338" spans="1:10" x14ac:dyDescent="0.3">
      <c r="A338" s="2"/>
      <c r="C338" s="2"/>
      <c r="D338" s="2"/>
      <c r="E338" s="2"/>
      <c r="G338" s="2"/>
      <c r="J338" s="2"/>
    </row>
    <row r="339" spans="1:10" x14ac:dyDescent="0.3">
      <c r="A339" s="2"/>
      <c r="C339" s="2"/>
      <c r="D339" s="2"/>
      <c r="E339" s="2"/>
      <c r="G339" s="2"/>
      <c r="J339" s="2"/>
    </row>
    <row r="340" spans="1:10" x14ac:dyDescent="0.3">
      <c r="A340" s="2"/>
      <c r="C340" s="2"/>
      <c r="D340" s="2"/>
      <c r="E340" s="2"/>
      <c r="G340" s="2"/>
      <c r="J340" s="2"/>
    </row>
    <row r="341" spans="1:10" x14ac:dyDescent="0.3">
      <c r="A341" s="2"/>
      <c r="C341" s="2"/>
      <c r="D341" s="2"/>
      <c r="E341" s="2"/>
      <c r="G341" s="2"/>
      <c r="J341" s="2"/>
    </row>
    <row r="342" spans="1:10" x14ac:dyDescent="0.3">
      <c r="A342" s="2"/>
      <c r="C342" s="2"/>
      <c r="D342" s="2"/>
      <c r="E342" s="2"/>
      <c r="G342" s="2"/>
      <c r="J342" s="2"/>
    </row>
    <row r="343" spans="1:10" x14ac:dyDescent="0.3">
      <c r="A343" s="2"/>
      <c r="C343" s="2"/>
      <c r="D343" s="2"/>
      <c r="E343" s="2"/>
      <c r="G343" s="2"/>
      <c r="J343" s="2"/>
    </row>
    <row r="344" spans="1:10" x14ac:dyDescent="0.3">
      <c r="A344" s="2"/>
      <c r="C344" s="2"/>
      <c r="D344" s="2"/>
      <c r="E344" s="2"/>
      <c r="G344" s="2"/>
      <c r="J344" s="2"/>
    </row>
    <row r="345" spans="1:10" x14ac:dyDescent="0.3">
      <c r="A345" s="2"/>
      <c r="C345" s="2"/>
      <c r="D345" s="2"/>
      <c r="E345" s="2"/>
      <c r="G345" s="2"/>
      <c r="J345" s="2"/>
    </row>
    <row r="346" spans="1:10" x14ac:dyDescent="0.3">
      <c r="A346" s="2"/>
      <c r="C346" s="2"/>
      <c r="D346" s="2"/>
      <c r="E346" s="2"/>
      <c r="G346" s="2"/>
      <c r="J346" s="2"/>
    </row>
    <row r="347" spans="1:10" x14ac:dyDescent="0.3">
      <c r="A347" s="2"/>
      <c r="C347" s="2"/>
      <c r="D347" s="2"/>
      <c r="E347" s="2"/>
      <c r="G347" s="2"/>
      <c r="J347" s="2"/>
    </row>
    <row r="348" spans="1:10" x14ac:dyDescent="0.3">
      <c r="A348" s="2"/>
      <c r="C348" s="2"/>
      <c r="D348" s="2"/>
      <c r="E348" s="2"/>
      <c r="G348" s="2"/>
      <c r="J348" s="2"/>
    </row>
    <row r="349" spans="1:10" x14ac:dyDescent="0.3">
      <c r="A349" s="2"/>
      <c r="C349" s="2"/>
      <c r="D349" s="2"/>
      <c r="E349" s="2"/>
      <c r="G349" s="2"/>
      <c r="J349" s="2"/>
    </row>
    <row r="350" spans="1:10" x14ac:dyDescent="0.3">
      <c r="A350" s="2"/>
      <c r="C350" s="2"/>
      <c r="D350" s="2"/>
      <c r="E350" s="2"/>
      <c r="G350" s="2"/>
      <c r="J350" s="2"/>
    </row>
    <row r="351" spans="1:10" x14ac:dyDescent="0.3">
      <c r="A351" s="2"/>
      <c r="C351" s="2"/>
      <c r="D351" s="2"/>
      <c r="E351" s="2"/>
      <c r="G351" s="2"/>
      <c r="J351" s="2"/>
    </row>
    <row r="352" spans="1:10" x14ac:dyDescent="0.3">
      <c r="A352" s="2"/>
      <c r="C352" s="2"/>
      <c r="D352" s="2"/>
      <c r="E352" s="2"/>
      <c r="G352" s="2"/>
      <c r="J352" s="2"/>
    </row>
    <row r="353" spans="1:10" x14ac:dyDescent="0.3">
      <c r="A353" s="2"/>
      <c r="C353" s="2"/>
      <c r="D353" s="2"/>
      <c r="E353" s="2"/>
      <c r="G353" s="2"/>
      <c r="J353" s="2"/>
    </row>
    <row r="354" spans="1:10" x14ac:dyDescent="0.3">
      <c r="A354" s="2"/>
      <c r="C354" s="2"/>
      <c r="D354" s="2"/>
      <c r="E354" s="2"/>
      <c r="G354" s="2"/>
      <c r="J354" s="2"/>
    </row>
    <row r="355" spans="1:10" x14ac:dyDescent="0.3">
      <c r="A355" s="2"/>
      <c r="C355" s="2"/>
      <c r="D355" s="2"/>
      <c r="E355" s="2"/>
      <c r="G355" s="2"/>
      <c r="J355" s="2"/>
    </row>
    <row r="356" spans="1:10" x14ac:dyDescent="0.3">
      <c r="A356" s="2"/>
      <c r="C356" s="2"/>
      <c r="D356" s="2"/>
      <c r="E356" s="2"/>
      <c r="G356" s="2"/>
      <c r="J356" s="2"/>
    </row>
    <row r="357" spans="1:10" x14ac:dyDescent="0.3">
      <c r="A357" s="2"/>
      <c r="C357" s="2"/>
      <c r="D357" s="2"/>
      <c r="E357" s="2"/>
      <c r="G357" s="2"/>
      <c r="J357" s="2"/>
    </row>
    <row r="358" spans="1:10" x14ac:dyDescent="0.3">
      <c r="A358" s="2"/>
      <c r="C358" s="2"/>
      <c r="D358" s="2"/>
      <c r="E358" s="2"/>
      <c r="G358" s="2"/>
      <c r="J358" s="2"/>
    </row>
    <row r="359" spans="1:10" x14ac:dyDescent="0.3">
      <c r="A359" s="2"/>
      <c r="C359" s="2"/>
      <c r="D359" s="2"/>
      <c r="E359" s="2"/>
      <c r="G359" s="2"/>
      <c r="J359" s="2"/>
    </row>
    <row r="360" spans="1:10" x14ac:dyDescent="0.3">
      <c r="A360" s="2"/>
      <c r="C360" s="2"/>
      <c r="D360" s="2"/>
      <c r="E360" s="2"/>
      <c r="G360" s="2"/>
      <c r="J360" s="2"/>
    </row>
    <row r="361" spans="1:10" x14ac:dyDescent="0.3">
      <c r="A361" s="2"/>
      <c r="C361" s="2"/>
      <c r="D361" s="2"/>
      <c r="E361" s="2"/>
      <c r="G361" s="2"/>
      <c r="J361" s="2"/>
    </row>
    <row r="362" spans="1:10" x14ac:dyDescent="0.3">
      <c r="A362" s="2"/>
      <c r="C362" s="2"/>
      <c r="D362" s="2"/>
      <c r="E362" s="2"/>
      <c r="G362" s="2"/>
      <c r="J362" s="2"/>
    </row>
    <row r="363" spans="1:10" x14ac:dyDescent="0.3">
      <c r="A363" s="2"/>
      <c r="C363" s="2"/>
      <c r="D363" s="2"/>
      <c r="E363" s="2"/>
      <c r="G363" s="2"/>
      <c r="J363" s="2"/>
    </row>
    <row r="364" spans="1:10" x14ac:dyDescent="0.3">
      <c r="A364" s="2"/>
      <c r="C364" s="2"/>
      <c r="D364" s="2"/>
      <c r="E364" s="2"/>
      <c r="G364" s="2"/>
      <c r="J364" s="2"/>
    </row>
    <row r="365" spans="1:10" x14ac:dyDescent="0.3">
      <c r="A365" s="2"/>
      <c r="C365" s="2"/>
      <c r="D365" s="2"/>
      <c r="E365" s="2"/>
      <c r="G365" s="2"/>
      <c r="J365" s="2"/>
    </row>
    <row r="366" spans="1:10" x14ac:dyDescent="0.3">
      <c r="A366" s="2"/>
      <c r="C366" s="2"/>
      <c r="D366" s="2"/>
      <c r="E366" s="2"/>
      <c r="G366" s="2"/>
      <c r="J366" s="2"/>
    </row>
    <row r="367" spans="1:10" x14ac:dyDescent="0.3">
      <c r="A367" s="2"/>
      <c r="C367" s="2"/>
      <c r="D367" s="2"/>
      <c r="E367" s="2"/>
      <c r="G367" s="2"/>
      <c r="J367" s="2"/>
    </row>
    <row r="368" spans="1:10" x14ac:dyDescent="0.3">
      <c r="A368" s="2"/>
      <c r="C368" s="2"/>
      <c r="D368" s="2"/>
      <c r="E368" s="2"/>
      <c r="G368" s="2"/>
      <c r="J368" s="2"/>
    </row>
    <row r="369" spans="1:10" x14ac:dyDescent="0.3">
      <c r="A369" s="2"/>
      <c r="C369" s="2"/>
      <c r="D369" s="2"/>
      <c r="E369" s="2"/>
      <c r="G369" s="2"/>
      <c r="J369" s="2"/>
    </row>
    <row r="370" spans="1:10" x14ac:dyDescent="0.3">
      <c r="A370" s="2"/>
      <c r="C370" s="2"/>
      <c r="D370" s="2"/>
      <c r="E370" s="2"/>
      <c r="G370" s="2"/>
      <c r="J370" s="2"/>
    </row>
    <row r="371" spans="1:10" x14ac:dyDescent="0.3">
      <c r="A371" s="2"/>
      <c r="C371" s="2"/>
      <c r="D371" s="2"/>
      <c r="E371" s="2"/>
      <c r="G371" s="2"/>
      <c r="J371" s="2"/>
    </row>
    <row r="372" spans="1:10" x14ac:dyDescent="0.3">
      <c r="A372" s="2"/>
      <c r="C372" s="2"/>
      <c r="D372" s="2"/>
      <c r="E372" s="2"/>
      <c r="G372" s="2"/>
      <c r="J372" s="2"/>
    </row>
    <row r="373" spans="1:10" x14ac:dyDescent="0.3">
      <c r="A373" s="2"/>
      <c r="C373" s="2"/>
      <c r="D373" s="2"/>
      <c r="E373" s="2"/>
      <c r="G373" s="2"/>
      <c r="J373" s="2"/>
    </row>
    <row r="374" spans="1:10" x14ac:dyDescent="0.3">
      <c r="A374" s="2"/>
      <c r="C374" s="2"/>
      <c r="D374" s="2"/>
      <c r="E374" s="2"/>
      <c r="G374" s="2"/>
      <c r="J374" s="2"/>
    </row>
    <row r="375" spans="1:10" x14ac:dyDescent="0.3">
      <c r="A375" s="2"/>
      <c r="C375" s="2"/>
      <c r="D375" s="2"/>
      <c r="E375" s="2"/>
      <c r="G375" s="2"/>
      <c r="J375" s="2"/>
    </row>
    <row r="376" spans="1:10" x14ac:dyDescent="0.3">
      <c r="A376" s="2"/>
      <c r="C376" s="2"/>
      <c r="D376" s="2"/>
      <c r="E376" s="2"/>
      <c r="G376" s="2"/>
      <c r="J376" s="2"/>
    </row>
    <row r="377" spans="1:10" x14ac:dyDescent="0.3">
      <c r="A377" s="2"/>
      <c r="C377" s="2"/>
      <c r="D377" s="2"/>
      <c r="E377" s="2"/>
      <c r="G377" s="2"/>
      <c r="J377" s="2"/>
    </row>
    <row r="378" spans="1:10" x14ac:dyDescent="0.3">
      <c r="A378" s="2"/>
      <c r="C378" s="2"/>
      <c r="D378" s="2"/>
      <c r="E378" s="2"/>
      <c r="G378" s="2"/>
      <c r="J378" s="2"/>
    </row>
    <row r="379" spans="1:10" x14ac:dyDescent="0.3">
      <c r="A379" s="2"/>
      <c r="C379" s="2"/>
      <c r="D379" s="2"/>
      <c r="E379" s="2"/>
      <c r="G379" s="2"/>
      <c r="J379" s="2"/>
    </row>
    <row r="380" spans="1:10" x14ac:dyDescent="0.3">
      <c r="A380" s="2"/>
      <c r="C380" s="2"/>
      <c r="D380" s="2"/>
      <c r="E380" s="2"/>
      <c r="G380" s="2"/>
      <c r="J380" s="2"/>
    </row>
    <row r="381" spans="1:10" x14ac:dyDescent="0.3">
      <c r="A381" s="2"/>
      <c r="C381" s="2"/>
      <c r="D381" s="2"/>
      <c r="E381" s="2"/>
      <c r="G381" s="2"/>
      <c r="J381" s="2"/>
    </row>
    <row r="382" spans="1:10" x14ac:dyDescent="0.3">
      <c r="A382" s="2"/>
      <c r="C382" s="2"/>
      <c r="D382" s="2"/>
      <c r="E382" s="2"/>
      <c r="G382" s="2"/>
      <c r="J382" s="2"/>
    </row>
    <row r="383" spans="1:10" x14ac:dyDescent="0.3">
      <c r="A383" s="2"/>
      <c r="C383" s="2"/>
      <c r="D383" s="2"/>
      <c r="E383" s="2"/>
      <c r="G383" s="2"/>
      <c r="J383" s="2"/>
    </row>
    <row r="384" spans="1:10" x14ac:dyDescent="0.3">
      <c r="A384" s="2"/>
      <c r="C384" s="2"/>
      <c r="D384" s="2"/>
      <c r="E384" s="2"/>
      <c r="G384" s="2"/>
      <c r="J384" s="2"/>
    </row>
    <row r="385" spans="1:10" x14ac:dyDescent="0.3">
      <c r="A385" s="2"/>
      <c r="C385" s="2"/>
      <c r="D385" s="2"/>
      <c r="E385" s="2"/>
      <c r="G385" s="2"/>
      <c r="J385" s="2"/>
    </row>
    <row r="386" spans="1:10" x14ac:dyDescent="0.3">
      <c r="A386" s="2"/>
      <c r="C386" s="2"/>
      <c r="D386" s="2"/>
      <c r="E386" s="2"/>
      <c r="G386" s="2"/>
      <c r="J386" s="2"/>
    </row>
    <row r="387" spans="1:10" x14ac:dyDescent="0.3">
      <c r="A387" s="2"/>
      <c r="C387" s="2"/>
      <c r="D387" s="2"/>
      <c r="E387" s="2"/>
      <c r="G387" s="2"/>
      <c r="J387" s="2"/>
    </row>
    <row r="388" spans="1:10" x14ac:dyDescent="0.3">
      <c r="A388" s="2"/>
      <c r="C388" s="2"/>
      <c r="D388" s="2"/>
      <c r="E388" s="2"/>
      <c r="G388" s="2"/>
      <c r="J388" s="2"/>
    </row>
    <row r="389" spans="1:10" x14ac:dyDescent="0.3">
      <c r="A389" s="2"/>
      <c r="C389" s="2"/>
      <c r="D389" s="2"/>
      <c r="E389" s="2"/>
      <c r="G389" s="2"/>
      <c r="J389" s="2"/>
    </row>
    <row r="390" spans="1:10" x14ac:dyDescent="0.3">
      <c r="A390" s="2"/>
      <c r="C390" s="2"/>
      <c r="D390" s="2"/>
      <c r="E390" s="2"/>
      <c r="G390" s="2"/>
      <c r="J390" s="2"/>
    </row>
    <row r="391" spans="1:10" x14ac:dyDescent="0.3">
      <c r="A391" s="2"/>
      <c r="C391" s="2"/>
      <c r="D391" s="2"/>
      <c r="E391" s="2"/>
      <c r="G391" s="2"/>
      <c r="J391" s="2"/>
    </row>
    <row r="392" spans="1:10" x14ac:dyDescent="0.3">
      <c r="A392" s="2"/>
      <c r="C392" s="2"/>
      <c r="D392" s="2"/>
      <c r="E392" s="2"/>
      <c r="G392" s="2"/>
      <c r="J392" s="2"/>
    </row>
    <row r="393" spans="1:10" x14ac:dyDescent="0.3">
      <c r="A393" s="2"/>
      <c r="C393" s="2"/>
      <c r="D393" s="2"/>
      <c r="E393" s="2"/>
      <c r="G393" s="2"/>
      <c r="J393" s="2"/>
    </row>
    <row r="394" spans="1:10" x14ac:dyDescent="0.3">
      <c r="A394" s="2"/>
      <c r="C394" s="2"/>
      <c r="D394" s="2"/>
      <c r="E394" s="2"/>
      <c r="G394" s="2"/>
      <c r="J394" s="2"/>
    </row>
    <row r="395" spans="1:10" x14ac:dyDescent="0.3">
      <c r="A395" s="2"/>
      <c r="C395" s="2"/>
      <c r="D395" s="2"/>
      <c r="E395" s="2"/>
      <c r="G395" s="2"/>
      <c r="J395" s="2"/>
    </row>
    <row r="396" spans="1:10" x14ac:dyDescent="0.3">
      <c r="A396" s="2"/>
      <c r="C396" s="2"/>
      <c r="D396" s="2"/>
      <c r="E396" s="2"/>
      <c r="G396" s="2"/>
      <c r="J396" s="2"/>
    </row>
    <row r="397" spans="1:10" x14ac:dyDescent="0.3">
      <c r="A397" s="2"/>
      <c r="C397" s="2"/>
      <c r="D397" s="2"/>
      <c r="E397" s="2"/>
      <c r="G397" s="2"/>
      <c r="J397" s="2"/>
    </row>
    <row r="398" spans="1:10" x14ac:dyDescent="0.3">
      <c r="A398" s="2"/>
      <c r="C398" s="2"/>
      <c r="D398" s="2"/>
      <c r="E398" s="2"/>
      <c r="G398" s="2"/>
      <c r="J398" s="2"/>
    </row>
    <row r="399" spans="1:10" x14ac:dyDescent="0.3">
      <c r="A399" s="2"/>
      <c r="C399" s="2"/>
      <c r="D399" s="2"/>
      <c r="E399" s="2"/>
      <c r="G399" s="2"/>
      <c r="J399" s="2"/>
    </row>
    <row r="400" spans="1:10" x14ac:dyDescent="0.3">
      <c r="A400" s="2"/>
      <c r="C400" s="2"/>
      <c r="D400" s="2"/>
      <c r="E400" s="2"/>
      <c r="G400" s="2"/>
      <c r="J400" s="2"/>
    </row>
    <row r="401" spans="1:10" x14ac:dyDescent="0.3">
      <c r="A401" s="2"/>
      <c r="C401" s="2"/>
      <c r="D401" s="2"/>
      <c r="E401" s="2"/>
      <c r="G401" s="2"/>
      <c r="J401" s="2"/>
    </row>
    <row r="402" spans="1:10" x14ac:dyDescent="0.3">
      <c r="A402" s="2"/>
      <c r="C402" s="2"/>
      <c r="D402" s="2"/>
      <c r="E402" s="2"/>
      <c r="G402" s="2"/>
      <c r="J402" s="2"/>
    </row>
    <row r="403" spans="1:10" x14ac:dyDescent="0.3">
      <c r="A403" s="2"/>
      <c r="C403" s="2"/>
      <c r="D403" s="2"/>
      <c r="E403" s="2"/>
      <c r="G403" s="2"/>
      <c r="J403" s="2"/>
    </row>
    <row r="404" spans="1:10" x14ac:dyDescent="0.3">
      <c r="A404" s="2"/>
      <c r="C404" s="2"/>
      <c r="D404" s="2"/>
      <c r="E404" s="2"/>
      <c r="G404" s="2"/>
      <c r="J404" s="2"/>
    </row>
    <row r="405" spans="1:10" x14ac:dyDescent="0.3">
      <c r="A405" s="2"/>
      <c r="C405" s="2"/>
      <c r="D405" s="2"/>
      <c r="E405" s="2"/>
      <c r="G405" s="2"/>
      <c r="J405" s="2"/>
    </row>
    <row r="406" spans="1:10" x14ac:dyDescent="0.3">
      <c r="A406" s="2"/>
      <c r="C406" s="2"/>
      <c r="D406" s="2"/>
      <c r="E406" s="2"/>
      <c r="G406" s="2"/>
      <c r="J406" s="2"/>
    </row>
    <row r="407" spans="1:10" x14ac:dyDescent="0.3">
      <c r="A407" s="2"/>
      <c r="C407" s="2"/>
      <c r="D407" s="2"/>
      <c r="E407" s="2"/>
      <c r="G407" s="2"/>
      <c r="J407" s="2"/>
    </row>
    <row r="408" spans="1:10" x14ac:dyDescent="0.3">
      <c r="A408" s="2"/>
      <c r="C408" s="2"/>
      <c r="D408" s="2"/>
      <c r="E408" s="2"/>
      <c r="G408" s="2"/>
      <c r="J408" s="2"/>
    </row>
    <row r="409" spans="1:10" x14ac:dyDescent="0.3">
      <c r="A409" s="2"/>
      <c r="C409" s="2"/>
      <c r="D409" s="2"/>
      <c r="E409" s="2"/>
      <c r="G409" s="2"/>
      <c r="J409" s="2"/>
    </row>
    <row r="410" spans="1:10" x14ac:dyDescent="0.3">
      <c r="A410" s="2"/>
      <c r="C410" s="2"/>
      <c r="D410" s="2"/>
      <c r="E410" s="2"/>
      <c r="G410" s="2"/>
      <c r="J410" s="2"/>
    </row>
    <row r="411" spans="1:10" x14ac:dyDescent="0.3">
      <c r="A411" s="2"/>
      <c r="C411" s="2"/>
      <c r="D411" s="2"/>
      <c r="E411" s="2"/>
      <c r="G411" s="2"/>
      <c r="J411" s="2"/>
    </row>
    <row r="412" spans="1:10" x14ac:dyDescent="0.3">
      <c r="A412" s="2"/>
      <c r="C412" s="2"/>
      <c r="D412" s="2"/>
      <c r="E412" s="2"/>
      <c r="G412" s="2"/>
      <c r="J412" s="2"/>
    </row>
    <row r="413" spans="1:10" x14ac:dyDescent="0.3">
      <c r="A413" s="2"/>
      <c r="C413" s="2"/>
      <c r="D413" s="2"/>
      <c r="E413" s="2"/>
      <c r="G413" s="2"/>
      <c r="J413" s="2"/>
    </row>
    <row r="414" spans="1:10" x14ac:dyDescent="0.3">
      <c r="A414" s="2"/>
      <c r="C414" s="2"/>
      <c r="D414" s="2"/>
      <c r="E414" s="2"/>
      <c r="G414" s="2"/>
      <c r="J414" s="2"/>
    </row>
    <row r="415" spans="1:10" x14ac:dyDescent="0.3">
      <c r="A415" s="2"/>
      <c r="C415" s="2"/>
      <c r="D415" s="2"/>
      <c r="E415" s="2"/>
      <c r="G415" s="2"/>
      <c r="J415" s="2"/>
    </row>
    <row r="416" spans="1:10" x14ac:dyDescent="0.3">
      <c r="A416" s="2"/>
      <c r="C416" s="2"/>
      <c r="D416" s="2"/>
      <c r="E416" s="2"/>
      <c r="G416" s="2"/>
      <c r="J416" s="2"/>
    </row>
    <row r="417" spans="1:10" x14ac:dyDescent="0.3">
      <c r="A417" s="2"/>
      <c r="C417" s="2"/>
      <c r="D417" s="2"/>
      <c r="E417" s="2"/>
      <c r="G417" s="2"/>
      <c r="J417" s="2"/>
    </row>
    <row r="418" spans="1:10" x14ac:dyDescent="0.3">
      <c r="A418" s="2"/>
      <c r="C418" s="2"/>
      <c r="D418" s="2"/>
      <c r="E418" s="2"/>
      <c r="G418" s="2"/>
      <c r="J418" s="2"/>
    </row>
    <row r="419" spans="1:10" x14ac:dyDescent="0.3">
      <c r="A419" s="2"/>
      <c r="C419" s="2"/>
      <c r="D419" s="2"/>
      <c r="E419" s="2"/>
      <c r="G419" s="2"/>
      <c r="J419" s="2"/>
    </row>
    <row r="420" spans="1:10" x14ac:dyDescent="0.3">
      <c r="A420" s="2"/>
      <c r="C420" s="2"/>
      <c r="D420" s="2"/>
      <c r="E420" s="2"/>
      <c r="G420" s="2"/>
      <c r="J420" s="2"/>
    </row>
    <row r="421" spans="1:10" x14ac:dyDescent="0.3">
      <c r="A421" s="2"/>
      <c r="C421" s="2"/>
      <c r="D421" s="2"/>
      <c r="E421" s="2"/>
      <c r="G421" s="2"/>
      <c r="J421" s="2"/>
    </row>
    <row r="422" spans="1:10" x14ac:dyDescent="0.3">
      <c r="A422" s="2"/>
      <c r="C422" s="2"/>
      <c r="D422" s="2"/>
      <c r="E422" s="2"/>
      <c r="G422" s="2"/>
      <c r="J422" s="2"/>
    </row>
    <row r="423" spans="1:10" x14ac:dyDescent="0.3">
      <c r="A423" s="2"/>
      <c r="C423" s="2"/>
      <c r="D423" s="2"/>
      <c r="E423" s="2"/>
      <c r="G423" s="2"/>
      <c r="J423" s="2"/>
    </row>
    <row r="424" spans="1:10" x14ac:dyDescent="0.3">
      <c r="A424" s="2"/>
      <c r="C424" s="2"/>
      <c r="D424" s="2"/>
      <c r="E424" s="2"/>
      <c r="G424" s="2"/>
      <c r="J424" s="2"/>
    </row>
    <row r="425" spans="1:10" x14ac:dyDescent="0.3">
      <c r="A425" s="2"/>
      <c r="C425" s="2"/>
      <c r="D425" s="2"/>
      <c r="E425" s="2"/>
      <c r="G425" s="2"/>
      <c r="J425" s="2"/>
    </row>
    <row r="426" spans="1:10" x14ac:dyDescent="0.3">
      <c r="A426" s="2"/>
      <c r="C426" s="2"/>
      <c r="D426" s="2"/>
      <c r="E426" s="2"/>
      <c r="G426" s="2"/>
      <c r="J426" s="2"/>
    </row>
    <row r="427" spans="1:10" x14ac:dyDescent="0.3">
      <c r="A427" s="2"/>
      <c r="C427" s="2"/>
      <c r="D427" s="2"/>
      <c r="E427" s="2"/>
      <c r="G427" s="2"/>
      <c r="J427" s="2"/>
    </row>
    <row r="428" spans="1:10" x14ac:dyDescent="0.3">
      <c r="A428" s="2"/>
      <c r="C428" s="2"/>
      <c r="D428" s="2"/>
      <c r="E428" s="2"/>
      <c r="G428" s="2"/>
      <c r="J428" s="2"/>
    </row>
    <row r="429" spans="1:10" x14ac:dyDescent="0.3">
      <c r="A429" s="2"/>
      <c r="C429" s="2"/>
      <c r="D429" s="2"/>
      <c r="E429" s="2"/>
      <c r="G429" s="2"/>
      <c r="J429" s="2"/>
    </row>
    <row r="430" spans="1:10" x14ac:dyDescent="0.3">
      <c r="A430" s="2"/>
      <c r="C430" s="2"/>
      <c r="D430" s="2"/>
      <c r="E430" s="2"/>
      <c r="G430" s="2"/>
      <c r="J430" s="2"/>
    </row>
    <row r="431" spans="1:10" x14ac:dyDescent="0.3">
      <c r="A431" s="2"/>
      <c r="C431" s="2"/>
      <c r="D431" s="2"/>
      <c r="E431" s="2"/>
      <c r="G431" s="2"/>
      <c r="J431" s="2"/>
    </row>
    <row r="432" spans="1:10" x14ac:dyDescent="0.3">
      <c r="A432" s="2"/>
      <c r="C432" s="2"/>
      <c r="D432" s="2"/>
      <c r="E432" s="2"/>
      <c r="G432" s="2"/>
      <c r="J432" s="2"/>
    </row>
    <row r="433" spans="1:10" x14ac:dyDescent="0.3">
      <c r="A433" s="2"/>
      <c r="C433" s="2"/>
      <c r="D433" s="2"/>
      <c r="E433" s="2"/>
      <c r="G433" s="2"/>
      <c r="J433" s="2"/>
    </row>
    <row r="434" spans="1:10" x14ac:dyDescent="0.3">
      <c r="A434" s="2"/>
      <c r="C434" s="2"/>
      <c r="D434" s="2"/>
      <c r="E434" s="2"/>
      <c r="G434" s="2"/>
      <c r="J434" s="2"/>
    </row>
    <row r="435" spans="1:10" x14ac:dyDescent="0.3">
      <c r="A435" s="2"/>
      <c r="C435" s="2"/>
      <c r="D435" s="2"/>
      <c r="E435" s="2"/>
      <c r="G435" s="2"/>
      <c r="J435" s="2"/>
    </row>
    <row r="436" spans="1:10" x14ac:dyDescent="0.3">
      <c r="A436" s="2"/>
      <c r="C436" s="2"/>
      <c r="D436" s="2"/>
      <c r="E436" s="2"/>
      <c r="G436" s="2"/>
      <c r="J436" s="2"/>
    </row>
    <row r="437" spans="1:10" x14ac:dyDescent="0.3">
      <c r="A437" s="2"/>
      <c r="C437" s="2"/>
      <c r="D437" s="2"/>
      <c r="E437" s="2"/>
      <c r="G437" s="2"/>
      <c r="J437" s="2"/>
    </row>
    <row r="438" spans="1:10" x14ac:dyDescent="0.3">
      <c r="A438" s="2"/>
      <c r="C438" s="2"/>
      <c r="D438" s="2"/>
      <c r="E438" s="2"/>
      <c r="G438" s="2"/>
      <c r="J438" s="2"/>
    </row>
    <row r="439" spans="1:10" x14ac:dyDescent="0.3">
      <c r="A439" s="2"/>
      <c r="C439" s="2"/>
      <c r="D439" s="2"/>
      <c r="E439" s="2"/>
      <c r="G439" s="2"/>
      <c r="J439" s="2"/>
    </row>
    <row r="440" spans="1:10" x14ac:dyDescent="0.3">
      <c r="A440" s="2"/>
      <c r="C440" s="2"/>
      <c r="D440" s="2"/>
      <c r="E440" s="2"/>
      <c r="G440" s="2"/>
      <c r="J440" s="2"/>
    </row>
    <row r="441" spans="1:10" x14ac:dyDescent="0.3">
      <c r="A441" s="2"/>
      <c r="C441" s="2"/>
      <c r="D441" s="2"/>
      <c r="E441" s="2"/>
      <c r="G441" s="2"/>
      <c r="J441" s="2"/>
    </row>
    <row r="442" spans="1:10" x14ac:dyDescent="0.3">
      <c r="A442" s="2"/>
      <c r="C442" s="2"/>
      <c r="D442" s="2"/>
      <c r="E442" s="2"/>
      <c r="G442" s="2"/>
      <c r="J442" s="2"/>
    </row>
    <row r="443" spans="1:10" x14ac:dyDescent="0.3">
      <c r="A443" s="2"/>
      <c r="C443" s="2"/>
      <c r="D443" s="2"/>
      <c r="E443" s="2"/>
      <c r="G443" s="2"/>
      <c r="J443" s="2"/>
    </row>
    <row r="444" spans="1:10" x14ac:dyDescent="0.3">
      <c r="A444" s="2"/>
      <c r="C444" s="2"/>
      <c r="D444" s="2"/>
      <c r="E444" s="2"/>
      <c r="G444" s="2"/>
      <c r="J444" s="2"/>
    </row>
    <row r="445" spans="1:10" x14ac:dyDescent="0.3">
      <c r="A445" s="2"/>
      <c r="C445" s="2"/>
      <c r="D445" s="2"/>
      <c r="E445" s="2"/>
      <c r="G445" s="2"/>
      <c r="J445" s="2"/>
    </row>
    <row r="446" spans="1:10" x14ac:dyDescent="0.3">
      <c r="A446" s="2"/>
      <c r="C446" s="2"/>
      <c r="D446" s="2"/>
      <c r="E446" s="2"/>
      <c r="G446" s="2"/>
      <c r="J446" s="2"/>
    </row>
    <row r="447" spans="1:10" x14ac:dyDescent="0.3">
      <c r="A447" s="2"/>
      <c r="C447" s="2"/>
      <c r="D447" s="2"/>
      <c r="E447" s="2"/>
      <c r="G447" s="2"/>
      <c r="J447" s="2"/>
    </row>
    <row r="448" spans="1:10" x14ac:dyDescent="0.3">
      <c r="A448" s="2"/>
      <c r="C448" s="2"/>
      <c r="D448" s="2"/>
      <c r="E448" s="2"/>
      <c r="G448" s="2"/>
      <c r="J448" s="2"/>
    </row>
    <row r="449" spans="1:10" x14ac:dyDescent="0.3">
      <c r="A449" s="2"/>
      <c r="C449" s="2"/>
      <c r="D449" s="2"/>
      <c r="E449" s="2"/>
      <c r="G449" s="2"/>
      <c r="J449" s="2"/>
    </row>
    <row r="450" spans="1:10" x14ac:dyDescent="0.3">
      <c r="A450" s="2"/>
      <c r="C450" s="2"/>
      <c r="D450" s="2"/>
      <c r="E450" s="2"/>
      <c r="G450" s="2"/>
      <c r="J450" s="2"/>
    </row>
    <row r="451" spans="1:10" x14ac:dyDescent="0.3">
      <c r="A451" s="2"/>
      <c r="C451" s="2"/>
      <c r="D451" s="2"/>
      <c r="E451" s="2"/>
      <c r="G451" s="2"/>
      <c r="J451" s="2"/>
    </row>
    <row r="452" spans="1:10" x14ac:dyDescent="0.3">
      <c r="A452" s="2"/>
      <c r="C452" s="2"/>
      <c r="D452" s="2"/>
      <c r="E452" s="2"/>
      <c r="G452" s="2"/>
      <c r="J452" s="2"/>
    </row>
    <row r="453" spans="1:10" x14ac:dyDescent="0.3">
      <c r="A453" s="2"/>
      <c r="C453" s="2"/>
      <c r="D453" s="2"/>
      <c r="E453" s="2"/>
      <c r="G453" s="2"/>
      <c r="J453" s="2"/>
    </row>
    <row r="454" spans="1:10" x14ac:dyDescent="0.3">
      <c r="A454" s="2"/>
      <c r="C454" s="2"/>
      <c r="D454" s="2"/>
      <c r="E454" s="2"/>
      <c r="G454" s="2"/>
      <c r="J454" s="2"/>
    </row>
    <row r="455" spans="1:10" x14ac:dyDescent="0.3">
      <c r="A455" s="2"/>
      <c r="C455" s="2"/>
      <c r="D455" s="2"/>
      <c r="E455" s="2"/>
      <c r="G455" s="2"/>
      <c r="J455" s="2"/>
    </row>
    <row r="456" spans="1:10" x14ac:dyDescent="0.3">
      <c r="A456" s="2"/>
      <c r="C456" s="2"/>
      <c r="D456" s="2"/>
      <c r="E456" s="2"/>
      <c r="G456" s="2"/>
      <c r="J456" s="2"/>
    </row>
    <row r="457" spans="1:10" x14ac:dyDescent="0.3">
      <c r="A457" s="2"/>
      <c r="C457" s="2"/>
      <c r="D457" s="2"/>
      <c r="E457" s="2"/>
      <c r="G457" s="2"/>
      <c r="J457" s="2"/>
    </row>
    <row r="458" spans="1:10" x14ac:dyDescent="0.3">
      <c r="A458" s="2"/>
      <c r="C458" s="2"/>
      <c r="D458" s="2"/>
      <c r="E458" s="2"/>
      <c r="G458" s="2"/>
      <c r="J458" s="2"/>
    </row>
    <row r="459" spans="1:10" x14ac:dyDescent="0.3">
      <c r="A459" s="2"/>
      <c r="C459" s="2"/>
      <c r="D459" s="2"/>
      <c r="E459" s="2"/>
      <c r="G459" s="2"/>
      <c r="J459" s="2"/>
    </row>
    <row r="460" spans="1:10" x14ac:dyDescent="0.3">
      <c r="A460" s="2"/>
      <c r="C460" s="2"/>
      <c r="D460" s="2"/>
      <c r="E460" s="2"/>
      <c r="G460" s="2"/>
      <c r="J460" s="2"/>
    </row>
    <row r="461" spans="1:10" x14ac:dyDescent="0.3">
      <c r="A461" s="2"/>
      <c r="C461" s="2"/>
      <c r="D461" s="2"/>
      <c r="E461" s="2"/>
      <c r="G461" s="2"/>
      <c r="J461" s="2"/>
    </row>
    <row r="462" spans="1:10" x14ac:dyDescent="0.3">
      <c r="A462" s="2"/>
      <c r="C462" s="2"/>
      <c r="D462" s="2"/>
      <c r="E462" s="2"/>
      <c r="G462" s="2"/>
      <c r="J462" s="2"/>
    </row>
    <row r="463" spans="1:10" x14ac:dyDescent="0.3">
      <c r="A463" s="2"/>
      <c r="C463" s="2"/>
      <c r="D463" s="2"/>
      <c r="E463" s="2"/>
      <c r="G463" s="2"/>
      <c r="J463" s="2"/>
    </row>
    <row r="464" spans="1:10" x14ac:dyDescent="0.3">
      <c r="A464" s="2"/>
      <c r="C464" s="2"/>
      <c r="D464" s="2"/>
      <c r="E464" s="2"/>
      <c r="G464" s="2"/>
      <c r="J464" s="2"/>
    </row>
    <row r="465" spans="1:10" x14ac:dyDescent="0.3">
      <c r="A465" s="2"/>
      <c r="C465" s="2"/>
      <c r="D465" s="2"/>
      <c r="E465" s="2"/>
      <c r="G465" s="2"/>
      <c r="J465" s="2"/>
    </row>
    <row r="466" spans="1:10" x14ac:dyDescent="0.3">
      <c r="A466" s="2"/>
      <c r="C466" s="2"/>
      <c r="D466" s="2"/>
      <c r="E466" s="2"/>
      <c r="G466" s="2"/>
      <c r="J466" s="2"/>
    </row>
    <row r="467" spans="1:10" x14ac:dyDescent="0.3">
      <c r="A467" s="2"/>
      <c r="C467" s="2"/>
      <c r="D467" s="2"/>
      <c r="E467" s="2"/>
      <c r="G467" s="2"/>
      <c r="J467" s="2"/>
    </row>
    <row r="468" spans="1:10" x14ac:dyDescent="0.3">
      <c r="A468" s="2"/>
      <c r="C468" s="2"/>
      <c r="D468" s="2"/>
      <c r="E468" s="2"/>
      <c r="G468" s="2"/>
      <c r="J468" s="2"/>
    </row>
    <row r="469" spans="1:10" x14ac:dyDescent="0.3">
      <c r="A469" s="2"/>
      <c r="C469" s="2"/>
      <c r="D469" s="2"/>
      <c r="E469" s="2"/>
      <c r="G469" s="2"/>
      <c r="J469" s="2"/>
    </row>
    <row r="470" spans="1:10" x14ac:dyDescent="0.3">
      <c r="A470" s="2"/>
      <c r="C470" s="2"/>
      <c r="D470" s="2"/>
      <c r="E470" s="2"/>
      <c r="G470" s="2"/>
      <c r="J470" s="2"/>
    </row>
    <row r="471" spans="1:10" x14ac:dyDescent="0.3">
      <c r="A471" s="2"/>
      <c r="C471" s="2"/>
      <c r="D471" s="2"/>
      <c r="E471" s="2"/>
      <c r="G471" s="2"/>
      <c r="J471" s="2"/>
    </row>
    <row r="472" spans="1:10" x14ac:dyDescent="0.3">
      <c r="A472" s="2"/>
      <c r="C472" s="2"/>
      <c r="D472" s="2"/>
      <c r="E472" s="2"/>
      <c r="G472" s="2"/>
      <c r="J472" s="2"/>
    </row>
    <row r="473" spans="1:10" x14ac:dyDescent="0.3">
      <c r="A473" s="2"/>
      <c r="C473" s="2"/>
      <c r="D473" s="2"/>
      <c r="E473" s="2"/>
      <c r="G473" s="2"/>
      <c r="J473" s="2"/>
    </row>
    <row r="474" spans="1:10" x14ac:dyDescent="0.3">
      <c r="A474" s="2"/>
      <c r="C474" s="2"/>
      <c r="D474" s="2"/>
      <c r="E474" s="2"/>
      <c r="G474" s="2"/>
      <c r="J474" s="2"/>
    </row>
    <row r="475" spans="1:10" x14ac:dyDescent="0.3">
      <c r="A475" s="2"/>
      <c r="C475" s="2"/>
      <c r="D475" s="2"/>
      <c r="E475" s="2"/>
      <c r="G475" s="2"/>
      <c r="J475" s="2"/>
    </row>
    <row r="476" spans="1:10" x14ac:dyDescent="0.3">
      <c r="A476" s="2"/>
      <c r="C476" s="2"/>
      <c r="D476" s="2"/>
      <c r="E476" s="2"/>
      <c r="G476" s="2"/>
      <c r="J476" s="2"/>
    </row>
    <row r="477" spans="1:10" x14ac:dyDescent="0.3">
      <c r="A477" s="2"/>
      <c r="C477" s="2"/>
      <c r="D477" s="2"/>
      <c r="E477" s="2"/>
      <c r="G477" s="2"/>
      <c r="J477" s="2"/>
    </row>
    <row r="478" spans="1:10" x14ac:dyDescent="0.3">
      <c r="A478" s="2"/>
      <c r="C478" s="2"/>
      <c r="D478" s="2"/>
      <c r="E478" s="2"/>
      <c r="G478" s="2"/>
      <c r="J478" s="2"/>
    </row>
    <row r="479" spans="1:10" x14ac:dyDescent="0.3">
      <c r="A479" s="2"/>
      <c r="C479" s="2"/>
      <c r="D479" s="2"/>
      <c r="E479" s="2"/>
      <c r="G479" s="2"/>
      <c r="J479" s="2"/>
    </row>
    <row r="480" spans="1:10" x14ac:dyDescent="0.3">
      <c r="A480" s="2"/>
      <c r="C480" s="2"/>
      <c r="D480" s="2"/>
      <c r="E480" s="2"/>
      <c r="G480" s="2"/>
      <c r="J480" s="2"/>
    </row>
    <row r="481" spans="1:10" x14ac:dyDescent="0.3">
      <c r="A481" s="2"/>
      <c r="C481" s="2"/>
      <c r="D481" s="2"/>
      <c r="E481" s="2"/>
      <c r="G481" s="2"/>
      <c r="J481" s="2"/>
    </row>
    <row r="482" spans="1:10" x14ac:dyDescent="0.3">
      <c r="A482" s="2"/>
      <c r="C482" s="2"/>
      <c r="D482" s="2"/>
      <c r="E482" s="2"/>
      <c r="G482" s="2"/>
      <c r="J482" s="2"/>
    </row>
    <row r="483" spans="1:10" x14ac:dyDescent="0.3">
      <c r="A483" s="2"/>
      <c r="C483" s="2"/>
      <c r="D483" s="2"/>
      <c r="E483" s="2"/>
      <c r="G483" s="2"/>
      <c r="J483" s="2"/>
    </row>
    <row r="484" spans="1:10" x14ac:dyDescent="0.3">
      <c r="A484" s="2"/>
      <c r="C484" s="2"/>
      <c r="D484" s="2"/>
      <c r="E484" s="2"/>
      <c r="G484" s="2"/>
      <c r="J484" s="2"/>
    </row>
    <row r="485" spans="1:10" x14ac:dyDescent="0.3">
      <c r="A485" s="2"/>
      <c r="C485" s="2"/>
      <c r="D485" s="2"/>
      <c r="E485" s="2"/>
      <c r="G485" s="2"/>
      <c r="J485" s="2"/>
    </row>
    <row r="486" spans="1:10" x14ac:dyDescent="0.3">
      <c r="A486" s="2"/>
      <c r="C486" s="2"/>
      <c r="D486" s="2"/>
      <c r="E486" s="2"/>
      <c r="G486" s="2"/>
      <c r="J486" s="2"/>
    </row>
    <row r="487" spans="1:10" x14ac:dyDescent="0.3">
      <c r="A487" s="2"/>
      <c r="C487" s="2"/>
      <c r="D487" s="2"/>
      <c r="E487" s="2"/>
      <c r="G487" s="2"/>
      <c r="J487" s="2"/>
    </row>
    <row r="488" spans="1:10" x14ac:dyDescent="0.3">
      <c r="A488" s="2"/>
      <c r="C488" s="2"/>
      <c r="D488" s="2"/>
      <c r="E488" s="2"/>
      <c r="G488" s="2"/>
      <c r="J488" s="2"/>
    </row>
    <row r="489" spans="1:10" x14ac:dyDescent="0.3">
      <c r="A489" s="2"/>
      <c r="C489" s="2"/>
      <c r="D489" s="2"/>
      <c r="E489" s="2"/>
      <c r="G489" s="2"/>
      <c r="J489" s="2"/>
    </row>
    <row r="490" spans="1:10" x14ac:dyDescent="0.3">
      <c r="A490" s="2"/>
      <c r="C490" s="2"/>
      <c r="D490" s="2"/>
      <c r="E490" s="2"/>
      <c r="G490" s="2"/>
      <c r="J490" s="2"/>
    </row>
    <row r="491" spans="1:10" x14ac:dyDescent="0.3">
      <c r="A491" s="2"/>
      <c r="C491" s="2"/>
      <c r="D491" s="2"/>
      <c r="E491" s="2"/>
      <c r="G491" s="2"/>
      <c r="J491" s="2"/>
    </row>
    <row r="492" spans="1:10" x14ac:dyDescent="0.3">
      <c r="A492" s="2"/>
      <c r="C492" s="2"/>
      <c r="D492" s="2"/>
      <c r="E492" s="2"/>
      <c r="G492" s="2"/>
      <c r="J492" s="2"/>
    </row>
    <row r="493" spans="1:10" x14ac:dyDescent="0.3">
      <c r="A493" s="2"/>
      <c r="C493" s="2"/>
      <c r="D493" s="2"/>
      <c r="E493" s="2"/>
      <c r="G493" s="2"/>
      <c r="J493" s="2"/>
    </row>
    <row r="494" spans="1:10" x14ac:dyDescent="0.3">
      <c r="A494" s="2"/>
      <c r="C494" s="2"/>
      <c r="D494" s="2"/>
      <c r="E494" s="2"/>
      <c r="G494" s="2"/>
      <c r="J494" s="2"/>
    </row>
    <row r="495" spans="1:10" x14ac:dyDescent="0.3">
      <c r="A495" s="2"/>
      <c r="C495" s="2"/>
      <c r="D495" s="2"/>
      <c r="E495" s="2"/>
      <c r="G495" s="2"/>
      <c r="J495" s="2"/>
    </row>
    <row r="496" spans="1:10" x14ac:dyDescent="0.3">
      <c r="A496" s="2"/>
      <c r="C496" s="2"/>
      <c r="D496" s="2"/>
      <c r="E496" s="2"/>
      <c r="G496" s="2"/>
      <c r="J496" s="2"/>
    </row>
    <row r="497" spans="1:10" x14ac:dyDescent="0.3">
      <c r="A497" s="2"/>
      <c r="C497" s="2"/>
      <c r="D497" s="2"/>
      <c r="E497" s="2"/>
      <c r="G497" s="2"/>
      <c r="J497" s="2"/>
    </row>
    <row r="498" spans="1:10" x14ac:dyDescent="0.3">
      <c r="A498" s="2"/>
      <c r="C498" s="2"/>
      <c r="D498" s="2"/>
      <c r="E498" s="2"/>
      <c r="G498" s="2"/>
      <c r="J498" s="2"/>
    </row>
    <row r="499" spans="1:10" x14ac:dyDescent="0.3">
      <c r="A499" s="2"/>
      <c r="C499" s="2"/>
      <c r="D499" s="2"/>
      <c r="E499" s="2"/>
      <c r="G499" s="2"/>
      <c r="J499" s="2"/>
    </row>
    <row r="500" spans="1:10" x14ac:dyDescent="0.3">
      <c r="A500" s="2"/>
      <c r="C500" s="2"/>
      <c r="D500" s="2"/>
      <c r="E500" s="2"/>
      <c r="G500" s="2"/>
      <c r="J500" s="2"/>
    </row>
    <row r="501" spans="1:10" x14ac:dyDescent="0.3">
      <c r="A501" s="2"/>
      <c r="C501" s="2"/>
      <c r="D501" s="2"/>
      <c r="E501" s="2"/>
      <c r="G501" s="2"/>
      <c r="J501" s="2"/>
    </row>
    <row r="502" spans="1:10" x14ac:dyDescent="0.3">
      <c r="A502" s="2"/>
      <c r="C502" s="2"/>
      <c r="D502" s="2"/>
      <c r="E502" s="2"/>
      <c r="G502" s="2"/>
      <c r="J502" s="2"/>
    </row>
    <row r="503" spans="1:10" x14ac:dyDescent="0.3">
      <c r="A503" s="2"/>
      <c r="C503" s="2"/>
      <c r="D503" s="2"/>
      <c r="E503" s="2"/>
      <c r="G503" s="2"/>
      <c r="J503" s="2"/>
    </row>
    <row r="504" spans="1:10" x14ac:dyDescent="0.3">
      <c r="A504" s="2"/>
      <c r="C504" s="2"/>
      <c r="D504" s="2"/>
      <c r="E504" s="2"/>
      <c r="G504" s="2"/>
      <c r="J504" s="2"/>
    </row>
    <row r="505" spans="1:10" x14ac:dyDescent="0.3">
      <c r="A505" s="2"/>
      <c r="C505" s="2"/>
      <c r="D505" s="2"/>
      <c r="E505" s="2"/>
      <c r="G505" s="2"/>
      <c r="J505" s="2"/>
    </row>
    <row r="506" spans="1:10" x14ac:dyDescent="0.3">
      <c r="A506" s="2"/>
      <c r="C506" s="2"/>
      <c r="D506" s="2"/>
      <c r="E506" s="2"/>
      <c r="G506" s="2"/>
      <c r="J506" s="2"/>
    </row>
    <row r="507" spans="1:10" x14ac:dyDescent="0.3">
      <c r="A507" s="2"/>
      <c r="C507" s="2"/>
      <c r="D507" s="2"/>
      <c r="E507" s="2"/>
      <c r="G507" s="2"/>
      <c r="J507" s="2"/>
    </row>
    <row r="508" spans="1:10" x14ac:dyDescent="0.3">
      <c r="A508" s="2"/>
      <c r="C508" s="2"/>
      <c r="D508" s="2"/>
      <c r="E508" s="2"/>
      <c r="G508" s="2"/>
      <c r="J508" s="2"/>
    </row>
    <row r="509" spans="1:10" x14ac:dyDescent="0.3">
      <c r="A509" s="2"/>
      <c r="C509" s="2"/>
      <c r="D509" s="2"/>
      <c r="E509" s="2"/>
      <c r="G509" s="2"/>
      <c r="J509" s="2"/>
    </row>
    <row r="510" spans="1:10" x14ac:dyDescent="0.3">
      <c r="A510" s="2"/>
      <c r="C510" s="2"/>
      <c r="D510" s="2"/>
      <c r="E510" s="2"/>
      <c r="G510" s="2"/>
      <c r="J510" s="2"/>
    </row>
    <row r="511" spans="1:10" x14ac:dyDescent="0.3">
      <c r="A511" s="2"/>
      <c r="C511" s="2"/>
      <c r="D511" s="2"/>
      <c r="E511" s="2"/>
      <c r="G511" s="2"/>
      <c r="J511" s="2"/>
    </row>
    <row r="512" spans="1:10" x14ac:dyDescent="0.3">
      <c r="A512" s="2"/>
      <c r="C512" s="2"/>
      <c r="D512" s="2"/>
      <c r="E512" s="2"/>
      <c r="G512" s="2"/>
      <c r="J512" s="2"/>
    </row>
    <row r="513" spans="1:10" x14ac:dyDescent="0.3">
      <c r="A513" s="2"/>
      <c r="C513" s="2"/>
      <c r="D513" s="2"/>
      <c r="E513" s="2"/>
      <c r="G513" s="2"/>
      <c r="J513" s="2"/>
    </row>
    <row r="514" spans="1:10" x14ac:dyDescent="0.3">
      <c r="A514" s="2"/>
      <c r="C514" s="2"/>
      <c r="D514" s="2"/>
      <c r="E514" s="2"/>
      <c r="G514" s="2"/>
      <c r="J514" s="2"/>
    </row>
    <row r="515" spans="1:10" x14ac:dyDescent="0.3">
      <c r="A515" s="2"/>
      <c r="C515" s="2"/>
      <c r="D515" s="2"/>
      <c r="E515" s="2"/>
      <c r="G515" s="2"/>
      <c r="J515" s="2"/>
    </row>
    <row r="516" spans="1:10" x14ac:dyDescent="0.3">
      <c r="A516" s="2"/>
      <c r="C516" s="2"/>
      <c r="D516" s="2"/>
      <c r="E516" s="2"/>
      <c r="G516" s="2"/>
      <c r="J516" s="2"/>
    </row>
    <row r="517" spans="1:10" x14ac:dyDescent="0.3">
      <c r="A517" s="2"/>
      <c r="C517" s="2"/>
      <c r="D517" s="2"/>
      <c r="E517" s="2"/>
      <c r="G517" s="2"/>
      <c r="J517" s="2"/>
    </row>
    <row r="518" spans="1:10" x14ac:dyDescent="0.3">
      <c r="A518" s="2"/>
      <c r="C518" s="2"/>
      <c r="D518" s="2"/>
      <c r="E518" s="2"/>
      <c r="G518" s="2"/>
      <c r="J518" s="2"/>
    </row>
    <row r="519" spans="1:10" x14ac:dyDescent="0.3">
      <c r="A519" s="2"/>
      <c r="C519" s="2"/>
      <c r="D519" s="2"/>
      <c r="E519" s="2"/>
      <c r="G519" s="2"/>
      <c r="J519" s="2"/>
    </row>
    <row r="520" spans="1:10" x14ac:dyDescent="0.3">
      <c r="A520" s="2"/>
      <c r="C520" s="2"/>
      <c r="D520" s="2"/>
      <c r="E520" s="2"/>
      <c r="G520" s="2"/>
      <c r="J520" s="2"/>
    </row>
    <row r="521" spans="1:10" x14ac:dyDescent="0.3">
      <c r="A521" s="2"/>
      <c r="C521" s="2"/>
      <c r="D521" s="2"/>
      <c r="E521" s="2"/>
      <c r="G521" s="2"/>
      <c r="J521" s="2"/>
    </row>
    <row r="522" spans="1:10" x14ac:dyDescent="0.3">
      <c r="A522" s="2"/>
      <c r="C522" s="2"/>
      <c r="D522" s="2"/>
      <c r="E522" s="2"/>
      <c r="G522" s="2"/>
      <c r="J522" s="2"/>
    </row>
    <row r="523" spans="1:10" x14ac:dyDescent="0.3">
      <c r="A523" s="2"/>
      <c r="C523" s="2"/>
      <c r="D523" s="2"/>
      <c r="E523" s="2"/>
      <c r="G523" s="2"/>
      <c r="J523" s="2"/>
    </row>
    <row r="524" spans="1:10" x14ac:dyDescent="0.3">
      <c r="A524" s="2"/>
      <c r="C524" s="2"/>
      <c r="D524" s="2"/>
      <c r="E524" s="2"/>
      <c r="G524" s="2"/>
      <c r="J524" s="2"/>
    </row>
    <row r="525" spans="1:10" x14ac:dyDescent="0.3">
      <c r="A525" s="2"/>
      <c r="C525" s="2"/>
      <c r="D525" s="2"/>
      <c r="E525" s="2"/>
      <c r="G525" s="2"/>
      <c r="J525" s="2"/>
    </row>
    <row r="526" spans="1:10" x14ac:dyDescent="0.3">
      <c r="A526" s="2"/>
      <c r="C526" s="2"/>
      <c r="D526" s="2"/>
      <c r="E526" s="2"/>
      <c r="G526" s="2"/>
      <c r="J526" s="2"/>
    </row>
    <row r="527" spans="1:10" x14ac:dyDescent="0.3">
      <c r="A527" s="2"/>
      <c r="C527" s="2"/>
      <c r="D527" s="2"/>
      <c r="E527" s="2"/>
      <c r="G527" s="2"/>
      <c r="J527" s="2"/>
    </row>
    <row r="528" spans="1:10" x14ac:dyDescent="0.3">
      <c r="A528" s="2"/>
      <c r="C528" s="2"/>
      <c r="D528" s="2"/>
      <c r="E528" s="2"/>
      <c r="G528" s="2"/>
      <c r="J528" s="2"/>
    </row>
    <row r="529" spans="1:10" x14ac:dyDescent="0.3">
      <c r="A529" s="2"/>
      <c r="C529" s="2"/>
      <c r="D529" s="2"/>
      <c r="E529" s="2"/>
      <c r="G529" s="2"/>
      <c r="J529" s="2"/>
    </row>
    <row r="530" spans="1:10" x14ac:dyDescent="0.3">
      <c r="A530" s="2"/>
      <c r="C530" s="2"/>
      <c r="D530" s="2"/>
      <c r="E530" s="2"/>
      <c r="G530" s="2"/>
      <c r="J530" s="2"/>
    </row>
    <row r="531" spans="1:10" x14ac:dyDescent="0.3">
      <c r="A531" s="2"/>
      <c r="C531" s="2"/>
      <c r="D531" s="2"/>
      <c r="E531" s="2"/>
      <c r="G531" s="2"/>
      <c r="J531" s="2"/>
    </row>
    <row r="532" spans="1:10" x14ac:dyDescent="0.3">
      <c r="A532" s="2"/>
      <c r="C532" s="2"/>
      <c r="D532" s="2"/>
      <c r="E532" s="2"/>
      <c r="G532" s="2"/>
      <c r="J532" s="2"/>
    </row>
    <row r="533" spans="1:10" x14ac:dyDescent="0.3">
      <c r="A533" s="2"/>
      <c r="C533" s="2"/>
      <c r="D533" s="2"/>
      <c r="E533" s="2"/>
      <c r="G533" s="2"/>
      <c r="J533" s="2"/>
    </row>
    <row r="534" spans="1:10" x14ac:dyDescent="0.3">
      <c r="A534" s="2"/>
      <c r="C534" s="2"/>
      <c r="D534" s="2"/>
      <c r="E534" s="2"/>
      <c r="G534" s="2"/>
      <c r="J534" s="2"/>
    </row>
    <row r="535" spans="1:10" x14ac:dyDescent="0.3">
      <c r="A535" s="2"/>
      <c r="C535" s="2"/>
      <c r="D535" s="2"/>
      <c r="E535" s="2"/>
      <c r="G535" s="2"/>
      <c r="J535" s="2"/>
    </row>
    <row r="536" spans="1:10" x14ac:dyDescent="0.3">
      <c r="A536" s="2"/>
      <c r="C536" s="2"/>
      <c r="D536" s="2"/>
      <c r="E536" s="2"/>
      <c r="G536" s="2"/>
      <c r="J536" s="2"/>
    </row>
    <row r="537" spans="1:10" x14ac:dyDescent="0.3">
      <c r="A537" s="2"/>
      <c r="C537" s="2"/>
      <c r="D537" s="2"/>
      <c r="E537" s="2"/>
      <c r="G537" s="2"/>
      <c r="J537" s="2"/>
    </row>
    <row r="538" spans="1:10" x14ac:dyDescent="0.3">
      <c r="A538" s="2"/>
      <c r="C538" s="2"/>
      <c r="D538" s="2"/>
      <c r="E538" s="2"/>
      <c r="G538" s="2"/>
      <c r="J538" s="2"/>
    </row>
    <row r="539" spans="1:10" x14ac:dyDescent="0.3">
      <c r="A539" s="2"/>
      <c r="C539" s="2"/>
      <c r="D539" s="2"/>
      <c r="E539" s="2"/>
      <c r="G539" s="2"/>
      <c r="J539" s="2"/>
    </row>
    <row r="540" spans="1:10" x14ac:dyDescent="0.3">
      <c r="A540" s="2"/>
      <c r="C540" s="2"/>
      <c r="D540" s="2"/>
      <c r="E540" s="2"/>
      <c r="G540" s="2"/>
      <c r="J540" s="2"/>
    </row>
    <row r="541" spans="1:10" x14ac:dyDescent="0.3">
      <c r="A541" s="2"/>
      <c r="C541" s="2"/>
      <c r="D541" s="2"/>
      <c r="E541" s="2"/>
      <c r="G541" s="2"/>
      <c r="J541" s="2"/>
    </row>
    <row r="542" spans="1:10" x14ac:dyDescent="0.3">
      <c r="A542" s="2"/>
      <c r="C542" s="2"/>
      <c r="D542" s="2"/>
      <c r="E542" s="2"/>
      <c r="G542" s="2"/>
      <c r="J542" s="2"/>
    </row>
    <row r="543" spans="1:10" x14ac:dyDescent="0.3">
      <c r="A543" s="2"/>
      <c r="C543" s="2"/>
      <c r="D543" s="2"/>
      <c r="E543" s="2"/>
      <c r="G543" s="2"/>
      <c r="J543" s="2"/>
    </row>
    <row r="544" spans="1:10" x14ac:dyDescent="0.3">
      <c r="A544" s="2"/>
      <c r="C544" s="2"/>
      <c r="D544" s="2"/>
      <c r="E544" s="2"/>
      <c r="G544" s="2"/>
      <c r="J544" s="2"/>
    </row>
    <row r="545" spans="1:10" x14ac:dyDescent="0.3">
      <c r="A545" s="2"/>
      <c r="C545" s="2"/>
      <c r="D545" s="2"/>
      <c r="E545" s="2"/>
      <c r="G545" s="2"/>
      <c r="J545" s="2"/>
    </row>
    <row r="546" spans="1:10" x14ac:dyDescent="0.3">
      <c r="A546" s="2"/>
      <c r="C546" s="2"/>
      <c r="D546" s="2"/>
      <c r="E546" s="2"/>
      <c r="G546" s="2"/>
      <c r="J546" s="2"/>
    </row>
    <row r="547" spans="1:10" x14ac:dyDescent="0.3">
      <c r="A547" s="2"/>
      <c r="C547" s="2"/>
      <c r="D547" s="2"/>
      <c r="E547" s="2"/>
      <c r="G547" s="2"/>
      <c r="J547" s="2"/>
    </row>
    <row r="548" spans="1:10" x14ac:dyDescent="0.3">
      <c r="A548" s="2"/>
      <c r="C548" s="2"/>
      <c r="D548" s="2"/>
      <c r="E548" s="2"/>
      <c r="G548" s="2"/>
      <c r="J548" s="2"/>
    </row>
    <row r="549" spans="1:10" x14ac:dyDescent="0.3">
      <c r="A549" s="2"/>
      <c r="C549" s="2"/>
      <c r="D549" s="2"/>
      <c r="E549" s="2"/>
      <c r="G549" s="2"/>
      <c r="J549" s="2"/>
    </row>
    <row r="550" spans="1:10" x14ac:dyDescent="0.3">
      <c r="A550" s="2"/>
      <c r="C550" s="2"/>
      <c r="D550" s="2"/>
      <c r="E550" s="2"/>
      <c r="G550" s="2"/>
      <c r="J550" s="2"/>
    </row>
    <row r="551" spans="1:10" x14ac:dyDescent="0.3">
      <c r="A551" s="2"/>
      <c r="C551" s="2"/>
      <c r="D551" s="2"/>
      <c r="E551" s="2"/>
      <c r="G551" s="2"/>
      <c r="J551" s="2"/>
    </row>
    <row r="552" spans="1:10" x14ac:dyDescent="0.3">
      <c r="A552" s="2"/>
      <c r="C552" s="2"/>
      <c r="D552" s="2"/>
      <c r="E552" s="2"/>
      <c r="G552" s="2"/>
      <c r="J552" s="2"/>
    </row>
    <row r="553" spans="1:10" x14ac:dyDescent="0.3">
      <c r="A553" s="2"/>
      <c r="C553" s="2"/>
      <c r="D553" s="2"/>
      <c r="E553" s="2"/>
      <c r="G553" s="2"/>
      <c r="J553" s="2"/>
    </row>
    <row r="554" spans="1:10" x14ac:dyDescent="0.3">
      <c r="A554" s="2"/>
      <c r="C554" s="2"/>
      <c r="D554" s="2"/>
      <c r="E554" s="2"/>
      <c r="G554" s="2"/>
      <c r="J554" s="2"/>
    </row>
    <row r="555" spans="1:10" x14ac:dyDescent="0.3">
      <c r="A555" s="2"/>
      <c r="C555" s="2"/>
      <c r="D555" s="2"/>
      <c r="E555" s="2"/>
      <c r="G555" s="2"/>
      <c r="J555" s="2"/>
    </row>
    <row r="556" spans="1:10" x14ac:dyDescent="0.3">
      <c r="A556" s="2"/>
      <c r="C556" s="2"/>
      <c r="D556" s="2"/>
      <c r="E556" s="2"/>
      <c r="G556" s="2"/>
      <c r="J556" s="2"/>
    </row>
    <row r="557" spans="1:10" x14ac:dyDescent="0.3">
      <c r="A557" s="2"/>
      <c r="C557" s="2"/>
      <c r="D557" s="2"/>
      <c r="E557" s="2"/>
      <c r="G557" s="2"/>
      <c r="J557" s="2"/>
    </row>
    <row r="558" spans="1:10" x14ac:dyDescent="0.3">
      <c r="A558" s="2"/>
      <c r="C558" s="2"/>
      <c r="D558" s="2"/>
      <c r="E558" s="2"/>
      <c r="G558" s="2"/>
      <c r="J558" s="2"/>
    </row>
    <row r="559" spans="1:10" x14ac:dyDescent="0.3">
      <c r="A559" s="2"/>
      <c r="C559" s="2"/>
      <c r="D559" s="2"/>
      <c r="E559" s="2"/>
      <c r="G559" s="2"/>
      <c r="J559" s="2"/>
    </row>
    <row r="560" spans="1:10" x14ac:dyDescent="0.3">
      <c r="A560" s="2"/>
      <c r="C560" s="2"/>
      <c r="D560" s="2"/>
      <c r="E560" s="2"/>
      <c r="G560" s="2"/>
      <c r="J560" s="2"/>
    </row>
    <row r="561" spans="1:10" x14ac:dyDescent="0.3">
      <c r="A561" s="2"/>
      <c r="C561" s="2"/>
      <c r="D561" s="2"/>
      <c r="E561" s="2"/>
      <c r="G561" s="2"/>
      <c r="J561" s="2"/>
    </row>
    <row r="562" spans="1:10" x14ac:dyDescent="0.3">
      <c r="A562" s="2"/>
      <c r="C562" s="2"/>
      <c r="D562" s="2"/>
      <c r="E562" s="2"/>
      <c r="G562" s="2"/>
      <c r="J562" s="2"/>
    </row>
    <row r="563" spans="1:10" x14ac:dyDescent="0.3">
      <c r="A563" s="2"/>
      <c r="C563" s="2"/>
      <c r="D563" s="2"/>
      <c r="E563" s="2"/>
      <c r="G563" s="2"/>
      <c r="J563" s="2"/>
    </row>
    <row r="564" spans="1:10" x14ac:dyDescent="0.3">
      <c r="A564" s="2"/>
      <c r="C564" s="2"/>
      <c r="D564" s="2"/>
      <c r="E564" s="2"/>
      <c r="G564" s="2"/>
      <c r="J564" s="2"/>
    </row>
    <row r="565" spans="1:10" x14ac:dyDescent="0.3">
      <c r="A565" s="2"/>
      <c r="C565" s="2"/>
      <c r="D565" s="2"/>
      <c r="E565" s="2"/>
      <c r="G565" s="2"/>
      <c r="J565" s="2"/>
    </row>
    <row r="566" spans="1:10" x14ac:dyDescent="0.3">
      <c r="A566" s="2"/>
      <c r="C566" s="2"/>
      <c r="D566" s="2"/>
      <c r="E566" s="2"/>
      <c r="G566" s="2"/>
      <c r="J566" s="2"/>
    </row>
    <row r="567" spans="1:10" x14ac:dyDescent="0.3">
      <c r="A567" s="2"/>
      <c r="C567" s="2"/>
      <c r="D567" s="2"/>
      <c r="E567" s="2"/>
      <c r="G567" s="2"/>
      <c r="J567" s="2"/>
    </row>
    <row r="568" spans="1:10" x14ac:dyDescent="0.3">
      <c r="A568" s="2"/>
      <c r="C568" s="2"/>
      <c r="D568" s="2"/>
      <c r="E568" s="2"/>
      <c r="G568" s="2"/>
      <c r="J568" s="2"/>
    </row>
    <row r="569" spans="1:10" x14ac:dyDescent="0.3">
      <c r="A569" s="2"/>
      <c r="C569" s="2"/>
      <c r="D569" s="2"/>
      <c r="E569" s="2"/>
      <c r="G569" s="2"/>
      <c r="J569" s="2"/>
    </row>
    <row r="570" spans="1:10" x14ac:dyDescent="0.3">
      <c r="A570" s="2"/>
      <c r="C570" s="2"/>
      <c r="D570" s="2"/>
      <c r="E570" s="2"/>
      <c r="G570" s="2"/>
      <c r="J570" s="2"/>
    </row>
    <row r="571" spans="1:10" x14ac:dyDescent="0.3">
      <c r="A571" s="2"/>
      <c r="C571" s="2"/>
      <c r="D571" s="2"/>
      <c r="E571" s="2"/>
      <c r="G571" s="2"/>
      <c r="J571" s="2"/>
    </row>
    <row r="572" spans="1:10" x14ac:dyDescent="0.3">
      <c r="A572" s="2"/>
      <c r="C572" s="2"/>
      <c r="D572" s="2"/>
      <c r="E572" s="2"/>
      <c r="G572" s="2"/>
      <c r="J572" s="2"/>
    </row>
    <row r="573" spans="1:10" x14ac:dyDescent="0.3">
      <c r="A573" s="2"/>
      <c r="C573" s="2"/>
      <c r="D573" s="2"/>
      <c r="E573" s="2"/>
      <c r="G573" s="2"/>
      <c r="J573" s="2"/>
    </row>
    <row r="574" spans="1:10" x14ac:dyDescent="0.3">
      <c r="A574" s="2"/>
      <c r="C574" s="2"/>
      <c r="D574" s="2"/>
      <c r="E574" s="2"/>
      <c r="G574" s="2"/>
      <c r="J574" s="2"/>
    </row>
    <row r="575" spans="1:10" x14ac:dyDescent="0.3">
      <c r="A575" s="2"/>
      <c r="C575" s="2"/>
      <c r="D575" s="2"/>
      <c r="E575" s="2"/>
      <c r="G575" s="2"/>
      <c r="J575" s="2"/>
    </row>
    <row r="576" spans="1:10" x14ac:dyDescent="0.3">
      <c r="A576" s="2"/>
      <c r="C576" s="2"/>
      <c r="D576" s="2"/>
      <c r="E576" s="2"/>
      <c r="G576" s="2"/>
      <c r="J576" s="2"/>
    </row>
    <row r="577" spans="1:10" x14ac:dyDescent="0.3">
      <c r="A577" s="2"/>
      <c r="C577" s="2"/>
      <c r="D577" s="2"/>
      <c r="E577" s="2"/>
      <c r="G577" s="2"/>
      <c r="J577" s="2"/>
    </row>
    <row r="578" spans="1:10" x14ac:dyDescent="0.3">
      <c r="A578" s="2"/>
      <c r="C578" s="2"/>
      <c r="D578" s="2"/>
      <c r="E578" s="2"/>
      <c r="G578" s="2"/>
      <c r="J578" s="2"/>
    </row>
    <row r="579" spans="1:10" x14ac:dyDescent="0.3">
      <c r="A579" s="2"/>
      <c r="C579" s="2"/>
      <c r="D579" s="2"/>
      <c r="E579" s="2"/>
      <c r="G579" s="2"/>
      <c r="J579" s="2"/>
    </row>
    <row r="580" spans="1:10" x14ac:dyDescent="0.3">
      <c r="A580" s="2"/>
      <c r="C580" s="2"/>
      <c r="D580" s="2"/>
      <c r="E580" s="2"/>
      <c r="G580" s="2"/>
      <c r="J580" s="2"/>
    </row>
    <row r="581" spans="1:10" x14ac:dyDescent="0.3">
      <c r="A581" s="2"/>
      <c r="C581" s="2"/>
      <c r="D581" s="2"/>
      <c r="E581" s="2"/>
      <c r="G581" s="2"/>
      <c r="J581" s="2"/>
    </row>
    <row r="582" spans="1:10" x14ac:dyDescent="0.3">
      <c r="A582" s="2"/>
      <c r="C582" s="2"/>
      <c r="D582" s="2"/>
      <c r="E582" s="2"/>
      <c r="G582" s="2"/>
      <c r="J582" s="2"/>
    </row>
    <row r="583" spans="1:10" x14ac:dyDescent="0.3">
      <c r="A583" s="2"/>
      <c r="C583" s="2"/>
      <c r="D583" s="2"/>
      <c r="E583" s="2"/>
      <c r="G583" s="2"/>
      <c r="J583" s="2"/>
    </row>
    <row r="584" spans="1:10" x14ac:dyDescent="0.3">
      <c r="A584" s="2"/>
      <c r="C584" s="2"/>
      <c r="D584" s="2"/>
      <c r="E584" s="2"/>
      <c r="G584" s="2"/>
      <c r="J584" s="2"/>
    </row>
    <row r="585" spans="1:10" x14ac:dyDescent="0.3">
      <c r="A585" s="2"/>
      <c r="C585" s="2"/>
      <c r="D585" s="2"/>
      <c r="E585" s="2"/>
      <c r="G585" s="2"/>
      <c r="J585" s="2"/>
    </row>
    <row r="586" spans="1:10" x14ac:dyDescent="0.3">
      <c r="A586" s="2"/>
      <c r="C586" s="2"/>
      <c r="D586" s="2"/>
      <c r="E586" s="2"/>
      <c r="G586" s="2"/>
      <c r="J586" s="2"/>
    </row>
    <row r="587" spans="1:10" x14ac:dyDescent="0.3">
      <c r="A587" s="2"/>
      <c r="C587" s="2"/>
      <c r="D587" s="2"/>
      <c r="E587" s="2"/>
      <c r="G587" s="2"/>
      <c r="J587" s="2"/>
    </row>
    <row r="588" spans="1:10" x14ac:dyDescent="0.3">
      <c r="A588" s="2"/>
      <c r="C588" s="2"/>
      <c r="D588" s="2"/>
      <c r="E588" s="2"/>
      <c r="G588" s="2"/>
      <c r="J588" s="2"/>
    </row>
    <row r="589" spans="1:10" x14ac:dyDescent="0.3">
      <c r="A589" s="2"/>
      <c r="C589" s="2"/>
      <c r="D589" s="2"/>
      <c r="E589" s="2"/>
      <c r="G589" s="2"/>
      <c r="J589" s="2"/>
    </row>
    <row r="590" spans="1:10" x14ac:dyDescent="0.3">
      <c r="A590" s="2"/>
      <c r="C590" s="2"/>
      <c r="D590" s="2"/>
      <c r="E590" s="2"/>
      <c r="G590" s="2"/>
      <c r="J590" s="2"/>
    </row>
    <row r="591" spans="1:10" x14ac:dyDescent="0.3">
      <c r="A591" s="2"/>
      <c r="C591" s="2"/>
      <c r="D591" s="2"/>
      <c r="E591" s="2"/>
      <c r="G591" s="2"/>
      <c r="J591" s="2"/>
    </row>
    <row r="592" spans="1:10" x14ac:dyDescent="0.3">
      <c r="A592" s="2"/>
      <c r="C592" s="2"/>
      <c r="D592" s="2"/>
      <c r="E592" s="2"/>
      <c r="G592" s="2"/>
      <c r="J592" s="2"/>
    </row>
    <row r="593" spans="1:10" x14ac:dyDescent="0.3">
      <c r="A593" s="2"/>
      <c r="C593" s="2"/>
      <c r="D593" s="2"/>
      <c r="E593" s="2"/>
      <c r="G593" s="2"/>
      <c r="J593" s="2"/>
    </row>
    <row r="594" spans="1:10" x14ac:dyDescent="0.3">
      <c r="A594" s="2"/>
      <c r="C594" s="2"/>
      <c r="D594" s="2"/>
      <c r="E594" s="2"/>
      <c r="G594" s="2"/>
      <c r="J594" s="2"/>
    </row>
    <row r="595" spans="1:10" x14ac:dyDescent="0.3">
      <c r="A595" s="2"/>
      <c r="C595" s="2"/>
      <c r="D595" s="2"/>
      <c r="E595" s="2"/>
      <c r="G595" s="2"/>
      <c r="J595" s="2"/>
    </row>
    <row r="596" spans="1:10" x14ac:dyDescent="0.3">
      <c r="A596" s="2"/>
      <c r="C596" s="2"/>
      <c r="D596" s="2"/>
      <c r="E596" s="2"/>
      <c r="G596" s="2"/>
      <c r="J596" s="2"/>
    </row>
    <row r="597" spans="1:10" x14ac:dyDescent="0.3">
      <c r="A597" s="2"/>
      <c r="C597" s="2"/>
      <c r="D597" s="2"/>
      <c r="E597" s="2"/>
      <c r="G597" s="2"/>
      <c r="J597" s="2"/>
    </row>
    <row r="598" spans="1:10" x14ac:dyDescent="0.3">
      <c r="A598" s="2"/>
      <c r="C598" s="2"/>
      <c r="D598" s="2"/>
      <c r="E598" s="2"/>
      <c r="G598" s="2"/>
      <c r="J598" s="2"/>
    </row>
    <row r="599" spans="1:10" x14ac:dyDescent="0.3">
      <c r="A599" s="2"/>
      <c r="C599" s="2"/>
      <c r="D599" s="2"/>
      <c r="E599" s="2"/>
      <c r="G599" s="2"/>
      <c r="J599" s="2"/>
    </row>
    <row r="600" spans="1:10" x14ac:dyDescent="0.3">
      <c r="A600" s="2"/>
      <c r="C600" s="2"/>
      <c r="D600" s="2"/>
      <c r="E600" s="2"/>
      <c r="G600" s="2"/>
      <c r="J600" s="2"/>
    </row>
    <row r="601" spans="1:10" x14ac:dyDescent="0.3">
      <c r="A601" s="2"/>
      <c r="C601" s="2"/>
      <c r="D601" s="2"/>
      <c r="E601" s="2"/>
      <c r="G601" s="2"/>
      <c r="J601" s="2"/>
    </row>
    <row r="602" spans="1:10" x14ac:dyDescent="0.3">
      <c r="A602" s="2"/>
      <c r="C602" s="2"/>
      <c r="D602" s="2"/>
      <c r="E602" s="2"/>
      <c r="G602" s="2"/>
      <c r="J602" s="2"/>
    </row>
    <row r="603" spans="1:10" x14ac:dyDescent="0.3">
      <c r="A603" s="2"/>
      <c r="C603" s="2"/>
      <c r="D603" s="2"/>
      <c r="E603" s="2"/>
      <c r="G603" s="2"/>
      <c r="J603" s="2"/>
    </row>
    <row r="604" spans="1:10" x14ac:dyDescent="0.3">
      <c r="A604" s="2"/>
      <c r="C604" s="2"/>
      <c r="D604" s="2"/>
      <c r="E604" s="2"/>
      <c r="G604" s="2"/>
      <c r="J604" s="2"/>
    </row>
    <row r="605" spans="1:10" x14ac:dyDescent="0.3">
      <c r="A605" s="2"/>
      <c r="C605" s="2"/>
      <c r="D605" s="2"/>
      <c r="E605" s="2"/>
      <c r="G605" s="2"/>
      <c r="J605" s="2"/>
    </row>
    <row r="606" spans="1:10" x14ac:dyDescent="0.3">
      <c r="A606" s="2"/>
      <c r="C606" s="2"/>
      <c r="D606" s="2"/>
      <c r="E606" s="2"/>
      <c r="G606" s="2"/>
      <c r="J606" s="2"/>
    </row>
    <row r="607" spans="1:10" x14ac:dyDescent="0.3">
      <c r="A607" s="2"/>
      <c r="C607" s="2"/>
      <c r="D607" s="2"/>
      <c r="E607" s="2"/>
      <c r="G607" s="2"/>
      <c r="J607" s="2"/>
    </row>
    <row r="608" spans="1:10" x14ac:dyDescent="0.3">
      <c r="A608" s="2"/>
      <c r="C608" s="2"/>
      <c r="D608" s="2"/>
      <c r="E608" s="2"/>
      <c r="G608" s="2"/>
      <c r="J608" s="2"/>
    </row>
    <row r="609" spans="1:10" x14ac:dyDescent="0.3">
      <c r="A609" s="2"/>
      <c r="C609" s="2"/>
      <c r="D609" s="2"/>
      <c r="E609" s="2"/>
      <c r="G609" s="2"/>
      <c r="J609" s="2"/>
    </row>
    <row r="610" spans="1:10" x14ac:dyDescent="0.3">
      <c r="A610" s="2"/>
      <c r="C610" s="2"/>
      <c r="D610" s="2"/>
      <c r="E610" s="2"/>
      <c r="G610" s="2"/>
      <c r="J610" s="2"/>
    </row>
    <row r="611" spans="1:10" x14ac:dyDescent="0.3">
      <c r="A611" s="2"/>
      <c r="C611" s="2"/>
      <c r="D611" s="2"/>
      <c r="E611" s="2"/>
      <c r="G611" s="2"/>
      <c r="J611" s="2"/>
    </row>
    <row r="612" spans="1:10" x14ac:dyDescent="0.3">
      <c r="A612" s="2"/>
      <c r="C612" s="2"/>
      <c r="D612" s="2"/>
      <c r="E612" s="2"/>
      <c r="G612" s="2"/>
      <c r="J612" s="2"/>
    </row>
    <row r="613" spans="1:10" x14ac:dyDescent="0.3">
      <c r="A613" s="2"/>
      <c r="C613" s="2"/>
      <c r="D613" s="2"/>
      <c r="E613" s="2"/>
      <c r="G613" s="2"/>
      <c r="J613" s="2"/>
    </row>
    <row r="614" spans="1:10" x14ac:dyDescent="0.3">
      <c r="A614" s="2"/>
      <c r="C614" s="2"/>
      <c r="D614" s="2"/>
      <c r="E614" s="2"/>
      <c r="G614" s="2"/>
      <c r="J614" s="2"/>
    </row>
    <row r="615" spans="1:10" x14ac:dyDescent="0.3">
      <c r="A615" s="2"/>
      <c r="C615" s="2"/>
      <c r="D615" s="2"/>
      <c r="E615" s="2"/>
      <c r="G615" s="2"/>
      <c r="J615" s="2"/>
    </row>
    <row r="616" spans="1:10" x14ac:dyDescent="0.3">
      <c r="A616" s="2"/>
      <c r="C616" s="2"/>
      <c r="D616" s="2"/>
      <c r="E616" s="2"/>
      <c r="G616" s="2"/>
      <c r="J616" s="2"/>
    </row>
    <row r="617" spans="1:10" x14ac:dyDescent="0.3">
      <c r="A617" s="2"/>
      <c r="C617" s="2"/>
      <c r="D617" s="2"/>
      <c r="E617" s="2"/>
      <c r="G617" s="2"/>
      <c r="J617" s="2"/>
    </row>
    <row r="618" spans="1:10" x14ac:dyDescent="0.3">
      <c r="A618" s="2"/>
      <c r="C618" s="2"/>
      <c r="D618" s="2"/>
      <c r="E618" s="2"/>
      <c r="G618" s="2"/>
      <c r="J618" s="2"/>
    </row>
    <row r="619" spans="1:10" x14ac:dyDescent="0.3">
      <c r="A619" s="2"/>
      <c r="C619" s="2"/>
      <c r="D619" s="2"/>
      <c r="E619" s="2"/>
      <c r="G619" s="2"/>
      <c r="J619" s="2"/>
    </row>
    <row r="620" spans="1:10" x14ac:dyDescent="0.3">
      <c r="A620" s="2"/>
      <c r="C620" s="2"/>
      <c r="D620" s="2"/>
      <c r="E620" s="2"/>
      <c r="G620" s="2"/>
      <c r="J620" s="2"/>
    </row>
    <row r="621" spans="1:10" x14ac:dyDescent="0.3">
      <c r="A621" s="2"/>
      <c r="C621" s="2"/>
      <c r="D621" s="2"/>
      <c r="E621" s="2"/>
      <c r="G621" s="2"/>
      <c r="J621" s="2"/>
    </row>
    <row r="622" spans="1:10" x14ac:dyDescent="0.3">
      <c r="A622" s="2"/>
      <c r="C622" s="2"/>
      <c r="D622" s="2"/>
      <c r="E622" s="2"/>
      <c r="G622" s="2"/>
      <c r="J622" s="2"/>
    </row>
    <row r="623" spans="1:10" x14ac:dyDescent="0.3">
      <c r="A623" s="2"/>
      <c r="C623" s="2"/>
      <c r="D623" s="2"/>
      <c r="E623" s="2"/>
      <c r="G623" s="2"/>
      <c r="J623" s="2"/>
    </row>
    <row r="624" spans="1:10" x14ac:dyDescent="0.3">
      <c r="A624" s="2"/>
      <c r="C624" s="2"/>
      <c r="D624" s="2"/>
      <c r="E624" s="2"/>
      <c r="G624" s="2"/>
      <c r="J624" s="2"/>
    </row>
    <row r="625" spans="1:10" x14ac:dyDescent="0.3">
      <c r="A625" s="2"/>
      <c r="C625" s="2"/>
      <c r="D625" s="2"/>
      <c r="E625" s="2"/>
      <c r="G625" s="2"/>
      <c r="J625" s="2"/>
    </row>
    <row r="626" spans="1:10" x14ac:dyDescent="0.3">
      <c r="A626" s="2"/>
      <c r="C626" s="2"/>
      <c r="D626" s="2"/>
      <c r="E626" s="2"/>
      <c r="G626" s="2"/>
      <c r="J626" s="2"/>
    </row>
    <row r="627" spans="1:10" x14ac:dyDescent="0.3">
      <c r="A627" s="2"/>
      <c r="C627" s="2"/>
      <c r="D627" s="2"/>
      <c r="E627" s="2"/>
      <c r="G627" s="2"/>
      <c r="J627" s="2"/>
    </row>
    <row r="628" spans="1:10" x14ac:dyDescent="0.3">
      <c r="A628" s="2"/>
      <c r="C628" s="2"/>
      <c r="D628" s="2"/>
      <c r="E628" s="2"/>
      <c r="G628" s="2"/>
      <c r="J628" s="2"/>
    </row>
    <row r="629" spans="1:10" x14ac:dyDescent="0.3">
      <c r="A629" s="2"/>
      <c r="C629" s="2"/>
      <c r="D629" s="2"/>
      <c r="E629" s="2"/>
      <c r="G629" s="2"/>
      <c r="J629" s="2"/>
    </row>
    <row r="630" spans="1:10" x14ac:dyDescent="0.3">
      <c r="A630" s="2"/>
      <c r="C630" s="2"/>
      <c r="D630" s="2"/>
      <c r="E630" s="2"/>
      <c r="G630" s="2"/>
      <c r="J630" s="2"/>
    </row>
    <row r="631" spans="1:10" x14ac:dyDescent="0.3">
      <c r="A631" s="2"/>
      <c r="C631" s="2"/>
      <c r="D631" s="2"/>
      <c r="E631" s="2"/>
      <c r="G631" s="2"/>
      <c r="J631" s="2"/>
    </row>
    <row r="632" spans="1:10" x14ac:dyDescent="0.3">
      <c r="A632" s="2"/>
      <c r="C632" s="2"/>
      <c r="D632" s="2"/>
      <c r="E632" s="2"/>
      <c r="G632" s="2"/>
      <c r="J632" s="2"/>
    </row>
    <row r="633" spans="1:10" x14ac:dyDescent="0.3">
      <c r="A633" s="2"/>
      <c r="C633" s="2"/>
      <c r="D633" s="2"/>
      <c r="E633" s="2"/>
      <c r="G633" s="2"/>
      <c r="J633" s="2"/>
    </row>
    <row r="634" spans="1:10" x14ac:dyDescent="0.3">
      <c r="A634" s="2"/>
      <c r="C634" s="2"/>
      <c r="D634" s="2"/>
      <c r="E634" s="2"/>
      <c r="G634" s="2"/>
      <c r="J634" s="2"/>
    </row>
    <row r="635" spans="1:10" x14ac:dyDescent="0.3">
      <c r="A635" s="2"/>
      <c r="C635" s="2"/>
      <c r="D635" s="2"/>
      <c r="E635" s="2"/>
      <c r="G635" s="2"/>
      <c r="J635" s="2"/>
    </row>
    <row r="636" spans="1:10" x14ac:dyDescent="0.3">
      <c r="A636" s="2"/>
      <c r="C636" s="2"/>
      <c r="D636" s="2"/>
      <c r="E636" s="2"/>
      <c r="G636" s="2"/>
      <c r="J636" s="2"/>
    </row>
    <row r="637" spans="1:10" x14ac:dyDescent="0.3">
      <c r="A637" s="2"/>
      <c r="C637" s="2"/>
      <c r="D637" s="2"/>
      <c r="E637" s="2"/>
      <c r="G637" s="2"/>
      <c r="J637" s="2"/>
    </row>
    <row r="638" spans="1:10" x14ac:dyDescent="0.3">
      <c r="A638" s="2"/>
      <c r="C638" s="2"/>
      <c r="D638" s="2"/>
      <c r="E638" s="2"/>
      <c r="G638" s="2"/>
      <c r="J638" s="2"/>
    </row>
    <row r="639" spans="1:10" x14ac:dyDescent="0.3">
      <c r="A639" s="2"/>
      <c r="C639" s="2"/>
      <c r="D639" s="2"/>
      <c r="E639" s="2"/>
      <c r="G639" s="2"/>
      <c r="J639" s="2"/>
    </row>
    <row r="640" spans="1:10" x14ac:dyDescent="0.3">
      <c r="A640" s="2"/>
      <c r="C640" s="2"/>
      <c r="D640" s="2"/>
      <c r="E640" s="2"/>
      <c r="G640" s="2"/>
      <c r="J640" s="2"/>
    </row>
    <row r="641" spans="1:10" x14ac:dyDescent="0.3">
      <c r="A641" s="2"/>
      <c r="C641" s="2"/>
      <c r="D641" s="2"/>
      <c r="E641" s="2"/>
      <c r="G641" s="2"/>
      <c r="J641" s="2"/>
    </row>
    <row r="642" spans="1:10" x14ac:dyDescent="0.3">
      <c r="A642" s="2"/>
      <c r="C642" s="2"/>
      <c r="D642" s="2"/>
      <c r="E642" s="2"/>
      <c r="G642" s="2"/>
      <c r="J642" s="2"/>
    </row>
    <row r="643" spans="1:10" x14ac:dyDescent="0.3">
      <c r="A643" s="2"/>
      <c r="C643" s="2"/>
      <c r="D643" s="2"/>
      <c r="E643" s="2"/>
      <c r="G643" s="2"/>
      <c r="J643" s="2"/>
    </row>
    <row r="644" spans="1:10" x14ac:dyDescent="0.3">
      <c r="A644" s="2"/>
      <c r="C644" s="2"/>
      <c r="D644" s="2"/>
      <c r="E644" s="2"/>
      <c r="G644" s="2"/>
      <c r="J644" s="2"/>
    </row>
    <row r="645" spans="1:10" x14ac:dyDescent="0.3">
      <c r="A645" s="2"/>
      <c r="C645" s="2"/>
      <c r="D645" s="2"/>
      <c r="E645" s="2"/>
      <c r="G645" s="2"/>
      <c r="J645" s="2"/>
    </row>
    <row r="646" spans="1:10" x14ac:dyDescent="0.3">
      <c r="A646" s="2"/>
      <c r="C646" s="2"/>
      <c r="D646" s="2"/>
      <c r="E646" s="2"/>
      <c r="G646" s="2"/>
      <c r="J646" s="2"/>
    </row>
    <row r="647" spans="1:10" x14ac:dyDescent="0.3">
      <c r="A647" s="2"/>
      <c r="C647" s="2"/>
      <c r="D647" s="2"/>
      <c r="E647" s="2"/>
      <c r="G647" s="2"/>
      <c r="J647" s="2"/>
    </row>
    <row r="648" spans="1:10" x14ac:dyDescent="0.3">
      <c r="A648" s="2"/>
      <c r="C648" s="2"/>
      <c r="D648" s="2"/>
      <c r="E648" s="2"/>
      <c r="G648" s="2"/>
      <c r="J648" s="2"/>
    </row>
    <row r="649" spans="1:10" x14ac:dyDescent="0.3">
      <c r="A649" s="2"/>
      <c r="C649" s="2"/>
      <c r="D649" s="2"/>
      <c r="E649" s="2"/>
      <c r="G649" s="2"/>
      <c r="J649" s="2"/>
    </row>
    <row r="650" spans="1:10" x14ac:dyDescent="0.3">
      <c r="A650" s="2"/>
      <c r="C650" s="2"/>
      <c r="D650" s="2"/>
      <c r="E650" s="2"/>
      <c r="G650" s="2"/>
      <c r="J650" s="2"/>
    </row>
    <row r="651" spans="1:10" x14ac:dyDescent="0.3">
      <c r="A651" s="2"/>
      <c r="C651" s="2"/>
      <c r="D651" s="2"/>
      <c r="E651" s="2"/>
      <c r="G651" s="2"/>
      <c r="J651" s="2"/>
    </row>
    <row r="652" spans="1:10" x14ac:dyDescent="0.3">
      <c r="A652" s="2"/>
      <c r="C652" s="2"/>
      <c r="D652" s="2"/>
      <c r="E652" s="2"/>
      <c r="G652" s="2"/>
      <c r="J652" s="2"/>
    </row>
    <row r="653" spans="1:10" x14ac:dyDescent="0.3">
      <c r="A653" s="2"/>
      <c r="C653" s="2"/>
      <c r="D653" s="2"/>
      <c r="E653" s="2"/>
      <c r="G653" s="2"/>
      <c r="J653" s="2"/>
    </row>
    <row r="654" spans="1:10" x14ac:dyDescent="0.3">
      <c r="A654" s="2"/>
      <c r="C654" s="2"/>
      <c r="D654" s="2"/>
      <c r="E654" s="2"/>
      <c r="G654" s="2"/>
      <c r="J654" s="2"/>
    </row>
    <row r="655" spans="1:10" x14ac:dyDescent="0.3">
      <c r="A655" s="2"/>
      <c r="C655" s="2"/>
      <c r="D655" s="2"/>
      <c r="E655" s="2"/>
      <c r="G655" s="2"/>
      <c r="J655" s="2"/>
    </row>
    <row r="656" spans="1:10" x14ac:dyDescent="0.3">
      <c r="A656" s="2"/>
      <c r="C656" s="2"/>
      <c r="D656" s="2"/>
      <c r="E656" s="2"/>
      <c r="G656" s="2"/>
      <c r="J656" s="2"/>
    </row>
    <row r="657" spans="1:10" x14ac:dyDescent="0.3">
      <c r="A657" s="2"/>
      <c r="C657" s="2"/>
      <c r="D657" s="2"/>
      <c r="E657" s="2"/>
      <c r="G657" s="2"/>
      <c r="J657" s="2"/>
    </row>
    <row r="658" spans="1:10" x14ac:dyDescent="0.3">
      <c r="A658" s="2"/>
      <c r="C658" s="2"/>
      <c r="D658" s="2"/>
      <c r="E658" s="2"/>
      <c r="G658" s="2"/>
      <c r="J658" s="2"/>
    </row>
    <row r="659" spans="1:10" x14ac:dyDescent="0.3">
      <c r="A659" s="2"/>
      <c r="C659" s="2"/>
      <c r="D659" s="2"/>
      <c r="E659" s="2"/>
      <c r="G659" s="2"/>
      <c r="J659" s="2"/>
    </row>
    <row r="660" spans="1:10" x14ac:dyDescent="0.3">
      <c r="A660" s="2"/>
      <c r="C660" s="2"/>
      <c r="D660" s="2"/>
      <c r="E660" s="2"/>
      <c r="G660" s="2"/>
      <c r="J660" s="2"/>
    </row>
    <row r="661" spans="1:10" x14ac:dyDescent="0.3">
      <c r="A661" s="2"/>
      <c r="C661" s="2"/>
      <c r="D661" s="2"/>
      <c r="E661" s="2"/>
      <c r="G661" s="2"/>
      <c r="J661" s="2"/>
    </row>
    <row r="662" spans="1:10" x14ac:dyDescent="0.3">
      <c r="A662" s="2"/>
      <c r="C662" s="2"/>
      <c r="D662" s="2"/>
      <c r="E662" s="2"/>
      <c r="G662" s="2"/>
      <c r="J662" s="2"/>
    </row>
    <row r="663" spans="1:10" x14ac:dyDescent="0.3">
      <c r="A663" s="2"/>
      <c r="C663" s="2"/>
      <c r="D663" s="2"/>
      <c r="E663" s="2"/>
      <c r="G663" s="2"/>
      <c r="J663" s="2"/>
    </row>
    <row r="664" spans="1:10" x14ac:dyDescent="0.3">
      <c r="A664" s="2"/>
      <c r="C664" s="2"/>
      <c r="D664" s="2"/>
      <c r="E664" s="2"/>
      <c r="G664" s="2"/>
      <c r="J664" s="2"/>
    </row>
    <row r="665" spans="1:10" x14ac:dyDescent="0.3">
      <c r="A665" s="2"/>
      <c r="C665" s="2"/>
      <c r="D665" s="2"/>
      <c r="E665" s="2"/>
      <c r="G665" s="2"/>
      <c r="J665" s="2"/>
    </row>
    <row r="666" spans="1:10" x14ac:dyDescent="0.3">
      <c r="A666" s="2"/>
      <c r="C666" s="2"/>
      <c r="D666" s="2"/>
      <c r="E666" s="2"/>
      <c r="G666" s="2"/>
      <c r="J666" s="2"/>
    </row>
    <row r="667" spans="1:10" x14ac:dyDescent="0.3">
      <c r="A667" s="2"/>
      <c r="C667" s="2"/>
      <c r="D667" s="2"/>
      <c r="E667" s="2"/>
      <c r="G667" s="2"/>
      <c r="J667" s="2"/>
    </row>
    <row r="668" spans="1:10" x14ac:dyDescent="0.3">
      <c r="A668" s="2"/>
      <c r="C668" s="2"/>
      <c r="D668" s="2"/>
      <c r="E668" s="2"/>
      <c r="G668" s="2"/>
      <c r="J668" s="2"/>
    </row>
    <row r="669" spans="1:10" x14ac:dyDescent="0.3">
      <c r="A669" s="2"/>
      <c r="C669" s="2"/>
      <c r="D669" s="2"/>
      <c r="E669" s="2"/>
      <c r="G669" s="2"/>
      <c r="J669" s="2"/>
    </row>
    <row r="670" spans="1:10" x14ac:dyDescent="0.3">
      <c r="A670" s="2"/>
      <c r="C670" s="2"/>
      <c r="D670" s="2"/>
      <c r="E670" s="2"/>
      <c r="G670" s="2"/>
      <c r="J670" s="2"/>
    </row>
    <row r="671" spans="1:10" x14ac:dyDescent="0.3">
      <c r="A671" s="2"/>
      <c r="C671" s="2"/>
      <c r="D671" s="2"/>
      <c r="E671" s="2"/>
      <c r="G671" s="2"/>
      <c r="J671" s="2"/>
    </row>
    <row r="672" spans="1:10" x14ac:dyDescent="0.3">
      <c r="A672" s="2"/>
      <c r="C672" s="2"/>
      <c r="D672" s="2"/>
      <c r="E672" s="2"/>
      <c r="G672" s="2"/>
      <c r="J672" s="2"/>
    </row>
    <row r="673" spans="1:10" x14ac:dyDescent="0.3">
      <c r="A673" s="2"/>
      <c r="C673" s="2"/>
      <c r="D673" s="2"/>
      <c r="E673" s="2"/>
      <c r="G673" s="2"/>
      <c r="J673" s="2"/>
    </row>
    <row r="674" spans="1:10" x14ac:dyDescent="0.3">
      <c r="A674" s="2"/>
      <c r="C674" s="2"/>
      <c r="D674" s="2"/>
      <c r="E674" s="2"/>
      <c r="G674" s="2"/>
      <c r="J674" s="2"/>
    </row>
    <row r="675" spans="1:10" x14ac:dyDescent="0.3">
      <c r="A675" s="2"/>
      <c r="C675" s="2"/>
      <c r="D675" s="2"/>
      <c r="E675" s="2"/>
      <c r="G675" s="2"/>
      <c r="J675" s="2"/>
    </row>
    <row r="676" spans="1:10" x14ac:dyDescent="0.3">
      <c r="A676" s="2"/>
      <c r="C676" s="2"/>
      <c r="D676" s="2"/>
      <c r="E676" s="2"/>
      <c r="G676" s="2"/>
      <c r="J676" s="2"/>
    </row>
    <row r="677" spans="1:10" x14ac:dyDescent="0.3">
      <c r="A677" s="2"/>
      <c r="C677" s="2"/>
      <c r="D677" s="2"/>
      <c r="E677" s="2"/>
      <c r="G677" s="2"/>
      <c r="J677" s="2"/>
    </row>
    <row r="678" spans="1:10" x14ac:dyDescent="0.3">
      <c r="A678" s="2"/>
      <c r="C678" s="2"/>
      <c r="D678" s="2"/>
      <c r="E678" s="2"/>
      <c r="G678" s="2"/>
      <c r="J678" s="2"/>
    </row>
    <row r="679" spans="1:10" x14ac:dyDescent="0.3">
      <c r="A679" s="2"/>
      <c r="C679" s="2"/>
      <c r="D679" s="2"/>
      <c r="E679" s="2"/>
      <c r="G679" s="2"/>
      <c r="J679" s="2"/>
    </row>
    <row r="680" spans="1:10" x14ac:dyDescent="0.3">
      <c r="A680" s="2"/>
      <c r="C680" s="2"/>
      <c r="D680" s="2"/>
      <c r="E680" s="2"/>
      <c r="G680" s="2"/>
      <c r="J680" s="2"/>
    </row>
    <row r="681" spans="1:10" x14ac:dyDescent="0.3">
      <c r="A681" s="2"/>
      <c r="C681" s="2"/>
      <c r="D681" s="2"/>
      <c r="E681" s="2"/>
      <c r="G681" s="2"/>
      <c r="J681" s="2"/>
    </row>
    <row r="682" spans="1:10" x14ac:dyDescent="0.3">
      <c r="A682" s="2"/>
      <c r="C682" s="2"/>
      <c r="D682" s="2"/>
      <c r="E682" s="2"/>
      <c r="G682" s="2"/>
      <c r="J682" s="2"/>
    </row>
    <row r="683" spans="1:10" x14ac:dyDescent="0.3">
      <c r="A683" s="2"/>
      <c r="C683" s="2"/>
      <c r="D683" s="2"/>
      <c r="E683" s="2"/>
      <c r="G683" s="2"/>
      <c r="J683" s="2"/>
    </row>
    <row r="684" spans="1:10" x14ac:dyDescent="0.3">
      <c r="A684" s="2"/>
      <c r="C684" s="2"/>
      <c r="D684" s="2"/>
      <c r="E684" s="2"/>
      <c r="G684" s="2"/>
      <c r="J684" s="2"/>
    </row>
    <row r="685" spans="1:10" x14ac:dyDescent="0.3">
      <c r="A685" s="2"/>
      <c r="C685" s="2"/>
      <c r="D685" s="2"/>
      <c r="E685" s="2"/>
      <c r="G685" s="2"/>
      <c r="J685" s="2"/>
    </row>
    <row r="686" spans="1:10" x14ac:dyDescent="0.3">
      <c r="A686" s="2"/>
      <c r="C686" s="2"/>
      <c r="D686" s="2"/>
      <c r="E686" s="2"/>
      <c r="G686" s="2"/>
      <c r="J686" s="2"/>
    </row>
    <row r="687" spans="1:10" x14ac:dyDescent="0.3">
      <c r="A687" s="2"/>
      <c r="C687" s="2"/>
      <c r="D687" s="2"/>
      <c r="E687" s="2"/>
      <c r="G687" s="2"/>
      <c r="J687" s="2"/>
    </row>
    <row r="688" spans="1:10" x14ac:dyDescent="0.3">
      <c r="A688" s="2"/>
      <c r="C688" s="2"/>
      <c r="D688" s="2"/>
      <c r="E688" s="2"/>
      <c r="G688" s="2"/>
      <c r="J688" s="2"/>
    </row>
    <row r="689" spans="1:10" x14ac:dyDescent="0.3">
      <c r="A689" s="2"/>
      <c r="C689" s="2"/>
      <c r="D689" s="2"/>
      <c r="E689" s="2"/>
      <c r="G689" s="2"/>
      <c r="J689" s="2"/>
    </row>
    <row r="690" spans="1:10" x14ac:dyDescent="0.3">
      <c r="A690" s="2"/>
      <c r="C690" s="2"/>
      <c r="D690" s="2"/>
      <c r="E690" s="2"/>
      <c r="G690" s="2"/>
      <c r="J690" s="2"/>
    </row>
    <row r="691" spans="1:10" x14ac:dyDescent="0.3">
      <c r="A691" s="2"/>
      <c r="C691" s="2"/>
      <c r="D691" s="2"/>
      <c r="E691" s="2"/>
      <c r="G691" s="2"/>
      <c r="J691" s="2"/>
    </row>
    <row r="692" spans="1:10" x14ac:dyDescent="0.3">
      <c r="A692" s="2"/>
      <c r="C692" s="2"/>
      <c r="D692" s="2"/>
      <c r="E692" s="2"/>
      <c r="G692" s="2"/>
      <c r="J692" s="2"/>
    </row>
    <row r="693" spans="1:10" x14ac:dyDescent="0.3">
      <c r="A693" s="2"/>
      <c r="C693" s="2"/>
      <c r="D693" s="2"/>
      <c r="E693" s="2"/>
      <c r="G693" s="2"/>
      <c r="J693" s="2"/>
    </row>
    <row r="694" spans="1:10" x14ac:dyDescent="0.3">
      <c r="A694" s="2"/>
      <c r="C694" s="2"/>
      <c r="D694" s="2"/>
      <c r="E694" s="2"/>
      <c r="G694" s="2"/>
      <c r="J694" s="2"/>
    </row>
    <row r="695" spans="1:10" x14ac:dyDescent="0.3">
      <c r="A695" s="2"/>
      <c r="C695" s="2"/>
      <c r="D695" s="2"/>
      <c r="E695" s="2"/>
      <c r="G695" s="2"/>
      <c r="J695" s="2"/>
    </row>
    <row r="696" spans="1:10" x14ac:dyDescent="0.3">
      <c r="A696" s="2"/>
      <c r="C696" s="2"/>
      <c r="D696" s="2"/>
      <c r="E696" s="2"/>
      <c r="G696" s="2"/>
      <c r="J696" s="2"/>
    </row>
    <row r="697" spans="1:10" x14ac:dyDescent="0.3">
      <c r="A697" s="2"/>
      <c r="C697" s="2"/>
      <c r="D697" s="2"/>
      <c r="E697" s="2"/>
      <c r="G697" s="2"/>
      <c r="J697" s="2"/>
    </row>
    <row r="698" spans="1:10" x14ac:dyDescent="0.3">
      <c r="A698" s="2"/>
      <c r="C698" s="2"/>
      <c r="D698" s="2"/>
      <c r="E698" s="2"/>
      <c r="G698" s="2"/>
      <c r="J698" s="2"/>
    </row>
    <row r="699" spans="1:10" x14ac:dyDescent="0.3">
      <c r="A699" s="2"/>
      <c r="C699" s="2"/>
      <c r="D699" s="2"/>
      <c r="E699" s="2"/>
      <c r="G699" s="2"/>
      <c r="J699" s="2"/>
    </row>
    <row r="700" spans="1:10" x14ac:dyDescent="0.3">
      <c r="A700" s="2"/>
      <c r="C700" s="2"/>
      <c r="D700" s="2"/>
      <c r="E700" s="2"/>
      <c r="G700" s="2"/>
      <c r="J700" s="2"/>
    </row>
    <row r="701" spans="1:10" x14ac:dyDescent="0.3">
      <c r="A701" s="2"/>
      <c r="C701" s="2"/>
      <c r="D701" s="2"/>
      <c r="E701" s="2"/>
      <c r="G701" s="2"/>
      <c r="J701" s="2"/>
    </row>
    <row r="702" spans="1:10" x14ac:dyDescent="0.3">
      <c r="A702" s="2"/>
      <c r="C702" s="2"/>
      <c r="D702" s="2"/>
      <c r="E702" s="2"/>
      <c r="G702" s="2"/>
      <c r="J702" s="2"/>
    </row>
    <row r="703" spans="1:10" x14ac:dyDescent="0.3">
      <c r="A703" s="2"/>
      <c r="C703" s="2"/>
      <c r="D703" s="2"/>
      <c r="E703" s="2"/>
      <c r="G703" s="2"/>
      <c r="J703" s="2"/>
    </row>
    <row r="704" spans="1:10" x14ac:dyDescent="0.3">
      <c r="A704" s="2"/>
      <c r="C704" s="2"/>
      <c r="D704" s="2"/>
      <c r="E704" s="2"/>
      <c r="G704" s="2"/>
      <c r="J704" s="2"/>
    </row>
    <row r="705" spans="1:10" x14ac:dyDescent="0.3">
      <c r="A705" s="2"/>
      <c r="C705" s="2"/>
      <c r="D705" s="2"/>
      <c r="E705" s="2"/>
      <c r="G705" s="2"/>
      <c r="J705" s="2"/>
    </row>
    <row r="706" spans="1:10" x14ac:dyDescent="0.3">
      <c r="A706" s="2"/>
      <c r="C706" s="2"/>
      <c r="D706" s="2"/>
      <c r="E706" s="2"/>
      <c r="G706" s="2"/>
      <c r="J706" s="2"/>
    </row>
    <row r="707" spans="1:10" x14ac:dyDescent="0.3">
      <c r="A707" s="2"/>
      <c r="C707" s="2"/>
      <c r="D707" s="2"/>
      <c r="E707" s="2"/>
      <c r="G707" s="2"/>
      <c r="J707" s="2"/>
    </row>
    <row r="708" spans="1:10" x14ac:dyDescent="0.3">
      <c r="A708" s="2"/>
      <c r="C708" s="2"/>
      <c r="D708" s="2"/>
      <c r="E708" s="2"/>
      <c r="G708" s="2"/>
      <c r="J708" s="2"/>
    </row>
    <row r="709" spans="1:10" x14ac:dyDescent="0.3">
      <c r="A709" s="2"/>
      <c r="C709" s="2"/>
      <c r="D709" s="2"/>
      <c r="E709" s="2"/>
      <c r="G709" s="2"/>
      <c r="J709" s="2"/>
    </row>
    <row r="710" spans="1:10" x14ac:dyDescent="0.3">
      <c r="A710" s="2"/>
      <c r="C710" s="2"/>
      <c r="D710" s="2"/>
      <c r="E710" s="2"/>
      <c r="G710" s="2"/>
      <c r="J710" s="2"/>
    </row>
    <row r="711" spans="1:10" x14ac:dyDescent="0.3">
      <c r="A711" s="2"/>
      <c r="C711" s="2"/>
      <c r="D711" s="2"/>
      <c r="E711" s="2"/>
      <c r="G711" s="2"/>
      <c r="J711" s="2"/>
    </row>
    <row r="712" spans="1:10" x14ac:dyDescent="0.3">
      <c r="A712" s="2"/>
      <c r="C712" s="2"/>
      <c r="D712" s="2"/>
      <c r="E712" s="2"/>
      <c r="G712" s="2"/>
      <c r="J712" s="2"/>
    </row>
    <row r="713" spans="1:10" x14ac:dyDescent="0.3">
      <c r="A713" s="2"/>
      <c r="C713" s="2"/>
      <c r="D713" s="2"/>
      <c r="E713" s="2"/>
      <c r="G713" s="2"/>
      <c r="J713" s="2"/>
    </row>
    <row r="714" spans="1:10" x14ac:dyDescent="0.3">
      <c r="A714" s="2"/>
      <c r="C714" s="2"/>
      <c r="D714" s="2"/>
      <c r="E714" s="2"/>
      <c r="G714" s="2"/>
      <c r="J714" s="2"/>
    </row>
    <row r="715" spans="1:10" x14ac:dyDescent="0.3">
      <c r="A715" s="2"/>
      <c r="C715" s="2"/>
      <c r="D715" s="2"/>
      <c r="E715" s="2"/>
      <c r="G715" s="2"/>
      <c r="J715" s="2"/>
    </row>
    <row r="716" spans="1:10" x14ac:dyDescent="0.3">
      <c r="A716" s="2"/>
      <c r="C716" s="2"/>
      <c r="D716" s="2"/>
      <c r="E716" s="2"/>
      <c r="G716" s="2"/>
      <c r="J716" s="2"/>
    </row>
    <row r="717" spans="1:10" x14ac:dyDescent="0.3">
      <c r="A717" s="2"/>
      <c r="C717" s="2"/>
      <c r="D717" s="2"/>
      <c r="E717" s="2"/>
      <c r="G717" s="2"/>
      <c r="J717" s="2"/>
    </row>
    <row r="718" spans="1:10" x14ac:dyDescent="0.3">
      <c r="A718" s="2"/>
      <c r="C718" s="2"/>
      <c r="D718" s="2"/>
      <c r="E718" s="2"/>
      <c r="G718" s="2"/>
      <c r="J718" s="2"/>
    </row>
    <row r="719" spans="1:10" x14ac:dyDescent="0.3">
      <c r="A719" s="2"/>
      <c r="C719" s="2"/>
      <c r="D719" s="2"/>
      <c r="E719" s="2"/>
      <c r="G719" s="2"/>
      <c r="J719" s="2"/>
    </row>
    <row r="720" spans="1:10" x14ac:dyDescent="0.3">
      <c r="A720" s="2"/>
      <c r="C720" s="2"/>
      <c r="D720" s="2"/>
      <c r="E720" s="2"/>
      <c r="G720" s="2"/>
      <c r="J720" s="2"/>
    </row>
    <row r="721" spans="1:10" x14ac:dyDescent="0.3">
      <c r="A721" s="2"/>
      <c r="C721" s="2"/>
      <c r="D721" s="2"/>
      <c r="E721" s="2"/>
      <c r="G721" s="2"/>
      <c r="J721" s="2"/>
    </row>
    <row r="722" spans="1:10" x14ac:dyDescent="0.3">
      <c r="A722" s="2"/>
      <c r="C722" s="2"/>
      <c r="D722" s="2"/>
      <c r="E722" s="2"/>
      <c r="G722" s="2"/>
      <c r="J722" s="2"/>
    </row>
    <row r="723" spans="1:10" x14ac:dyDescent="0.3">
      <c r="A723" s="2"/>
      <c r="C723" s="2"/>
      <c r="D723" s="2"/>
      <c r="E723" s="2"/>
      <c r="G723" s="2"/>
      <c r="J723" s="2"/>
    </row>
    <row r="724" spans="1:10" x14ac:dyDescent="0.3">
      <c r="A724" s="2"/>
      <c r="C724" s="2"/>
      <c r="D724" s="2"/>
      <c r="E724" s="2"/>
      <c r="G724" s="2"/>
      <c r="J724" s="2"/>
    </row>
    <row r="725" spans="1:10" x14ac:dyDescent="0.3">
      <c r="A725" s="2"/>
      <c r="C725" s="2"/>
      <c r="D725" s="2"/>
      <c r="E725" s="2"/>
      <c r="G725" s="2"/>
      <c r="J725" s="2"/>
    </row>
    <row r="726" spans="1:10" x14ac:dyDescent="0.3">
      <c r="A726" s="2"/>
      <c r="C726" s="2"/>
      <c r="D726" s="2"/>
      <c r="E726" s="2"/>
      <c r="G726" s="2"/>
      <c r="J726" s="2"/>
    </row>
    <row r="727" spans="1:10" x14ac:dyDescent="0.3">
      <c r="A727" s="2"/>
      <c r="C727" s="2"/>
      <c r="D727" s="2"/>
      <c r="E727" s="2"/>
      <c r="G727" s="2"/>
      <c r="J727" s="2"/>
    </row>
    <row r="728" spans="1:10" x14ac:dyDescent="0.3">
      <c r="A728" s="2"/>
      <c r="C728" s="2"/>
      <c r="D728" s="2"/>
      <c r="E728" s="2"/>
      <c r="G728" s="2"/>
      <c r="J728" s="2"/>
    </row>
    <row r="729" spans="1:10" x14ac:dyDescent="0.3">
      <c r="A729" s="2"/>
      <c r="C729" s="2"/>
      <c r="D729" s="2"/>
      <c r="E729" s="2"/>
      <c r="G729" s="2"/>
      <c r="J729" s="2"/>
    </row>
    <row r="730" spans="1:10" x14ac:dyDescent="0.3">
      <c r="A730" s="2"/>
      <c r="C730" s="2"/>
      <c r="D730" s="2"/>
      <c r="E730" s="2"/>
      <c r="G730" s="2"/>
      <c r="J730" s="2"/>
    </row>
    <row r="731" spans="1:10" x14ac:dyDescent="0.3">
      <c r="A731" s="2"/>
      <c r="C731" s="2"/>
      <c r="D731" s="2"/>
      <c r="E731" s="2"/>
      <c r="G731" s="2"/>
      <c r="J731" s="2"/>
    </row>
    <row r="732" spans="1:10" x14ac:dyDescent="0.3">
      <c r="A732" s="2"/>
      <c r="C732" s="2"/>
      <c r="D732" s="2"/>
      <c r="E732" s="2"/>
      <c r="G732" s="2"/>
      <c r="J732" s="2"/>
    </row>
    <row r="733" spans="1:10" x14ac:dyDescent="0.3">
      <c r="A733" s="2"/>
      <c r="C733" s="2"/>
      <c r="D733" s="2"/>
      <c r="E733" s="2"/>
      <c r="G733" s="2"/>
      <c r="J733" s="2"/>
    </row>
    <row r="734" spans="1:10" x14ac:dyDescent="0.3">
      <c r="A734" s="2"/>
      <c r="C734" s="2"/>
      <c r="D734" s="2"/>
      <c r="E734" s="2"/>
      <c r="G734" s="2"/>
      <c r="J734" s="2"/>
    </row>
    <row r="735" spans="1:10" x14ac:dyDescent="0.3">
      <c r="A735" s="2"/>
      <c r="C735" s="2"/>
      <c r="D735" s="2"/>
      <c r="E735" s="2"/>
      <c r="G735" s="2"/>
      <c r="J735" s="2"/>
    </row>
    <row r="736" spans="1:10" x14ac:dyDescent="0.3">
      <c r="A736" s="2"/>
      <c r="C736" s="2"/>
      <c r="D736" s="2"/>
      <c r="E736" s="2"/>
      <c r="G736" s="2"/>
      <c r="J736" s="2"/>
    </row>
    <row r="737" spans="1:10" x14ac:dyDescent="0.3">
      <c r="A737" s="2"/>
      <c r="C737" s="2"/>
      <c r="D737" s="2"/>
      <c r="E737" s="2"/>
      <c r="G737" s="2"/>
      <c r="J737" s="2"/>
    </row>
    <row r="738" spans="1:10" x14ac:dyDescent="0.3">
      <c r="A738" s="2"/>
      <c r="C738" s="2"/>
      <c r="D738" s="2"/>
      <c r="E738" s="2"/>
      <c r="G738" s="2"/>
      <c r="J738" s="2"/>
    </row>
    <row r="739" spans="1:10" x14ac:dyDescent="0.3">
      <c r="A739" s="2"/>
      <c r="C739" s="2"/>
      <c r="D739" s="2"/>
      <c r="E739" s="2"/>
      <c r="G739" s="2"/>
      <c r="J739" s="2"/>
    </row>
    <row r="740" spans="1:10" x14ac:dyDescent="0.3">
      <c r="A740" s="2"/>
      <c r="C740" s="2"/>
      <c r="D740" s="2"/>
      <c r="E740" s="2"/>
      <c r="G740" s="2"/>
      <c r="J740" s="2"/>
    </row>
    <row r="741" spans="1:10" x14ac:dyDescent="0.3">
      <c r="A741" s="2"/>
      <c r="C741" s="2"/>
      <c r="D741" s="2"/>
      <c r="E741" s="2"/>
      <c r="G741" s="2"/>
      <c r="J741" s="2"/>
    </row>
    <row r="742" spans="1:10" x14ac:dyDescent="0.3">
      <c r="A742" s="2"/>
      <c r="C742" s="2"/>
      <c r="D742" s="2"/>
      <c r="E742" s="2"/>
      <c r="G742" s="2"/>
      <c r="J742" s="2"/>
    </row>
    <row r="743" spans="1:10" x14ac:dyDescent="0.3">
      <c r="A743" s="2"/>
      <c r="C743" s="2"/>
      <c r="D743" s="2"/>
      <c r="E743" s="2"/>
      <c r="G743" s="2"/>
      <c r="J743" s="2"/>
    </row>
    <row r="744" spans="1:10" x14ac:dyDescent="0.3">
      <c r="A744" s="2"/>
      <c r="C744" s="2"/>
      <c r="D744" s="2"/>
      <c r="E744" s="2"/>
      <c r="G744" s="2"/>
      <c r="J744" s="2"/>
    </row>
    <row r="745" spans="1:10" x14ac:dyDescent="0.3">
      <c r="A745" s="2"/>
      <c r="C745" s="2"/>
      <c r="D745" s="2"/>
      <c r="E745" s="2"/>
      <c r="G745" s="2"/>
      <c r="J745" s="2"/>
    </row>
    <row r="746" spans="1:10" x14ac:dyDescent="0.3">
      <c r="A746" s="2"/>
      <c r="C746" s="2"/>
      <c r="D746" s="2"/>
      <c r="E746" s="2"/>
      <c r="G746" s="2"/>
      <c r="J746" s="2"/>
    </row>
    <row r="747" spans="1:10" x14ac:dyDescent="0.3">
      <c r="A747" s="2"/>
      <c r="C747" s="2"/>
      <c r="D747" s="2"/>
      <c r="E747" s="2"/>
      <c r="G747" s="2"/>
      <c r="J747" s="2"/>
    </row>
    <row r="748" spans="1:10" x14ac:dyDescent="0.3">
      <c r="A748" s="2"/>
      <c r="C748" s="2"/>
      <c r="D748" s="2"/>
      <c r="E748" s="2"/>
      <c r="G748" s="2"/>
      <c r="J748" s="2"/>
    </row>
    <row r="749" spans="1:10" x14ac:dyDescent="0.3">
      <c r="A749" s="2"/>
      <c r="C749" s="2"/>
      <c r="D749" s="2"/>
      <c r="E749" s="2"/>
      <c r="G749" s="2"/>
      <c r="J749" s="2"/>
    </row>
    <row r="750" spans="1:10" x14ac:dyDescent="0.3">
      <c r="A750" s="2"/>
      <c r="C750" s="2"/>
      <c r="D750" s="2"/>
      <c r="E750" s="2"/>
      <c r="G750" s="2"/>
      <c r="J750" s="2"/>
    </row>
    <row r="751" spans="1:10" x14ac:dyDescent="0.3">
      <c r="A751" s="2"/>
      <c r="C751" s="2"/>
      <c r="D751" s="2"/>
      <c r="E751" s="2"/>
      <c r="G751" s="2"/>
      <c r="J751" s="2"/>
    </row>
    <row r="752" spans="1:10" x14ac:dyDescent="0.3">
      <c r="A752" s="2"/>
      <c r="C752" s="2"/>
      <c r="D752" s="2"/>
      <c r="E752" s="2"/>
      <c r="G752" s="2"/>
      <c r="J752" s="2"/>
    </row>
    <row r="753" spans="1:10" x14ac:dyDescent="0.3">
      <c r="A753" s="2"/>
      <c r="C753" s="2"/>
      <c r="D753" s="2"/>
      <c r="E753" s="2"/>
      <c r="G753" s="2"/>
      <c r="J753" s="2"/>
    </row>
    <row r="754" spans="1:10" x14ac:dyDescent="0.3">
      <c r="A754" s="2"/>
      <c r="C754" s="2"/>
      <c r="D754" s="2"/>
      <c r="E754" s="2"/>
      <c r="G754" s="2"/>
      <c r="J754" s="2"/>
    </row>
    <row r="755" spans="1:10" x14ac:dyDescent="0.3">
      <c r="A755" s="2"/>
      <c r="C755" s="2"/>
      <c r="D755" s="2"/>
      <c r="E755" s="2"/>
      <c r="G755" s="2"/>
      <c r="J755" s="2"/>
    </row>
    <row r="756" spans="1:10" x14ac:dyDescent="0.3">
      <c r="A756" s="2"/>
      <c r="C756" s="2"/>
      <c r="D756" s="2"/>
      <c r="E756" s="2"/>
      <c r="G756" s="2"/>
      <c r="J756" s="2"/>
    </row>
    <row r="757" spans="1:10" x14ac:dyDescent="0.3">
      <c r="A757" s="2"/>
      <c r="C757" s="2"/>
      <c r="D757" s="2"/>
      <c r="E757" s="2"/>
      <c r="G757" s="2"/>
      <c r="J757" s="2"/>
    </row>
    <row r="758" spans="1:10" x14ac:dyDescent="0.3">
      <c r="A758" s="2"/>
      <c r="C758" s="2"/>
      <c r="D758" s="2"/>
      <c r="E758" s="2"/>
      <c r="G758" s="2"/>
      <c r="J758" s="2"/>
    </row>
    <row r="759" spans="1:10" x14ac:dyDescent="0.3">
      <c r="A759" s="2"/>
      <c r="C759" s="2"/>
      <c r="D759" s="2"/>
      <c r="E759" s="2"/>
      <c r="G759" s="2"/>
      <c r="J759" s="2"/>
    </row>
    <row r="760" spans="1:10" x14ac:dyDescent="0.3">
      <c r="A760" s="2"/>
      <c r="C760" s="2"/>
      <c r="D760" s="2"/>
      <c r="E760" s="2"/>
      <c r="G760" s="2"/>
      <c r="J760" s="2"/>
    </row>
    <row r="761" spans="1:10" x14ac:dyDescent="0.3">
      <c r="A761" s="2"/>
      <c r="C761" s="2"/>
      <c r="D761" s="2"/>
      <c r="E761" s="2"/>
      <c r="G761" s="2"/>
      <c r="J761" s="2"/>
    </row>
    <row r="762" spans="1:10" x14ac:dyDescent="0.3">
      <c r="A762" s="2"/>
      <c r="C762" s="2"/>
      <c r="D762" s="2"/>
      <c r="E762" s="2"/>
      <c r="G762" s="2"/>
      <c r="J762" s="2"/>
    </row>
    <row r="763" spans="1:10" x14ac:dyDescent="0.3">
      <c r="A763" s="2"/>
      <c r="C763" s="2"/>
      <c r="D763" s="2"/>
      <c r="E763" s="2"/>
      <c r="G763" s="2"/>
      <c r="J763" s="2"/>
    </row>
    <row r="764" spans="1:10" x14ac:dyDescent="0.3">
      <c r="A764" s="2"/>
      <c r="C764" s="2"/>
      <c r="D764" s="2"/>
      <c r="E764" s="2"/>
      <c r="G764" s="2"/>
      <c r="J764" s="2"/>
    </row>
    <row r="765" spans="1:10" x14ac:dyDescent="0.3">
      <c r="A765" s="2"/>
      <c r="C765" s="2"/>
      <c r="D765" s="2"/>
      <c r="E765" s="2"/>
      <c r="G765" s="2"/>
      <c r="J765" s="2"/>
    </row>
    <row r="766" spans="1:10" x14ac:dyDescent="0.3">
      <c r="A766" s="2"/>
      <c r="C766" s="2"/>
      <c r="D766" s="2"/>
      <c r="E766" s="2"/>
      <c r="G766" s="2"/>
      <c r="J766" s="2"/>
    </row>
    <row r="767" spans="1:10" x14ac:dyDescent="0.3">
      <c r="A767" s="2"/>
      <c r="C767" s="2"/>
      <c r="D767" s="2"/>
      <c r="E767" s="2"/>
      <c r="G767" s="2"/>
      <c r="J767" s="2"/>
    </row>
    <row r="768" spans="1:10" x14ac:dyDescent="0.3">
      <c r="A768" s="2"/>
      <c r="C768" s="2"/>
      <c r="D768" s="2"/>
      <c r="E768" s="2"/>
      <c r="G768" s="2"/>
      <c r="J768" s="2"/>
    </row>
    <row r="769" spans="1:10" x14ac:dyDescent="0.3">
      <c r="A769" s="2"/>
      <c r="C769" s="2"/>
      <c r="D769" s="2"/>
      <c r="E769" s="2"/>
      <c r="G769" s="2"/>
      <c r="J769" s="2"/>
    </row>
    <row r="770" spans="1:10" x14ac:dyDescent="0.3">
      <c r="A770" s="2"/>
      <c r="C770" s="2"/>
      <c r="D770" s="2"/>
      <c r="E770" s="2"/>
      <c r="G770" s="2"/>
      <c r="J770" s="2"/>
    </row>
    <row r="771" spans="1:10" x14ac:dyDescent="0.3">
      <c r="A771" s="2"/>
      <c r="C771" s="2"/>
      <c r="D771" s="2"/>
      <c r="E771" s="2"/>
      <c r="G771" s="2"/>
      <c r="J771" s="2"/>
    </row>
    <row r="772" spans="1:10" x14ac:dyDescent="0.3">
      <c r="A772" s="2"/>
      <c r="C772" s="2"/>
      <c r="D772" s="2"/>
      <c r="E772" s="2"/>
      <c r="G772" s="2"/>
      <c r="J772" s="2"/>
    </row>
    <row r="773" spans="1:10" x14ac:dyDescent="0.3">
      <c r="A773" s="2"/>
      <c r="C773" s="2"/>
      <c r="D773" s="2"/>
      <c r="E773" s="2"/>
      <c r="G773" s="2"/>
      <c r="J773" s="2"/>
    </row>
    <row r="774" spans="1:10" x14ac:dyDescent="0.3">
      <c r="A774" s="2"/>
      <c r="C774" s="2"/>
      <c r="D774" s="2"/>
      <c r="E774" s="2"/>
      <c r="G774" s="2"/>
      <c r="J774" s="2"/>
    </row>
    <row r="775" spans="1:10" x14ac:dyDescent="0.3">
      <c r="A775" s="2"/>
      <c r="C775" s="2"/>
      <c r="D775" s="2"/>
      <c r="E775" s="2"/>
      <c r="G775" s="2"/>
      <c r="J775" s="2"/>
    </row>
    <row r="776" spans="1:10" x14ac:dyDescent="0.3">
      <c r="A776" s="2"/>
      <c r="C776" s="2"/>
      <c r="D776" s="2"/>
      <c r="E776" s="2"/>
      <c r="G776" s="2"/>
      <c r="J776" s="2"/>
    </row>
    <row r="777" spans="1:10" x14ac:dyDescent="0.3">
      <c r="A777" s="2"/>
      <c r="C777" s="2"/>
      <c r="D777" s="2"/>
      <c r="E777" s="2"/>
      <c r="G777" s="2"/>
      <c r="J777" s="2"/>
    </row>
    <row r="778" spans="1:10" x14ac:dyDescent="0.3">
      <c r="A778" s="2"/>
      <c r="C778" s="2"/>
      <c r="D778" s="2"/>
      <c r="E778" s="2"/>
      <c r="G778" s="2"/>
      <c r="J778" s="2"/>
    </row>
    <row r="779" spans="1:10" x14ac:dyDescent="0.3">
      <c r="A779" s="2"/>
      <c r="C779" s="2"/>
      <c r="D779" s="2"/>
      <c r="E779" s="2"/>
      <c r="G779" s="2"/>
      <c r="J779" s="2"/>
    </row>
    <row r="780" spans="1:10" x14ac:dyDescent="0.3">
      <c r="A780" s="2"/>
      <c r="C780" s="2"/>
      <c r="D780" s="2"/>
      <c r="E780" s="2"/>
      <c r="G780" s="2"/>
      <c r="J780" s="2"/>
    </row>
    <row r="781" spans="1:10" x14ac:dyDescent="0.3">
      <c r="A781" s="2"/>
      <c r="C781" s="2"/>
      <c r="D781" s="2"/>
      <c r="E781" s="2"/>
      <c r="G781" s="2"/>
      <c r="J781" s="2"/>
    </row>
    <row r="782" spans="1:10" x14ac:dyDescent="0.3">
      <c r="A782" s="2"/>
      <c r="C782" s="2"/>
      <c r="D782" s="2"/>
      <c r="E782" s="2"/>
      <c r="G782" s="2"/>
      <c r="J782" s="2"/>
    </row>
    <row r="783" spans="1:10" x14ac:dyDescent="0.3">
      <c r="A783" s="2"/>
      <c r="C783" s="2"/>
      <c r="D783" s="2"/>
      <c r="E783" s="2"/>
      <c r="G783" s="2"/>
      <c r="J783" s="2"/>
    </row>
    <row r="784" spans="1:10" x14ac:dyDescent="0.3">
      <c r="A784" s="2"/>
      <c r="C784" s="2"/>
      <c r="D784" s="2"/>
      <c r="E784" s="2"/>
      <c r="G784" s="2"/>
      <c r="J784" s="2"/>
    </row>
    <row r="785" spans="1:10" x14ac:dyDescent="0.3">
      <c r="A785" s="2"/>
      <c r="C785" s="2"/>
      <c r="D785" s="2"/>
      <c r="E785" s="2"/>
      <c r="G785" s="2"/>
      <c r="J785" s="2"/>
    </row>
    <row r="786" spans="1:10" x14ac:dyDescent="0.3">
      <c r="A786" s="2"/>
      <c r="C786" s="2"/>
      <c r="D786" s="2"/>
      <c r="E786" s="2"/>
      <c r="G786" s="2"/>
      <c r="J786" s="2"/>
    </row>
    <row r="787" spans="1:10" x14ac:dyDescent="0.3">
      <c r="A787" s="2"/>
      <c r="C787" s="2"/>
      <c r="D787" s="2"/>
      <c r="E787" s="2"/>
      <c r="G787" s="2"/>
      <c r="J787" s="2"/>
    </row>
    <row r="788" spans="1:10" x14ac:dyDescent="0.3">
      <c r="A788" s="2"/>
      <c r="C788" s="2"/>
      <c r="D788" s="2"/>
      <c r="E788" s="2"/>
      <c r="G788" s="2"/>
      <c r="J788" s="2"/>
    </row>
    <row r="789" spans="1:10" x14ac:dyDescent="0.3">
      <c r="A789" s="2"/>
      <c r="C789" s="2"/>
      <c r="D789" s="2"/>
      <c r="E789" s="2"/>
      <c r="G789" s="2"/>
      <c r="J789" s="2"/>
    </row>
    <row r="790" spans="1:10" x14ac:dyDescent="0.3">
      <c r="A790" s="2"/>
      <c r="C790" s="2"/>
      <c r="D790" s="2"/>
      <c r="E790" s="2"/>
      <c r="G790" s="2"/>
      <c r="J790" s="2"/>
    </row>
    <row r="791" spans="1:10" x14ac:dyDescent="0.3">
      <c r="A791" s="2"/>
      <c r="C791" s="2"/>
      <c r="D791" s="2"/>
      <c r="E791" s="2"/>
      <c r="G791" s="2"/>
      <c r="J791" s="2"/>
    </row>
    <row r="792" spans="1:10" x14ac:dyDescent="0.3">
      <c r="A792" s="2"/>
      <c r="C792" s="2"/>
      <c r="D792" s="2"/>
      <c r="E792" s="2"/>
      <c r="G792" s="2"/>
      <c r="J792" s="2"/>
    </row>
    <row r="793" spans="1:10" x14ac:dyDescent="0.3">
      <c r="A793" s="2"/>
      <c r="C793" s="2"/>
      <c r="D793" s="2"/>
      <c r="E793" s="2"/>
      <c r="G793" s="2"/>
      <c r="J793" s="2"/>
    </row>
    <row r="794" spans="1:10" x14ac:dyDescent="0.3">
      <c r="A794" s="2"/>
      <c r="C794" s="2"/>
      <c r="D794" s="2"/>
      <c r="E794" s="2"/>
      <c r="G794" s="2"/>
      <c r="J794" s="2"/>
    </row>
    <row r="795" spans="1:10" x14ac:dyDescent="0.3">
      <c r="A795" s="2"/>
      <c r="C795" s="2"/>
      <c r="D795" s="2"/>
      <c r="E795" s="2"/>
      <c r="G795" s="2"/>
      <c r="J795" s="2"/>
    </row>
    <row r="796" spans="1:10" x14ac:dyDescent="0.3">
      <c r="A796" s="2"/>
      <c r="C796" s="2"/>
      <c r="D796" s="2"/>
      <c r="E796" s="2"/>
      <c r="G796" s="2"/>
      <c r="J796" s="2"/>
    </row>
    <row r="797" spans="1:10" x14ac:dyDescent="0.3">
      <c r="A797" s="2"/>
      <c r="C797" s="2"/>
      <c r="D797" s="2"/>
      <c r="E797" s="2"/>
      <c r="G797" s="2"/>
      <c r="J797" s="2"/>
    </row>
    <row r="798" spans="1:10" x14ac:dyDescent="0.3">
      <c r="A798" s="2"/>
      <c r="C798" s="2"/>
      <c r="D798" s="2"/>
      <c r="E798" s="2"/>
      <c r="G798" s="2"/>
      <c r="J798" s="2"/>
    </row>
    <row r="799" spans="1:10" x14ac:dyDescent="0.3">
      <c r="A799" s="2"/>
      <c r="C799" s="2"/>
      <c r="D799" s="2"/>
      <c r="E799" s="2"/>
      <c r="G799" s="2"/>
      <c r="J799" s="2"/>
    </row>
    <row r="800" spans="1:10" x14ac:dyDescent="0.3">
      <c r="A800" s="2"/>
      <c r="C800" s="2"/>
      <c r="D800" s="2"/>
      <c r="E800" s="2"/>
      <c r="G800" s="2"/>
      <c r="J800" s="2"/>
    </row>
    <row r="801" spans="1:10" x14ac:dyDescent="0.3">
      <c r="A801" s="2"/>
      <c r="C801" s="2"/>
      <c r="D801" s="2"/>
      <c r="E801" s="2"/>
      <c r="G801" s="2"/>
      <c r="J801" s="2"/>
    </row>
    <row r="802" spans="1:10" x14ac:dyDescent="0.3">
      <c r="A802" s="2"/>
      <c r="C802" s="2"/>
      <c r="D802" s="2"/>
      <c r="E802" s="2"/>
      <c r="G802" s="2"/>
      <c r="J802" s="2"/>
    </row>
    <row r="803" spans="1:10" x14ac:dyDescent="0.3">
      <c r="A803" s="2"/>
      <c r="C803" s="2"/>
      <c r="D803" s="2"/>
      <c r="E803" s="2"/>
      <c r="G803" s="2"/>
      <c r="J803" s="2"/>
    </row>
    <row r="804" spans="1:10" x14ac:dyDescent="0.3">
      <c r="A804" s="2"/>
      <c r="C804" s="2"/>
      <c r="D804" s="2"/>
      <c r="E804" s="2"/>
      <c r="G804" s="2"/>
      <c r="J804" s="2"/>
    </row>
    <row r="805" spans="1:10" x14ac:dyDescent="0.3">
      <c r="A805" s="2"/>
      <c r="C805" s="2"/>
      <c r="D805" s="2"/>
      <c r="E805" s="2"/>
      <c r="G805" s="2"/>
      <c r="J805" s="2"/>
    </row>
    <row r="806" spans="1:10" x14ac:dyDescent="0.3">
      <c r="A806" s="2"/>
      <c r="C806" s="2"/>
      <c r="D806" s="2"/>
      <c r="E806" s="2"/>
      <c r="G806" s="2"/>
      <c r="J806" s="2"/>
    </row>
    <row r="807" spans="1:10" x14ac:dyDescent="0.3">
      <c r="A807" s="2"/>
      <c r="C807" s="2"/>
      <c r="D807" s="2"/>
      <c r="E807" s="2"/>
      <c r="G807" s="2"/>
      <c r="J807" s="2"/>
    </row>
    <row r="808" spans="1:10" x14ac:dyDescent="0.3">
      <c r="A808" s="2"/>
      <c r="C808" s="2"/>
      <c r="D808" s="2"/>
      <c r="E808" s="2"/>
      <c r="G808" s="2"/>
      <c r="J808" s="2"/>
    </row>
    <row r="809" spans="1:10" x14ac:dyDescent="0.3">
      <c r="A809" s="2"/>
      <c r="C809" s="2"/>
      <c r="D809" s="2"/>
      <c r="E809" s="2"/>
      <c r="G809" s="2"/>
      <c r="J809" s="2"/>
    </row>
    <row r="810" spans="1:10" x14ac:dyDescent="0.3">
      <c r="A810" s="2"/>
      <c r="C810" s="2"/>
      <c r="D810" s="2"/>
      <c r="E810" s="2"/>
      <c r="G810" s="2"/>
      <c r="J810" s="2"/>
    </row>
    <row r="811" spans="1:10" x14ac:dyDescent="0.3">
      <c r="A811" s="2"/>
      <c r="C811" s="2"/>
      <c r="D811" s="2"/>
      <c r="E811" s="2"/>
      <c r="G811" s="2"/>
      <c r="J811" s="2"/>
    </row>
    <row r="812" spans="1:10" x14ac:dyDescent="0.3">
      <c r="A812" s="2"/>
      <c r="C812" s="2"/>
      <c r="D812" s="2"/>
      <c r="E812" s="2"/>
      <c r="G812" s="2"/>
      <c r="J812" s="2"/>
    </row>
    <row r="813" spans="1:10" x14ac:dyDescent="0.3">
      <c r="A813" s="2"/>
      <c r="C813" s="2"/>
      <c r="D813" s="2"/>
      <c r="E813" s="2"/>
      <c r="G813" s="2"/>
      <c r="J813" s="2"/>
    </row>
    <row r="814" spans="1:10" x14ac:dyDescent="0.3">
      <c r="A814" s="2"/>
      <c r="C814" s="2"/>
      <c r="D814" s="2"/>
      <c r="E814" s="2"/>
      <c r="G814" s="2"/>
      <c r="J814" s="2"/>
    </row>
    <row r="815" spans="1:10" x14ac:dyDescent="0.3">
      <c r="A815" s="2"/>
      <c r="C815" s="2"/>
      <c r="D815" s="2"/>
      <c r="E815" s="2"/>
      <c r="G815" s="2"/>
      <c r="J815" s="2"/>
    </row>
    <row r="816" spans="1:10" x14ac:dyDescent="0.3">
      <c r="A816" s="2"/>
      <c r="C816" s="2"/>
      <c r="D816" s="2"/>
      <c r="E816" s="2"/>
      <c r="G816" s="2"/>
      <c r="J816" s="2"/>
    </row>
    <row r="817" spans="1:10" x14ac:dyDescent="0.3">
      <c r="A817" s="2"/>
      <c r="C817" s="2"/>
      <c r="D817" s="2"/>
      <c r="E817" s="2"/>
      <c r="G817" s="2"/>
      <c r="J817" s="2"/>
    </row>
    <row r="818" spans="1:10" x14ac:dyDescent="0.3">
      <c r="A818" s="2"/>
      <c r="C818" s="2"/>
      <c r="D818" s="2"/>
      <c r="E818" s="2"/>
      <c r="G818" s="2"/>
      <c r="J818" s="2"/>
    </row>
    <row r="819" spans="1:10" x14ac:dyDescent="0.3">
      <c r="A819" s="2"/>
      <c r="C819" s="2"/>
      <c r="D819" s="2"/>
      <c r="E819" s="2"/>
      <c r="G819" s="2"/>
      <c r="J819" s="2"/>
    </row>
    <row r="820" spans="1:10" x14ac:dyDescent="0.3">
      <c r="A820" s="2"/>
      <c r="C820" s="2"/>
      <c r="D820" s="2"/>
      <c r="E820" s="2"/>
      <c r="G820" s="2"/>
      <c r="J820" s="2"/>
    </row>
    <row r="821" spans="1:10" x14ac:dyDescent="0.3">
      <c r="A821" s="2"/>
      <c r="C821" s="2"/>
      <c r="D821" s="2"/>
      <c r="E821" s="2"/>
      <c r="G821" s="2"/>
      <c r="J821" s="2"/>
    </row>
    <row r="822" spans="1:10" x14ac:dyDescent="0.3">
      <c r="A822" s="2"/>
      <c r="C822" s="2"/>
      <c r="D822" s="2"/>
      <c r="E822" s="2"/>
      <c r="G822" s="2"/>
      <c r="J822" s="2"/>
    </row>
    <row r="823" spans="1:10" x14ac:dyDescent="0.3">
      <c r="A823" s="2"/>
      <c r="C823" s="2"/>
      <c r="D823" s="2"/>
      <c r="E823" s="2"/>
      <c r="G823" s="2"/>
      <c r="J823" s="2"/>
    </row>
    <row r="824" spans="1:10" x14ac:dyDescent="0.3">
      <c r="A824" s="2"/>
      <c r="C824" s="2"/>
      <c r="D824" s="2"/>
      <c r="E824" s="2"/>
      <c r="G824" s="2"/>
      <c r="J824" s="2"/>
    </row>
    <row r="825" spans="1:10" x14ac:dyDescent="0.3">
      <c r="A825" s="2"/>
      <c r="C825" s="2"/>
      <c r="D825" s="2"/>
      <c r="E825" s="2"/>
      <c r="G825" s="2"/>
      <c r="J825" s="2"/>
    </row>
    <row r="826" spans="1:10" x14ac:dyDescent="0.3">
      <c r="A826" s="2"/>
      <c r="C826" s="2"/>
      <c r="D826" s="2"/>
      <c r="E826" s="2"/>
      <c r="G826" s="2"/>
      <c r="J826" s="2"/>
    </row>
    <row r="827" spans="1:10" x14ac:dyDescent="0.3">
      <c r="A827" s="2"/>
      <c r="C827" s="2"/>
      <c r="D827" s="2"/>
      <c r="E827" s="2"/>
      <c r="G827" s="2"/>
      <c r="J827" s="2"/>
    </row>
    <row r="828" spans="1:10" x14ac:dyDescent="0.3">
      <c r="A828" s="2"/>
      <c r="C828" s="2"/>
      <c r="D828" s="2"/>
      <c r="E828" s="2"/>
      <c r="G828" s="2"/>
      <c r="J828" s="2"/>
    </row>
    <row r="829" spans="1:10" x14ac:dyDescent="0.3">
      <c r="A829" s="2"/>
      <c r="C829" s="2"/>
      <c r="D829" s="2"/>
      <c r="E829" s="2"/>
      <c r="G829" s="2"/>
      <c r="J829" s="2"/>
    </row>
    <row r="830" spans="1:10" x14ac:dyDescent="0.3">
      <c r="A830" s="2"/>
      <c r="C830" s="2"/>
      <c r="D830" s="2"/>
      <c r="E830" s="2"/>
      <c r="G830" s="2"/>
      <c r="J830" s="2"/>
    </row>
    <row r="831" spans="1:10" x14ac:dyDescent="0.3">
      <c r="A831" s="2"/>
      <c r="C831" s="2"/>
      <c r="D831" s="2"/>
      <c r="E831" s="2"/>
      <c r="G831" s="2"/>
      <c r="J831" s="2"/>
    </row>
    <row r="832" spans="1:10" x14ac:dyDescent="0.3">
      <c r="A832" s="2"/>
      <c r="C832" s="2"/>
      <c r="D832" s="2"/>
      <c r="E832" s="2"/>
      <c r="G832" s="2"/>
      <c r="J832" s="2"/>
    </row>
    <row r="833" spans="1:10" x14ac:dyDescent="0.3">
      <c r="A833" s="2"/>
      <c r="C833" s="2"/>
      <c r="D833" s="2"/>
      <c r="E833" s="2"/>
      <c r="G833" s="2"/>
      <c r="J833" s="2"/>
    </row>
    <row r="834" spans="1:10" x14ac:dyDescent="0.3">
      <c r="A834" s="2"/>
      <c r="C834" s="2"/>
      <c r="D834" s="2"/>
      <c r="E834" s="2"/>
      <c r="G834" s="2"/>
      <c r="J834" s="2"/>
    </row>
    <row r="835" spans="1:10" x14ac:dyDescent="0.3">
      <c r="A835" s="2"/>
      <c r="C835" s="2"/>
      <c r="D835" s="2"/>
      <c r="E835" s="2"/>
      <c r="G835" s="2"/>
      <c r="J835" s="2"/>
    </row>
    <row r="836" spans="1:10" x14ac:dyDescent="0.3">
      <c r="A836" s="2"/>
      <c r="C836" s="2"/>
      <c r="D836" s="2"/>
      <c r="E836" s="2"/>
      <c r="G836" s="2"/>
      <c r="J836" s="2"/>
    </row>
    <row r="837" spans="1:10" x14ac:dyDescent="0.3">
      <c r="A837" s="2"/>
      <c r="C837" s="2"/>
      <c r="D837" s="2"/>
      <c r="E837" s="2"/>
      <c r="G837" s="2"/>
      <c r="J837" s="2"/>
    </row>
    <row r="838" spans="1:10" x14ac:dyDescent="0.3">
      <c r="A838" s="2"/>
      <c r="C838" s="2"/>
      <c r="D838" s="2"/>
      <c r="E838" s="2"/>
      <c r="G838" s="2"/>
      <c r="J838" s="2"/>
    </row>
    <row r="839" spans="1:10" x14ac:dyDescent="0.3">
      <c r="A839" s="2"/>
      <c r="C839" s="2"/>
      <c r="D839" s="2"/>
      <c r="E839" s="2"/>
      <c r="G839" s="2"/>
      <c r="J839" s="2"/>
    </row>
    <row r="840" spans="1:10" x14ac:dyDescent="0.3">
      <c r="A840" s="2"/>
      <c r="C840" s="2"/>
      <c r="D840" s="2"/>
      <c r="E840" s="2"/>
      <c r="G840" s="2"/>
      <c r="J840" s="2"/>
    </row>
    <row r="841" spans="1:10" x14ac:dyDescent="0.3">
      <c r="A841" s="2"/>
      <c r="C841" s="2"/>
      <c r="D841" s="2"/>
      <c r="E841" s="2"/>
      <c r="G841" s="2"/>
      <c r="J841" s="2"/>
    </row>
    <row r="842" spans="1:10" x14ac:dyDescent="0.3">
      <c r="A842" s="2"/>
      <c r="C842" s="2"/>
      <c r="D842" s="2"/>
      <c r="E842" s="2"/>
      <c r="G842" s="2"/>
      <c r="J842" s="2"/>
    </row>
    <row r="843" spans="1:10" x14ac:dyDescent="0.3">
      <c r="A843" s="2"/>
      <c r="C843" s="2"/>
      <c r="D843" s="2"/>
      <c r="E843" s="2"/>
      <c r="G843" s="2"/>
      <c r="J843" s="2"/>
    </row>
    <row r="844" spans="1:10" x14ac:dyDescent="0.3">
      <c r="A844" s="2"/>
      <c r="C844" s="2"/>
      <c r="D844" s="2"/>
      <c r="E844" s="2"/>
      <c r="G844" s="2"/>
      <c r="J844" s="2"/>
    </row>
    <row r="845" spans="1:10" x14ac:dyDescent="0.3">
      <c r="A845" s="2"/>
      <c r="C845" s="2"/>
      <c r="D845" s="2"/>
      <c r="E845" s="2"/>
      <c r="G845" s="2"/>
      <c r="J845" s="2"/>
    </row>
    <row r="846" spans="1:10" x14ac:dyDescent="0.3">
      <c r="A846" s="2"/>
      <c r="C846" s="2"/>
      <c r="D846" s="2"/>
      <c r="E846" s="2"/>
      <c r="G846" s="2"/>
      <c r="J846" s="2"/>
    </row>
    <row r="847" spans="1:10" x14ac:dyDescent="0.3">
      <c r="A847" s="2"/>
      <c r="C847" s="2"/>
      <c r="D847" s="2"/>
      <c r="E847" s="2"/>
      <c r="G847" s="2"/>
      <c r="J847" s="2"/>
    </row>
    <row r="848" spans="1:10" x14ac:dyDescent="0.3">
      <c r="A848" s="2"/>
      <c r="C848" s="2"/>
      <c r="D848" s="2"/>
      <c r="E848" s="2"/>
      <c r="G848" s="2"/>
      <c r="J848" s="2"/>
    </row>
    <row r="849" spans="1:10" x14ac:dyDescent="0.3">
      <c r="A849" s="2"/>
      <c r="C849" s="2"/>
      <c r="D849" s="2"/>
      <c r="E849" s="2"/>
      <c r="G849" s="2"/>
      <c r="J849" s="2"/>
    </row>
    <row r="850" spans="1:10" x14ac:dyDescent="0.3">
      <c r="A850" s="2"/>
      <c r="C850" s="2"/>
      <c r="D850" s="2"/>
      <c r="E850" s="2"/>
      <c r="G850" s="2"/>
      <c r="J850" s="2"/>
    </row>
    <row r="851" spans="1:10" x14ac:dyDescent="0.3">
      <c r="A851" s="2"/>
      <c r="C851" s="2"/>
      <c r="D851" s="2"/>
      <c r="E851" s="2"/>
      <c r="G851" s="2"/>
      <c r="J851" s="2"/>
    </row>
    <row r="852" spans="1:10" x14ac:dyDescent="0.3">
      <c r="A852" s="2"/>
      <c r="C852" s="2"/>
      <c r="D852" s="2"/>
      <c r="E852" s="2"/>
      <c r="G852" s="2"/>
      <c r="J852" s="2"/>
    </row>
    <row r="853" spans="1:10" x14ac:dyDescent="0.3">
      <c r="A853" s="2"/>
      <c r="C853" s="2"/>
      <c r="D853" s="2"/>
      <c r="E853" s="2"/>
      <c r="G853" s="2"/>
      <c r="J853" s="2"/>
    </row>
    <row r="854" spans="1:10" x14ac:dyDescent="0.3">
      <c r="A854" s="2"/>
      <c r="C854" s="2"/>
      <c r="D854" s="2"/>
      <c r="E854" s="2"/>
      <c r="G854" s="2"/>
      <c r="J854" s="2"/>
    </row>
    <row r="855" spans="1:10" x14ac:dyDescent="0.3">
      <c r="A855" s="2"/>
      <c r="C855" s="2"/>
      <c r="D855" s="2"/>
      <c r="E855" s="2"/>
      <c r="G855" s="2"/>
      <c r="J855" s="2"/>
    </row>
    <row r="856" spans="1:10" x14ac:dyDescent="0.3">
      <c r="A856" s="2"/>
      <c r="C856" s="2"/>
      <c r="D856" s="2"/>
      <c r="E856" s="2"/>
      <c r="G856" s="2"/>
      <c r="J856" s="2"/>
    </row>
    <row r="857" spans="1:10" x14ac:dyDescent="0.3">
      <c r="A857" s="2"/>
      <c r="C857" s="2"/>
      <c r="D857" s="2"/>
      <c r="E857" s="2"/>
      <c r="G857" s="2"/>
      <c r="J857" s="2"/>
    </row>
    <row r="858" spans="1:10" x14ac:dyDescent="0.3">
      <c r="A858" s="2"/>
      <c r="C858" s="2"/>
      <c r="D858" s="2"/>
      <c r="E858" s="2"/>
      <c r="G858" s="2"/>
      <c r="J858" s="2"/>
    </row>
    <row r="859" spans="1:10" x14ac:dyDescent="0.3">
      <c r="A859" s="2"/>
      <c r="C859" s="2"/>
      <c r="D859" s="2"/>
      <c r="E859" s="2"/>
      <c r="G859" s="2"/>
      <c r="J859" s="2"/>
    </row>
    <row r="860" spans="1:10" x14ac:dyDescent="0.3">
      <c r="A860" s="2"/>
      <c r="C860" s="2"/>
      <c r="D860" s="2"/>
      <c r="E860" s="2"/>
      <c r="G860" s="2"/>
      <c r="J860" s="2"/>
    </row>
    <row r="861" spans="1:10" x14ac:dyDescent="0.3">
      <c r="A861" s="2"/>
      <c r="C861" s="2"/>
      <c r="D861" s="2"/>
      <c r="E861" s="2"/>
      <c r="G861" s="2"/>
      <c r="J861" s="2"/>
    </row>
    <row r="862" spans="1:10" x14ac:dyDescent="0.3">
      <c r="A862" s="2"/>
      <c r="C862" s="2"/>
      <c r="D862" s="2"/>
      <c r="E862" s="2"/>
      <c r="G862" s="2"/>
      <c r="J862" s="2"/>
    </row>
    <row r="863" spans="1:10" x14ac:dyDescent="0.3">
      <c r="A863" s="2"/>
      <c r="C863" s="2"/>
      <c r="D863" s="2"/>
      <c r="E863" s="2"/>
      <c r="G863" s="2"/>
      <c r="J863" s="2"/>
    </row>
    <row r="864" spans="1:10" x14ac:dyDescent="0.3">
      <c r="A864" s="2"/>
      <c r="C864" s="2"/>
      <c r="D864" s="2"/>
      <c r="E864" s="2"/>
      <c r="G864" s="2"/>
      <c r="J864" s="2"/>
    </row>
    <row r="865" spans="1:10" x14ac:dyDescent="0.3">
      <c r="A865" s="2"/>
      <c r="C865" s="2"/>
      <c r="D865" s="2"/>
      <c r="E865" s="2"/>
      <c r="G865" s="2"/>
      <c r="J865" s="2"/>
    </row>
    <row r="866" spans="1:10" x14ac:dyDescent="0.3">
      <c r="A866" s="2"/>
      <c r="C866" s="2"/>
      <c r="D866" s="2"/>
      <c r="E866" s="2"/>
      <c r="G866" s="2"/>
      <c r="J866" s="2"/>
    </row>
    <row r="867" spans="1:10" x14ac:dyDescent="0.3">
      <c r="A867" s="2"/>
      <c r="C867" s="2"/>
      <c r="D867" s="2"/>
      <c r="E867" s="2"/>
      <c r="G867" s="2"/>
      <c r="J867" s="2"/>
    </row>
    <row r="868" spans="1:10" x14ac:dyDescent="0.3">
      <c r="A868" s="2"/>
      <c r="C868" s="2"/>
      <c r="D868" s="2"/>
      <c r="E868" s="2"/>
      <c r="G868" s="2"/>
      <c r="J868" s="2"/>
    </row>
    <row r="869" spans="1:10" x14ac:dyDescent="0.3">
      <c r="A869" s="2"/>
      <c r="C869" s="2"/>
      <c r="D869" s="2"/>
      <c r="E869" s="2"/>
      <c r="G869" s="2"/>
      <c r="J869" s="2"/>
    </row>
    <row r="870" spans="1:10" x14ac:dyDescent="0.3">
      <c r="A870" s="2"/>
      <c r="C870" s="2"/>
      <c r="D870" s="2"/>
      <c r="E870" s="2"/>
      <c r="G870" s="2"/>
      <c r="J870" s="2"/>
    </row>
    <row r="871" spans="1:10" x14ac:dyDescent="0.3">
      <c r="A871" s="2"/>
      <c r="C871" s="2"/>
      <c r="D871" s="2"/>
      <c r="E871" s="2"/>
      <c r="G871" s="2"/>
      <c r="J871" s="2"/>
    </row>
    <row r="872" spans="1:10" x14ac:dyDescent="0.3">
      <c r="A872" s="2"/>
      <c r="C872" s="2"/>
      <c r="D872" s="2"/>
      <c r="E872" s="2"/>
      <c r="G872" s="2"/>
      <c r="J872" s="2"/>
    </row>
    <row r="873" spans="1:10" x14ac:dyDescent="0.3">
      <c r="A873" s="2"/>
      <c r="C873" s="2"/>
      <c r="D873" s="2"/>
      <c r="E873" s="2"/>
      <c r="G873" s="2"/>
      <c r="J873" s="2"/>
    </row>
    <row r="874" spans="1:10" x14ac:dyDescent="0.3">
      <c r="A874" s="2"/>
      <c r="C874" s="2"/>
      <c r="D874" s="2"/>
      <c r="E874" s="2"/>
      <c r="G874" s="2"/>
      <c r="J874" s="2"/>
    </row>
    <row r="875" spans="1:10" x14ac:dyDescent="0.3">
      <c r="A875" s="2"/>
      <c r="C875" s="2"/>
      <c r="D875" s="2"/>
      <c r="E875" s="2"/>
      <c r="G875" s="2"/>
      <c r="J875" s="2"/>
    </row>
    <row r="876" spans="1:10" x14ac:dyDescent="0.3">
      <c r="A876" s="2"/>
      <c r="C876" s="2"/>
      <c r="D876" s="2"/>
      <c r="E876" s="2"/>
      <c r="G876" s="2"/>
      <c r="J876" s="2"/>
    </row>
    <row r="877" spans="1:10" x14ac:dyDescent="0.3">
      <c r="A877" s="2"/>
      <c r="C877" s="2"/>
      <c r="D877" s="2"/>
      <c r="E877" s="2"/>
      <c r="G877" s="2"/>
      <c r="J877" s="2"/>
    </row>
    <row r="878" spans="1:10" x14ac:dyDescent="0.3">
      <c r="A878" s="2"/>
      <c r="C878" s="2"/>
      <c r="D878" s="2"/>
      <c r="E878" s="2"/>
      <c r="G878" s="2"/>
      <c r="J878" s="2"/>
    </row>
    <row r="879" spans="1:10" x14ac:dyDescent="0.3">
      <c r="A879" s="2"/>
      <c r="C879" s="2"/>
      <c r="D879" s="2"/>
      <c r="E879" s="2"/>
      <c r="G879" s="2"/>
      <c r="J879" s="2"/>
    </row>
    <row r="880" spans="1:10" x14ac:dyDescent="0.3">
      <c r="A880" s="2"/>
      <c r="C880" s="2"/>
      <c r="D880" s="2"/>
      <c r="E880" s="2"/>
      <c r="G880" s="2"/>
      <c r="J880" s="2"/>
    </row>
    <row r="881" spans="1:10" x14ac:dyDescent="0.3">
      <c r="A881" s="2"/>
      <c r="C881" s="2"/>
      <c r="D881" s="2"/>
      <c r="E881" s="2"/>
      <c r="G881" s="2"/>
      <c r="J881" s="2"/>
    </row>
    <row r="882" spans="1:10" x14ac:dyDescent="0.3">
      <c r="A882" s="2"/>
      <c r="C882" s="2"/>
      <c r="D882" s="2"/>
      <c r="E882" s="2"/>
      <c r="G882" s="2"/>
      <c r="J882" s="2"/>
    </row>
    <row r="883" spans="1:10" x14ac:dyDescent="0.3">
      <c r="A883" s="2"/>
      <c r="C883" s="2"/>
      <c r="D883" s="2"/>
      <c r="E883" s="2"/>
      <c r="G883" s="2"/>
      <c r="J883" s="2"/>
    </row>
    <row r="884" spans="1:10" x14ac:dyDescent="0.3">
      <c r="A884" s="2"/>
      <c r="C884" s="2"/>
      <c r="D884" s="2"/>
      <c r="E884" s="2"/>
      <c r="G884" s="2"/>
      <c r="J884" s="2"/>
    </row>
    <row r="885" spans="1:10" x14ac:dyDescent="0.3">
      <c r="A885" s="2"/>
      <c r="C885" s="2"/>
      <c r="D885" s="2"/>
      <c r="E885" s="2"/>
      <c r="G885" s="2"/>
      <c r="J885" s="2"/>
    </row>
    <row r="886" spans="1:10" x14ac:dyDescent="0.3">
      <c r="A886" s="2"/>
      <c r="C886" s="2"/>
      <c r="D886" s="2"/>
      <c r="E886" s="2"/>
      <c r="G886" s="2"/>
      <c r="J886" s="2"/>
    </row>
    <row r="887" spans="1:10" x14ac:dyDescent="0.3">
      <c r="A887" s="2"/>
      <c r="C887" s="2"/>
      <c r="D887" s="2"/>
      <c r="E887" s="2"/>
      <c r="G887" s="2"/>
      <c r="J887" s="2"/>
    </row>
    <row r="888" spans="1:10" x14ac:dyDescent="0.3">
      <c r="A888" s="2"/>
      <c r="C888" s="2"/>
      <c r="D888" s="2"/>
      <c r="E888" s="2"/>
      <c r="G888" s="2"/>
      <c r="J888" s="2"/>
    </row>
    <row r="889" spans="1:10" x14ac:dyDescent="0.3">
      <c r="A889" s="2"/>
      <c r="C889" s="2"/>
      <c r="D889" s="2"/>
      <c r="E889" s="2"/>
      <c r="G889" s="2"/>
      <c r="J889" s="2"/>
    </row>
    <row r="890" spans="1:10" x14ac:dyDescent="0.3">
      <c r="A890" s="2"/>
      <c r="C890" s="2"/>
      <c r="D890" s="2"/>
      <c r="E890" s="2"/>
      <c r="G890" s="2"/>
      <c r="J890" s="2"/>
    </row>
    <row r="891" spans="1:10" x14ac:dyDescent="0.3">
      <c r="A891" s="2"/>
      <c r="C891" s="2"/>
      <c r="D891" s="2"/>
      <c r="E891" s="2"/>
      <c r="G891" s="2"/>
      <c r="J891" s="2"/>
    </row>
    <row r="892" spans="1:10" x14ac:dyDescent="0.3">
      <c r="A892" s="2"/>
      <c r="C892" s="2"/>
      <c r="D892" s="2"/>
      <c r="E892" s="2"/>
      <c r="G892" s="2"/>
      <c r="J892" s="2"/>
    </row>
    <row r="893" spans="1:10" x14ac:dyDescent="0.3">
      <c r="A893" s="2"/>
      <c r="C893" s="2"/>
      <c r="D893" s="2"/>
      <c r="E893" s="2"/>
      <c r="G893" s="2"/>
      <c r="J893" s="2"/>
    </row>
    <row r="894" spans="1:10" x14ac:dyDescent="0.3">
      <c r="A894" s="2"/>
      <c r="C894" s="2"/>
      <c r="D894" s="2"/>
      <c r="E894" s="2"/>
      <c r="G894" s="2"/>
      <c r="J894" s="2"/>
    </row>
    <row r="895" spans="1:10" x14ac:dyDescent="0.3">
      <c r="A895" s="2"/>
      <c r="C895" s="2"/>
      <c r="D895" s="2"/>
      <c r="E895" s="2"/>
      <c r="G895" s="2"/>
      <c r="J895" s="2"/>
    </row>
    <row r="896" spans="1:10" x14ac:dyDescent="0.3">
      <c r="A896" s="2"/>
      <c r="C896" s="2"/>
      <c r="D896" s="2"/>
      <c r="E896" s="2"/>
      <c r="G896" s="2"/>
      <c r="J896" s="2"/>
    </row>
    <row r="897" spans="1:10" x14ac:dyDescent="0.3">
      <c r="A897" s="2"/>
      <c r="C897" s="2"/>
      <c r="D897" s="2"/>
      <c r="E897" s="2"/>
      <c r="G897" s="2"/>
      <c r="J897" s="2"/>
    </row>
    <row r="898" spans="1:10" x14ac:dyDescent="0.3">
      <c r="A898" s="2"/>
      <c r="C898" s="2"/>
      <c r="D898" s="2"/>
      <c r="E898" s="2"/>
      <c r="G898" s="2"/>
      <c r="J898" s="2"/>
    </row>
    <row r="899" spans="1:10" x14ac:dyDescent="0.3">
      <c r="A899" s="2"/>
      <c r="C899" s="2"/>
      <c r="D899" s="2"/>
      <c r="E899" s="2"/>
      <c r="G899" s="2"/>
      <c r="J899" s="2"/>
    </row>
    <row r="900" spans="1:10" x14ac:dyDescent="0.3">
      <c r="A900" s="2"/>
      <c r="C900" s="2"/>
      <c r="D900" s="2"/>
      <c r="E900" s="2"/>
      <c r="G900" s="2"/>
      <c r="J900" s="2"/>
    </row>
    <row r="901" spans="1:10" x14ac:dyDescent="0.3">
      <c r="A901" s="2"/>
      <c r="C901" s="2"/>
      <c r="D901" s="2"/>
      <c r="E901" s="2"/>
      <c r="G901" s="2"/>
      <c r="J901" s="2"/>
    </row>
    <row r="902" spans="1:10" x14ac:dyDescent="0.3">
      <c r="A902" s="2"/>
      <c r="C902" s="2"/>
      <c r="D902" s="2"/>
      <c r="E902" s="2"/>
      <c r="G902" s="2"/>
      <c r="J902" s="2"/>
    </row>
    <row r="903" spans="1:10" x14ac:dyDescent="0.3">
      <c r="A903" s="2"/>
      <c r="C903" s="2"/>
      <c r="D903" s="2"/>
      <c r="E903" s="2"/>
      <c r="G903" s="2"/>
      <c r="J903" s="2"/>
    </row>
    <row r="904" spans="1:10" x14ac:dyDescent="0.3">
      <c r="A904" s="2"/>
      <c r="C904" s="2"/>
      <c r="D904" s="2"/>
      <c r="E904" s="2"/>
      <c r="G904" s="2"/>
      <c r="J904" s="2"/>
    </row>
    <row r="905" spans="1:10" x14ac:dyDescent="0.3">
      <c r="A905" s="2"/>
      <c r="C905" s="2"/>
      <c r="D905" s="2"/>
      <c r="E905" s="2"/>
      <c r="G905" s="2"/>
      <c r="J905" s="2"/>
    </row>
    <row r="906" spans="1:10" x14ac:dyDescent="0.3">
      <c r="A906" s="2"/>
      <c r="C906" s="2"/>
      <c r="D906" s="2"/>
      <c r="E906" s="2"/>
      <c r="G906" s="2"/>
      <c r="J906" s="2"/>
    </row>
    <row r="907" spans="1:10" x14ac:dyDescent="0.3">
      <c r="A907" s="2"/>
      <c r="C907" s="2"/>
      <c r="D907" s="2"/>
      <c r="E907" s="2"/>
      <c r="G907" s="2"/>
      <c r="J907" s="2"/>
    </row>
    <row r="908" spans="1:10" x14ac:dyDescent="0.3">
      <c r="A908" s="2"/>
      <c r="C908" s="2"/>
      <c r="D908" s="2"/>
      <c r="E908" s="2"/>
      <c r="G908" s="2"/>
      <c r="J908" s="2"/>
    </row>
    <row r="909" spans="1:10" x14ac:dyDescent="0.3">
      <c r="A909" s="2"/>
      <c r="C909" s="2"/>
      <c r="D909" s="2"/>
      <c r="E909" s="2"/>
      <c r="G909" s="2"/>
      <c r="J909" s="2"/>
    </row>
    <row r="910" spans="1:10" x14ac:dyDescent="0.3">
      <c r="A910" s="2"/>
      <c r="C910" s="2"/>
      <c r="D910" s="2"/>
      <c r="E910" s="2"/>
      <c r="G910" s="2"/>
      <c r="J910" s="2"/>
    </row>
    <row r="911" spans="1:10" x14ac:dyDescent="0.3">
      <c r="A911" s="2"/>
      <c r="C911" s="2"/>
      <c r="D911" s="2"/>
      <c r="E911" s="2"/>
      <c r="G911" s="2"/>
      <c r="J911" s="2"/>
    </row>
    <row r="912" spans="1:10" x14ac:dyDescent="0.3">
      <c r="A912" s="2"/>
      <c r="C912" s="2"/>
      <c r="D912" s="2"/>
      <c r="E912" s="2"/>
      <c r="G912" s="2"/>
      <c r="J912" s="2"/>
    </row>
    <row r="913" spans="1:10" x14ac:dyDescent="0.3">
      <c r="A913" s="2"/>
      <c r="C913" s="2"/>
      <c r="D913" s="2"/>
      <c r="E913" s="2"/>
      <c r="G913" s="2"/>
      <c r="J913" s="2"/>
    </row>
    <row r="914" spans="1:10" x14ac:dyDescent="0.3">
      <c r="A914" s="2"/>
      <c r="C914" s="2"/>
      <c r="D914" s="2"/>
      <c r="E914" s="2"/>
      <c r="G914" s="2"/>
      <c r="J914" s="2"/>
    </row>
    <row r="915" spans="1:10" x14ac:dyDescent="0.3">
      <c r="A915" s="2"/>
      <c r="C915" s="2"/>
      <c r="D915" s="2"/>
      <c r="E915" s="2"/>
      <c r="G915" s="2"/>
      <c r="J915" s="2"/>
    </row>
    <row r="916" spans="1:10" x14ac:dyDescent="0.3">
      <c r="A916" s="2"/>
      <c r="C916" s="2"/>
      <c r="D916" s="2"/>
      <c r="E916" s="2"/>
      <c r="G916" s="2"/>
      <c r="J916" s="2"/>
    </row>
    <row r="917" spans="1:10" x14ac:dyDescent="0.3">
      <c r="A917" s="2"/>
      <c r="C917" s="2"/>
      <c r="D917" s="2"/>
      <c r="E917" s="2"/>
      <c r="G917" s="2"/>
      <c r="J917" s="2"/>
    </row>
    <row r="918" spans="1:10" x14ac:dyDescent="0.3">
      <c r="A918" s="2"/>
      <c r="C918" s="2"/>
      <c r="D918" s="2"/>
      <c r="E918" s="2"/>
      <c r="G918" s="2"/>
      <c r="J918" s="2"/>
    </row>
    <row r="919" spans="1:10" x14ac:dyDescent="0.3">
      <c r="A919" s="2"/>
      <c r="C919" s="2"/>
      <c r="D919" s="2"/>
      <c r="E919" s="2"/>
      <c r="G919" s="2"/>
      <c r="J919" s="2"/>
    </row>
    <row r="920" spans="1:10" x14ac:dyDescent="0.3">
      <c r="A920" s="2"/>
      <c r="C920" s="2"/>
      <c r="D920" s="2"/>
      <c r="E920" s="2"/>
      <c r="G920" s="2"/>
      <c r="J920" s="2"/>
    </row>
    <row r="921" spans="1:10" x14ac:dyDescent="0.3">
      <c r="A921" s="2"/>
      <c r="C921" s="2"/>
      <c r="D921" s="2"/>
      <c r="E921" s="2"/>
      <c r="G921" s="2"/>
      <c r="J921" s="2"/>
    </row>
    <row r="922" spans="1:10" x14ac:dyDescent="0.3">
      <c r="A922" s="2"/>
      <c r="C922" s="2"/>
      <c r="D922" s="2"/>
      <c r="E922" s="2"/>
      <c r="G922" s="2"/>
      <c r="J922" s="2"/>
    </row>
    <row r="923" spans="1:10" x14ac:dyDescent="0.3">
      <c r="A923" s="2"/>
      <c r="C923" s="2"/>
      <c r="D923" s="2"/>
      <c r="E923" s="2"/>
      <c r="G923" s="2"/>
      <c r="J923" s="2"/>
    </row>
    <row r="924" spans="1:10" x14ac:dyDescent="0.3">
      <c r="A924" s="2"/>
      <c r="C924" s="2"/>
      <c r="D924" s="2"/>
      <c r="E924" s="2"/>
      <c r="G924" s="2"/>
      <c r="J924" s="2"/>
    </row>
    <row r="925" spans="1:10" x14ac:dyDescent="0.3">
      <c r="A925" s="2"/>
      <c r="C925" s="2"/>
      <c r="D925" s="2"/>
      <c r="E925" s="2"/>
      <c r="G925" s="2"/>
      <c r="J925" s="2"/>
    </row>
    <row r="926" spans="1:10" x14ac:dyDescent="0.3">
      <c r="A926" s="2"/>
      <c r="C926" s="2"/>
      <c r="D926" s="2"/>
      <c r="E926" s="2"/>
      <c r="G926" s="2"/>
      <c r="J926" s="2"/>
    </row>
    <row r="927" spans="1:10" x14ac:dyDescent="0.3">
      <c r="A927" s="2"/>
      <c r="C927" s="2"/>
      <c r="D927" s="2"/>
      <c r="E927" s="2"/>
      <c r="G927" s="2"/>
      <c r="J927" s="2"/>
    </row>
    <row r="928" spans="1:10" x14ac:dyDescent="0.3">
      <c r="A928" s="2"/>
      <c r="C928" s="2"/>
      <c r="D928" s="2"/>
      <c r="E928" s="2"/>
      <c r="G928" s="2"/>
      <c r="J928" s="2"/>
    </row>
    <row r="929" spans="1:10" x14ac:dyDescent="0.3">
      <c r="A929" s="2"/>
      <c r="C929" s="2"/>
      <c r="D929" s="2"/>
      <c r="E929" s="2"/>
      <c r="G929" s="2"/>
      <c r="J929" s="2"/>
    </row>
    <row r="930" spans="1:10" x14ac:dyDescent="0.3">
      <c r="A930" s="2"/>
      <c r="C930" s="2"/>
      <c r="D930" s="2"/>
      <c r="E930" s="2"/>
      <c r="G930" s="2"/>
      <c r="J930" s="2"/>
    </row>
    <row r="931" spans="1:10" x14ac:dyDescent="0.3">
      <c r="A931" s="2"/>
      <c r="C931" s="2"/>
      <c r="D931" s="2"/>
      <c r="E931" s="2"/>
      <c r="G931" s="2"/>
      <c r="J931" s="2"/>
    </row>
    <row r="932" spans="1:10" x14ac:dyDescent="0.3">
      <c r="A932" s="2"/>
      <c r="C932" s="2"/>
      <c r="D932" s="2"/>
      <c r="E932" s="2"/>
      <c r="G932" s="2"/>
      <c r="J932" s="2"/>
    </row>
    <row r="933" spans="1:10" x14ac:dyDescent="0.3">
      <c r="A933" s="2"/>
      <c r="C933" s="2"/>
      <c r="D933" s="2"/>
      <c r="E933" s="2"/>
      <c r="G933" s="2"/>
      <c r="J933" s="2"/>
    </row>
    <row r="934" spans="1:10" x14ac:dyDescent="0.3">
      <c r="A934" s="2"/>
      <c r="C934" s="2"/>
      <c r="D934" s="2"/>
      <c r="E934" s="2"/>
      <c r="G934" s="2"/>
      <c r="J934" s="2"/>
    </row>
    <row r="935" spans="1:10" x14ac:dyDescent="0.3">
      <c r="A935" s="2"/>
      <c r="C935" s="2"/>
      <c r="D935" s="2"/>
      <c r="E935" s="2"/>
      <c r="G935" s="2"/>
      <c r="J935" s="2"/>
    </row>
    <row r="936" spans="1:10" x14ac:dyDescent="0.3">
      <c r="A936" s="2"/>
      <c r="C936" s="2"/>
      <c r="D936" s="2"/>
      <c r="E936" s="2"/>
      <c r="G936" s="2"/>
      <c r="J936" s="2"/>
    </row>
    <row r="937" spans="1:10" x14ac:dyDescent="0.3">
      <c r="A937" s="2"/>
      <c r="C937" s="2"/>
      <c r="D937" s="2"/>
      <c r="E937" s="2"/>
      <c r="G937" s="2"/>
      <c r="J937" s="2"/>
    </row>
    <row r="938" spans="1:10" x14ac:dyDescent="0.3">
      <c r="A938" s="2"/>
      <c r="C938" s="2"/>
      <c r="D938" s="2"/>
      <c r="E938" s="2"/>
      <c r="G938" s="2"/>
      <c r="J938" s="2"/>
    </row>
    <row r="939" spans="1:10" x14ac:dyDescent="0.3">
      <c r="A939" s="2"/>
      <c r="C939" s="2"/>
      <c r="D939" s="2"/>
      <c r="E939" s="2"/>
      <c r="G939" s="2"/>
      <c r="J939" s="2"/>
    </row>
    <row r="940" spans="1:10" x14ac:dyDescent="0.3">
      <c r="A940" s="2"/>
      <c r="C940" s="2"/>
      <c r="D940" s="2"/>
      <c r="E940" s="2"/>
      <c r="G940" s="2"/>
      <c r="J940" s="2"/>
    </row>
    <row r="941" spans="1:10" x14ac:dyDescent="0.3">
      <c r="A941" s="2"/>
      <c r="C941" s="2"/>
      <c r="D941" s="2"/>
      <c r="E941" s="2"/>
      <c r="G941" s="2"/>
      <c r="J941" s="2"/>
    </row>
    <row r="942" spans="1:10" x14ac:dyDescent="0.3">
      <c r="A942" s="2"/>
      <c r="C942" s="2"/>
      <c r="D942" s="2"/>
      <c r="E942" s="2"/>
      <c r="G942" s="2"/>
      <c r="J942" s="2"/>
    </row>
    <row r="943" spans="1:10" x14ac:dyDescent="0.3">
      <c r="A943" s="2"/>
      <c r="C943" s="2"/>
      <c r="D943" s="2"/>
      <c r="E943" s="2"/>
      <c r="G943" s="2"/>
      <c r="J943" s="2"/>
    </row>
    <row r="944" spans="1:10" x14ac:dyDescent="0.3">
      <c r="A944" s="2"/>
      <c r="C944" s="2"/>
      <c r="D944" s="2"/>
      <c r="E944" s="2"/>
      <c r="G944" s="2"/>
      <c r="J944" s="2"/>
    </row>
    <row r="945" spans="1:10" x14ac:dyDescent="0.3">
      <c r="A945" s="2"/>
      <c r="C945" s="2"/>
      <c r="D945" s="2"/>
      <c r="E945" s="2"/>
      <c r="G945" s="2"/>
      <c r="J945" s="2"/>
    </row>
    <row r="946" spans="1:10" x14ac:dyDescent="0.3">
      <c r="A946" s="2"/>
      <c r="C946" s="2"/>
      <c r="D946" s="2"/>
      <c r="E946" s="2"/>
      <c r="G946" s="2"/>
      <c r="J946" s="2"/>
    </row>
    <row r="947" spans="1:10" x14ac:dyDescent="0.3">
      <c r="A947" s="2"/>
      <c r="C947" s="2"/>
      <c r="D947" s="2"/>
      <c r="E947" s="2"/>
      <c r="G947" s="2"/>
      <c r="J947" s="2"/>
    </row>
    <row r="948" spans="1:10" x14ac:dyDescent="0.3">
      <c r="A948" s="2"/>
      <c r="C948" s="2"/>
      <c r="D948" s="2"/>
      <c r="E948" s="2"/>
      <c r="G948" s="2"/>
      <c r="J948" s="2"/>
    </row>
    <row r="949" spans="1:10" x14ac:dyDescent="0.3">
      <c r="A949" s="2"/>
      <c r="C949" s="2"/>
      <c r="D949" s="2"/>
      <c r="E949" s="2"/>
      <c r="G949" s="2"/>
      <c r="J949" s="2"/>
    </row>
    <row r="950" spans="1:10" x14ac:dyDescent="0.3">
      <c r="A950" s="2"/>
      <c r="C950" s="2"/>
      <c r="D950" s="2"/>
      <c r="E950" s="2"/>
      <c r="G950" s="2"/>
      <c r="J950" s="2"/>
    </row>
    <row r="951" spans="1:10" x14ac:dyDescent="0.3">
      <c r="A951" s="2"/>
      <c r="C951" s="2"/>
      <c r="D951" s="2"/>
      <c r="E951" s="2"/>
      <c r="G951" s="2"/>
      <c r="J951" s="2"/>
    </row>
    <row r="952" spans="1:10" x14ac:dyDescent="0.3">
      <c r="A952" s="2"/>
      <c r="C952" s="2"/>
      <c r="D952" s="2"/>
      <c r="E952" s="2"/>
      <c r="G952" s="2"/>
      <c r="J952" s="2"/>
    </row>
    <row r="953" spans="1:10" x14ac:dyDescent="0.3">
      <c r="A953" s="2"/>
      <c r="C953" s="2"/>
      <c r="D953" s="2"/>
      <c r="E953" s="2"/>
      <c r="G953" s="2"/>
      <c r="J953" s="2"/>
    </row>
    <row r="954" spans="1:10" x14ac:dyDescent="0.3">
      <c r="A954" s="2"/>
      <c r="C954" s="2"/>
      <c r="D954" s="2"/>
      <c r="E954" s="2"/>
      <c r="G954" s="2"/>
      <c r="J954" s="2"/>
    </row>
    <row r="955" spans="1:10" x14ac:dyDescent="0.3">
      <c r="A955" s="2"/>
      <c r="C955" s="2"/>
      <c r="D955" s="2"/>
      <c r="E955" s="2"/>
      <c r="G955" s="2"/>
      <c r="J955" s="2"/>
    </row>
    <row r="956" spans="1:10" x14ac:dyDescent="0.3">
      <c r="A956" s="2"/>
      <c r="C956" s="2"/>
      <c r="D956" s="2"/>
      <c r="E956" s="2"/>
      <c r="G956" s="2"/>
      <c r="J956" s="2"/>
    </row>
    <row r="957" spans="1:10" x14ac:dyDescent="0.3">
      <c r="A957" s="2"/>
      <c r="C957" s="2"/>
      <c r="D957" s="2"/>
      <c r="E957" s="2"/>
      <c r="G957" s="2"/>
      <c r="J957" s="2"/>
    </row>
    <row r="958" spans="1:10" x14ac:dyDescent="0.3">
      <c r="A958" s="2"/>
      <c r="C958" s="2"/>
      <c r="D958" s="2"/>
      <c r="E958" s="2"/>
      <c r="G958" s="2"/>
      <c r="J958" s="2"/>
    </row>
    <row r="959" spans="1:10" x14ac:dyDescent="0.3">
      <c r="A959" s="2"/>
      <c r="C959" s="2"/>
      <c r="D959" s="2"/>
      <c r="E959" s="2"/>
      <c r="G959" s="2"/>
      <c r="J959" s="2"/>
    </row>
    <row r="960" spans="1:10" x14ac:dyDescent="0.3">
      <c r="A960" s="2"/>
      <c r="C960" s="2"/>
      <c r="D960" s="2"/>
      <c r="E960" s="2"/>
      <c r="G960" s="2"/>
      <c r="J960" s="2"/>
    </row>
    <row r="961" spans="1:10" x14ac:dyDescent="0.3">
      <c r="A961" s="2"/>
      <c r="C961" s="2"/>
      <c r="D961" s="2"/>
      <c r="E961" s="2"/>
      <c r="G961" s="2"/>
      <c r="J961" s="2"/>
    </row>
    <row r="962" spans="1:10" x14ac:dyDescent="0.3">
      <c r="A962" s="2"/>
      <c r="C962" s="2"/>
      <c r="D962" s="2"/>
      <c r="E962" s="2"/>
      <c r="G962" s="2"/>
      <c r="J962" s="2"/>
    </row>
    <row r="963" spans="1:10" x14ac:dyDescent="0.3">
      <c r="A963" s="2"/>
      <c r="C963" s="2"/>
      <c r="D963" s="2"/>
      <c r="E963" s="2"/>
      <c r="G963" s="2"/>
      <c r="J963" s="2"/>
    </row>
    <row r="964" spans="1:10" x14ac:dyDescent="0.3">
      <c r="A964" s="2"/>
      <c r="C964" s="2"/>
      <c r="D964" s="2"/>
      <c r="E964" s="2"/>
      <c r="G964" s="2"/>
      <c r="J964" s="2"/>
    </row>
    <row r="965" spans="1:10" x14ac:dyDescent="0.3">
      <c r="A965" s="2"/>
      <c r="C965" s="2"/>
      <c r="D965" s="2"/>
      <c r="E965" s="2"/>
      <c r="G965" s="2"/>
      <c r="J965" s="2"/>
    </row>
    <row r="966" spans="1:10" x14ac:dyDescent="0.3">
      <c r="A966" s="2"/>
      <c r="C966" s="2"/>
      <c r="D966" s="2"/>
      <c r="E966" s="2"/>
      <c r="G966" s="2"/>
      <c r="J966" s="2"/>
    </row>
    <row r="967" spans="1:10" x14ac:dyDescent="0.3">
      <c r="A967" s="2"/>
      <c r="C967" s="2"/>
      <c r="D967" s="2"/>
      <c r="E967" s="2"/>
      <c r="G967" s="2"/>
      <c r="J967" s="2"/>
    </row>
    <row r="968" spans="1:10" x14ac:dyDescent="0.3">
      <c r="A968" s="2"/>
      <c r="C968" s="2"/>
      <c r="D968" s="2"/>
      <c r="E968" s="2"/>
      <c r="G968" s="2"/>
      <c r="J968" s="2"/>
    </row>
    <row r="969" spans="1:10" x14ac:dyDescent="0.3">
      <c r="A969" s="2"/>
      <c r="C969" s="2"/>
      <c r="D969" s="2"/>
      <c r="E969" s="2"/>
      <c r="G969" s="2"/>
      <c r="J969" s="2"/>
    </row>
    <row r="970" spans="1:10" x14ac:dyDescent="0.3">
      <c r="A970" s="2"/>
      <c r="C970" s="2"/>
      <c r="D970" s="2"/>
      <c r="E970" s="2"/>
      <c r="G970" s="2"/>
      <c r="J970" s="2"/>
    </row>
    <row r="971" spans="1:10" x14ac:dyDescent="0.3">
      <c r="A971" s="2"/>
      <c r="C971" s="2"/>
      <c r="D971" s="2"/>
      <c r="E971" s="2"/>
      <c r="G971" s="2"/>
      <c r="J971" s="2"/>
    </row>
    <row r="972" spans="1:10" x14ac:dyDescent="0.3">
      <c r="A972" s="2"/>
      <c r="C972" s="2"/>
      <c r="D972" s="2"/>
      <c r="E972" s="2"/>
      <c r="G972" s="2"/>
      <c r="J972" s="2"/>
    </row>
    <row r="973" spans="1:10" x14ac:dyDescent="0.3">
      <c r="A973" s="2"/>
      <c r="C973" s="2"/>
      <c r="D973" s="2"/>
      <c r="E973" s="2"/>
      <c r="G973" s="2"/>
      <c r="J973" s="2"/>
    </row>
    <row r="974" spans="1:10" x14ac:dyDescent="0.3">
      <c r="A974" s="2"/>
      <c r="C974" s="2"/>
      <c r="D974" s="2"/>
      <c r="E974" s="2"/>
      <c r="G974" s="2"/>
      <c r="J974" s="2"/>
    </row>
    <row r="975" spans="1:10" x14ac:dyDescent="0.3">
      <c r="A975" s="2"/>
      <c r="C975" s="2"/>
      <c r="D975" s="2"/>
      <c r="E975" s="2"/>
      <c r="G975" s="2"/>
      <c r="J975" s="2"/>
    </row>
    <row r="976" spans="1:10" x14ac:dyDescent="0.3">
      <c r="A976" s="2"/>
      <c r="C976" s="2"/>
      <c r="D976" s="2"/>
      <c r="E976" s="2"/>
      <c r="G976" s="2"/>
      <c r="J976" s="2"/>
    </row>
    <row r="977" spans="1:10" x14ac:dyDescent="0.3">
      <c r="A977" s="2"/>
      <c r="C977" s="2"/>
      <c r="D977" s="2"/>
      <c r="E977" s="2"/>
      <c r="G977" s="2"/>
      <c r="J977" s="2"/>
    </row>
    <row r="978" spans="1:10" x14ac:dyDescent="0.3">
      <c r="A978" s="2"/>
      <c r="C978" s="2"/>
      <c r="D978" s="2"/>
      <c r="E978" s="2"/>
      <c r="G978" s="2"/>
      <c r="J978" s="2"/>
    </row>
    <row r="979" spans="1:10" x14ac:dyDescent="0.3">
      <c r="A979" s="2"/>
      <c r="C979" s="2"/>
      <c r="D979" s="2"/>
      <c r="E979" s="2"/>
      <c r="G979" s="2"/>
      <c r="J979" s="2"/>
    </row>
    <row r="980" spans="1:10" x14ac:dyDescent="0.3">
      <c r="A980" s="2"/>
      <c r="C980" s="2"/>
      <c r="D980" s="2"/>
      <c r="E980" s="2"/>
      <c r="G980" s="2"/>
      <c r="J980" s="2"/>
    </row>
    <row r="981" spans="1:10" x14ac:dyDescent="0.3">
      <c r="A981" s="2"/>
      <c r="C981" s="2"/>
      <c r="D981" s="2"/>
      <c r="E981" s="2"/>
      <c r="G981" s="2"/>
      <c r="J981" s="2"/>
    </row>
    <row r="982" spans="1:10" x14ac:dyDescent="0.3">
      <c r="A982" s="2"/>
      <c r="C982" s="2"/>
      <c r="D982" s="2"/>
      <c r="E982" s="2"/>
      <c r="G982" s="2"/>
      <c r="J982" s="2"/>
    </row>
    <row r="983" spans="1:10" x14ac:dyDescent="0.3">
      <c r="A983" s="2"/>
      <c r="C983" s="2"/>
      <c r="D983" s="2"/>
      <c r="E983" s="2"/>
      <c r="G983" s="2"/>
      <c r="J983" s="2"/>
    </row>
    <row r="984" spans="1:10" x14ac:dyDescent="0.3">
      <c r="A984" s="2"/>
      <c r="C984" s="2"/>
      <c r="D984" s="2"/>
      <c r="E984" s="2"/>
      <c r="G984" s="2"/>
      <c r="J984" s="2"/>
    </row>
    <row r="985" spans="1:10" x14ac:dyDescent="0.3">
      <c r="A985" s="2"/>
      <c r="C985" s="2"/>
      <c r="D985" s="2"/>
      <c r="E985" s="2"/>
      <c r="G985" s="2"/>
      <c r="J985" s="2"/>
    </row>
    <row r="986" spans="1:10" x14ac:dyDescent="0.3">
      <c r="A986" s="2"/>
      <c r="C986" s="2"/>
      <c r="D986" s="2"/>
      <c r="E986" s="2"/>
      <c r="G986" s="2"/>
      <c r="J986" s="2"/>
    </row>
    <row r="987" spans="1:10" x14ac:dyDescent="0.3">
      <c r="A987" s="2"/>
      <c r="C987" s="2"/>
      <c r="D987" s="2"/>
      <c r="E987" s="2"/>
      <c r="G987" s="2"/>
      <c r="J987" s="2"/>
    </row>
    <row r="988" spans="1:10" x14ac:dyDescent="0.3">
      <c r="A988" s="2"/>
      <c r="C988" s="2"/>
      <c r="D988" s="2"/>
      <c r="E988" s="2"/>
      <c r="G988" s="2"/>
      <c r="J988" s="2"/>
    </row>
    <row r="989" spans="1:10" x14ac:dyDescent="0.3">
      <c r="A989" s="2"/>
      <c r="C989" s="2"/>
      <c r="D989" s="2"/>
      <c r="E989" s="2"/>
      <c r="G989" s="2"/>
      <c r="J989" s="2"/>
    </row>
    <row r="990" spans="1:10" x14ac:dyDescent="0.3">
      <c r="A990" s="2"/>
      <c r="C990" s="2"/>
      <c r="D990" s="2"/>
      <c r="E990" s="2"/>
      <c r="G990" s="2"/>
      <c r="J990" s="2"/>
    </row>
    <row r="991" spans="1:10" x14ac:dyDescent="0.3">
      <c r="A991" s="2"/>
      <c r="C991" s="2"/>
      <c r="D991" s="2"/>
      <c r="E991" s="2"/>
      <c r="G991" s="2"/>
      <c r="J991" s="2"/>
    </row>
    <row r="992" spans="1:10" x14ac:dyDescent="0.3">
      <c r="A992" s="2"/>
      <c r="C992" s="2"/>
      <c r="D992" s="2"/>
      <c r="E992" s="2"/>
      <c r="G992" s="2"/>
      <c r="J992" s="2"/>
    </row>
    <row r="993" spans="1:10" x14ac:dyDescent="0.3">
      <c r="A993" s="2"/>
      <c r="C993" s="2"/>
      <c r="D993" s="2"/>
      <c r="E993" s="2"/>
      <c r="G993" s="2"/>
      <c r="J993" s="2"/>
    </row>
    <row r="994" spans="1:10" x14ac:dyDescent="0.3">
      <c r="A994" s="2"/>
      <c r="C994" s="2"/>
      <c r="D994" s="2"/>
      <c r="E994" s="2"/>
      <c r="G994" s="2"/>
      <c r="J994" s="2"/>
    </row>
    <row r="995" spans="1:10" x14ac:dyDescent="0.3">
      <c r="A995" s="2"/>
      <c r="C995" s="2"/>
      <c r="D995" s="2"/>
      <c r="E995" s="2"/>
      <c r="G995" s="2"/>
      <c r="J995" s="2"/>
    </row>
    <row r="996" spans="1:10" x14ac:dyDescent="0.3">
      <c r="A996" s="2"/>
      <c r="C996" s="2"/>
      <c r="D996" s="2"/>
      <c r="E996" s="2"/>
      <c r="G996" s="2"/>
      <c r="J996" s="2"/>
    </row>
    <row r="997" spans="1:10" x14ac:dyDescent="0.3">
      <c r="A997" s="2"/>
      <c r="C997" s="2"/>
      <c r="D997" s="2"/>
      <c r="E997" s="2"/>
      <c r="G997" s="2"/>
      <c r="J997" s="2"/>
    </row>
    <row r="998" spans="1:10" x14ac:dyDescent="0.3">
      <c r="A998" s="2"/>
      <c r="C998" s="2"/>
      <c r="D998" s="2"/>
      <c r="E998" s="2"/>
      <c r="G998" s="2"/>
      <c r="J998" s="2"/>
    </row>
    <row r="999" spans="1:10" x14ac:dyDescent="0.3">
      <c r="A999" s="2"/>
      <c r="C999" s="2"/>
      <c r="D999" s="2"/>
      <c r="E999" s="2"/>
      <c r="G999" s="2"/>
      <c r="J999" s="2"/>
    </row>
    <row r="1000" spans="1:10" x14ac:dyDescent="0.3">
      <c r="A1000" s="2"/>
      <c r="C1000" s="2"/>
      <c r="D1000" s="2"/>
      <c r="E1000" s="2"/>
      <c r="G1000" s="2"/>
      <c r="J1000" s="2"/>
    </row>
    <row r="1001" spans="1:10" x14ac:dyDescent="0.3">
      <c r="A1001" s="2"/>
      <c r="C1001" s="2"/>
      <c r="D1001" s="2"/>
      <c r="E1001" s="2"/>
      <c r="G1001" s="2"/>
      <c r="J1001" s="2"/>
    </row>
    <row r="1002" spans="1:10" x14ac:dyDescent="0.3">
      <c r="A1002" s="2"/>
      <c r="C1002" s="2"/>
      <c r="D1002" s="2"/>
      <c r="E1002" s="2"/>
      <c r="G1002" s="2"/>
      <c r="J1002" s="2"/>
    </row>
    <row r="1003" spans="1:10" x14ac:dyDescent="0.3">
      <c r="A1003" s="2"/>
      <c r="C1003" s="2"/>
      <c r="D1003" s="2"/>
      <c r="E1003" s="2"/>
      <c r="G1003" s="2"/>
      <c r="J1003" s="2"/>
    </row>
    <row r="1004" spans="1:10" x14ac:dyDescent="0.3">
      <c r="A1004" s="2"/>
      <c r="C1004" s="2"/>
      <c r="D1004" s="2"/>
      <c r="E1004" s="2"/>
      <c r="G1004" s="2"/>
      <c r="J1004" s="2"/>
    </row>
    <row r="1005" spans="1:10" x14ac:dyDescent="0.3">
      <c r="A1005" s="2"/>
      <c r="C1005" s="2"/>
      <c r="D1005" s="2"/>
      <c r="E1005" s="2"/>
      <c r="G1005" s="2"/>
      <c r="J1005" s="2"/>
    </row>
    <row r="1006" spans="1:10" x14ac:dyDescent="0.3">
      <c r="A1006" s="2"/>
      <c r="C1006" s="2"/>
      <c r="D1006" s="2"/>
      <c r="E1006" s="2"/>
      <c r="G1006" s="2"/>
      <c r="J1006" s="2"/>
    </row>
    <row r="1007" spans="1:10" x14ac:dyDescent="0.3">
      <c r="A1007" s="2"/>
      <c r="C1007" s="2"/>
      <c r="D1007" s="2"/>
      <c r="E1007" s="2"/>
      <c r="G1007" s="2"/>
      <c r="J1007" s="2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668"/>
  <sheetViews>
    <sheetView topLeftCell="A515" workbookViewId="0">
      <selection activeCell="B593" sqref="B593"/>
    </sheetView>
  </sheetViews>
  <sheetFormatPr defaultRowHeight="16.5" x14ac:dyDescent="0.3"/>
  <cols>
    <col min="1" max="1" width="9.75" style="4" bestFit="1" customWidth="1"/>
    <col min="2" max="2" width="78.125" bestFit="1" customWidth="1"/>
  </cols>
  <sheetData>
    <row r="1" spans="1:2" x14ac:dyDescent="0.3">
      <c r="A1" s="4" t="s">
        <v>8</v>
      </c>
    </row>
    <row r="2" spans="1:2" x14ac:dyDescent="0.3">
      <c r="A2" s="4" t="s">
        <v>9</v>
      </c>
      <c r="B2" s="4" t="s">
        <v>10</v>
      </c>
    </row>
    <row r="3" spans="1:2" x14ac:dyDescent="0.3">
      <c r="A3" s="4" t="s">
        <v>11</v>
      </c>
      <c r="B3" s="4" t="s">
        <v>12</v>
      </c>
    </row>
    <row r="4" spans="1:2" x14ac:dyDescent="0.3">
      <c r="A4" s="4" t="s">
        <v>13</v>
      </c>
      <c r="B4" s="4" t="s">
        <v>14</v>
      </c>
    </row>
    <row r="5" spans="1:2" x14ac:dyDescent="0.3">
      <c r="A5" s="4" t="s">
        <v>15</v>
      </c>
      <c r="B5" s="4" t="s">
        <v>16</v>
      </c>
    </row>
    <row r="6" spans="1:2" x14ac:dyDescent="0.3">
      <c r="A6" s="4" t="s">
        <v>17</v>
      </c>
      <c r="B6" s="4" t="s">
        <v>18</v>
      </c>
    </row>
    <row r="7" spans="1:2" x14ac:dyDescent="0.3">
      <c r="A7" s="4" t="s">
        <v>19</v>
      </c>
      <c r="B7" s="4" t="s">
        <v>20</v>
      </c>
    </row>
    <row r="8" spans="1:2" x14ac:dyDescent="0.3">
      <c r="A8" s="4" t="s">
        <v>21</v>
      </c>
      <c r="B8" s="4" t="s">
        <v>22</v>
      </c>
    </row>
    <row r="9" spans="1:2" x14ac:dyDescent="0.3">
      <c r="A9" s="4" t="s">
        <v>23</v>
      </c>
      <c r="B9" s="4" t="s">
        <v>24</v>
      </c>
    </row>
    <row r="10" spans="1:2" x14ac:dyDescent="0.3">
      <c r="A10" s="4" t="s">
        <v>25</v>
      </c>
      <c r="B10" s="4" t="s">
        <v>26</v>
      </c>
    </row>
    <row r="11" spans="1:2" x14ac:dyDescent="0.3">
      <c r="A11" s="4" t="s">
        <v>3286</v>
      </c>
      <c r="B11" s="4" t="s">
        <v>12231</v>
      </c>
    </row>
    <row r="12" spans="1:2" x14ac:dyDescent="0.3">
      <c r="A12" s="4" t="s">
        <v>27</v>
      </c>
      <c r="B12" s="4" t="s">
        <v>28</v>
      </c>
    </row>
    <row r="13" spans="1:2" x14ac:dyDescent="0.3">
      <c r="A13" s="4" t="s">
        <v>3117</v>
      </c>
      <c r="B13" s="4" t="s">
        <v>8592</v>
      </c>
    </row>
    <row r="14" spans="1:2" x14ac:dyDescent="0.3">
      <c r="A14" s="4" t="s">
        <v>29</v>
      </c>
      <c r="B14" s="4" t="s">
        <v>30</v>
      </c>
    </row>
    <row r="15" spans="1:2" x14ac:dyDescent="0.3">
      <c r="A15" s="4" t="s">
        <v>31</v>
      </c>
      <c r="B15" s="4" t="s">
        <v>32</v>
      </c>
    </row>
    <row r="16" spans="1:2" x14ac:dyDescent="0.3">
      <c r="A16" s="4" t="s">
        <v>33</v>
      </c>
      <c r="B16" s="4" t="s">
        <v>34</v>
      </c>
    </row>
    <row r="17" spans="1:2" x14ac:dyDescent="0.3">
      <c r="A17" s="4" t="s">
        <v>3109</v>
      </c>
      <c r="B17" s="4" t="s">
        <v>8593</v>
      </c>
    </row>
    <row r="18" spans="1:2" x14ac:dyDescent="0.3">
      <c r="A18" s="4" t="s">
        <v>35</v>
      </c>
      <c r="B18" s="4" t="s">
        <v>36</v>
      </c>
    </row>
    <row r="19" spans="1:2" x14ac:dyDescent="0.3">
      <c r="A19" s="4" t="s">
        <v>37</v>
      </c>
      <c r="B19" s="4" t="s">
        <v>38</v>
      </c>
    </row>
    <row r="20" spans="1:2" x14ac:dyDescent="0.3">
      <c r="A20" s="4" t="s">
        <v>39</v>
      </c>
      <c r="B20" s="4" t="s">
        <v>40</v>
      </c>
    </row>
    <row r="21" spans="1:2" x14ac:dyDescent="0.3">
      <c r="A21" s="4" t="s">
        <v>41</v>
      </c>
      <c r="B21" s="4" t="s">
        <v>42</v>
      </c>
    </row>
    <row r="22" spans="1:2" x14ac:dyDescent="0.3">
      <c r="A22" s="4" t="s">
        <v>43</v>
      </c>
      <c r="B22" s="4" t="s">
        <v>44</v>
      </c>
    </row>
    <row r="23" spans="1:2" x14ac:dyDescent="0.3">
      <c r="A23" s="4" t="s">
        <v>3536</v>
      </c>
      <c r="B23" s="4" t="s">
        <v>8594</v>
      </c>
    </row>
    <row r="24" spans="1:2" x14ac:dyDescent="0.3">
      <c r="A24" s="4" t="s">
        <v>45</v>
      </c>
      <c r="B24" s="4" t="s">
        <v>46</v>
      </c>
    </row>
    <row r="25" spans="1:2" x14ac:dyDescent="0.3">
      <c r="A25" s="4" t="s">
        <v>47</v>
      </c>
      <c r="B25" s="4" t="s">
        <v>48</v>
      </c>
    </row>
    <row r="26" spans="1:2" x14ac:dyDescent="0.3">
      <c r="A26" s="4" t="s">
        <v>49</v>
      </c>
      <c r="B26" s="4" t="s">
        <v>50</v>
      </c>
    </row>
    <row r="27" spans="1:2" x14ac:dyDescent="0.3">
      <c r="A27" s="4" t="s">
        <v>51</v>
      </c>
      <c r="B27" s="4" t="s">
        <v>52</v>
      </c>
    </row>
    <row r="28" spans="1:2" x14ac:dyDescent="0.3">
      <c r="A28" s="4" t="s">
        <v>53</v>
      </c>
      <c r="B28" s="4" t="s">
        <v>54</v>
      </c>
    </row>
    <row r="29" spans="1:2" x14ac:dyDescent="0.3">
      <c r="A29" s="4" t="s">
        <v>55</v>
      </c>
      <c r="B29" s="4" t="s">
        <v>56</v>
      </c>
    </row>
    <row r="30" spans="1:2" x14ac:dyDescent="0.3">
      <c r="A30" s="4" t="s">
        <v>671</v>
      </c>
      <c r="B30" s="4" t="s">
        <v>8595</v>
      </c>
    </row>
    <row r="31" spans="1:2" x14ac:dyDescent="0.3">
      <c r="A31" s="4" t="s">
        <v>1511</v>
      </c>
      <c r="B31" s="4" t="s">
        <v>8596</v>
      </c>
    </row>
    <row r="32" spans="1:2" x14ac:dyDescent="0.3">
      <c r="A32" s="4" t="s">
        <v>8597</v>
      </c>
      <c r="B32" s="4" t="s">
        <v>8598</v>
      </c>
    </row>
    <row r="33" spans="1:2" x14ac:dyDescent="0.3">
      <c r="A33" s="4" t="s">
        <v>57</v>
      </c>
      <c r="B33" s="4" t="s">
        <v>58</v>
      </c>
    </row>
    <row r="34" spans="1:2" x14ac:dyDescent="0.3">
      <c r="A34" s="4" t="s">
        <v>1014</v>
      </c>
      <c r="B34" s="4" t="s">
        <v>12232</v>
      </c>
    </row>
    <row r="35" spans="1:2" x14ac:dyDescent="0.3">
      <c r="A35" s="4" t="s">
        <v>59</v>
      </c>
      <c r="B35" s="4" t="s">
        <v>60</v>
      </c>
    </row>
    <row r="36" spans="1:2" x14ac:dyDescent="0.3">
      <c r="A36" s="4" t="s">
        <v>61</v>
      </c>
      <c r="B36" s="4" t="s">
        <v>62</v>
      </c>
    </row>
    <row r="37" spans="1:2" x14ac:dyDescent="0.3">
      <c r="A37" s="4" t="s">
        <v>63</v>
      </c>
      <c r="B37" s="4" t="s">
        <v>64</v>
      </c>
    </row>
    <row r="38" spans="1:2" x14ac:dyDescent="0.3">
      <c r="A38" s="4" t="s">
        <v>3140</v>
      </c>
      <c r="B38" s="4" t="s">
        <v>12233</v>
      </c>
    </row>
    <row r="39" spans="1:2" x14ac:dyDescent="0.3">
      <c r="A39" s="4" t="s">
        <v>65</v>
      </c>
      <c r="B39" s="4" t="s">
        <v>66</v>
      </c>
    </row>
    <row r="40" spans="1:2" x14ac:dyDescent="0.3">
      <c r="A40" s="4" t="s">
        <v>67</v>
      </c>
      <c r="B40" s="4" t="s">
        <v>68</v>
      </c>
    </row>
    <row r="41" spans="1:2" x14ac:dyDescent="0.3">
      <c r="A41" s="4" t="s">
        <v>69</v>
      </c>
      <c r="B41" s="4" t="s">
        <v>70</v>
      </c>
    </row>
    <row r="42" spans="1:2" x14ac:dyDescent="0.3">
      <c r="A42" s="4" t="s">
        <v>1031</v>
      </c>
      <c r="B42" s="4" t="s">
        <v>8601</v>
      </c>
    </row>
    <row r="43" spans="1:2" x14ac:dyDescent="0.3">
      <c r="A43" s="4" t="s">
        <v>8602</v>
      </c>
      <c r="B43" s="4" t="s">
        <v>73</v>
      </c>
    </row>
    <row r="44" spans="1:2" x14ac:dyDescent="0.3">
      <c r="A44" s="4" t="s">
        <v>72</v>
      </c>
      <c r="B44" s="4" t="s">
        <v>8603</v>
      </c>
    </row>
    <row r="45" spans="1:2" x14ac:dyDescent="0.3">
      <c r="A45" s="4" t="s">
        <v>3569</v>
      </c>
      <c r="B45" s="4" t="s">
        <v>8604</v>
      </c>
    </row>
    <row r="46" spans="1:2" x14ac:dyDescent="0.3">
      <c r="A46" s="4" t="s">
        <v>74</v>
      </c>
      <c r="B46" s="4" t="s">
        <v>75</v>
      </c>
    </row>
    <row r="47" spans="1:2" x14ac:dyDescent="0.3">
      <c r="A47" s="4" t="s">
        <v>76</v>
      </c>
      <c r="B47" s="4" t="s">
        <v>77</v>
      </c>
    </row>
    <row r="48" spans="1:2" x14ac:dyDescent="0.3">
      <c r="A48" s="4" t="s">
        <v>78</v>
      </c>
      <c r="B48" s="4" t="s">
        <v>79</v>
      </c>
    </row>
    <row r="49" spans="1:2" x14ac:dyDescent="0.3">
      <c r="A49" s="4" t="s">
        <v>80</v>
      </c>
      <c r="B49" s="4" t="s">
        <v>81</v>
      </c>
    </row>
    <row r="50" spans="1:2" x14ac:dyDescent="0.3">
      <c r="A50" s="4" t="s">
        <v>82</v>
      </c>
      <c r="B50" s="4" t="s">
        <v>83</v>
      </c>
    </row>
    <row r="51" spans="1:2" x14ac:dyDescent="0.3">
      <c r="A51" s="4" t="s">
        <v>84</v>
      </c>
      <c r="B51" s="4" t="s">
        <v>85</v>
      </c>
    </row>
    <row r="52" spans="1:2" x14ac:dyDescent="0.3">
      <c r="A52" s="4" t="s">
        <v>86</v>
      </c>
      <c r="B52" s="4" t="s">
        <v>87</v>
      </c>
    </row>
    <row r="53" spans="1:2" x14ac:dyDescent="0.3">
      <c r="A53" s="4" t="s">
        <v>88</v>
      </c>
      <c r="B53" s="4" t="s">
        <v>89</v>
      </c>
    </row>
    <row r="54" spans="1:2" x14ac:dyDescent="0.3">
      <c r="A54" s="4" t="s">
        <v>8605</v>
      </c>
      <c r="B54" s="4" t="s">
        <v>8606</v>
      </c>
    </row>
    <row r="55" spans="1:2" x14ac:dyDescent="0.3">
      <c r="A55" s="4" t="s">
        <v>90</v>
      </c>
      <c r="B55" s="4" t="s">
        <v>91</v>
      </c>
    </row>
    <row r="56" spans="1:2" x14ac:dyDescent="0.3">
      <c r="A56" s="4" t="s">
        <v>92</v>
      </c>
      <c r="B56" s="4" t="s">
        <v>93</v>
      </c>
    </row>
    <row r="57" spans="1:2" x14ac:dyDescent="0.3">
      <c r="A57" s="4" t="s">
        <v>94</v>
      </c>
      <c r="B57" s="4" t="s">
        <v>8607</v>
      </c>
    </row>
    <row r="58" spans="1:2" x14ac:dyDescent="0.3">
      <c r="A58" s="4" t="s">
        <v>95</v>
      </c>
      <c r="B58" s="4" t="s">
        <v>96</v>
      </c>
    </row>
    <row r="59" spans="1:2" x14ac:dyDescent="0.3">
      <c r="A59" s="4" t="s">
        <v>97</v>
      </c>
      <c r="B59" s="4" t="s">
        <v>98</v>
      </c>
    </row>
    <row r="60" spans="1:2" x14ac:dyDescent="0.3">
      <c r="A60" s="4" t="s">
        <v>3931</v>
      </c>
      <c r="B60" s="4" t="s">
        <v>8608</v>
      </c>
    </row>
    <row r="61" spans="1:2" x14ac:dyDescent="0.3">
      <c r="A61" s="4" t="s">
        <v>3847</v>
      </c>
      <c r="B61" s="4" t="s">
        <v>8609</v>
      </c>
    </row>
    <row r="62" spans="1:2" x14ac:dyDescent="0.3">
      <c r="A62" s="4" t="s">
        <v>8610</v>
      </c>
      <c r="B62" s="4" t="s">
        <v>8611</v>
      </c>
    </row>
    <row r="63" spans="1:2" x14ac:dyDescent="0.3">
      <c r="A63" s="4" t="s">
        <v>3758</v>
      </c>
      <c r="B63" s="4" t="s">
        <v>12234</v>
      </c>
    </row>
    <row r="64" spans="1:2" x14ac:dyDescent="0.3">
      <c r="A64" s="4" t="s">
        <v>2221</v>
      </c>
      <c r="B64" s="4" t="s">
        <v>8612</v>
      </c>
    </row>
    <row r="65" spans="1:2" x14ac:dyDescent="0.3">
      <c r="A65" s="4" t="s">
        <v>574</v>
      </c>
      <c r="B65" s="4" t="s">
        <v>8613</v>
      </c>
    </row>
    <row r="66" spans="1:2" x14ac:dyDescent="0.3">
      <c r="A66" s="4" t="s">
        <v>2222</v>
      </c>
      <c r="B66" s="4" t="s">
        <v>8615</v>
      </c>
    </row>
    <row r="67" spans="1:2" x14ac:dyDescent="0.3">
      <c r="A67" s="4" t="s">
        <v>1911</v>
      </c>
      <c r="B67" s="4" t="s">
        <v>8616</v>
      </c>
    </row>
    <row r="68" spans="1:2" x14ac:dyDescent="0.3">
      <c r="A68" s="4" t="s">
        <v>3068</v>
      </c>
      <c r="B68" s="4" t="s">
        <v>8617</v>
      </c>
    </row>
    <row r="69" spans="1:2" x14ac:dyDescent="0.3">
      <c r="A69" s="4" t="s">
        <v>1135</v>
      </c>
      <c r="B69" s="4" t="s">
        <v>12235</v>
      </c>
    </row>
    <row r="70" spans="1:2" x14ac:dyDescent="0.3">
      <c r="A70" s="4" t="s">
        <v>3761</v>
      </c>
      <c r="B70" s="4" t="s">
        <v>12236</v>
      </c>
    </row>
    <row r="71" spans="1:2" x14ac:dyDescent="0.3">
      <c r="A71" s="4" t="s">
        <v>3915</v>
      </c>
      <c r="B71" s="4" t="s">
        <v>8618</v>
      </c>
    </row>
    <row r="72" spans="1:2" x14ac:dyDescent="0.3">
      <c r="A72" s="4" t="s">
        <v>12237</v>
      </c>
      <c r="B72" s="4" t="s">
        <v>12238</v>
      </c>
    </row>
    <row r="73" spans="1:2" x14ac:dyDescent="0.3">
      <c r="A73" s="4" t="s">
        <v>99</v>
      </c>
      <c r="B73" s="4" t="s">
        <v>100</v>
      </c>
    </row>
    <row r="74" spans="1:2" x14ac:dyDescent="0.3">
      <c r="A74" s="4" t="s">
        <v>101</v>
      </c>
      <c r="B74" s="4" t="s">
        <v>102</v>
      </c>
    </row>
    <row r="75" spans="1:2" x14ac:dyDescent="0.3">
      <c r="A75" s="4" t="s">
        <v>103</v>
      </c>
      <c r="B75" s="4" t="s">
        <v>104</v>
      </c>
    </row>
    <row r="76" spans="1:2" x14ac:dyDescent="0.3">
      <c r="A76" s="4" t="s">
        <v>105</v>
      </c>
      <c r="B76" s="4" t="s">
        <v>106</v>
      </c>
    </row>
    <row r="77" spans="1:2" x14ac:dyDescent="0.3">
      <c r="A77" s="4" t="s">
        <v>107</v>
      </c>
      <c r="B77" s="4" t="s">
        <v>8619</v>
      </c>
    </row>
    <row r="78" spans="1:2" x14ac:dyDescent="0.3">
      <c r="A78" s="4" t="s">
        <v>108</v>
      </c>
      <c r="B78" s="4" t="s">
        <v>109</v>
      </c>
    </row>
    <row r="79" spans="1:2" x14ac:dyDescent="0.3">
      <c r="A79" s="4" t="s">
        <v>110</v>
      </c>
      <c r="B79" s="4" t="s">
        <v>111</v>
      </c>
    </row>
    <row r="80" spans="1:2" x14ac:dyDescent="0.3">
      <c r="A80" s="4" t="s">
        <v>112</v>
      </c>
      <c r="B80" s="4" t="s">
        <v>113</v>
      </c>
    </row>
    <row r="81" spans="1:2" x14ac:dyDescent="0.3">
      <c r="A81" s="4" t="s">
        <v>114</v>
      </c>
      <c r="B81" s="4" t="s">
        <v>115</v>
      </c>
    </row>
    <row r="82" spans="1:2" x14ac:dyDescent="0.3">
      <c r="A82" s="4" t="s">
        <v>116</v>
      </c>
      <c r="B82" s="4" t="s">
        <v>117</v>
      </c>
    </row>
    <row r="83" spans="1:2" x14ac:dyDescent="0.3">
      <c r="A83" s="4" t="s">
        <v>118</v>
      </c>
      <c r="B83" s="4" t="s">
        <v>119</v>
      </c>
    </row>
    <row r="84" spans="1:2" x14ac:dyDescent="0.3">
      <c r="A84" s="4" t="s">
        <v>3683</v>
      </c>
      <c r="B84" s="4" t="s">
        <v>8620</v>
      </c>
    </row>
    <row r="85" spans="1:2" x14ac:dyDescent="0.3">
      <c r="A85" s="4" t="s">
        <v>120</v>
      </c>
      <c r="B85" s="4" t="s">
        <v>121</v>
      </c>
    </row>
    <row r="86" spans="1:2" x14ac:dyDescent="0.3">
      <c r="A86" s="4" t="s">
        <v>12239</v>
      </c>
      <c r="B86" s="4" t="s">
        <v>12240</v>
      </c>
    </row>
    <row r="87" spans="1:2" x14ac:dyDescent="0.3">
      <c r="A87" s="4" t="s">
        <v>122</v>
      </c>
      <c r="B87" s="4" t="s">
        <v>123</v>
      </c>
    </row>
    <row r="88" spans="1:2" x14ac:dyDescent="0.3">
      <c r="A88" s="4" t="s">
        <v>124</v>
      </c>
      <c r="B88" s="4" t="s">
        <v>125</v>
      </c>
    </row>
    <row r="89" spans="1:2" x14ac:dyDescent="0.3">
      <c r="A89" s="4" t="s">
        <v>126</v>
      </c>
      <c r="B89" s="4" t="s">
        <v>127</v>
      </c>
    </row>
    <row r="90" spans="1:2" x14ac:dyDescent="0.3">
      <c r="A90" s="4" t="s">
        <v>3162</v>
      </c>
      <c r="B90" s="4" t="s">
        <v>8621</v>
      </c>
    </row>
    <row r="91" spans="1:2" x14ac:dyDescent="0.3">
      <c r="A91" s="4" t="s">
        <v>128</v>
      </c>
      <c r="B91" s="4" t="s">
        <v>129</v>
      </c>
    </row>
    <row r="92" spans="1:2" x14ac:dyDescent="0.3">
      <c r="A92" s="4" t="s">
        <v>130</v>
      </c>
      <c r="B92" s="4" t="s">
        <v>131</v>
      </c>
    </row>
    <row r="93" spans="1:2" x14ac:dyDescent="0.3">
      <c r="A93" s="4" t="s">
        <v>132</v>
      </c>
      <c r="B93" s="4" t="s">
        <v>133</v>
      </c>
    </row>
    <row r="94" spans="1:2" x14ac:dyDescent="0.3">
      <c r="A94" s="4" t="s">
        <v>134</v>
      </c>
      <c r="B94" s="4" t="s">
        <v>135</v>
      </c>
    </row>
    <row r="95" spans="1:2" x14ac:dyDescent="0.3">
      <c r="A95" s="4" t="s">
        <v>136</v>
      </c>
      <c r="B95" s="4" t="s">
        <v>137</v>
      </c>
    </row>
    <row r="96" spans="1:2" x14ac:dyDescent="0.3">
      <c r="A96" s="4" t="s">
        <v>138</v>
      </c>
      <c r="B96" s="4" t="s">
        <v>139</v>
      </c>
    </row>
    <row r="97" spans="1:2" x14ac:dyDescent="0.3">
      <c r="A97" s="4" t="s">
        <v>140</v>
      </c>
      <c r="B97" s="4" t="s">
        <v>141</v>
      </c>
    </row>
    <row r="98" spans="1:2" x14ac:dyDescent="0.3">
      <c r="A98" s="4" t="s">
        <v>142</v>
      </c>
      <c r="B98" s="4" t="s">
        <v>143</v>
      </c>
    </row>
    <row r="99" spans="1:2" x14ac:dyDescent="0.3">
      <c r="A99" s="4" t="s">
        <v>853</v>
      </c>
      <c r="B99" s="4" t="s">
        <v>8622</v>
      </c>
    </row>
    <row r="100" spans="1:2" x14ac:dyDescent="0.3">
      <c r="A100" s="4" t="s">
        <v>144</v>
      </c>
      <c r="B100" s="4" t="s">
        <v>145</v>
      </c>
    </row>
    <row r="101" spans="1:2" x14ac:dyDescent="0.3">
      <c r="A101" s="4" t="s">
        <v>146</v>
      </c>
      <c r="B101" s="4" t="s">
        <v>147</v>
      </c>
    </row>
    <row r="102" spans="1:2" x14ac:dyDescent="0.3">
      <c r="A102" s="4" t="s">
        <v>2748</v>
      </c>
      <c r="B102" s="4" t="s">
        <v>8623</v>
      </c>
    </row>
    <row r="103" spans="1:2" x14ac:dyDescent="0.3">
      <c r="A103" s="4" t="s">
        <v>1427</v>
      </c>
      <c r="B103" s="4" t="s">
        <v>8624</v>
      </c>
    </row>
    <row r="104" spans="1:2" x14ac:dyDescent="0.3">
      <c r="A104" s="4" t="s">
        <v>3626</v>
      </c>
      <c r="B104" s="4" t="s">
        <v>8625</v>
      </c>
    </row>
    <row r="105" spans="1:2" x14ac:dyDescent="0.3">
      <c r="A105" s="4" t="s">
        <v>148</v>
      </c>
      <c r="B105" s="4" t="s">
        <v>149</v>
      </c>
    </row>
    <row r="106" spans="1:2" x14ac:dyDescent="0.3">
      <c r="A106" s="4" t="s">
        <v>150</v>
      </c>
      <c r="B106" s="4" t="s">
        <v>151</v>
      </c>
    </row>
    <row r="107" spans="1:2" x14ac:dyDescent="0.3">
      <c r="A107" s="4" t="s">
        <v>152</v>
      </c>
      <c r="B107" s="4" t="s">
        <v>153</v>
      </c>
    </row>
    <row r="108" spans="1:2" x14ac:dyDescent="0.3">
      <c r="A108" s="4" t="s">
        <v>157</v>
      </c>
      <c r="B108" s="4" t="s">
        <v>158</v>
      </c>
    </row>
    <row r="109" spans="1:2" x14ac:dyDescent="0.3">
      <c r="A109" s="4" t="s">
        <v>159</v>
      </c>
      <c r="B109" s="4" t="s">
        <v>160</v>
      </c>
    </row>
    <row r="110" spans="1:2" x14ac:dyDescent="0.3">
      <c r="A110" s="4" t="s">
        <v>161</v>
      </c>
      <c r="B110" s="4" t="s">
        <v>162</v>
      </c>
    </row>
    <row r="111" spans="1:2" x14ac:dyDescent="0.3">
      <c r="A111" s="4" t="s">
        <v>163</v>
      </c>
      <c r="B111" s="4" t="s">
        <v>164</v>
      </c>
    </row>
    <row r="112" spans="1:2" x14ac:dyDescent="0.3">
      <c r="A112" s="4" t="s">
        <v>165</v>
      </c>
      <c r="B112" s="4" t="s">
        <v>166</v>
      </c>
    </row>
    <row r="113" spans="1:2" x14ac:dyDescent="0.3">
      <c r="A113" s="4" t="s">
        <v>167</v>
      </c>
      <c r="B113" s="4" t="s">
        <v>168</v>
      </c>
    </row>
    <row r="114" spans="1:2" x14ac:dyDescent="0.3">
      <c r="A114" s="4" t="s">
        <v>169</v>
      </c>
      <c r="B114" s="4" t="s">
        <v>170</v>
      </c>
    </row>
    <row r="115" spans="1:2" x14ac:dyDescent="0.3">
      <c r="A115" s="4" t="s">
        <v>171</v>
      </c>
      <c r="B115" s="4" t="s">
        <v>172</v>
      </c>
    </row>
    <row r="116" spans="1:2" x14ac:dyDescent="0.3">
      <c r="A116" s="4" t="s">
        <v>174</v>
      </c>
      <c r="B116" s="4" t="s">
        <v>175</v>
      </c>
    </row>
    <row r="117" spans="1:2" x14ac:dyDescent="0.3">
      <c r="A117" s="4" t="s">
        <v>176</v>
      </c>
      <c r="B117" s="4" t="s">
        <v>177</v>
      </c>
    </row>
    <row r="118" spans="1:2" x14ac:dyDescent="0.3">
      <c r="A118" s="4" t="s">
        <v>178</v>
      </c>
      <c r="B118" s="4" t="s">
        <v>179</v>
      </c>
    </row>
    <row r="119" spans="1:2" x14ac:dyDescent="0.3">
      <c r="A119" s="4" t="s">
        <v>155</v>
      </c>
      <c r="B119" s="4" t="s">
        <v>12241</v>
      </c>
    </row>
    <row r="120" spans="1:2" x14ac:dyDescent="0.3">
      <c r="A120" s="4" t="s">
        <v>156</v>
      </c>
      <c r="B120" s="4" t="s">
        <v>12242</v>
      </c>
    </row>
    <row r="121" spans="1:2" x14ac:dyDescent="0.3">
      <c r="A121" s="4" t="s">
        <v>180</v>
      </c>
      <c r="B121" s="4" t="s">
        <v>181</v>
      </c>
    </row>
    <row r="122" spans="1:2" x14ac:dyDescent="0.3">
      <c r="A122" s="4" t="s">
        <v>182</v>
      </c>
      <c r="B122" s="4" t="s">
        <v>183</v>
      </c>
    </row>
    <row r="123" spans="1:2" x14ac:dyDescent="0.3">
      <c r="A123" s="4" t="s">
        <v>184</v>
      </c>
      <c r="B123" s="4" t="s">
        <v>185</v>
      </c>
    </row>
    <row r="124" spans="1:2" x14ac:dyDescent="0.3">
      <c r="A124" s="4" t="s">
        <v>187</v>
      </c>
      <c r="B124" s="4" t="s">
        <v>188</v>
      </c>
    </row>
    <row r="125" spans="1:2" x14ac:dyDescent="0.3">
      <c r="A125" s="4" t="s">
        <v>8626</v>
      </c>
      <c r="B125" s="4" t="s">
        <v>8627</v>
      </c>
    </row>
    <row r="126" spans="1:2" x14ac:dyDescent="0.3">
      <c r="A126" s="4" t="s">
        <v>189</v>
      </c>
      <c r="B126" s="4" t="s">
        <v>190</v>
      </c>
    </row>
    <row r="127" spans="1:2" x14ac:dyDescent="0.3">
      <c r="A127" s="4" t="s">
        <v>191</v>
      </c>
      <c r="B127" s="4" t="s">
        <v>192</v>
      </c>
    </row>
    <row r="128" spans="1:2" x14ac:dyDescent="0.3">
      <c r="A128" s="4" t="s">
        <v>193</v>
      </c>
      <c r="B128" s="4" t="s">
        <v>194</v>
      </c>
    </row>
    <row r="129" spans="1:2" x14ac:dyDescent="0.3">
      <c r="A129" s="4" t="s">
        <v>196</v>
      </c>
      <c r="B129" s="4" t="s">
        <v>197</v>
      </c>
    </row>
    <row r="130" spans="1:2" x14ac:dyDescent="0.3">
      <c r="A130" s="4" t="s">
        <v>198</v>
      </c>
      <c r="B130" s="4" t="s">
        <v>199</v>
      </c>
    </row>
    <row r="131" spans="1:2" x14ac:dyDescent="0.3">
      <c r="A131" s="4" t="s">
        <v>200</v>
      </c>
      <c r="B131" s="4" t="s">
        <v>201</v>
      </c>
    </row>
    <row r="132" spans="1:2" x14ac:dyDescent="0.3">
      <c r="A132" s="4" t="s">
        <v>202</v>
      </c>
      <c r="B132" s="4" t="s">
        <v>203</v>
      </c>
    </row>
    <row r="133" spans="1:2" x14ac:dyDescent="0.3">
      <c r="A133" s="4" t="s">
        <v>206</v>
      </c>
      <c r="B133" s="4" t="s">
        <v>8628</v>
      </c>
    </row>
    <row r="134" spans="1:2" x14ac:dyDescent="0.3">
      <c r="A134" s="4" t="s">
        <v>204</v>
      </c>
      <c r="B134" s="4" t="s">
        <v>205</v>
      </c>
    </row>
    <row r="135" spans="1:2" x14ac:dyDescent="0.3">
      <c r="A135" s="4" t="s">
        <v>207</v>
      </c>
      <c r="B135" s="4" t="s">
        <v>208</v>
      </c>
    </row>
    <row r="136" spans="1:2" x14ac:dyDescent="0.3">
      <c r="A136" s="4" t="s">
        <v>1847</v>
      </c>
      <c r="B136" s="4" t="s">
        <v>8629</v>
      </c>
    </row>
    <row r="137" spans="1:2" x14ac:dyDescent="0.3">
      <c r="A137" s="4" t="s">
        <v>186</v>
      </c>
      <c r="B137" s="4" t="s">
        <v>8630</v>
      </c>
    </row>
    <row r="138" spans="1:2" x14ac:dyDescent="0.3">
      <c r="A138" s="4" t="s">
        <v>195</v>
      </c>
      <c r="B138" s="4" t="s">
        <v>8631</v>
      </c>
    </row>
    <row r="139" spans="1:2" x14ac:dyDescent="0.3">
      <c r="A139" s="4" t="s">
        <v>8632</v>
      </c>
      <c r="B139" s="4" t="s">
        <v>8633</v>
      </c>
    </row>
    <row r="140" spans="1:2" x14ac:dyDescent="0.3">
      <c r="A140" s="4" t="s">
        <v>3858</v>
      </c>
      <c r="B140" s="4" t="s">
        <v>12243</v>
      </c>
    </row>
    <row r="141" spans="1:2" x14ac:dyDescent="0.3">
      <c r="A141" s="4" t="s">
        <v>209</v>
      </c>
      <c r="B141" s="4" t="s">
        <v>210</v>
      </c>
    </row>
    <row r="142" spans="1:2" x14ac:dyDescent="0.3">
      <c r="A142" s="4" t="s">
        <v>327</v>
      </c>
      <c r="B142" s="4" t="s">
        <v>12244</v>
      </c>
    </row>
    <row r="143" spans="1:2" x14ac:dyDescent="0.3">
      <c r="A143" s="4" t="s">
        <v>213</v>
      </c>
      <c r="B143" s="4" t="s">
        <v>214</v>
      </c>
    </row>
    <row r="144" spans="1:2" x14ac:dyDescent="0.3">
      <c r="A144" s="4" t="s">
        <v>215</v>
      </c>
      <c r="B144" s="4" t="s">
        <v>216</v>
      </c>
    </row>
    <row r="145" spans="1:2" x14ac:dyDescent="0.3">
      <c r="A145" s="4" t="s">
        <v>217</v>
      </c>
      <c r="B145" s="4" t="s">
        <v>218</v>
      </c>
    </row>
    <row r="146" spans="1:2" x14ac:dyDescent="0.3">
      <c r="A146" s="4" t="s">
        <v>219</v>
      </c>
      <c r="B146" s="4" t="s">
        <v>220</v>
      </c>
    </row>
    <row r="147" spans="1:2" x14ac:dyDescent="0.3">
      <c r="A147" s="4" t="s">
        <v>221</v>
      </c>
      <c r="B147" s="4" t="s">
        <v>222</v>
      </c>
    </row>
    <row r="148" spans="1:2" x14ac:dyDescent="0.3">
      <c r="A148" s="4" t="s">
        <v>223</v>
      </c>
      <c r="B148" s="4" t="s">
        <v>224</v>
      </c>
    </row>
    <row r="149" spans="1:2" x14ac:dyDescent="0.3">
      <c r="A149" s="4" t="s">
        <v>8634</v>
      </c>
      <c r="B149" s="4" t="s">
        <v>8635</v>
      </c>
    </row>
    <row r="150" spans="1:2" x14ac:dyDescent="0.3">
      <c r="A150" s="4" t="s">
        <v>225</v>
      </c>
      <c r="B150" s="4" t="s">
        <v>226</v>
      </c>
    </row>
    <row r="151" spans="1:2" x14ac:dyDescent="0.3">
      <c r="A151" s="4" t="s">
        <v>227</v>
      </c>
      <c r="B151" s="4" t="s">
        <v>228</v>
      </c>
    </row>
    <row r="152" spans="1:2" x14ac:dyDescent="0.3">
      <c r="A152" s="4" t="s">
        <v>229</v>
      </c>
      <c r="B152" s="4" t="s">
        <v>230</v>
      </c>
    </row>
    <row r="153" spans="1:2" x14ac:dyDescent="0.3">
      <c r="A153" s="4" t="s">
        <v>231</v>
      </c>
      <c r="B153" s="4" t="s">
        <v>232</v>
      </c>
    </row>
    <row r="154" spans="1:2" x14ac:dyDescent="0.3">
      <c r="A154" s="4" t="s">
        <v>233</v>
      </c>
      <c r="B154" s="4" t="s">
        <v>234</v>
      </c>
    </row>
    <row r="155" spans="1:2" x14ac:dyDescent="0.3">
      <c r="A155" s="4" t="s">
        <v>283</v>
      </c>
      <c r="B155" s="4" t="s">
        <v>8636</v>
      </c>
    </row>
    <row r="156" spans="1:2" x14ac:dyDescent="0.3">
      <c r="A156" s="4" t="s">
        <v>235</v>
      </c>
      <c r="B156" s="4" t="s">
        <v>236</v>
      </c>
    </row>
    <row r="157" spans="1:2" x14ac:dyDescent="0.3">
      <c r="A157" s="4" t="s">
        <v>237</v>
      </c>
      <c r="B157" s="4" t="s">
        <v>8637</v>
      </c>
    </row>
    <row r="158" spans="1:2" x14ac:dyDescent="0.3">
      <c r="A158" s="4" t="s">
        <v>238</v>
      </c>
      <c r="B158" s="4" t="s">
        <v>239</v>
      </c>
    </row>
    <row r="159" spans="1:2" x14ac:dyDescent="0.3">
      <c r="A159" s="4" t="s">
        <v>1181</v>
      </c>
      <c r="B159" s="4" t="s">
        <v>8638</v>
      </c>
    </row>
    <row r="160" spans="1:2" x14ac:dyDescent="0.3">
      <c r="A160" s="4" t="s">
        <v>240</v>
      </c>
      <c r="B160" s="4" t="s">
        <v>241</v>
      </c>
    </row>
    <row r="161" spans="1:2" x14ac:dyDescent="0.3">
      <c r="A161" s="4" t="s">
        <v>246</v>
      </c>
      <c r="B161" s="4" t="s">
        <v>247</v>
      </c>
    </row>
    <row r="162" spans="1:2" x14ac:dyDescent="0.3">
      <c r="A162" s="4" t="s">
        <v>12245</v>
      </c>
      <c r="B162" s="4" t="s">
        <v>12246</v>
      </c>
    </row>
    <row r="163" spans="1:2" x14ac:dyDescent="0.3">
      <c r="A163" s="4" t="s">
        <v>248</v>
      </c>
      <c r="B163" s="4" t="s">
        <v>249</v>
      </c>
    </row>
    <row r="164" spans="1:2" x14ac:dyDescent="0.3">
      <c r="A164" s="4" t="s">
        <v>250</v>
      </c>
      <c r="B164" s="4" t="s">
        <v>251</v>
      </c>
    </row>
    <row r="165" spans="1:2" x14ac:dyDescent="0.3">
      <c r="A165" s="4" t="s">
        <v>252</v>
      </c>
      <c r="B165" s="4" t="s">
        <v>253</v>
      </c>
    </row>
    <row r="166" spans="1:2" x14ac:dyDescent="0.3">
      <c r="A166" s="4" t="s">
        <v>502</v>
      </c>
      <c r="B166" s="4" t="s">
        <v>8639</v>
      </c>
    </row>
    <row r="167" spans="1:2" x14ac:dyDescent="0.3">
      <c r="A167" s="4" t="s">
        <v>254</v>
      </c>
      <c r="B167" s="4" t="s">
        <v>255</v>
      </c>
    </row>
    <row r="168" spans="1:2" x14ac:dyDescent="0.3">
      <c r="A168" s="4" t="s">
        <v>256</v>
      </c>
      <c r="B168" s="4" t="s">
        <v>257</v>
      </c>
    </row>
    <row r="169" spans="1:2" x14ac:dyDescent="0.3">
      <c r="A169" s="4" t="s">
        <v>258</v>
      </c>
      <c r="B169" s="4" t="s">
        <v>259</v>
      </c>
    </row>
    <row r="170" spans="1:2" x14ac:dyDescent="0.3">
      <c r="A170" s="4" t="s">
        <v>260</v>
      </c>
      <c r="B170" s="4" t="s">
        <v>261</v>
      </c>
    </row>
    <row r="171" spans="1:2" x14ac:dyDescent="0.3">
      <c r="A171" s="4" t="s">
        <v>262</v>
      </c>
      <c r="B171" s="4" t="s">
        <v>263</v>
      </c>
    </row>
    <row r="172" spans="1:2" x14ac:dyDescent="0.3">
      <c r="A172" s="4" t="s">
        <v>264</v>
      </c>
      <c r="B172" s="4" t="s">
        <v>265</v>
      </c>
    </row>
    <row r="173" spans="1:2" x14ac:dyDescent="0.3">
      <c r="A173" s="4" t="s">
        <v>266</v>
      </c>
      <c r="B173" s="4" t="s">
        <v>267</v>
      </c>
    </row>
    <row r="174" spans="1:2" x14ac:dyDescent="0.3">
      <c r="A174" s="4" t="s">
        <v>1415</v>
      </c>
      <c r="B174" s="4" t="s">
        <v>8640</v>
      </c>
    </row>
    <row r="175" spans="1:2" x14ac:dyDescent="0.3">
      <c r="A175" s="4" t="s">
        <v>2782</v>
      </c>
      <c r="B175" s="4" t="s">
        <v>8641</v>
      </c>
    </row>
    <row r="176" spans="1:2" x14ac:dyDescent="0.3">
      <c r="A176" s="4" t="s">
        <v>270</v>
      </c>
      <c r="B176" s="4" t="s">
        <v>8642</v>
      </c>
    </row>
    <row r="177" spans="1:2" x14ac:dyDescent="0.3">
      <c r="A177" s="4" t="s">
        <v>268</v>
      </c>
      <c r="B177" s="4" t="s">
        <v>269</v>
      </c>
    </row>
    <row r="178" spans="1:2" x14ac:dyDescent="0.3">
      <c r="A178" s="4" t="s">
        <v>1838</v>
      </c>
      <c r="B178" s="4" t="s">
        <v>8643</v>
      </c>
    </row>
    <row r="179" spans="1:2" x14ac:dyDescent="0.3">
      <c r="A179" s="4" t="s">
        <v>271</v>
      </c>
      <c r="B179" s="4" t="s">
        <v>272</v>
      </c>
    </row>
    <row r="180" spans="1:2" x14ac:dyDescent="0.3">
      <c r="A180" s="4" t="s">
        <v>273</v>
      </c>
      <c r="B180" s="4" t="s">
        <v>274</v>
      </c>
    </row>
    <row r="181" spans="1:2" x14ac:dyDescent="0.3">
      <c r="A181" s="4" t="s">
        <v>275</v>
      </c>
      <c r="B181" s="4" t="s">
        <v>276</v>
      </c>
    </row>
    <row r="182" spans="1:2" x14ac:dyDescent="0.3">
      <c r="A182" s="4" t="s">
        <v>277</v>
      </c>
      <c r="B182" s="4" t="s">
        <v>278</v>
      </c>
    </row>
    <row r="183" spans="1:2" x14ac:dyDescent="0.3">
      <c r="A183" s="4" t="s">
        <v>279</v>
      </c>
      <c r="B183" s="4" t="s">
        <v>280</v>
      </c>
    </row>
    <row r="184" spans="1:2" x14ac:dyDescent="0.3">
      <c r="A184" s="4" t="s">
        <v>281</v>
      </c>
      <c r="B184" s="4" t="s">
        <v>282</v>
      </c>
    </row>
    <row r="185" spans="1:2" x14ac:dyDescent="0.3">
      <c r="A185" s="4" t="s">
        <v>284</v>
      </c>
      <c r="B185" s="4" t="s">
        <v>285</v>
      </c>
    </row>
    <row r="186" spans="1:2" x14ac:dyDescent="0.3">
      <c r="A186" s="4" t="s">
        <v>286</v>
      </c>
      <c r="B186" s="4" t="s">
        <v>287</v>
      </c>
    </row>
    <row r="187" spans="1:2" x14ac:dyDescent="0.3">
      <c r="A187" s="4" t="s">
        <v>288</v>
      </c>
      <c r="B187" s="4" t="s">
        <v>289</v>
      </c>
    </row>
    <row r="188" spans="1:2" x14ac:dyDescent="0.3">
      <c r="A188" s="4" t="s">
        <v>290</v>
      </c>
      <c r="B188" s="4" t="s">
        <v>291</v>
      </c>
    </row>
    <row r="189" spans="1:2" x14ac:dyDescent="0.3">
      <c r="A189" s="4" t="s">
        <v>292</v>
      </c>
      <c r="B189" s="4" t="s">
        <v>293</v>
      </c>
    </row>
    <row r="190" spans="1:2" x14ac:dyDescent="0.3">
      <c r="A190" s="4" t="s">
        <v>8644</v>
      </c>
      <c r="B190" s="4" t="s">
        <v>8645</v>
      </c>
    </row>
    <row r="191" spans="1:2" x14ac:dyDescent="0.3">
      <c r="A191" s="4" t="s">
        <v>8646</v>
      </c>
      <c r="B191" s="4" t="s">
        <v>8647</v>
      </c>
    </row>
    <row r="192" spans="1:2" x14ac:dyDescent="0.3">
      <c r="A192" s="4" t="s">
        <v>8648</v>
      </c>
      <c r="B192" s="4" t="s">
        <v>8649</v>
      </c>
    </row>
    <row r="193" spans="1:2" x14ac:dyDescent="0.3">
      <c r="A193" s="4" t="s">
        <v>8650</v>
      </c>
      <c r="B193" s="4" t="s">
        <v>8651</v>
      </c>
    </row>
    <row r="194" spans="1:2" x14ac:dyDescent="0.3">
      <c r="A194" s="4" t="s">
        <v>295</v>
      </c>
      <c r="B194" s="4" t="s">
        <v>296</v>
      </c>
    </row>
    <row r="195" spans="1:2" x14ac:dyDescent="0.3">
      <c r="A195" s="4" t="s">
        <v>297</v>
      </c>
      <c r="B195" s="4" t="s">
        <v>298</v>
      </c>
    </row>
    <row r="196" spans="1:2" x14ac:dyDescent="0.3">
      <c r="A196" s="4" t="s">
        <v>299</v>
      </c>
      <c r="B196" s="4" t="s">
        <v>300</v>
      </c>
    </row>
    <row r="197" spans="1:2" x14ac:dyDescent="0.3">
      <c r="A197" s="4" t="s">
        <v>301</v>
      </c>
      <c r="B197" s="4" t="s">
        <v>302</v>
      </c>
    </row>
    <row r="198" spans="1:2" x14ac:dyDescent="0.3">
      <c r="A198" s="4" t="s">
        <v>303</v>
      </c>
      <c r="B198" s="4" t="s">
        <v>304</v>
      </c>
    </row>
    <row r="199" spans="1:2" x14ac:dyDescent="0.3">
      <c r="A199" s="4" t="s">
        <v>305</v>
      </c>
      <c r="B199" s="4" t="s">
        <v>306</v>
      </c>
    </row>
    <row r="200" spans="1:2" x14ac:dyDescent="0.3">
      <c r="A200" s="4" t="s">
        <v>243</v>
      </c>
      <c r="B200" s="4" t="s">
        <v>8652</v>
      </c>
    </row>
    <row r="201" spans="1:2" x14ac:dyDescent="0.3">
      <c r="A201" s="4" t="s">
        <v>242</v>
      </c>
      <c r="B201" s="4" t="s">
        <v>8653</v>
      </c>
    </row>
    <row r="202" spans="1:2" x14ac:dyDescent="0.3">
      <c r="A202" s="4" t="s">
        <v>244</v>
      </c>
      <c r="B202" s="4" t="s">
        <v>8654</v>
      </c>
    </row>
    <row r="203" spans="1:2" x14ac:dyDescent="0.3">
      <c r="A203" s="4" t="s">
        <v>245</v>
      </c>
      <c r="B203" s="4" t="s">
        <v>8655</v>
      </c>
    </row>
    <row r="204" spans="1:2" x14ac:dyDescent="0.3">
      <c r="A204" s="4" t="s">
        <v>307</v>
      </c>
      <c r="B204" s="4" t="s">
        <v>308</v>
      </c>
    </row>
    <row r="205" spans="1:2" x14ac:dyDescent="0.3">
      <c r="A205" s="4" t="s">
        <v>309</v>
      </c>
      <c r="B205" s="4" t="s">
        <v>310</v>
      </c>
    </row>
    <row r="206" spans="1:2" x14ac:dyDescent="0.3">
      <c r="A206" s="4" t="s">
        <v>311</v>
      </c>
      <c r="B206" s="4" t="s">
        <v>312</v>
      </c>
    </row>
    <row r="207" spans="1:2" x14ac:dyDescent="0.3">
      <c r="A207" s="4" t="s">
        <v>313</v>
      </c>
      <c r="B207" s="4" t="s">
        <v>314</v>
      </c>
    </row>
    <row r="208" spans="1:2" x14ac:dyDescent="0.3">
      <c r="A208" s="4" t="s">
        <v>1614</v>
      </c>
      <c r="B208" s="4" t="s">
        <v>8656</v>
      </c>
    </row>
    <row r="209" spans="1:2" x14ac:dyDescent="0.3">
      <c r="A209" s="4" t="s">
        <v>315</v>
      </c>
      <c r="B209" s="4" t="s">
        <v>316</v>
      </c>
    </row>
    <row r="210" spans="1:2" x14ac:dyDescent="0.3">
      <c r="A210" s="4" t="s">
        <v>317</v>
      </c>
      <c r="B210" s="4" t="s">
        <v>318</v>
      </c>
    </row>
    <row r="211" spans="1:2" x14ac:dyDescent="0.3">
      <c r="A211" s="4" t="s">
        <v>319</v>
      </c>
      <c r="B211" s="4" t="s">
        <v>320</v>
      </c>
    </row>
    <row r="212" spans="1:2" x14ac:dyDescent="0.3">
      <c r="A212" s="4" t="s">
        <v>321</v>
      </c>
      <c r="B212" s="4" t="s">
        <v>322</v>
      </c>
    </row>
    <row r="213" spans="1:2" x14ac:dyDescent="0.3">
      <c r="A213" s="4" t="s">
        <v>323</v>
      </c>
      <c r="B213" s="4" t="s">
        <v>324</v>
      </c>
    </row>
    <row r="214" spans="1:2" x14ac:dyDescent="0.3">
      <c r="A214" s="4" t="s">
        <v>2910</v>
      </c>
      <c r="B214" s="4" t="s">
        <v>8657</v>
      </c>
    </row>
    <row r="215" spans="1:2" x14ac:dyDescent="0.3">
      <c r="A215" s="4" t="s">
        <v>4031</v>
      </c>
      <c r="B215" s="4" t="s">
        <v>8658</v>
      </c>
    </row>
    <row r="216" spans="1:2" x14ac:dyDescent="0.3">
      <c r="A216" s="4" t="s">
        <v>325</v>
      </c>
      <c r="B216" s="4" t="s">
        <v>326</v>
      </c>
    </row>
    <row r="217" spans="1:2" x14ac:dyDescent="0.3">
      <c r="A217" s="4" t="s">
        <v>4218</v>
      </c>
      <c r="B217" s="4" t="s">
        <v>8659</v>
      </c>
    </row>
    <row r="218" spans="1:2" x14ac:dyDescent="0.3">
      <c r="A218" s="4" t="s">
        <v>881</v>
      </c>
      <c r="B218" s="4" t="s">
        <v>8660</v>
      </c>
    </row>
    <row r="219" spans="1:2" x14ac:dyDescent="0.3">
      <c r="A219" s="4" t="s">
        <v>329</v>
      </c>
      <c r="B219" s="4" t="s">
        <v>330</v>
      </c>
    </row>
    <row r="220" spans="1:2" x14ac:dyDescent="0.3">
      <c r="A220" s="4" t="s">
        <v>332</v>
      </c>
      <c r="B220" s="4" t="s">
        <v>333</v>
      </c>
    </row>
    <row r="221" spans="1:2" x14ac:dyDescent="0.3">
      <c r="A221" s="4" t="s">
        <v>334</v>
      </c>
      <c r="B221" s="4" t="s">
        <v>335</v>
      </c>
    </row>
    <row r="222" spans="1:2" x14ac:dyDescent="0.3">
      <c r="A222" s="4" t="s">
        <v>336</v>
      </c>
      <c r="B222" s="4" t="s">
        <v>337</v>
      </c>
    </row>
    <row r="223" spans="1:2" x14ac:dyDescent="0.3">
      <c r="A223" s="4" t="s">
        <v>338</v>
      </c>
      <c r="B223" s="4" t="s">
        <v>339</v>
      </c>
    </row>
    <row r="224" spans="1:2" x14ac:dyDescent="0.3">
      <c r="A224" s="4" t="s">
        <v>340</v>
      </c>
      <c r="B224" s="4" t="s">
        <v>341</v>
      </c>
    </row>
    <row r="225" spans="1:2" x14ac:dyDescent="0.3">
      <c r="A225" s="4" t="s">
        <v>342</v>
      </c>
      <c r="B225" s="4" t="s">
        <v>343</v>
      </c>
    </row>
    <row r="226" spans="1:2" x14ac:dyDescent="0.3">
      <c r="A226" s="4" t="s">
        <v>344</v>
      </c>
      <c r="B226" s="4" t="s">
        <v>345</v>
      </c>
    </row>
    <row r="227" spans="1:2" x14ac:dyDescent="0.3">
      <c r="A227" s="4" t="s">
        <v>346</v>
      </c>
      <c r="B227" s="4" t="s">
        <v>347</v>
      </c>
    </row>
    <row r="228" spans="1:2" x14ac:dyDescent="0.3">
      <c r="A228" s="4" t="s">
        <v>8661</v>
      </c>
      <c r="B228" s="4" t="s">
        <v>8662</v>
      </c>
    </row>
    <row r="229" spans="1:2" x14ac:dyDescent="0.3">
      <c r="A229" s="4" t="s">
        <v>1303</v>
      </c>
      <c r="B229" s="4" t="s">
        <v>8663</v>
      </c>
    </row>
    <row r="230" spans="1:2" x14ac:dyDescent="0.3">
      <c r="A230" s="4" t="s">
        <v>349</v>
      </c>
      <c r="B230" s="4" t="s">
        <v>350</v>
      </c>
    </row>
    <row r="231" spans="1:2" x14ac:dyDescent="0.3">
      <c r="A231" s="4" t="s">
        <v>351</v>
      </c>
      <c r="B231" s="4" t="s">
        <v>352</v>
      </c>
    </row>
    <row r="232" spans="1:2" x14ac:dyDescent="0.3">
      <c r="A232" s="4" t="s">
        <v>354</v>
      </c>
      <c r="B232" s="4" t="s">
        <v>355</v>
      </c>
    </row>
    <row r="233" spans="1:2" x14ac:dyDescent="0.3">
      <c r="A233" s="4" t="s">
        <v>353</v>
      </c>
      <c r="B233" s="4" t="s">
        <v>8664</v>
      </c>
    </row>
    <row r="234" spans="1:2" x14ac:dyDescent="0.3">
      <c r="A234" s="4" t="s">
        <v>358</v>
      </c>
      <c r="B234" s="4" t="s">
        <v>8665</v>
      </c>
    </row>
    <row r="235" spans="1:2" x14ac:dyDescent="0.3">
      <c r="A235" s="4" t="s">
        <v>356</v>
      </c>
      <c r="B235" s="4" t="s">
        <v>357</v>
      </c>
    </row>
    <row r="236" spans="1:2" x14ac:dyDescent="0.3">
      <c r="A236" s="4" t="s">
        <v>360</v>
      </c>
      <c r="B236" s="4" t="s">
        <v>361</v>
      </c>
    </row>
    <row r="237" spans="1:2" x14ac:dyDescent="0.3">
      <c r="A237" s="4" t="s">
        <v>362</v>
      </c>
      <c r="B237" s="4" t="s">
        <v>363</v>
      </c>
    </row>
    <row r="238" spans="1:2" x14ac:dyDescent="0.3">
      <c r="A238" s="4" t="s">
        <v>364</v>
      </c>
      <c r="B238" s="4" t="s">
        <v>365</v>
      </c>
    </row>
    <row r="239" spans="1:2" x14ac:dyDescent="0.3">
      <c r="A239" s="4" t="s">
        <v>366</v>
      </c>
      <c r="B239" s="4" t="s">
        <v>367</v>
      </c>
    </row>
    <row r="240" spans="1:2" x14ac:dyDescent="0.3">
      <c r="A240" s="4" t="s">
        <v>368</v>
      </c>
      <c r="B240" s="4" t="s">
        <v>369</v>
      </c>
    </row>
    <row r="241" spans="1:2" x14ac:dyDescent="0.3">
      <c r="A241" s="4" t="s">
        <v>370</v>
      </c>
      <c r="B241" s="4" t="s">
        <v>371</v>
      </c>
    </row>
    <row r="242" spans="1:2" x14ac:dyDescent="0.3">
      <c r="A242" s="4" t="s">
        <v>372</v>
      </c>
      <c r="B242" s="4" t="s">
        <v>373</v>
      </c>
    </row>
    <row r="243" spans="1:2" x14ac:dyDescent="0.3">
      <c r="A243" s="4" t="s">
        <v>374</v>
      </c>
      <c r="B243" s="4" t="s">
        <v>375</v>
      </c>
    </row>
    <row r="244" spans="1:2" x14ac:dyDescent="0.3">
      <c r="A244" s="4" t="s">
        <v>376</v>
      </c>
      <c r="B244" s="4" t="s">
        <v>377</v>
      </c>
    </row>
    <row r="245" spans="1:2" x14ac:dyDescent="0.3">
      <c r="A245" s="4" t="s">
        <v>378</v>
      </c>
      <c r="B245" s="4" t="s">
        <v>379</v>
      </c>
    </row>
    <row r="246" spans="1:2" x14ac:dyDescent="0.3">
      <c r="A246" s="4" t="s">
        <v>380</v>
      </c>
      <c r="B246" s="4" t="s">
        <v>381</v>
      </c>
    </row>
    <row r="247" spans="1:2" x14ac:dyDescent="0.3">
      <c r="A247" s="4" t="s">
        <v>382</v>
      </c>
      <c r="B247" s="4" t="s">
        <v>383</v>
      </c>
    </row>
    <row r="248" spans="1:2" x14ac:dyDescent="0.3">
      <c r="A248" s="4" t="s">
        <v>384</v>
      </c>
      <c r="B248" s="4" t="s">
        <v>385</v>
      </c>
    </row>
    <row r="249" spans="1:2" x14ac:dyDescent="0.3">
      <c r="A249" s="4" t="s">
        <v>386</v>
      </c>
      <c r="B249" s="4" t="s">
        <v>387</v>
      </c>
    </row>
    <row r="250" spans="1:2" x14ac:dyDescent="0.3">
      <c r="A250" s="4" t="s">
        <v>388</v>
      </c>
      <c r="B250" s="4" t="s">
        <v>389</v>
      </c>
    </row>
    <row r="251" spans="1:2" x14ac:dyDescent="0.3">
      <c r="A251" s="4" t="s">
        <v>390</v>
      </c>
      <c r="B251" s="4" t="s">
        <v>391</v>
      </c>
    </row>
    <row r="252" spans="1:2" x14ac:dyDescent="0.3">
      <c r="A252" s="4" t="s">
        <v>392</v>
      </c>
      <c r="B252" s="4" t="s">
        <v>393</v>
      </c>
    </row>
    <row r="253" spans="1:2" x14ac:dyDescent="0.3">
      <c r="A253" s="4" t="s">
        <v>394</v>
      </c>
      <c r="B253" s="4" t="s">
        <v>395</v>
      </c>
    </row>
    <row r="254" spans="1:2" x14ac:dyDescent="0.3">
      <c r="A254" s="4" t="s">
        <v>396</v>
      </c>
      <c r="B254" s="4" t="s">
        <v>397</v>
      </c>
    </row>
    <row r="255" spans="1:2" x14ac:dyDescent="0.3">
      <c r="A255" s="4" t="s">
        <v>398</v>
      </c>
      <c r="B255" s="4" t="s">
        <v>399</v>
      </c>
    </row>
    <row r="256" spans="1:2" x14ac:dyDescent="0.3">
      <c r="A256" s="4" t="s">
        <v>8666</v>
      </c>
      <c r="B256" s="4" t="s">
        <v>8667</v>
      </c>
    </row>
    <row r="257" spans="1:2" x14ac:dyDescent="0.3">
      <c r="A257" s="4" t="s">
        <v>400</v>
      </c>
      <c r="B257" s="4" t="s">
        <v>401</v>
      </c>
    </row>
    <row r="258" spans="1:2" x14ac:dyDescent="0.3">
      <c r="A258" s="4" t="s">
        <v>797</v>
      </c>
      <c r="B258" s="4" t="s">
        <v>8668</v>
      </c>
    </row>
    <row r="259" spans="1:2" x14ac:dyDescent="0.3">
      <c r="A259" s="4" t="s">
        <v>402</v>
      </c>
      <c r="B259" s="4" t="s">
        <v>403</v>
      </c>
    </row>
    <row r="260" spans="1:2" x14ac:dyDescent="0.3">
      <c r="A260" s="4" t="s">
        <v>404</v>
      </c>
      <c r="B260" s="4" t="s">
        <v>405</v>
      </c>
    </row>
    <row r="261" spans="1:2" x14ac:dyDescent="0.3">
      <c r="A261" s="4" t="s">
        <v>406</v>
      </c>
      <c r="B261" s="4" t="s">
        <v>407</v>
      </c>
    </row>
    <row r="262" spans="1:2" x14ac:dyDescent="0.3">
      <c r="A262" s="4" t="s">
        <v>408</v>
      </c>
      <c r="B262" s="4" t="s">
        <v>409</v>
      </c>
    </row>
    <row r="263" spans="1:2" x14ac:dyDescent="0.3">
      <c r="A263" s="4" t="s">
        <v>410</v>
      </c>
      <c r="B263" s="4" t="s">
        <v>411</v>
      </c>
    </row>
    <row r="264" spans="1:2" x14ac:dyDescent="0.3">
      <c r="A264" s="4" t="s">
        <v>8669</v>
      </c>
      <c r="B264" s="4" t="s">
        <v>8670</v>
      </c>
    </row>
    <row r="265" spans="1:2" x14ac:dyDescent="0.3">
      <c r="A265" s="4" t="s">
        <v>412</v>
      </c>
      <c r="B265" s="4" t="s">
        <v>413</v>
      </c>
    </row>
    <row r="266" spans="1:2" x14ac:dyDescent="0.3">
      <c r="A266" s="4" t="s">
        <v>414</v>
      </c>
      <c r="B266" s="4" t="s">
        <v>415</v>
      </c>
    </row>
    <row r="267" spans="1:2" x14ac:dyDescent="0.3">
      <c r="A267" s="4" t="s">
        <v>416</v>
      </c>
      <c r="B267" s="4" t="s">
        <v>417</v>
      </c>
    </row>
    <row r="268" spans="1:2" x14ac:dyDescent="0.3">
      <c r="A268" s="4" t="s">
        <v>418</v>
      </c>
      <c r="B268" s="4" t="s">
        <v>419</v>
      </c>
    </row>
    <row r="269" spans="1:2" x14ac:dyDescent="0.3">
      <c r="A269" s="4" t="s">
        <v>1265</v>
      </c>
      <c r="B269" s="4" t="s">
        <v>8671</v>
      </c>
    </row>
    <row r="270" spans="1:2" x14ac:dyDescent="0.3">
      <c r="A270" s="4" t="s">
        <v>420</v>
      </c>
      <c r="B270" s="4" t="s">
        <v>421</v>
      </c>
    </row>
    <row r="271" spans="1:2" x14ac:dyDescent="0.3">
      <c r="A271" s="4" t="s">
        <v>422</v>
      </c>
      <c r="B271" s="4" t="s">
        <v>423</v>
      </c>
    </row>
    <row r="272" spans="1:2" x14ac:dyDescent="0.3">
      <c r="A272" s="4" t="s">
        <v>424</v>
      </c>
      <c r="B272" s="4" t="s">
        <v>425</v>
      </c>
    </row>
    <row r="273" spans="1:2" x14ac:dyDescent="0.3">
      <c r="A273" s="4" t="s">
        <v>8672</v>
      </c>
      <c r="B273" s="4" t="s">
        <v>4402</v>
      </c>
    </row>
    <row r="274" spans="1:2" x14ac:dyDescent="0.3">
      <c r="A274" s="4" t="s">
        <v>428</v>
      </c>
      <c r="B274" s="4" t="s">
        <v>429</v>
      </c>
    </row>
    <row r="275" spans="1:2" x14ac:dyDescent="0.3">
      <c r="A275" s="4" t="s">
        <v>430</v>
      </c>
      <c r="B275" s="4" t="s">
        <v>431</v>
      </c>
    </row>
    <row r="276" spans="1:2" x14ac:dyDescent="0.3">
      <c r="A276" s="4" t="s">
        <v>432</v>
      </c>
      <c r="B276" s="4" t="s">
        <v>433</v>
      </c>
    </row>
    <row r="277" spans="1:2" x14ac:dyDescent="0.3">
      <c r="A277" s="4" t="s">
        <v>3126</v>
      </c>
      <c r="B277" s="4" t="s">
        <v>8673</v>
      </c>
    </row>
    <row r="278" spans="1:2" x14ac:dyDescent="0.3">
      <c r="A278" s="4" t="s">
        <v>434</v>
      </c>
      <c r="B278" s="4" t="s">
        <v>435</v>
      </c>
    </row>
    <row r="279" spans="1:2" x14ac:dyDescent="0.3">
      <c r="A279" s="4" t="s">
        <v>436</v>
      </c>
      <c r="B279" s="4" t="s">
        <v>437</v>
      </c>
    </row>
    <row r="280" spans="1:2" x14ac:dyDescent="0.3">
      <c r="A280" s="4" t="s">
        <v>438</v>
      </c>
      <c r="B280" s="4" t="s">
        <v>439</v>
      </c>
    </row>
    <row r="281" spans="1:2" x14ac:dyDescent="0.3">
      <c r="A281" s="4" t="s">
        <v>440</v>
      </c>
      <c r="B281" s="4" t="s">
        <v>441</v>
      </c>
    </row>
    <row r="282" spans="1:2" x14ac:dyDescent="0.3">
      <c r="A282" s="4" t="s">
        <v>442</v>
      </c>
      <c r="B282" s="4" t="s">
        <v>443</v>
      </c>
    </row>
    <row r="283" spans="1:2" x14ac:dyDescent="0.3">
      <c r="A283" s="4" t="s">
        <v>4168</v>
      </c>
      <c r="B283" s="4" t="s">
        <v>8674</v>
      </c>
    </row>
    <row r="284" spans="1:2" x14ac:dyDescent="0.3">
      <c r="A284" s="4" t="s">
        <v>444</v>
      </c>
      <c r="B284" s="4" t="s">
        <v>445</v>
      </c>
    </row>
    <row r="285" spans="1:2" x14ac:dyDescent="0.3">
      <c r="A285" s="4" t="s">
        <v>446</v>
      </c>
      <c r="B285" s="4" t="s">
        <v>447</v>
      </c>
    </row>
    <row r="286" spans="1:2" x14ac:dyDescent="0.3">
      <c r="A286" s="4" t="s">
        <v>2827</v>
      </c>
      <c r="B286" s="4" t="s">
        <v>8675</v>
      </c>
    </row>
    <row r="287" spans="1:2" x14ac:dyDescent="0.3">
      <c r="A287" s="4" t="s">
        <v>448</v>
      </c>
      <c r="B287" s="4" t="s">
        <v>449</v>
      </c>
    </row>
    <row r="288" spans="1:2" x14ac:dyDescent="0.3">
      <c r="A288" s="4" t="s">
        <v>450</v>
      </c>
      <c r="B288" s="4" t="s">
        <v>451</v>
      </c>
    </row>
    <row r="289" spans="1:2" x14ac:dyDescent="0.3">
      <c r="A289" s="4" t="s">
        <v>452</v>
      </c>
      <c r="B289" s="4" t="s">
        <v>453</v>
      </c>
    </row>
    <row r="290" spans="1:2" x14ac:dyDescent="0.3">
      <c r="A290" s="4" t="s">
        <v>454</v>
      </c>
      <c r="B290" s="4" t="s">
        <v>455</v>
      </c>
    </row>
    <row r="291" spans="1:2" x14ac:dyDescent="0.3">
      <c r="A291" s="4" t="s">
        <v>456</v>
      </c>
      <c r="B291" s="4" t="s">
        <v>457</v>
      </c>
    </row>
    <row r="292" spans="1:2" x14ac:dyDescent="0.3">
      <c r="A292" s="4" t="s">
        <v>458</v>
      </c>
      <c r="B292" s="4" t="s">
        <v>459</v>
      </c>
    </row>
    <row r="293" spans="1:2" x14ac:dyDescent="0.3">
      <c r="A293" s="4" t="s">
        <v>460</v>
      </c>
      <c r="B293" s="4" t="s">
        <v>461</v>
      </c>
    </row>
    <row r="294" spans="1:2" x14ac:dyDescent="0.3">
      <c r="A294" s="4" t="s">
        <v>463</v>
      </c>
      <c r="B294" s="4" t="s">
        <v>464</v>
      </c>
    </row>
    <row r="295" spans="1:2" x14ac:dyDescent="0.3">
      <c r="A295" s="4" t="s">
        <v>465</v>
      </c>
      <c r="B295" s="4" t="s">
        <v>466</v>
      </c>
    </row>
    <row r="296" spans="1:2" x14ac:dyDescent="0.3">
      <c r="A296" s="4" t="s">
        <v>467</v>
      </c>
      <c r="B296" s="4" t="s">
        <v>468</v>
      </c>
    </row>
    <row r="297" spans="1:2" x14ac:dyDescent="0.3">
      <c r="A297" s="4" t="s">
        <v>469</v>
      </c>
      <c r="B297" s="4" t="s">
        <v>470</v>
      </c>
    </row>
    <row r="298" spans="1:2" x14ac:dyDescent="0.3">
      <c r="A298" s="4" t="s">
        <v>471</v>
      </c>
      <c r="B298" s="4" t="s">
        <v>8676</v>
      </c>
    </row>
    <row r="299" spans="1:2" x14ac:dyDescent="0.3">
      <c r="A299" s="4" t="s">
        <v>472</v>
      </c>
      <c r="B299" s="4" t="s">
        <v>473</v>
      </c>
    </row>
    <row r="300" spans="1:2" x14ac:dyDescent="0.3">
      <c r="A300" s="4" t="s">
        <v>474</v>
      </c>
      <c r="B300" s="4" t="s">
        <v>475</v>
      </c>
    </row>
    <row r="301" spans="1:2" x14ac:dyDescent="0.3">
      <c r="A301" s="4" t="s">
        <v>476</v>
      </c>
      <c r="B301" s="4" t="s">
        <v>477</v>
      </c>
    </row>
    <row r="302" spans="1:2" x14ac:dyDescent="0.3">
      <c r="A302" s="4" t="s">
        <v>478</v>
      </c>
      <c r="B302" s="4" t="s">
        <v>479</v>
      </c>
    </row>
    <row r="303" spans="1:2" x14ac:dyDescent="0.3">
      <c r="A303" s="4" t="s">
        <v>480</v>
      </c>
      <c r="B303" s="4" t="s">
        <v>481</v>
      </c>
    </row>
    <row r="304" spans="1:2" x14ac:dyDescent="0.3">
      <c r="A304" s="4" t="s">
        <v>482</v>
      </c>
      <c r="B304" s="4" t="s">
        <v>483</v>
      </c>
    </row>
    <row r="305" spans="1:2" x14ac:dyDescent="0.3">
      <c r="A305" s="4" t="s">
        <v>484</v>
      </c>
      <c r="B305" s="4" t="s">
        <v>485</v>
      </c>
    </row>
    <row r="306" spans="1:2" x14ac:dyDescent="0.3">
      <c r="A306" s="4" t="s">
        <v>486</v>
      </c>
      <c r="B306" s="4" t="s">
        <v>487</v>
      </c>
    </row>
    <row r="307" spans="1:2" x14ac:dyDescent="0.3">
      <c r="A307" s="4" t="s">
        <v>488</v>
      </c>
      <c r="B307" s="4" t="s">
        <v>8677</v>
      </c>
    </row>
    <row r="308" spans="1:2" x14ac:dyDescent="0.3">
      <c r="A308" s="4" t="s">
        <v>489</v>
      </c>
      <c r="B308" s="4" t="s">
        <v>490</v>
      </c>
    </row>
    <row r="309" spans="1:2" x14ac:dyDescent="0.3">
      <c r="A309" s="4" t="s">
        <v>491</v>
      </c>
      <c r="B309" s="4" t="s">
        <v>492</v>
      </c>
    </row>
    <row r="310" spans="1:2" x14ac:dyDescent="0.3">
      <c r="A310" s="4" t="s">
        <v>493</v>
      </c>
      <c r="B310" s="4" t="s">
        <v>494</v>
      </c>
    </row>
    <row r="311" spans="1:2" x14ac:dyDescent="0.3">
      <c r="A311" s="4" t="s">
        <v>495</v>
      </c>
      <c r="B311" s="4" t="s">
        <v>496</v>
      </c>
    </row>
    <row r="312" spans="1:2" x14ac:dyDescent="0.3">
      <c r="A312" s="4" t="s">
        <v>12247</v>
      </c>
      <c r="B312" s="4" t="s">
        <v>9381</v>
      </c>
    </row>
    <row r="313" spans="1:2" x14ac:dyDescent="0.3">
      <c r="A313" s="4" t="s">
        <v>497</v>
      </c>
      <c r="B313" s="4" t="s">
        <v>498</v>
      </c>
    </row>
    <row r="314" spans="1:2" x14ac:dyDescent="0.3">
      <c r="A314" s="4" t="s">
        <v>500</v>
      </c>
      <c r="B314" s="4" t="s">
        <v>501</v>
      </c>
    </row>
    <row r="315" spans="1:2" x14ac:dyDescent="0.3">
      <c r="A315" s="4" t="s">
        <v>503</v>
      </c>
      <c r="B315" s="4" t="s">
        <v>504</v>
      </c>
    </row>
    <row r="316" spans="1:2" x14ac:dyDescent="0.3">
      <c r="A316" s="4" t="s">
        <v>8678</v>
      </c>
      <c r="B316" s="4" t="s">
        <v>4494</v>
      </c>
    </row>
    <row r="317" spans="1:2" x14ac:dyDescent="0.3">
      <c r="A317" s="4" t="s">
        <v>505</v>
      </c>
      <c r="B317" s="4" t="s">
        <v>506</v>
      </c>
    </row>
    <row r="318" spans="1:2" x14ac:dyDescent="0.3">
      <c r="A318" s="4" t="s">
        <v>507</v>
      </c>
      <c r="B318" s="4" t="s">
        <v>508</v>
      </c>
    </row>
    <row r="319" spans="1:2" x14ac:dyDescent="0.3">
      <c r="A319" s="4" t="s">
        <v>12248</v>
      </c>
      <c r="B319" s="4" t="s">
        <v>9383</v>
      </c>
    </row>
    <row r="320" spans="1:2" x14ac:dyDescent="0.3">
      <c r="A320" s="4" t="s">
        <v>509</v>
      </c>
      <c r="B320" s="4" t="s">
        <v>510</v>
      </c>
    </row>
    <row r="321" spans="1:2" x14ac:dyDescent="0.3">
      <c r="A321" s="4" t="s">
        <v>511</v>
      </c>
      <c r="B321" s="4" t="s">
        <v>512</v>
      </c>
    </row>
    <row r="322" spans="1:2" x14ac:dyDescent="0.3">
      <c r="A322" s="4" t="s">
        <v>513</v>
      </c>
      <c r="B322" s="4" t="s">
        <v>514</v>
      </c>
    </row>
    <row r="323" spans="1:2" x14ac:dyDescent="0.3">
      <c r="A323" s="4" t="s">
        <v>8679</v>
      </c>
      <c r="B323" s="4" t="s">
        <v>4502</v>
      </c>
    </row>
    <row r="324" spans="1:2" x14ac:dyDescent="0.3">
      <c r="A324" s="4" t="s">
        <v>515</v>
      </c>
      <c r="B324" s="4" t="s">
        <v>516</v>
      </c>
    </row>
    <row r="325" spans="1:2" x14ac:dyDescent="0.3">
      <c r="A325" s="4" t="s">
        <v>517</v>
      </c>
      <c r="B325" s="4" t="s">
        <v>518</v>
      </c>
    </row>
    <row r="326" spans="1:2" x14ac:dyDescent="0.3">
      <c r="A326" s="4" t="s">
        <v>519</v>
      </c>
      <c r="B326" s="4" t="s">
        <v>520</v>
      </c>
    </row>
    <row r="327" spans="1:2" x14ac:dyDescent="0.3">
      <c r="A327" s="4" t="s">
        <v>8680</v>
      </c>
      <c r="B327" s="4" t="s">
        <v>8681</v>
      </c>
    </row>
    <row r="328" spans="1:2" x14ac:dyDescent="0.3">
      <c r="A328" s="4" t="s">
        <v>521</v>
      </c>
      <c r="B328" s="4" t="s">
        <v>522</v>
      </c>
    </row>
    <row r="329" spans="1:2" x14ac:dyDescent="0.3">
      <c r="A329" s="4" t="s">
        <v>523</v>
      </c>
      <c r="B329" s="4" t="s">
        <v>524</v>
      </c>
    </row>
    <row r="330" spans="1:2" x14ac:dyDescent="0.3">
      <c r="A330" s="4" t="s">
        <v>525</v>
      </c>
      <c r="B330" s="4" t="s">
        <v>526</v>
      </c>
    </row>
    <row r="331" spans="1:2" x14ac:dyDescent="0.3">
      <c r="A331" s="4" t="s">
        <v>4164</v>
      </c>
      <c r="B331" s="4" t="s">
        <v>4518</v>
      </c>
    </row>
    <row r="332" spans="1:2" x14ac:dyDescent="0.3">
      <c r="A332" s="4" t="s">
        <v>528</v>
      </c>
      <c r="B332" s="4" t="s">
        <v>529</v>
      </c>
    </row>
    <row r="333" spans="1:2" x14ac:dyDescent="0.3">
      <c r="A333" s="4" t="s">
        <v>530</v>
      </c>
      <c r="B333" s="4" t="s">
        <v>531</v>
      </c>
    </row>
    <row r="334" spans="1:2" x14ac:dyDescent="0.3">
      <c r="A334" s="4" t="s">
        <v>532</v>
      </c>
      <c r="B334" s="4" t="s">
        <v>533</v>
      </c>
    </row>
    <row r="335" spans="1:2" x14ac:dyDescent="0.3">
      <c r="A335" s="4" t="s">
        <v>534</v>
      </c>
      <c r="B335" s="4" t="s">
        <v>535</v>
      </c>
    </row>
    <row r="336" spans="1:2" x14ac:dyDescent="0.3">
      <c r="A336" s="4" t="s">
        <v>537</v>
      </c>
      <c r="B336" s="4" t="s">
        <v>538</v>
      </c>
    </row>
    <row r="337" spans="1:2" x14ac:dyDescent="0.3">
      <c r="A337" s="4" t="s">
        <v>539</v>
      </c>
      <c r="B337" s="4" t="s">
        <v>540</v>
      </c>
    </row>
    <row r="338" spans="1:2" x14ac:dyDescent="0.3">
      <c r="A338" s="4" t="s">
        <v>541</v>
      </c>
      <c r="B338" s="4" t="s">
        <v>542</v>
      </c>
    </row>
    <row r="339" spans="1:2" x14ac:dyDescent="0.3">
      <c r="A339" s="4" t="s">
        <v>543</v>
      </c>
      <c r="B339" s="4" t="s">
        <v>544</v>
      </c>
    </row>
    <row r="340" spans="1:2" x14ac:dyDescent="0.3">
      <c r="A340" s="4" t="s">
        <v>3206</v>
      </c>
      <c r="B340" s="4" t="s">
        <v>8682</v>
      </c>
    </row>
    <row r="341" spans="1:2" x14ac:dyDescent="0.3">
      <c r="A341" s="4" t="s">
        <v>545</v>
      </c>
      <c r="B341" s="4" t="s">
        <v>546</v>
      </c>
    </row>
    <row r="342" spans="1:2" x14ac:dyDescent="0.3">
      <c r="A342" s="4" t="s">
        <v>547</v>
      </c>
      <c r="B342" s="4" t="s">
        <v>548</v>
      </c>
    </row>
    <row r="343" spans="1:2" x14ac:dyDescent="0.3">
      <c r="A343" s="4" t="s">
        <v>549</v>
      </c>
      <c r="B343" s="4" t="s">
        <v>550</v>
      </c>
    </row>
    <row r="344" spans="1:2" x14ac:dyDescent="0.3">
      <c r="A344" s="4" t="s">
        <v>551</v>
      </c>
      <c r="B344" s="4" t="s">
        <v>552</v>
      </c>
    </row>
    <row r="345" spans="1:2" x14ac:dyDescent="0.3">
      <c r="A345" s="4" t="s">
        <v>8683</v>
      </c>
      <c r="B345" s="4" t="s">
        <v>8684</v>
      </c>
    </row>
    <row r="346" spans="1:2" x14ac:dyDescent="0.3">
      <c r="A346" s="4" t="s">
        <v>553</v>
      </c>
      <c r="B346" s="4" t="s">
        <v>554</v>
      </c>
    </row>
    <row r="347" spans="1:2" x14ac:dyDescent="0.3">
      <c r="A347" s="4" t="s">
        <v>555</v>
      </c>
      <c r="B347" s="4" t="s">
        <v>556</v>
      </c>
    </row>
    <row r="348" spans="1:2" x14ac:dyDescent="0.3">
      <c r="A348" s="4" t="s">
        <v>557</v>
      </c>
      <c r="B348" s="4" t="s">
        <v>558</v>
      </c>
    </row>
    <row r="349" spans="1:2" x14ac:dyDescent="0.3">
      <c r="A349" s="4" t="s">
        <v>559</v>
      </c>
      <c r="B349" s="4" t="s">
        <v>560</v>
      </c>
    </row>
    <row r="350" spans="1:2" x14ac:dyDescent="0.3">
      <c r="A350" s="4" t="s">
        <v>4149</v>
      </c>
      <c r="B350" s="4" t="s">
        <v>4543</v>
      </c>
    </row>
    <row r="351" spans="1:2" x14ac:dyDescent="0.3">
      <c r="A351" s="4" t="s">
        <v>561</v>
      </c>
      <c r="B351" s="4" t="s">
        <v>562</v>
      </c>
    </row>
    <row r="352" spans="1:2" x14ac:dyDescent="0.3">
      <c r="A352" s="4" t="s">
        <v>563</v>
      </c>
      <c r="B352" s="4" t="s">
        <v>564</v>
      </c>
    </row>
    <row r="353" spans="1:2" x14ac:dyDescent="0.3">
      <c r="A353" s="4" t="s">
        <v>566</v>
      </c>
      <c r="B353" s="4" t="s">
        <v>567</v>
      </c>
    </row>
    <row r="354" spans="1:2" x14ac:dyDescent="0.3">
      <c r="A354" s="4" t="s">
        <v>8685</v>
      </c>
      <c r="B354" s="4" t="s">
        <v>8686</v>
      </c>
    </row>
    <row r="355" spans="1:2" x14ac:dyDescent="0.3">
      <c r="A355" s="4" t="s">
        <v>568</v>
      </c>
      <c r="B355" s="4" t="s">
        <v>569</v>
      </c>
    </row>
    <row r="356" spans="1:2" x14ac:dyDescent="0.3">
      <c r="A356" s="4" t="s">
        <v>570</v>
      </c>
      <c r="B356" s="4" t="s">
        <v>571</v>
      </c>
    </row>
    <row r="357" spans="1:2" x14ac:dyDescent="0.3">
      <c r="A357" s="4" t="s">
        <v>572</v>
      </c>
      <c r="B357" s="4" t="s">
        <v>8687</v>
      </c>
    </row>
    <row r="358" spans="1:2" x14ac:dyDescent="0.3">
      <c r="A358" s="4" t="s">
        <v>575</v>
      </c>
      <c r="B358" s="4" t="s">
        <v>576</v>
      </c>
    </row>
    <row r="359" spans="1:2" x14ac:dyDescent="0.3">
      <c r="A359" s="4" t="s">
        <v>12249</v>
      </c>
      <c r="B359" s="4" t="s">
        <v>9445</v>
      </c>
    </row>
    <row r="360" spans="1:2" x14ac:dyDescent="0.3">
      <c r="A360" s="4" t="s">
        <v>8688</v>
      </c>
      <c r="B360" s="4" t="s">
        <v>4567</v>
      </c>
    </row>
    <row r="361" spans="1:2" x14ac:dyDescent="0.3">
      <c r="A361" s="4" t="s">
        <v>579</v>
      </c>
      <c r="B361" s="4" t="s">
        <v>8689</v>
      </c>
    </row>
    <row r="362" spans="1:2" x14ac:dyDescent="0.3">
      <c r="A362" s="4" t="s">
        <v>577</v>
      </c>
      <c r="B362" s="4" t="s">
        <v>578</v>
      </c>
    </row>
    <row r="363" spans="1:2" x14ac:dyDescent="0.3">
      <c r="A363" s="4" t="s">
        <v>580</v>
      </c>
      <c r="B363" s="4" t="s">
        <v>581</v>
      </c>
    </row>
    <row r="364" spans="1:2" x14ac:dyDescent="0.3">
      <c r="A364" s="4" t="s">
        <v>582</v>
      </c>
      <c r="B364" s="4" t="s">
        <v>583</v>
      </c>
    </row>
    <row r="365" spans="1:2" x14ac:dyDescent="0.3">
      <c r="A365" s="4" t="s">
        <v>584</v>
      </c>
      <c r="B365" s="4" t="s">
        <v>585</v>
      </c>
    </row>
    <row r="366" spans="1:2" x14ac:dyDescent="0.3">
      <c r="A366" s="4" t="s">
        <v>586</v>
      </c>
      <c r="B366" s="4" t="s">
        <v>587</v>
      </c>
    </row>
    <row r="367" spans="1:2" x14ac:dyDescent="0.3">
      <c r="A367" s="4" t="s">
        <v>588</v>
      </c>
      <c r="B367" s="4" t="s">
        <v>589</v>
      </c>
    </row>
    <row r="368" spans="1:2" x14ac:dyDescent="0.3">
      <c r="A368" s="4" t="s">
        <v>590</v>
      </c>
      <c r="B368" s="4" t="s">
        <v>591</v>
      </c>
    </row>
    <row r="369" spans="1:2" x14ac:dyDescent="0.3">
      <c r="A369" s="4" t="s">
        <v>592</v>
      </c>
      <c r="B369" s="4" t="s">
        <v>593</v>
      </c>
    </row>
    <row r="370" spans="1:2" x14ac:dyDescent="0.3">
      <c r="A370" s="4" t="s">
        <v>594</v>
      </c>
      <c r="B370" s="4" t="s">
        <v>595</v>
      </c>
    </row>
    <row r="371" spans="1:2" x14ac:dyDescent="0.3">
      <c r="A371" s="4" t="s">
        <v>1002</v>
      </c>
      <c r="B371" s="4" t="s">
        <v>8690</v>
      </c>
    </row>
    <row r="372" spans="1:2" x14ac:dyDescent="0.3">
      <c r="A372" s="4" t="s">
        <v>8691</v>
      </c>
      <c r="B372" s="4" t="s">
        <v>8692</v>
      </c>
    </row>
    <row r="373" spans="1:2" x14ac:dyDescent="0.3">
      <c r="A373" s="4" t="s">
        <v>596</v>
      </c>
      <c r="B373" s="4" t="s">
        <v>597</v>
      </c>
    </row>
    <row r="374" spans="1:2" x14ac:dyDescent="0.3">
      <c r="A374" s="4" t="s">
        <v>598</v>
      </c>
      <c r="B374" s="4" t="s">
        <v>599</v>
      </c>
    </row>
    <row r="375" spans="1:2" x14ac:dyDescent="0.3">
      <c r="A375" s="4" t="s">
        <v>601</v>
      </c>
      <c r="B375" s="4" t="s">
        <v>602</v>
      </c>
    </row>
    <row r="376" spans="1:2" x14ac:dyDescent="0.3">
      <c r="A376" s="4" t="s">
        <v>603</v>
      </c>
      <c r="B376" s="4" t="s">
        <v>604</v>
      </c>
    </row>
    <row r="377" spans="1:2" x14ac:dyDescent="0.3">
      <c r="A377" s="4" t="s">
        <v>605</v>
      </c>
      <c r="B377" s="4" t="s">
        <v>606</v>
      </c>
    </row>
    <row r="378" spans="1:2" x14ac:dyDescent="0.3">
      <c r="A378" s="4" t="s">
        <v>607</v>
      </c>
      <c r="B378" s="4" t="s">
        <v>608</v>
      </c>
    </row>
    <row r="379" spans="1:2" x14ac:dyDescent="0.3">
      <c r="A379" s="4" t="s">
        <v>609</v>
      </c>
      <c r="B379" s="4" t="s">
        <v>610</v>
      </c>
    </row>
    <row r="380" spans="1:2" x14ac:dyDescent="0.3">
      <c r="A380" s="4" t="s">
        <v>611</v>
      </c>
      <c r="B380" s="4" t="s">
        <v>612</v>
      </c>
    </row>
    <row r="381" spans="1:2" x14ac:dyDescent="0.3">
      <c r="A381" s="4" t="s">
        <v>613</v>
      </c>
      <c r="B381" s="4" t="s">
        <v>614</v>
      </c>
    </row>
    <row r="382" spans="1:2" x14ac:dyDescent="0.3">
      <c r="A382" s="4" t="s">
        <v>616</v>
      </c>
      <c r="B382" s="4" t="s">
        <v>617</v>
      </c>
    </row>
    <row r="383" spans="1:2" x14ac:dyDescent="0.3">
      <c r="A383" s="4" t="s">
        <v>615</v>
      </c>
      <c r="B383" s="4" t="s">
        <v>8693</v>
      </c>
    </row>
    <row r="384" spans="1:2" x14ac:dyDescent="0.3">
      <c r="A384" s="4" t="s">
        <v>4169</v>
      </c>
      <c r="B384" s="4" t="s">
        <v>9150</v>
      </c>
    </row>
    <row r="385" spans="1:2" x14ac:dyDescent="0.3">
      <c r="A385" s="4" t="s">
        <v>12250</v>
      </c>
      <c r="B385" s="4" t="s">
        <v>4681</v>
      </c>
    </row>
    <row r="386" spans="1:2" x14ac:dyDescent="0.3">
      <c r="A386" s="4" t="s">
        <v>619</v>
      </c>
      <c r="B386" s="4" t="s">
        <v>620</v>
      </c>
    </row>
    <row r="387" spans="1:2" x14ac:dyDescent="0.3">
      <c r="A387" s="4" t="s">
        <v>621</v>
      </c>
      <c r="B387" s="4" t="s">
        <v>622</v>
      </c>
    </row>
    <row r="388" spans="1:2" x14ac:dyDescent="0.3">
      <c r="A388" s="4" t="s">
        <v>623</v>
      </c>
      <c r="B388" s="4" t="s">
        <v>8694</v>
      </c>
    </row>
    <row r="389" spans="1:2" x14ac:dyDescent="0.3">
      <c r="A389" s="4" t="s">
        <v>624</v>
      </c>
      <c r="B389" s="4" t="s">
        <v>625</v>
      </c>
    </row>
    <row r="390" spans="1:2" x14ac:dyDescent="0.3">
      <c r="A390" s="4" t="s">
        <v>626</v>
      </c>
      <c r="B390" s="4" t="s">
        <v>627</v>
      </c>
    </row>
    <row r="391" spans="1:2" x14ac:dyDescent="0.3">
      <c r="A391" s="4" t="s">
        <v>629</v>
      </c>
      <c r="B391" s="4" t="s">
        <v>630</v>
      </c>
    </row>
    <row r="392" spans="1:2" x14ac:dyDescent="0.3">
      <c r="A392" s="4" t="s">
        <v>632</v>
      </c>
      <c r="B392" s="4" t="s">
        <v>633</v>
      </c>
    </row>
    <row r="393" spans="1:2" x14ac:dyDescent="0.3">
      <c r="A393" s="4" t="s">
        <v>634</v>
      </c>
      <c r="B393" s="4" t="s">
        <v>635</v>
      </c>
    </row>
    <row r="394" spans="1:2" x14ac:dyDescent="0.3">
      <c r="A394" s="4" t="s">
        <v>4203</v>
      </c>
      <c r="B394" s="4" t="s">
        <v>8695</v>
      </c>
    </row>
    <row r="395" spans="1:2" x14ac:dyDescent="0.3">
      <c r="A395" s="4" t="s">
        <v>636</v>
      </c>
      <c r="B395" s="4" t="s">
        <v>637</v>
      </c>
    </row>
    <row r="396" spans="1:2" x14ac:dyDescent="0.3">
      <c r="A396" s="4" t="s">
        <v>638</v>
      </c>
      <c r="B396" s="4" t="s">
        <v>639</v>
      </c>
    </row>
    <row r="397" spans="1:2" x14ac:dyDescent="0.3">
      <c r="A397" s="4" t="s">
        <v>640</v>
      </c>
      <c r="B397" s="4" t="s">
        <v>641</v>
      </c>
    </row>
    <row r="398" spans="1:2" x14ac:dyDescent="0.3">
      <c r="A398" s="4" t="s">
        <v>642</v>
      </c>
      <c r="B398" s="4" t="s">
        <v>643</v>
      </c>
    </row>
    <row r="399" spans="1:2" x14ac:dyDescent="0.3">
      <c r="A399" s="4" t="s">
        <v>644</v>
      </c>
      <c r="B399" s="4" t="s">
        <v>645</v>
      </c>
    </row>
    <row r="400" spans="1:2" x14ac:dyDescent="0.3">
      <c r="A400" s="4" t="s">
        <v>646</v>
      </c>
      <c r="B400" s="4" t="s">
        <v>647</v>
      </c>
    </row>
    <row r="401" spans="1:2" x14ac:dyDescent="0.3">
      <c r="A401" s="4" t="s">
        <v>1693</v>
      </c>
      <c r="B401" s="4" t="s">
        <v>8696</v>
      </c>
    </row>
    <row r="402" spans="1:2" x14ac:dyDescent="0.3">
      <c r="A402" s="4" t="s">
        <v>648</v>
      </c>
      <c r="B402" s="4" t="s">
        <v>649</v>
      </c>
    </row>
    <row r="403" spans="1:2" x14ac:dyDescent="0.3">
      <c r="A403" s="4" t="s">
        <v>650</v>
      </c>
      <c r="B403" s="4" t="s">
        <v>651</v>
      </c>
    </row>
    <row r="404" spans="1:2" x14ac:dyDescent="0.3">
      <c r="A404" s="4" t="s">
        <v>652</v>
      </c>
      <c r="B404" s="4" t="s">
        <v>653</v>
      </c>
    </row>
    <row r="405" spans="1:2" x14ac:dyDescent="0.3">
      <c r="A405" s="4" t="s">
        <v>654</v>
      </c>
      <c r="B405" s="4" t="s">
        <v>8697</v>
      </c>
    </row>
    <row r="406" spans="1:2" x14ac:dyDescent="0.3">
      <c r="A406" s="4" t="s">
        <v>8698</v>
      </c>
      <c r="B406" s="4" t="s">
        <v>655</v>
      </c>
    </row>
    <row r="407" spans="1:2" x14ac:dyDescent="0.3">
      <c r="A407" s="4" t="s">
        <v>658</v>
      </c>
      <c r="B407" s="4" t="s">
        <v>8699</v>
      </c>
    </row>
    <row r="408" spans="1:2" x14ac:dyDescent="0.3">
      <c r="A408" s="4" t="s">
        <v>656</v>
      </c>
      <c r="B408" s="4" t="s">
        <v>657</v>
      </c>
    </row>
    <row r="409" spans="1:2" x14ac:dyDescent="0.3">
      <c r="A409" s="4" t="s">
        <v>659</v>
      </c>
      <c r="B409" s="4" t="s">
        <v>660</v>
      </c>
    </row>
    <row r="410" spans="1:2" x14ac:dyDescent="0.3">
      <c r="A410" s="4" t="s">
        <v>661</v>
      </c>
      <c r="B410" s="4" t="s">
        <v>662</v>
      </c>
    </row>
    <row r="411" spans="1:2" x14ac:dyDescent="0.3">
      <c r="A411" s="4" t="s">
        <v>663</v>
      </c>
      <c r="B411" s="4" t="s">
        <v>664</v>
      </c>
    </row>
    <row r="412" spans="1:2" x14ac:dyDescent="0.3">
      <c r="A412" s="4" t="s">
        <v>665</v>
      </c>
      <c r="B412" s="4" t="s">
        <v>666</v>
      </c>
    </row>
    <row r="413" spans="1:2" x14ac:dyDescent="0.3">
      <c r="A413" s="4" t="s">
        <v>667</v>
      </c>
      <c r="B413" s="4" t="s">
        <v>668</v>
      </c>
    </row>
    <row r="414" spans="1:2" x14ac:dyDescent="0.3">
      <c r="A414" s="4" t="s">
        <v>669</v>
      </c>
      <c r="B414" s="4" t="s">
        <v>670</v>
      </c>
    </row>
    <row r="415" spans="1:2" x14ac:dyDescent="0.3">
      <c r="A415" s="4" t="s">
        <v>673</v>
      </c>
      <c r="B415" s="4" t="s">
        <v>674</v>
      </c>
    </row>
    <row r="416" spans="1:2" x14ac:dyDescent="0.3">
      <c r="A416" s="4" t="s">
        <v>675</v>
      </c>
      <c r="B416" s="4" t="s">
        <v>676</v>
      </c>
    </row>
    <row r="417" spans="1:2" x14ac:dyDescent="0.3">
      <c r="A417" s="4" t="s">
        <v>677</v>
      </c>
      <c r="B417" s="4" t="s">
        <v>8700</v>
      </c>
    </row>
    <row r="418" spans="1:2" x14ac:dyDescent="0.3">
      <c r="A418" s="4" t="s">
        <v>8701</v>
      </c>
      <c r="B418" s="4" t="s">
        <v>8702</v>
      </c>
    </row>
    <row r="419" spans="1:2" x14ac:dyDescent="0.3">
      <c r="A419" s="4" t="s">
        <v>678</v>
      </c>
      <c r="B419" s="4" t="s">
        <v>679</v>
      </c>
    </row>
    <row r="420" spans="1:2" x14ac:dyDescent="0.3">
      <c r="A420" s="4" t="s">
        <v>680</v>
      </c>
      <c r="B420" s="4" t="s">
        <v>681</v>
      </c>
    </row>
    <row r="421" spans="1:2" x14ac:dyDescent="0.3">
      <c r="A421" s="4" t="s">
        <v>682</v>
      </c>
      <c r="B421" s="4" t="s">
        <v>683</v>
      </c>
    </row>
    <row r="422" spans="1:2" x14ac:dyDescent="0.3">
      <c r="A422" s="4" t="s">
        <v>684</v>
      </c>
      <c r="B422" s="4" t="s">
        <v>685</v>
      </c>
    </row>
    <row r="423" spans="1:2" x14ac:dyDescent="0.3">
      <c r="A423" s="4" t="s">
        <v>686</v>
      </c>
      <c r="B423" s="4" t="s">
        <v>687</v>
      </c>
    </row>
    <row r="424" spans="1:2" x14ac:dyDescent="0.3">
      <c r="A424" s="4" t="s">
        <v>688</v>
      </c>
      <c r="B424" s="4" t="s">
        <v>689</v>
      </c>
    </row>
    <row r="425" spans="1:2" x14ac:dyDescent="0.3">
      <c r="A425" s="4" t="s">
        <v>690</v>
      </c>
      <c r="B425" s="4" t="s">
        <v>691</v>
      </c>
    </row>
    <row r="426" spans="1:2" x14ac:dyDescent="0.3">
      <c r="A426" s="4" t="s">
        <v>692</v>
      </c>
      <c r="B426" s="4" t="s">
        <v>693</v>
      </c>
    </row>
    <row r="427" spans="1:2" x14ac:dyDescent="0.3">
      <c r="A427" s="4" t="s">
        <v>694</v>
      </c>
      <c r="B427" s="4" t="s">
        <v>695</v>
      </c>
    </row>
    <row r="428" spans="1:2" x14ac:dyDescent="0.3">
      <c r="A428" s="4" t="s">
        <v>696</v>
      </c>
      <c r="B428" s="4" t="s">
        <v>697</v>
      </c>
    </row>
    <row r="429" spans="1:2" x14ac:dyDescent="0.3">
      <c r="A429" s="4" t="s">
        <v>12251</v>
      </c>
      <c r="B429" s="4" t="s">
        <v>9529</v>
      </c>
    </row>
    <row r="430" spans="1:2" x14ac:dyDescent="0.3">
      <c r="A430" s="4" t="s">
        <v>698</v>
      </c>
      <c r="B430" s="4" t="s">
        <v>699</v>
      </c>
    </row>
    <row r="431" spans="1:2" x14ac:dyDescent="0.3">
      <c r="A431" s="4" t="s">
        <v>700</v>
      </c>
      <c r="B431" s="4" t="s">
        <v>701</v>
      </c>
    </row>
    <row r="432" spans="1:2" x14ac:dyDescent="0.3">
      <c r="A432" s="4" t="s">
        <v>702</v>
      </c>
      <c r="B432" s="4" t="s">
        <v>703</v>
      </c>
    </row>
    <row r="433" spans="1:2" x14ac:dyDescent="0.3">
      <c r="A433" s="4" t="s">
        <v>704</v>
      </c>
      <c r="B433" s="4" t="s">
        <v>705</v>
      </c>
    </row>
    <row r="434" spans="1:2" x14ac:dyDescent="0.3">
      <c r="A434" s="4" t="s">
        <v>706</v>
      </c>
      <c r="B434" s="4" t="s">
        <v>707</v>
      </c>
    </row>
    <row r="435" spans="1:2" x14ac:dyDescent="0.3">
      <c r="A435" s="4" t="s">
        <v>708</v>
      </c>
      <c r="B435" s="4" t="s">
        <v>709</v>
      </c>
    </row>
    <row r="436" spans="1:2" x14ac:dyDescent="0.3">
      <c r="A436" s="4" t="s">
        <v>710</v>
      </c>
      <c r="B436" s="4" t="s">
        <v>711</v>
      </c>
    </row>
    <row r="437" spans="1:2" x14ac:dyDescent="0.3">
      <c r="A437" s="4" t="s">
        <v>712</v>
      </c>
      <c r="B437" s="4" t="s">
        <v>713</v>
      </c>
    </row>
    <row r="438" spans="1:2" x14ac:dyDescent="0.3">
      <c r="A438" s="4" t="s">
        <v>714</v>
      </c>
      <c r="B438" s="4" t="s">
        <v>715</v>
      </c>
    </row>
    <row r="439" spans="1:2" x14ac:dyDescent="0.3">
      <c r="A439" s="4" t="s">
        <v>716</v>
      </c>
      <c r="B439" s="4" t="s">
        <v>717</v>
      </c>
    </row>
    <row r="440" spans="1:2" x14ac:dyDescent="0.3">
      <c r="A440" s="4" t="s">
        <v>718</v>
      </c>
      <c r="B440" s="4" t="s">
        <v>719</v>
      </c>
    </row>
    <row r="441" spans="1:2" x14ac:dyDescent="0.3">
      <c r="A441" s="4" t="s">
        <v>720</v>
      </c>
      <c r="B441" s="4" t="s">
        <v>721</v>
      </c>
    </row>
    <row r="442" spans="1:2" x14ac:dyDescent="0.3">
      <c r="A442" s="4" t="s">
        <v>722</v>
      </c>
      <c r="B442" s="4" t="s">
        <v>723</v>
      </c>
    </row>
    <row r="443" spans="1:2" x14ac:dyDescent="0.3">
      <c r="A443" s="4" t="s">
        <v>724</v>
      </c>
      <c r="B443" s="4" t="s">
        <v>725</v>
      </c>
    </row>
    <row r="444" spans="1:2" x14ac:dyDescent="0.3">
      <c r="A444" s="4" t="s">
        <v>726</v>
      </c>
      <c r="B444" s="4" t="s">
        <v>727</v>
      </c>
    </row>
    <row r="445" spans="1:2" x14ac:dyDescent="0.3">
      <c r="A445" s="4" t="s">
        <v>728</v>
      </c>
      <c r="B445" s="4" t="s">
        <v>729</v>
      </c>
    </row>
    <row r="446" spans="1:2" x14ac:dyDescent="0.3">
      <c r="A446" s="4" t="s">
        <v>730</v>
      </c>
      <c r="B446" s="4" t="s">
        <v>731</v>
      </c>
    </row>
    <row r="447" spans="1:2" x14ac:dyDescent="0.3">
      <c r="A447" s="4" t="s">
        <v>732</v>
      </c>
      <c r="B447" s="4" t="s">
        <v>733</v>
      </c>
    </row>
    <row r="448" spans="1:2" x14ac:dyDescent="0.3">
      <c r="A448" s="4" t="s">
        <v>734</v>
      </c>
      <c r="B448" s="4" t="s">
        <v>735</v>
      </c>
    </row>
    <row r="449" spans="1:2" x14ac:dyDescent="0.3">
      <c r="A449" s="4" t="s">
        <v>736</v>
      </c>
      <c r="B449" s="4" t="s">
        <v>737</v>
      </c>
    </row>
    <row r="450" spans="1:2" x14ac:dyDescent="0.3">
      <c r="A450" s="4" t="s">
        <v>738</v>
      </c>
      <c r="B450" s="4" t="s">
        <v>739</v>
      </c>
    </row>
    <row r="451" spans="1:2" x14ac:dyDescent="0.3">
      <c r="A451" s="4" t="s">
        <v>740</v>
      </c>
      <c r="B451" s="4" t="s">
        <v>741</v>
      </c>
    </row>
    <row r="452" spans="1:2" x14ac:dyDescent="0.3">
      <c r="A452" s="4" t="s">
        <v>742</v>
      </c>
      <c r="B452" s="4" t="s">
        <v>743</v>
      </c>
    </row>
    <row r="453" spans="1:2" x14ac:dyDescent="0.3">
      <c r="A453" s="4" t="s">
        <v>744</v>
      </c>
      <c r="B453" s="4" t="s">
        <v>745</v>
      </c>
    </row>
    <row r="454" spans="1:2" x14ac:dyDescent="0.3">
      <c r="A454" s="4" t="s">
        <v>746</v>
      </c>
      <c r="B454" s="4" t="s">
        <v>747</v>
      </c>
    </row>
    <row r="455" spans="1:2" x14ac:dyDescent="0.3">
      <c r="A455" s="4" t="s">
        <v>748</v>
      </c>
      <c r="B455" s="4" t="s">
        <v>749</v>
      </c>
    </row>
    <row r="456" spans="1:2" x14ac:dyDescent="0.3">
      <c r="A456" s="4" t="s">
        <v>750</v>
      </c>
      <c r="B456" s="4" t="s">
        <v>751</v>
      </c>
    </row>
    <row r="457" spans="1:2" x14ac:dyDescent="0.3">
      <c r="A457" s="4" t="s">
        <v>752</v>
      </c>
      <c r="B457" s="4" t="s">
        <v>753</v>
      </c>
    </row>
    <row r="458" spans="1:2" x14ac:dyDescent="0.3">
      <c r="A458" s="4" t="s">
        <v>754</v>
      </c>
      <c r="B458" s="4" t="s">
        <v>755</v>
      </c>
    </row>
    <row r="459" spans="1:2" x14ac:dyDescent="0.3">
      <c r="A459" s="4" t="s">
        <v>756</v>
      </c>
      <c r="B459" s="4" t="s">
        <v>757</v>
      </c>
    </row>
    <row r="460" spans="1:2" x14ac:dyDescent="0.3">
      <c r="A460" s="4" t="s">
        <v>758</v>
      </c>
      <c r="B460" s="4" t="s">
        <v>759</v>
      </c>
    </row>
    <row r="461" spans="1:2" x14ac:dyDescent="0.3">
      <c r="A461" s="4" t="s">
        <v>760</v>
      </c>
      <c r="B461" s="4" t="s">
        <v>761</v>
      </c>
    </row>
    <row r="462" spans="1:2" x14ac:dyDescent="0.3">
      <c r="A462" s="4" t="s">
        <v>762</v>
      </c>
      <c r="B462" s="4" t="s">
        <v>763</v>
      </c>
    </row>
    <row r="463" spans="1:2" x14ac:dyDescent="0.3">
      <c r="A463" s="4" t="s">
        <v>764</v>
      </c>
      <c r="B463" s="4" t="s">
        <v>765</v>
      </c>
    </row>
    <row r="464" spans="1:2" x14ac:dyDescent="0.3">
      <c r="A464" s="4" t="s">
        <v>3173</v>
      </c>
      <c r="B464" s="4" t="s">
        <v>8703</v>
      </c>
    </row>
    <row r="465" spans="1:2" x14ac:dyDescent="0.3">
      <c r="A465" s="4" t="s">
        <v>766</v>
      </c>
      <c r="B465" s="4" t="s">
        <v>767</v>
      </c>
    </row>
    <row r="466" spans="1:2" x14ac:dyDescent="0.3">
      <c r="A466" s="4" t="s">
        <v>768</v>
      </c>
      <c r="B466" s="4" t="s">
        <v>769</v>
      </c>
    </row>
    <row r="467" spans="1:2" x14ac:dyDescent="0.3">
      <c r="A467" s="4" t="s">
        <v>770</v>
      </c>
      <c r="B467" s="4" t="s">
        <v>771</v>
      </c>
    </row>
    <row r="468" spans="1:2" x14ac:dyDescent="0.3">
      <c r="A468" s="4" t="s">
        <v>772</v>
      </c>
      <c r="B468" s="4" t="s">
        <v>773</v>
      </c>
    </row>
    <row r="469" spans="1:2" x14ac:dyDescent="0.3">
      <c r="A469" s="4" t="s">
        <v>774</v>
      </c>
      <c r="B469" s="4" t="s">
        <v>775</v>
      </c>
    </row>
    <row r="470" spans="1:2" x14ac:dyDescent="0.3">
      <c r="A470" s="4" t="s">
        <v>776</v>
      </c>
      <c r="B470" s="4" t="s">
        <v>777</v>
      </c>
    </row>
    <row r="471" spans="1:2" x14ac:dyDescent="0.3">
      <c r="A471" s="4" t="s">
        <v>778</v>
      </c>
      <c r="B471" s="4" t="s">
        <v>779</v>
      </c>
    </row>
    <row r="472" spans="1:2" x14ac:dyDescent="0.3">
      <c r="A472" s="4" t="s">
        <v>780</v>
      </c>
      <c r="B472" s="4" t="s">
        <v>781</v>
      </c>
    </row>
    <row r="473" spans="1:2" x14ac:dyDescent="0.3">
      <c r="A473" s="4" t="s">
        <v>782</v>
      </c>
      <c r="B473" s="4" t="s">
        <v>783</v>
      </c>
    </row>
    <row r="474" spans="1:2" x14ac:dyDescent="0.3">
      <c r="A474" s="4" t="s">
        <v>784</v>
      </c>
      <c r="B474" s="4" t="s">
        <v>785</v>
      </c>
    </row>
    <row r="475" spans="1:2" x14ac:dyDescent="0.3">
      <c r="A475" s="4" t="s">
        <v>786</v>
      </c>
      <c r="B475" s="4" t="s">
        <v>787</v>
      </c>
    </row>
    <row r="476" spans="1:2" x14ac:dyDescent="0.3">
      <c r="A476" s="4" t="s">
        <v>788</v>
      </c>
      <c r="B476" s="4" t="s">
        <v>789</v>
      </c>
    </row>
    <row r="477" spans="1:2" x14ac:dyDescent="0.3">
      <c r="A477" s="4" t="s">
        <v>790</v>
      </c>
      <c r="B477" s="4" t="s">
        <v>791</v>
      </c>
    </row>
    <row r="478" spans="1:2" x14ac:dyDescent="0.3">
      <c r="A478" s="4" t="s">
        <v>792</v>
      </c>
      <c r="B478" s="4" t="s">
        <v>8704</v>
      </c>
    </row>
    <row r="479" spans="1:2" x14ac:dyDescent="0.3">
      <c r="A479" s="4" t="s">
        <v>793</v>
      </c>
      <c r="B479" s="4" t="s">
        <v>794</v>
      </c>
    </row>
    <row r="480" spans="1:2" x14ac:dyDescent="0.3">
      <c r="A480" s="4" t="s">
        <v>8705</v>
      </c>
      <c r="B480" s="4" t="s">
        <v>4797</v>
      </c>
    </row>
    <row r="481" spans="1:2" x14ac:dyDescent="0.3">
      <c r="A481" s="4" t="s">
        <v>795</v>
      </c>
      <c r="B481" s="4" t="s">
        <v>796</v>
      </c>
    </row>
    <row r="482" spans="1:2" x14ac:dyDescent="0.3">
      <c r="A482" s="4" t="s">
        <v>12252</v>
      </c>
      <c r="B482" s="4" t="s">
        <v>4807</v>
      </c>
    </row>
    <row r="483" spans="1:2" x14ac:dyDescent="0.3">
      <c r="A483" s="4" t="s">
        <v>4153</v>
      </c>
      <c r="B483" s="4" t="s">
        <v>8706</v>
      </c>
    </row>
    <row r="484" spans="1:2" x14ac:dyDescent="0.3">
      <c r="A484" s="4" t="s">
        <v>798</v>
      </c>
      <c r="B484" s="4" t="s">
        <v>799</v>
      </c>
    </row>
    <row r="485" spans="1:2" x14ac:dyDescent="0.3">
      <c r="A485" s="4" t="s">
        <v>3215</v>
      </c>
      <c r="B485" s="4" t="s">
        <v>12253</v>
      </c>
    </row>
    <row r="486" spans="1:2" x14ac:dyDescent="0.3">
      <c r="A486" s="4" t="s">
        <v>800</v>
      </c>
      <c r="B486" s="4" t="s">
        <v>801</v>
      </c>
    </row>
    <row r="487" spans="1:2" x14ac:dyDescent="0.3">
      <c r="A487" s="4" t="s">
        <v>802</v>
      </c>
      <c r="B487" s="4" t="s">
        <v>803</v>
      </c>
    </row>
    <row r="488" spans="1:2" x14ac:dyDescent="0.3">
      <c r="A488" s="4" t="s">
        <v>804</v>
      </c>
      <c r="B488" s="4" t="s">
        <v>805</v>
      </c>
    </row>
    <row r="489" spans="1:2" x14ac:dyDescent="0.3">
      <c r="A489" s="4" t="s">
        <v>806</v>
      </c>
      <c r="B489" s="4" t="s">
        <v>807</v>
      </c>
    </row>
    <row r="490" spans="1:2" x14ac:dyDescent="0.3">
      <c r="A490" s="4" t="s">
        <v>808</v>
      </c>
      <c r="B490" s="4" t="s">
        <v>809</v>
      </c>
    </row>
    <row r="491" spans="1:2" x14ac:dyDescent="0.3">
      <c r="A491" s="4" t="s">
        <v>810</v>
      </c>
      <c r="B491" s="4" t="s">
        <v>811</v>
      </c>
    </row>
    <row r="492" spans="1:2" x14ac:dyDescent="0.3">
      <c r="A492" s="4" t="s">
        <v>812</v>
      </c>
      <c r="B492" s="4" t="s">
        <v>813</v>
      </c>
    </row>
    <row r="493" spans="1:2" x14ac:dyDescent="0.3">
      <c r="A493" s="4" t="s">
        <v>814</v>
      </c>
      <c r="B493" s="4" t="s">
        <v>815</v>
      </c>
    </row>
    <row r="494" spans="1:2" x14ac:dyDescent="0.3">
      <c r="A494" s="4" t="s">
        <v>816</v>
      </c>
      <c r="B494" s="4" t="s">
        <v>817</v>
      </c>
    </row>
    <row r="495" spans="1:2" x14ac:dyDescent="0.3">
      <c r="A495" s="4" t="s">
        <v>8707</v>
      </c>
      <c r="B495" s="4" t="s">
        <v>12254</v>
      </c>
    </row>
    <row r="496" spans="1:2" x14ac:dyDescent="0.3">
      <c r="A496" s="4" t="s">
        <v>818</v>
      </c>
      <c r="B496" s="4" t="s">
        <v>819</v>
      </c>
    </row>
    <row r="497" spans="1:2" x14ac:dyDescent="0.3">
      <c r="A497" s="4" t="s">
        <v>820</v>
      </c>
      <c r="B497" s="4" t="s">
        <v>821</v>
      </c>
    </row>
    <row r="498" spans="1:2" x14ac:dyDescent="0.3">
      <c r="A498" s="4" t="s">
        <v>823</v>
      </c>
      <c r="B498" s="4" t="s">
        <v>824</v>
      </c>
    </row>
    <row r="499" spans="1:2" x14ac:dyDescent="0.3">
      <c r="A499" s="4" t="s">
        <v>4217</v>
      </c>
      <c r="B499" s="4" t="s">
        <v>4824</v>
      </c>
    </row>
    <row r="500" spans="1:2" x14ac:dyDescent="0.3">
      <c r="A500" s="4" t="s">
        <v>825</v>
      </c>
      <c r="B500" s="4" t="s">
        <v>826</v>
      </c>
    </row>
    <row r="501" spans="1:2" x14ac:dyDescent="0.3">
      <c r="A501" s="4" t="s">
        <v>3532</v>
      </c>
      <c r="B501" s="4" t="s">
        <v>8708</v>
      </c>
    </row>
    <row r="502" spans="1:2" x14ac:dyDescent="0.3">
      <c r="A502" s="4" t="s">
        <v>827</v>
      </c>
      <c r="B502" s="4" t="s">
        <v>828</v>
      </c>
    </row>
    <row r="503" spans="1:2" x14ac:dyDescent="0.3">
      <c r="A503" s="4" t="s">
        <v>829</v>
      </c>
      <c r="B503" s="4" t="s">
        <v>830</v>
      </c>
    </row>
    <row r="504" spans="1:2" x14ac:dyDescent="0.3">
      <c r="A504" s="4" t="s">
        <v>831</v>
      </c>
      <c r="B504" s="4" t="s">
        <v>832</v>
      </c>
    </row>
    <row r="505" spans="1:2" x14ac:dyDescent="0.3">
      <c r="A505" s="4" t="s">
        <v>833</v>
      </c>
      <c r="B505" s="4" t="s">
        <v>834</v>
      </c>
    </row>
    <row r="506" spans="1:2" x14ac:dyDescent="0.3">
      <c r="A506" s="4" t="s">
        <v>835</v>
      </c>
      <c r="B506" s="4" t="s">
        <v>836</v>
      </c>
    </row>
    <row r="507" spans="1:2" x14ac:dyDescent="0.3">
      <c r="A507" s="4" t="s">
        <v>837</v>
      </c>
      <c r="B507" s="4" t="s">
        <v>838</v>
      </c>
    </row>
    <row r="508" spans="1:2" x14ac:dyDescent="0.3">
      <c r="A508" s="4" t="s">
        <v>839</v>
      </c>
      <c r="B508" s="4" t="s">
        <v>840</v>
      </c>
    </row>
    <row r="509" spans="1:2" x14ac:dyDescent="0.3">
      <c r="A509" s="4" t="s">
        <v>841</v>
      </c>
      <c r="B509" s="4" t="s">
        <v>842</v>
      </c>
    </row>
    <row r="510" spans="1:2" x14ac:dyDescent="0.3">
      <c r="A510" s="4" t="s">
        <v>843</v>
      </c>
      <c r="B510" s="4" t="s">
        <v>844</v>
      </c>
    </row>
    <row r="511" spans="1:2" x14ac:dyDescent="0.3">
      <c r="A511" s="4" t="s">
        <v>845</v>
      </c>
      <c r="B511" s="4" t="s">
        <v>846</v>
      </c>
    </row>
    <row r="512" spans="1:2" x14ac:dyDescent="0.3">
      <c r="A512" s="4" t="s">
        <v>847</v>
      </c>
      <c r="B512" s="4" t="s">
        <v>848</v>
      </c>
    </row>
    <row r="513" spans="1:2" x14ac:dyDescent="0.3">
      <c r="A513" s="4" t="s">
        <v>849</v>
      </c>
      <c r="B513" s="4" t="s">
        <v>850</v>
      </c>
    </row>
    <row r="514" spans="1:2" x14ac:dyDescent="0.3">
      <c r="A514" s="4" t="s">
        <v>851</v>
      </c>
      <c r="B514" s="4" t="s">
        <v>852</v>
      </c>
    </row>
    <row r="515" spans="1:2" x14ac:dyDescent="0.3">
      <c r="A515" s="4" t="s">
        <v>854</v>
      </c>
      <c r="B515" s="4" t="s">
        <v>855</v>
      </c>
    </row>
    <row r="516" spans="1:2" x14ac:dyDescent="0.3">
      <c r="A516" s="4" t="s">
        <v>856</v>
      </c>
      <c r="B516" s="4" t="s">
        <v>857</v>
      </c>
    </row>
    <row r="517" spans="1:2" x14ac:dyDescent="0.3">
      <c r="A517" s="4" t="s">
        <v>858</v>
      </c>
      <c r="B517" s="4" t="s">
        <v>8709</v>
      </c>
    </row>
    <row r="518" spans="1:2" x14ac:dyDescent="0.3">
      <c r="A518" s="4" t="s">
        <v>859</v>
      </c>
      <c r="B518" s="4" t="s">
        <v>860</v>
      </c>
    </row>
    <row r="519" spans="1:2" x14ac:dyDescent="0.3">
      <c r="A519" s="4" t="s">
        <v>861</v>
      </c>
      <c r="B519" s="4" t="s">
        <v>862</v>
      </c>
    </row>
    <row r="520" spans="1:2" x14ac:dyDescent="0.3">
      <c r="A520" s="4" t="s">
        <v>863</v>
      </c>
      <c r="B520" s="4" t="s">
        <v>864</v>
      </c>
    </row>
    <row r="521" spans="1:2" x14ac:dyDescent="0.3">
      <c r="A521" s="4" t="s">
        <v>865</v>
      </c>
      <c r="B521" s="4" t="s">
        <v>866</v>
      </c>
    </row>
    <row r="522" spans="1:2" x14ac:dyDescent="0.3">
      <c r="A522" s="4" t="s">
        <v>867</v>
      </c>
      <c r="B522" s="4" t="s">
        <v>868</v>
      </c>
    </row>
    <row r="523" spans="1:2" x14ac:dyDescent="0.3">
      <c r="A523" s="4" t="s">
        <v>869</v>
      </c>
      <c r="B523" s="4" t="s">
        <v>870</v>
      </c>
    </row>
    <row r="524" spans="1:2" x14ac:dyDescent="0.3">
      <c r="A524" s="4" t="s">
        <v>871</v>
      </c>
      <c r="B524" s="4" t="s">
        <v>872</v>
      </c>
    </row>
    <row r="525" spans="1:2" x14ac:dyDescent="0.3">
      <c r="A525" s="4" t="s">
        <v>873</v>
      </c>
      <c r="B525" s="4" t="s">
        <v>874</v>
      </c>
    </row>
    <row r="526" spans="1:2" x14ac:dyDescent="0.3">
      <c r="A526" s="4" t="s">
        <v>875</v>
      </c>
      <c r="B526" s="4" t="s">
        <v>876</v>
      </c>
    </row>
    <row r="527" spans="1:2" x14ac:dyDescent="0.3">
      <c r="A527" s="4" t="s">
        <v>877</v>
      </c>
      <c r="B527" s="4" t="s">
        <v>878</v>
      </c>
    </row>
    <row r="528" spans="1:2" x14ac:dyDescent="0.3">
      <c r="A528" s="4" t="s">
        <v>882</v>
      </c>
      <c r="B528" s="4" t="s">
        <v>883</v>
      </c>
    </row>
    <row r="529" spans="1:2" x14ac:dyDescent="0.3">
      <c r="A529" s="4" t="s">
        <v>884</v>
      </c>
      <c r="B529" s="4" t="s">
        <v>885</v>
      </c>
    </row>
    <row r="530" spans="1:2" x14ac:dyDescent="0.3">
      <c r="A530" s="4" t="s">
        <v>886</v>
      </c>
      <c r="B530" s="4" t="s">
        <v>887</v>
      </c>
    </row>
    <row r="531" spans="1:2" x14ac:dyDescent="0.3">
      <c r="A531" s="4" t="s">
        <v>888</v>
      </c>
      <c r="B531" s="4" t="s">
        <v>889</v>
      </c>
    </row>
    <row r="532" spans="1:2" x14ac:dyDescent="0.3">
      <c r="A532" s="4" t="s">
        <v>890</v>
      </c>
      <c r="B532" s="4" t="s">
        <v>891</v>
      </c>
    </row>
    <row r="533" spans="1:2" x14ac:dyDescent="0.3">
      <c r="A533" s="4" t="s">
        <v>893</v>
      </c>
      <c r="B533" s="4" t="s">
        <v>894</v>
      </c>
    </row>
    <row r="534" spans="1:2" x14ac:dyDescent="0.3">
      <c r="A534" s="4" t="s">
        <v>895</v>
      </c>
      <c r="B534" s="4" t="s">
        <v>896</v>
      </c>
    </row>
    <row r="535" spans="1:2" x14ac:dyDescent="0.3">
      <c r="A535" s="4" t="s">
        <v>897</v>
      </c>
      <c r="B535" s="4" t="s">
        <v>898</v>
      </c>
    </row>
    <row r="536" spans="1:2" x14ac:dyDescent="0.3">
      <c r="A536" s="4" t="s">
        <v>899</v>
      </c>
      <c r="B536" s="4" t="s">
        <v>900</v>
      </c>
    </row>
    <row r="537" spans="1:2" x14ac:dyDescent="0.3">
      <c r="A537" s="4" t="s">
        <v>901</v>
      </c>
      <c r="B537" s="4" t="s">
        <v>902</v>
      </c>
    </row>
    <row r="538" spans="1:2" x14ac:dyDescent="0.3">
      <c r="A538" s="4" t="s">
        <v>903</v>
      </c>
      <c r="B538" s="4" t="s">
        <v>904</v>
      </c>
    </row>
    <row r="539" spans="1:2" x14ac:dyDescent="0.3">
      <c r="A539" s="4" t="s">
        <v>905</v>
      </c>
      <c r="B539" s="4" t="s">
        <v>906</v>
      </c>
    </row>
    <row r="540" spans="1:2" x14ac:dyDescent="0.3">
      <c r="A540" s="4" t="s">
        <v>907</v>
      </c>
      <c r="B540" s="4" t="s">
        <v>908</v>
      </c>
    </row>
    <row r="541" spans="1:2" x14ac:dyDescent="0.3">
      <c r="A541" s="4" t="s">
        <v>909</v>
      </c>
      <c r="B541" s="4" t="s">
        <v>910</v>
      </c>
    </row>
    <row r="542" spans="1:2" x14ac:dyDescent="0.3">
      <c r="A542" s="4" t="s">
        <v>911</v>
      </c>
      <c r="B542" s="4" t="s">
        <v>912</v>
      </c>
    </row>
    <row r="543" spans="1:2" x14ac:dyDescent="0.3">
      <c r="A543" s="4" t="s">
        <v>913</v>
      </c>
      <c r="B543" s="4" t="s">
        <v>914</v>
      </c>
    </row>
    <row r="544" spans="1:2" x14ac:dyDescent="0.3">
      <c r="A544" s="4" t="s">
        <v>915</v>
      </c>
      <c r="B544" s="4" t="s">
        <v>916</v>
      </c>
    </row>
    <row r="545" spans="1:2" x14ac:dyDescent="0.3">
      <c r="A545" s="4" t="s">
        <v>917</v>
      </c>
      <c r="B545" s="4" t="s">
        <v>918</v>
      </c>
    </row>
    <row r="546" spans="1:2" x14ac:dyDescent="0.3">
      <c r="A546" s="4" t="s">
        <v>919</v>
      </c>
      <c r="B546" s="4" t="s">
        <v>920</v>
      </c>
    </row>
    <row r="547" spans="1:2" x14ac:dyDescent="0.3">
      <c r="A547" s="4" t="s">
        <v>921</v>
      </c>
      <c r="B547" s="4" t="s">
        <v>922</v>
      </c>
    </row>
    <row r="548" spans="1:2" x14ac:dyDescent="0.3">
      <c r="A548" s="4" t="s">
        <v>923</v>
      </c>
      <c r="B548" s="4" t="s">
        <v>924</v>
      </c>
    </row>
    <row r="549" spans="1:2" x14ac:dyDescent="0.3">
      <c r="A549" s="4" t="s">
        <v>925</v>
      </c>
      <c r="B549" s="4" t="s">
        <v>926</v>
      </c>
    </row>
    <row r="550" spans="1:2" x14ac:dyDescent="0.3">
      <c r="A550" s="4" t="s">
        <v>927</v>
      </c>
      <c r="B550" s="4" t="s">
        <v>928</v>
      </c>
    </row>
    <row r="551" spans="1:2" x14ac:dyDescent="0.3">
      <c r="A551" s="4" t="s">
        <v>929</v>
      </c>
      <c r="B551" s="4" t="s">
        <v>930</v>
      </c>
    </row>
    <row r="552" spans="1:2" x14ac:dyDescent="0.3">
      <c r="A552" s="4" t="s">
        <v>932</v>
      </c>
      <c r="B552" s="4" t="s">
        <v>933</v>
      </c>
    </row>
    <row r="553" spans="1:2" x14ac:dyDescent="0.3">
      <c r="A553" s="4" t="s">
        <v>936</v>
      </c>
      <c r="B553" s="4" t="s">
        <v>8710</v>
      </c>
    </row>
    <row r="554" spans="1:2" x14ac:dyDescent="0.3">
      <c r="A554" s="4" t="s">
        <v>3379</v>
      </c>
      <c r="B554" s="4" t="s">
        <v>12255</v>
      </c>
    </row>
    <row r="555" spans="1:2" x14ac:dyDescent="0.3">
      <c r="A555" s="4" t="s">
        <v>937</v>
      </c>
      <c r="B555" s="4" t="s">
        <v>938</v>
      </c>
    </row>
    <row r="556" spans="1:2" x14ac:dyDescent="0.3">
      <c r="A556" s="4" t="s">
        <v>939</v>
      </c>
      <c r="B556" s="4" t="s">
        <v>940</v>
      </c>
    </row>
    <row r="557" spans="1:2" x14ac:dyDescent="0.3">
      <c r="A557" s="4" t="s">
        <v>942</v>
      </c>
      <c r="B557" s="4" t="s">
        <v>943</v>
      </c>
    </row>
    <row r="558" spans="1:2" x14ac:dyDescent="0.3">
      <c r="A558" s="4" t="s">
        <v>944</v>
      </c>
      <c r="B558" s="4" t="s">
        <v>945</v>
      </c>
    </row>
    <row r="559" spans="1:2" x14ac:dyDescent="0.3">
      <c r="A559" s="4" t="s">
        <v>946</v>
      </c>
      <c r="B559" s="4" t="s">
        <v>947</v>
      </c>
    </row>
    <row r="560" spans="1:2" x14ac:dyDescent="0.3">
      <c r="A560" s="4" t="s">
        <v>948</v>
      </c>
      <c r="B560" s="4" t="s">
        <v>949</v>
      </c>
    </row>
    <row r="561" spans="1:2" x14ac:dyDescent="0.3">
      <c r="A561" s="4" t="s">
        <v>8711</v>
      </c>
      <c r="B561" s="4" t="s">
        <v>4943</v>
      </c>
    </row>
    <row r="562" spans="1:2" x14ac:dyDescent="0.3">
      <c r="A562" s="4" t="s">
        <v>950</v>
      </c>
      <c r="B562" s="4" t="s">
        <v>951</v>
      </c>
    </row>
    <row r="563" spans="1:2" x14ac:dyDescent="0.3">
      <c r="A563" s="4" t="s">
        <v>952</v>
      </c>
      <c r="B563" s="4" t="s">
        <v>953</v>
      </c>
    </row>
    <row r="564" spans="1:2" x14ac:dyDescent="0.3">
      <c r="A564" s="4" t="s">
        <v>954</v>
      </c>
      <c r="B564" s="4" t="s">
        <v>12256</v>
      </c>
    </row>
    <row r="565" spans="1:2" x14ac:dyDescent="0.3">
      <c r="A565" s="4" t="s">
        <v>3535</v>
      </c>
      <c r="B565" s="4" t="s">
        <v>4945</v>
      </c>
    </row>
    <row r="566" spans="1:2" x14ac:dyDescent="0.3">
      <c r="A566" s="4" t="s">
        <v>955</v>
      </c>
      <c r="B566" s="4" t="s">
        <v>956</v>
      </c>
    </row>
    <row r="567" spans="1:2" x14ac:dyDescent="0.3">
      <c r="A567" s="4" t="s">
        <v>957</v>
      </c>
      <c r="B567" s="4" t="s">
        <v>958</v>
      </c>
    </row>
    <row r="568" spans="1:2" x14ac:dyDescent="0.3">
      <c r="A568" s="4" t="s">
        <v>959</v>
      </c>
      <c r="B568" s="4" t="s">
        <v>960</v>
      </c>
    </row>
    <row r="569" spans="1:2" x14ac:dyDescent="0.3">
      <c r="A569" s="4" t="s">
        <v>961</v>
      </c>
      <c r="B569" s="4" t="s">
        <v>962</v>
      </c>
    </row>
    <row r="570" spans="1:2" x14ac:dyDescent="0.3">
      <c r="A570" s="4" t="s">
        <v>963</v>
      </c>
      <c r="B570" s="4" t="s">
        <v>964</v>
      </c>
    </row>
    <row r="571" spans="1:2" x14ac:dyDescent="0.3">
      <c r="A571" s="4" t="s">
        <v>965</v>
      </c>
      <c r="B571" s="4" t="s">
        <v>966</v>
      </c>
    </row>
    <row r="572" spans="1:2" x14ac:dyDescent="0.3">
      <c r="A572" s="4" t="s">
        <v>941</v>
      </c>
      <c r="B572" s="4" t="s">
        <v>8712</v>
      </c>
    </row>
    <row r="573" spans="1:2" x14ac:dyDescent="0.3">
      <c r="A573" s="4" t="s">
        <v>967</v>
      </c>
      <c r="B573" s="4" t="s">
        <v>968</v>
      </c>
    </row>
    <row r="574" spans="1:2" x14ac:dyDescent="0.3">
      <c r="A574" s="4" t="s">
        <v>969</v>
      </c>
      <c r="B574" s="4" t="s">
        <v>970</v>
      </c>
    </row>
    <row r="575" spans="1:2" x14ac:dyDescent="0.3">
      <c r="A575" s="4" t="s">
        <v>971</v>
      </c>
      <c r="B575" s="4" t="s">
        <v>972</v>
      </c>
    </row>
    <row r="576" spans="1:2" x14ac:dyDescent="0.3">
      <c r="A576" s="4" t="s">
        <v>8713</v>
      </c>
      <c r="B576" s="4" t="s">
        <v>8714</v>
      </c>
    </row>
    <row r="577" spans="1:2" x14ac:dyDescent="0.3">
      <c r="A577" s="4" t="s">
        <v>3550</v>
      </c>
      <c r="B577" s="4" t="s">
        <v>8715</v>
      </c>
    </row>
    <row r="578" spans="1:2" x14ac:dyDescent="0.3">
      <c r="A578" s="4" t="s">
        <v>973</v>
      </c>
      <c r="B578" s="4" t="s">
        <v>974</v>
      </c>
    </row>
    <row r="579" spans="1:2" x14ac:dyDescent="0.3">
      <c r="A579" s="4" t="s">
        <v>977</v>
      </c>
      <c r="B579" s="4" t="s">
        <v>978</v>
      </c>
    </row>
    <row r="580" spans="1:2" x14ac:dyDescent="0.3">
      <c r="A580" s="4" t="s">
        <v>979</v>
      </c>
      <c r="B580" s="4" t="s">
        <v>980</v>
      </c>
    </row>
    <row r="581" spans="1:2" x14ac:dyDescent="0.3">
      <c r="A581" s="4" t="s">
        <v>981</v>
      </c>
      <c r="B581" s="4" t="s">
        <v>982</v>
      </c>
    </row>
    <row r="582" spans="1:2" x14ac:dyDescent="0.3">
      <c r="A582" s="4" t="s">
        <v>983</v>
      </c>
      <c r="B582" s="4" t="s">
        <v>984</v>
      </c>
    </row>
    <row r="583" spans="1:2" x14ac:dyDescent="0.3">
      <c r="A583" s="4" t="s">
        <v>986</v>
      </c>
      <c r="B583" s="4" t="s">
        <v>987</v>
      </c>
    </row>
    <row r="584" spans="1:2" x14ac:dyDescent="0.3">
      <c r="A584" s="4" t="s">
        <v>989</v>
      </c>
      <c r="B584" s="4" t="s">
        <v>990</v>
      </c>
    </row>
    <row r="585" spans="1:2" x14ac:dyDescent="0.3">
      <c r="A585" s="4" t="s">
        <v>212</v>
      </c>
      <c r="B585" s="4" t="s">
        <v>8716</v>
      </c>
    </row>
    <row r="586" spans="1:2" x14ac:dyDescent="0.3">
      <c r="A586" s="4" t="s">
        <v>4223</v>
      </c>
      <c r="B586" s="4" t="s">
        <v>4983</v>
      </c>
    </row>
    <row r="587" spans="1:2" x14ac:dyDescent="0.3">
      <c r="A587" s="4" t="s">
        <v>991</v>
      </c>
      <c r="B587" s="4" t="s">
        <v>992</v>
      </c>
    </row>
    <row r="588" spans="1:2" x14ac:dyDescent="0.3">
      <c r="A588" s="4" t="s">
        <v>892</v>
      </c>
      <c r="B588" s="4" t="s">
        <v>8717</v>
      </c>
    </row>
    <row r="589" spans="1:2" x14ac:dyDescent="0.3">
      <c r="A589" s="4" t="s">
        <v>993</v>
      </c>
      <c r="B589" s="4" t="s">
        <v>994</v>
      </c>
    </row>
    <row r="590" spans="1:2" x14ac:dyDescent="0.3">
      <c r="A590" s="4" t="s">
        <v>996</v>
      </c>
      <c r="B590" s="4" t="s">
        <v>997</v>
      </c>
    </row>
    <row r="591" spans="1:2" x14ac:dyDescent="0.3">
      <c r="A591" s="4" t="s">
        <v>998</v>
      </c>
      <c r="B591" s="4" t="s">
        <v>999</v>
      </c>
    </row>
    <row r="592" spans="1:2" x14ac:dyDescent="0.3">
      <c r="A592" s="4" t="s">
        <v>1000</v>
      </c>
      <c r="B592" s="4" t="s">
        <v>1001</v>
      </c>
    </row>
    <row r="593" spans="1:2" x14ac:dyDescent="0.3">
      <c r="A593" s="4" t="s">
        <v>1003</v>
      </c>
      <c r="B593" s="4" t="s">
        <v>1004</v>
      </c>
    </row>
    <row r="594" spans="1:2" x14ac:dyDescent="0.3">
      <c r="A594" s="4" t="s">
        <v>1005</v>
      </c>
      <c r="B594" s="4" t="s">
        <v>1006</v>
      </c>
    </row>
    <row r="595" spans="1:2" x14ac:dyDescent="0.3">
      <c r="A595" s="4" t="s">
        <v>1008</v>
      </c>
      <c r="B595" s="4" t="s">
        <v>1009</v>
      </c>
    </row>
    <row r="596" spans="1:2" x14ac:dyDescent="0.3">
      <c r="A596" s="4" t="s">
        <v>1010</v>
      </c>
      <c r="B596" s="4" t="s">
        <v>1011</v>
      </c>
    </row>
    <row r="597" spans="1:2" x14ac:dyDescent="0.3">
      <c r="A597" s="4" t="s">
        <v>1012</v>
      </c>
      <c r="B597" s="4" t="s">
        <v>1013</v>
      </c>
    </row>
    <row r="598" spans="1:2" x14ac:dyDescent="0.3">
      <c r="A598" s="4" t="s">
        <v>1015</v>
      </c>
      <c r="B598" s="4" t="s">
        <v>1016</v>
      </c>
    </row>
    <row r="599" spans="1:2" x14ac:dyDescent="0.3">
      <c r="A599" s="4" t="s">
        <v>12257</v>
      </c>
      <c r="B599" s="4" t="s">
        <v>9675</v>
      </c>
    </row>
    <row r="600" spans="1:2" x14ac:dyDescent="0.3">
      <c r="A600" s="4" t="s">
        <v>1018</v>
      </c>
      <c r="B600" s="4" t="s">
        <v>1019</v>
      </c>
    </row>
    <row r="601" spans="1:2" x14ac:dyDescent="0.3">
      <c r="A601" s="4" t="s">
        <v>1020</v>
      </c>
      <c r="B601" s="4" t="s">
        <v>1021</v>
      </c>
    </row>
    <row r="602" spans="1:2" x14ac:dyDescent="0.3">
      <c r="A602" s="4" t="s">
        <v>8718</v>
      </c>
      <c r="B602" s="4" t="s">
        <v>8719</v>
      </c>
    </row>
    <row r="603" spans="1:2" x14ac:dyDescent="0.3">
      <c r="A603" s="4" t="s">
        <v>1022</v>
      </c>
      <c r="B603" s="4" t="s">
        <v>1023</v>
      </c>
    </row>
    <row r="604" spans="1:2" x14ac:dyDescent="0.3">
      <c r="A604" s="4" t="s">
        <v>1024</v>
      </c>
      <c r="B604" s="4" t="s">
        <v>1025</v>
      </c>
    </row>
    <row r="605" spans="1:2" x14ac:dyDescent="0.3">
      <c r="A605" s="4" t="s">
        <v>1026</v>
      </c>
      <c r="B605" s="4" t="s">
        <v>1027</v>
      </c>
    </row>
    <row r="606" spans="1:2" x14ac:dyDescent="0.3">
      <c r="A606" s="4" t="s">
        <v>1028</v>
      </c>
      <c r="B606" s="4" t="s">
        <v>1029</v>
      </c>
    </row>
    <row r="607" spans="1:2" x14ac:dyDescent="0.3">
      <c r="A607" s="4" t="s">
        <v>1032</v>
      </c>
      <c r="B607" s="4" t="s">
        <v>1033</v>
      </c>
    </row>
    <row r="608" spans="1:2" x14ac:dyDescent="0.3">
      <c r="A608" s="4" t="s">
        <v>1034</v>
      </c>
      <c r="B608" s="4" t="s">
        <v>1035</v>
      </c>
    </row>
    <row r="609" spans="1:2" x14ac:dyDescent="0.3">
      <c r="A609" s="4" t="s">
        <v>1036</v>
      </c>
      <c r="B609" s="4" t="s">
        <v>1037</v>
      </c>
    </row>
    <row r="610" spans="1:2" x14ac:dyDescent="0.3">
      <c r="A610" s="4" t="s">
        <v>8720</v>
      </c>
      <c r="B610" s="4" t="s">
        <v>5012</v>
      </c>
    </row>
    <row r="611" spans="1:2" x14ac:dyDescent="0.3">
      <c r="A611" s="4" t="s">
        <v>1038</v>
      </c>
      <c r="B611" s="4" t="s">
        <v>1039</v>
      </c>
    </row>
    <row r="612" spans="1:2" x14ac:dyDescent="0.3">
      <c r="A612" s="4" t="s">
        <v>8721</v>
      </c>
      <c r="B612" s="4" t="s">
        <v>8722</v>
      </c>
    </row>
    <row r="613" spans="1:2" x14ac:dyDescent="0.3">
      <c r="A613" s="4" t="s">
        <v>1040</v>
      </c>
      <c r="B613" s="4" t="s">
        <v>1041</v>
      </c>
    </row>
    <row r="614" spans="1:2" x14ac:dyDescent="0.3">
      <c r="A614" s="4" t="s">
        <v>1042</v>
      </c>
      <c r="B614" s="4" t="s">
        <v>1043</v>
      </c>
    </row>
    <row r="615" spans="1:2" x14ac:dyDescent="0.3">
      <c r="A615" s="4" t="s">
        <v>1044</v>
      </c>
      <c r="B615" s="4" t="s">
        <v>1045</v>
      </c>
    </row>
    <row r="616" spans="1:2" x14ac:dyDescent="0.3">
      <c r="A616" s="4" t="s">
        <v>1046</v>
      </c>
      <c r="B616" s="4" t="s">
        <v>1047</v>
      </c>
    </row>
    <row r="617" spans="1:2" x14ac:dyDescent="0.3">
      <c r="A617" s="4" t="s">
        <v>1048</v>
      </c>
      <c r="B617" s="4" t="s">
        <v>1049</v>
      </c>
    </row>
    <row r="618" spans="1:2" x14ac:dyDescent="0.3">
      <c r="A618" s="4" t="s">
        <v>1050</v>
      </c>
      <c r="B618" s="4" t="s">
        <v>1051</v>
      </c>
    </row>
    <row r="619" spans="1:2" x14ac:dyDescent="0.3">
      <c r="A619" s="4" t="s">
        <v>1052</v>
      </c>
      <c r="B619" s="4" t="s">
        <v>1053</v>
      </c>
    </row>
    <row r="620" spans="1:2" x14ac:dyDescent="0.3">
      <c r="A620" s="4" t="s">
        <v>1055</v>
      </c>
      <c r="B620" s="4" t="s">
        <v>1056</v>
      </c>
    </row>
    <row r="621" spans="1:2" x14ac:dyDescent="0.3">
      <c r="A621" s="4" t="s">
        <v>1057</v>
      </c>
      <c r="B621" s="4" t="s">
        <v>1058</v>
      </c>
    </row>
    <row r="622" spans="1:2" x14ac:dyDescent="0.3">
      <c r="A622" s="4" t="s">
        <v>1059</v>
      </c>
      <c r="B622" s="4" t="s">
        <v>1060</v>
      </c>
    </row>
    <row r="623" spans="1:2" x14ac:dyDescent="0.3">
      <c r="A623" s="4" t="s">
        <v>1061</v>
      </c>
      <c r="B623" s="4" t="s">
        <v>1062</v>
      </c>
    </row>
    <row r="624" spans="1:2" x14ac:dyDescent="0.3">
      <c r="A624" s="4" t="s">
        <v>8723</v>
      </c>
      <c r="B624" s="4" t="s">
        <v>8724</v>
      </c>
    </row>
    <row r="625" spans="1:2" x14ac:dyDescent="0.3">
      <c r="A625" s="4" t="s">
        <v>4171</v>
      </c>
      <c r="B625" s="4" t="s">
        <v>5050</v>
      </c>
    </row>
    <row r="626" spans="1:2" x14ac:dyDescent="0.3">
      <c r="A626" s="4" t="s">
        <v>8725</v>
      </c>
      <c r="B626" s="4" t="s">
        <v>5054</v>
      </c>
    </row>
    <row r="627" spans="1:2" x14ac:dyDescent="0.3">
      <c r="A627" s="4" t="s">
        <v>2398</v>
      </c>
      <c r="B627" s="4" t="s">
        <v>8726</v>
      </c>
    </row>
    <row r="628" spans="1:2" x14ac:dyDescent="0.3">
      <c r="A628" s="4" t="s">
        <v>1064</v>
      </c>
      <c r="B628" s="4" t="s">
        <v>1065</v>
      </c>
    </row>
    <row r="629" spans="1:2" x14ac:dyDescent="0.3">
      <c r="A629" s="4" t="s">
        <v>1066</v>
      </c>
      <c r="B629" s="4" t="s">
        <v>1067</v>
      </c>
    </row>
    <row r="630" spans="1:2" x14ac:dyDescent="0.3">
      <c r="A630" s="4" t="s">
        <v>1068</v>
      </c>
      <c r="B630" s="4" t="s">
        <v>1069</v>
      </c>
    </row>
    <row r="631" spans="1:2" x14ac:dyDescent="0.3">
      <c r="A631" s="4" t="s">
        <v>1070</v>
      </c>
      <c r="B631" s="4" t="s">
        <v>1071</v>
      </c>
    </row>
    <row r="632" spans="1:2" x14ac:dyDescent="0.3">
      <c r="A632" s="4" t="s">
        <v>1072</v>
      </c>
      <c r="B632" s="4" t="s">
        <v>1073</v>
      </c>
    </row>
    <row r="633" spans="1:2" x14ac:dyDescent="0.3">
      <c r="A633" s="4" t="s">
        <v>1074</v>
      </c>
      <c r="B633" s="4" t="s">
        <v>1075</v>
      </c>
    </row>
    <row r="634" spans="1:2" x14ac:dyDescent="0.3">
      <c r="A634" s="4" t="s">
        <v>2015</v>
      </c>
      <c r="B634" s="4" t="s">
        <v>8727</v>
      </c>
    </row>
    <row r="635" spans="1:2" x14ac:dyDescent="0.3">
      <c r="A635" s="4" t="s">
        <v>1076</v>
      </c>
      <c r="B635" s="4" t="s">
        <v>1077</v>
      </c>
    </row>
    <row r="636" spans="1:2" x14ac:dyDescent="0.3">
      <c r="A636" s="4" t="s">
        <v>1078</v>
      </c>
      <c r="B636" s="4" t="s">
        <v>1079</v>
      </c>
    </row>
    <row r="637" spans="1:2" x14ac:dyDescent="0.3">
      <c r="A637" s="4" t="s">
        <v>1080</v>
      </c>
      <c r="B637" s="4" t="s">
        <v>1081</v>
      </c>
    </row>
    <row r="638" spans="1:2" x14ac:dyDescent="0.3">
      <c r="A638" s="4" t="s">
        <v>8728</v>
      </c>
      <c r="B638" s="4" t="s">
        <v>5072</v>
      </c>
    </row>
    <row r="639" spans="1:2" x14ac:dyDescent="0.3">
      <c r="A639" s="4" t="s">
        <v>1082</v>
      </c>
      <c r="B639" s="4" t="s">
        <v>1083</v>
      </c>
    </row>
    <row r="640" spans="1:2" x14ac:dyDescent="0.3">
      <c r="A640" s="4" t="s">
        <v>1084</v>
      </c>
      <c r="B640" s="4" t="s">
        <v>1085</v>
      </c>
    </row>
    <row r="641" spans="1:2" x14ac:dyDescent="0.3">
      <c r="A641" s="4" t="s">
        <v>1086</v>
      </c>
      <c r="B641" s="4" t="s">
        <v>1087</v>
      </c>
    </row>
    <row r="642" spans="1:2" x14ac:dyDescent="0.3">
      <c r="A642" s="4" t="s">
        <v>1088</v>
      </c>
      <c r="B642" s="4" t="s">
        <v>1089</v>
      </c>
    </row>
    <row r="643" spans="1:2" x14ac:dyDescent="0.3">
      <c r="A643" s="4" t="s">
        <v>1090</v>
      </c>
      <c r="B643" s="4" t="s">
        <v>1091</v>
      </c>
    </row>
    <row r="644" spans="1:2" x14ac:dyDescent="0.3">
      <c r="A644" s="4" t="s">
        <v>1092</v>
      </c>
      <c r="B644" s="4" t="s">
        <v>1093</v>
      </c>
    </row>
    <row r="645" spans="1:2" x14ac:dyDescent="0.3">
      <c r="A645" s="4" t="s">
        <v>1094</v>
      </c>
      <c r="B645" s="4" t="s">
        <v>1095</v>
      </c>
    </row>
    <row r="646" spans="1:2" x14ac:dyDescent="0.3">
      <c r="A646" s="4" t="s">
        <v>1096</v>
      </c>
      <c r="B646" s="4" t="s">
        <v>1097</v>
      </c>
    </row>
    <row r="647" spans="1:2" x14ac:dyDescent="0.3">
      <c r="A647" s="4" t="s">
        <v>12258</v>
      </c>
      <c r="B647" s="4" t="s">
        <v>9744</v>
      </c>
    </row>
    <row r="648" spans="1:2" x14ac:dyDescent="0.3">
      <c r="A648" s="4" t="s">
        <v>1098</v>
      </c>
      <c r="B648" s="4" t="s">
        <v>1099</v>
      </c>
    </row>
    <row r="649" spans="1:2" x14ac:dyDescent="0.3">
      <c r="A649" s="4" t="s">
        <v>1101</v>
      </c>
      <c r="B649" s="4" t="s">
        <v>1102</v>
      </c>
    </row>
    <row r="650" spans="1:2" x14ac:dyDescent="0.3">
      <c r="A650" s="4" t="s">
        <v>8729</v>
      </c>
      <c r="B650" s="4" t="s">
        <v>8730</v>
      </c>
    </row>
    <row r="651" spans="1:2" x14ac:dyDescent="0.3">
      <c r="A651" s="4" t="s">
        <v>1103</v>
      </c>
      <c r="B651" s="4" t="s">
        <v>1104</v>
      </c>
    </row>
    <row r="652" spans="1:2" x14ac:dyDescent="0.3">
      <c r="A652" s="4" t="s">
        <v>1105</v>
      </c>
      <c r="B652" s="4" t="s">
        <v>1106</v>
      </c>
    </row>
    <row r="653" spans="1:2" x14ac:dyDescent="0.3">
      <c r="A653" s="4" t="s">
        <v>1107</v>
      </c>
      <c r="B653" s="4" t="s">
        <v>1108</v>
      </c>
    </row>
    <row r="654" spans="1:2" x14ac:dyDescent="0.3">
      <c r="A654" s="4" t="s">
        <v>1109</v>
      </c>
      <c r="B654" s="4" t="s">
        <v>1110</v>
      </c>
    </row>
    <row r="655" spans="1:2" x14ac:dyDescent="0.3">
      <c r="A655" s="4" t="s">
        <v>1111</v>
      </c>
      <c r="B655" s="4" t="s">
        <v>1112</v>
      </c>
    </row>
    <row r="656" spans="1:2" x14ac:dyDescent="0.3">
      <c r="A656" s="4" t="s">
        <v>1114</v>
      </c>
      <c r="B656" s="4" t="s">
        <v>1115</v>
      </c>
    </row>
    <row r="657" spans="1:2" x14ac:dyDescent="0.3">
      <c r="A657" s="4" t="s">
        <v>1116</v>
      </c>
      <c r="B657" s="4" t="s">
        <v>1117</v>
      </c>
    </row>
    <row r="658" spans="1:2" x14ac:dyDescent="0.3">
      <c r="A658" s="4" t="s">
        <v>8731</v>
      </c>
      <c r="B658" s="4" t="s">
        <v>8732</v>
      </c>
    </row>
    <row r="659" spans="1:2" x14ac:dyDescent="0.3">
      <c r="A659" s="4" t="s">
        <v>1118</v>
      </c>
      <c r="B659" s="4" t="s">
        <v>1119</v>
      </c>
    </row>
    <row r="660" spans="1:2" x14ac:dyDescent="0.3">
      <c r="A660" s="4" t="s">
        <v>1120</v>
      </c>
      <c r="B660" s="4" t="s">
        <v>1121</v>
      </c>
    </row>
    <row r="661" spans="1:2" x14ac:dyDescent="0.3">
      <c r="A661" s="4" t="s">
        <v>1122</v>
      </c>
      <c r="B661" s="4" t="s">
        <v>1123</v>
      </c>
    </row>
    <row r="662" spans="1:2" x14ac:dyDescent="0.3">
      <c r="A662" s="4" t="s">
        <v>1124</v>
      </c>
      <c r="B662" s="4" t="s">
        <v>1125</v>
      </c>
    </row>
    <row r="663" spans="1:2" x14ac:dyDescent="0.3">
      <c r="A663" s="4" t="s">
        <v>1126</v>
      </c>
      <c r="B663" s="4" t="s">
        <v>1127</v>
      </c>
    </row>
    <row r="664" spans="1:2" x14ac:dyDescent="0.3">
      <c r="A664" s="4" t="s">
        <v>12259</v>
      </c>
      <c r="B664" s="4" t="s">
        <v>12260</v>
      </c>
    </row>
    <row r="665" spans="1:2" x14ac:dyDescent="0.3">
      <c r="A665" s="4" t="s">
        <v>1128</v>
      </c>
      <c r="B665" s="4" t="s">
        <v>1129</v>
      </c>
    </row>
    <row r="666" spans="1:2" x14ac:dyDescent="0.3">
      <c r="A666" s="4" t="s">
        <v>1131</v>
      </c>
      <c r="B666" s="4" t="s">
        <v>1132</v>
      </c>
    </row>
    <row r="667" spans="1:2" x14ac:dyDescent="0.3">
      <c r="A667" s="4" t="s">
        <v>8733</v>
      </c>
      <c r="B667" s="4" t="s">
        <v>8734</v>
      </c>
    </row>
    <row r="668" spans="1:2" x14ac:dyDescent="0.3">
      <c r="A668" s="4" t="s">
        <v>1133</v>
      </c>
      <c r="B668" s="4" t="s">
        <v>1134</v>
      </c>
    </row>
    <row r="669" spans="1:2" x14ac:dyDescent="0.3">
      <c r="A669" s="4" t="s">
        <v>1136</v>
      </c>
      <c r="B669" s="4" t="s">
        <v>1137</v>
      </c>
    </row>
    <row r="670" spans="1:2" x14ac:dyDescent="0.3">
      <c r="A670" s="4" t="s">
        <v>1138</v>
      </c>
      <c r="B670" s="4" t="s">
        <v>1139</v>
      </c>
    </row>
    <row r="671" spans="1:2" x14ac:dyDescent="0.3">
      <c r="A671" s="4" t="s">
        <v>1140</v>
      </c>
      <c r="B671" s="4" t="s">
        <v>1141</v>
      </c>
    </row>
    <row r="672" spans="1:2" x14ac:dyDescent="0.3">
      <c r="A672" s="4" t="s">
        <v>1142</v>
      </c>
      <c r="B672" s="4" t="s">
        <v>1143</v>
      </c>
    </row>
    <row r="673" spans="1:2" x14ac:dyDescent="0.3">
      <c r="A673" s="4" t="s">
        <v>8735</v>
      </c>
      <c r="B673" s="4" t="s">
        <v>8736</v>
      </c>
    </row>
    <row r="674" spans="1:2" x14ac:dyDescent="0.3">
      <c r="A674" s="4" t="s">
        <v>1144</v>
      </c>
      <c r="B674" s="4" t="s">
        <v>1145</v>
      </c>
    </row>
    <row r="675" spans="1:2" x14ac:dyDescent="0.3">
      <c r="A675" s="4" t="s">
        <v>1146</v>
      </c>
      <c r="B675" s="4" t="s">
        <v>1147</v>
      </c>
    </row>
    <row r="676" spans="1:2" x14ac:dyDescent="0.3">
      <c r="A676" s="4" t="s">
        <v>1148</v>
      </c>
      <c r="B676" s="4" t="s">
        <v>1149</v>
      </c>
    </row>
    <row r="677" spans="1:2" x14ac:dyDescent="0.3">
      <c r="A677" s="4" t="s">
        <v>1150</v>
      </c>
      <c r="B677" s="4" t="s">
        <v>1151</v>
      </c>
    </row>
    <row r="678" spans="1:2" x14ac:dyDescent="0.3">
      <c r="A678" s="4" t="s">
        <v>1152</v>
      </c>
      <c r="B678" s="4" t="s">
        <v>1153</v>
      </c>
    </row>
    <row r="679" spans="1:2" x14ac:dyDescent="0.3">
      <c r="A679" s="4" t="s">
        <v>1154</v>
      </c>
      <c r="B679" s="4" t="s">
        <v>1155</v>
      </c>
    </row>
    <row r="680" spans="1:2" x14ac:dyDescent="0.3">
      <c r="A680" s="4" t="s">
        <v>1156</v>
      </c>
      <c r="B680" s="4" t="s">
        <v>1157</v>
      </c>
    </row>
    <row r="681" spans="1:2" x14ac:dyDescent="0.3">
      <c r="A681" s="4" t="s">
        <v>1158</v>
      </c>
      <c r="B681" s="4" t="s">
        <v>1159</v>
      </c>
    </row>
    <row r="682" spans="1:2" x14ac:dyDescent="0.3">
      <c r="A682" s="4" t="s">
        <v>1160</v>
      </c>
      <c r="B682" s="4" t="s">
        <v>1161</v>
      </c>
    </row>
    <row r="683" spans="1:2" x14ac:dyDescent="0.3">
      <c r="A683" s="4" t="s">
        <v>1162</v>
      </c>
      <c r="B683" s="4" t="s">
        <v>1163</v>
      </c>
    </row>
    <row r="684" spans="1:2" x14ac:dyDescent="0.3">
      <c r="A684" s="4" t="s">
        <v>1164</v>
      </c>
      <c r="B684" s="4" t="s">
        <v>1165</v>
      </c>
    </row>
    <row r="685" spans="1:2" x14ac:dyDescent="0.3">
      <c r="A685" s="4" t="s">
        <v>3032</v>
      </c>
      <c r="B685" s="4" t="s">
        <v>8737</v>
      </c>
    </row>
    <row r="686" spans="1:2" x14ac:dyDescent="0.3">
      <c r="A686" s="4" t="s">
        <v>1166</v>
      </c>
      <c r="B686" s="4" t="s">
        <v>1167</v>
      </c>
    </row>
    <row r="687" spans="1:2" x14ac:dyDescent="0.3">
      <c r="A687" s="4" t="s">
        <v>1169</v>
      </c>
      <c r="B687" s="4" t="s">
        <v>1170</v>
      </c>
    </row>
    <row r="688" spans="1:2" x14ac:dyDescent="0.3">
      <c r="A688" s="4" t="s">
        <v>1171</v>
      </c>
      <c r="B688" s="4" t="s">
        <v>1172</v>
      </c>
    </row>
    <row r="689" spans="1:2" x14ac:dyDescent="0.3">
      <c r="A689" s="4" t="s">
        <v>1173</v>
      </c>
      <c r="B689" s="4" t="s">
        <v>1174</v>
      </c>
    </row>
    <row r="690" spans="1:2" x14ac:dyDescent="0.3">
      <c r="A690" s="4" t="s">
        <v>1175</v>
      </c>
      <c r="B690" s="4" t="s">
        <v>1176</v>
      </c>
    </row>
    <row r="691" spans="1:2" x14ac:dyDescent="0.3">
      <c r="A691" s="4" t="s">
        <v>1177</v>
      </c>
      <c r="B691" s="4" t="s">
        <v>1178</v>
      </c>
    </row>
    <row r="692" spans="1:2" x14ac:dyDescent="0.3">
      <c r="A692" s="4" t="s">
        <v>1179</v>
      </c>
      <c r="B692" s="4" t="s">
        <v>1180</v>
      </c>
    </row>
    <row r="693" spans="1:2" x14ac:dyDescent="0.3">
      <c r="A693" s="4" t="s">
        <v>1182</v>
      </c>
      <c r="B693" s="4" t="s">
        <v>1183</v>
      </c>
    </row>
    <row r="694" spans="1:2" x14ac:dyDescent="0.3">
      <c r="A694" s="4" t="s">
        <v>1184</v>
      </c>
      <c r="B694" s="4" t="s">
        <v>1185</v>
      </c>
    </row>
    <row r="695" spans="1:2" x14ac:dyDescent="0.3">
      <c r="A695" s="4" t="s">
        <v>1186</v>
      </c>
      <c r="B695" s="4" t="s">
        <v>1187</v>
      </c>
    </row>
    <row r="696" spans="1:2" x14ac:dyDescent="0.3">
      <c r="A696" s="4" t="s">
        <v>1188</v>
      </c>
      <c r="B696" s="4" t="s">
        <v>1189</v>
      </c>
    </row>
    <row r="697" spans="1:2" x14ac:dyDescent="0.3">
      <c r="A697" s="4" t="s">
        <v>8738</v>
      </c>
      <c r="B697" s="4" t="s">
        <v>5198</v>
      </c>
    </row>
    <row r="698" spans="1:2" x14ac:dyDescent="0.3">
      <c r="A698" s="4" t="s">
        <v>1190</v>
      </c>
      <c r="B698" s="4" t="s">
        <v>1191</v>
      </c>
    </row>
    <row r="699" spans="1:2" x14ac:dyDescent="0.3">
      <c r="A699" s="4" t="s">
        <v>1192</v>
      </c>
      <c r="B699" s="4" t="s">
        <v>1193</v>
      </c>
    </row>
    <row r="700" spans="1:2" x14ac:dyDescent="0.3">
      <c r="A700" s="4" t="s">
        <v>1194</v>
      </c>
      <c r="B700" s="4" t="s">
        <v>1195</v>
      </c>
    </row>
    <row r="701" spans="1:2" x14ac:dyDescent="0.3">
      <c r="A701" s="4" t="s">
        <v>1196</v>
      </c>
      <c r="B701" s="4" t="s">
        <v>1197</v>
      </c>
    </row>
    <row r="702" spans="1:2" x14ac:dyDescent="0.3">
      <c r="A702" s="4" t="s">
        <v>12261</v>
      </c>
      <c r="B702" s="4" t="s">
        <v>5204</v>
      </c>
    </row>
    <row r="703" spans="1:2" x14ac:dyDescent="0.3">
      <c r="A703" s="4" t="s">
        <v>1198</v>
      </c>
      <c r="B703" s="4" t="s">
        <v>1199</v>
      </c>
    </row>
    <row r="704" spans="1:2" x14ac:dyDescent="0.3">
      <c r="A704" s="4" t="s">
        <v>1201</v>
      </c>
      <c r="B704" s="4" t="s">
        <v>1202</v>
      </c>
    </row>
    <row r="705" spans="1:2" x14ac:dyDescent="0.3">
      <c r="A705" s="4" t="s">
        <v>1203</v>
      </c>
      <c r="B705" s="4" t="s">
        <v>1204</v>
      </c>
    </row>
    <row r="706" spans="1:2" x14ac:dyDescent="0.3">
      <c r="A706" s="4" t="s">
        <v>1205</v>
      </c>
      <c r="B706" s="4" t="s">
        <v>1206</v>
      </c>
    </row>
    <row r="707" spans="1:2" x14ac:dyDescent="0.3">
      <c r="A707" s="4" t="s">
        <v>9217</v>
      </c>
      <c r="B707" s="4" t="s">
        <v>5214</v>
      </c>
    </row>
    <row r="708" spans="1:2" x14ac:dyDescent="0.3">
      <c r="A708" s="4" t="s">
        <v>8739</v>
      </c>
      <c r="B708" s="4" t="s">
        <v>5216</v>
      </c>
    </row>
    <row r="709" spans="1:2" x14ac:dyDescent="0.3">
      <c r="A709" s="4" t="s">
        <v>1207</v>
      </c>
      <c r="B709" s="4" t="s">
        <v>1208</v>
      </c>
    </row>
    <row r="710" spans="1:2" x14ac:dyDescent="0.3">
      <c r="A710" s="4" t="s">
        <v>8740</v>
      </c>
      <c r="B710" s="4" t="s">
        <v>8741</v>
      </c>
    </row>
    <row r="711" spans="1:2" x14ac:dyDescent="0.3">
      <c r="A711" s="4" t="s">
        <v>1209</v>
      </c>
      <c r="B711" s="4" t="s">
        <v>1210</v>
      </c>
    </row>
    <row r="712" spans="1:2" x14ac:dyDescent="0.3">
      <c r="A712" s="4" t="s">
        <v>4191</v>
      </c>
      <c r="B712" s="4" t="s">
        <v>9818</v>
      </c>
    </row>
    <row r="713" spans="1:2" x14ac:dyDescent="0.3">
      <c r="A713" s="4" t="s">
        <v>1211</v>
      </c>
      <c r="B713" s="4" t="s">
        <v>1212</v>
      </c>
    </row>
    <row r="714" spans="1:2" x14ac:dyDescent="0.3">
      <c r="A714" s="4" t="s">
        <v>1213</v>
      </c>
      <c r="B714" s="4" t="s">
        <v>1214</v>
      </c>
    </row>
    <row r="715" spans="1:2" x14ac:dyDescent="0.3">
      <c r="A715" s="4" t="s">
        <v>1215</v>
      </c>
      <c r="B715" s="4" t="s">
        <v>1216</v>
      </c>
    </row>
    <row r="716" spans="1:2" x14ac:dyDescent="0.3">
      <c r="A716" s="4" t="s">
        <v>1217</v>
      </c>
      <c r="B716" s="4" t="s">
        <v>1218</v>
      </c>
    </row>
    <row r="717" spans="1:2" x14ac:dyDescent="0.3">
      <c r="A717" s="4" t="s">
        <v>1219</v>
      </c>
      <c r="B717" s="4" t="s">
        <v>1220</v>
      </c>
    </row>
    <row r="718" spans="1:2" x14ac:dyDescent="0.3">
      <c r="A718" s="4" t="s">
        <v>1221</v>
      </c>
      <c r="B718" s="4" t="s">
        <v>1222</v>
      </c>
    </row>
    <row r="719" spans="1:2" x14ac:dyDescent="0.3">
      <c r="A719" s="4" t="s">
        <v>3064</v>
      </c>
      <c r="B719" s="4" t="s">
        <v>12262</v>
      </c>
    </row>
    <row r="720" spans="1:2" x14ac:dyDescent="0.3">
      <c r="A720" s="4" t="s">
        <v>8742</v>
      </c>
      <c r="B720" s="4" t="s">
        <v>8743</v>
      </c>
    </row>
    <row r="721" spans="1:2" x14ac:dyDescent="0.3">
      <c r="A721" s="4" t="s">
        <v>1223</v>
      </c>
      <c r="B721" s="4" t="s">
        <v>1224</v>
      </c>
    </row>
    <row r="722" spans="1:2" x14ac:dyDescent="0.3">
      <c r="A722" s="4" t="s">
        <v>1225</v>
      </c>
      <c r="B722" s="4" t="s">
        <v>1226</v>
      </c>
    </row>
    <row r="723" spans="1:2" x14ac:dyDescent="0.3">
      <c r="A723" s="4" t="s">
        <v>1227</v>
      </c>
      <c r="B723" s="4" t="s">
        <v>1228</v>
      </c>
    </row>
    <row r="724" spans="1:2" x14ac:dyDescent="0.3">
      <c r="A724" s="4" t="s">
        <v>1229</v>
      </c>
      <c r="B724" s="4" t="s">
        <v>1230</v>
      </c>
    </row>
    <row r="725" spans="1:2" x14ac:dyDescent="0.3">
      <c r="A725" s="4" t="s">
        <v>12263</v>
      </c>
      <c r="B725" s="4" t="s">
        <v>12264</v>
      </c>
    </row>
    <row r="726" spans="1:2" x14ac:dyDescent="0.3">
      <c r="A726" s="4" t="s">
        <v>1231</v>
      </c>
      <c r="B726" s="4" t="s">
        <v>1232</v>
      </c>
    </row>
    <row r="727" spans="1:2" x14ac:dyDescent="0.3">
      <c r="A727" s="4" t="s">
        <v>1233</v>
      </c>
      <c r="B727" s="4" t="s">
        <v>1234</v>
      </c>
    </row>
    <row r="728" spans="1:2" x14ac:dyDescent="0.3">
      <c r="A728" s="4" t="s">
        <v>1235</v>
      </c>
      <c r="B728" s="4" t="s">
        <v>1236</v>
      </c>
    </row>
    <row r="729" spans="1:2" x14ac:dyDescent="0.3">
      <c r="A729" s="4" t="s">
        <v>2098</v>
      </c>
      <c r="B729" s="4" t="s">
        <v>8746</v>
      </c>
    </row>
    <row r="730" spans="1:2" x14ac:dyDescent="0.3">
      <c r="A730" s="4" t="s">
        <v>1237</v>
      </c>
      <c r="B730" s="4" t="s">
        <v>1238</v>
      </c>
    </row>
    <row r="731" spans="1:2" x14ac:dyDescent="0.3">
      <c r="A731" s="4" t="s">
        <v>1239</v>
      </c>
      <c r="B731" s="4" t="s">
        <v>1240</v>
      </c>
    </row>
    <row r="732" spans="1:2" x14ac:dyDescent="0.3">
      <c r="A732" s="4" t="s">
        <v>1241</v>
      </c>
      <c r="B732" s="4" t="s">
        <v>1242</v>
      </c>
    </row>
    <row r="733" spans="1:2" x14ac:dyDescent="0.3">
      <c r="A733" s="4" t="s">
        <v>1243</v>
      </c>
      <c r="B733" s="4" t="s">
        <v>1244</v>
      </c>
    </row>
    <row r="734" spans="1:2" x14ac:dyDescent="0.3">
      <c r="A734" s="4" t="s">
        <v>1245</v>
      </c>
      <c r="B734" s="4" t="s">
        <v>1246</v>
      </c>
    </row>
    <row r="735" spans="1:2" x14ac:dyDescent="0.3">
      <c r="A735" s="4" t="s">
        <v>1247</v>
      </c>
      <c r="B735" s="4" t="s">
        <v>1248</v>
      </c>
    </row>
    <row r="736" spans="1:2" x14ac:dyDescent="0.3">
      <c r="A736" s="4" t="s">
        <v>1249</v>
      </c>
      <c r="B736" s="4" t="s">
        <v>1250</v>
      </c>
    </row>
    <row r="737" spans="1:2" x14ac:dyDescent="0.3">
      <c r="A737" s="4" t="s">
        <v>1251</v>
      </c>
      <c r="B737" s="4" t="s">
        <v>1252</v>
      </c>
    </row>
    <row r="738" spans="1:2" x14ac:dyDescent="0.3">
      <c r="A738" s="4" t="s">
        <v>1253</v>
      </c>
      <c r="B738" s="4" t="s">
        <v>1254</v>
      </c>
    </row>
    <row r="739" spans="1:2" x14ac:dyDescent="0.3">
      <c r="A739" s="4" t="s">
        <v>1255</v>
      </c>
      <c r="B739" s="4" t="s">
        <v>1256</v>
      </c>
    </row>
    <row r="740" spans="1:2" x14ac:dyDescent="0.3">
      <c r="A740" s="4" t="s">
        <v>8747</v>
      </c>
      <c r="B740" s="4" t="s">
        <v>8748</v>
      </c>
    </row>
    <row r="741" spans="1:2" x14ac:dyDescent="0.3">
      <c r="A741" s="4" t="s">
        <v>1258</v>
      </c>
      <c r="B741" s="4" t="s">
        <v>1259</v>
      </c>
    </row>
    <row r="742" spans="1:2" x14ac:dyDescent="0.3">
      <c r="A742" s="4" t="s">
        <v>1260</v>
      </c>
      <c r="B742" s="4" t="s">
        <v>1261</v>
      </c>
    </row>
    <row r="743" spans="1:2" x14ac:dyDescent="0.3">
      <c r="A743" s="4" t="s">
        <v>1262</v>
      </c>
      <c r="B743" s="4" t="s">
        <v>1263</v>
      </c>
    </row>
    <row r="744" spans="1:2" x14ac:dyDescent="0.3">
      <c r="A744" s="4" t="s">
        <v>12265</v>
      </c>
      <c r="B744" s="4" t="s">
        <v>9865</v>
      </c>
    </row>
    <row r="745" spans="1:2" x14ac:dyDescent="0.3">
      <c r="A745" s="4" t="s">
        <v>1266</v>
      </c>
      <c r="B745" s="4" t="s">
        <v>1267</v>
      </c>
    </row>
    <row r="746" spans="1:2" x14ac:dyDescent="0.3">
      <c r="A746" s="4" t="s">
        <v>8749</v>
      </c>
      <c r="B746" s="4" t="s">
        <v>8750</v>
      </c>
    </row>
    <row r="747" spans="1:2" x14ac:dyDescent="0.3">
      <c r="A747" s="4" t="s">
        <v>12266</v>
      </c>
      <c r="B747" s="4" t="s">
        <v>9869</v>
      </c>
    </row>
    <row r="748" spans="1:2" x14ac:dyDescent="0.3">
      <c r="A748" s="4" t="s">
        <v>1268</v>
      </c>
      <c r="B748" s="4" t="s">
        <v>1269</v>
      </c>
    </row>
    <row r="749" spans="1:2" x14ac:dyDescent="0.3">
      <c r="A749" s="4" t="s">
        <v>8751</v>
      </c>
      <c r="B749" s="4" t="s">
        <v>5265</v>
      </c>
    </row>
    <row r="750" spans="1:2" x14ac:dyDescent="0.3">
      <c r="A750" s="4" t="s">
        <v>1270</v>
      </c>
      <c r="B750" s="4" t="s">
        <v>1271</v>
      </c>
    </row>
    <row r="751" spans="1:2" x14ac:dyDescent="0.3">
      <c r="A751" s="4" t="s">
        <v>1274</v>
      </c>
      <c r="B751" s="4" t="s">
        <v>1275</v>
      </c>
    </row>
    <row r="752" spans="1:2" x14ac:dyDescent="0.3">
      <c r="A752" s="4" t="s">
        <v>1276</v>
      </c>
      <c r="B752" s="4" t="s">
        <v>1277</v>
      </c>
    </row>
    <row r="753" spans="1:2" x14ac:dyDescent="0.3">
      <c r="A753" s="4" t="s">
        <v>1278</v>
      </c>
      <c r="B753" s="4" t="s">
        <v>1279</v>
      </c>
    </row>
    <row r="754" spans="1:2" x14ac:dyDescent="0.3">
      <c r="A754" s="4" t="s">
        <v>8752</v>
      </c>
      <c r="B754" s="4" t="s">
        <v>8753</v>
      </c>
    </row>
    <row r="755" spans="1:2" x14ac:dyDescent="0.3">
      <c r="A755" s="4" t="s">
        <v>8754</v>
      </c>
      <c r="B755" s="4" t="s">
        <v>5268</v>
      </c>
    </row>
    <row r="756" spans="1:2" x14ac:dyDescent="0.3">
      <c r="A756" s="4" t="s">
        <v>1282</v>
      </c>
      <c r="B756" s="4" t="s">
        <v>1283</v>
      </c>
    </row>
    <row r="757" spans="1:2" x14ac:dyDescent="0.3">
      <c r="A757" s="4" t="s">
        <v>1284</v>
      </c>
      <c r="B757" s="4" t="s">
        <v>1285</v>
      </c>
    </row>
    <row r="758" spans="1:2" x14ac:dyDescent="0.3">
      <c r="A758" s="4" t="s">
        <v>8755</v>
      </c>
      <c r="B758" s="4" t="s">
        <v>5274</v>
      </c>
    </row>
    <row r="759" spans="1:2" x14ac:dyDescent="0.3">
      <c r="A759" s="4" t="s">
        <v>1286</v>
      </c>
      <c r="B759" s="4" t="s">
        <v>1287</v>
      </c>
    </row>
    <row r="760" spans="1:2" x14ac:dyDescent="0.3">
      <c r="A760" s="4" t="s">
        <v>1288</v>
      </c>
      <c r="B760" s="4" t="s">
        <v>1289</v>
      </c>
    </row>
    <row r="761" spans="1:2" x14ac:dyDescent="0.3">
      <c r="A761" s="4" t="s">
        <v>8756</v>
      </c>
      <c r="B761" s="4" t="s">
        <v>5276</v>
      </c>
    </row>
    <row r="762" spans="1:2" x14ac:dyDescent="0.3">
      <c r="A762" s="4" t="s">
        <v>1290</v>
      </c>
      <c r="B762" s="4" t="s">
        <v>1291</v>
      </c>
    </row>
    <row r="763" spans="1:2" x14ac:dyDescent="0.3">
      <c r="A763" s="4" t="s">
        <v>8757</v>
      </c>
      <c r="B763" s="4" t="s">
        <v>8758</v>
      </c>
    </row>
    <row r="764" spans="1:2" x14ac:dyDescent="0.3">
      <c r="A764" s="4" t="s">
        <v>1292</v>
      </c>
      <c r="B764" s="4" t="s">
        <v>1293</v>
      </c>
    </row>
    <row r="765" spans="1:2" x14ac:dyDescent="0.3">
      <c r="A765" s="4" t="s">
        <v>1294</v>
      </c>
      <c r="B765" s="4" t="s">
        <v>1295</v>
      </c>
    </row>
    <row r="766" spans="1:2" x14ac:dyDescent="0.3">
      <c r="A766" s="4" t="s">
        <v>1296</v>
      </c>
      <c r="B766" s="4" t="s">
        <v>1297</v>
      </c>
    </row>
    <row r="767" spans="1:2" x14ac:dyDescent="0.3">
      <c r="A767" s="4" t="s">
        <v>1299</v>
      </c>
      <c r="B767" s="4" t="s">
        <v>1300</v>
      </c>
    </row>
    <row r="768" spans="1:2" x14ac:dyDescent="0.3">
      <c r="A768" s="4" t="s">
        <v>1301</v>
      </c>
      <c r="B768" s="4" t="s">
        <v>1302</v>
      </c>
    </row>
    <row r="769" spans="1:2" x14ac:dyDescent="0.3">
      <c r="A769" s="4" t="s">
        <v>1304</v>
      </c>
      <c r="B769" s="4" t="s">
        <v>1305</v>
      </c>
    </row>
    <row r="770" spans="1:2" x14ac:dyDescent="0.3">
      <c r="A770" s="4" t="s">
        <v>1306</v>
      </c>
      <c r="B770" s="4" t="s">
        <v>1307</v>
      </c>
    </row>
    <row r="771" spans="1:2" x14ac:dyDescent="0.3">
      <c r="A771" s="4" t="s">
        <v>8759</v>
      </c>
      <c r="B771" s="4" t="s">
        <v>8760</v>
      </c>
    </row>
    <row r="772" spans="1:2" x14ac:dyDescent="0.3">
      <c r="A772" s="4" t="s">
        <v>2310</v>
      </c>
      <c r="B772" s="4" t="s">
        <v>8761</v>
      </c>
    </row>
    <row r="773" spans="1:2" x14ac:dyDescent="0.3">
      <c r="A773" s="4" t="s">
        <v>1308</v>
      </c>
      <c r="B773" s="4" t="s">
        <v>1309</v>
      </c>
    </row>
    <row r="774" spans="1:2" x14ac:dyDescent="0.3">
      <c r="A774" s="4" t="s">
        <v>8762</v>
      </c>
      <c r="B774" s="4" t="s">
        <v>8763</v>
      </c>
    </row>
    <row r="775" spans="1:2" x14ac:dyDescent="0.3">
      <c r="A775" s="4" t="s">
        <v>1310</v>
      </c>
      <c r="B775" s="4" t="s">
        <v>1311</v>
      </c>
    </row>
    <row r="776" spans="1:2" x14ac:dyDescent="0.3">
      <c r="A776" s="4" t="s">
        <v>1312</v>
      </c>
      <c r="B776" s="4" t="s">
        <v>1313</v>
      </c>
    </row>
    <row r="777" spans="1:2" x14ac:dyDescent="0.3">
      <c r="A777" s="4" t="s">
        <v>1314</v>
      </c>
      <c r="B777" s="4" t="s">
        <v>1315</v>
      </c>
    </row>
    <row r="778" spans="1:2" x14ac:dyDescent="0.3">
      <c r="A778" s="4" t="s">
        <v>1316</v>
      </c>
      <c r="B778" s="4" t="s">
        <v>1317</v>
      </c>
    </row>
    <row r="779" spans="1:2" x14ac:dyDescent="0.3">
      <c r="A779" s="4" t="s">
        <v>1318</v>
      </c>
      <c r="B779" s="4" t="s">
        <v>1319</v>
      </c>
    </row>
    <row r="780" spans="1:2" x14ac:dyDescent="0.3">
      <c r="A780" s="4" t="s">
        <v>1320</v>
      </c>
      <c r="B780" s="4" t="s">
        <v>1321</v>
      </c>
    </row>
    <row r="781" spans="1:2" x14ac:dyDescent="0.3">
      <c r="A781" s="4" t="s">
        <v>1322</v>
      </c>
      <c r="B781" s="4" t="s">
        <v>8764</v>
      </c>
    </row>
    <row r="782" spans="1:2" x14ac:dyDescent="0.3">
      <c r="A782" s="4" t="s">
        <v>8765</v>
      </c>
      <c r="B782" s="4" t="s">
        <v>5307</v>
      </c>
    </row>
    <row r="783" spans="1:2" x14ac:dyDescent="0.3">
      <c r="A783" s="4" t="s">
        <v>1323</v>
      </c>
      <c r="B783" s="4" t="s">
        <v>1324</v>
      </c>
    </row>
    <row r="784" spans="1:2" x14ac:dyDescent="0.3">
      <c r="A784" s="4" t="s">
        <v>1325</v>
      </c>
      <c r="B784" s="4" t="s">
        <v>1326</v>
      </c>
    </row>
    <row r="785" spans="1:2" x14ac:dyDescent="0.3">
      <c r="A785" s="4" t="s">
        <v>1327</v>
      </c>
      <c r="B785" s="4" t="s">
        <v>1328</v>
      </c>
    </row>
    <row r="786" spans="1:2" x14ac:dyDescent="0.3">
      <c r="A786" s="4" t="s">
        <v>1329</v>
      </c>
      <c r="B786" s="4" t="s">
        <v>1330</v>
      </c>
    </row>
    <row r="787" spans="1:2" x14ac:dyDescent="0.3">
      <c r="A787" s="4" t="s">
        <v>1331</v>
      </c>
      <c r="B787" s="4" t="s">
        <v>1332</v>
      </c>
    </row>
    <row r="788" spans="1:2" x14ac:dyDescent="0.3">
      <c r="A788" s="4" t="s">
        <v>1333</v>
      </c>
      <c r="B788" s="4" t="s">
        <v>1334</v>
      </c>
    </row>
    <row r="789" spans="1:2" x14ac:dyDescent="0.3">
      <c r="A789" s="4" t="s">
        <v>1335</v>
      </c>
      <c r="B789" s="4" t="s">
        <v>1336</v>
      </c>
    </row>
    <row r="790" spans="1:2" x14ac:dyDescent="0.3">
      <c r="A790" s="4" t="s">
        <v>1337</v>
      </c>
      <c r="B790" s="4" t="s">
        <v>1338</v>
      </c>
    </row>
    <row r="791" spans="1:2" x14ac:dyDescent="0.3">
      <c r="A791" s="4" t="s">
        <v>1339</v>
      </c>
      <c r="B791" s="4" t="s">
        <v>1340</v>
      </c>
    </row>
    <row r="792" spans="1:2" x14ac:dyDescent="0.3">
      <c r="A792" s="4" t="s">
        <v>1341</v>
      </c>
      <c r="B792" s="4" t="s">
        <v>1342</v>
      </c>
    </row>
    <row r="793" spans="1:2" x14ac:dyDescent="0.3">
      <c r="A793" s="4" t="s">
        <v>8766</v>
      </c>
      <c r="B793" s="4" t="s">
        <v>8767</v>
      </c>
    </row>
    <row r="794" spans="1:2" x14ac:dyDescent="0.3">
      <c r="A794" s="4" t="s">
        <v>1343</v>
      </c>
      <c r="B794" s="4" t="s">
        <v>1344</v>
      </c>
    </row>
    <row r="795" spans="1:2" x14ac:dyDescent="0.3">
      <c r="A795" s="4" t="s">
        <v>8768</v>
      </c>
      <c r="B795" s="4" t="s">
        <v>8769</v>
      </c>
    </row>
    <row r="796" spans="1:2" x14ac:dyDescent="0.3">
      <c r="A796" s="4" t="s">
        <v>8770</v>
      </c>
      <c r="B796" s="4" t="s">
        <v>8771</v>
      </c>
    </row>
    <row r="797" spans="1:2" x14ac:dyDescent="0.3">
      <c r="A797" s="4" t="s">
        <v>1346</v>
      </c>
      <c r="B797" s="4" t="s">
        <v>1347</v>
      </c>
    </row>
    <row r="798" spans="1:2" x14ac:dyDescent="0.3">
      <c r="A798" s="4" t="s">
        <v>1348</v>
      </c>
      <c r="B798" s="4" t="s">
        <v>1349</v>
      </c>
    </row>
    <row r="799" spans="1:2" x14ac:dyDescent="0.3">
      <c r="A799" s="4" t="s">
        <v>8772</v>
      </c>
      <c r="B799" s="4" t="s">
        <v>8773</v>
      </c>
    </row>
    <row r="800" spans="1:2" x14ac:dyDescent="0.3">
      <c r="A800" s="4" t="s">
        <v>1350</v>
      </c>
      <c r="B800" s="4" t="s">
        <v>1351</v>
      </c>
    </row>
    <row r="801" spans="1:2" x14ac:dyDescent="0.3">
      <c r="A801" s="4" t="s">
        <v>1352</v>
      </c>
      <c r="B801" s="4" t="s">
        <v>1353</v>
      </c>
    </row>
    <row r="802" spans="1:2" x14ac:dyDescent="0.3">
      <c r="A802" s="4" t="s">
        <v>1280</v>
      </c>
      <c r="B802" s="4" t="s">
        <v>12267</v>
      </c>
    </row>
    <row r="803" spans="1:2" x14ac:dyDescent="0.3">
      <c r="A803" s="4" t="s">
        <v>1355</v>
      </c>
      <c r="B803" s="4" t="s">
        <v>1356</v>
      </c>
    </row>
    <row r="804" spans="1:2" x14ac:dyDescent="0.3">
      <c r="A804" s="4" t="s">
        <v>3438</v>
      </c>
      <c r="B804" s="4" t="s">
        <v>8774</v>
      </c>
    </row>
    <row r="805" spans="1:2" x14ac:dyDescent="0.3">
      <c r="A805" s="4" t="s">
        <v>12268</v>
      </c>
      <c r="B805" s="4" t="s">
        <v>9974</v>
      </c>
    </row>
    <row r="806" spans="1:2" x14ac:dyDescent="0.3">
      <c r="A806" s="4" t="s">
        <v>8775</v>
      </c>
      <c r="B806" s="4" t="s">
        <v>8776</v>
      </c>
    </row>
    <row r="807" spans="1:2" x14ac:dyDescent="0.3">
      <c r="A807" s="4" t="s">
        <v>1357</v>
      </c>
      <c r="B807" s="4" t="s">
        <v>1358</v>
      </c>
    </row>
    <row r="808" spans="1:2" x14ac:dyDescent="0.3">
      <c r="A808" s="4" t="s">
        <v>1359</v>
      </c>
      <c r="B808" s="4" t="s">
        <v>1360</v>
      </c>
    </row>
    <row r="809" spans="1:2" x14ac:dyDescent="0.3">
      <c r="A809" s="4" t="s">
        <v>1361</v>
      </c>
      <c r="B809" s="4" t="s">
        <v>1362</v>
      </c>
    </row>
    <row r="810" spans="1:2" x14ac:dyDescent="0.3">
      <c r="A810" s="4" t="s">
        <v>1100</v>
      </c>
      <c r="B810" s="4" t="s">
        <v>12269</v>
      </c>
    </row>
    <row r="811" spans="1:2" x14ac:dyDescent="0.3">
      <c r="A811" s="4" t="s">
        <v>8777</v>
      </c>
      <c r="B811" s="4" t="s">
        <v>8778</v>
      </c>
    </row>
    <row r="812" spans="1:2" x14ac:dyDescent="0.3">
      <c r="A812" s="4" t="s">
        <v>536</v>
      </c>
      <c r="B812" s="4" t="s">
        <v>8779</v>
      </c>
    </row>
    <row r="813" spans="1:2" x14ac:dyDescent="0.3">
      <c r="A813" s="4" t="s">
        <v>1363</v>
      </c>
      <c r="B813" s="4" t="s">
        <v>1364</v>
      </c>
    </row>
    <row r="814" spans="1:2" x14ac:dyDescent="0.3">
      <c r="A814" s="4" t="s">
        <v>12270</v>
      </c>
      <c r="B814" s="4" t="s">
        <v>9989</v>
      </c>
    </row>
    <row r="815" spans="1:2" x14ac:dyDescent="0.3">
      <c r="A815" s="4" t="s">
        <v>8780</v>
      </c>
      <c r="B815" s="4" t="s">
        <v>8781</v>
      </c>
    </row>
    <row r="816" spans="1:2" x14ac:dyDescent="0.3">
      <c r="A816" s="4" t="s">
        <v>1365</v>
      </c>
      <c r="B816" s="4" t="s">
        <v>1366</v>
      </c>
    </row>
    <row r="817" spans="1:2" x14ac:dyDescent="0.3">
      <c r="A817" s="4" t="s">
        <v>1367</v>
      </c>
      <c r="B817" s="4" t="s">
        <v>1368</v>
      </c>
    </row>
    <row r="818" spans="1:2" x14ac:dyDescent="0.3">
      <c r="A818" s="4" t="s">
        <v>1369</v>
      </c>
      <c r="B818" s="4" t="s">
        <v>1370</v>
      </c>
    </row>
    <row r="819" spans="1:2" x14ac:dyDescent="0.3">
      <c r="A819" s="4" t="s">
        <v>1371</v>
      </c>
      <c r="B819" s="4" t="s">
        <v>1372</v>
      </c>
    </row>
    <row r="820" spans="1:2" x14ac:dyDescent="0.3">
      <c r="A820" s="4" t="s">
        <v>1373</v>
      </c>
      <c r="B820" s="4" t="s">
        <v>1374</v>
      </c>
    </row>
    <row r="821" spans="1:2" x14ac:dyDescent="0.3">
      <c r="A821" s="4" t="s">
        <v>2357</v>
      </c>
      <c r="B821" s="4" t="s">
        <v>12271</v>
      </c>
    </row>
    <row r="822" spans="1:2" x14ac:dyDescent="0.3">
      <c r="A822" s="4" t="s">
        <v>1272</v>
      </c>
      <c r="B822" s="4" t="s">
        <v>8782</v>
      </c>
    </row>
    <row r="823" spans="1:2" x14ac:dyDescent="0.3">
      <c r="A823" s="4" t="s">
        <v>573</v>
      </c>
      <c r="B823" s="4" t="s">
        <v>8783</v>
      </c>
    </row>
    <row r="824" spans="1:2" x14ac:dyDescent="0.3">
      <c r="A824" s="4" t="s">
        <v>565</v>
      </c>
      <c r="B824" s="4" t="s">
        <v>8784</v>
      </c>
    </row>
    <row r="825" spans="1:2" x14ac:dyDescent="0.3">
      <c r="A825" s="4" t="s">
        <v>1375</v>
      </c>
      <c r="B825" s="4" t="s">
        <v>1376</v>
      </c>
    </row>
    <row r="826" spans="1:2" x14ac:dyDescent="0.3">
      <c r="A826" s="4" t="s">
        <v>4154</v>
      </c>
      <c r="B826" s="4" t="s">
        <v>5371</v>
      </c>
    </row>
    <row r="827" spans="1:2" x14ac:dyDescent="0.3">
      <c r="A827" s="4" t="s">
        <v>1377</v>
      </c>
      <c r="B827" s="4" t="s">
        <v>1378</v>
      </c>
    </row>
    <row r="828" spans="1:2" x14ac:dyDescent="0.3">
      <c r="A828" s="4" t="s">
        <v>1379</v>
      </c>
      <c r="B828" s="4" t="s">
        <v>1380</v>
      </c>
    </row>
    <row r="829" spans="1:2" x14ac:dyDescent="0.3">
      <c r="A829" s="4" t="s">
        <v>1381</v>
      </c>
      <c r="B829" s="4" t="s">
        <v>1382</v>
      </c>
    </row>
    <row r="830" spans="1:2" x14ac:dyDescent="0.3">
      <c r="A830" s="4" t="s">
        <v>1383</v>
      </c>
      <c r="B830" s="4" t="s">
        <v>1384</v>
      </c>
    </row>
    <row r="831" spans="1:2" x14ac:dyDescent="0.3">
      <c r="A831" s="4" t="s">
        <v>879</v>
      </c>
      <c r="B831" s="4" t="s">
        <v>8785</v>
      </c>
    </row>
    <row r="832" spans="1:2" x14ac:dyDescent="0.3">
      <c r="A832" s="4" t="s">
        <v>3999</v>
      </c>
      <c r="B832" s="4" t="s">
        <v>8786</v>
      </c>
    </row>
    <row r="833" spans="1:2" x14ac:dyDescent="0.3">
      <c r="A833" s="4" t="s">
        <v>4185</v>
      </c>
      <c r="B833" s="4" t="s">
        <v>8787</v>
      </c>
    </row>
    <row r="834" spans="1:2" x14ac:dyDescent="0.3">
      <c r="A834" s="4" t="s">
        <v>8788</v>
      </c>
      <c r="B834" s="4" t="s">
        <v>8789</v>
      </c>
    </row>
    <row r="835" spans="1:2" x14ac:dyDescent="0.3">
      <c r="A835" s="4" t="s">
        <v>1385</v>
      </c>
      <c r="B835" s="4" t="s">
        <v>1386</v>
      </c>
    </row>
    <row r="836" spans="1:2" x14ac:dyDescent="0.3">
      <c r="A836" s="4" t="s">
        <v>1388</v>
      </c>
      <c r="B836" s="4" t="s">
        <v>1389</v>
      </c>
    </row>
    <row r="837" spans="1:2" x14ac:dyDescent="0.3">
      <c r="A837" s="4" t="s">
        <v>1390</v>
      </c>
      <c r="B837" s="4" t="s">
        <v>1391</v>
      </c>
    </row>
    <row r="838" spans="1:2" x14ac:dyDescent="0.3">
      <c r="A838" s="4" t="s">
        <v>1392</v>
      </c>
      <c r="B838" s="4" t="s">
        <v>1393</v>
      </c>
    </row>
    <row r="839" spans="1:2" x14ac:dyDescent="0.3">
      <c r="A839" s="4" t="s">
        <v>1394</v>
      </c>
      <c r="B839" s="4" t="s">
        <v>1395</v>
      </c>
    </row>
    <row r="840" spans="1:2" x14ac:dyDescent="0.3">
      <c r="A840" s="4" t="s">
        <v>1396</v>
      </c>
      <c r="B840" s="4" t="s">
        <v>12272</v>
      </c>
    </row>
    <row r="841" spans="1:2" x14ac:dyDescent="0.3">
      <c r="A841" s="4" t="s">
        <v>1397</v>
      </c>
      <c r="B841" s="4" t="s">
        <v>1398</v>
      </c>
    </row>
    <row r="842" spans="1:2" x14ac:dyDescent="0.3">
      <c r="A842" s="4" t="s">
        <v>1399</v>
      </c>
      <c r="B842" s="4" t="s">
        <v>1400</v>
      </c>
    </row>
    <row r="843" spans="1:2" x14ac:dyDescent="0.3">
      <c r="A843" s="4" t="s">
        <v>2083</v>
      </c>
      <c r="B843" s="4" t="s">
        <v>8790</v>
      </c>
    </row>
    <row r="844" spans="1:2" x14ac:dyDescent="0.3">
      <c r="A844" s="4" t="s">
        <v>1401</v>
      </c>
      <c r="B844" s="4" t="s">
        <v>1402</v>
      </c>
    </row>
    <row r="845" spans="1:2" x14ac:dyDescent="0.3">
      <c r="A845" s="4" t="s">
        <v>1403</v>
      </c>
      <c r="B845" s="4" t="s">
        <v>1404</v>
      </c>
    </row>
    <row r="846" spans="1:2" x14ac:dyDescent="0.3">
      <c r="A846" s="4" t="s">
        <v>1405</v>
      </c>
      <c r="B846" s="4" t="s">
        <v>1406</v>
      </c>
    </row>
    <row r="847" spans="1:2" x14ac:dyDescent="0.3">
      <c r="A847" s="4" t="s">
        <v>1407</v>
      </c>
      <c r="B847" s="4" t="s">
        <v>1408</v>
      </c>
    </row>
    <row r="848" spans="1:2" x14ac:dyDescent="0.3">
      <c r="A848" s="4" t="s">
        <v>1409</v>
      </c>
      <c r="B848" s="4" t="s">
        <v>1410</v>
      </c>
    </row>
    <row r="849" spans="1:2" x14ac:dyDescent="0.3">
      <c r="A849" s="4" t="s">
        <v>1411</v>
      </c>
      <c r="B849" s="4" t="s">
        <v>1412</v>
      </c>
    </row>
    <row r="850" spans="1:2" x14ac:dyDescent="0.3">
      <c r="A850" s="4" t="s">
        <v>12273</v>
      </c>
      <c r="B850" s="4" t="s">
        <v>10045</v>
      </c>
    </row>
    <row r="851" spans="1:2" x14ac:dyDescent="0.3">
      <c r="A851" s="4" t="s">
        <v>1413</v>
      </c>
      <c r="B851" s="4" t="s">
        <v>1414</v>
      </c>
    </row>
    <row r="852" spans="1:2" x14ac:dyDescent="0.3">
      <c r="A852" s="4" t="s">
        <v>1416</v>
      </c>
      <c r="B852" s="4" t="s">
        <v>8791</v>
      </c>
    </row>
    <row r="853" spans="1:2" x14ac:dyDescent="0.3">
      <c r="A853" s="4" t="s">
        <v>12274</v>
      </c>
      <c r="B853" s="4" t="s">
        <v>10047</v>
      </c>
    </row>
    <row r="854" spans="1:2" x14ac:dyDescent="0.3">
      <c r="A854" s="4" t="s">
        <v>1417</v>
      </c>
      <c r="B854" s="4" t="s">
        <v>1418</v>
      </c>
    </row>
    <row r="855" spans="1:2" x14ac:dyDescent="0.3">
      <c r="A855" s="4" t="s">
        <v>1419</v>
      </c>
      <c r="B855" s="4" t="s">
        <v>1420</v>
      </c>
    </row>
    <row r="856" spans="1:2" x14ac:dyDescent="0.3">
      <c r="A856" s="4" t="s">
        <v>1421</v>
      </c>
      <c r="B856" s="4" t="s">
        <v>1422</v>
      </c>
    </row>
    <row r="857" spans="1:2" x14ac:dyDescent="0.3">
      <c r="A857" s="4" t="s">
        <v>1423</v>
      </c>
      <c r="B857" s="4" t="s">
        <v>1424</v>
      </c>
    </row>
    <row r="858" spans="1:2" x14ac:dyDescent="0.3">
      <c r="A858" s="4" t="s">
        <v>1425</v>
      </c>
      <c r="B858" s="4" t="s">
        <v>1426</v>
      </c>
    </row>
    <row r="859" spans="1:2" x14ac:dyDescent="0.3">
      <c r="A859" s="4" t="s">
        <v>1428</v>
      </c>
      <c r="B859" s="4" t="s">
        <v>1429</v>
      </c>
    </row>
    <row r="860" spans="1:2" x14ac:dyDescent="0.3">
      <c r="A860" s="4" t="s">
        <v>1430</v>
      </c>
      <c r="B860" s="4" t="s">
        <v>1431</v>
      </c>
    </row>
    <row r="861" spans="1:2" x14ac:dyDescent="0.3">
      <c r="A861" s="4" t="s">
        <v>1432</v>
      </c>
      <c r="B861" s="4" t="s">
        <v>1433</v>
      </c>
    </row>
    <row r="862" spans="1:2" x14ac:dyDescent="0.3">
      <c r="A862" s="4" t="s">
        <v>1434</v>
      </c>
      <c r="B862" s="4" t="s">
        <v>1435</v>
      </c>
    </row>
    <row r="863" spans="1:2" x14ac:dyDescent="0.3">
      <c r="A863" s="4" t="s">
        <v>1436</v>
      </c>
      <c r="B863" s="4" t="s">
        <v>1437</v>
      </c>
    </row>
    <row r="864" spans="1:2" x14ac:dyDescent="0.3">
      <c r="A864" s="4" t="s">
        <v>1438</v>
      </c>
      <c r="B864" s="4" t="s">
        <v>1439</v>
      </c>
    </row>
    <row r="865" spans="1:2" x14ac:dyDescent="0.3">
      <c r="A865" s="4" t="s">
        <v>1440</v>
      </c>
      <c r="B865" s="4" t="s">
        <v>1441</v>
      </c>
    </row>
    <row r="866" spans="1:2" x14ac:dyDescent="0.3">
      <c r="A866" s="4" t="s">
        <v>1442</v>
      </c>
      <c r="B866" s="4" t="s">
        <v>1443</v>
      </c>
    </row>
    <row r="867" spans="1:2" x14ac:dyDescent="0.3">
      <c r="A867" s="4" t="s">
        <v>1444</v>
      </c>
      <c r="B867" s="4" t="s">
        <v>1445</v>
      </c>
    </row>
    <row r="868" spans="1:2" x14ac:dyDescent="0.3">
      <c r="A868" s="4" t="s">
        <v>1446</v>
      </c>
      <c r="B868" s="4" t="s">
        <v>1447</v>
      </c>
    </row>
    <row r="869" spans="1:2" x14ac:dyDescent="0.3">
      <c r="A869" s="4" t="s">
        <v>1448</v>
      </c>
      <c r="B869" s="4" t="s">
        <v>1449</v>
      </c>
    </row>
    <row r="870" spans="1:2" x14ac:dyDescent="0.3">
      <c r="A870" s="4" t="s">
        <v>1450</v>
      </c>
      <c r="B870" s="4" t="s">
        <v>1451</v>
      </c>
    </row>
    <row r="871" spans="1:2" x14ac:dyDescent="0.3">
      <c r="A871" s="4" t="s">
        <v>1452</v>
      </c>
      <c r="B871" s="4" t="s">
        <v>1453</v>
      </c>
    </row>
    <row r="872" spans="1:2" x14ac:dyDescent="0.3">
      <c r="A872" s="4" t="s">
        <v>1454</v>
      </c>
      <c r="B872" s="4" t="s">
        <v>1455</v>
      </c>
    </row>
    <row r="873" spans="1:2" x14ac:dyDescent="0.3">
      <c r="A873" s="4" t="s">
        <v>1456</v>
      </c>
      <c r="B873" s="4" t="s">
        <v>1457</v>
      </c>
    </row>
    <row r="874" spans="1:2" x14ac:dyDescent="0.3">
      <c r="A874" s="4" t="s">
        <v>1458</v>
      </c>
      <c r="B874" s="4" t="s">
        <v>1459</v>
      </c>
    </row>
    <row r="875" spans="1:2" x14ac:dyDescent="0.3">
      <c r="A875" s="4" t="s">
        <v>1460</v>
      </c>
      <c r="B875" s="4" t="s">
        <v>1461</v>
      </c>
    </row>
    <row r="876" spans="1:2" x14ac:dyDescent="0.3">
      <c r="A876" s="4" t="s">
        <v>1462</v>
      </c>
      <c r="B876" s="4" t="s">
        <v>1463</v>
      </c>
    </row>
    <row r="877" spans="1:2" x14ac:dyDescent="0.3">
      <c r="A877" s="4" t="s">
        <v>1464</v>
      </c>
      <c r="B877" s="4" t="s">
        <v>1465</v>
      </c>
    </row>
    <row r="878" spans="1:2" x14ac:dyDescent="0.3">
      <c r="A878" s="4" t="s">
        <v>1466</v>
      </c>
      <c r="B878" s="4" t="s">
        <v>1467</v>
      </c>
    </row>
    <row r="879" spans="1:2" x14ac:dyDescent="0.3">
      <c r="A879" s="4" t="s">
        <v>1468</v>
      </c>
      <c r="B879" s="4" t="s">
        <v>1469</v>
      </c>
    </row>
    <row r="880" spans="1:2" x14ac:dyDescent="0.3">
      <c r="A880" s="4" t="s">
        <v>8792</v>
      </c>
      <c r="B880" s="4" t="s">
        <v>8793</v>
      </c>
    </row>
    <row r="881" spans="1:2" x14ac:dyDescent="0.3">
      <c r="A881" s="4" t="s">
        <v>1470</v>
      </c>
      <c r="B881" s="4" t="s">
        <v>1471</v>
      </c>
    </row>
    <row r="882" spans="1:2" x14ac:dyDescent="0.3">
      <c r="A882" s="4" t="s">
        <v>1472</v>
      </c>
      <c r="B882" s="4" t="s">
        <v>1473</v>
      </c>
    </row>
    <row r="883" spans="1:2" x14ac:dyDescent="0.3">
      <c r="A883" s="4" t="s">
        <v>1474</v>
      </c>
      <c r="B883" s="4" t="s">
        <v>1475</v>
      </c>
    </row>
    <row r="884" spans="1:2" x14ac:dyDescent="0.3">
      <c r="A884" s="4" t="s">
        <v>1476</v>
      </c>
      <c r="B884" s="4" t="s">
        <v>1477</v>
      </c>
    </row>
    <row r="885" spans="1:2" x14ac:dyDescent="0.3">
      <c r="A885" s="4" t="s">
        <v>1478</v>
      </c>
      <c r="B885" s="4" t="s">
        <v>1479</v>
      </c>
    </row>
    <row r="886" spans="1:2" x14ac:dyDescent="0.3">
      <c r="A886" s="4" t="s">
        <v>1481</v>
      </c>
      <c r="B886" s="4" t="s">
        <v>1482</v>
      </c>
    </row>
    <row r="887" spans="1:2" x14ac:dyDescent="0.3">
      <c r="A887" s="4" t="s">
        <v>1483</v>
      </c>
      <c r="B887" s="4" t="s">
        <v>1484</v>
      </c>
    </row>
    <row r="888" spans="1:2" x14ac:dyDescent="0.3">
      <c r="A888" s="4" t="s">
        <v>1485</v>
      </c>
      <c r="B888" s="4" t="s">
        <v>1486</v>
      </c>
    </row>
    <row r="889" spans="1:2" x14ac:dyDescent="0.3">
      <c r="A889" s="4" t="s">
        <v>1487</v>
      </c>
      <c r="B889" s="4" t="s">
        <v>1488</v>
      </c>
    </row>
    <row r="890" spans="1:2" x14ac:dyDescent="0.3">
      <c r="A890" s="4" t="s">
        <v>672</v>
      </c>
      <c r="B890" s="4" t="s">
        <v>8794</v>
      </c>
    </row>
    <row r="891" spans="1:2" x14ac:dyDescent="0.3">
      <c r="A891" s="4" t="s">
        <v>1489</v>
      </c>
      <c r="B891" s="4" t="s">
        <v>1490</v>
      </c>
    </row>
    <row r="892" spans="1:2" x14ac:dyDescent="0.3">
      <c r="A892" s="4" t="s">
        <v>1491</v>
      </c>
      <c r="B892" s="4" t="s">
        <v>1492</v>
      </c>
    </row>
    <row r="893" spans="1:2" x14ac:dyDescent="0.3">
      <c r="A893" s="4" t="s">
        <v>1493</v>
      </c>
      <c r="B893" s="4" t="s">
        <v>1494</v>
      </c>
    </row>
    <row r="894" spans="1:2" x14ac:dyDescent="0.3">
      <c r="A894" s="4" t="s">
        <v>1495</v>
      </c>
      <c r="B894" s="4" t="s">
        <v>1496</v>
      </c>
    </row>
    <row r="895" spans="1:2" x14ac:dyDescent="0.3">
      <c r="A895" s="4" t="s">
        <v>1497</v>
      </c>
      <c r="B895" s="4" t="s">
        <v>1498</v>
      </c>
    </row>
    <row r="896" spans="1:2" x14ac:dyDescent="0.3">
      <c r="A896" s="4" t="s">
        <v>1499</v>
      </c>
      <c r="B896" s="4" t="s">
        <v>1500</v>
      </c>
    </row>
    <row r="897" spans="1:2" x14ac:dyDescent="0.3">
      <c r="A897" s="4" t="s">
        <v>1501</v>
      </c>
      <c r="B897" s="4" t="s">
        <v>1502</v>
      </c>
    </row>
    <row r="898" spans="1:2" x14ac:dyDescent="0.3">
      <c r="A898" s="4" t="s">
        <v>1503</v>
      </c>
      <c r="B898" s="4" t="s">
        <v>1504</v>
      </c>
    </row>
    <row r="899" spans="1:2" x14ac:dyDescent="0.3">
      <c r="A899" s="4" t="s">
        <v>1505</v>
      </c>
      <c r="B899" s="4" t="s">
        <v>1506</v>
      </c>
    </row>
    <row r="900" spans="1:2" x14ac:dyDescent="0.3">
      <c r="A900" s="4" t="s">
        <v>1507</v>
      </c>
      <c r="B900" s="4" t="s">
        <v>1508</v>
      </c>
    </row>
    <row r="901" spans="1:2" x14ac:dyDescent="0.3">
      <c r="A901" s="4" t="s">
        <v>1509</v>
      </c>
      <c r="B901" s="4" t="s">
        <v>1510</v>
      </c>
    </row>
    <row r="902" spans="1:2" x14ac:dyDescent="0.3">
      <c r="A902" s="4" t="s">
        <v>1512</v>
      </c>
      <c r="B902" s="4" t="s">
        <v>1513</v>
      </c>
    </row>
    <row r="903" spans="1:2" x14ac:dyDescent="0.3">
      <c r="A903" s="4" t="s">
        <v>1514</v>
      </c>
      <c r="B903" s="4" t="s">
        <v>1515</v>
      </c>
    </row>
    <row r="904" spans="1:2" x14ac:dyDescent="0.3">
      <c r="A904" s="4" t="s">
        <v>1516</v>
      </c>
      <c r="B904" s="4" t="s">
        <v>1517</v>
      </c>
    </row>
    <row r="905" spans="1:2" x14ac:dyDescent="0.3">
      <c r="A905" s="4" t="s">
        <v>1518</v>
      </c>
      <c r="B905" s="4" t="s">
        <v>1519</v>
      </c>
    </row>
    <row r="906" spans="1:2" x14ac:dyDescent="0.3">
      <c r="A906" s="4" t="s">
        <v>1520</v>
      </c>
      <c r="B906" s="4" t="s">
        <v>1521</v>
      </c>
    </row>
    <row r="907" spans="1:2" x14ac:dyDescent="0.3">
      <c r="A907" s="4" t="s">
        <v>1522</v>
      </c>
      <c r="B907" s="4" t="s">
        <v>1523</v>
      </c>
    </row>
    <row r="908" spans="1:2" x14ac:dyDescent="0.3">
      <c r="A908" s="4" t="s">
        <v>1524</v>
      </c>
      <c r="B908" s="4" t="s">
        <v>1525</v>
      </c>
    </row>
    <row r="909" spans="1:2" x14ac:dyDescent="0.3">
      <c r="A909" s="4" t="s">
        <v>1526</v>
      </c>
      <c r="B909" s="4" t="s">
        <v>1527</v>
      </c>
    </row>
    <row r="910" spans="1:2" x14ac:dyDescent="0.3">
      <c r="A910" s="4" t="s">
        <v>1528</v>
      </c>
      <c r="B910" s="4" t="s">
        <v>1529</v>
      </c>
    </row>
    <row r="911" spans="1:2" x14ac:dyDescent="0.3">
      <c r="A911" s="4" t="s">
        <v>1530</v>
      </c>
      <c r="B911" s="4" t="s">
        <v>1531</v>
      </c>
    </row>
    <row r="912" spans="1:2" x14ac:dyDescent="0.3">
      <c r="A912" s="4" t="s">
        <v>1532</v>
      </c>
      <c r="B912" s="4" t="s">
        <v>1533</v>
      </c>
    </row>
    <row r="913" spans="1:2" x14ac:dyDescent="0.3">
      <c r="A913" s="4" t="s">
        <v>1534</v>
      </c>
      <c r="B913" s="4" t="s">
        <v>1535</v>
      </c>
    </row>
    <row r="914" spans="1:2" x14ac:dyDescent="0.3">
      <c r="A914" s="4" t="s">
        <v>1536</v>
      </c>
      <c r="B914" s="4" t="s">
        <v>1537</v>
      </c>
    </row>
    <row r="915" spans="1:2" x14ac:dyDescent="0.3">
      <c r="A915" s="4" t="s">
        <v>1538</v>
      </c>
      <c r="B915" s="4" t="s">
        <v>1539</v>
      </c>
    </row>
    <row r="916" spans="1:2" x14ac:dyDescent="0.3">
      <c r="A916" s="4" t="s">
        <v>1540</v>
      </c>
      <c r="B916" s="4" t="s">
        <v>1541</v>
      </c>
    </row>
    <row r="917" spans="1:2" x14ac:dyDescent="0.3">
      <c r="A917" s="4" t="s">
        <v>1542</v>
      </c>
      <c r="B917" s="4" t="s">
        <v>1543</v>
      </c>
    </row>
    <row r="918" spans="1:2" x14ac:dyDescent="0.3">
      <c r="A918" s="4" t="s">
        <v>1544</v>
      </c>
      <c r="B918" s="4" t="s">
        <v>1545</v>
      </c>
    </row>
    <row r="919" spans="1:2" x14ac:dyDescent="0.3">
      <c r="A919" s="4" t="s">
        <v>12275</v>
      </c>
      <c r="B919" s="4" t="s">
        <v>10083</v>
      </c>
    </row>
    <row r="920" spans="1:2" x14ac:dyDescent="0.3">
      <c r="A920" s="4" t="s">
        <v>12276</v>
      </c>
      <c r="B920" s="4" t="s">
        <v>10085</v>
      </c>
    </row>
    <row r="921" spans="1:2" x14ac:dyDescent="0.3">
      <c r="A921" s="4" t="s">
        <v>8795</v>
      </c>
      <c r="B921" s="4" t="s">
        <v>5500</v>
      </c>
    </row>
    <row r="922" spans="1:2" x14ac:dyDescent="0.3">
      <c r="A922" s="4" t="s">
        <v>1547</v>
      </c>
      <c r="B922" s="4" t="s">
        <v>1548</v>
      </c>
    </row>
    <row r="923" spans="1:2" x14ac:dyDescent="0.3">
      <c r="A923" s="4" t="s">
        <v>1549</v>
      </c>
      <c r="B923" s="4" t="s">
        <v>1550</v>
      </c>
    </row>
    <row r="924" spans="1:2" x14ac:dyDescent="0.3">
      <c r="A924" s="4" t="s">
        <v>12277</v>
      </c>
      <c r="B924" s="4" t="s">
        <v>10088</v>
      </c>
    </row>
    <row r="925" spans="1:2" x14ac:dyDescent="0.3">
      <c r="A925" s="4" t="s">
        <v>1551</v>
      </c>
      <c r="B925" s="4" t="s">
        <v>1552</v>
      </c>
    </row>
    <row r="926" spans="1:2" x14ac:dyDescent="0.3">
      <c r="A926" s="4" t="s">
        <v>1553</v>
      </c>
      <c r="B926" s="4" t="s">
        <v>1554</v>
      </c>
    </row>
    <row r="927" spans="1:2" x14ac:dyDescent="0.3">
      <c r="A927" s="4" t="s">
        <v>1555</v>
      </c>
      <c r="B927" s="4" t="s">
        <v>1556</v>
      </c>
    </row>
    <row r="928" spans="1:2" x14ac:dyDescent="0.3">
      <c r="A928" s="4" t="s">
        <v>1557</v>
      </c>
      <c r="B928" s="4" t="s">
        <v>1558</v>
      </c>
    </row>
    <row r="929" spans="1:2" x14ac:dyDescent="0.3">
      <c r="A929" s="4" t="s">
        <v>1559</v>
      </c>
      <c r="B929" s="4" t="s">
        <v>1560</v>
      </c>
    </row>
    <row r="930" spans="1:2" x14ac:dyDescent="0.3">
      <c r="A930" s="4" t="s">
        <v>1561</v>
      </c>
      <c r="B930" s="4" t="s">
        <v>1562</v>
      </c>
    </row>
    <row r="931" spans="1:2" x14ac:dyDescent="0.3">
      <c r="A931" s="4" t="s">
        <v>1563</v>
      </c>
      <c r="B931" s="4" t="s">
        <v>1564</v>
      </c>
    </row>
    <row r="932" spans="1:2" x14ac:dyDescent="0.3">
      <c r="A932" s="4" t="s">
        <v>1565</v>
      </c>
      <c r="B932" s="4" t="s">
        <v>1566</v>
      </c>
    </row>
    <row r="933" spans="1:2" x14ac:dyDescent="0.3">
      <c r="A933" s="4" t="s">
        <v>1567</v>
      </c>
      <c r="B933" s="4" t="s">
        <v>1568</v>
      </c>
    </row>
    <row r="934" spans="1:2" x14ac:dyDescent="0.3">
      <c r="A934" s="4" t="s">
        <v>1569</v>
      </c>
      <c r="B934" s="4" t="s">
        <v>1570</v>
      </c>
    </row>
    <row r="935" spans="1:2" x14ac:dyDescent="0.3">
      <c r="A935" s="4" t="s">
        <v>1571</v>
      </c>
      <c r="B935" s="4" t="s">
        <v>1572</v>
      </c>
    </row>
    <row r="936" spans="1:2" x14ac:dyDescent="0.3">
      <c r="A936" s="4" t="s">
        <v>1573</v>
      </c>
      <c r="B936" s="4" t="s">
        <v>1574</v>
      </c>
    </row>
    <row r="937" spans="1:2" x14ac:dyDescent="0.3">
      <c r="A937" s="4" t="s">
        <v>1575</v>
      </c>
      <c r="B937" s="4" t="s">
        <v>1576</v>
      </c>
    </row>
    <row r="938" spans="1:2" x14ac:dyDescent="0.3">
      <c r="A938" s="4" t="s">
        <v>1577</v>
      </c>
      <c r="B938" s="4" t="s">
        <v>1578</v>
      </c>
    </row>
    <row r="939" spans="1:2" x14ac:dyDescent="0.3">
      <c r="A939" s="4" t="s">
        <v>1579</v>
      </c>
      <c r="B939" s="4" t="s">
        <v>1580</v>
      </c>
    </row>
    <row r="940" spans="1:2" x14ac:dyDescent="0.3">
      <c r="A940" s="4" t="s">
        <v>1581</v>
      </c>
      <c r="B940" s="4" t="s">
        <v>1582</v>
      </c>
    </row>
    <row r="941" spans="1:2" x14ac:dyDescent="0.3">
      <c r="A941" s="4" t="s">
        <v>1583</v>
      </c>
      <c r="B941" s="4" t="s">
        <v>1584</v>
      </c>
    </row>
    <row r="942" spans="1:2" x14ac:dyDescent="0.3">
      <c r="A942" s="4" t="s">
        <v>1585</v>
      </c>
      <c r="B942" s="4" t="s">
        <v>1586</v>
      </c>
    </row>
    <row r="943" spans="1:2" x14ac:dyDescent="0.3">
      <c r="A943" s="4" t="s">
        <v>1587</v>
      </c>
      <c r="B943" s="4" t="s">
        <v>1588</v>
      </c>
    </row>
    <row r="944" spans="1:2" x14ac:dyDescent="0.3">
      <c r="A944" s="4" t="s">
        <v>1589</v>
      </c>
      <c r="B944" s="4" t="s">
        <v>1590</v>
      </c>
    </row>
    <row r="945" spans="1:2" x14ac:dyDescent="0.3">
      <c r="A945" s="4" t="s">
        <v>1591</v>
      </c>
      <c r="B945" s="4" t="s">
        <v>1592</v>
      </c>
    </row>
    <row r="946" spans="1:2" x14ac:dyDescent="0.3">
      <c r="A946" s="4" t="s">
        <v>1593</v>
      </c>
      <c r="B946" s="4" t="s">
        <v>1594</v>
      </c>
    </row>
    <row r="947" spans="1:2" x14ac:dyDescent="0.3">
      <c r="A947" s="4" t="s">
        <v>1595</v>
      </c>
      <c r="B947" s="4" t="s">
        <v>1596</v>
      </c>
    </row>
    <row r="948" spans="1:2" x14ac:dyDescent="0.3">
      <c r="A948" s="4" t="s">
        <v>1597</v>
      </c>
      <c r="B948" s="4" t="s">
        <v>1598</v>
      </c>
    </row>
    <row r="949" spans="1:2" x14ac:dyDescent="0.3">
      <c r="A949" s="4" t="s">
        <v>1599</v>
      </c>
      <c r="B949" s="4" t="s">
        <v>1600</v>
      </c>
    </row>
    <row r="950" spans="1:2" x14ac:dyDescent="0.3">
      <c r="A950" s="4" t="s">
        <v>1601</v>
      </c>
      <c r="B950" s="4" t="s">
        <v>1602</v>
      </c>
    </row>
    <row r="951" spans="1:2" x14ac:dyDescent="0.3">
      <c r="A951" s="4" t="s">
        <v>8796</v>
      </c>
      <c r="B951" s="4" t="s">
        <v>8797</v>
      </c>
    </row>
    <row r="952" spans="1:2" x14ac:dyDescent="0.3">
      <c r="A952" s="4" t="s">
        <v>1603</v>
      </c>
      <c r="B952" s="4" t="s">
        <v>1604</v>
      </c>
    </row>
    <row r="953" spans="1:2" x14ac:dyDescent="0.3">
      <c r="A953" s="4" t="s">
        <v>1606</v>
      </c>
      <c r="B953" s="4" t="s">
        <v>1607</v>
      </c>
    </row>
    <row r="954" spans="1:2" x14ac:dyDescent="0.3">
      <c r="A954" s="4" t="s">
        <v>1608</v>
      </c>
      <c r="B954" s="4" t="s">
        <v>1609</v>
      </c>
    </row>
    <row r="955" spans="1:2" x14ac:dyDescent="0.3">
      <c r="A955" s="4" t="s">
        <v>1610</v>
      </c>
      <c r="B955" s="4" t="s">
        <v>1611</v>
      </c>
    </row>
    <row r="956" spans="1:2" x14ac:dyDescent="0.3">
      <c r="A956" s="4" t="s">
        <v>1612</v>
      </c>
      <c r="B956" s="4" t="s">
        <v>1613</v>
      </c>
    </row>
    <row r="957" spans="1:2" x14ac:dyDescent="0.3">
      <c r="A957" s="4" t="s">
        <v>8798</v>
      </c>
      <c r="B957" s="4" t="s">
        <v>8799</v>
      </c>
    </row>
    <row r="958" spans="1:2" x14ac:dyDescent="0.3">
      <c r="A958" s="4" t="s">
        <v>1615</v>
      </c>
      <c r="B958" s="4" t="s">
        <v>1616</v>
      </c>
    </row>
    <row r="959" spans="1:2" x14ac:dyDescent="0.3">
      <c r="A959" s="4" t="s">
        <v>1617</v>
      </c>
      <c r="B959" s="4" t="s">
        <v>1618</v>
      </c>
    </row>
    <row r="960" spans="1:2" x14ac:dyDescent="0.3">
      <c r="A960" s="4" t="s">
        <v>1619</v>
      </c>
      <c r="B960" s="4" t="s">
        <v>1620</v>
      </c>
    </row>
    <row r="961" spans="1:2" x14ac:dyDescent="0.3">
      <c r="A961" s="4" t="s">
        <v>1621</v>
      </c>
      <c r="B961" s="4" t="s">
        <v>1622</v>
      </c>
    </row>
    <row r="962" spans="1:2" x14ac:dyDescent="0.3">
      <c r="A962" s="4" t="s">
        <v>1623</v>
      </c>
      <c r="B962" s="4" t="s">
        <v>1624</v>
      </c>
    </row>
    <row r="963" spans="1:2" x14ac:dyDescent="0.3">
      <c r="A963" s="4" t="s">
        <v>1625</v>
      </c>
      <c r="B963" s="4" t="s">
        <v>1626</v>
      </c>
    </row>
    <row r="964" spans="1:2" x14ac:dyDescent="0.3">
      <c r="A964" s="4" t="s">
        <v>1627</v>
      </c>
      <c r="B964" s="4" t="s">
        <v>1628</v>
      </c>
    </row>
    <row r="965" spans="1:2" x14ac:dyDescent="0.3">
      <c r="A965" s="4" t="s">
        <v>1629</v>
      </c>
      <c r="B965" s="4" t="s">
        <v>1630</v>
      </c>
    </row>
    <row r="966" spans="1:2" x14ac:dyDescent="0.3">
      <c r="A966" s="4" t="s">
        <v>1631</v>
      </c>
      <c r="B966" s="4" t="s">
        <v>1632</v>
      </c>
    </row>
    <row r="967" spans="1:2" x14ac:dyDescent="0.3">
      <c r="A967" s="4" t="s">
        <v>12278</v>
      </c>
      <c r="B967" s="4" t="s">
        <v>10119</v>
      </c>
    </row>
    <row r="968" spans="1:2" x14ac:dyDescent="0.3">
      <c r="A968" s="4" t="s">
        <v>1633</v>
      </c>
      <c r="B968" s="4" t="s">
        <v>1634</v>
      </c>
    </row>
    <row r="969" spans="1:2" x14ac:dyDescent="0.3">
      <c r="A969" s="4" t="s">
        <v>1635</v>
      </c>
      <c r="B969" s="4" t="s">
        <v>1636</v>
      </c>
    </row>
    <row r="970" spans="1:2" x14ac:dyDescent="0.3">
      <c r="A970" s="4" t="s">
        <v>1637</v>
      </c>
      <c r="B970" s="4" t="s">
        <v>1638</v>
      </c>
    </row>
    <row r="971" spans="1:2" x14ac:dyDescent="0.3">
      <c r="A971" s="4" t="s">
        <v>1639</v>
      </c>
      <c r="B971" s="4" t="s">
        <v>1640</v>
      </c>
    </row>
    <row r="972" spans="1:2" x14ac:dyDescent="0.3">
      <c r="A972" s="4" t="s">
        <v>1641</v>
      </c>
      <c r="B972" s="4" t="s">
        <v>1642</v>
      </c>
    </row>
    <row r="973" spans="1:2" x14ac:dyDescent="0.3">
      <c r="A973" s="4" t="s">
        <v>1643</v>
      </c>
      <c r="B973" s="4" t="s">
        <v>1644</v>
      </c>
    </row>
    <row r="974" spans="1:2" x14ac:dyDescent="0.3">
      <c r="A974" s="4" t="s">
        <v>4226</v>
      </c>
      <c r="B974" s="4" t="s">
        <v>8800</v>
      </c>
    </row>
    <row r="975" spans="1:2" x14ac:dyDescent="0.3">
      <c r="A975" s="4" t="s">
        <v>1645</v>
      </c>
      <c r="B975" s="4" t="s">
        <v>1646</v>
      </c>
    </row>
    <row r="976" spans="1:2" x14ac:dyDescent="0.3">
      <c r="A976" s="4" t="s">
        <v>1648</v>
      </c>
      <c r="B976" s="4" t="s">
        <v>1649</v>
      </c>
    </row>
    <row r="977" spans="1:2" x14ac:dyDescent="0.3">
      <c r="A977" s="4" t="s">
        <v>1650</v>
      </c>
      <c r="B977" s="4" t="s">
        <v>1651</v>
      </c>
    </row>
    <row r="978" spans="1:2" x14ac:dyDescent="0.3">
      <c r="A978" s="4" t="s">
        <v>1652</v>
      </c>
      <c r="B978" s="4" t="s">
        <v>1653</v>
      </c>
    </row>
    <row r="979" spans="1:2" x14ac:dyDescent="0.3">
      <c r="A979" s="4" t="s">
        <v>8801</v>
      </c>
      <c r="B979" s="4" t="s">
        <v>8802</v>
      </c>
    </row>
    <row r="980" spans="1:2" x14ac:dyDescent="0.3">
      <c r="A980" s="4" t="s">
        <v>1654</v>
      </c>
      <c r="B980" s="4" t="s">
        <v>8803</v>
      </c>
    </row>
    <row r="981" spans="1:2" x14ac:dyDescent="0.3">
      <c r="A981" s="4" t="s">
        <v>1655</v>
      </c>
      <c r="B981" s="4" t="s">
        <v>1656</v>
      </c>
    </row>
    <row r="982" spans="1:2" x14ac:dyDescent="0.3">
      <c r="A982" s="4" t="s">
        <v>1657</v>
      </c>
      <c r="B982" s="4" t="s">
        <v>1658</v>
      </c>
    </row>
    <row r="983" spans="1:2" x14ac:dyDescent="0.3">
      <c r="A983" s="4" t="s">
        <v>1659</v>
      </c>
      <c r="B983" s="4" t="s">
        <v>1660</v>
      </c>
    </row>
    <row r="984" spans="1:2" x14ac:dyDescent="0.3">
      <c r="A984" s="4" t="s">
        <v>1661</v>
      </c>
      <c r="B984" s="4" t="s">
        <v>1662</v>
      </c>
    </row>
    <row r="985" spans="1:2" x14ac:dyDescent="0.3">
      <c r="A985" s="4" t="s">
        <v>1663</v>
      </c>
      <c r="B985" s="4" t="s">
        <v>1664</v>
      </c>
    </row>
    <row r="986" spans="1:2" x14ac:dyDescent="0.3">
      <c r="A986" s="4" t="s">
        <v>1665</v>
      </c>
      <c r="B986" s="4" t="s">
        <v>1666</v>
      </c>
    </row>
    <row r="987" spans="1:2" x14ac:dyDescent="0.3">
      <c r="A987" s="4" t="s">
        <v>1669</v>
      </c>
      <c r="B987" s="4" t="s">
        <v>1670</v>
      </c>
    </row>
    <row r="988" spans="1:2" x14ac:dyDescent="0.3">
      <c r="A988" s="4" t="s">
        <v>1671</v>
      </c>
      <c r="B988" s="4" t="s">
        <v>8805</v>
      </c>
    </row>
    <row r="989" spans="1:2" x14ac:dyDescent="0.3">
      <c r="A989" s="4" t="s">
        <v>1672</v>
      </c>
      <c r="B989" s="4" t="s">
        <v>1673</v>
      </c>
    </row>
    <row r="990" spans="1:2" x14ac:dyDescent="0.3">
      <c r="A990" s="4" t="s">
        <v>1674</v>
      </c>
      <c r="B990" s="4" t="s">
        <v>1675</v>
      </c>
    </row>
    <row r="991" spans="1:2" x14ac:dyDescent="0.3">
      <c r="A991" s="4" t="s">
        <v>1676</v>
      </c>
      <c r="B991" s="4" t="s">
        <v>1677</v>
      </c>
    </row>
    <row r="992" spans="1:2" x14ac:dyDescent="0.3">
      <c r="A992" s="4" t="s">
        <v>1678</v>
      </c>
      <c r="B992" s="4" t="s">
        <v>1679</v>
      </c>
    </row>
    <row r="993" spans="1:2" x14ac:dyDescent="0.3">
      <c r="A993" s="4" t="s">
        <v>1680</v>
      </c>
      <c r="B993" s="4" t="s">
        <v>1681</v>
      </c>
    </row>
    <row r="994" spans="1:2" x14ac:dyDescent="0.3">
      <c r="A994" s="4" t="s">
        <v>1682</v>
      </c>
      <c r="B994" s="4" t="s">
        <v>1683</v>
      </c>
    </row>
    <row r="995" spans="1:2" x14ac:dyDescent="0.3">
      <c r="A995" s="4" t="s">
        <v>1684</v>
      </c>
      <c r="B995" s="4" t="s">
        <v>1685</v>
      </c>
    </row>
    <row r="996" spans="1:2" x14ac:dyDescent="0.3">
      <c r="A996" s="4" t="s">
        <v>1686</v>
      </c>
      <c r="B996" s="4" t="s">
        <v>1687</v>
      </c>
    </row>
    <row r="997" spans="1:2" x14ac:dyDescent="0.3">
      <c r="A997" s="4" t="s">
        <v>1688</v>
      </c>
      <c r="B997" s="4" t="s">
        <v>1689</v>
      </c>
    </row>
    <row r="998" spans="1:2" x14ac:dyDescent="0.3">
      <c r="A998" s="4" t="s">
        <v>3762</v>
      </c>
      <c r="B998" s="4" t="s">
        <v>12279</v>
      </c>
    </row>
    <row r="999" spans="1:2" x14ac:dyDescent="0.3">
      <c r="A999" s="4" t="s">
        <v>1691</v>
      </c>
      <c r="B999" s="4" t="s">
        <v>1692</v>
      </c>
    </row>
    <row r="1000" spans="1:2" x14ac:dyDescent="0.3">
      <c r="A1000" s="4" t="s">
        <v>1694</v>
      </c>
      <c r="B1000" s="4" t="s">
        <v>1695</v>
      </c>
    </row>
    <row r="1001" spans="1:2" x14ac:dyDescent="0.3">
      <c r="A1001" s="4" t="s">
        <v>8806</v>
      </c>
      <c r="B1001" s="4" t="s">
        <v>8807</v>
      </c>
    </row>
    <row r="1002" spans="1:2" x14ac:dyDescent="0.3">
      <c r="A1002" s="4" t="s">
        <v>1696</v>
      </c>
      <c r="B1002" s="4" t="s">
        <v>1697</v>
      </c>
    </row>
    <row r="1003" spans="1:2" x14ac:dyDescent="0.3">
      <c r="A1003" s="4" t="s">
        <v>3118</v>
      </c>
      <c r="B1003" s="4" t="s">
        <v>8808</v>
      </c>
    </row>
    <row r="1004" spans="1:2" x14ac:dyDescent="0.3">
      <c r="A1004" s="4" t="s">
        <v>8809</v>
      </c>
      <c r="B1004" s="4" t="s">
        <v>8810</v>
      </c>
    </row>
    <row r="1005" spans="1:2" x14ac:dyDescent="0.3">
      <c r="A1005" s="4" t="s">
        <v>1699</v>
      </c>
      <c r="B1005" s="4" t="s">
        <v>1700</v>
      </c>
    </row>
    <row r="1006" spans="1:2" x14ac:dyDescent="0.3">
      <c r="A1006" s="4" t="s">
        <v>1701</v>
      </c>
      <c r="B1006" s="4" t="s">
        <v>1702</v>
      </c>
    </row>
    <row r="1007" spans="1:2" x14ac:dyDescent="0.3">
      <c r="A1007" s="4" t="s">
        <v>1703</v>
      </c>
      <c r="B1007" s="4" t="s">
        <v>1704</v>
      </c>
    </row>
    <row r="1008" spans="1:2" x14ac:dyDescent="0.3">
      <c r="A1008" s="4" t="s">
        <v>1705</v>
      </c>
      <c r="B1008" s="4" t="s">
        <v>1706</v>
      </c>
    </row>
    <row r="1009" spans="1:2" x14ac:dyDescent="0.3">
      <c r="A1009" s="4" t="s">
        <v>1707</v>
      </c>
      <c r="B1009" s="4" t="s">
        <v>1708</v>
      </c>
    </row>
    <row r="1010" spans="1:2" x14ac:dyDescent="0.3">
      <c r="A1010" s="4" t="s">
        <v>1709</v>
      </c>
      <c r="B1010" s="4" t="s">
        <v>1710</v>
      </c>
    </row>
    <row r="1011" spans="1:2" x14ac:dyDescent="0.3">
      <c r="A1011" s="4" t="s">
        <v>1711</v>
      </c>
      <c r="B1011" s="4" t="s">
        <v>1712</v>
      </c>
    </row>
    <row r="1012" spans="1:2" x14ac:dyDescent="0.3">
      <c r="A1012" s="4" t="s">
        <v>1713</v>
      </c>
      <c r="B1012" s="4" t="s">
        <v>1714</v>
      </c>
    </row>
    <row r="1013" spans="1:2" x14ac:dyDescent="0.3">
      <c r="A1013" s="4" t="s">
        <v>1715</v>
      </c>
      <c r="B1013" s="4" t="s">
        <v>1716</v>
      </c>
    </row>
    <row r="1014" spans="1:2" x14ac:dyDescent="0.3">
      <c r="A1014" s="4" t="s">
        <v>1981</v>
      </c>
      <c r="B1014" s="4" t="s">
        <v>12280</v>
      </c>
    </row>
    <row r="1015" spans="1:2" x14ac:dyDescent="0.3">
      <c r="A1015" s="4" t="s">
        <v>2690</v>
      </c>
      <c r="B1015" s="4" t="s">
        <v>8811</v>
      </c>
    </row>
    <row r="1016" spans="1:2" x14ac:dyDescent="0.3">
      <c r="A1016" s="4" t="s">
        <v>8812</v>
      </c>
      <c r="B1016" s="4" t="s">
        <v>5638</v>
      </c>
    </row>
    <row r="1017" spans="1:2" x14ac:dyDescent="0.3">
      <c r="A1017" s="4" t="s">
        <v>8813</v>
      </c>
      <c r="B1017" s="4" t="s">
        <v>8814</v>
      </c>
    </row>
    <row r="1018" spans="1:2" x14ac:dyDescent="0.3">
      <c r="A1018" s="4" t="s">
        <v>1718</v>
      </c>
      <c r="B1018" s="4" t="s">
        <v>1719</v>
      </c>
    </row>
    <row r="1019" spans="1:2" x14ac:dyDescent="0.3">
      <c r="A1019" s="4" t="s">
        <v>4186</v>
      </c>
      <c r="B1019" s="4" t="s">
        <v>4187</v>
      </c>
    </row>
    <row r="1020" spans="1:2" x14ac:dyDescent="0.3">
      <c r="A1020" s="4" t="s">
        <v>1720</v>
      </c>
      <c r="B1020" s="4" t="s">
        <v>1721</v>
      </c>
    </row>
    <row r="1021" spans="1:2" x14ac:dyDescent="0.3">
      <c r="A1021" s="4" t="s">
        <v>1722</v>
      </c>
      <c r="B1021" s="4" t="s">
        <v>1723</v>
      </c>
    </row>
    <row r="1022" spans="1:2" x14ac:dyDescent="0.3">
      <c r="A1022" s="4" t="s">
        <v>934</v>
      </c>
      <c r="B1022" s="4" t="s">
        <v>8815</v>
      </c>
    </row>
    <row r="1023" spans="1:2" x14ac:dyDescent="0.3">
      <c r="A1023" s="4" t="s">
        <v>1724</v>
      </c>
      <c r="B1023" s="4" t="s">
        <v>1725</v>
      </c>
    </row>
    <row r="1024" spans="1:2" x14ac:dyDescent="0.3">
      <c r="A1024" s="4" t="s">
        <v>8816</v>
      </c>
      <c r="B1024" s="4" t="s">
        <v>5642</v>
      </c>
    </row>
    <row r="1025" spans="1:2" x14ac:dyDescent="0.3">
      <c r="A1025" s="4" t="s">
        <v>1726</v>
      </c>
      <c r="B1025" s="4" t="s">
        <v>1727</v>
      </c>
    </row>
    <row r="1026" spans="1:2" x14ac:dyDescent="0.3">
      <c r="A1026" s="4" t="s">
        <v>8817</v>
      </c>
      <c r="B1026" s="4" t="s">
        <v>1729</v>
      </c>
    </row>
    <row r="1027" spans="1:2" x14ac:dyDescent="0.3">
      <c r="A1027" s="4" t="s">
        <v>1728</v>
      </c>
      <c r="B1027" s="4" t="s">
        <v>8818</v>
      </c>
    </row>
    <row r="1028" spans="1:2" x14ac:dyDescent="0.3">
      <c r="A1028" s="4" t="s">
        <v>8819</v>
      </c>
      <c r="B1028" s="4" t="s">
        <v>5649</v>
      </c>
    </row>
    <row r="1029" spans="1:2" x14ac:dyDescent="0.3">
      <c r="A1029" s="4" t="s">
        <v>4179</v>
      </c>
      <c r="B1029" s="4" t="s">
        <v>10170</v>
      </c>
    </row>
    <row r="1030" spans="1:2" x14ac:dyDescent="0.3">
      <c r="A1030" s="4" t="s">
        <v>1731</v>
      </c>
      <c r="B1030" s="4" t="s">
        <v>1732</v>
      </c>
    </row>
    <row r="1031" spans="1:2" x14ac:dyDescent="0.3">
      <c r="A1031" s="4" t="s">
        <v>1733</v>
      </c>
      <c r="B1031" s="4" t="s">
        <v>1734</v>
      </c>
    </row>
    <row r="1032" spans="1:2" x14ac:dyDescent="0.3">
      <c r="A1032" s="4" t="s">
        <v>1735</v>
      </c>
      <c r="B1032" s="4" t="s">
        <v>1736</v>
      </c>
    </row>
    <row r="1033" spans="1:2" x14ac:dyDescent="0.3">
      <c r="A1033" s="4" t="s">
        <v>12281</v>
      </c>
      <c r="B1033" s="4" t="s">
        <v>5667</v>
      </c>
    </row>
    <row r="1034" spans="1:2" x14ac:dyDescent="0.3">
      <c r="A1034" s="4" t="s">
        <v>1737</v>
      </c>
      <c r="B1034" s="4" t="s">
        <v>1738</v>
      </c>
    </row>
    <row r="1035" spans="1:2" x14ac:dyDescent="0.3">
      <c r="A1035" s="4" t="s">
        <v>1739</v>
      </c>
      <c r="B1035" s="4" t="s">
        <v>12282</v>
      </c>
    </row>
    <row r="1036" spans="1:2" x14ac:dyDescent="0.3">
      <c r="A1036" s="4" t="s">
        <v>1740</v>
      </c>
      <c r="B1036" s="4" t="s">
        <v>1741</v>
      </c>
    </row>
    <row r="1037" spans="1:2" x14ac:dyDescent="0.3">
      <c r="A1037" s="4" t="s">
        <v>1743</v>
      </c>
      <c r="B1037" s="4" t="s">
        <v>1744</v>
      </c>
    </row>
    <row r="1038" spans="1:2" x14ac:dyDescent="0.3">
      <c r="A1038" s="4" t="s">
        <v>1746</v>
      </c>
      <c r="B1038" s="4" t="s">
        <v>1747</v>
      </c>
    </row>
    <row r="1039" spans="1:2" x14ac:dyDescent="0.3">
      <c r="A1039" s="4" t="s">
        <v>1748</v>
      </c>
      <c r="B1039" s="4" t="s">
        <v>1749</v>
      </c>
    </row>
    <row r="1040" spans="1:2" x14ac:dyDescent="0.3">
      <c r="A1040" s="4" t="s">
        <v>1750</v>
      </c>
      <c r="B1040" s="4" t="s">
        <v>1751</v>
      </c>
    </row>
    <row r="1041" spans="1:2" x14ac:dyDescent="0.3">
      <c r="A1041" s="4" t="s">
        <v>1752</v>
      </c>
      <c r="B1041" s="4" t="s">
        <v>1753</v>
      </c>
    </row>
    <row r="1042" spans="1:2" x14ac:dyDescent="0.3">
      <c r="A1042" s="4" t="s">
        <v>1873</v>
      </c>
      <c r="B1042" s="4" t="s">
        <v>12283</v>
      </c>
    </row>
    <row r="1043" spans="1:2" x14ac:dyDescent="0.3">
      <c r="A1043" s="4" t="s">
        <v>1754</v>
      </c>
      <c r="B1043" s="4" t="s">
        <v>1755</v>
      </c>
    </row>
    <row r="1044" spans="1:2" x14ac:dyDescent="0.3">
      <c r="A1044" s="4" t="s">
        <v>1756</v>
      </c>
      <c r="B1044" s="4" t="s">
        <v>1757</v>
      </c>
    </row>
    <row r="1045" spans="1:2" x14ac:dyDescent="0.3">
      <c r="A1045" s="4" t="s">
        <v>1758</v>
      </c>
      <c r="B1045" s="4" t="s">
        <v>1759</v>
      </c>
    </row>
    <row r="1046" spans="1:2" x14ac:dyDescent="0.3">
      <c r="A1046" s="4" t="s">
        <v>8820</v>
      </c>
      <c r="B1046" s="4" t="s">
        <v>8821</v>
      </c>
    </row>
    <row r="1047" spans="1:2" x14ac:dyDescent="0.3">
      <c r="A1047" s="4" t="s">
        <v>1760</v>
      </c>
      <c r="B1047" s="4" t="s">
        <v>1761</v>
      </c>
    </row>
    <row r="1048" spans="1:2" x14ac:dyDescent="0.3">
      <c r="A1048" s="4" t="s">
        <v>1762</v>
      </c>
      <c r="B1048" s="4" t="s">
        <v>1763</v>
      </c>
    </row>
    <row r="1049" spans="1:2" x14ac:dyDescent="0.3">
      <c r="A1049" s="4" t="s">
        <v>1765</v>
      </c>
      <c r="B1049" s="4" t="s">
        <v>1766</v>
      </c>
    </row>
    <row r="1050" spans="1:2" x14ac:dyDescent="0.3">
      <c r="A1050" s="4" t="s">
        <v>12284</v>
      </c>
      <c r="B1050" s="4" t="s">
        <v>10223</v>
      </c>
    </row>
    <row r="1051" spans="1:2" x14ac:dyDescent="0.3">
      <c r="A1051" s="4" t="s">
        <v>3970</v>
      </c>
      <c r="B1051" s="4" t="s">
        <v>8822</v>
      </c>
    </row>
    <row r="1052" spans="1:2" x14ac:dyDescent="0.3">
      <c r="A1052" s="4" t="s">
        <v>1767</v>
      </c>
      <c r="B1052" s="4" t="s">
        <v>1768</v>
      </c>
    </row>
    <row r="1053" spans="1:2" x14ac:dyDescent="0.3">
      <c r="A1053" s="4" t="s">
        <v>1769</v>
      </c>
      <c r="B1053" s="4" t="s">
        <v>1770</v>
      </c>
    </row>
    <row r="1054" spans="1:2" x14ac:dyDescent="0.3">
      <c r="A1054" s="4" t="s">
        <v>1771</v>
      </c>
      <c r="B1054" s="4" t="s">
        <v>1772</v>
      </c>
    </row>
    <row r="1055" spans="1:2" x14ac:dyDescent="0.3">
      <c r="A1055" s="4" t="s">
        <v>1773</v>
      </c>
      <c r="B1055" s="4" t="s">
        <v>1774</v>
      </c>
    </row>
    <row r="1056" spans="1:2" x14ac:dyDescent="0.3">
      <c r="A1056" s="4" t="s">
        <v>1776</v>
      </c>
      <c r="B1056" s="4" t="s">
        <v>1777</v>
      </c>
    </row>
    <row r="1057" spans="1:2" x14ac:dyDescent="0.3">
      <c r="A1057" s="4" t="s">
        <v>1778</v>
      </c>
      <c r="B1057" s="4" t="s">
        <v>1779</v>
      </c>
    </row>
    <row r="1058" spans="1:2" x14ac:dyDescent="0.3">
      <c r="A1058" s="4" t="s">
        <v>1780</v>
      </c>
      <c r="B1058" s="4" t="s">
        <v>1781</v>
      </c>
    </row>
    <row r="1059" spans="1:2" x14ac:dyDescent="0.3">
      <c r="A1059" s="4" t="s">
        <v>1782</v>
      </c>
      <c r="B1059" s="4" t="s">
        <v>1783</v>
      </c>
    </row>
    <row r="1060" spans="1:2" x14ac:dyDescent="0.3">
      <c r="A1060" s="4" t="s">
        <v>1784</v>
      </c>
      <c r="B1060" s="4" t="s">
        <v>1785</v>
      </c>
    </row>
    <row r="1061" spans="1:2" x14ac:dyDescent="0.3">
      <c r="A1061" s="4" t="s">
        <v>1786</v>
      </c>
      <c r="B1061" s="4" t="s">
        <v>1787</v>
      </c>
    </row>
    <row r="1062" spans="1:2" x14ac:dyDescent="0.3">
      <c r="A1062" s="4" t="s">
        <v>822</v>
      </c>
      <c r="B1062" s="4" t="s">
        <v>8823</v>
      </c>
    </row>
    <row r="1063" spans="1:2" x14ac:dyDescent="0.3">
      <c r="A1063" s="4" t="s">
        <v>1788</v>
      </c>
      <c r="B1063" s="4" t="s">
        <v>1789</v>
      </c>
    </row>
    <row r="1064" spans="1:2" x14ac:dyDescent="0.3">
      <c r="A1064" s="4" t="s">
        <v>8824</v>
      </c>
      <c r="B1064" s="4" t="s">
        <v>5716</v>
      </c>
    </row>
    <row r="1065" spans="1:2" x14ac:dyDescent="0.3">
      <c r="A1065" s="4" t="s">
        <v>1790</v>
      </c>
      <c r="B1065" s="4" t="s">
        <v>1791</v>
      </c>
    </row>
    <row r="1066" spans="1:2" x14ac:dyDescent="0.3">
      <c r="A1066" s="4" t="s">
        <v>1792</v>
      </c>
      <c r="B1066" s="4" t="s">
        <v>1793</v>
      </c>
    </row>
    <row r="1067" spans="1:2" x14ac:dyDescent="0.3">
      <c r="A1067" s="4" t="s">
        <v>1794</v>
      </c>
      <c r="B1067" s="4" t="s">
        <v>1795</v>
      </c>
    </row>
    <row r="1068" spans="1:2" x14ac:dyDescent="0.3">
      <c r="A1068" s="4" t="s">
        <v>1796</v>
      </c>
      <c r="B1068" s="4" t="s">
        <v>1797</v>
      </c>
    </row>
    <row r="1069" spans="1:2" x14ac:dyDescent="0.3">
      <c r="A1069" s="4" t="s">
        <v>1798</v>
      </c>
      <c r="B1069" s="4" t="s">
        <v>1799</v>
      </c>
    </row>
    <row r="1070" spans="1:2" x14ac:dyDescent="0.3">
      <c r="A1070" s="4" t="s">
        <v>1800</v>
      </c>
      <c r="B1070" s="4" t="s">
        <v>1801</v>
      </c>
    </row>
    <row r="1071" spans="1:2" x14ac:dyDescent="0.3">
      <c r="A1071" s="4" t="s">
        <v>1802</v>
      </c>
      <c r="B1071" s="4" t="s">
        <v>1803</v>
      </c>
    </row>
    <row r="1072" spans="1:2" x14ac:dyDescent="0.3">
      <c r="A1072" s="4" t="s">
        <v>1804</v>
      </c>
      <c r="B1072" s="4" t="s">
        <v>1805</v>
      </c>
    </row>
    <row r="1073" spans="1:2" x14ac:dyDescent="0.3">
      <c r="A1073" s="4" t="s">
        <v>1806</v>
      </c>
      <c r="B1073" s="4" t="s">
        <v>1807</v>
      </c>
    </row>
    <row r="1074" spans="1:2" x14ac:dyDescent="0.3">
      <c r="A1074" s="4" t="s">
        <v>1808</v>
      </c>
      <c r="B1074" s="4" t="s">
        <v>1809</v>
      </c>
    </row>
    <row r="1075" spans="1:2" x14ac:dyDescent="0.3">
      <c r="A1075" s="4" t="s">
        <v>1810</v>
      </c>
      <c r="B1075" s="4" t="s">
        <v>1811</v>
      </c>
    </row>
    <row r="1076" spans="1:2" x14ac:dyDescent="0.3">
      <c r="A1076" s="4" t="s">
        <v>1812</v>
      </c>
      <c r="B1076" s="4" t="s">
        <v>1813</v>
      </c>
    </row>
    <row r="1077" spans="1:2" x14ac:dyDescent="0.3">
      <c r="A1077" s="4" t="s">
        <v>1814</v>
      </c>
      <c r="B1077" s="4" t="s">
        <v>1815</v>
      </c>
    </row>
    <row r="1078" spans="1:2" x14ac:dyDescent="0.3">
      <c r="A1078" s="4" t="s">
        <v>1816</v>
      </c>
      <c r="B1078" s="4" t="s">
        <v>1817</v>
      </c>
    </row>
    <row r="1079" spans="1:2" x14ac:dyDescent="0.3">
      <c r="A1079" s="4" t="s">
        <v>12285</v>
      </c>
      <c r="B1079" s="4" t="s">
        <v>5765</v>
      </c>
    </row>
    <row r="1080" spans="1:2" x14ac:dyDescent="0.3">
      <c r="A1080" s="4" t="s">
        <v>1819</v>
      </c>
      <c r="B1080" s="4" t="s">
        <v>1820</v>
      </c>
    </row>
    <row r="1081" spans="1:2" x14ac:dyDescent="0.3">
      <c r="A1081" s="4" t="s">
        <v>1821</v>
      </c>
      <c r="B1081" s="4" t="s">
        <v>1822</v>
      </c>
    </row>
    <row r="1082" spans="1:2" x14ac:dyDescent="0.3">
      <c r="A1082" s="4" t="s">
        <v>1823</v>
      </c>
      <c r="B1082" s="4" t="s">
        <v>1824</v>
      </c>
    </row>
    <row r="1083" spans="1:2" x14ac:dyDescent="0.3">
      <c r="A1083" s="4" t="s">
        <v>1825</v>
      </c>
      <c r="B1083" s="4" t="s">
        <v>1826</v>
      </c>
    </row>
    <row r="1084" spans="1:2" x14ac:dyDescent="0.3">
      <c r="A1084" s="4" t="s">
        <v>1827</v>
      </c>
      <c r="B1084" s="4" t="s">
        <v>8825</v>
      </c>
    </row>
    <row r="1085" spans="1:2" x14ac:dyDescent="0.3">
      <c r="A1085" s="4" t="s">
        <v>1828</v>
      </c>
      <c r="B1085" s="4" t="s">
        <v>1829</v>
      </c>
    </row>
    <row r="1086" spans="1:2" x14ac:dyDescent="0.3">
      <c r="A1086" s="4" t="s">
        <v>1830</v>
      </c>
      <c r="B1086" s="4" t="s">
        <v>1831</v>
      </c>
    </row>
    <row r="1087" spans="1:2" x14ac:dyDescent="0.3">
      <c r="A1087" s="4" t="s">
        <v>1832</v>
      </c>
      <c r="B1087" s="4" t="s">
        <v>1833</v>
      </c>
    </row>
    <row r="1088" spans="1:2" x14ac:dyDescent="0.3">
      <c r="A1088" s="4" t="s">
        <v>1836</v>
      </c>
      <c r="B1088" s="4" t="s">
        <v>12286</v>
      </c>
    </row>
    <row r="1089" spans="1:2" x14ac:dyDescent="0.3">
      <c r="A1089" s="4" t="s">
        <v>1834</v>
      </c>
      <c r="B1089" s="4" t="s">
        <v>1835</v>
      </c>
    </row>
    <row r="1090" spans="1:2" x14ac:dyDescent="0.3">
      <c r="A1090" s="4" t="s">
        <v>1839</v>
      </c>
      <c r="B1090" s="4" t="s">
        <v>1840</v>
      </c>
    </row>
    <row r="1091" spans="1:2" x14ac:dyDescent="0.3">
      <c r="A1091" s="4" t="s">
        <v>1841</v>
      </c>
      <c r="B1091" s="4" t="s">
        <v>1842</v>
      </c>
    </row>
    <row r="1092" spans="1:2" x14ac:dyDescent="0.3">
      <c r="A1092" s="4" t="s">
        <v>1843</v>
      </c>
      <c r="B1092" s="4" t="s">
        <v>1844</v>
      </c>
    </row>
    <row r="1093" spans="1:2" x14ac:dyDescent="0.3">
      <c r="A1093" s="4" t="s">
        <v>1845</v>
      </c>
      <c r="B1093" s="4" t="s">
        <v>1846</v>
      </c>
    </row>
    <row r="1094" spans="1:2" x14ac:dyDescent="0.3">
      <c r="A1094" s="4" t="s">
        <v>8826</v>
      </c>
      <c r="B1094" s="4" t="s">
        <v>8827</v>
      </c>
    </row>
    <row r="1095" spans="1:2" x14ac:dyDescent="0.3">
      <c r="A1095" s="4" t="s">
        <v>1848</v>
      </c>
      <c r="B1095" s="4" t="s">
        <v>1849</v>
      </c>
    </row>
    <row r="1096" spans="1:2" x14ac:dyDescent="0.3">
      <c r="A1096" s="4" t="s">
        <v>1850</v>
      </c>
      <c r="B1096" s="4" t="s">
        <v>1851</v>
      </c>
    </row>
    <row r="1097" spans="1:2" x14ac:dyDescent="0.3">
      <c r="A1097" s="4" t="s">
        <v>1852</v>
      </c>
      <c r="B1097" s="4" t="s">
        <v>1853</v>
      </c>
    </row>
    <row r="1098" spans="1:2" x14ac:dyDescent="0.3">
      <c r="A1098" s="4" t="s">
        <v>8828</v>
      </c>
      <c r="B1098" s="4" t="s">
        <v>5813</v>
      </c>
    </row>
    <row r="1099" spans="1:2" x14ac:dyDescent="0.3">
      <c r="A1099" s="4" t="s">
        <v>1854</v>
      </c>
      <c r="B1099" s="4" t="s">
        <v>1855</v>
      </c>
    </row>
    <row r="1100" spans="1:2" x14ac:dyDescent="0.3">
      <c r="A1100" s="4" t="s">
        <v>1856</v>
      </c>
      <c r="B1100" s="4" t="s">
        <v>1857</v>
      </c>
    </row>
    <row r="1101" spans="1:2" x14ac:dyDescent="0.3">
      <c r="A1101" s="4" t="s">
        <v>1858</v>
      </c>
      <c r="B1101" s="4" t="s">
        <v>8829</v>
      </c>
    </row>
    <row r="1102" spans="1:2" x14ac:dyDescent="0.3">
      <c r="A1102" s="4" t="s">
        <v>1859</v>
      </c>
      <c r="B1102" s="4" t="s">
        <v>1860</v>
      </c>
    </row>
    <row r="1103" spans="1:2" x14ac:dyDescent="0.3">
      <c r="A1103" s="4" t="s">
        <v>1861</v>
      </c>
      <c r="B1103" s="4" t="s">
        <v>1862</v>
      </c>
    </row>
    <row r="1104" spans="1:2" x14ac:dyDescent="0.3">
      <c r="A1104" s="4" t="s">
        <v>1863</v>
      </c>
      <c r="B1104" s="4" t="s">
        <v>1864</v>
      </c>
    </row>
    <row r="1105" spans="1:2" x14ac:dyDescent="0.3">
      <c r="A1105" s="4" t="s">
        <v>1865</v>
      </c>
      <c r="B1105" s="4" t="s">
        <v>1866</v>
      </c>
    </row>
    <row r="1106" spans="1:2" x14ac:dyDescent="0.3">
      <c r="A1106" s="4" t="s">
        <v>1867</v>
      </c>
      <c r="B1106" s="4" t="s">
        <v>1868</v>
      </c>
    </row>
    <row r="1107" spans="1:2" x14ac:dyDescent="0.3">
      <c r="A1107" s="4" t="s">
        <v>1869</v>
      </c>
      <c r="B1107" s="4" t="s">
        <v>1870</v>
      </c>
    </row>
    <row r="1108" spans="1:2" x14ac:dyDescent="0.3">
      <c r="A1108" s="4" t="s">
        <v>1871</v>
      </c>
      <c r="B1108" s="4" t="s">
        <v>1872</v>
      </c>
    </row>
    <row r="1109" spans="1:2" x14ac:dyDescent="0.3">
      <c r="A1109" s="4" t="s">
        <v>1874</v>
      </c>
      <c r="B1109" s="4" t="s">
        <v>1875</v>
      </c>
    </row>
    <row r="1110" spans="1:2" x14ac:dyDescent="0.3">
      <c r="A1110" s="4" t="s">
        <v>1168</v>
      </c>
      <c r="B1110" s="4" t="s">
        <v>8830</v>
      </c>
    </row>
    <row r="1111" spans="1:2" x14ac:dyDescent="0.3">
      <c r="A1111" s="4" t="s">
        <v>1876</v>
      </c>
      <c r="B1111" s="4" t="s">
        <v>1877</v>
      </c>
    </row>
    <row r="1112" spans="1:2" x14ac:dyDescent="0.3">
      <c r="A1112" s="4" t="s">
        <v>12287</v>
      </c>
      <c r="B1112" s="4" t="s">
        <v>12288</v>
      </c>
    </row>
    <row r="1113" spans="1:2" x14ac:dyDescent="0.3">
      <c r="A1113" s="4" t="s">
        <v>1878</v>
      </c>
      <c r="B1113" s="4" t="s">
        <v>1879</v>
      </c>
    </row>
    <row r="1114" spans="1:2" x14ac:dyDescent="0.3">
      <c r="A1114" s="4" t="s">
        <v>1880</v>
      </c>
      <c r="B1114" s="4" t="s">
        <v>1881</v>
      </c>
    </row>
    <row r="1115" spans="1:2" x14ac:dyDescent="0.3">
      <c r="A1115" s="4" t="s">
        <v>1882</v>
      </c>
      <c r="B1115" s="4" t="s">
        <v>1883</v>
      </c>
    </row>
    <row r="1116" spans="1:2" x14ac:dyDescent="0.3">
      <c r="A1116" s="4" t="s">
        <v>1884</v>
      </c>
      <c r="B1116" s="4" t="s">
        <v>1885</v>
      </c>
    </row>
    <row r="1117" spans="1:2" x14ac:dyDescent="0.3">
      <c r="A1117" s="4" t="s">
        <v>1886</v>
      </c>
      <c r="B1117" s="4" t="s">
        <v>1887</v>
      </c>
    </row>
    <row r="1118" spans="1:2" x14ac:dyDescent="0.3">
      <c r="A1118" s="4" t="s">
        <v>1888</v>
      </c>
      <c r="B1118" s="4" t="s">
        <v>1889</v>
      </c>
    </row>
    <row r="1119" spans="1:2" x14ac:dyDescent="0.3">
      <c r="A1119" s="4" t="s">
        <v>8831</v>
      </c>
      <c r="B1119" s="4" t="s">
        <v>8832</v>
      </c>
    </row>
    <row r="1120" spans="1:2" x14ac:dyDescent="0.3">
      <c r="A1120" s="4" t="s">
        <v>1890</v>
      </c>
      <c r="B1120" s="4" t="s">
        <v>1891</v>
      </c>
    </row>
    <row r="1121" spans="1:2" x14ac:dyDescent="0.3">
      <c r="A1121" s="4" t="s">
        <v>1892</v>
      </c>
      <c r="B1121" s="4" t="s">
        <v>1893</v>
      </c>
    </row>
    <row r="1122" spans="1:2" x14ac:dyDescent="0.3">
      <c r="A1122" s="4" t="s">
        <v>8833</v>
      </c>
      <c r="B1122" s="4" t="s">
        <v>12289</v>
      </c>
    </row>
    <row r="1123" spans="1:2" x14ac:dyDescent="0.3">
      <c r="A1123" s="4" t="s">
        <v>1894</v>
      </c>
      <c r="B1123" s="4" t="s">
        <v>1895</v>
      </c>
    </row>
    <row r="1124" spans="1:2" x14ac:dyDescent="0.3">
      <c r="A1124" s="4" t="s">
        <v>1896</v>
      </c>
      <c r="B1124" s="4" t="s">
        <v>1897</v>
      </c>
    </row>
    <row r="1125" spans="1:2" x14ac:dyDescent="0.3">
      <c r="A1125" s="4" t="s">
        <v>8834</v>
      </c>
      <c r="B1125" s="4" t="s">
        <v>8835</v>
      </c>
    </row>
    <row r="1126" spans="1:2" x14ac:dyDescent="0.3">
      <c r="A1126" s="4" t="s">
        <v>8836</v>
      </c>
      <c r="B1126" s="4" t="s">
        <v>8837</v>
      </c>
    </row>
    <row r="1127" spans="1:2" x14ac:dyDescent="0.3">
      <c r="A1127" s="4" t="s">
        <v>1898</v>
      </c>
      <c r="B1127" s="4" t="s">
        <v>1899</v>
      </c>
    </row>
    <row r="1128" spans="1:2" x14ac:dyDescent="0.3">
      <c r="A1128" s="4" t="s">
        <v>1901</v>
      </c>
      <c r="B1128" s="4" t="s">
        <v>1902</v>
      </c>
    </row>
    <row r="1129" spans="1:2" x14ac:dyDescent="0.3">
      <c r="A1129" s="4" t="s">
        <v>8838</v>
      </c>
      <c r="B1129" s="4" t="s">
        <v>8839</v>
      </c>
    </row>
    <row r="1130" spans="1:2" x14ac:dyDescent="0.3">
      <c r="A1130" s="4" t="s">
        <v>1903</v>
      </c>
      <c r="B1130" s="4" t="s">
        <v>1904</v>
      </c>
    </row>
    <row r="1131" spans="1:2" x14ac:dyDescent="0.3">
      <c r="A1131" s="4" t="s">
        <v>1905</v>
      </c>
      <c r="B1131" s="4" t="s">
        <v>1906</v>
      </c>
    </row>
    <row r="1132" spans="1:2" x14ac:dyDescent="0.3">
      <c r="A1132" s="4" t="s">
        <v>1907</v>
      </c>
      <c r="B1132" s="4" t="s">
        <v>1908</v>
      </c>
    </row>
    <row r="1133" spans="1:2" x14ac:dyDescent="0.3">
      <c r="A1133" s="4" t="s">
        <v>1909</v>
      </c>
      <c r="B1133" s="4" t="s">
        <v>1910</v>
      </c>
    </row>
    <row r="1134" spans="1:2" x14ac:dyDescent="0.3">
      <c r="A1134" s="4" t="s">
        <v>1912</v>
      </c>
      <c r="B1134" s="4" t="s">
        <v>1913</v>
      </c>
    </row>
    <row r="1135" spans="1:2" x14ac:dyDescent="0.3">
      <c r="A1135" s="4" t="s">
        <v>1914</v>
      </c>
      <c r="B1135" s="4" t="s">
        <v>8840</v>
      </c>
    </row>
    <row r="1136" spans="1:2" x14ac:dyDescent="0.3">
      <c r="A1136" s="4" t="s">
        <v>1915</v>
      </c>
      <c r="B1136" s="4" t="s">
        <v>1916</v>
      </c>
    </row>
    <row r="1137" spans="1:2" x14ac:dyDescent="0.3">
      <c r="A1137" s="4" t="s">
        <v>1917</v>
      </c>
      <c r="B1137" s="4" t="s">
        <v>1918</v>
      </c>
    </row>
    <row r="1138" spans="1:2" x14ac:dyDescent="0.3">
      <c r="A1138" s="4" t="s">
        <v>1919</v>
      </c>
      <c r="B1138" s="4" t="s">
        <v>1920</v>
      </c>
    </row>
    <row r="1139" spans="1:2" x14ac:dyDescent="0.3">
      <c r="A1139" s="4" t="s">
        <v>1921</v>
      </c>
      <c r="B1139" s="4" t="s">
        <v>1922</v>
      </c>
    </row>
    <row r="1140" spans="1:2" x14ac:dyDescent="0.3">
      <c r="A1140" s="4" t="s">
        <v>1923</v>
      </c>
      <c r="B1140" s="4" t="s">
        <v>1924</v>
      </c>
    </row>
    <row r="1141" spans="1:2" x14ac:dyDescent="0.3">
      <c r="A1141" s="4" t="s">
        <v>1925</v>
      </c>
      <c r="B1141" s="4" t="s">
        <v>1926</v>
      </c>
    </row>
    <row r="1142" spans="1:2" x14ac:dyDescent="0.3">
      <c r="A1142" s="4" t="s">
        <v>1927</v>
      </c>
      <c r="B1142" s="4" t="s">
        <v>1928</v>
      </c>
    </row>
    <row r="1143" spans="1:2" x14ac:dyDescent="0.3">
      <c r="A1143" s="4" t="s">
        <v>1929</v>
      </c>
      <c r="B1143" s="4" t="s">
        <v>1930</v>
      </c>
    </row>
    <row r="1144" spans="1:2" x14ac:dyDescent="0.3">
      <c r="A1144" s="4" t="s">
        <v>8841</v>
      </c>
      <c r="B1144" s="4" t="s">
        <v>5903</v>
      </c>
    </row>
    <row r="1145" spans="1:2" x14ac:dyDescent="0.3">
      <c r="A1145" s="4" t="s">
        <v>1931</v>
      </c>
      <c r="B1145" s="4" t="s">
        <v>1932</v>
      </c>
    </row>
    <row r="1146" spans="1:2" x14ac:dyDescent="0.3">
      <c r="A1146" s="4" t="s">
        <v>1933</v>
      </c>
      <c r="B1146" s="4" t="s">
        <v>1934</v>
      </c>
    </row>
    <row r="1147" spans="1:2" x14ac:dyDescent="0.3">
      <c r="A1147" s="4" t="s">
        <v>1935</v>
      </c>
      <c r="B1147" s="4" t="s">
        <v>1936</v>
      </c>
    </row>
    <row r="1148" spans="1:2" x14ac:dyDescent="0.3">
      <c r="A1148" s="4" t="s">
        <v>1937</v>
      </c>
      <c r="B1148" s="4" t="s">
        <v>1938</v>
      </c>
    </row>
    <row r="1149" spans="1:2" x14ac:dyDescent="0.3">
      <c r="A1149" s="4" t="s">
        <v>1939</v>
      </c>
      <c r="B1149" s="4" t="s">
        <v>1940</v>
      </c>
    </row>
    <row r="1150" spans="1:2" x14ac:dyDescent="0.3">
      <c r="A1150" s="4" t="s">
        <v>1941</v>
      </c>
      <c r="B1150" s="4" t="s">
        <v>1942</v>
      </c>
    </row>
    <row r="1151" spans="1:2" x14ac:dyDescent="0.3">
      <c r="A1151" s="4" t="s">
        <v>1943</v>
      </c>
      <c r="B1151" s="4" t="s">
        <v>1944</v>
      </c>
    </row>
    <row r="1152" spans="1:2" x14ac:dyDescent="0.3">
      <c r="A1152" s="4" t="s">
        <v>1945</v>
      </c>
      <c r="B1152" s="4" t="s">
        <v>1946</v>
      </c>
    </row>
    <row r="1153" spans="1:2" x14ac:dyDescent="0.3">
      <c r="A1153" s="4" t="s">
        <v>1947</v>
      </c>
      <c r="B1153" s="4" t="s">
        <v>1948</v>
      </c>
    </row>
    <row r="1154" spans="1:2" x14ac:dyDescent="0.3">
      <c r="A1154" s="4" t="s">
        <v>1949</v>
      </c>
      <c r="B1154" s="4" t="s">
        <v>1950</v>
      </c>
    </row>
    <row r="1155" spans="1:2" x14ac:dyDescent="0.3">
      <c r="A1155" s="4" t="s">
        <v>3337</v>
      </c>
      <c r="B1155" s="4" t="s">
        <v>8842</v>
      </c>
    </row>
    <row r="1156" spans="1:2" x14ac:dyDescent="0.3">
      <c r="A1156" s="4" t="s">
        <v>8843</v>
      </c>
      <c r="B1156" s="4" t="s">
        <v>8844</v>
      </c>
    </row>
    <row r="1157" spans="1:2" x14ac:dyDescent="0.3">
      <c r="A1157" s="4" t="s">
        <v>1951</v>
      </c>
      <c r="B1157" s="4" t="s">
        <v>1952</v>
      </c>
    </row>
    <row r="1158" spans="1:2" x14ac:dyDescent="0.3">
      <c r="A1158" s="4" t="s">
        <v>1953</v>
      </c>
      <c r="B1158" s="4" t="s">
        <v>1954</v>
      </c>
    </row>
    <row r="1159" spans="1:2" x14ac:dyDescent="0.3">
      <c r="A1159" s="4" t="s">
        <v>8845</v>
      </c>
      <c r="B1159" s="4" t="s">
        <v>5925</v>
      </c>
    </row>
    <row r="1160" spans="1:2" x14ac:dyDescent="0.3">
      <c r="A1160" s="4" t="s">
        <v>1955</v>
      </c>
      <c r="B1160" s="4" t="s">
        <v>1956</v>
      </c>
    </row>
    <row r="1161" spans="1:2" x14ac:dyDescent="0.3">
      <c r="A1161" s="4" t="s">
        <v>1957</v>
      </c>
      <c r="B1161" s="4" t="s">
        <v>1958</v>
      </c>
    </row>
    <row r="1162" spans="1:2" x14ac:dyDescent="0.3">
      <c r="A1162" s="4" t="s">
        <v>1959</v>
      </c>
      <c r="B1162" s="4" t="s">
        <v>1960</v>
      </c>
    </row>
    <row r="1163" spans="1:2" x14ac:dyDescent="0.3">
      <c r="A1163" s="4" t="s">
        <v>1961</v>
      </c>
      <c r="B1163" s="4" t="s">
        <v>1962</v>
      </c>
    </row>
    <row r="1164" spans="1:2" x14ac:dyDescent="0.3">
      <c r="A1164" s="4" t="s">
        <v>1963</v>
      </c>
      <c r="B1164" s="4" t="s">
        <v>1964</v>
      </c>
    </row>
    <row r="1165" spans="1:2" x14ac:dyDescent="0.3">
      <c r="A1165" s="4" t="s">
        <v>1965</v>
      </c>
      <c r="B1165" s="4" t="s">
        <v>1966</v>
      </c>
    </row>
    <row r="1166" spans="1:2" x14ac:dyDescent="0.3">
      <c r="A1166" s="4" t="s">
        <v>1967</v>
      </c>
      <c r="B1166" s="4" t="s">
        <v>1968</v>
      </c>
    </row>
    <row r="1167" spans="1:2" x14ac:dyDescent="0.3">
      <c r="A1167" s="4" t="s">
        <v>8846</v>
      </c>
      <c r="B1167" s="4" t="s">
        <v>5938</v>
      </c>
    </row>
    <row r="1168" spans="1:2" x14ac:dyDescent="0.3">
      <c r="A1168" s="4" t="s">
        <v>1969</v>
      </c>
      <c r="B1168" s="4" t="s">
        <v>1970</v>
      </c>
    </row>
    <row r="1169" spans="1:2" x14ac:dyDescent="0.3">
      <c r="A1169" s="4" t="s">
        <v>4198</v>
      </c>
      <c r="B1169" s="4" t="s">
        <v>5939</v>
      </c>
    </row>
    <row r="1170" spans="1:2" x14ac:dyDescent="0.3">
      <c r="A1170" s="4" t="s">
        <v>1971</v>
      </c>
      <c r="B1170" s="4" t="s">
        <v>1972</v>
      </c>
    </row>
    <row r="1171" spans="1:2" x14ac:dyDescent="0.3">
      <c r="A1171" s="4" t="s">
        <v>1973</v>
      </c>
      <c r="B1171" s="4" t="s">
        <v>1974</v>
      </c>
    </row>
    <row r="1172" spans="1:2" x14ac:dyDescent="0.3">
      <c r="A1172" s="4" t="s">
        <v>1975</v>
      </c>
      <c r="B1172" s="4" t="s">
        <v>1976</v>
      </c>
    </row>
    <row r="1173" spans="1:2" x14ac:dyDescent="0.3">
      <c r="A1173" s="4" t="s">
        <v>1977</v>
      </c>
      <c r="B1173" s="4" t="s">
        <v>1978</v>
      </c>
    </row>
    <row r="1174" spans="1:2" x14ac:dyDescent="0.3">
      <c r="A1174" s="4" t="s">
        <v>1979</v>
      </c>
      <c r="B1174" s="4" t="s">
        <v>1980</v>
      </c>
    </row>
    <row r="1175" spans="1:2" x14ac:dyDescent="0.3">
      <c r="A1175" s="4" t="s">
        <v>12290</v>
      </c>
      <c r="B1175" s="4" t="s">
        <v>10374</v>
      </c>
    </row>
    <row r="1176" spans="1:2" x14ac:dyDescent="0.3">
      <c r="A1176" s="4" t="s">
        <v>1982</v>
      </c>
      <c r="B1176" s="4" t="s">
        <v>1983</v>
      </c>
    </row>
    <row r="1177" spans="1:2" x14ac:dyDescent="0.3">
      <c r="A1177" s="4" t="s">
        <v>1984</v>
      </c>
      <c r="B1177" s="4" t="s">
        <v>1985</v>
      </c>
    </row>
    <row r="1178" spans="1:2" x14ac:dyDescent="0.3">
      <c r="A1178" s="4" t="s">
        <v>1986</v>
      </c>
      <c r="B1178" s="4" t="s">
        <v>1987</v>
      </c>
    </row>
    <row r="1179" spans="1:2" x14ac:dyDescent="0.3">
      <c r="A1179" s="4" t="s">
        <v>1988</v>
      </c>
      <c r="B1179" s="4" t="s">
        <v>1989</v>
      </c>
    </row>
    <row r="1180" spans="1:2" x14ac:dyDescent="0.3">
      <c r="A1180" s="4" t="s">
        <v>4192</v>
      </c>
      <c r="B1180" s="4" t="s">
        <v>4193</v>
      </c>
    </row>
    <row r="1181" spans="1:2" x14ac:dyDescent="0.3">
      <c r="A1181" s="4" t="s">
        <v>1991</v>
      </c>
      <c r="B1181" s="4" t="s">
        <v>1992</v>
      </c>
    </row>
    <row r="1182" spans="1:2" x14ac:dyDescent="0.3">
      <c r="A1182" s="4" t="s">
        <v>12291</v>
      </c>
      <c r="B1182" s="4" t="s">
        <v>12292</v>
      </c>
    </row>
    <row r="1183" spans="1:2" x14ac:dyDescent="0.3">
      <c r="A1183" s="4" t="s">
        <v>1994</v>
      </c>
      <c r="B1183" s="4" t="s">
        <v>1995</v>
      </c>
    </row>
    <row r="1184" spans="1:2" x14ac:dyDescent="0.3">
      <c r="A1184" s="4" t="s">
        <v>426</v>
      </c>
      <c r="B1184" s="4" t="s">
        <v>8847</v>
      </c>
    </row>
    <row r="1185" spans="1:2" x14ac:dyDescent="0.3">
      <c r="A1185" s="4" t="s">
        <v>1990</v>
      </c>
      <c r="B1185" s="4" t="s">
        <v>8848</v>
      </c>
    </row>
    <row r="1186" spans="1:2" x14ac:dyDescent="0.3">
      <c r="A1186" s="4" t="s">
        <v>1997</v>
      </c>
      <c r="B1186" s="4" t="s">
        <v>1998</v>
      </c>
    </row>
    <row r="1187" spans="1:2" x14ac:dyDescent="0.3">
      <c r="A1187" s="4" t="s">
        <v>1999</v>
      </c>
      <c r="B1187" s="4" t="s">
        <v>2000</v>
      </c>
    </row>
    <row r="1188" spans="1:2" x14ac:dyDescent="0.3">
      <c r="A1188" s="4" t="s">
        <v>2001</v>
      </c>
      <c r="B1188" s="4" t="s">
        <v>2002</v>
      </c>
    </row>
    <row r="1189" spans="1:2" x14ac:dyDescent="0.3">
      <c r="A1189" s="4" t="s">
        <v>2003</v>
      </c>
      <c r="B1189" s="4" t="s">
        <v>2004</v>
      </c>
    </row>
    <row r="1190" spans="1:2" x14ac:dyDescent="0.3">
      <c r="A1190" s="4" t="s">
        <v>8849</v>
      </c>
      <c r="B1190" s="4" t="s">
        <v>8850</v>
      </c>
    </row>
    <row r="1191" spans="1:2" x14ac:dyDescent="0.3">
      <c r="A1191" s="4" t="s">
        <v>2005</v>
      </c>
      <c r="B1191" s="4" t="s">
        <v>2006</v>
      </c>
    </row>
    <row r="1192" spans="1:2" x14ac:dyDescent="0.3">
      <c r="A1192" s="4" t="s">
        <v>2007</v>
      </c>
      <c r="B1192" s="4" t="s">
        <v>2008</v>
      </c>
    </row>
    <row r="1193" spans="1:2" x14ac:dyDescent="0.3">
      <c r="A1193" s="4" t="s">
        <v>2009</v>
      </c>
      <c r="B1193" s="4" t="s">
        <v>2010</v>
      </c>
    </row>
    <row r="1194" spans="1:2" x14ac:dyDescent="0.3">
      <c r="A1194" s="4" t="s">
        <v>2460</v>
      </c>
      <c r="B1194" s="4" t="s">
        <v>8851</v>
      </c>
    </row>
    <row r="1195" spans="1:2" x14ac:dyDescent="0.3">
      <c r="A1195" s="4" t="s">
        <v>2011</v>
      </c>
      <c r="B1195" s="4" t="s">
        <v>2012</v>
      </c>
    </row>
    <row r="1196" spans="1:2" x14ac:dyDescent="0.3">
      <c r="A1196" s="4" t="s">
        <v>8852</v>
      </c>
      <c r="B1196" s="4" t="s">
        <v>8853</v>
      </c>
    </row>
    <row r="1197" spans="1:2" x14ac:dyDescent="0.3">
      <c r="A1197" s="4" t="s">
        <v>2013</v>
      </c>
      <c r="B1197" s="4" t="s">
        <v>2014</v>
      </c>
    </row>
    <row r="1198" spans="1:2" x14ac:dyDescent="0.3">
      <c r="A1198" s="4" t="s">
        <v>8854</v>
      </c>
      <c r="B1198" s="4" t="s">
        <v>8855</v>
      </c>
    </row>
    <row r="1199" spans="1:2" x14ac:dyDescent="0.3">
      <c r="A1199" s="4" t="s">
        <v>8856</v>
      </c>
      <c r="B1199" s="4" t="s">
        <v>8857</v>
      </c>
    </row>
    <row r="1200" spans="1:2" x14ac:dyDescent="0.3">
      <c r="A1200" s="4" t="s">
        <v>2016</v>
      </c>
      <c r="B1200" s="4" t="s">
        <v>2017</v>
      </c>
    </row>
    <row r="1201" spans="1:2" x14ac:dyDescent="0.3">
      <c r="A1201" s="4" t="s">
        <v>2018</v>
      </c>
      <c r="B1201" s="4" t="s">
        <v>2019</v>
      </c>
    </row>
    <row r="1202" spans="1:2" x14ac:dyDescent="0.3">
      <c r="A1202" s="4" t="s">
        <v>2020</v>
      </c>
      <c r="B1202" s="4" t="s">
        <v>2021</v>
      </c>
    </row>
    <row r="1203" spans="1:2" x14ac:dyDescent="0.3">
      <c r="A1203" s="4" t="s">
        <v>2022</v>
      </c>
      <c r="B1203" s="4" t="s">
        <v>2023</v>
      </c>
    </row>
    <row r="1204" spans="1:2" x14ac:dyDescent="0.3">
      <c r="A1204" s="4" t="s">
        <v>2024</v>
      </c>
      <c r="B1204" s="4" t="s">
        <v>2025</v>
      </c>
    </row>
    <row r="1205" spans="1:2" x14ac:dyDescent="0.3">
      <c r="A1205" s="4" t="s">
        <v>2026</v>
      </c>
      <c r="B1205" s="4" t="s">
        <v>2027</v>
      </c>
    </row>
    <row r="1206" spans="1:2" x14ac:dyDescent="0.3">
      <c r="A1206" s="4" t="s">
        <v>12293</v>
      </c>
      <c r="B1206" s="4" t="s">
        <v>10413</v>
      </c>
    </row>
    <row r="1207" spans="1:2" x14ac:dyDescent="0.3">
      <c r="A1207" s="4" t="s">
        <v>2028</v>
      </c>
      <c r="B1207" s="4" t="s">
        <v>2029</v>
      </c>
    </row>
    <row r="1208" spans="1:2" x14ac:dyDescent="0.3">
      <c r="A1208" s="4" t="s">
        <v>2030</v>
      </c>
      <c r="B1208" s="4" t="s">
        <v>2031</v>
      </c>
    </row>
    <row r="1209" spans="1:2" x14ac:dyDescent="0.3">
      <c r="A1209" s="4" t="s">
        <v>2032</v>
      </c>
      <c r="B1209" s="4" t="s">
        <v>2033</v>
      </c>
    </row>
    <row r="1210" spans="1:2" x14ac:dyDescent="0.3">
      <c r="A1210" s="4" t="s">
        <v>2034</v>
      </c>
      <c r="B1210" s="4" t="s">
        <v>2035</v>
      </c>
    </row>
    <row r="1211" spans="1:2" x14ac:dyDescent="0.3">
      <c r="A1211" s="4" t="s">
        <v>2036</v>
      </c>
      <c r="B1211" s="4" t="s">
        <v>2037</v>
      </c>
    </row>
    <row r="1212" spans="1:2" x14ac:dyDescent="0.3">
      <c r="A1212" s="4" t="s">
        <v>2038</v>
      </c>
      <c r="B1212" s="4" t="s">
        <v>2039</v>
      </c>
    </row>
    <row r="1213" spans="1:2" x14ac:dyDescent="0.3">
      <c r="A1213" s="4" t="s">
        <v>2040</v>
      </c>
      <c r="B1213" s="4" t="s">
        <v>2041</v>
      </c>
    </row>
    <row r="1214" spans="1:2" x14ac:dyDescent="0.3">
      <c r="A1214" s="4" t="s">
        <v>8858</v>
      </c>
      <c r="B1214" s="4" t="s">
        <v>8859</v>
      </c>
    </row>
    <row r="1215" spans="1:2" x14ac:dyDescent="0.3">
      <c r="A1215" s="4" t="s">
        <v>2042</v>
      </c>
      <c r="B1215" s="4" t="s">
        <v>2043</v>
      </c>
    </row>
    <row r="1216" spans="1:2" x14ac:dyDescent="0.3">
      <c r="A1216" s="4" t="s">
        <v>2044</v>
      </c>
      <c r="B1216" s="4" t="s">
        <v>2045</v>
      </c>
    </row>
    <row r="1217" spans="1:2" x14ac:dyDescent="0.3">
      <c r="A1217" s="4" t="s">
        <v>2046</v>
      </c>
      <c r="B1217" s="4" t="s">
        <v>2047</v>
      </c>
    </row>
    <row r="1218" spans="1:2" x14ac:dyDescent="0.3">
      <c r="A1218" s="4" t="s">
        <v>2048</v>
      </c>
      <c r="B1218" s="4" t="s">
        <v>2049</v>
      </c>
    </row>
    <row r="1219" spans="1:2" x14ac:dyDescent="0.3">
      <c r="A1219" s="4" t="s">
        <v>2050</v>
      </c>
      <c r="B1219" s="4" t="s">
        <v>2051</v>
      </c>
    </row>
    <row r="1220" spans="1:2" x14ac:dyDescent="0.3">
      <c r="A1220" s="4" t="s">
        <v>8860</v>
      </c>
      <c r="B1220" s="4" t="s">
        <v>8861</v>
      </c>
    </row>
    <row r="1221" spans="1:2" x14ac:dyDescent="0.3">
      <c r="A1221" s="4" t="s">
        <v>2053</v>
      </c>
      <c r="B1221" s="4" t="s">
        <v>2054</v>
      </c>
    </row>
    <row r="1222" spans="1:2" x14ac:dyDescent="0.3">
      <c r="A1222" s="4" t="s">
        <v>2055</v>
      </c>
      <c r="B1222" s="4" t="s">
        <v>2056</v>
      </c>
    </row>
    <row r="1223" spans="1:2" x14ac:dyDescent="0.3">
      <c r="A1223" s="4" t="s">
        <v>2057</v>
      </c>
      <c r="B1223" s="4" t="s">
        <v>2058</v>
      </c>
    </row>
    <row r="1224" spans="1:2" x14ac:dyDescent="0.3">
      <c r="A1224" s="4" t="s">
        <v>2059</v>
      </c>
      <c r="B1224" s="4" t="s">
        <v>2060</v>
      </c>
    </row>
    <row r="1225" spans="1:2" x14ac:dyDescent="0.3">
      <c r="A1225" s="4" t="s">
        <v>12294</v>
      </c>
      <c r="B1225" s="4" t="s">
        <v>10440</v>
      </c>
    </row>
    <row r="1226" spans="1:2" x14ac:dyDescent="0.3">
      <c r="A1226" s="4" t="s">
        <v>8862</v>
      </c>
      <c r="B1226" s="4" t="s">
        <v>6008</v>
      </c>
    </row>
    <row r="1227" spans="1:2" x14ac:dyDescent="0.3">
      <c r="A1227" s="4" t="s">
        <v>2061</v>
      </c>
      <c r="B1227" s="4" t="s">
        <v>2062</v>
      </c>
    </row>
    <row r="1228" spans="1:2" x14ac:dyDescent="0.3">
      <c r="A1228" s="4" t="s">
        <v>2063</v>
      </c>
      <c r="B1228" s="4" t="s">
        <v>2064</v>
      </c>
    </row>
    <row r="1229" spans="1:2" x14ac:dyDescent="0.3">
      <c r="A1229" s="4" t="s">
        <v>2065</v>
      </c>
      <c r="B1229" s="4" t="s">
        <v>2066</v>
      </c>
    </row>
    <row r="1230" spans="1:2" x14ac:dyDescent="0.3">
      <c r="A1230" s="4" t="s">
        <v>2067</v>
      </c>
      <c r="B1230" s="4" t="s">
        <v>8863</v>
      </c>
    </row>
    <row r="1231" spans="1:2" x14ac:dyDescent="0.3">
      <c r="A1231" s="4" t="s">
        <v>12295</v>
      </c>
      <c r="B1231" s="4" t="s">
        <v>12296</v>
      </c>
    </row>
    <row r="1232" spans="1:2" x14ac:dyDescent="0.3">
      <c r="A1232" s="4" t="s">
        <v>2068</v>
      </c>
      <c r="B1232" s="4" t="s">
        <v>2069</v>
      </c>
    </row>
    <row r="1233" spans="1:2" x14ac:dyDescent="0.3">
      <c r="A1233" s="4" t="s">
        <v>4178</v>
      </c>
      <c r="B1233" s="4" t="s">
        <v>6013</v>
      </c>
    </row>
    <row r="1234" spans="1:2" x14ac:dyDescent="0.3">
      <c r="A1234" s="4" t="s">
        <v>2070</v>
      </c>
      <c r="B1234" s="4" t="s">
        <v>2071</v>
      </c>
    </row>
    <row r="1235" spans="1:2" x14ac:dyDescent="0.3">
      <c r="A1235" s="4" t="s">
        <v>628</v>
      </c>
      <c r="B1235" s="4" t="s">
        <v>8864</v>
      </c>
    </row>
    <row r="1236" spans="1:2" x14ac:dyDescent="0.3">
      <c r="A1236" s="4" t="s">
        <v>2072</v>
      </c>
      <c r="B1236" s="4" t="s">
        <v>2073</v>
      </c>
    </row>
    <row r="1237" spans="1:2" x14ac:dyDescent="0.3">
      <c r="A1237" s="4" t="s">
        <v>2074</v>
      </c>
      <c r="B1237" s="4" t="s">
        <v>2075</v>
      </c>
    </row>
    <row r="1238" spans="1:2" x14ac:dyDescent="0.3">
      <c r="A1238" s="4" t="s">
        <v>2077</v>
      </c>
      <c r="B1238" s="4" t="s">
        <v>2078</v>
      </c>
    </row>
    <row r="1239" spans="1:2" x14ac:dyDescent="0.3">
      <c r="A1239" s="4" t="s">
        <v>2079</v>
      </c>
      <c r="B1239" s="4" t="s">
        <v>2080</v>
      </c>
    </row>
    <row r="1240" spans="1:2" x14ac:dyDescent="0.3">
      <c r="A1240" s="4" t="s">
        <v>2081</v>
      </c>
      <c r="B1240" s="4" t="s">
        <v>2082</v>
      </c>
    </row>
    <row r="1241" spans="1:2" x14ac:dyDescent="0.3">
      <c r="A1241" s="4" t="s">
        <v>8865</v>
      </c>
      <c r="B1241" s="4" t="s">
        <v>8866</v>
      </c>
    </row>
    <row r="1242" spans="1:2" x14ac:dyDescent="0.3">
      <c r="A1242" s="4" t="s">
        <v>2084</v>
      </c>
      <c r="B1242" s="4" t="s">
        <v>2085</v>
      </c>
    </row>
    <row r="1243" spans="1:2" x14ac:dyDescent="0.3">
      <c r="A1243" s="4" t="s">
        <v>2086</v>
      </c>
      <c r="B1243" s="4" t="s">
        <v>2087</v>
      </c>
    </row>
    <row r="1244" spans="1:2" x14ac:dyDescent="0.3">
      <c r="A1244" s="4" t="s">
        <v>2088</v>
      </c>
      <c r="B1244" s="4" t="s">
        <v>2089</v>
      </c>
    </row>
    <row r="1245" spans="1:2" x14ac:dyDescent="0.3">
      <c r="A1245" s="4" t="s">
        <v>328</v>
      </c>
      <c r="B1245" s="4" t="s">
        <v>12297</v>
      </c>
    </row>
    <row r="1246" spans="1:2" x14ac:dyDescent="0.3">
      <c r="A1246" s="4" t="s">
        <v>2090</v>
      </c>
      <c r="B1246" s="4" t="s">
        <v>2091</v>
      </c>
    </row>
    <row r="1247" spans="1:2" x14ac:dyDescent="0.3">
      <c r="A1247" s="4" t="s">
        <v>1546</v>
      </c>
      <c r="B1247" s="4" t="s">
        <v>8867</v>
      </c>
    </row>
    <row r="1248" spans="1:2" x14ac:dyDescent="0.3">
      <c r="A1248" s="4" t="s">
        <v>1063</v>
      </c>
      <c r="B1248" s="4" t="s">
        <v>8868</v>
      </c>
    </row>
    <row r="1249" spans="1:2" x14ac:dyDescent="0.3">
      <c r="A1249" s="4" t="s">
        <v>2092</v>
      </c>
      <c r="B1249" s="4" t="s">
        <v>2093</v>
      </c>
    </row>
    <row r="1250" spans="1:2" x14ac:dyDescent="0.3">
      <c r="A1250" s="4" t="s">
        <v>2094</v>
      </c>
      <c r="B1250" s="4" t="s">
        <v>2095</v>
      </c>
    </row>
    <row r="1251" spans="1:2" x14ac:dyDescent="0.3">
      <c r="A1251" s="4" t="s">
        <v>2096</v>
      </c>
      <c r="B1251" s="4" t="s">
        <v>2097</v>
      </c>
    </row>
    <row r="1252" spans="1:2" x14ac:dyDescent="0.3">
      <c r="A1252" s="4" t="s">
        <v>2100</v>
      </c>
      <c r="B1252" s="4" t="s">
        <v>2101</v>
      </c>
    </row>
    <row r="1253" spans="1:2" x14ac:dyDescent="0.3">
      <c r="A1253" s="4" t="s">
        <v>2102</v>
      </c>
      <c r="B1253" s="4" t="s">
        <v>2103</v>
      </c>
    </row>
    <row r="1254" spans="1:2" x14ac:dyDescent="0.3">
      <c r="A1254" s="4" t="s">
        <v>8869</v>
      </c>
      <c r="B1254" s="4" t="s">
        <v>8870</v>
      </c>
    </row>
    <row r="1255" spans="1:2" x14ac:dyDescent="0.3">
      <c r="A1255" s="4" t="s">
        <v>2104</v>
      </c>
      <c r="B1255" s="4" t="s">
        <v>2105</v>
      </c>
    </row>
    <row r="1256" spans="1:2" x14ac:dyDescent="0.3">
      <c r="A1256" s="4" t="s">
        <v>2106</v>
      </c>
      <c r="B1256" s="4" t="s">
        <v>2107</v>
      </c>
    </row>
    <row r="1257" spans="1:2" x14ac:dyDescent="0.3">
      <c r="A1257" s="4" t="s">
        <v>2109</v>
      </c>
      <c r="B1257" s="4" t="s">
        <v>2110</v>
      </c>
    </row>
    <row r="1258" spans="1:2" x14ac:dyDescent="0.3">
      <c r="A1258" s="4" t="s">
        <v>12298</v>
      </c>
      <c r="B1258" s="4" t="s">
        <v>6045</v>
      </c>
    </row>
    <row r="1259" spans="1:2" x14ac:dyDescent="0.3">
      <c r="A1259" s="4" t="s">
        <v>2111</v>
      </c>
      <c r="B1259" s="4" t="s">
        <v>2112</v>
      </c>
    </row>
    <row r="1260" spans="1:2" x14ac:dyDescent="0.3">
      <c r="A1260" s="4" t="s">
        <v>8590</v>
      </c>
      <c r="B1260" s="4" t="s">
        <v>6058</v>
      </c>
    </row>
    <row r="1261" spans="1:2" x14ac:dyDescent="0.3">
      <c r="A1261" s="4" t="s">
        <v>2113</v>
      </c>
      <c r="B1261" s="4" t="s">
        <v>2114</v>
      </c>
    </row>
    <row r="1262" spans="1:2" x14ac:dyDescent="0.3">
      <c r="A1262" s="4" t="s">
        <v>2115</v>
      </c>
      <c r="B1262" s="4" t="s">
        <v>2116</v>
      </c>
    </row>
    <row r="1263" spans="1:2" x14ac:dyDescent="0.3">
      <c r="A1263" s="4" t="s">
        <v>2117</v>
      </c>
      <c r="B1263" s="4" t="s">
        <v>2118</v>
      </c>
    </row>
    <row r="1264" spans="1:2" x14ac:dyDescent="0.3">
      <c r="A1264" s="4" t="s">
        <v>2119</v>
      </c>
      <c r="B1264" s="4" t="s">
        <v>2120</v>
      </c>
    </row>
    <row r="1265" spans="1:2" x14ac:dyDescent="0.3">
      <c r="A1265" s="4" t="s">
        <v>2121</v>
      </c>
      <c r="B1265" s="4" t="s">
        <v>2122</v>
      </c>
    </row>
    <row r="1266" spans="1:2" x14ac:dyDescent="0.3">
      <c r="A1266" s="4" t="s">
        <v>2123</v>
      </c>
      <c r="B1266" s="4" t="s">
        <v>2124</v>
      </c>
    </row>
    <row r="1267" spans="1:2" x14ac:dyDescent="0.3">
      <c r="A1267" s="4" t="s">
        <v>2125</v>
      </c>
      <c r="B1267" s="4" t="s">
        <v>2126</v>
      </c>
    </row>
    <row r="1268" spans="1:2" x14ac:dyDescent="0.3">
      <c r="A1268" s="4" t="s">
        <v>2127</v>
      </c>
      <c r="B1268" s="4" t="s">
        <v>2128</v>
      </c>
    </row>
    <row r="1269" spans="1:2" x14ac:dyDescent="0.3">
      <c r="A1269" s="4" t="s">
        <v>2130</v>
      </c>
      <c r="B1269" s="4" t="s">
        <v>2129</v>
      </c>
    </row>
    <row r="1270" spans="1:2" x14ac:dyDescent="0.3">
      <c r="A1270" s="4" t="s">
        <v>8872</v>
      </c>
      <c r="B1270" s="4" t="s">
        <v>8873</v>
      </c>
    </row>
    <row r="1271" spans="1:2" x14ac:dyDescent="0.3">
      <c r="A1271" s="4" t="s">
        <v>2132</v>
      </c>
      <c r="B1271" s="4" t="s">
        <v>2133</v>
      </c>
    </row>
    <row r="1272" spans="1:2" x14ac:dyDescent="0.3">
      <c r="A1272" s="4" t="s">
        <v>2134</v>
      </c>
      <c r="B1272" s="4" t="s">
        <v>2135</v>
      </c>
    </row>
    <row r="1273" spans="1:2" x14ac:dyDescent="0.3">
      <c r="A1273" s="4" t="s">
        <v>2138</v>
      </c>
      <c r="B1273" s="4" t="s">
        <v>2139</v>
      </c>
    </row>
    <row r="1274" spans="1:2" x14ac:dyDescent="0.3">
      <c r="A1274" s="4" t="s">
        <v>1647</v>
      </c>
      <c r="B1274" s="4" t="s">
        <v>8874</v>
      </c>
    </row>
    <row r="1275" spans="1:2" x14ac:dyDescent="0.3">
      <c r="A1275" s="4" t="s">
        <v>2140</v>
      </c>
      <c r="B1275" s="4" t="s">
        <v>2141</v>
      </c>
    </row>
    <row r="1276" spans="1:2" x14ac:dyDescent="0.3">
      <c r="A1276" s="4" t="s">
        <v>1764</v>
      </c>
      <c r="B1276" s="4" t="s">
        <v>12299</v>
      </c>
    </row>
    <row r="1277" spans="1:2" x14ac:dyDescent="0.3">
      <c r="A1277" s="4" t="s">
        <v>2142</v>
      </c>
      <c r="B1277" s="4" t="s">
        <v>2143</v>
      </c>
    </row>
    <row r="1278" spans="1:2" x14ac:dyDescent="0.3">
      <c r="A1278" s="4" t="s">
        <v>3065</v>
      </c>
      <c r="B1278" s="4" t="s">
        <v>8875</v>
      </c>
    </row>
    <row r="1279" spans="1:2" x14ac:dyDescent="0.3">
      <c r="A1279" s="4" t="s">
        <v>2144</v>
      </c>
      <c r="B1279" s="4" t="s">
        <v>2145</v>
      </c>
    </row>
    <row r="1280" spans="1:2" x14ac:dyDescent="0.3">
      <c r="A1280" s="4" t="s">
        <v>2146</v>
      </c>
      <c r="B1280" s="4" t="s">
        <v>2147</v>
      </c>
    </row>
    <row r="1281" spans="1:2" x14ac:dyDescent="0.3">
      <c r="A1281" s="4" t="s">
        <v>2148</v>
      </c>
      <c r="B1281" s="4" t="s">
        <v>2149</v>
      </c>
    </row>
    <row r="1282" spans="1:2" x14ac:dyDescent="0.3">
      <c r="A1282" s="4" t="s">
        <v>2150</v>
      </c>
      <c r="B1282" s="4" t="s">
        <v>2151</v>
      </c>
    </row>
    <row r="1283" spans="1:2" x14ac:dyDescent="0.3">
      <c r="A1283" s="4" t="s">
        <v>2152</v>
      </c>
      <c r="B1283" s="4" t="s">
        <v>2153</v>
      </c>
    </row>
    <row r="1284" spans="1:2" x14ac:dyDescent="0.3">
      <c r="A1284" s="4" t="s">
        <v>2154</v>
      </c>
      <c r="B1284" s="4" t="s">
        <v>2155</v>
      </c>
    </row>
    <row r="1285" spans="1:2" x14ac:dyDescent="0.3">
      <c r="A1285" s="4" t="s">
        <v>1775</v>
      </c>
      <c r="B1285" s="4" t="s">
        <v>12300</v>
      </c>
    </row>
    <row r="1286" spans="1:2" x14ac:dyDescent="0.3">
      <c r="A1286" s="4" t="s">
        <v>2156</v>
      </c>
      <c r="B1286" s="4" t="s">
        <v>2157</v>
      </c>
    </row>
    <row r="1287" spans="1:2" x14ac:dyDescent="0.3">
      <c r="A1287" s="4" t="s">
        <v>2158</v>
      </c>
      <c r="B1287" s="4" t="s">
        <v>2159</v>
      </c>
    </row>
    <row r="1288" spans="1:2" x14ac:dyDescent="0.3">
      <c r="A1288" s="4" t="s">
        <v>2160</v>
      </c>
      <c r="B1288" s="4" t="s">
        <v>2161</v>
      </c>
    </row>
    <row r="1289" spans="1:2" x14ac:dyDescent="0.3">
      <c r="A1289" s="4" t="s">
        <v>2162</v>
      </c>
      <c r="B1289" s="4" t="s">
        <v>2163</v>
      </c>
    </row>
    <row r="1290" spans="1:2" x14ac:dyDescent="0.3">
      <c r="A1290" s="4" t="s">
        <v>2164</v>
      </c>
      <c r="B1290" s="4" t="s">
        <v>2165</v>
      </c>
    </row>
    <row r="1291" spans="1:2" x14ac:dyDescent="0.3">
      <c r="A1291" s="4" t="s">
        <v>2166</v>
      </c>
      <c r="B1291" s="4" t="s">
        <v>2167</v>
      </c>
    </row>
    <row r="1292" spans="1:2" x14ac:dyDescent="0.3">
      <c r="A1292" s="4" t="s">
        <v>2168</v>
      </c>
      <c r="B1292" s="4" t="s">
        <v>2169</v>
      </c>
    </row>
    <row r="1293" spans="1:2" x14ac:dyDescent="0.3">
      <c r="A1293" s="4" t="s">
        <v>2170</v>
      </c>
      <c r="B1293" s="4" t="s">
        <v>2171</v>
      </c>
    </row>
    <row r="1294" spans="1:2" x14ac:dyDescent="0.3">
      <c r="A1294" s="4" t="s">
        <v>2172</v>
      </c>
      <c r="B1294" s="4" t="s">
        <v>2173</v>
      </c>
    </row>
    <row r="1295" spans="1:2" x14ac:dyDescent="0.3">
      <c r="A1295" s="4" t="s">
        <v>2174</v>
      </c>
      <c r="B1295" s="4" t="s">
        <v>2175</v>
      </c>
    </row>
    <row r="1296" spans="1:2" x14ac:dyDescent="0.3">
      <c r="A1296" s="4" t="s">
        <v>2176</v>
      </c>
      <c r="B1296" s="4" t="s">
        <v>2177</v>
      </c>
    </row>
    <row r="1297" spans="1:2" x14ac:dyDescent="0.3">
      <c r="A1297" s="4" t="s">
        <v>2178</v>
      </c>
      <c r="B1297" s="4" t="s">
        <v>2179</v>
      </c>
    </row>
    <row r="1298" spans="1:2" x14ac:dyDescent="0.3">
      <c r="A1298" s="4" t="s">
        <v>2180</v>
      </c>
      <c r="B1298" s="4" t="s">
        <v>2181</v>
      </c>
    </row>
    <row r="1299" spans="1:2" x14ac:dyDescent="0.3">
      <c r="A1299" s="4" t="s">
        <v>2182</v>
      </c>
      <c r="B1299" s="4" t="s">
        <v>2183</v>
      </c>
    </row>
    <row r="1300" spans="1:2" x14ac:dyDescent="0.3">
      <c r="A1300" s="4" t="s">
        <v>2184</v>
      </c>
      <c r="B1300" s="4" t="s">
        <v>2185</v>
      </c>
    </row>
    <row r="1301" spans="1:2" x14ac:dyDescent="0.3">
      <c r="A1301" s="4" t="s">
        <v>2186</v>
      </c>
      <c r="B1301" s="4" t="s">
        <v>2187</v>
      </c>
    </row>
    <row r="1302" spans="1:2" x14ac:dyDescent="0.3">
      <c r="A1302" s="4" t="s">
        <v>2188</v>
      </c>
      <c r="B1302" s="4" t="s">
        <v>2189</v>
      </c>
    </row>
    <row r="1303" spans="1:2" x14ac:dyDescent="0.3">
      <c r="A1303" s="4" t="s">
        <v>8876</v>
      </c>
      <c r="B1303" s="4" t="s">
        <v>8877</v>
      </c>
    </row>
    <row r="1304" spans="1:2" x14ac:dyDescent="0.3">
      <c r="A1304" s="4" t="s">
        <v>2190</v>
      </c>
      <c r="B1304" s="4" t="s">
        <v>2191</v>
      </c>
    </row>
    <row r="1305" spans="1:2" x14ac:dyDescent="0.3">
      <c r="A1305" s="4" t="s">
        <v>2192</v>
      </c>
      <c r="B1305" s="4" t="s">
        <v>2193</v>
      </c>
    </row>
    <row r="1306" spans="1:2" x14ac:dyDescent="0.3">
      <c r="A1306" s="4" t="s">
        <v>2942</v>
      </c>
      <c r="B1306" s="4" t="s">
        <v>8878</v>
      </c>
    </row>
    <row r="1307" spans="1:2" x14ac:dyDescent="0.3">
      <c r="A1307" s="4" t="s">
        <v>2194</v>
      </c>
      <c r="B1307" s="4" t="s">
        <v>2195</v>
      </c>
    </row>
    <row r="1308" spans="1:2" x14ac:dyDescent="0.3">
      <c r="A1308" s="4" t="s">
        <v>2196</v>
      </c>
      <c r="B1308" s="4" t="s">
        <v>2197</v>
      </c>
    </row>
    <row r="1309" spans="1:2" x14ac:dyDescent="0.3">
      <c r="A1309" s="4" t="s">
        <v>2198</v>
      </c>
      <c r="B1309" s="4" t="s">
        <v>2199</v>
      </c>
    </row>
    <row r="1310" spans="1:2" x14ac:dyDescent="0.3">
      <c r="A1310" s="4" t="s">
        <v>2200</v>
      </c>
      <c r="B1310" s="4" t="s">
        <v>2201</v>
      </c>
    </row>
    <row r="1311" spans="1:2" x14ac:dyDescent="0.3">
      <c r="A1311" s="4" t="s">
        <v>2202</v>
      </c>
      <c r="B1311" s="4" t="s">
        <v>2203</v>
      </c>
    </row>
    <row r="1312" spans="1:2" x14ac:dyDescent="0.3">
      <c r="A1312" s="4" t="s">
        <v>2204</v>
      </c>
      <c r="B1312" s="4" t="s">
        <v>2205</v>
      </c>
    </row>
    <row r="1313" spans="1:2" x14ac:dyDescent="0.3">
      <c r="A1313" s="4" t="s">
        <v>2206</v>
      </c>
      <c r="B1313" s="4" t="s">
        <v>2207</v>
      </c>
    </row>
    <row r="1314" spans="1:2" x14ac:dyDescent="0.3">
      <c r="A1314" s="4" t="s">
        <v>12301</v>
      </c>
      <c r="B1314" s="4" t="s">
        <v>12302</v>
      </c>
    </row>
    <row r="1315" spans="1:2" x14ac:dyDescent="0.3">
      <c r="A1315" s="4" t="s">
        <v>2209</v>
      </c>
      <c r="B1315" s="4" t="s">
        <v>2210</v>
      </c>
    </row>
    <row r="1316" spans="1:2" x14ac:dyDescent="0.3">
      <c r="A1316" s="4" t="s">
        <v>2211</v>
      </c>
      <c r="B1316" s="4" t="s">
        <v>2212</v>
      </c>
    </row>
    <row r="1317" spans="1:2" x14ac:dyDescent="0.3">
      <c r="A1317" s="4" t="s">
        <v>2213</v>
      </c>
      <c r="B1317" s="4" t="s">
        <v>2214</v>
      </c>
    </row>
    <row r="1318" spans="1:2" x14ac:dyDescent="0.3">
      <c r="A1318" s="4" t="s">
        <v>2215</v>
      </c>
      <c r="B1318" s="4" t="s">
        <v>2216</v>
      </c>
    </row>
    <row r="1319" spans="1:2" x14ac:dyDescent="0.3">
      <c r="A1319" s="4" t="s">
        <v>995</v>
      </c>
      <c r="B1319" s="4" t="s">
        <v>8879</v>
      </c>
    </row>
    <row r="1320" spans="1:2" x14ac:dyDescent="0.3">
      <c r="A1320" s="4" t="s">
        <v>2217</v>
      </c>
      <c r="B1320" s="4" t="s">
        <v>2218</v>
      </c>
    </row>
    <row r="1321" spans="1:2" x14ac:dyDescent="0.3">
      <c r="A1321" s="4" t="s">
        <v>2219</v>
      </c>
      <c r="B1321" s="4" t="s">
        <v>2220</v>
      </c>
    </row>
    <row r="1322" spans="1:2" x14ac:dyDescent="0.3">
      <c r="A1322" s="4" t="s">
        <v>8614</v>
      </c>
      <c r="B1322" s="4" t="s">
        <v>12303</v>
      </c>
    </row>
    <row r="1323" spans="1:2" x14ac:dyDescent="0.3">
      <c r="A1323" s="4" t="s">
        <v>2224</v>
      </c>
      <c r="B1323" s="4" t="s">
        <v>2225</v>
      </c>
    </row>
    <row r="1324" spans="1:2" x14ac:dyDescent="0.3">
      <c r="A1324" s="4" t="s">
        <v>12304</v>
      </c>
      <c r="B1324" s="4" t="s">
        <v>10644</v>
      </c>
    </row>
    <row r="1325" spans="1:2" x14ac:dyDescent="0.3">
      <c r="A1325" s="4" t="s">
        <v>2226</v>
      </c>
      <c r="B1325" s="4" t="s">
        <v>2227</v>
      </c>
    </row>
    <row r="1326" spans="1:2" x14ac:dyDescent="0.3">
      <c r="A1326" s="4" t="s">
        <v>8880</v>
      </c>
      <c r="B1326" s="4" t="s">
        <v>8881</v>
      </c>
    </row>
    <row r="1327" spans="1:2" x14ac:dyDescent="0.3">
      <c r="A1327" s="4" t="s">
        <v>2228</v>
      </c>
      <c r="B1327" s="4" t="s">
        <v>2229</v>
      </c>
    </row>
    <row r="1328" spans="1:2" x14ac:dyDescent="0.3">
      <c r="A1328" s="4" t="s">
        <v>2230</v>
      </c>
      <c r="B1328" s="4" t="s">
        <v>2231</v>
      </c>
    </row>
    <row r="1329" spans="1:2" x14ac:dyDescent="0.3">
      <c r="A1329" s="4" t="s">
        <v>2232</v>
      </c>
      <c r="B1329" s="4" t="s">
        <v>2233</v>
      </c>
    </row>
    <row r="1330" spans="1:2" x14ac:dyDescent="0.3">
      <c r="A1330" s="4" t="s">
        <v>1730</v>
      </c>
      <c r="B1330" s="4" t="s">
        <v>8882</v>
      </c>
    </row>
    <row r="1331" spans="1:2" x14ac:dyDescent="0.3">
      <c r="A1331" s="4" t="s">
        <v>2234</v>
      </c>
      <c r="B1331" s="4" t="s">
        <v>2235</v>
      </c>
    </row>
    <row r="1332" spans="1:2" x14ac:dyDescent="0.3">
      <c r="A1332" s="4" t="s">
        <v>3648</v>
      </c>
      <c r="B1332" s="4" t="s">
        <v>8883</v>
      </c>
    </row>
    <row r="1333" spans="1:2" x14ac:dyDescent="0.3">
      <c r="A1333" s="4" t="s">
        <v>2236</v>
      </c>
      <c r="B1333" s="4" t="s">
        <v>2237</v>
      </c>
    </row>
    <row r="1334" spans="1:2" x14ac:dyDescent="0.3">
      <c r="A1334" s="4" t="s">
        <v>8884</v>
      </c>
      <c r="B1334" s="4" t="s">
        <v>6264</v>
      </c>
    </row>
    <row r="1335" spans="1:2" x14ac:dyDescent="0.3">
      <c r="A1335" s="4" t="s">
        <v>2240</v>
      </c>
      <c r="B1335" s="4" t="s">
        <v>6266</v>
      </c>
    </row>
    <row r="1336" spans="1:2" x14ac:dyDescent="0.3">
      <c r="A1336" s="4" t="s">
        <v>2238</v>
      </c>
      <c r="B1336" s="4" t="s">
        <v>2239</v>
      </c>
    </row>
    <row r="1337" spans="1:2" x14ac:dyDescent="0.3">
      <c r="A1337" s="4" t="s">
        <v>2241</v>
      </c>
      <c r="B1337" s="4" t="s">
        <v>6268</v>
      </c>
    </row>
    <row r="1338" spans="1:2" x14ac:dyDescent="0.3">
      <c r="A1338" s="4" t="s">
        <v>12305</v>
      </c>
      <c r="B1338" s="4" t="s">
        <v>10668</v>
      </c>
    </row>
    <row r="1339" spans="1:2" x14ac:dyDescent="0.3">
      <c r="A1339" s="4" t="s">
        <v>8885</v>
      </c>
      <c r="B1339" s="4" t="s">
        <v>8886</v>
      </c>
    </row>
    <row r="1340" spans="1:2" x14ac:dyDescent="0.3">
      <c r="A1340" s="4" t="s">
        <v>2242</v>
      </c>
      <c r="B1340" s="4" t="s">
        <v>2243</v>
      </c>
    </row>
    <row r="1341" spans="1:2" x14ac:dyDescent="0.3">
      <c r="A1341" s="4" t="s">
        <v>2244</v>
      </c>
      <c r="B1341" s="4" t="s">
        <v>2245</v>
      </c>
    </row>
    <row r="1342" spans="1:2" x14ac:dyDescent="0.3">
      <c r="A1342" s="4" t="s">
        <v>2247</v>
      </c>
      <c r="B1342" s="4" t="s">
        <v>2248</v>
      </c>
    </row>
    <row r="1343" spans="1:2" x14ac:dyDescent="0.3">
      <c r="A1343" s="4" t="s">
        <v>2249</v>
      </c>
      <c r="B1343" s="4" t="s">
        <v>2250</v>
      </c>
    </row>
    <row r="1344" spans="1:2" x14ac:dyDescent="0.3">
      <c r="A1344" s="4" t="s">
        <v>2749</v>
      </c>
      <c r="B1344" s="4" t="s">
        <v>12306</v>
      </c>
    </row>
    <row r="1345" spans="1:2" x14ac:dyDescent="0.3">
      <c r="A1345" s="4" t="s">
        <v>2251</v>
      </c>
      <c r="B1345" s="4" t="s">
        <v>2252</v>
      </c>
    </row>
    <row r="1346" spans="1:2" x14ac:dyDescent="0.3">
      <c r="A1346" s="4" t="s">
        <v>2253</v>
      </c>
      <c r="B1346" s="4" t="s">
        <v>2254</v>
      </c>
    </row>
    <row r="1347" spans="1:2" x14ac:dyDescent="0.3">
      <c r="A1347" s="4" t="s">
        <v>2255</v>
      </c>
      <c r="B1347" s="4" t="s">
        <v>2256</v>
      </c>
    </row>
    <row r="1348" spans="1:2" x14ac:dyDescent="0.3">
      <c r="A1348" s="4" t="s">
        <v>8887</v>
      </c>
      <c r="B1348" s="4" t="s">
        <v>8888</v>
      </c>
    </row>
    <row r="1349" spans="1:2" x14ac:dyDescent="0.3">
      <c r="A1349" s="4" t="s">
        <v>2257</v>
      </c>
      <c r="B1349" s="4" t="s">
        <v>2258</v>
      </c>
    </row>
    <row r="1350" spans="1:2" x14ac:dyDescent="0.3">
      <c r="A1350" s="4" t="s">
        <v>2259</v>
      </c>
      <c r="B1350" s="4" t="s">
        <v>2260</v>
      </c>
    </row>
    <row r="1351" spans="1:2" x14ac:dyDescent="0.3">
      <c r="A1351" s="4" t="s">
        <v>2261</v>
      </c>
      <c r="B1351" s="4" t="s">
        <v>2262</v>
      </c>
    </row>
    <row r="1352" spans="1:2" x14ac:dyDescent="0.3">
      <c r="A1352" s="4" t="s">
        <v>2263</v>
      </c>
      <c r="B1352" s="4" t="s">
        <v>2264</v>
      </c>
    </row>
    <row r="1353" spans="1:2" x14ac:dyDescent="0.3">
      <c r="A1353" s="4" t="s">
        <v>2265</v>
      </c>
      <c r="B1353" s="4" t="s">
        <v>2266</v>
      </c>
    </row>
    <row r="1354" spans="1:2" x14ac:dyDescent="0.3">
      <c r="A1354" s="4" t="s">
        <v>2267</v>
      </c>
      <c r="B1354" s="4" t="s">
        <v>2268</v>
      </c>
    </row>
    <row r="1355" spans="1:2" x14ac:dyDescent="0.3">
      <c r="A1355" s="4" t="s">
        <v>2269</v>
      </c>
      <c r="B1355" s="4" t="s">
        <v>2270</v>
      </c>
    </row>
    <row r="1356" spans="1:2" x14ac:dyDescent="0.3">
      <c r="A1356" s="4" t="s">
        <v>2271</v>
      </c>
      <c r="B1356" s="4" t="s">
        <v>2272</v>
      </c>
    </row>
    <row r="1357" spans="1:2" x14ac:dyDescent="0.3">
      <c r="A1357" s="4" t="s">
        <v>3305</v>
      </c>
      <c r="B1357" s="4" t="s">
        <v>12307</v>
      </c>
    </row>
    <row r="1358" spans="1:2" x14ac:dyDescent="0.3">
      <c r="A1358" s="4" t="s">
        <v>2273</v>
      </c>
      <c r="B1358" s="4" t="s">
        <v>2274</v>
      </c>
    </row>
    <row r="1359" spans="1:2" x14ac:dyDescent="0.3">
      <c r="A1359" s="4" t="s">
        <v>2275</v>
      </c>
      <c r="B1359" s="4" t="s">
        <v>2276</v>
      </c>
    </row>
    <row r="1360" spans="1:2" x14ac:dyDescent="0.3">
      <c r="A1360" s="4" t="s">
        <v>3789</v>
      </c>
      <c r="B1360" s="4" t="s">
        <v>8889</v>
      </c>
    </row>
    <row r="1361" spans="1:2" x14ac:dyDescent="0.3">
      <c r="A1361" s="4" t="s">
        <v>2277</v>
      </c>
      <c r="B1361" s="4" t="s">
        <v>2278</v>
      </c>
    </row>
    <row r="1362" spans="1:2" x14ac:dyDescent="0.3">
      <c r="A1362" s="4" t="s">
        <v>2279</v>
      </c>
      <c r="B1362" s="4" t="s">
        <v>2280</v>
      </c>
    </row>
    <row r="1363" spans="1:2" x14ac:dyDescent="0.3">
      <c r="A1363" s="4" t="s">
        <v>2281</v>
      </c>
      <c r="B1363" s="4" t="s">
        <v>2282</v>
      </c>
    </row>
    <row r="1364" spans="1:2" x14ac:dyDescent="0.3">
      <c r="A1364" s="4" t="s">
        <v>8890</v>
      </c>
      <c r="B1364" s="4" t="s">
        <v>6328</v>
      </c>
    </row>
    <row r="1365" spans="1:2" x14ac:dyDescent="0.3">
      <c r="A1365" s="4" t="s">
        <v>2283</v>
      </c>
      <c r="B1365" s="4" t="s">
        <v>2284</v>
      </c>
    </row>
    <row r="1366" spans="1:2" x14ac:dyDescent="0.3">
      <c r="A1366" s="4" t="s">
        <v>8891</v>
      </c>
      <c r="B1366" s="4" t="s">
        <v>8892</v>
      </c>
    </row>
    <row r="1367" spans="1:2" x14ac:dyDescent="0.3">
      <c r="A1367" s="4" t="s">
        <v>2285</v>
      </c>
      <c r="B1367" s="4" t="s">
        <v>2286</v>
      </c>
    </row>
    <row r="1368" spans="1:2" x14ac:dyDescent="0.3">
      <c r="A1368" s="4" t="s">
        <v>2287</v>
      </c>
      <c r="B1368" s="4" t="s">
        <v>2288</v>
      </c>
    </row>
    <row r="1369" spans="1:2" x14ac:dyDescent="0.3">
      <c r="A1369" s="4" t="s">
        <v>2291</v>
      </c>
      <c r="B1369" s="4" t="s">
        <v>2292</v>
      </c>
    </row>
    <row r="1370" spans="1:2" x14ac:dyDescent="0.3">
      <c r="A1370" s="4" t="s">
        <v>2293</v>
      </c>
      <c r="B1370" s="4" t="s">
        <v>2294</v>
      </c>
    </row>
    <row r="1371" spans="1:2" x14ac:dyDescent="0.3">
      <c r="A1371" s="4" t="s">
        <v>2295</v>
      </c>
      <c r="B1371" s="4" t="s">
        <v>2296</v>
      </c>
    </row>
    <row r="1372" spans="1:2" x14ac:dyDescent="0.3">
      <c r="A1372" s="4" t="s">
        <v>8893</v>
      </c>
      <c r="B1372" s="4" t="s">
        <v>8894</v>
      </c>
    </row>
    <row r="1373" spans="1:2" x14ac:dyDescent="0.3">
      <c r="A1373" s="4" t="s">
        <v>2297</v>
      </c>
      <c r="B1373" s="4" t="s">
        <v>2298</v>
      </c>
    </row>
    <row r="1374" spans="1:2" x14ac:dyDescent="0.3">
      <c r="A1374" s="4" t="s">
        <v>8895</v>
      </c>
      <c r="B1374" s="4" t="s">
        <v>8896</v>
      </c>
    </row>
    <row r="1375" spans="1:2" x14ac:dyDescent="0.3">
      <c r="A1375" s="4" t="s">
        <v>12308</v>
      </c>
      <c r="B1375" s="4" t="s">
        <v>10754</v>
      </c>
    </row>
    <row r="1376" spans="1:2" x14ac:dyDescent="0.3">
      <c r="A1376" s="4" t="s">
        <v>2299</v>
      </c>
      <c r="B1376" s="4" t="s">
        <v>2300</v>
      </c>
    </row>
    <row r="1377" spans="1:2" x14ac:dyDescent="0.3">
      <c r="A1377" s="4" t="s">
        <v>2301</v>
      </c>
      <c r="B1377" s="4" t="s">
        <v>2302</v>
      </c>
    </row>
    <row r="1378" spans="1:2" x14ac:dyDescent="0.3">
      <c r="A1378" s="4" t="s">
        <v>2303</v>
      </c>
      <c r="B1378" s="4" t="s">
        <v>2304</v>
      </c>
    </row>
    <row r="1379" spans="1:2" x14ac:dyDescent="0.3">
      <c r="A1379" s="4" t="s">
        <v>2305</v>
      </c>
      <c r="B1379" s="4" t="s">
        <v>2306</v>
      </c>
    </row>
    <row r="1380" spans="1:2" x14ac:dyDescent="0.3">
      <c r="A1380" s="4" t="s">
        <v>2307</v>
      </c>
      <c r="B1380" s="4" t="s">
        <v>2308</v>
      </c>
    </row>
    <row r="1381" spans="1:2" x14ac:dyDescent="0.3">
      <c r="A1381" s="4" t="s">
        <v>8897</v>
      </c>
      <c r="B1381" s="4" t="s">
        <v>8898</v>
      </c>
    </row>
    <row r="1382" spans="1:2" x14ac:dyDescent="0.3">
      <c r="A1382" s="4" t="s">
        <v>2311</v>
      </c>
      <c r="B1382" s="4" t="s">
        <v>2312</v>
      </c>
    </row>
    <row r="1383" spans="1:2" x14ac:dyDescent="0.3">
      <c r="A1383" s="4" t="s">
        <v>1130</v>
      </c>
      <c r="B1383" s="4" t="s">
        <v>8899</v>
      </c>
    </row>
    <row r="1384" spans="1:2" x14ac:dyDescent="0.3">
      <c r="A1384" s="4" t="s">
        <v>4184</v>
      </c>
      <c r="B1384" s="4" t="s">
        <v>8900</v>
      </c>
    </row>
    <row r="1385" spans="1:2" x14ac:dyDescent="0.3">
      <c r="A1385" s="4" t="s">
        <v>2313</v>
      </c>
      <c r="B1385" s="4" t="s">
        <v>2314</v>
      </c>
    </row>
    <row r="1386" spans="1:2" x14ac:dyDescent="0.3">
      <c r="A1386" s="4" t="s">
        <v>2315</v>
      </c>
      <c r="B1386" s="4" t="s">
        <v>2316</v>
      </c>
    </row>
    <row r="1387" spans="1:2" x14ac:dyDescent="0.3">
      <c r="A1387" s="4" t="s">
        <v>2317</v>
      </c>
      <c r="B1387" s="4" t="s">
        <v>2318</v>
      </c>
    </row>
    <row r="1388" spans="1:2" x14ac:dyDescent="0.3">
      <c r="A1388" s="4" t="s">
        <v>2319</v>
      </c>
      <c r="B1388" s="4" t="s">
        <v>2320</v>
      </c>
    </row>
    <row r="1389" spans="1:2" x14ac:dyDescent="0.3">
      <c r="A1389" s="4" t="s">
        <v>2321</v>
      </c>
      <c r="B1389" s="4" t="s">
        <v>2322</v>
      </c>
    </row>
    <row r="1390" spans="1:2" x14ac:dyDescent="0.3">
      <c r="A1390" s="4" t="s">
        <v>8901</v>
      </c>
      <c r="B1390" s="4" t="s">
        <v>6374</v>
      </c>
    </row>
    <row r="1391" spans="1:2" x14ac:dyDescent="0.3">
      <c r="A1391" s="4" t="s">
        <v>2323</v>
      </c>
      <c r="B1391" s="4" t="s">
        <v>2324</v>
      </c>
    </row>
    <row r="1392" spans="1:2" x14ac:dyDescent="0.3">
      <c r="A1392" s="4" t="s">
        <v>2325</v>
      </c>
      <c r="B1392" s="4" t="s">
        <v>2326</v>
      </c>
    </row>
    <row r="1393" spans="1:2" x14ac:dyDescent="0.3">
      <c r="A1393" s="4" t="s">
        <v>2327</v>
      </c>
      <c r="B1393" s="4" t="s">
        <v>2328</v>
      </c>
    </row>
    <row r="1394" spans="1:2" x14ac:dyDescent="0.3">
      <c r="A1394" s="4" t="s">
        <v>2329</v>
      </c>
      <c r="B1394" s="4" t="s">
        <v>2330</v>
      </c>
    </row>
    <row r="1395" spans="1:2" x14ac:dyDescent="0.3">
      <c r="A1395" s="4" t="s">
        <v>2331</v>
      </c>
      <c r="B1395" s="4" t="s">
        <v>2332</v>
      </c>
    </row>
    <row r="1396" spans="1:2" x14ac:dyDescent="0.3">
      <c r="A1396" s="4" t="s">
        <v>2333</v>
      </c>
      <c r="B1396" s="4" t="s">
        <v>2334</v>
      </c>
    </row>
    <row r="1397" spans="1:2" x14ac:dyDescent="0.3">
      <c r="A1397" s="4" t="s">
        <v>2335</v>
      </c>
      <c r="B1397" s="4" t="s">
        <v>2336</v>
      </c>
    </row>
    <row r="1398" spans="1:2" x14ac:dyDescent="0.3">
      <c r="A1398" s="4" t="s">
        <v>2337</v>
      </c>
      <c r="B1398" s="4" t="s">
        <v>2338</v>
      </c>
    </row>
    <row r="1399" spans="1:2" x14ac:dyDescent="0.3">
      <c r="A1399" s="4" t="s">
        <v>2339</v>
      </c>
      <c r="B1399" s="4" t="s">
        <v>2340</v>
      </c>
    </row>
    <row r="1400" spans="1:2" x14ac:dyDescent="0.3">
      <c r="A1400" s="4" t="s">
        <v>2341</v>
      </c>
      <c r="B1400" s="4" t="s">
        <v>2342</v>
      </c>
    </row>
    <row r="1401" spans="1:2" x14ac:dyDescent="0.3">
      <c r="A1401" s="4" t="s">
        <v>2344</v>
      </c>
      <c r="B1401" s="4" t="s">
        <v>2345</v>
      </c>
    </row>
    <row r="1402" spans="1:2" x14ac:dyDescent="0.3">
      <c r="A1402" s="4" t="s">
        <v>2346</v>
      </c>
      <c r="B1402" s="4" t="s">
        <v>2347</v>
      </c>
    </row>
    <row r="1403" spans="1:2" x14ac:dyDescent="0.3">
      <c r="A1403" s="4" t="s">
        <v>8902</v>
      </c>
      <c r="B1403" s="4" t="s">
        <v>8903</v>
      </c>
    </row>
    <row r="1404" spans="1:2" x14ac:dyDescent="0.3">
      <c r="A1404" s="4" t="s">
        <v>2348</v>
      </c>
      <c r="B1404" s="4" t="s">
        <v>2349</v>
      </c>
    </row>
    <row r="1405" spans="1:2" x14ac:dyDescent="0.3">
      <c r="A1405" s="4" t="s">
        <v>2350</v>
      </c>
      <c r="B1405" s="4" t="s">
        <v>2351</v>
      </c>
    </row>
    <row r="1406" spans="1:2" x14ac:dyDescent="0.3">
      <c r="A1406" s="4" t="s">
        <v>2352</v>
      </c>
      <c r="B1406" s="4" t="s">
        <v>2353</v>
      </c>
    </row>
    <row r="1407" spans="1:2" x14ac:dyDescent="0.3">
      <c r="A1407" s="4" t="s">
        <v>2354</v>
      </c>
      <c r="B1407" s="4" t="s">
        <v>2355</v>
      </c>
    </row>
    <row r="1408" spans="1:2" x14ac:dyDescent="0.3">
      <c r="A1408" s="4" t="s">
        <v>4190</v>
      </c>
      <c r="B1408" s="4" t="s">
        <v>2356</v>
      </c>
    </row>
    <row r="1409" spans="1:2" x14ac:dyDescent="0.3">
      <c r="A1409" s="4" t="s">
        <v>2358</v>
      </c>
      <c r="B1409" s="4" t="s">
        <v>2359</v>
      </c>
    </row>
    <row r="1410" spans="1:2" x14ac:dyDescent="0.3">
      <c r="A1410" s="4" t="s">
        <v>8904</v>
      </c>
      <c r="B1410" s="4" t="s">
        <v>8905</v>
      </c>
    </row>
    <row r="1411" spans="1:2" x14ac:dyDescent="0.3">
      <c r="A1411" s="4" t="s">
        <v>1007</v>
      </c>
      <c r="B1411" s="4" t="s">
        <v>8906</v>
      </c>
    </row>
    <row r="1412" spans="1:2" x14ac:dyDescent="0.3">
      <c r="A1412" s="4" t="s">
        <v>2360</v>
      </c>
      <c r="B1412" s="4" t="s">
        <v>2361</v>
      </c>
    </row>
    <row r="1413" spans="1:2" x14ac:dyDescent="0.3">
      <c r="A1413" s="4" t="s">
        <v>211</v>
      </c>
      <c r="B1413" s="4" t="s">
        <v>8907</v>
      </c>
    </row>
    <row r="1414" spans="1:2" x14ac:dyDescent="0.3">
      <c r="A1414" s="4" t="s">
        <v>3725</v>
      </c>
      <c r="B1414" s="4" t="s">
        <v>12309</v>
      </c>
    </row>
    <row r="1415" spans="1:2" x14ac:dyDescent="0.3">
      <c r="A1415" s="4" t="s">
        <v>2362</v>
      </c>
      <c r="B1415" s="4" t="s">
        <v>2363</v>
      </c>
    </row>
    <row r="1416" spans="1:2" x14ac:dyDescent="0.3">
      <c r="A1416" s="4" t="s">
        <v>8909</v>
      </c>
      <c r="B1416" s="4" t="s">
        <v>8910</v>
      </c>
    </row>
    <row r="1417" spans="1:2" x14ac:dyDescent="0.3">
      <c r="A1417" s="4" t="s">
        <v>2364</v>
      </c>
      <c r="B1417" s="4" t="s">
        <v>2365</v>
      </c>
    </row>
    <row r="1418" spans="1:2" x14ac:dyDescent="0.3">
      <c r="A1418" s="4" t="s">
        <v>2366</v>
      </c>
      <c r="B1418" s="4" t="s">
        <v>2367</v>
      </c>
    </row>
    <row r="1419" spans="1:2" x14ac:dyDescent="0.3">
      <c r="A1419" s="4" t="s">
        <v>2368</v>
      </c>
      <c r="B1419" s="4" t="s">
        <v>2369</v>
      </c>
    </row>
    <row r="1420" spans="1:2" x14ac:dyDescent="0.3">
      <c r="A1420" s="4" t="s">
        <v>2370</v>
      </c>
      <c r="B1420" s="4" t="s">
        <v>2371</v>
      </c>
    </row>
    <row r="1421" spans="1:2" x14ac:dyDescent="0.3">
      <c r="A1421" s="4" t="s">
        <v>2372</v>
      </c>
      <c r="B1421" s="4" t="s">
        <v>2373</v>
      </c>
    </row>
    <row r="1422" spans="1:2" x14ac:dyDescent="0.3">
      <c r="A1422" s="4" t="s">
        <v>2375</v>
      </c>
      <c r="B1422" s="4" t="s">
        <v>2376</v>
      </c>
    </row>
    <row r="1423" spans="1:2" x14ac:dyDescent="0.3">
      <c r="A1423" s="4" t="s">
        <v>12310</v>
      </c>
      <c r="B1423" s="4" t="s">
        <v>10855</v>
      </c>
    </row>
    <row r="1424" spans="1:2" x14ac:dyDescent="0.3">
      <c r="A1424" s="4" t="s">
        <v>2377</v>
      </c>
      <c r="B1424" s="4" t="s">
        <v>2378</v>
      </c>
    </row>
    <row r="1425" spans="1:2" x14ac:dyDescent="0.3">
      <c r="A1425" s="4" t="s">
        <v>2379</v>
      </c>
      <c r="B1425" s="4" t="s">
        <v>2380</v>
      </c>
    </row>
    <row r="1426" spans="1:2" x14ac:dyDescent="0.3">
      <c r="A1426" s="4" t="s">
        <v>2381</v>
      </c>
      <c r="B1426" s="4" t="s">
        <v>2382</v>
      </c>
    </row>
    <row r="1427" spans="1:2" x14ac:dyDescent="0.3">
      <c r="A1427" s="4" t="s">
        <v>2383</v>
      </c>
      <c r="B1427" s="4" t="s">
        <v>2384</v>
      </c>
    </row>
    <row r="1428" spans="1:2" x14ac:dyDescent="0.3">
      <c r="A1428" s="4" t="s">
        <v>2385</v>
      </c>
      <c r="B1428" s="4" t="s">
        <v>2386</v>
      </c>
    </row>
    <row r="1429" spans="1:2" x14ac:dyDescent="0.3">
      <c r="A1429" s="4" t="s">
        <v>2387</v>
      </c>
      <c r="B1429" s="4" t="s">
        <v>8911</v>
      </c>
    </row>
    <row r="1430" spans="1:2" x14ac:dyDescent="0.3">
      <c r="A1430" s="4" t="s">
        <v>2388</v>
      </c>
      <c r="B1430" s="4" t="s">
        <v>2389</v>
      </c>
    </row>
    <row r="1431" spans="1:2" x14ac:dyDescent="0.3">
      <c r="A1431" s="4" t="s">
        <v>2390</v>
      </c>
      <c r="B1431" s="4" t="s">
        <v>2391</v>
      </c>
    </row>
    <row r="1432" spans="1:2" x14ac:dyDescent="0.3">
      <c r="A1432" s="4" t="s">
        <v>2392</v>
      </c>
      <c r="B1432" s="4" t="s">
        <v>2393</v>
      </c>
    </row>
    <row r="1433" spans="1:2" x14ac:dyDescent="0.3">
      <c r="A1433" s="4" t="s">
        <v>2394</v>
      </c>
      <c r="B1433" s="4" t="s">
        <v>2395</v>
      </c>
    </row>
    <row r="1434" spans="1:2" x14ac:dyDescent="0.3">
      <c r="A1434" s="4" t="s">
        <v>2396</v>
      </c>
      <c r="B1434" s="4" t="s">
        <v>2397</v>
      </c>
    </row>
    <row r="1435" spans="1:2" x14ac:dyDescent="0.3">
      <c r="A1435" s="4" t="s">
        <v>2399</v>
      </c>
      <c r="B1435" s="4" t="s">
        <v>2400</v>
      </c>
    </row>
    <row r="1436" spans="1:2" x14ac:dyDescent="0.3">
      <c r="A1436" s="4" t="s">
        <v>2401</v>
      </c>
      <c r="B1436" s="4" t="s">
        <v>2402</v>
      </c>
    </row>
    <row r="1437" spans="1:2" x14ac:dyDescent="0.3">
      <c r="A1437" s="4" t="s">
        <v>2403</v>
      </c>
      <c r="B1437" s="4" t="s">
        <v>2404</v>
      </c>
    </row>
    <row r="1438" spans="1:2" x14ac:dyDescent="0.3">
      <c r="A1438" s="4" t="s">
        <v>2405</v>
      </c>
      <c r="B1438" s="4" t="s">
        <v>2406</v>
      </c>
    </row>
    <row r="1439" spans="1:2" x14ac:dyDescent="0.3">
      <c r="A1439" s="4" t="s">
        <v>2407</v>
      </c>
      <c r="B1439" s="4" t="s">
        <v>2408</v>
      </c>
    </row>
    <row r="1440" spans="1:2" x14ac:dyDescent="0.3">
      <c r="A1440" s="4" t="s">
        <v>8912</v>
      </c>
      <c r="B1440" s="4" t="s">
        <v>6486</v>
      </c>
    </row>
    <row r="1441" spans="1:2" x14ac:dyDescent="0.3">
      <c r="A1441" s="4" t="s">
        <v>2409</v>
      </c>
      <c r="B1441" s="4" t="s">
        <v>2410</v>
      </c>
    </row>
    <row r="1442" spans="1:2" x14ac:dyDescent="0.3">
      <c r="A1442" s="4" t="s">
        <v>2411</v>
      </c>
      <c r="B1442" s="4" t="s">
        <v>2412</v>
      </c>
    </row>
    <row r="1443" spans="1:2" x14ac:dyDescent="0.3">
      <c r="A1443" s="4" t="s">
        <v>2413</v>
      </c>
      <c r="B1443" s="4" t="s">
        <v>2414</v>
      </c>
    </row>
    <row r="1444" spans="1:2" x14ac:dyDescent="0.3">
      <c r="A1444" s="4" t="s">
        <v>2415</v>
      </c>
      <c r="B1444" s="4" t="s">
        <v>2416</v>
      </c>
    </row>
    <row r="1445" spans="1:2" x14ac:dyDescent="0.3">
      <c r="A1445" s="4" t="s">
        <v>2417</v>
      </c>
      <c r="B1445" s="4" t="s">
        <v>2418</v>
      </c>
    </row>
    <row r="1446" spans="1:2" x14ac:dyDescent="0.3">
      <c r="A1446" s="4" t="s">
        <v>2419</v>
      </c>
      <c r="B1446" s="4" t="s">
        <v>2420</v>
      </c>
    </row>
    <row r="1447" spans="1:2" x14ac:dyDescent="0.3">
      <c r="A1447" s="4" t="s">
        <v>2421</v>
      </c>
      <c r="B1447" s="4" t="s">
        <v>2422</v>
      </c>
    </row>
    <row r="1448" spans="1:2" x14ac:dyDescent="0.3">
      <c r="A1448" s="4" t="s">
        <v>8913</v>
      </c>
      <c r="B1448" s="4" t="s">
        <v>8914</v>
      </c>
    </row>
    <row r="1449" spans="1:2" x14ac:dyDescent="0.3">
      <c r="A1449" s="4" t="s">
        <v>2423</v>
      </c>
      <c r="B1449" s="4" t="s">
        <v>2424</v>
      </c>
    </row>
    <row r="1450" spans="1:2" x14ac:dyDescent="0.3">
      <c r="A1450" s="4" t="s">
        <v>2425</v>
      </c>
      <c r="B1450" s="4" t="s">
        <v>2426</v>
      </c>
    </row>
    <row r="1451" spans="1:2" x14ac:dyDescent="0.3">
      <c r="A1451" s="4" t="s">
        <v>2427</v>
      </c>
      <c r="B1451" s="4" t="s">
        <v>2428</v>
      </c>
    </row>
    <row r="1452" spans="1:2" x14ac:dyDescent="0.3">
      <c r="A1452" s="4" t="s">
        <v>8915</v>
      </c>
      <c r="B1452" s="4" t="s">
        <v>8916</v>
      </c>
    </row>
    <row r="1453" spans="1:2" x14ac:dyDescent="0.3">
      <c r="A1453" s="4" t="s">
        <v>2429</v>
      </c>
      <c r="B1453" s="4" t="s">
        <v>2430</v>
      </c>
    </row>
    <row r="1454" spans="1:2" x14ac:dyDescent="0.3">
      <c r="A1454" s="4" t="s">
        <v>2431</v>
      </c>
      <c r="B1454" s="4" t="s">
        <v>2432</v>
      </c>
    </row>
    <row r="1455" spans="1:2" x14ac:dyDescent="0.3">
      <c r="A1455" s="4" t="s">
        <v>2433</v>
      </c>
      <c r="B1455" s="4" t="s">
        <v>2434</v>
      </c>
    </row>
    <row r="1456" spans="1:2" x14ac:dyDescent="0.3">
      <c r="A1456" s="4" t="s">
        <v>2435</v>
      </c>
      <c r="B1456" s="4" t="s">
        <v>2436</v>
      </c>
    </row>
    <row r="1457" spans="1:2" x14ac:dyDescent="0.3">
      <c r="A1457" s="4" t="s">
        <v>12311</v>
      </c>
      <c r="B1457" s="4" t="s">
        <v>10898</v>
      </c>
    </row>
    <row r="1458" spans="1:2" x14ac:dyDescent="0.3">
      <c r="A1458" s="4" t="s">
        <v>2437</v>
      </c>
      <c r="B1458" s="4" t="s">
        <v>2438</v>
      </c>
    </row>
    <row r="1459" spans="1:2" x14ac:dyDescent="0.3">
      <c r="A1459" s="4" t="s">
        <v>2439</v>
      </c>
      <c r="B1459" s="4" t="s">
        <v>2440</v>
      </c>
    </row>
    <row r="1460" spans="1:2" x14ac:dyDescent="0.3">
      <c r="A1460" s="4" t="s">
        <v>2441</v>
      </c>
      <c r="B1460" s="4" t="s">
        <v>2442</v>
      </c>
    </row>
    <row r="1461" spans="1:2" x14ac:dyDescent="0.3">
      <c r="A1461" s="4" t="s">
        <v>8917</v>
      </c>
      <c r="B1461" s="4" t="s">
        <v>8918</v>
      </c>
    </row>
    <row r="1462" spans="1:2" x14ac:dyDescent="0.3">
      <c r="A1462" s="4" t="s">
        <v>2443</v>
      </c>
      <c r="B1462" s="4" t="s">
        <v>2444</v>
      </c>
    </row>
    <row r="1463" spans="1:2" x14ac:dyDescent="0.3">
      <c r="A1463" s="4" t="s">
        <v>2445</v>
      </c>
      <c r="B1463" s="4" t="s">
        <v>2446</v>
      </c>
    </row>
    <row r="1464" spans="1:2" x14ac:dyDescent="0.3">
      <c r="A1464" s="4" t="s">
        <v>12312</v>
      </c>
      <c r="B1464" s="4" t="s">
        <v>10908</v>
      </c>
    </row>
    <row r="1465" spans="1:2" x14ac:dyDescent="0.3">
      <c r="A1465" s="4" t="s">
        <v>4183</v>
      </c>
      <c r="B1465" s="4" t="s">
        <v>8919</v>
      </c>
    </row>
    <row r="1466" spans="1:2" x14ac:dyDescent="0.3">
      <c r="A1466" s="4" t="s">
        <v>2447</v>
      </c>
      <c r="B1466" s="4" t="s">
        <v>2448</v>
      </c>
    </row>
    <row r="1467" spans="1:2" x14ac:dyDescent="0.3">
      <c r="A1467" s="4" t="s">
        <v>2449</v>
      </c>
      <c r="B1467" s="4" t="s">
        <v>2450</v>
      </c>
    </row>
    <row r="1468" spans="1:2" x14ac:dyDescent="0.3">
      <c r="A1468" s="4" t="s">
        <v>2451</v>
      </c>
      <c r="B1468" s="4" t="s">
        <v>2452</v>
      </c>
    </row>
    <row r="1469" spans="1:2" x14ac:dyDescent="0.3">
      <c r="A1469" s="4" t="s">
        <v>976</v>
      </c>
      <c r="B1469" s="4" t="s">
        <v>12313</v>
      </c>
    </row>
    <row r="1470" spans="1:2" x14ac:dyDescent="0.3">
      <c r="A1470" s="4" t="s">
        <v>2454</v>
      </c>
      <c r="B1470" s="4" t="s">
        <v>2455</v>
      </c>
    </row>
    <row r="1471" spans="1:2" x14ac:dyDescent="0.3">
      <c r="A1471" s="4" t="s">
        <v>2456</v>
      </c>
      <c r="B1471" s="4" t="s">
        <v>2457</v>
      </c>
    </row>
    <row r="1472" spans="1:2" x14ac:dyDescent="0.3">
      <c r="A1472" s="4" t="s">
        <v>12314</v>
      </c>
      <c r="B1472" s="4" t="s">
        <v>10920</v>
      </c>
    </row>
    <row r="1473" spans="1:2" x14ac:dyDescent="0.3">
      <c r="A1473" s="4" t="s">
        <v>2458</v>
      </c>
      <c r="B1473" s="4" t="s">
        <v>2459</v>
      </c>
    </row>
    <row r="1474" spans="1:2" x14ac:dyDescent="0.3">
      <c r="A1474" s="4" t="s">
        <v>8920</v>
      </c>
      <c r="B1474" s="4" t="s">
        <v>8921</v>
      </c>
    </row>
    <row r="1475" spans="1:2" x14ac:dyDescent="0.3">
      <c r="A1475" s="4" t="s">
        <v>2461</v>
      </c>
      <c r="B1475" s="4" t="s">
        <v>2462</v>
      </c>
    </row>
    <row r="1476" spans="1:2" x14ac:dyDescent="0.3">
      <c r="A1476" s="4" t="s">
        <v>2463</v>
      </c>
      <c r="B1476" s="4" t="s">
        <v>2464</v>
      </c>
    </row>
    <row r="1477" spans="1:2" x14ac:dyDescent="0.3">
      <c r="A1477" s="4" t="s">
        <v>2907</v>
      </c>
      <c r="B1477" s="4" t="s">
        <v>8922</v>
      </c>
    </row>
    <row r="1478" spans="1:2" x14ac:dyDescent="0.3">
      <c r="A1478" s="4" t="s">
        <v>2465</v>
      </c>
      <c r="B1478" s="4" t="s">
        <v>2466</v>
      </c>
    </row>
    <row r="1479" spans="1:2" x14ac:dyDescent="0.3">
      <c r="A1479" s="4" t="s">
        <v>2467</v>
      </c>
      <c r="B1479" s="4" t="s">
        <v>2468</v>
      </c>
    </row>
    <row r="1480" spans="1:2" x14ac:dyDescent="0.3">
      <c r="A1480" s="4" t="s">
        <v>8923</v>
      </c>
      <c r="B1480" s="4" t="s">
        <v>6556</v>
      </c>
    </row>
    <row r="1481" spans="1:2" x14ac:dyDescent="0.3">
      <c r="A1481" s="4" t="s">
        <v>2469</v>
      </c>
      <c r="B1481" s="4" t="s">
        <v>2470</v>
      </c>
    </row>
    <row r="1482" spans="1:2" x14ac:dyDescent="0.3">
      <c r="A1482" s="4" t="s">
        <v>2471</v>
      </c>
      <c r="B1482" s="4" t="s">
        <v>2472</v>
      </c>
    </row>
    <row r="1483" spans="1:2" x14ac:dyDescent="0.3">
      <c r="A1483" s="4" t="s">
        <v>2473</v>
      </c>
      <c r="B1483" s="4" t="s">
        <v>2474</v>
      </c>
    </row>
    <row r="1484" spans="1:2" x14ac:dyDescent="0.3">
      <c r="A1484" s="4" t="s">
        <v>4196</v>
      </c>
      <c r="B1484" s="4" t="s">
        <v>6557</v>
      </c>
    </row>
    <row r="1485" spans="1:2" x14ac:dyDescent="0.3">
      <c r="A1485" s="4" t="s">
        <v>2475</v>
      </c>
      <c r="B1485" s="4" t="s">
        <v>2476</v>
      </c>
    </row>
    <row r="1486" spans="1:2" x14ac:dyDescent="0.3">
      <c r="A1486" s="4" t="s">
        <v>2477</v>
      </c>
      <c r="B1486" s="4" t="s">
        <v>2478</v>
      </c>
    </row>
    <row r="1487" spans="1:2" x14ac:dyDescent="0.3">
      <c r="A1487" s="4" t="s">
        <v>2653</v>
      </c>
      <c r="B1487" s="4" t="s">
        <v>8924</v>
      </c>
    </row>
    <row r="1488" spans="1:2" x14ac:dyDescent="0.3">
      <c r="A1488" s="4" t="s">
        <v>8925</v>
      </c>
      <c r="B1488" s="4" t="s">
        <v>6563</v>
      </c>
    </row>
    <row r="1489" spans="1:2" x14ac:dyDescent="0.3">
      <c r="A1489" s="4" t="s">
        <v>2479</v>
      </c>
      <c r="B1489" s="4" t="s">
        <v>2480</v>
      </c>
    </row>
    <row r="1490" spans="1:2" x14ac:dyDescent="0.3">
      <c r="A1490" s="4" t="s">
        <v>2481</v>
      </c>
      <c r="B1490" s="4" t="s">
        <v>2482</v>
      </c>
    </row>
    <row r="1491" spans="1:2" x14ac:dyDescent="0.3">
      <c r="A1491" s="4" t="s">
        <v>2484</v>
      </c>
      <c r="B1491" s="4" t="s">
        <v>2485</v>
      </c>
    </row>
    <row r="1492" spans="1:2" x14ac:dyDescent="0.3">
      <c r="A1492" s="4" t="s">
        <v>2486</v>
      </c>
      <c r="B1492" s="4" t="s">
        <v>2487</v>
      </c>
    </row>
    <row r="1493" spans="1:2" x14ac:dyDescent="0.3">
      <c r="A1493" s="4" t="s">
        <v>2490</v>
      </c>
      <c r="B1493" s="4" t="s">
        <v>2491</v>
      </c>
    </row>
    <row r="1494" spans="1:2" x14ac:dyDescent="0.3">
      <c r="A1494" s="4" t="s">
        <v>2492</v>
      </c>
      <c r="B1494" s="4" t="s">
        <v>2493</v>
      </c>
    </row>
    <row r="1495" spans="1:2" x14ac:dyDescent="0.3">
      <c r="A1495" s="4" t="s">
        <v>2494</v>
      </c>
      <c r="B1495" s="4" t="s">
        <v>2495</v>
      </c>
    </row>
    <row r="1496" spans="1:2" x14ac:dyDescent="0.3">
      <c r="A1496" s="4" t="s">
        <v>2496</v>
      </c>
      <c r="B1496" s="4" t="s">
        <v>2497</v>
      </c>
    </row>
    <row r="1497" spans="1:2" x14ac:dyDescent="0.3">
      <c r="A1497" s="4" t="s">
        <v>2498</v>
      </c>
      <c r="B1497" s="4" t="s">
        <v>2499</v>
      </c>
    </row>
    <row r="1498" spans="1:2" x14ac:dyDescent="0.3">
      <c r="A1498" s="4" t="s">
        <v>2502</v>
      </c>
      <c r="B1498" s="4" t="s">
        <v>8926</v>
      </c>
    </row>
    <row r="1499" spans="1:2" x14ac:dyDescent="0.3">
      <c r="A1499" s="4" t="s">
        <v>2500</v>
      </c>
      <c r="B1499" s="4" t="s">
        <v>2501</v>
      </c>
    </row>
    <row r="1500" spans="1:2" x14ac:dyDescent="0.3">
      <c r="A1500" s="4" t="s">
        <v>2503</v>
      </c>
      <c r="B1500" s="4" t="s">
        <v>8927</v>
      </c>
    </row>
    <row r="1501" spans="1:2" x14ac:dyDescent="0.3">
      <c r="A1501" s="4" t="s">
        <v>2504</v>
      </c>
      <c r="B1501" s="4" t="s">
        <v>8928</v>
      </c>
    </row>
    <row r="1502" spans="1:2" x14ac:dyDescent="0.3">
      <c r="A1502" s="4" t="s">
        <v>2506</v>
      </c>
      <c r="B1502" s="4" t="s">
        <v>2507</v>
      </c>
    </row>
    <row r="1503" spans="1:2" x14ac:dyDescent="0.3">
      <c r="A1503" s="4" t="s">
        <v>2508</v>
      </c>
      <c r="B1503" s="4" t="s">
        <v>2509</v>
      </c>
    </row>
    <row r="1504" spans="1:2" x14ac:dyDescent="0.3">
      <c r="A1504" s="4" t="s">
        <v>2510</v>
      </c>
      <c r="B1504" s="4" t="s">
        <v>2511</v>
      </c>
    </row>
    <row r="1505" spans="1:2" x14ac:dyDescent="0.3">
      <c r="A1505" s="4" t="s">
        <v>2512</v>
      </c>
      <c r="B1505" s="4" t="s">
        <v>2513</v>
      </c>
    </row>
    <row r="1506" spans="1:2" x14ac:dyDescent="0.3">
      <c r="A1506" s="4" t="s">
        <v>2514</v>
      </c>
      <c r="B1506" s="4" t="s">
        <v>2515</v>
      </c>
    </row>
    <row r="1507" spans="1:2" x14ac:dyDescent="0.3">
      <c r="A1507" s="4" t="s">
        <v>2516</v>
      </c>
      <c r="B1507" s="4" t="s">
        <v>2517</v>
      </c>
    </row>
    <row r="1508" spans="1:2" x14ac:dyDescent="0.3">
      <c r="A1508" s="4" t="s">
        <v>2518</v>
      </c>
      <c r="B1508" s="4" t="s">
        <v>2519</v>
      </c>
    </row>
    <row r="1509" spans="1:2" x14ac:dyDescent="0.3">
      <c r="A1509" s="4" t="s">
        <v>2520</v>
      </c>
      <c r="B1509" s="4" t="s">
        <v>2521</v>
      </c>
    </row>
    <row r="1510" spans="1:2" x14ac:dyDescent="0.3">
      <c r="A1510" s="4" t="s">
        <v>2522</v>
      </c>
      <c r="B1510" s="4" t="s">
        <v>2523</v>
      </c>
    </row>
    <row r="1511" spans="1:2" x14ac:dyDescent="0.3">
      <c r="A1511" s="4" t="s">
        <v>2524</v>
      </c>
      <c r="B1511" s="4" t="s">
        <v>2525</v>
      </c>
    </row>
    <row r="1512" spans="1:2" x14ac:dyDescent="0.3">
      <c r="A1512" s="4" t="s">
        <v>2526</v>
      </c>
      <c r="B1512" s="4" t="s">
        <v>2527</v>
      </c>
    </row>
    <row r="1513" spans="1:2" x14ac:dyDescent="0.3">
      <c r="A1513" s="4" t="s">
        <v>2528</v>
      </c>
      <c r="B1513" s="4" t="s">
        <v>2529</v>
      </c>
    </row>
    <row r="1514" spans="1:2" x14ac:dyDescent="0.3">
      <c r="A1514" s="4" t="s">
        <v>2532</v>
      </c>
      <c r="B1514" s="4" t="s">
        <v>2533</v>
      </c>
    </row>
    <row r="1515" spans="1:2" x14ac:dyDescent="0.3">
      <c r="A1515" s="4" t="s">
        <v>4165</v>
      </c>
      <c r="B1515" s="4" t="s">
        <v>2534</v>
      </c>
    </row>
    <row r="1516" spans="1:2" x14ac:dyDescent="0.3">
      <c r="A1516" s="4" t="s">
        <v>8929</v>
      </c>
      <c r="B1516" s="4" t="s">
        <v>6628</v>
      </c>
    </row>
    <row r="1517" spans="1:2" x14ac:dyDescent="0.3">
      <c r="A1517" s="4" t="s">
        <v>2535</v>
      </c>
      <c r="B1517" s="4" t="s">
        <v>2536</v>
      </c>
    </row>
    <row r="1518" spans="1:2" x14ac:dyDescent="0.3">
      <c r="A1518" s="4" t="s">
        <v>2537</v>
      </c>
      <c r="B1518" s="4" t="s">
        <v>2538</v>
      </c>
    </row>
    <row r="1519" spans="1:2" x14ac:dyDescent="0.3">
      <c r="A1519" s="4" t="s">
        <v>2539</v>
      </c>
      <c r="B1519" s="4" t="s">
        <v>2540</v>
      </c>
    </row>
    <row r="1520" spans="1:2" x14ac:dyDescent="0.3">
      <c r="A1520" s="4" t="s">
        <v>2541</v>
      </c>
      <c r="B1520" s="4" t="s">
        <v>2542</v>
      </c>
    </row>
    <row r="1521" spans="1:2" x14ac:dyDescent="0.3">
      <c r="A1521" s="4" t="s">
        <v>2543</v>
      </c>
      <c r="B1521" s="4" t="s">
        <v>2544</v>
      </c>
    </row>
    <row r="1522" spans="1:2" x14ac:dyDescent="0.3">
      <c r="A1522" s="4" t="s">
        <v>2289</v>
      </c>
      <c r="B1522" s="4" t="s">
        <v>8930</v>
      </c>
    </row>
    <row r="1523" spans="1:2" x14ac:dyDescent="0.3">
      <c r="A1523" s="4" t="s">
        <v>2545</v>
      </c>
      <c r="B1523" s="4" t="s">
        <v>2546</v>
      </c>
    </row>
    <row r="1524" spans="1:2" x14ac:dyDescent="0.3">
      <c r="A1524" s="4" t="s">
        <v>2547</v>
      </c>
      <c r="B1524" s="4" t="s">
        <v>2548</v>
      </c>
    </row>
    <row r="1525" spans="1:2" x14ac:dyDescent="0.3">
      <c r="A1525" s="4" t="s">
        <v>8931</v>
      </c>
      <c r="B1525" s="4" t="s">
        <v>8932</v>
      </c>
    </row>
    <row r="1526" spans="1:2" x14ac:dyDescent="0.3">
      <c r="A1526" s="4" t="s">
        <v>4170</v>
      </c>
      <c r="B1526" s="4" t="s">
        <v>2549</v>
      </c>
    </row>
    <row r="1527" spans="1:2" x14ac:dyDescent="0.3">
      <c r="A1527" s="4" t="s">
        <v>8933</v>
      </c>
      <c r="B1527" s="4" t="s">
        <v>8934</v>
      </c>
    </row>
    <row r="1528" spans="1:2" x14ac:dyDescent="0.3">
      <c r="A1528" s="4" t="s">
        <v>8935</v>
      </c>
      <c r="B1528" s="4" t="s">
        <v>8936</v>
      </c>
    </row>
    <row r="1529" spans="1:2" x14ac:dyDescent="0.3">
      <c r="A1529" s="4" t="s">
        <v>2550</v>
      </c>
      <c r="B1529" s="4" t="s">
        <v>2551</v>
      </c>
    </row>
    <row r="1530" spans="1:2" x14ac:dyDescent="0.3">
      <c r="A1530" s="4" t="s">
        <v>2552</v>
      </c>
      <c r="B1530" s="4" t="s">
        <v>2553</v>
      </c>
    </row>
    <row r="1531" spans="1:2" x14ac:dyDescent="0.3">
      <c r="A1531" s="4" t="s">
        <v>2554</v>
      </c>
      <c r="B1531" s="4" t="s">
        <v>2555</v>
      </c>
    </row>
    <row r="1532" spans="1:2" x14ac:dyDescent="0.3">
      <c r="A1532" s="4" t="s">
        <v>4202</v>
      </c>
      <c r="B1532" s="4" t="s">
        <v>9196</v>
      </c>
    </row>
    <row r="1533" spans="1:2" x14ac:dyDescent="0.3">
      <c r="A1533" s="4" t="s">
        <v>2556</v>
      </c>
      <c r="B1533" s="4" t="s">
        <v>2557</v>
      </c>
    </row>
    <row r="1534" spans="1:2" x14ac:dyDescent="0.3">
      <c r="A1534" s="4" t="s">
        <v>2558</v>
      </c>
      <c r="B1534" s="4" t="s">
        <v>2559</v>
      </c>
    </row>
    <row r="1535" spans="1:2" x14ac:dyDescent="0.3">
      <c r="A1535" s="4" t="s">
        <v>2560</v>
      </c>
      <c r="B1535" s="4" t="s">
        <v>2561</v>
      </c>
    </row>
    <row r="1536" spans="1:2" x14ac:dyDescent="0.3">
      <c r="A1536" s="4" t="s">
        <v>2562</v>
      </c>
      <c r="B1536" s="4" t="s">
        <v>2563</v>
      </c>
    </row>
    <row r="1537" spans="1:2" x14ac:dyDescent="0.3">
      <c r="A1537" s="4" t="s">
        <v>2564</v>
      </c>
      <c r="B1537" s="4" t="s">
        <v>2565</v>
      </c>
    </row>
    <row r="1538" spans="1:2" x14ac:dyDescent="0.3">
      <c r="A1538" s="4" t="s">
        <v>2566</v>
      </c>
      <c r="B1538" s="4" t="s">
        <v>2567</v>
      </c>
    </row>
    <row r="1539" spans="1:2" x14ac:dyDescent="0.3">
      <c r="A1539" s="4" t="s">
        <v>2568</v>
      </c>
      <c r="B1539" s="4" t="s">
        <v>2569</v>
      </c>
    </row>
    <row r="1540" spans="1:2" x14ac:dyDescent="0.3">
      <c r="A1540" s="4" t="s">
        <v>2570</v>
      </c>
      <c r="B1540" s="4" t="s">
        <v>8937</v>
      </c>
    </row>
    <row r="1541" spans="1:2" x14ac:dyDescent="0.3">
      <c r="A1541" s="4" t="s">
        <v>9197</v>
      </c>
      <c r="B1541" s="4" t="s">
        <v>9198</v>
      </c>
    </row>
    <row r="1542" spans="1:2" x14ac:dyDescent="0.3">
      <c r="A1542" s="4" t="s">
        <v>2571</v>
      </c>
      <c r="B1542" s="4" t="s">
        <v>2572</v>
      </c>
    </row>
    <row r="1543" spans="1:2" x14ac:dyDescent="0.3">
      <c r="A1543" s="4" t="s">
        <v>8938</v>
      </c>
      <c r="B1543" s="4" t="s">
        <v>6650</v>
      </c>
    </row>
    <row r="1544" spans="1:2" x14ac:dyDescent="0.3">
      <c r="A1544" s="4" t="s">
        <v>8939</v>
      </c>
      <c r="B1544" s="4" t="s">
        <v>8940</v>
      </c>
    </row>
    <row r="1545" spans="1:2" x14ac:dyDescent="0.3">
      <c r="A1545" s="4" t="s">
        <v>2573</v>
      </c>
      <c r="B1545" s="4" t="s">
        <v>2574</v>
      </c>
    </row>
    <row r="1546" spans="1:2" x14ac:dyDescent="0.3">
      <c r="A1546" s="4" t="s">
        <v>3007</v>
      </c>
      <c r="B1546" s="4" t="s">
        <v>8941</v>
      </c>
    </row>
    <row r="1547" spans="1:2" x14ac:dyDescent="0.3">
      <c r="A1547" s="4" t="s">
        <v>1605</v>
      </c>
      <c r="B1547" s="4" t="s">
        <v>8942</v>
      </c>
    </row>
    <row r="1548" spans="1:2" x14ac:dyDescent="0.3">
      <c r="A1548" s="4" t="s">
        <v>2575</v>
      </c>
      <c r="B1548" s="4" t="s">
        <v>2576</v>
      </c>
    </row>
    <row r="1549" spans="1:2" x14ac:dyDescent="0.3">
      <c r="A1549" s="4" t="s">
        <v>2577</v>
      </c>
      <c r="B1549" s="4" t="s">
        <v>2578</v>
      </c>
    </row>
    <row r="1550" spans="1:2" x14ac:dyDescent="0.3">
      <c r="A1550" s="4" t="s">
        <v>2579</v>
      </c>
      <c r="B1550" s="4" t="s">
        <v>2580</v>
      </c>
    </row>
    <row r="1551" spans="1:2" x14ac:dyDescent="0.3">
      <c r="A1551" s="4" t="s">
        <v>2581</v>
      </c>
      <c r="B1551" s="4" t="s">
        <v>2582</v>
      </c>
    </row>
    <row r="1552" spans="1:2" x14ac:dyDescent="0.3">
      <c r="A1552" s="4" t="s">
        <v>2583</v>
      </c>
      <c r="B1552" s="4" t="s">
        <v>2584</v>
      </c>
    </row>
    <row r="1553" spans="1:2" x14ac:dyDescent="0.3">
      <c r="A1553" s="4" t="s">
        <v>2585</v>
      </c>
      <c r="B1553" s="4" t="s">
        <v>2586</v>
      </c>
    </row>
    <row r="1554" spans="1:2" x14ac:dyDescent="0.3">
      <c r="A1554" s="4" t="s">
        <v>4215</v>
      </c>
      <c r="B1554" s="4" t="s">
        <v>6667</v>
      </c>
    </row>
    <row r="1555" spans="1:2" x14ac:dyDescent="0.3">
      <c r="A1555" s="4" t="s">
        <v>2587</v>
      </c>
      <c r="B1555" s="4" t="s">
        <v>2588</v>
      </c>
    </row>
    <row r="1556" spans="1:2" x14ac:dyDescent="0.3">
      <c r="A1556" s="4" t="s">
        <v>2589</v>
      </c>
      <c r="B1556" s="4" t="s">
        <v>2590</v>
      </c>
    </row>
    <row r="1557" spans="1:2" x14ac:dyDescent="0.3">
      <c r="A1557" s="4" t="s">
        <v>2591</v>
      </c>
      <c r="B1557" s="4" t="s">
        <v>2592</v>
      </c>
    </row>
    <row r="1558" spans="1:2" x14ac:dyDescent="0.3">
      <c r="A1558" s="4" t="s">
        <v>2593</v>
      </c>
      <c r="B1558" s="4" t="s">
        <v>2594</v>
      </c>
    </row>
    <row r="1559" spans="1:2" x14ac:dyDescent="0.3">
      <c r="A1559" s="4" t="s">
        <v>2595</v>
      </c>
      <c r="B1559" s="4" t="s">
        <v>2596</v>
      </c>
    </row>
    <row r="1560" spans="1:2" x14ac:dyDescent="0.3">
      <c r="A1560" s="4" t="s">
        <v>2597</v>
      </c>
      <c r="B1560" s="4" t="s">
        <v>2598</v>
      </c>
    </row>
    <row r="1561" spans="1:2" x14ac:dyDescent="0.3">
      <c r="A1561" s="4" t="s">
        <v>2246</v>
      </c>
      <c r="B1561" s="4" t="s">
        <v>8943</v>
      </c>
    </row>
    <row r="1562" spans="1:2" x14ac:dyDescent="0.3">
      <c r="A1562" s="4" t="s">
        <v>2599</v>
      </c>
      <c r="B1562" s="4" t="s">
        <v>2600</v>
      </c>
    </row>
    <row r="1563" spans="1:2" x14ac:dyDescent="0.3">
      <c r="A1563" s="4" t="s">
        <v>12315</v>
      </c>
      <c r="B1563" s="4" t="s">
        <v>12316</v>
      </c>
    </row>
    <row r="1564" spans="1:2" x14ac:dyDescent="0.3">
      <c r="A1564" s="4" t="s">
        <v>2602</v>
      </c>
      <c r="B1564" s="4" t="s">
        <v>2603</v>
      </c>
    </row>
    <row r="1565" spans="1:2" x14ac:dyDescent="0.3">
      <c r="A1565" s="4" t="s">
        <v>2604</v>
      </c>
      <c r="B1565" s="4" t="s">
        <v>2605</v>
      </c>
    </row>
    <row r="1566" spans="1:2" x14ac:dyDescent="0.3">
      <c r="A1566" s="4" t="s">
        <v>2606</v>
      </c>
      <c r="B1566" s="4" t="s">
        <v>2607</v>
      </c>
    </row>
    <row r="1567" spans="1:2" x14ac:dyDescent="0.3">
      <c r="A1567" s="4" t="s">
        <v>2608</v>
      </c>
      <c r="B1567" s="4" t="s">
        <v>2609</v>
      </c>
    </row>
    <row r="1568" spans="1:2" x14ac:dyDescent="0.3">
      <c r="A1568" s="4" t="s">
        <v>2610</v>
      </c>
      <c r="B1568" s="4" t="s">
        <v>2611</v>
      </c>
    </row>
    <row r="1569" spans="1:2" x14ac:dyDescent="0.3">
      <c r="A1569" s="4" t="s">
        <v>2612</v>
      </c>
      <c r="B1569" s="4" t="s">
        <v>2613</v>
      </c>
    </row>
    <row r="1570" spans="1:2" x14ac:dyDescent="0.3">
      <c r="A1570" s="4" t="s">
        <v>2614</v>
      </c>
      <c r="B1570" s="4" t="s">
        <v>2615</v>
      </c>
    </row>
    <row r="1571" spans="1:2" x14ac:dyDescent="0.3">
      <c r="A1571" s="4" t="s">
        <v>2616</v>
      </c>
      <c r="B1571" s="4" t="s">
        <v>2617</v>
      </c>
    </row>
    <row r="1572" spans="1:2" x14ac:dyDescent="0.3">
      <c r="A1572" s="4" t="s">
        <v>2618</v>
      </c>
      <c r="B1572" s="4" t="s">
        <v>2619</v>
      </c>
    </row>
    <row r="1573" spans="1:2" x14ac:dyDescent="0.3">
      <c r="A1573" s="4" t="s">
        <v>2620</v>
      </c>
      <c r="B1573" s="4" t="s">
        <v>2621</v>
      </c>
    </row>
    <row r="1574" spans="1:2" x14ac:dyDescent="0.3">
      <c r="A1574" s="4" t="s">
        <v>2622</v>
      </c>
      <c r="B1574" s="4" t="s">
        <v>2623</v>
      </c>
    </row>
    <row r="1575" spans="1:2" x14ac:dyDescent="0.3">
      <c r="A1575" s="4" t="s">
        <v>2624</v>
      </c>
      <c r="B1575" s="4" t="s">
        <v>2625</v>
      </c>
    </row>
    <row r="1576" spans="1:2" x14ac:dyDescent="0.3">
      <c r="A1576" s="4" t="s">
        <v>2626</v>
      </c>
      <c r="B1576" s="4" t="s">
        <v>2627</v>
      </c>
    </row>
    <row r="1577" spans="1:2" x14ac:dyDescent="0.3">
      <c r="A1577" s="4" t="s">
        <v>2628</v>
      </c>
      <c r="B1577" s="4" t="s">
        <v>2629</v>
      </c>
    </row>
    <row r="1578" spans="1:2" x14ac:dyDescent="0.3">
      <c r="A1578" s="4" t="s">
        <v>2630</v>
      </c>
      <c r="B1578" s="4" t="s">
        <v>2631</v>
      </c>
    </row>
    <row r="1579" spans="1:2" x14ac:dyDescent="0.3">
      <c r="A1579" s="4" t="s">
        <v>2632</v>
      </c>
      <c r="B1579" s="4" t="s">
        <v>2633</v>
      </c>
    </row>
    <row r="1580" spans="1:2" x14ac:dyDescent="0.3">
      <c r="A1580" s="4" t="s">
        <v>2634</v>
      </c>
      <c r="B1580" s="4" t="s">
        <v>2635</v>
      </c>
    </row>
    <row r="1581" spans="1:2" x14ac:dyDescent="0.3">
      <c r="A1581" s="4" t="s">
        <v>2636</v>
      </c>
      <c r="B1581" s="4" t="s">
        <v>2637</v>
      </c>
    </row>
    <row r="1582" spans="1:2" x14ac:dyDescent="0.3">
      <c r="A1582" s="4" t="s">
        <v>2638</v>
      </c>
      <c r="B1582" s="4" t="s">
        <v>2639</v>
      </c>
    </row>
    <row r="1583" spans="1:2" x14ac:dyDescent="0.3">
      <c r="A1583" s="4" t="s">
        <v>2640</v>
      </c>
      <c r="B1583" s="4" t="s">
        <v>2641</v>
      </c>
    </row>
    <row r="1584" spans="1:2" x14ac:dyDescent="0.3">
      <c r="A1584" s="4" t="s">
        <v>2642</v>
      </c>
      <c r="B1584" s="4" t="s">
        <v>2643</v>
      </c>
    </row>
    <row r="1585" spans="1:2" x14ac:dyDescent="0.3">
      <c r="A1585" s="4" t="s">
        <v>2644</v>
      </c>
      <c r="B1585" s="4" t="s">
        <v>2645</v>
      </c>
    </row>
    <row r="1586" spans="1:2" x14ac:dyDescent="0.3">
      <c r="A1586" s="4" t="s">
        <v>2646</v>
      </c>
      <c r="B1586" s="4" t="s">
        <v>2647</v>
      </c>
    </row>
    <row r="1587" spans="1:2" x14ac:dyDescent="0.3">
      <c r="A1587" s="4" t="s">
        <v>2648</v>
      </c>
      <c r="B1587" s="4" t="s">
        <v>2649</v>
      </c>
    </row>
    <row r="1588" spans="1:2" x14ac:dyDescent="0.3">
      <c r="A1588" s="4" t="s">
        <v>2650</v>
      </c>
      <c r="B1588" s="4" t="s">
        <v>2651</v>
      </c>
    </row>
    <row r="1589" spans="1:2" x14ac:dyDescent="0.3">
      <c r="A1589" s="4" t="s">
        <v>2654</v>
      </c>
      <c r="B1589" s="4" t="s">
        <v>2655</v>
      </c>
    </row>
    <row r="1590" spans="1:2" x14ac:dyDescent="0.3">
      <c r="A1590" s="4" t="s">
        <v>2656</v>
      </c>
      <c r="B1590" s="4" t="s">
        <v>2657</v>
      </c>
    </row>
    <row r="1591" spans="1:2" x14ac:dyDescent="0.3">
      <c r="A1591" s="4" t="s">
        <v>2658</v>
      </c>
      <c r="B1591" s="4" t="s">
        <v>2659</v>
      </c>
    </row>
    <row r="1592" spans="1:2" x14ac:dyDescent="0.3">
      <c r="A1592" s="4" t="s">
        <v>2660</v>
      </c>
      <c r="B1592" s="4" t="s">
        <v>2661</v>
      </c>
    </row>
    <row r="1593" spans="1:2" x14ac:dyDescent="0.3">
      <c r="A1593" s="4" t="s">
        <v>8944</v>
      </c>
      <c r="B1593" s="4" t="s">
        <v>8945</v>
      </c>
    </row>
    <row r="1594" spans="1:2" x14ac:dyDescent="0.3">
      <c r="A1594" s="4" t="s">
        <v>8946</v>
      </c>
      <c r="B1594" s="4" t="s">
        <v>8947</v>
      </c>
    </row>
    <row r="1595" spans="1:2" x14ac:dyDescent="0.3">
      <c r="A1595" s="4" t="s">
        <v>2662</v>
      </c>
      <c r="B1595" s="4" t="s">
        <v>2663</v>
      </c>
    </row>
    <row r="1596" spans="1:2" x14ac:dyDescent="0.3">
      <c r="A1596" s="4" t="s">
        <v>2664</v>
      </c>
      <c r="B1596" s="4" t="s">
        <v>2665</v>
      </c>
    </row>
    <row r="1597" spans="1:2" x14ac:dyDescent="0.3">
      <c r="A1597" s="4" t="s">
        <v>2666</v>
      </c>
      <c r="B1597" s="4" t="s">
        <v>2667</v>
      </c>
    </row>
    <row r="1598" spans="1:2" x14ac:dyDescent="0.3">
      <c r="A1598" s="4" t="s">
        <v>2668</v>
      </c>
      <c r="B1598" s="4" t="s">
        <v>2669</v>
      </c>
    </row>
    <row r="1599" spans="1:2" x14ac:dyDescent="0.3">
      <c r="A1599" s="4" t="s">
        <v>2670</v>
      </c>
      <c r="B1599" s="4" t="s">
        <v>2671</v>
      </c>
    </row>
    <row r="1600" spans="1:2" x14ac:dyDescent="0.3">
      <c r="A1600" s="4" t="s">
        <v>2672</v>
      </c>
      <c r="B1600" s="4" t="s">
        <v>2673</v>
      </c>
    </row>
    <row r="1601" spans="1:2" x14ac:dyDescent="0.3">
      <c r="A1601" s="4" t="s">
        <v>2674</v>
      </c>
      <c r="B1601" s="4" t="s">
        <v>2675</v>
      </c>
    </row>
    <row r="1602" spans="1:2" x14ac:dyDescent="0.3">
      <c r="A1602" s="4" t="s">
        <v>2676</v>
      </c>
      <c r="B1602" s="4" t="s">
        <v>2677</v>
      </c>
    </row>
    <row r="1603" spans="1:2" x14ac:dyDescent="0.3">
      <c r="A1603" s="4" t="s">
        <v>2678</v>
      </c>
      <c r="B1603" s="4" t="s">
        <v>2679</v>
      </c>
    </row>
    <row r="1604" spans="1:2" x14ac:dyDescent="0.3">
      <c r="A1604" s="4" t="s">
        <v>12317</v>
      </c>
      <c r="B1604" s="4" t="s">
        <v>11063</v>
      </c>
    </row>
    <row r="1605" spans="1:2" x14ac:dyDescent="0.3">
      <c r="A1605" s="4" t="s">
        <v>2680</v>
      </c>
      <c r="B1605" s="4" t="s">
        <v>2681</v>
      </c>
    </row>
    <row r="1606" spans="1:2" x14ac:dyDescent="0.3">
      <c r="A1606" s="4" t="s">
        <v>2682</v>
      </c>
      <c r="B1606" s="4" t="s">
        <v>2683</v>
      </c>
    </row>
    <row r="1607" spans="1:2" x14ac:dyDescent="0.3">
      <c r="A1607" s="4" t="s">
        <v>2684</v>
      </c>
      <c r="B1607" s="4" t="s">
        <v>2685</v>
      </c>
    </row>
    <row r="1608" spans="1:2" x14ac:dyDescent="0.3">
      <c r="A1608" s="4" t="s">
        <v>2686</v>
      </c>
      <c r="B1608" s="4" t="s">
        <v>2687</v>
      </c>
    </row>
    <row r="1609" spans="1:2" x14ac:dyDescent="0.3">
      <c r="A1609" s="4" t="s">
        <v>2688</v>
      </c>
      <c r="B1609" s="4" t="s">
        <v>2689</v>
      </c>
    </row>
    <row r="1610" spans="1:2" x14ac:dyDescent="0.3">
      <c r="A1610" s="4" t="s">
        <v>2691</v>
      </c>
      <c r="B1610" s="4" t="s">
        <v>8948</v>
      </c>
    </row>
    <row r="1611" spans="1:2" x14ac:dyDescent="0.3">
      <c r="A1611" s="4" t="s">
        <v>2692</v>
      </c>
      <c r="B1611" s="4" t="s">
        <v>2693</v>
      </c>
    </row>
    <row r="1612" spans="1:2" x14ac:dyDescent="0.3">
      <c r="A1612" s="4" t="s">
        <v>8949</v>
      </c>
      <c r="B1612" s="4" t="s">
        <v>6706</v>
      </c>
    </row>
    <row r="1613" spans="1:2" x14ac:dyDescent="0.3">
      <c r="A1613" s="4" t="s">
        <v>12318</v>
      </c>
      <c r="B1613" s="4" t="s">
        <v>11076</v>
      </c>
    </row>
    <row r="1614" spans="1:2" x14ac:dyDescent="0.3">
      <c r="A1614" s="4" t="s">
        <v>2694</v>
      </c>
      <c r="B1614" s="4" t="s">
        <v>2695</v>
      </c>
    </row>
    <row r="1615" spans="1:2" x14ac:dyDescent="0.3">
      <c r="A1615" s="4" t="s">
        <v>2696</v>
      </c>
      <c r="B1615" s="4" t="s">
        <v>2697</v>
      </c>
    </row>
    <row r="1616" spans="1:2" x14ac:dyDescent="0.3">
      <c r="A1616" s="4" t="s">
        <v>2698</v>
      </c>
      <c r="B1616" s="4" t="s">
        <v>2699</v>
      </c>
    </row>
    <row r="1617" spans="1:2" x14ac:dyDescent="0.3">
      <c r="A1617" s="4" t="s">
        <v>2652</v>
      </c>
      <c r="B1617" s="4" t="s">
        <v>12319</v>
      </c>
    </row>
    <row r="1618" spans="1:2" x14ac:dyDescent="0.3">
      <c r="A1618" s="4" t="s">
        <v>2700</v>
      </c>
      <c r="B1618" s="4" t="s">
        <v>2701</v>
      </c>
    </row>
    <row r="1619" spans="1:2" x14ac:dyDescent="0.3">
      <c r="A1619" s="4" t="s">
        <v>2702</v>
      </c>
      <c r="B1619" s="4" t="s">
        <v>2703</v>
      </c>
    </row>
    <row r="1620" spans="1:2" x14ac:dyDescent="0.3">
      <c r="A1620" s="4" t="s">
        <v>8950</v>
      </c>
      <c r="B1620" s="4" t="s">
        <v>8951</v>
      </c>
    </row>
    <row r="1621" spans="1:2" x14ac:dyDescent="0.3">
      <c r="A1621" s="4" t="s">
        <v>2704</v>
      </c>
      <c r="B1621" s="4" t="s">
        <v>2705</v>
      </c>
    </row>
    <row r="1622" spans="1:2" x14ac:dyDescent="0.3">
      <c r="A1622" s="4" t="s">
        <v>2706</v>
      </c>
      <c r="B1622" s="4" t="s">
        <v>2707</v>
      </c>
    </row>
    <row r="1623" spans="1:2" x14ac:dyDescent="0.3">
      <c r="A1623" s="4" t="s">
        <v>2708</v>
      </c>
      <c r="B1623" s="4" t="s">
        <v>2709</v>
      </c>
    </row>
    <row r="1624" spans="1:2" x14ac:dyDescent="0.3">
      <c r="A1624" s="4" t="s">
        <v>2710</v>
      </c>
      <c r="B1624" s="4" t="s">
        <v>2711</v>
      </c>
    </row>
    <row r="1625" spans="1:2" x14ac:dyDescent="0.3">
      <c r="A1625" s="4" t="s">
        <v>2714</v>
      </c>
      <c r="B1625" s="4" t="s">
        <v>2715</v>
      </c>
    </row>
    <row r="1626" spans="1:2" x14ac:dyDescent="0.3">
      <c r="A1626" s="4" t="s">
        <v>4206</v>
      </c>
      <c r="B1626" s="4" t="s">
        <v>4207</v>
      </c>
    </row>
    <row r="1627" spans="1:2" x14ac:dyDescent="0.3">
      <c r="A1627" s="4" t="s">
        <v>2716</v>
      </c>
      <c r="B1627" s="4" t="s">
        <v>2717</v>
      </c>
    </row>
    <row r="1628" spans="1:2" x14ac:dyDescent="0.3">
      <c r="A1628" s="4" t="s">
        <v>8952</v>
      </c>
      <c r="B1628" s="4" t="s">
        <v>6738</v>
      </c>
    </row>
    <row r="1629" spans="1:2" x14ac:dyDescent="0.3">
      <c r="A1629" s="4" t="s">
        <v>2718</v>
      </c>
      <c r="B1629" s="4" t="s">
        <v>2719</v>
      </c>
    </row>
    <row r="1630" spans="1:2" x14ac:dyDescent="0.3">
      <c r="A1630" s="4" t="s">
        <v>2720</v>
      </c>
      <c r="B1630" s="4" t="s">
        <v>2721</v>
      </c>
    </row>
    <row r="1631" spans="1:2" x14ac:dyDescent="0.3">
      <c r="A1631" s="4" t="s">
        <v>2723</v>
      </c>
      <c r="B1631" s="4" t="s">
        <v>2724</v>
      </c>
    </row>
    <row r="1632" spans="1:2" x14ac:dyDescent="0.3">
      <c r="A1632" s="4" t="s">
        <v>2076</v>
      </c>
      <c r="B1632" s="4" t="s">
        <v>8953</v>
      </c>
    </row>
    <row r="1633" spans="1:2" x14ac:dyDescent="0.3">
      <c r="A1633" s="4" t="s">
        <v>2725</v>
      </c>
      <c r="B1633" s="4" t="s">
        <v>2726</v>
      </c>
    </row>
    <row r="1634" spans="1:2" x14ac:dyDescent="0.3">
      <c r="A1634" s="4" t="s">
        <v>8954</v>
      </c>
      <c r="B1634" s="4" t="s">
        <v>8955</v>
      </c>
    </row>
    <row r="1635" spans="1:2" x14ac:dyDescent="0.3">
      <c r="A1635" s="4" t="s">
        <v>2727</v>
      </c>
      <c r="B1635" s="4" t="s">
        <v>2728</v>
      </c>
    </row>
    <row r="1636" spans="1:2" x14ac:dyDescent="0.3">
      <c r="A1636" s="4" t="s">
        <v>8956</v>
      </c>
      <c r="B1636" s="4" t="s">
        <v>8957</v>
      </c>
    </row>
    <row r="1637" spans="1:2" x14ac:dyDescent="0.3">
      <c r="A1637" s="4" t="s">
        <v>2729</v>
      </c>
      <c r="B1637" s="4" t="s">
        <v>2730</v>
      </c>
    </row>
    <row r="1638" spans="1:2" x14ac:dyDescent="0.3">
      <c r="A1638" s="4" t="s">
        <v>2731</v>
      </c>
      <c r="B1638" s="4" t="s">
        <v>2732</v>
      </c>
    </row>
    <row r="1639" spans="1:2" x14ac:dyDescent="0.3">
      <c r="A1639" s="4" t="s">
        <v>2733</v>
      </c>
      <c r="B1639" s="4" t="s">
        <v>2734</v>
      </c>
    </row>
    <row r="1640" spans="1:2" x14ac:dyDescent="0.3">
      <c r="A1640" s="4" t="s">
        <v>2735</v>
      </c>
      <c r="B1640" s="4" t="s">
        <v>2736</v>
      </c>
    </row>
    <row r="1641" spans="1:2" x14ac:dyDescent="0.3">
      <c r="A1641" s="4" t="s">
        <v>2737</v>
      </c>
      <c r="B1641" s="4" t="s">
        <v>2738</v>
      </c>
    </row>
    <row r="1642" spans="1:2" x14ac:dyDescent="0.3">
      <c r="A1642" s="4" t="s">
        <v>2739</v>
      </c>
      <c r="B1642" s="4" t="s">
        <v>2740</v>
      </c>
    </row>
    <row r="1643" spans="1:2" x14ac:dyDescent="0.3">
      <c r="A1643" s="4" t="s">
        <v>2741</v>
      </c>
      <c r="B1643" s="4" t="s">
        <v>2742</v>
      </c>
    </row>
    <row r="1644" spans="1:2" x14ac:dyDescent="0.3">
      <c r="A1644" s="4" t="s">
        <v>2743</v>
      </c>
      <c r="B1644" s="4" t="s">
        <v>2744</v>
      </c>
    </row>
    <row r="1645" spans="1:2" x14ac:dyDescent="0.3">
      <c r="A1645" s="4" t="s">
        <v>2745</v>
      </c>
      <c r="B1645" s="4" t="s">
        <v>2746</v>
      </c>
    </row>
    <row r="1646" spans="1:2" x14ac:dyDescent="0.3">
      <c r="A1646" s="4" t="s">
        <v>2750</v>
      </c>
      <c r="B1646" s="4" t="s">
        <v>2751</v>
      </c>
    </row>
    <row r="1647" spans="1:2" x14ac:dyDescent="0.3">
      <c r="A1647" s="4" t="s">
        <v>1345</v>
      </c>
      <c r="B1647" s="4" t="s">
        <v>8958</v>
      </c>
    </row>
    <row r="1648" spans="1:2" x14ac:dyDescent="0.3">
      <c r="A1648" s="4" t="s">
        <v>499</v>
      </c>
      <c r="B1648" s="4" t="s">
        <v>8959</v>
      </c>
    </row>
    <row r="1649" spans="1:2" x14ac:dyDescent="0.3">
      <c r="A1649" s="4" t="s">
        <v>2753</v>
      </c>
      <c r="B1649" s="4" t="s">
        <v>2754</v>
      </c>
    </row>
    <row r="1650" spans="1:2" x14ac:dyDescent="0.3">
      <c r="A1650" s="4" t="s">
        <v>2755</v>
      </c>
      <c r="B1650" s="4" t="s">
        <v>2756</v>
      </c>
    </row>
    <row r="1651" spans="1:2" x14ac:dyDescent="0.3">
      <c r="A1651" s="4" t="s">
        <v>3481</v>
      </c>
      <c r="B1651" s="4" t="s">
        <v>12320</v>
      </c>
    </row>
    <row r="1652" spans="1:2" x14ac:dyDescent="0.3">
      <c r="A1652" s="4" t="s">
        <v>154</v>
      </c>
      <c r="B1652" s="4" t="s">
        <v>8960</v>
      </c>
    </row>
    <row r="1653" spans="1:2" x14ac:dyDescent="0.3">
      <c r="A1653" s="4" t="s">
        <v>2757</v>
      </c>
      <c r="B1653" s="4" t="s">
        <v>2758</v>
      </c>
    </row>
    <row r="1654" spans="1:2" x14ac:dyDescent="0.3">
      <c r="A1654" s="4" t="s">
        <v>2759</v>
      </c>
      <c r="B1654" s="4" t="s">
        <v>2760</v>
      </c>
    </row>
    <row r="1655" spans="1:2" x14ac:dyDescent="0.3">
      <c r="A1655" s="4" t="s">
        <v>2761</v>
      </c>
      <c r="B1655" s="4" t="s">
        <v>2762</v>
      </c>
    </row>
    <row r="1656" spans="1:2" x14ac:dyDescent="0.3">
      <c r="A1656" s="4" t="s">
        <v>2763</v>
      </c>
      <c r="B1656" s="4" t="s">
        <v>2764</v>
      </c>
    </row>
    <row r="1657" spans="1:2" x14ac:dyDescent="0.3">
      <c r="A1657" s="4" t="s">
        <v>2765</v>
      </c>
      <c r="B1657" s="4" t="s">
        <v>2766</v>
      </c>
    </row>
    <row r="1658" spans="1:2" x14ac:dyDescent="0.3">
      <c r="A1658" s="4" t="s">
        <v>8961</v>
      </c>
      <c r="B1658" s="4" t="s">
        <v>6770</v>
      </c>
    </row>
    <row r="1659" spans="1:2" x14ac:dyDescent="0.3">
      <c r="A1659" s="4" t="s">
        <v>2767</v>
      </c>
      <c r="B1659" s="4" t="s">
        <v>2768</v>
      </c>
    </row>
    <row r="1660" spans="1:2" x14ac:dyDescent="0.3">
      <c r="A1660" s="4" t="s">
        <v>2769</v>
      </c>
      <c r="B1660" s="4" t="s">
        <v>2770</v>
      </c>
    </row>
    <row r="1661" spans="1:2" x14ac:dyDescent="0.3">
      <c r="A1661" s="4" t="s">
        <v>2771</v>
      </c>
      <c r="B1661" s="4" t="s">
        <v>2772</v>
      </c>
    </row>
    <row r="1662" spans="1:2" x14ac:dyDescent="0.3">
      <c r="A1662" s="4" t="s">
        <v>8962</v>
      </c>
      <c r="B1662" s="4" t="s">
        <v>2774</v>
      </c>
    </row>
    <row r="1663" spans="1:2" x14ac:dyDescent="0.3">
      <c r="A1663" s="4" t="s">
        <v>2776</v>
      </c>
      <c r="B1663" s="4" t="s">
        <v>2777</v>
      </c>
    </row>
    <row r="1664" spans="1:2" x14ac:dyDescent="0.3">
      <c r="A1664" s="4" t="s">
        <v>8967</v>
      </c>
      <c r="B1664" s="4" t="s">
        <v>8968</v>
      </c>
    </row>
    <row r="1665" spans="1:2" x14ac:dyDescent="0.3">
      <c r="A1665" s="4" t="s">
        <v>2773</v>
      </c>
      <c r="B1665" s="4" t="s">
        <v>8969</v>
      </c>
    </row>
    <row r="1666" spans="1:2" x14ac:dyDescent="0.3">
      <c r="A1666" s="4" t="s">
        <v>2778</v>
      </c>
      <c r="B1666" s="4" t="s">
        <v>2779</v>
      </c>
    </row>
    <row r="1667" spans="1:2" x14ac:dyDescent="0.3">
      <c r="A1667" s="4" t="s">
        <v>2136</v>
      </c>
      <c r="B1667" s="4" t="s">
        <v>8970</v>
      </c>
    </row>
    <row r="1668" spans="1:2" x14ac:dyDescent="0.3">
      <c r="A1668" s="4" t="s">
        <v>2780</v>
      </c>
      <c r="B1668" s="4" t="s">
        <v>2781</v>
      </c>
    </row>
    <row r="1669" spans="1:2" x14ac:dyDescent="0.3">
      <c r="A1669" s="4" t="s">
        <v>2783</v>
      </c>
      <c r="B1669" s="4" t="s">
        <v>2784</v>
      </c>
    </row>
    <row r="1670" spans="1:2" x14ac:dyDescent="0.3">
      <c r="A1670" s="4" t="s">
        <v>2785</v>
      </c>
      <c r="B1670" s="4" t="s">
        <v>2786</v>
      </c>
    </row>
    <row r="1671" spans="1:2" x14ac:dyDescent="0.3">
      <c r="A1671" s="4" t="s">
        <v>2787</v>
      </c>
      <c r="B1671" s="4" t="s">
        <v>2788</v>
      </c>
    </row>
    <row r="1672" spans="1:2" x14ac:dyDescent="0.3">
      <c r="A1672" s="4" t="s">
        <v>2789</v>
      </c>
      <c r="B1672" s="4" t="s">
        <v>2790</v>
      </c>
    </row>
    <row r="1673" spans="1:2" x14ac:dyDescent="0.3">
      <c r="A1673" s="4" t="s">
        <v>2791</v>
      </c>
      <c r="B1673" s="4" t="s">
        <v>2792</v>
      </c>
    </row>
    <row r="1674" spans="1:2" x14ac:dyDescent="0.3">
      <c r="A1674" s="4" t="s">
        <v>2793</v>
      </c>
      <c r="B1674" s="4" t="s">
        <v>2794</v>
      </c>
    </row>
    <row r="1675" spans="1:2" x14ac:dyDescent="0.3">
      <c r="A1675" s="4" t="s">
        <v>2795</v>
      </c>
      <c r="B1675" s="4" t="s">
        <v>2796</v>
      </c>
    </row>
    <row r="1676" spans="1:2" x14ac:dyDescent="0.3">
      <c r="A1676" s="4" t="s">
        <v>8971</v>
      </c>
      <c r="B1676" s="4" t="s">
        <v>8972</v>
      </c>
    </row>
    <row r="1677" spans="1:2" x14ac:dyDescent="0.3">
      <c r="A1677" s="4" t="s">
        <v>1387</v>
      </c>
      <c r="B1677" s="4" t="s">
        <v>8973</v>
      </c>
    </row>
    <row r="1678" spans="1:2" x14ac:dyDescent="0.3">
      <c r="A1678" s="4" t="s">
        <v>1281</v>
      </c>
      <c r="B1678" s="4" t="s">
        <v>8974</v>
      </c>
    </row>
    <row r="1679" spans="1:2" x14ac:dyDescent="0.3">
      <c r="A1679" s="4" t="s">
        <v>2797</v>
      </c>
      <c r="B1679" s="4" t="s">
        <v>2798</v>
      </c>
    </row>
    <row r="1680" spans="1:2" x14ac:dyDescent="0.3">
      <c r="A1680" s="4" t="s">
        <v>12321</v>
      </c>
      <c r="B1680" s="4" t="s">
        <v>11167</v>
      </c>
    </row>
    <row r="1681" spans="1:2" x14ac:dyDescent="0.3">
      <c r="A1681" s="4" t="s">
        <v>2799</v>
      </c>
      <c r="B1681" s="4" t="s">
        <v>2800</v>
      </c>
    </row>
    <row r="1682" spans="1:2" x14ac:dyDescent="0.3">
      <c r="A1682" s="4" t="s">
        <v>2801</v>
      </c>
      <c r="B1682" s="4" t="s">
        <v>2802</v>
      </c>
    </row>
    <row r="1683" spans="1:2" x14ac:dyDescent="0.3">
      <c r="A1683" s="4" t="s">
        <v>2803</v>
      </c>
      <c r="B1683" s="4" t="s">
        <v>2804</v>
      </c>
    </row>
    <row r="1684" spans="1:2" x14ac:dyDescent="0.3">
      <c r="A1684" s="4" t="s">
        <v>2805</v>
      </c>
      <c r="B1684" s="4" t="s">
        <v>2806</v>
      </c>
    </row>
    <row r="1685" spans="1:2" x14ac:dyDescent="0.3">
      <c r="A1685" s="4" t="s">
        <v>2807</v>
      </c>
      <c r="B1685" s="4" t="s">
        <v>2808</v>
      </c>
    </row>
    <row r="1686" spans="1:2" x14ac:dyDescent="0.3">
      <c r="A1686" s="4" t="s">
        <v>1200</v>
      </c>
      <c r="B1686" s="4" t="s">
        <v>11171</v>
      </c>
    </row>
    <row r="1687" spans="1:2" x14ac:dyDescent="0.3">
      <c r="A1687" s="4" t="s">
        <v>2809</v>
      </c>
      <c r="B1687" s="4" t="s">
        <v>2810</v>
      </c>
    </row>
    <row r="1688" spans="1:2" x14ac:dyDescent="0.3">
      <c r="A1688" s="4" t="s">
        <v>2811</v>
      </c>
      <c r="B1688" s="4" t="s">
        <v>2812</v>
      </c>
    </row>
    <row r="1689" spans="1:2" x14ac:dyDescent="0.3">
      <c r="A1689" s="4" t="s">
        <v>2813</v>
      </c>
      <c r="B1689" s="4" t="s">
        <v>2814</v>
      </c>
    </row>
    <row r="1690" spans="1:2" x14ac:dyDescent="0.3">
      <c r="A1690" s="4" t="s">
        <v>2815</v>
      </c>
      <c r="B1690" s="4" t="s">
        <v>2816</v>
      </c>
    </row>
    <row r="1691" spans="1:2" x14ac:dyDescent="0.3">
      <c r="A1691" s="4" t="s">
        <v>2817</v>
      </c>
      <c r="B1691" s="4" t="s">
        <v>2818</v>
      </c>
    </row>
    <row r="1692" spans="1:2" x14ac:dyDescent="0.3">
      <c r="A1692" s="4" t="s">
        <v>2819</v>
      </c>
      <c r="B1692" s="4" t="s">
        <v>2820</v>
      </c>
    </row>
    <row r="1693" spans="1:2" x14ac:dyDescent="0.3">
      <c r="A1693" s="4" t="s">
        <v>2821</v>
      </c>
      <c r="B1693" s="4" t="s">
        <v>2822</v>
      </c>
    </row>
    <row r="1694" spans="1:2" x14ac:dyDescent="0.3">
      <c r="A1694" s="4" t="s">
        <v>2823</v>
      </c>
      <c r="B1694" s="4" t="s">
        <v>2824</v>
      </c>
    </row>
    <row r="1695" spans="1:2" x14ac:dyDescent="0.3">
      <c r="A1695" s="4" t="s">
        <v>2825</v>
      </c>
      <c r="B1695" s="4" t="s">
        <v>2826</v>
      </c>
    </row>
    <row r="1696" spans="1:2" x14ac:dyDescent="0.3">
      <c r="A1696" s="4" t="s">
        <v>2828</v>
      </c>
      <c r="B1696" s="4" t="s">
        <v>2829</v>
      </c>
    </row>
    <row r="1697" spans="1:2" x14ac:dyDescent="0.3">
      <c r="A1697" s="4" t="s">
        <v>2830</v>
      </c>
      <c r="B1697" s="4" t="s">
        <v>2831</v>
      </c>
    </row>
    <row r="1698" spans="1:2" x14ac:dyDescent="0.3">
      <c r="A1698" s="4" t="s">
        <v>2832</v>
      </c>
      <c r="B1698" s="4" t="s">
        <v>2833</v>
      </c>
    </row>
    <row r="1699" spans="1:2" x14ac:dyDescent="0.3">
      <c r="A1699" s="4" t="s">
        <v>2834</v>
      </c>
      <c r="B1699" s="4" t="s">
        <v>2835</v>
      </c>
    </row>
    <row r="1700" spans="1:2" x14ac:dyDescent="0.3">
      <c r="A1700" s="4" t="s">
        <v>2836</v>
      </c>
      <c r="B1700" s="4" t="s">
        <v>2837</v>
      </c>
    </row>
    <row r="1701" spans="1:2" x14ac:dyDescent="0.3">
      <c r="A1701" s="4" t="s">
        <v>2838</v>
      </c>
      <c r="B1701" s="4" t="s">
        <v>2839</v>
      </c>
    </row>
    <row r="1702" spans="1:2" x14ac:dyDescent="0.3">
      <c r="A1702" s="4" t="s">
        <v>2840</v>
      </c>
      <c r="B1702" s="4" t="s">
        <v>2841</v>
      </c>
    </row>
    <row r="1703" spans="1:2" x14ac:dyDescent="0.3">
      <c r="A1703" s="4" t="s">
        <v>2842</v>
      </c>
      <c r="B1703" s="4" t="s">
        <v>2843</v>
      </c>
    </row>
    <row r="1704" spans="1:2" x14ac:dyDescent="0.3">
      <c r="A1704" s="4" t="s">
        <v>2844</v>
      </c>
      <c r="B1704" s="4" t="s">
        <v>2845</v>
      </c>
    </row>
    <row r="1705" spans="1:2" x14ac:dyDescent="0.3">
      <c r="A1705" s="4" t="s">
        <v>2847</v>
      </c>
      <c r="B1705" s="4" t="s">
        <v>2848</v>
      </c>
    </row>
    <row r="1706" spans="1:2" x14ac:dyDescent="0.3">
      <c r="A1706" s="4" t="s">
        <v>2849</v>
      </c>
      <c r="B1706" s="4" t="s">
        <v>2850</v>
      </c>
    </row>
    <row r="1707" spans="1:2" x14ac:dyDescent="0.3">
      <c r="A1707" s="4" t="s">
        <v>2851</v>
      </c>
      <c r="B1707" s="4" t="s">
        <v>2852</v>
      </c>
    </row>
    <row r="1708" spans="1:2" x14ac:dyDescent="0.3">
      <c r="A1708" s="4" t="s">
        <v>2853</v>
      </c>
      <c r="B1708" s="4" t="s">
        <v>2854</v>
      </c>
    </row>
    <row r="1709" spans="1:2" x14ac:dyDescent="0.3">
      <c r="A1709" s="4" t="s">
        <v>2855</v>
      </c>
      <c r="B1709" s="4" t="s">
        <v>2856</v>
      </c>
    </row>
    <row r="1710" spans="1:2" x14ac:dyDescent="0.3">
      <c r="A1710" s="4" t="s">
        <v>2857</v>
      </c>
      <c r="B1710" s="4" t="s">
        <v>2858</v>
      </c>
    </row>
    <row r="1711" spans="1:2" x14ac:dyDescent="0.3">
      <c r="A1711" s="4" t="s">
        <v>4180</v>
      </c>
      <c r="B1711" s="4" t="s">
        <v>8975</v>
      </c>
    </row>
    <row r="1712" spans="1:2" x14ac:dyDescent="0.3">
      <c r="A1712" s="4" t="s">
        <v>2859</v>
      </c>
      <c r="B1712" s="4" t="s">
        <v>2860</v>
      </c>
    </row>
    <row r="1713" spans="1:2" x14ac:dyDescent="0.3">
      <c r="A1713" s="4" t="s">
        <v>2861</v>
      </c>
      <c r="B1713" s="4" t="s">
        <v>2862</v>
      </c>
    </row>
    <row r="1714" spans="1:2" x14ac:dyDescent="0.3">
      <c r="A1714" s="4" t="s">
        <v>2863</v>
      </c>
      <c r="B1714" s="4" t="s">
        <v>2864</v>
      </c>
    </row>
    <row r="1715" spans="1:2" x14ac:dyDescent="0.3">
      <c r="A1715" s="4" t="s">
        <v>2865</v>
      </c>
      <c r="B1715" s="4" t="s">
        <v>2866</v>
      </c>
    </row>
    <row r="1716" spans="1:2" x14ac:dyDescent="0.3">
      <c r="A1716" s="4" t="s">
        <v>2867</v>
      </c>
      <c r="B1716" s="4" t="s">
        <v>2868</v>
      </c>
    </row>
    <row r="1717" spans="1:2" x14ac:dyDescent="0.3">
      <c r="A1717" s="4" t="s">
        <v>2869</v>
      </c>
      <c r="B1717" s="4" t="s">
        <v>2870</v>
      </c>
    </row>
    <row r="1718" spans="1:2" x14ac:dyDescent="0.3">
      <c r="A1718" s="4" t="s">
        <v>2871</v>
      </c>
      <c r="B1718" s="4" t="s">
        <v>2872</v>
      </c>
    </row>
    <row r="1719" spans="1:2" x14ac:dyDescent="0.3">
      <c r="A1719" s="4" t="s">
        <v>2873</v>
      </c>
      <c r="B1719" s="4" t="s">
        <v>2874</v>
      </c>
    </row>
    <row r="1720" spans="1:2" x14ac:dyDescent="0.3">
      <c r="A1720" s="4" t="s">
        <v>2875</v>
      </c>
      <c r="B1720" s="4" t="s">
        <v>2876</v>
      </c>
    </row>
    <row r="1721" spans="1:2" x14ac:dyDescent="0.3">
      <c r="A1721" s="4" t="s">
        <v>2877</v>
      </c>
      <c r="B1721" s="4" t="s">
        <v>2878</v>
      </c>
    </row>
    <row r="1722" spans="1:2" x14ac:dyDescent="0.3">
      <c r="A1722" s="4" t="s">
        <v>2879</v>
      </c>
      <c r="B1722" s="4" t="s">
        <v>2880</v>
      </c>
    </row>
    <row r="1723" spans="1:2" x14ac:dyDescent="0.3">
      <c r="A1723" s="4" t="s">
        <v>2881</v>
      </c>
      <c r="B1723" s="4" t="s">
        <v>2882</v>
      </c>
    </row>
    <row r="1724" spans="1:2" x14ac:dyDescent="0.3">
      <c r="A1724" s="4" t="s">
        <v>8976</v>
      </c>
      <c r="B1724" s="4" t="s">
        <v>8977</v>
      </c>
    </row>
    <row r="1725" spans="1:2" x14ac:dyDescent="0.3">
      <c r="A1725" s="4" t="s">
        <v>2883</v>
      </c>
      <c r="B1725" s="4" t="s">
        <v>2884</v>
      </c>
    </row>
    <row r="1726" spans="1:2" x14ac:dyDescent="0.3">
      <c r="A1726" s="4" t="s">
        <v>2885</v>
      </c>
      <c r="B1726" s="4" t="s">
        <v>2886</v>
      </c>
    </row>
    <row r="1727" spans="1:2" x14ac:dyDescent="0.3">
      <c r="A1727" s="4" t="s">
        <v>2887</v>
      </c>
      <c r="B1727" s="4" t="s">
        <v>2888</v>
      </c>
    </row>
    <row r="1728" spans="1:2" x14ac:dyDescent="0.3">
      <c r="A1728" s="4" t="s">
        <v>2889</v>
      </c>
      <c r="B1728" s="4" t="s">
        <v>2890</v>
      </c>
    </row>
    <row r="1729" spans="1:2" x14ac:dyDescent="0.3">
      <c r="A1729" s="4" t="s">
        <v>12322</v>
      </c>
      <c r="B1729" s="4" t="s">
        <v>12323</v>
      </c>
    </row>
    <row r="1730" spans="1:2" x14ac:dyDescent="0.3">
      <c r="A1730" s="4" t="s">
        <v>4208</v>
      </c>
      <c r="B1730" s="4" t="s">
        <v>4209</v>
      </c>
    </row>
    <row r="1731" spans="1:2" x14ac:dyDescent="0.3">
      <c r="A1731" s="4" t="s">
        <v>2891</v>
      </c>
      <c r="B1731" s="4" t="s">
        <v>2892</v>
      </c>
    </row>
    <row r="1732" spans="1:2" x14ac:dyDescent="0.3">
      <c r="A1732" s="4" t="s">
        <v>2893</v>
      </c>
      <c r="B1732" s="4" t="s">
        <v>2894</v>
      </c>
    </row>
    <row r="1733" spans="1:2" x14ac:dyDescent="0.3">
      <c r="A1733" s="4" t="s">
        <v>8978</v>
      </c>
      <c r="B1733" s="4" t="s">
        <v>6850</v>
      </c>
    </row>
    <row r="1734" spans="1:2" x14ac:dyDescent="0.3">
      <c r="A1734" s="4" t="s">
        <v>2895</v>
      </c>
      <c r="B1734" s="4" t="s">
        <v>2896</v>
      </c>
    </row>
    <row r="1735" spans="1:2" x14ac:dyDescent="0.3">
      <c r="A1735" s="4" t="s">
        <v>2897</v>
      </c>
      <c r="B1735" s="4" t="s">
        <v>2898</v>
      </c>
    </row>
    <row r="1736" spans="1:2" x14ac:dyDescent="0.3">
      <c r="A1736" s="4" t="s">
        <v>2899</v>
      </c>
      <c r="B1736" s="4" t="s">
        <v>2900</v>
      </c>
    </row>
    <row r="1737" spans="1:2" x14ac:dyDescent="0.3">
      <c r="A1737" s="4" t="s">
        <v>2901</v>
      </c>
      <c r="B1737" s="4" t="s">
        <v>2902</v>
      </c>
    </row>
    <row r="1738" spans="1:2" x14ac:dyDescent="0.3">
      <c r="A1738" s="4" t="s">
        <v>12324</v>
      </c>
      <c r="B1738" s="4" t="s">
        <v>11214</v>
      </c>
    </row>
    <row r="1739" spans="1:2" x14ac:dyDescent="0.3">
      <c r="A1739" s="4" t="s">
        <v>2903</v>
      </c>
      <c r="B1739" s="4" t="s">
        <v>2904</v>
      </c>
    </row>
    <row r="1740" spans="1:2" x14ac:dyDescent="0.3">
      <c r="A1740" s="4" t="s">
        <v>2905</v>
      </c>
      <c r="B1740" s="4" t="s">
        <v>2906</v>
      </c>
    </row>
    <row r="1741" spans="1:2" x14ac:dyDescent="0.3">
      <c r="A1741" s="4" t="s">
        <v>2908</v>
      </c>
      <c r="B1741" s="4" t="s">
        <v>2909</v>
      </c>
    </row>
    <row r="1742" spans="1:2" x14ac:dyDescent="0.3">
      <c r="A1742" s="4" t="s">
        <v>2911</v>
      </c>
      <c r="B1742" s="4" t="s">
        <v>2912</v>
      </c>
    </row>
    <row r="1743" spans="1:2" x14ac:dyDescent="0.3">
      <c r="A1743" s="4" t="s">
        <v>2913</v>
      </c>
      <c r="B1743" s="4" t="s">
        <v>2914</v>
      </c>
    </row>
    <row r="1744" spans="1:2" x14ac:dyDescent="0.3">
      <c r="A1744" s="4" t="s">
        <v>2916</v>
      </c>
      <c r="B1744" s="4" t="s">
        <v>2917</v>
      </c>
    </row>
    <row r="1745" spans="1:2" x14ac:dyDescent="0.3">
      <c r="A1745" s="4" t="s">
        <v>2918</v>
      </c>
      <c r="B1745" s="4" t="s">
        <v>2919</v>
      </c>
    </row>
    <row r="1746" spans="1:2" x14ac:dyDescent="0.3">
      <c r="A1746" s="4" t="s">
        <v>2920</v>
      </c>
      <c r="B1746" s="4" t="s">
        <v>2921</v>
      </c>
    </row>
    <row r="1747" spans="1:2" x14ac:dyDescent="0.3">
      <c r="A1747" s="4" t="s">
        <v>2922</v>
      </c>
      <c r="B1747" s="4" t="s">
        <v>2923</v>
      </c>
    </row>
    <row r="1748" spans="1:2" x14ac:dyDescent="0.3">
      <c r="A1748" s="4" t="s">
        <v>8979</v>
      </c>
      <c r="B1748" s="4" t="s">
        <v>8980</v>
      </c>
    </row>
    <row r="1749" spans="1:2" x14ac:dyDescent="0.3">
      <c r="A1749" s="4" t="s">
        <v>2924</v>
      </c>
      <c r="B1749" s="4" t="s">
        <v>2925</v>
      </c>
    </row>
    <row r="1750" spans="1:2" x14ac:dyDescent="0.3">
      <c r="A1750" s="4" t="s">
        <v>2926</v>
      </c>
      <c r="B1750" s="4" t="s">
        <v>2927</v>
      </c>
    </row>
    <row r="1751" spans="1:2" x14ac:dyDescent="0.3">
      <c r="A1751" s="4" t="s">
        <v>2928</v>
      </c>
      <c r="B1751" s="4" t="s">
        <v>2929</v>
      </c>
    </row>
    <row r="1752" spans="1:2" x14ac:dyDescent="0.3">
      <c r="A1752" s="4" t="s">
        <v>2930</v>
      </c>
      <c r="B1752" s="4" t="s">
        <v>2931</v>
      </c>
    </row>
    <row r="1753" spans="1:2" x14ac:dyDescent="0.3">
      <c r="A1753" s="4" t="s">
        <v>2932</v>
      </c>
      <c r="B1753" s="4" t="s">
        <v>2933</v>
      </c>
    </row>
    <row r="1754" spans="1:2" x14ac:dyDescent="0.3">
      <c r="A1754" s="4" t="s">
        <v>2934</v>
      </c>
      <c r="B1754" s="4" t="s">
        <v>2935</v>
      </c>
    </row>
    <row r="1755" spans="1:2" x14ac:dyDescent="0.3">
      <c r="A1755" s="4" t="s">
        <v>2936</v>
      </c>
      <c r="B1755" s="4" t="s">
        <v>2937</v>
      </c>
    </row>
    <row r="1756" spans="1:2" x14ac:dyDescent="0.3">
      <c r="A1756" s="4" t="s">
        <v>2938</v>
      </c>
      <c r="B1756" s="4" t="s">
        <v>2939</v>
      </c>
    </row>
    <row r="1757" spans="1:2" x14ac:dyDescent="0.3">
      <c r="A1757" s="4" t="s">
        <v>2940</v>
      </c>
      <c r="B1757" s="4" t="s">
        <v>2941</v>
      </c>
    </row>
    <row r="1758" spans="1:2" x14ac:dyDescent="0.3">
      <c r="A1758" s="4" t="s">
        <v>2977</v>
      </c>
      <c r="B1758" s="4" t="s">
        <v>8981</v>
      </c>
    </row>
    <row r="1759" spans="1:2" x14ac:dyDescent="0.3">
      <c r="A1759" s="4" t="s">
        <v>2943</v>
      </c>
      <c r="B1759" s="4" t="s">
        <v>2944</v>
      </c>
    </row>
    <row r="1760" spans="1:2" x14ac:dyDescent="0.3">
      <c r="A1760" s="4" t="s">
        <v>4201</v>
      </c>
      <c r="B1760" s="4" t="s">
        <v>8982</v>
      </c>
    </row>
    <row r="1761" spans="1:2" x14ac:dyDescent="0.3">
      <c r="A1761" s="4" t="s">
        <v>2945</v>
      </c>
      <c r="B1761" s="4" t="s">
        <v>2946</v>
      </c>
    </row>
    <row r="1762" spans="1:2" x14ac:dyDescent="0.3">
      <c r="A1762" s="4" t="s">
        <v>2947</v>
      </c>
      <c r="B1762" s="4" t="s">
        <v>2948</v>
      </c>
    </row>
    <row r="1763" spans="1:2" x14ac:dyDescent="0.3">
      <c r="A1763" s="4" t="s">
        <v>12325</v>
      </c>
      <c r="B1763" s="4" t="s">
        <v>11236</v>
      </c>
    </row>
    <row r="1764" spans="1:2" x14ac:dyDescent="0.3">
      <c r="A1764" s="4" t="s">
        <v>2949</v>
      </c>
      <c r="B1764" s="4" t="s">
        <v>2950</v>
      </c>
    </row>
    <row r="1765" spans="1:2" x14ac:dyDescent="0.3">
      <c r="A1765" s="4" t="s">
        <v>2951</v>
      </c>
      <c r="B1765" s="4" t="s">
        <v>2952</v>
      </c>
    </row>
    <row r="1766" spans="1:2" x14ac:dyDescent="0.3">
      <c r="A1766" s="4" t="s">
        <v>2953</v>
      </c>
      <c r="B1766" s="4" t="s">
        <v>2954</v>
      </c>
    </row>
    <row r="1767" spans="1:2" x14ac:dyDescent="0.3">
      <c r="A1767" s="4" t="s">
        <v>2955</v>
      </c>
      <c r="B1767" s="4" t="s">
        <v>2956</v>
      </c>
    </row>
    <row r="1768" spans="1:2" x14ac:dyDescent="0.3">
      <c r="A1768" s="4" t="s">
        <v>2957</v>
      </c>
      <c r="B1768" s="4" t="s">
        <v>8985</v>
      </c>
    </row>
    <row r="1769" spans="1:2" x14ac:dyDescent="0.3">
      <c r="A1769" s="4" t="s">
        <v>8986</v>
      </c>
      <c r="B1769" s="4" t="s">
        <v>8987</v>
      </c>
    </row>
    <row r="1770" spans="1:2" x14ac:dyDescent="0.3">
      <c r="A1770" s="4" t="s">
        <v>2958</v>
      </c>
      <c r="B1770" s="4" t="s">
        <v>2959</v>
      </c>
    </row>
    <row r="1771" spans="1:2" x14ac:dyDescent="0.3">
      <c r="A1771" s="4" t="s">
        <v>2960</v>
      </c>
      <c r="B1771" s="4" t="s">
        <v>2961</v>
      </c>
    </row>
    <row r="1772" spans="1:2" x14ac:dyDescent="0.3">
      <c r="A1772" s="4" t="s">
        <v>12326</v>
      </c>
      <c r="B1772" s="4" t="s">
        <v>12327</v>
      </c>
    </row>
    <row r="1773" spans="1:2" x14ac:dyDescent="0.3">
      <c r="A1773" s="4" t="s">
        <v>2962</v>
      </c>
      <c r="B1773" s="4" t="s">
        <v>2963</v>
      </c>
    </row>
    <row r="1774" spans="1:2" x14ac:dyDescent="0.3">
      <c r="A1774" s="4" t="s">
        <v>2964</v>
      </c>
      <c r="B1774" s="4" t="s">
        <v>2965</v>
      </c>
    </row>
    <row r="1775" spans="1:2" x14ac:dyDescent="0.3">
      <c r="A1775" s="4" t="s">
        <v>2967</v>
      </c>
      <c r="B1775" s="4" t="s">
        <v>2968</v>
      </c>
    </row>
    <row r="1776" spans="1:2" x14ac:dyDescent="0.3">
      <c r="A1776" s="4" t="s">
        <v>2969</v>
      </c>
      <c r="B1776" s="4" t="s">
        <v>2970</v>
      </c>
    </row>
    <row r="1777" spans="1:2" x14ac:dyDescent="0.3">
      <c r="A1777" s="4" t="s">
        <v>2971</v>
      </c>
      <c r="B1777" s="4" t="s">
        <v>2972</v>
      </c>
    </row>
    <row r="1778" spans="1:2" x14ac:dyDescent="0.3">
      <c r="A1778" s="4" t="s">
        <v>2973</v>
      </c>
      <c r="B1778" s="4" t="s">
        <v>2974</v>
      </c>
    </row>
    <row r="1779" spans="1:2" x14ac:dyDescent="0.3">
      <c r="A1779" s="4" t="s">
        <v>2975</v>
      </c>
      <c r="B1779" s="4" t="s">
        <v>2976</v>
      </c>
    </row>
    <row r="1780" spans="1:2" x14ac:dyDescent="0.3">
      <c r="A1780" s="4" t="s">
        <v>8988</v>
      </c>
      <c r="B1780" s="4" t="s">
        <v>6918</v>
      </c>
    </row>
    <row r="1781" spans="1:2" x14ac:dyDescent="0.3">
      <c r="A1781" s="4" t="s">
        <v>2978</v>
      </c>
      <c r="B1781" s="4" t="s">
        <v>2979</v>
      </c>
    </row>
    <row r="1782" spans="1:2" x14ac:dyDescent="0.3">
      <c r="A1782" s="4" t="s">
        <v>2980</v>
      </c>
      <c r="B1782" s="4" t="s">
        <v>2981</v>
      </c>
    </row>
    <row r="1783" spans="1:2" x14ac:dyDescent="0.3">
      <c r="A1783" s="4" t="s">
        <v>8989</v>
      </c>
      <c r="B1783" s="4" t="s">
        <v>8990</v>
      </c>
    </row>
    <row r="1784" spans="1:2" x14ac:dyDescent="0.3">
      <c r="A1784" s="4" t="s">
        <v>2982</v>
      </c>
      <c r="B1784" s="4" t="s">
        <v>2983</v>
      </c>
    </row>
    <row r="1785" spans="1:2" x14ac:dyDescent="0.3">
      <c r="A1785" s="4" t="s">
        <v>2984</v>
      </c>
      <c r="B1785" s="4" t="s">
        <v>2985</v>
      </c>
    </row>
    <row r="1786" spans="1:2" x14ac:dyDescent="0.3">
      <c r="A1786" s="4" t="s">
        <v>2986</v>
      </c>
      <c r="B1786" s="4" t="s">
        <v>2987</v>
      </c>
    </row>
    <row r="1787" spans="1:2" x14ac:dyDescent="0.3">
      <c r="A1787" s="4" t="s">
        <v>2988</v>
      </c>
      <c r="B1787" s="4" t="s">
        <v>2989</v>
      </c>
    </row>
    <row r="1788" spans="1:2" x14ac:dyDescent="0.3">
      <c r="A1788" s="4" t="s">
        <v>8991</v>
      </c>
      <c r="B1788" s="4" t="s">
        <v>8992</v>
      </c>
    </row>
    <row r="1789" spans="1:2" x14ac:dyDescent="0.3">
      <c r="A1789" s="4" t="s">
        <v>2990</v>
      </c>
      <c r="B1789" s="4" t="s">
        <v>2991</v>
      </c>
    </row>
    <row r="1790" spans="1:2" x14ac:dyDescent="0.3">
      <c r="A1790" s="4" t="s">
        <v>3627</v>
      </c>
      <c r="B1790" s="4" t="s">
        <v>8993</v>
      </c>
    </row>
    <row r="1791" spans="1:2" x14ac:dyDescent="0.3">
      <c r="A1791" s="4" t="s">
        <v>2993</v>
      </c>
      <c r="B1791" s="4" t="s">
        <v>2994</v>
      </c>
    </row>
    <row r="1792" spans="1:2" x14ac:dyDescent="0.3">
      <c r="A1792" s="4" t="s">
        <v>2995</v>
      </c>
      <c r="B1792" s="4" t="s">
        <v>2996</v>
      </c>
    </row>
    <row r="1793" spans="1:2" x14ac:dyDescent="0.3">
      <c r="A1793" s="4" t="s">
        <v>2997</v>
      </c>
      <c r="B1793" s="4" t="s">
        <v>2998</v>
      </c>
    </row>
    <row r="1794" spans="1:2" x14ac:dyDescent="0.3">
      <c r="A1794" s="4" t="s">
        <v>2999</v>
      </c>
      <c r="B1794" s="4" t="s">
        <v>3000</v>
      </c>
    </row>
    <row r="1795" spans="1:2" x14ac:dyDescent="0.3">
      <c r="A1795" s="4" t="s">
        <v>3001</v>
      </c>
      <c r="B1795" s="4" t="s">
        <v>3002</v>
      </c>
    </row>
    <row r="1796" spans="1:2" x14ac:dyDescent="0.3">
      <c r="A1796" s="4" t="s">
        <v>3003</v>
      </c>
      <c r="B1796" s="4" t="s">
        <v>3004</v>
      </c>
    </row>
    <row r="1797" spans="1:2" x14ac:dyDescent="0.3">
      <c r="A1797" s="4" t="s">
        <v>3005</v>
      </c>
      <c r="B1797" s="4" t="s">
        <v>3006</v>
      </c>
    </row>
    <row r="1798" spans="1:2" x14ac:dyDescent="0.3">
      <c r="A1798" s="4" t="s">
        <v>3008</v>
      </c>
      <c r="B1798" s="4" t="s">
        <v>3009</v>
      </c>
    </row>
    <row r="1799" spans="1:2" x14ac:dyDescent="0.3">
      <c r="A1799" s="4" t="s">
        <v>3010</v>
      </c>
      <c r="B1799" s="4" t="s">
        <v>3011</v>
      </c>
    </row>
    <row r="1800" spans="1:2" x14ac:dyDescent="0.3">
      <c r="A1800" s="4" t="s">
        <v>3012</v>
      </c>
      <c r="B1800" s="4" t="s">
        <v>3013</v>
      </c>
    </row>
    <row r="1801" spans="1:2" x14ac:dyDescent="0.3">
      <c r="A1801" s="4" t="s">
        <v>3014</v>
      </c>
      <c r="B1801" s="4" t="s">
        <v>3015</v>
      </c>
    </row>
    <row r="1802" spans="1:2" x14ac:dyDescent="0.3">
      <c r="A1802" s="4" t="s">
        <v>3016</v>
      </c>
      <c r="B1802" s="4" t="s">
        <v>3017</v>
      </c>
    </row>
    <row r="1803" spans="1:2" x14ac:dyDescent="0.3">
      <c r="A1803" s="4" t="s">
        <v>3018</v>
      </c>
      <c r="B1803" s="4" t="s">
        <v>3019</v>
      </c>
    </row>
    <row r="1804" spans="1:2" x14ac:dyDescent="0.3">
      <c r="A1804" s="4" t="s">
        <v>3020</v>
      </c>
      <c r="B1804" s="4" t="s">
        <v>3021</v>
      </c>
    </row>
    <row r="1805" spans="1:2" x14ac:dyDescent="0.3">
      <c r="A1805" s="4" t="s">
        <v>3022</v>
      </c>
      <c r="B1805" s="4" t="s">
        <v>3023</v>
      </c>
    </row>
    <row r="1806" spans="1:2" x14ac:dyDescent="0.3">
      <c r="A1806" s="4" t="s">
        <v>3024</v>
      </c>
      <c r="B1806" s="4" t="s">
        <v>3025</v>
      </c>
    </row>
    <row r="1807" spans="1:2" x14ac:dyDescent="0.3">
      <c r="A1807" s="4" t="s">
        <v>3026</v>
      </c>
      <c r="B1807" s="4" t="s">
        <v>3027</v>
      </c>
    </row>
    <row r="1808" spans="1:2" x14ac:dyDescent="0.3">
      <c r="A1808" s="4" t="s">
        <v>1698</v>
      </c>
      <c r="B1808" s="4" t="s">
        <v>8994</v>
      </c>
    </row>
    <row r="1809" spans="1:2" x14ac:dyDescent="0.3">
      <c r="A1809" s="4" t="s">
        <v>3028</v>
      </c>
      <c r="B1809" s="4" t="s">
        <v>3029</v>
      </c>
    </row>
    <row r="1810" spans="1:2" x14ac:dyDescent="0.3">
      <c r="A1810" s="4" t="s">
        <v>3030</v>
      </c>
      <c r="B1810" s="4" t="s">
        <v>3031</v>
      </c>
    </row>
    <row r="1811" spans="1:2" x14ac:dyDescent="0.3">
      <c r="A1811" s="4" t="s">
        <v>3216</v>
      </c>
      <c r="B1811" s="4" t="s">
        <v>8995</v>
      </c>
    </row>
    <row r="1812" spans="1:2" x14ac:dyDescent="0.3">
      <c r="A1812" s="4" t="s">
        <v>3033</v>
      </c>
      <c r="B1812" s="4" t="s">
        <v>3034</v>
      </c>
    </row>
    <row r="1813" spans="1:2" x14ac:dyDescent="0.3">
      <c r="A1813" s="4" t="s">
        <v>3035</v>
      </c>
      <c r="B1813" s="4" t="s">
        <v>3036</v>
      </c>
    </row>
    <row r="1814" spans="1:2" x14ac:dyDescent="0.3">
      <c r="A1814" s="4" t="s">
        <v>3037</v>
      </c>
      <c r="B1814" s="4" t="s">
        <v>3038</v>
      </c>
    </row>
    <row r="1815" spans="1:2" x14ac:dyDescent="0.3">
      <c r="A1815" s="4" t="s">
        <v>8996</v>
      </c>
      <c r="B1815" s="4" t="s">
        <v>8997</v>
      </c>
    </row>
    <row r="1816" spans="1:2" x14ac:dyDescent="0.3">
      <c r="A1816" s="4" t="s">
        <v>3039</v>
      </c>
      <c r="B1816" s="4" t="s">
        <v>3040</v>
      </c>
    </row>
    <row r="1817" spans="1:2" x14ac:dyDescent="0.3">
      <c r="A1817" s="4" t="s">
        <v>3041</v>
      </c>
      <c r="B1817" s="4" t="s">
        <v>3042</v>
      </c>
    </row>
    <row r="1818" spans="1:2" x14ac:dyDescent="0.3">
      <c r="A1818" s="4" t="s">
        <v>3043</v>
      </c>
      <c r="B1818" s="4" t="s">
        <v>3044</v>
      </c>
    </row>
    <row r="1819" spans="1:2" x14ac:dyDescent="0.3">
      <c r="A1819" s="4" t="s">
        <v>2374</v>
      </c>
      <c r="B1819" s="4" t="s">
        <v>8998</v>
      </c>
    </row>
    <row r="1820" spans="1:2" x14ac:dyDescent="0.3">
      <c r="A1820" s="4" t="s">
        <v>3045</v>
      </c>
      <c r="B1820" s="4" t="s">
        <v>3046</v>
      </c>
    </row>
    <row r="1821" spans="1:2" x14ac:dyDescent="0.3">
      <c r="A1821" s="4" t="s">
        <v>600</v>
      </c>
      <c r="B1821" s="4" t="s">
        <v>8999</v>
      </c>
    </row>
    <row r="1822" spans="1:2" x14ac:dyDescent="0.3">
      <c r="A1822" s="4" t="s">
        <v>9000</v>
      </c>
      <c r="B1822" s="4" t="s">
        <v>9001</v>
      </c>
    </row>
    <row r="1823" spans="1:2" x14ac:dyDescent="0.3">
      <c r="A1823" s="4" t="s">
        <v>9002</v>
      </c>
      <c r="B1823" s="4" t="s">
        <v>9003</v>
      </c>
    </row>
    <row r="1824" spans="1:2" x14ac:dyDescent="0.3">
      <c r="A1824" s="4" t="s">
        <v>3048</v>
      </c>
      <c r="B1824" s="4" t="s">
        <v>3049</v>
      </c>
    </row>
    <row r="1825" spans="1:2" x14ac:dyDescent="0.3">
      <c r="A1825" s="4" t="s">
        <v>3050</v>
      </c>
      <c r="B1825" s="4" t="s">
        <v>3051</v>
      </c>
    </row>
    <row r="1826" spans="1:2" x14ac:dyDescent="0.3">
      <c r="A1826" s="4" t="s">
        <v>3052</v>
      </c>
      <c r="B1826" s="4" t="s">
        <v>3053</v>
      </c>
    </row>
    <row r="1827" spans="1:2" x14ac:dyDescent="0.3">
      <c r="A1827" s="4" t="s">
        <v>12328</v>
      </c>
      <c r="B1827" s="4" t="s">
        <v>12329</v>
      </c>
    </row>
    <row r="1828" spans="1:2" x14ac:dyDescent="0.3">
      <c r="A1828" s="4" t="s">
        <v>3054</v>
      </c>
      <c r="B1828" s="4" t="s">
        <v>3055</v>
      </c>
    </row>
    <row r="1829" spans="1:2" x14ac:dyDescent="0.3">
      <c r="A1829" s="4" t="s">
        <v>4213</v>
      </c>
      <c r="B1829" s="4" t="s">
        <v>7005</v>
      </c>
    </row>
    <row r="1830" spans="1:2" x14ac:dyDescent="0.3">
      <c r="A1830" s="4" t="s">
        <v>3056</v>
      </c>
      <c r="B1830" s="4" t="s">
        <v>3057</v>
      </c>
    </row>
    <row r="1831" spans="1:2" x14ac:dyDescent="0.3">
      <c r="A1831" s="4" t="s">
        <v>3058</v>
      </c>
      <c r="B1831" s="4" t="s">
        <v>3059</v>
      </c>
    </row>
    <row r="1832" spans="1:2" x14ac:dyDescent="0.3">
      <c r="A1832" s="4" t="s">
        <v>3060</v>
      </c>
      <c r="B1832" s="4" t="s">
        <v>3061</v>
      </c>
    </row>
    <row r="1833" spans="1:2" x14ac:dyDescent="0.3">
      <c r="A1833" s="4" t="s">
        <v>3062</v>
      </c>
      <c r="B1833" s="4" t="s">
        <v>3063</v>
      </c>
    </row>
    <row r="1834" spans="1:2" x14ac:dyDescent="0.3">
      <c r="A1834" s="4" t="s">
        <v>9004</v>
      </c>
      <c r="B1834" s="4" t="s">
        <v>9005</v>
      </c>
    </row>
    <row r="1835" spans="1:2" x14ac:dyDescent="0.3">
      <c r="A1835" s="4" t="s">
        <v>3066</v>
      </c>
      <c r="B1835" s="4" t="s">
        <v>3067</v>
      </c>
    </row>
    <row r="1836" spans="1:2" x14ac:dyDescent="0.3">
      <c r="A1836" s="4" t="s">
        <v>9006</v>
      </c>
      <c r="B1836" s="4" t="s">
        <v>9007</v>
      </c>
    </row>
    <row r="1837" spans="1:2" x14ac:dyDescent="0.3">
      <c r="A1837" s="4" t="s">
        <v>3069</v>
      </c>
      <c r="B1837" s="4" t="s">
        <v>3070</v>
      </c>
    </row>
    <row r="1838" spans="1:2" x14ac:dyDescent="0.3">
      <c r="A1838" s="4" t="s">
        <v>3071</v>
      </c>
      <c r="B1838" s="4" t="s">
        <v>3072</v>
      </c>
    </row>
    <row r="1839" spans="1:2" x14ac:dyDescent="0.3">
      <c r="A1839" s="4" t="s">
        <v>3073</v>
      </c>
      <c r="B1839" s="4" t="s">
        <v>3074</v>
      </c>
    </row>
    <row r="1840" spans="1:2" x14ac:dyDescent="0.3">
      <c r="A1840" s="4" t="s">
        <v>3075</v>
      </c>
      <c r="B1840" s="4" t="s">
        <v>3076</v>
      </c>
    </row>
    <row r="1841" spans="1:2" x14ac:dyDescent="0.3">
      <c r="A1841" s="4" t="s">
        <v>3077</v>
      </c>
      <c r="B1841" s="4" t="s">
        <v>3078</v>
      </c>
    </row>
    <row r="1842" spans="1:2" x14ac:dyDescent="0.3">
      <c r="A1842" s="4" t="s">
        <v>3079</v>
      </c>
      <c r="B1842" s="4" t="s">
        <v>3080</v>
      </c>
    </row>
    <row r="1843" spans="1:2" x14ac:dyDescent="0.3">
      <c r="A1843" s="4" t="s">
        <v>9008</v>
      </c>
      <c r="B1843" s="4" t="s">
        <v>9009</v>
      </c>
    </row>
    <row r="1844" spans="1:2" x14ac:dyDescent="0.3">
      <c r="A1844" s="4" t="s">
        <v>3081</v>
      </c>
      <c r="B1844" s="4" t="s">
        <v>3082</v>
      </c>
    </row>
    <row r="1845" spans="1:2" x14ac:dyDescent="0.3">
      <c r="A1845" s="4" t="s">
        <v>3083</v>
      </c>
      <c r="B1845" s="4" t="s">
        <v>3084</v>
      </c>
    </row>
    <row r="1846" spans="1:2" x14ac:dyDescent="0.3">
      <c r="A1846" s="4" t="s">
        <v>3085</v>
      </c>
      <c r="B1846" s="4" t="s">
        <v>3086</v>
      </c>
    </row>
    <row r="1847" spans="1:2" x14ac:dyDescent="0.3">
      <c r="A1847" s="4" t="s">
        <v>3087</v>
      </c>
      <c r="B1847" s="4" t="s">
        <v>3088</v>
      </c>
    </row>
    <row r="1848" spans="1:2" x14ac:dyDescent="0.3">
      <c r="A1848" s="4" t="s">
        <v>3089</v>
      </c>
      <c r="B1848" s="4" t="s">
        <v>3090</v>
      </c>
    </row>
    <row r="1849" spans="1:2" x14ac:dyDescent="0.3">
      <c r="A1849" s="4" t="s">
        <v>3091</v>
      </c>
      <c r="B1849" s="4" t="s">
        <v>3092</v>
      </c>
    </row>
    <row r="1850" spans="1:2" x14ac:dyDescent="0.3">
      <c r="A1850" s="4" t="s">
        <v>3093</v>
      </c>
      <c r="B1850" s="4" t="s">
        <v>3094</v>
      </c>
    </row>
    <row r="1851" spans="1:2" x14ac:dyDescent="0.3">
      <c r="A1851" s="4" t="s">
        <v>3095</v>
      </c>
      <c r="B1851" s="4" t="s">
        <v>3096</v>
      </c>
    </row>
    <row r="1852" spans="1:2" x14ac:dyDescent="0.3">
      <c r="A1852" s="4" t="s">
        <v>3097</v>
      </c>
      <c r="B1852" s="4" t="s">
        <v>3098</v>
      </c>
    </row>
    <row r="1853" spans="1:2" x14ac:dyDescent="0.3">
      <c r="A1853" s="4" t="s">
        <v>3099</v>
      </c>
      <c r="B1853" s="4" t="s">
        <v>3100</v>
      </c>
    </row>
    <row r="1854" spans="1:2" x14ac:dyDescent="0.3">
      <c r="A1854" s="4" t="s">
        <v>3101</v>
      </c>
      <c r="B1854" s="4" t="s">
        <v>3102</v>
      </c>
    </row>
    <row r="1855" spans="1:2" x14ac:dyDescent="0.3">
      <c r="A1855" s="4" t="s">
        <v>9010</v>
      </c>
      <c r="B1855" s="4" t="s">
        <v>9011</v>
      </c>
    </row>
    <row r="1856" spans="1:2" x14ac:dyDescent="0.3">
      <c r="A1856" s="4" t="s">
        <v>3103</v>
      </c>
      <c r="B1856" s="4" t="s">
        <v>3104</v>
      </c>
    </row>
    <row r="1857" spans="1:2" x14ac:dyDescent="0.3">
      <c r="A1857" s="4" t="s">
        <v>3105</v>
      </c>
      <c r="B1857" s="4" t="s">
        <v>3106</v>
      </c>
    </row>
    <row r="1858" spans="1:2" x14ac:dyDescent="0.3">
      <c r="A1858" s="4" t="s">
        <v>3107</v>
      </c>
      <c r="B1858" s="4" t="s">
        <v>3108</v>
      </c>
    </row>
    <row r="1859" spans="1:2" x14ac:dyDescent="0.3">
      <c r="A1859" s="4" t="s">
        <v>3110</v>
      </c>
      <c r="B1859" s="4" t="s">
        <v>3111</v>
      </c>
    </row>
    <row r="1860" spans="1:2" x14ac:dyDescent="0.3">
      <c r="A1860" s="4" t="s">
        <v>3112</v>
      </c>
      <c r="B1860" s="4" t="s">
        <v>3113</v>
      </c>
    </row>
    <row r="1861" spans="1:2" x14ac:dyDescent="0.3">
      <c r="A1861" s="4" t="s">
        <v>3114</v>
      </c>
      <c r="B1861" s="4" t="s">
        <v>3115</v>
      </c>
    </row>
    <row r="1862" spans="1:2" x14ac:dyDescent="0.3">
      <c r="A1862" s="4" t="s">
        <v>9013</v>
      </c>
      <c r="B1862" s="4" t="s">
        <v>9014</v>
      </c>
    </row>
    <row r="1863" spans="1:2" x14ac:dyDescent="0.3">
      <c r="A1863" s="4" t="s">
        <v>3119</v>
      </c>
      <c r="B1863" s="4" t="s">
        <v>3120</v>
      </c>
    </row>
    <row r="1864" spans="1:2" x14ac:dyDescent="0.3">
      <c r="A1864" s="4" t="s">
        <v>3121</v>
      </c>
      <c r="B1864" s="4" t="s">
        <v>3122</v>
      </c>
    </row>
    <row r="1865" spans="1:2" x14ac:dyDescent="0.3">
      <c r="A1865" s="4" t="s">
        <v>3123</v>
      </c>
      <c r="B1865" s="4" t="s">
        <v>9015</v>
      </c>
    </row>
    <row r="1866" spans="1:2" x14ac:dyDescent="0.3">
      <c r="A1866" s="4" t="s">
        <v>2052</v>
      </c>
      <c r="B1866" s="4" t="s">
        <v>12330</v>
      </c>
    </row>
    <row r="1867" spans="1:2" x14ac:dyDescent="0.3">
      <c r="A1867" s="4" t="s">
        <v>331</v>
      </c>
      <c r="B1867" s="4" t="s">
        <v>9016</v>
      </c>
    </row>
    <row r="1868" spans="1:2" x14ac:dyDescent="0.3">
      <c r="A1868" s="4" t="s">
        <v>2489</v>
      </c>
      <c r="B1868" s="4" t="s">
        <v>9017</v>
      </c>
    </row>
    <row r="1869" spans="1:2" x14ac:dyDescent="0.3">
      <c r="A1869" s="4" t="s">
        <v>3124</v>
      </c>
      <c r="B1869" s="4" t="s">
        <v>3125</v>
      </c>
    </row>
    <row r="1870" spans="1:2" x14ac:dyDescent="0.3">
      <c r="A1870" s="4" t="s">
        <v>3913</v>
      </c>
      <c r="B1870" s="4" t="s">
        <v>11371</v>
      </c>
    </row>
    <row r="1871" spans="1:2" x14ac:dyDescent="0.3">
      <c r="A1871" s="4" t="s">
        <v>3127</v>
      </c>
      <c r="B1871" s="4" t="s">
        <v>3128</v>
      </c>
    </row>
    <row r="1872" spans="1:2" x14ac:dyDescent="0.3">
      <c r="A1872" s="4" t="s">
        <v>4214</v>
      </c>
      <c r="B1872" s="4" t="s">
        <v>3129</v>
      </c>
    </row>
    <row r="1873" spans="1:2" x14ac:dyDescent="0.3">
      <c r="A1873" s="4" t="s">
        <v>12331</v>
      </c>
      <c r="B1873" s="4" t="s">
        <v>12332</v>
      </c>
    </row>
    <row r="1874" spans="1:2" x14ac:dyDescent="0.3">
      <c r="A1874" s="4" t="s">
        <v>3130</v>
      </c>
      <c r="B1874" s="4" t="s">
        <v>3131</v>
      </c>
    </row>
    <row r="1875" spans="1:2" x14ac:dyDescent="0.3">
      <c r="A1875" s="4" t="s">
        <v>9018</v>
      </c>
      <c r="B1875" s="4" t="s">
        <v>7081</v>
      </c>
    </row>
    <row r="1876" spans="1:2" x14ac:dyDescent="0.3">
      <c r="A1876" s="4" t="s">
        <v>9019</v>
      </c>
      <c r="B1876" s="4" t="s">
        <v>8543</v>
      </c>
    </row>
    <row r="1877" spans="1:2" x14ac:dyDescent="0.3">
      <c r="A1877" s="4" t="s">
        <v>3132</v>
      </c>
      <c r="B1877" s="4" t="s">
        <v>3133</v>
      </c>
    </row>
    <row r="1878" spans="1:2" x14ac:dyDescent="0.3">
      <c r="A1878" s="4" t="s">
        <v>3134</v>
      </c>
      <c r="B1878" s="4" t="s">
        <v>3135</v>
      </c>
    </row>
    <row r="1879" spans="1:2" x14ac:dyDescent="0.3">
      <c r="A1879" s="4" t="s">
        <v>3136</v>
      </c>
      <c r="B1879" s="4" t="s">
        <v>3137</v>
      </c>
    </row>
    <row r="1880" spans="1:2" x14ac:dyDescent="0.3">
      <c r="A1880" s="4" t="s">
        <v>3138</v>
      </c>
      <c r="B1880" s="4" t="s">
        <v>3139</v>
      </c>
    </row>
    <row r="1881" spans="1:2" x14ac:dyDescent="0.3">
      <c r="A1881" s="4" t="s">
        <v>3141</v>
      </c>
      <c r="B1881" s="4" t="s">
        <v>3142</v>
      </c>
    </row>
    <row r="1882" spans="1:2" x14ac:dyDescent="0.3">
      <c r="A1882" s="4" t="s">
        <v>631</v>
      </c>
      <c r="B1882" s="4" t="s">
        <v>12333</v>
      </c>
    </row>
    <row r="1883" spans="1:2" x14ac:dyDescent="0.3">
      <c r="A1883" s="4" t="s">
        <v>2747</v>
      </c>
      <c r="B1883" s="4" t="s">
        <v>9020</v>
      </c>
    </row>
    <row r="1884" spans="1:2" x14ac:dyDescent="0.3">
      <c r="A1884" s="4" t="s">
        <v>3143</v>
      </c>
      <c r="B1884" s="4" t="s">
        <v>3144</v>
      </c>
    </row>
    <row r="1885" spans="1:2" x14ac:dyDescent="0.3">
      <c r="A1885" s="4" t="s">
        <v>3145</v>
      </c>
      <c r="B1885" s="4" t="s">
        <v>3146</v>
      </c>
    </row>
    <row r="1886" spans="1:2" x14ac:dyDescent="0.3">
      <c r="A1886" s="4" t="s">
        <v>3147</v>
      </c>
      <c r="B1886" s="4" t="s">
        <v>3148</v>
      </c>
    </row>
    <row r="1887" spans="1:2" x14ac:dyDescent="0.3">
      <c r="A1887" s="4" t="s">
        <v>359</v>
      </c>
      <c r="B1887" s="4" t="s">
        <v>9021</v>
      </c>
    </row>
    <row r="1888" spans="1:2" x14ac:dyDescent="0.3">
      <c r="A1888" s="4" t="s">
        <v>71</v>
      </c>
      <c r="B1888" s="4" t="s">
        <v>9022</v>
      </c>
    </row>
    <row r="1889" spans="1:2" x14ac:dyDescent="0.3">
      <c r="A1889" s="4" t="s">
        <v>3149</v>
      </c>
      <c r="B1889" s="4" t="s">
        <v>3150</v>
      </c>
    </row>
    <row r="1890" spans="1:2" x14ac:dyDescent="0.3">
      <c r="A1890" s="4" t="s">
        <v>3151</v>
      </c>
      <c r="B1890" s="4" t="s">
        <v>3152</v>
      </c>
    </row>
    <row r="1891" spans="1:2" x14ac:dyDescent="0.3">
      <c r="A1891" s="4" t="s">
        <v>3153</v>
      </c>
      <c r="B1891" s="4" t="s">
        <v>3154</v>
      </c>
    </row>
    <row r="1892" spans="1:2" x14ac:dyDescent="0.3">
      <c r="A1892" s="4" t="s">
        <v>3155</v>
      </c>
      <c r="B1892" s="4" t="s">
        <v>3156</v>
      </c>
    </row>
    <row r="1893" spans="1:2" x14ac:dyDescent="0.3">
      <c r="A1893" s="4" t="s">
        <v>3157</v>
      </c>
      <c r="B1893" s="4" t="s">
        <v>3158</v>
      </c>
    </row>
    <row r="1894" spans="1:2" x14ac:dyDescent="0.3">
      <c r="A1894" s="4" t="s">
        <v>3159</v>
      </c>
      <c r="B1894" s="4" t="s">
        <v>3160</v>
      </c>
    </row>
    <row r="1895" spans="1:2" x14ac:dyDescent="0.3">
      <c r="A1895" s="4" t="s">
        <v>3161</v>
      </c>
      <c r="B1895" s="4" t="s">
        <v>12334</v>
      </c>
    </row>
    <row r="1896" spans="1:2" x14ac:dyDescent="0.3">
      <c r="A1896" s="4" t="s">
        <v>3163</v>
      </c>
      <c r="B1896" s="4" t="s">
        <v>3164</v>
      </c>
    </row>
    <row r="1897" spans="1:2" x14ac:dyDescent="0.3">
      <c r="A1897" s="4" t="s">
        <v>3165</v>
      </c>
      <c r="B1897" s="4" t="s">
        <v>3166</v>
      </c>
    </row>
    <row r="1898" spans="1:2" x14ac:dyDescent="0.3">
      <c r="A1898" s="4" t="s">
        <v>3167</v>
      </c>
      <c r="B1898" s="4" t="s">
        <v>3168</v>
      </c>
    </row>
    <row r="1899" spans="1:2" x14ac:dyDescent="0.3">
      <c r="A1899" s="4" t="s">
        <v>3169</v>
      </c>
      <c r="B1899" s="4" t="s">
        <v>3170</v>
      </c>
    </row>
    <row r="1900" spans="1:2" x14ac:dyDescent="0.3">
      <c r="A1900" s="4" t="s">
        <v>3171</v>
      </c>
      <c r="B1900" s="4" t="s">
        <v>3172</v>
      </c>
    </row>
    <row r="1901" spans="1:2" x14ac:dyDescent="0.3">
      <c r="A1901" s="4" t="s">
        <v>3174</v>
      </c>
      <c r="B1901" s="4" t="s">
        <v>3175</v>
      </c>
    </row>
    <row r="1902" spans="1:2" x14ac:dyDescent="0.3">
      <c r="A1902" s="4" t="s">
        <v>3176</v>
      </c>
      <c r="B1902" s="4" t="s">
        <v>3177</v>
      </c>
    </row>
    <row r="1903" spans="1:2" x14ac:dyDescent="0.3">
      <c r="A1903" s="4" t="s">
        <v>3178</v>
      </c>
      <c r="B1903" s="4" t="s">
        <v>3179</v>
      </c>
    </row>
    <row r="1904" spans="1:2" x14ac:dyDescent="0.3">
      <c r="A1904" s="4" t="s">
        <v>3180</v>
      </c>
      <c r="B1904" s="4" t="s">
        <v>3181</v>
      </c>
    </row>
    <row r="1905" spans="1:2" x14ac:dyDescent="0.3">
      <c r="A1905" s="4" t="s">
        <v>3182</v>
      </c>
      <c r="B1905" s="4" t="s">
        <v>3183</v>
      </c>
    </row>
    <row r="1906" spans="1:2" x14ac:dyDescent="0.3">
      <c r="A1906" s="4" t="s">
        <v>3184</v>
      </c>
      <c r="B1906" s="4" t="s">
        <v>3185</v>
      </c>
    </row>
    <row r="1907" spans="1:2" x14ac:dyDescent="0.3">
      <c r="A1907" s="4" t="s">
        <v>3186</v>
      </c>
      <c r="B1907" s="4" t="s">
        <v>3187</v>
      </c>
    </row>
    <row r="1908" spans="1:2" x14ac:dyDescent="0.3">
      <c r="A1908" s="4" t="s">
        <v>9025</v>
      </c>
      <c r="B1908" s="4" t="s">
        <v>7165</v>
      </c>
    </row>
    <row r="1909" spans="1:2" x14ac:dyDescent="0.3">
      <c r="A1909" s="4" t="s">
        <v>9026</v>
      </c>
      <c r="B1909" s="4" t="s">
        <v>9027</v>
      </c>
    </row>
    <row r="1910" spans="1:2" x14ac:dyDescent="0.3">
      <c r="A1910" s="4" t="s">
        <v>173</v>
      </c>
      <c r="B1910" s="4" t="s">
        <v>9028</v>
      </c>
    </row>
    <row r="1911" spans="1:2" x14ac:dyDescent="0.3">
      <c r="A1911" s="4" t="s">
        <v>3188</v>
      </c>
      <c r="B1911" s="4" t="s">
        <v>3189</v>
      </c>
    </row>
    <row r="1912" spans="1:2" x14ac:dyDescent="0.3">
      <c r="A1912" s="4" t="s">
        <v>3190</v>
      </c>
      <c r="B1912" s="4" t="s">
        <v>3191</v>
      </c>
    </row>
    <row r="1913" spans="1:2" x14ac:dyDescent="0.3">
      <c r="A1913" s="4" t="s">
        <v>3192</v>
      </c>
      <c r="B1913" s="4" t="s">
        <v>3193</v>
      </c>
    </row>
    <row r="1914" spans="1:2" x14ac:dyDescent="0.3">
      <c r="A1914" s="4" t="s">
        <v>3194</v>
      </c>
      <c r="B1914" s="4" t="s">
        <v>3195</v>
      </c>
    </row>
    <row r="1915" spans="1:2" x14ac:dyDescent="0.3">
      <c r="A1915" s="4" t="s">
        <v>3196</v>
      </c>
      <c r="B1915" s="4" t="s">
        <v>3197</v>
      </c>
    </row>
    <row r="1916" spans="1:2" x14ac:dyDescent="0.3">
      <c r="A1916" s="4" t="s">
        <v>2712</v>
      </c>
      <c r="B1916" s="4" t="s">
        <v>9029</v>
      </c>
    </row>
    <row r="1917" spans="1:2" x14ac:dyDescent="0.3">
      <c r="A1917" s="4" t="s">
        <v>3198</v>
      </c>
      <c r="B1917" s="4" t="s">
        <v>3199</v>
      </c>
    </row>
    <row r="1918" spans="1:2" x14ac:dyDescent="0.3">
      <c r="A1918" s="4" t="s">
        <v>9030</v>
      </c>
      <c r="B1918" s="4" t="s">
        <v>9031</v>
      </c>
    </row>
    <row r="1919" spans="1:2" x14ac:dyDescent="0.3">
      <c r="A1919" s="4" t="s">
        <v>3200</v>
      </c>
      <c r="B1919" s="4" t="s">
        <v>3201</v>
      </c>
    </row>
    <row r="1920" spans="1:2" x14ac:dyDescent="0.3">
      <c r="A1920" s="4" t="s">
        <v>3202</v>
      </c>
      <c r="B1920" s="4" t="s">
        <v>3203</v>
      </c>
    </row>
    <row r="1921" spans="1:2" x14ac:dyDescent="0.3">
      <c r="A1921" s="4" t="s">
        <v>12335</v>
      </c>
      <c r="B1921" s="4" t="s">
        <v>12336</v>
      </c>
    </row>
    <row r="1922" spans="1:2" x14ac:dyDescent="0.3">
      <c r="A1922" s="4" t="s">
        <v>3204</v>
      </c>
      <c r="B1922" s="4" t="s">
        <v>3205</v>
      </c>
    </row>
    <row r="1923" spans="1:2" x14ac:dyDescent="0.3">
      <c r="A1923" s="4" t="s">
        <v>12337</v>
      </c>
      <c r="B1923" s="4" t="s">
        <v>11463</v>
      </c>
    </row>
    <row r="1924" spans="1:2" x14ac:dyDescent="0.3">
      <c r="A1924" s="4" t="s">
        <v>9193</v>
      </c>
      <c r="B1924" s="4" t="s">
        <v>7244</v>
      </c>
    </row>
    <row r="1925" spans="1:2" x14ac:dyDescent="0.3">
      <c r="A1925" s="4" t="s">
        <v>3207</v>
      </c>
      <c r="B1925" s="4" t="s">
        <v>3208</v>
      </c>
    </row>
    <row r="1926" spans="1:2" x14ac:dyDescent="0.3">
      <c r="A1926" s="4" t="s">
        <v>3209</v>
      </c>
      <c r="B1926" s="4" t="s">
        <v>3210</v>
      </c>
    </row>
    <row r="1927" spans="1:2" x14ac:dyDescent="0.3">
      <c r="A1927" s="4" t="s">
        <v>3211</v>
      </c>
      <c r="B1927" s="4" t="s">
        <v>3212</v>
      </c>
    </row>
    <row r="1928" spans="1:2" x14ac:dyDescent="0.3">
      <c r="A1928" s="4" t="s">
        <v>3213</v>
      </c>
      <c r="B1928" s="4" t="s">
        <v>3214</v>
      </c>
    </row>
    <row r="1929" spans="1:2" x14ac:dyDescent="0.3">
      <c r="A1929" s="4" t="s">
        <v>3217</v>
      </c>
      <c r="B1929" s="4" t="s">
        <v>3218</v>
      </c>
    </row>
    <row r="1930" spans="1:2" x14ac:dyDescent="0.3">
      <c r="A1930" s="4" t="s">
        <v>3219</v>
      </c>
      <c r="B1930" s="4" t="s">
        <v>3220</v>
      </c>
    </row>
    <row r="1931" spans="1:2" x14ac:dyDescent="0.3">
      <c r="A1931" s="4" t="s">
        <v>3221</v>
      </c>
      <c r="B1931" s="4" t="s">
        <v>3222</v>
      </c>
    </row>
    <row r="1932" spans="1:2" x14ac:dyDescent="0.3">
      <c r="A1932" s="4" t="s">
        <v>3224</v>
      </c>
      <c r="B1932" s="4" t="s">
        <v>3225</v>
      </c>
    </row>
    <row r="1933" spans="1:2" x14ac:dyDescent="0.3">
      <c r="A1933" s="4" t="s">
        <v>3226</v>
      </c>
      <c r="B1933" s="4" t="s">
        <v>3227</v>
      </c>
    </row>
    <row r="1934" spans="1:2" x14ac:dyDescent="0.3">
      <c r="A1934" s="4" t="s">
        <v>3228</v>
      </c>
      <c r="B1934" s="4" t="s">
        <v>3229</v>
      </c>
    </row>
    <row r="1935" spans="1:2" x14ac:dyDescent="0.3">
      <c r="A1935" s="4" t="s">
        <v>3230</v>
      </c>
      <c r="B1935" s="4" t="s">
        <v>3231</v>
      </c>
    </row>
    <row r="1936" spans="1:2" x14ac:dyDescent="0.3">
      <c r="A1936" s="4" t="s">
        <v>3232</v>
      </c>
      <c r="B1936" s="4" t="s">
        <v>3233</v>
      </c>
    </row>
    <row r="1937" spans="1:2" x14ac:dyDescent="0.3">
      <c r="A1937" s="4" t="s">
        <v>3234</v>
      </c>
      <c r="B1937" s="4" t="s">
        <v>3235</v>
      </c>
    </row>
    <row r="1938" spans="1:2" x14ac:dyDescent="0.3">
      <c r="A1938" s="4" t="s">
        <v>3236</v>
      </c>
      <c r="B1938" s="4" t="s">
        <v>3237</v>
      </c>
    </row>
    <row r="1939" spans="1:2" x14ac:dyDescent="0.3">
      <c r="A1939" s="4" t="s">
        <v>3238</v>
      </c>
      <c r="B1939" s="4" t="s">
        <v>3239</v>
      </c>
    </row>
    <row r="1940" spans="1:2" x14ac:dyDescent="0.3">
      <c r="A1940" s="4" t="s">
        <v>527</v>
      </c>
      <c r="B1940" s="4" t="s">
        <v>7281</v>
      </c>
    </row>
    <row r="1941" spans="1:2" x14ac:dyDescent="0.3">
      <c r="A1941" s="4" t="s">
        <v>3240</v>
      </c>
      <c r="B1941" s="4" t="s">
        <v>3241</v>
      </c>
    </row>
    <row r="1942" spans="1:2" x14ac:dyDescent="0.3">
      <c r="A1942" s="4" t="s">
        <v>3242</v>
      </c>
      <c r="B1942" s="4" t="s">
        <v>3243</v>
      </c>
    </row>
    <row r="1943" spans="1:2" x14ac:dyDescent="0.3">
      <c r="A1943" s="4" t="s">
        <v>3244</v>
      </c>
      <c r="B1943" s="4" t="s">
        <v>3245</v>
      </c>
    </row>
    <row r="1944" spans="1:2" x14ac:dyDescent="0.3">
      <c r="A1944" s="4" t="s">
        <v>3246</v>
      </c>
      <c r="B1944" s="4" t="s">
        <v>3247</v>
      </c>
    </row>
    <row r="1945" spans="1:2" x14ac:dyDescent="0.3">
      <c r="A1945" s="4" t="s">
        <v>3248</v>
      </c>
      <c r="B1945" s="4" t="s">
        <v>3249</v>
      </c>
    </row>
    <row r="1946" spans="1:2" x14ac:dyDescent="0.3">
      <c r="A1946" s="4" t="s">
        <v>3250</v>
      </c>
      <c r="B1946" s="4" t="s">
        <v>3251</v>
      </c>
    </row>
    <row r="1947" spans="1:2" x14ac:dyDescent="0.3">
      <c r="A1947" s="4" t="s">
        <v>3252</v>
      </c>
      <c r="B1947" s="4" t="s">
        <v>3253</v>
      </c>
    </row>
    <row r="1948" spans="1:2" x14ac:dyDescent="0.3">
      <c r="A1948" s="4" t="s">
        <v>9032</v>
      </c>
      <c r="B1948" s="4" t="s">
        <v>9033</v>
      </c>
    </row>
    <row r="1949" spans="1:2" x14ac:dyDescent="0.3">
      <c r="A1949" s="4" t="s">
        <v>3254</v>
      </c>
      <c r="B1949" s="4" t="s">
        <v>3255</v>
      </c>
    </row>
    <row r="1950" spans="1:2" x14ac:dyDescent="0.3">
      <c r="A1950" s="4" t="s">
        <v>3256</v>
      </c>
      <c r="B1950" s="4" t="s">
        <v>12338</v>
      </c>
    </row>
    <row r="1951" spans="1:2" x14ac:dyDescent="0.3">
      <c r="A1951" s="4" t="s">
        <v>3257</v>
      </c>
      <c r="B1951" s="4" t="s">
        <v>3258</v>
      </c>
    </row>
    <row r="1952" spans="1:2" x14ac:dyDescent="0.3">
      <c r="A1952" s="4" t="s">
        <v>988</v>
      </c>
      <c r="B1952" s="4" t="s">
        <v>9034</v>
      </c>
    </row>
    <row r="1953" spans="1:2" x14ac:dyDescent="0.3">
      <c r="A1953" s="4" t="s">
        <v>3259</v>
      </c>
      <c r="B1953" s="4" t="s">
        <v>3260</v>
      </c>
    </row>
    <row r="1954" spans="1:2" x14ac:dyDescent="0.3">
      <c r="A1954" s="4" t="s">
        <v>3261</v>
      </c>
      <c r="B1954" s="4" t="s">
        <v>3262</v>
      </c>
    </row>
    <row r="1955" spans="1:2" x14ac:dyDescent="0.3">
      <c r="A1955" s="4" t="s">
        <v>3263</v>
      </c>
      <c r="B1955" s="4" t="s">
        <v>3264</v>
      </c>
    </row>
    <row r="1956" spans="1:2" x14ac:dyDescent="0.3">
      <c r="A1956" s="4" t="s">
        <v>3266</v>
      </c>
      <c r="B1956" s="4" t="s">
        <v>3267</v>
      </c>
    </row>
    <row r="1957" spans="1:2" x14ac:dyDescent="0.3">
      <c r="A1957" s="4" t="s">
        <v>3268</v>
      </c>
      <c r="B1957" s="4" t="s">
        <v>3269</v>
      </c>
    </row>
    <row r="1958" spans="1:2" x14ac:dyDescent="0.3">
      <c r="A1958" s="4" t="s">
        <v>3270</v>
      </c>
      <c r="B1958" s="4" t="s">
        <v>3271</v>
      </c>
    </row>
    <row r="1959" spans="1:2" x14ac:dyDescent="0.3">
      <c r="A1959" s="4" t="s">
        <v>3272</v>
      </c>
      <c r="B1959" s="4" t="s">
        <v>3273</v>
      </c>
    </row>
    <row r="1960" spans="1:2" x14ac:dyDescent="0.3">
      <c r="A1960" s="4" t="s">
        <v>1818</v>
      </c>
      <c r="B1960" s="4" t="s">
        <v>9035</v>
      </c>
    </row>
    <row r="1961" spans="1:2" x14ac:dyDescent="0.3">
      <c r="A1961" s="4" t="s">
        <v>2531</v>
      </c>
      <c r="B1961" s="4" t="s">
        <v>9036</v>
      </c>
    </row>
    <row r="1962" spans="1:2" x14ac:dyDescent="0.3">
      <c r="A1962" s="4" t="s">
        <v>3274</v>
      </c>
      <c r="B1962" s="4" t="s">
        <v>3275</v>
      </c>
    </row>
    <row r="1963" spans="1:2" x14ac:dyDescent="0.3">
      <c r="A1963" s="4" t="s">
        <v>3276</v>
      </c>
      <c r="B1963" s="4" t="s">
        <v>3277</v>
      </c>
    </row>
    <row r="1964" spans="1:2" x14ac:dyDescent="0.3">
      <c r="A1964" s="4" t="s">
        <v>3278</v>
      </c>
      <c r="B1964" s="4" t="s">
        <v>3279</v>
      </c>
    </row>
    <row r="1965" spans="1:2" x14ac:dyDescent="0.3">
      <c r="A1965" s="4" t="s">
        <v>3280</v>
      </c>
      <c r="B1965" s="4" t="s">
        <v>3281</v>
      </c>
    </row>
    <row r="1966" spans="1:2" x14ac:dyDescent="0.3">
      <c r="A1966" s="4" t="s">
        <v>3282</v>
      </c>
      <c r="B1966" s="4" t="s">
        <v>3283</v>
      </c>
    </row>
    <row r="1967" spans="1:2" x14ac:dyDescent="0.3">
      <c r="A1967" s="4" t="s">
        <v>3284</v>
      </c>
      <c r="B1967" s="4" t="s">
        <v>3285</v>
      </c>
    </row>
    <row r="1968" spans="1:2" x14ac:dyDescent="0.3">
      <c r="A1968" s="4" t="s">
        <v>4150</v>
      </c>
      <c r="B1968" s="4" t="s">
        <v>7325</v>
      </c>
    </row>
    <row r="1969" spans="1:2" x14ac:dyDescent="0.3">
      <c r="A1969" s="4" t="s">
        <v>2966</v>
      </c>
      <c r="B1969" s="4" t="s">
        <v>9037</v>
      </c>
    </row>
    <row r="1970" spans="1:2" x14ac:dyDescent="0.3">
      <c r="A1970" s="4" t="s">
        <v>3287</v>
      </c>
      <c r="B1970" s="4" t="s">
        <v>3288</v>
      </c>
    </row>
    <row r="1971" spans="1:2" x14ac:dyDescent="0.3">
      <c r="A1971" s="4" t="s">
        <v>3289</v>
      </c>
      <c r="B1971" s="4" t="s">
        <v>3290</v>
      </c>
    </row>
    <row r="1972" spans="1:2" x14ac:dyDescent="0.3">
      <c r="A1972" s="4" t="s">
        <v>9038</v>
      </c>
      <c r="B1972" s="4" t="s">
        <v>7337</v>
      </c>
    </row>
    <row r="1973" spans="1:2" x14ac:dyDescent="0.3">
      <c r="A1973" s="4" t="s">
        <v>3291</v>
      </c>
      <c r="B1973" s="4" t="s">
        <v>3292</v>
      </c>
    </row>
    <row r="1974" spans="1:2" x14ac:dyDescent="0.3">
      <c r="A1974" s="4" t="s">
        <v>3293</v>
      </c>
      <c r="B1974" s="4" t="s">
        <v>3294</v>
      </c>
    </row>
    <row r="1975" spans="1:2" x14ac:dyDescent="0.3">
      <c r="A1975" s="4" t="s">
        <v>9039</v>
      </c>
      <c r="B1975" s="4" t="s">
        <v>7347</v>
      </c>
    </row>
    <row r="1976" spans="1:2" x14ac:dyDescent="0.3">
      <c r="A1976" s="4" t="s">
        <v>9040</v>
      </c>
      <c r="B1976" s="4" t="s">
        <v>9041</v>
      </c>
    </row>
    <row r="1977" spans="1:2" x14ac:dyDescent="0.3">
      <c r="A1977" s="4" t="s">
        <v>2137</v>
      </c>
      <c r="B1977" s="4" t="s">
        <v>12339</v>
      </c>
    </row>
    <row r="1978" spans="1:2" x14ac:dyDescent="0.3">
      <c r="A1978" s="4" t="s">
        <v>3295</v>
      </c>
      <c r="B1978" s="4" t="s">
        <v>3296</v>
      </c>
    </row>
    <row r="1979" spans="1:2" x14ac:dyDescent="0.3">
      <c r="A1979" s="4" t="s">
        <v>3297</v>
      </c>
      <c r="B1979" s="4" t="s">
        <v>3298</v>
      </c>
    </row>
    <row r="1980" spans="1:2" x14ac:dyDescent="0.3">
      <c r="A1980" s="4" t="s">
        <v>3299</v>
      </c>
      <c r="B1980" s="4" t="s">
        <v>3300</v>
      </c>
    </row>
    <row r="1981" spans="1:2" x14ac:dyDescent="0.3">
      <c r="A1981" s="4" t="s">
        <v>3301</v>
      </c>
      <c r="B1981" s="4" t="s">
        <v>3302</v>
      </c>
    </row>
    <row r="1982" spans="1:2" x14ac:dyDescent="0.3">
      <c r="A1982" s="4" t="s">
        <v>3303</v>
      </c>
      <c r="B1982" s="4" t="s">
        <v>3304</v>
      </c>
    </row>
    <row r="1983" spans="1:2" x14ac:dyDescent="0.3">
      <c r="A1983" s="4" t="s">
        <v>3306</v>
      </c>
      <c r="B1983" s="4" t="s">
        <v>3307</v>
      </c>
    </row>
    <row r="1984" spans="1:2" x14ac:dyDescent="0.3">
      <c r="A1984" s="4" t="s">
        <v>12340</v>
      </c>
      <c r="B1984" s="4" t="s">
        <v>7355</v>
      </c>
    </row>
    <row r="1985" spans="1:2" x14ac:dyDescent="0.3">
      <c r="A1985" s="4" t="s">
        <v>3308</v>
      </c>
      <c r="B1985" s="4" t="s">
        <v>3309</v>
      </c>
    </row>
    <row r="1986" spans="1:2" x14ac:dyDescent="0.3">
      <c r="A1986" s="4" t="s">
        <v>3310</v>
      </c>
      <c r="B1986" s="4" t="s">
        <v>3311</v>
      </c>
    </row>
    <row r="1987" spans="1:2" x14ac:dyDescent="0.3">
      <c r="A1987" s="4" t="s">
        <v>3312</v>
      </c>
      <c r="B1987" s="4" t="s">
        <v>3313</v>
      </c>
    </row>
    <row r="1988" spans="1:2" x14ac:dyDescent="0.3">
      <c r="A1988" s="4" t="s">
        <v>3314</v>
      </c>
      <c r="B1988" s="4" t="s">
        <v>3315</v>
      </c>
    </row>
    <row r="1989" spans="1:2" x14ac:dyDescent="0.3">
      <c r="A1989" s="4" t="s">
        <v>9042</v>
      </c>
      <c r="B1989" s="4" t="s">
        <v>7358</v>
      </c>
    </row>
    <row r="1990" spans="1:2" x14ac:dyDescent="0.3">
      <c r="A1990" s="4" t="s">
        <v>3116</v>
      </c>
      <c r="B1990" s="4" t="s">
        <v>9043</v>
      </c>
    </row>
    <row r="1991" spans="1:2" x14ac:dyDescent="0.3">
      <c r="A1991" s="4" t="s">
        <v>3316</v>
      </c>
      <c r="B1991" s="4" t="s">
        <v>3317</v>
      </c>
    </row>
    <row r="1992" spans="1:2" x14ac:dyDescent="0.3">
      <c r="A1992" s="4" t="s">
        <v>3318</v>
      </c>
      <c r="B1992" s="4" t="s">
        <v>3319</v>
      </c>
    </row>
    <row r="1993" spans="1:2" x14ac:dyDescent="0.3">
      <c r="A1993" s="4" t="s">
        <v>3320</v>
      </c>
      <c r="B1993" s="4" t="s">
        <v>3321</v>
      </c>
    </row>
    <row r="1994" spans="1:2" x14ac:dyDescent="0.3">
      <c r="A1994" s="4" t="s">
        <v>3322</v>
      </c>
      <c r="B1994" s="4" t="s">
        <v>3323</v>
      </c>
    </row>
    <row r="1995" spans="1:2" x14ac:dyDescent="0.3">
      <c r="A1995" s="4" t="s">
        <v>3325</v>
      </c>
      <c r="B1995" s="4" t="s">
        <v>3326</v>
      </c>
    </row>
    <row r="1996" spans="1:2" x14ac:dyDescent="0.3">
      <c r="A1996" s="4" t="s">
        <v>3324</v>
      </c>
      <c r="B1996" s="4" t="s">
        <v>9044</v>
      </c>
    </row>
    <row r="1997" spans="1:2" x14ac:dyDescent="0.3">
      <c r="A1997" s="4" t="s">
        <v>3327</v>
      </c>
      <c r="B1997" s="4" t="s">
        <v>3328</v>
      </c>
    </row>
    <row r="1998" spans="1:2" x14ac:dyDescent="0.3">
      <c r="A1998" s="4" t="s">
        <v>1030</v>
      </c>
      <c r="B1998" s="4" t="s">
        <v>9045</v>
      </c>
    </row>
    <row r="1999" spans="1:2" x14ac:dyDescent="0.3">
      <c r="A1999" s="4" t="s">
        <v>3329</v>
      </c>
      <c r="B1999" s="4" t="s">
        <v>3330</v>
      </c>
    </row>
    <row r="2000" spans="1:2" x14ac:dyDescent="0.3">
      <c r="A2000" s="4" t="s">
        <v>9046</v>
      </c>
      <c r="B2000" s="4" t="s">
        <v>9047</v>
      </c>
    </row>
    <row r="2001" spans="1:2" x14ac:dyDescent="0.3">
      <c r="A2001" s="4" t="s">
        <v>3331</v>
      </c>
      <c r="B2001" s="4" t="s">
        <v>3332</v>
      </c>
    </row>
    <row r="2002" spans="1:2" x14ac:dyDescent="0.3">
      <c r="A2002" s="4" t="s">
        <v>3333</v>
      </c>
      <c r="B2002" s="4" t="s">
        <v>3334</v>
      </c>
    </row>
    <row r="2003" spans="1:2" x14ac:dyDescent="0.3">
      <c r="A2003" s="4" t="s">
        <v>3335</v>
      </c>
      <c r="B2003" s="4" t="s">
        <v>3336</v>
      </c>
    </row>
    <row r="2004" spans="1:2" x14ac:dyDescent="0.3">
      <c r="A2004" s="4" t="s">
        <v>3338</v>
      </c>
      <c r="B2004" s="4" t="s">
        <v>3339</v>
      </c>
    </row>
    <row r="2005" spans="1:2" x14ac:dyDescent="0.3">
      <c r="A2005" s="4" t="s">
        <v>2713</v>
      </c>
      <c r="B2005" s="4" t="s">
        <v>9048</v>
      </c>
    </row>
    <row r="2006" spans="1:2" x14ac:dyDescent="0.3">
      <c r="A2006" s="4" t="s">
        <v>3340</v>
      </c>
      <c r="B2006" s="4" t="s">
        <v>3341</v>
      </c>
    </row>
    <row r="2007" spans="1:2" x14ac:dyDescent="0.3">
      <c r="A2007" s="4" t="s">
        <v>12341</v>
      </c>
      <c r="B2007" s="4" t="s">
        <v>7377</v>
      </c>
    </row>
    <row r="2008" spans="1:2" x14ac:dyDescent="0.3">
      <c r="A2008" s="4" t="s">
        <v>9049</v>
      </c>
      <c r="B2008" s="4" t="s">
        <v>9050</v>
      </c>
    </row>
    <row r="2009" spans="1:2" x14ac:dyDescent="0.3">
      <c r="A2009" s="4" t="s">
        <v>12342</v>
      </c>
      <c r="B2009" s="4" t="s">
        <v>12343</v>
      </c>
    </row>
    <row r="2010" spans="1:2" x14ac:dyDescent="0.3">
      <c r="A2010" s="4" t="s">
        <v>12344</v>
      </c>
      <c r="B2010" s="4" t="s">
        <v>11591</v>
      </c>
    </row>
    <row r="2011" spans="1:2" x14ac:dyDescent="0.3">
      <c r="A2011" s="4" t="s">
        <v>3342</v>
      </c>
      <c r="B2011" s="4" t="s">
        <v>3343</v>
      </c>
    </row>
    <row r="2012" spans="1:2" x14ac:dyDescent="0.3">
      <c r="A2012" s="4" t="s">
        <v>3344</v>
      </c>
      <c r="B2012" s="4" t="s">
        <v>3345</v>
      </c>
    </row>
    <row r="2013" spans="1:2" x14ac:dyDescent="0.3">
      <c r="A2013" s="4" t="s">
        <v>985</v>
      </c>
      <c r="B2013" s="4" t="s">
        <v>9051</v>
      </c>
    </row>
    <row r="2014" spans="1:2" x14ac:dyDescent="0.3">
      <c r="A2014" s="4" t="s">
        <v>1298</v>
      </c>
      <c r="B2014" s="4" t="s">
        <v>9052</v>
      </c>
    </row>
    <row r="2015" spans="1:2" x14ac:dyDescent="0.3">
      <c r="A2015" s="4" t="s">
        <v>3346</v>
      </c>
      <c r="B2015" s="4" t="s">
        <v>3347</v>
      </c>
    </row>
    <row r="2016" spans="1:2" x14ac:dyDescent="0.3">
      <c r="A2016" s="4" t="s">
        <v>3348</v>
      </c>
      <c r="B2016" s="4" t="s">
        <v>9053</v>
      </c>
    </row>
    <row r="2017" spans="1:2" x14ac:dyDescent="0.3">
      <c r="A2017" s="4" t="s">
        <v>3349</v>
      </c>
      <c r="B2017" s="4" t="s">
        <v>3350</v>
      </c>
    </row>
    <row r="2018" spans="1:2" x14ac:dyDescent="0.3">
      <c r="A2018" s="4" t="s">
        <v>3351</v>
      </c>
      <c r="B2018" s="4" t="s">
        <v>3352</v>
      </c>
    </row>
    <row r="2019" spans="1:2" x14ac:dyDescent="0.3">
      <c r="A2019" s="4" t="s">
        <v>3353</v>
      </c>
      <c r="B2019" s="4" t="s">
        <v>3354</v>
      </c>
    </row>
    <row r="2020" spans="1:2" x14ac:dyDescent="0.3">
      <c r="A2020" s="4" t="s">
        <v>4188</v>
      </c>
      <c r="B2020" s="4" t="s">
        <v>7400</v>
      </c>
    </row>
    <row r="2021" spans="1:2" x14ac:dyDescent="0.3">
      <c r="A2021" s="4" t="s">
        <v>3355</v>
      </c>
      <c r="B2021" s="4" t="s">
        <v>3356</v>
      </c>
    </row>
    <row r="2022" spans="1:2" x14ac:dyDescent="0.3">
      <c r="A2022" s="4" t="s">
        <v>3357</v>
      </c>
      <c r="B2022" s="4" t="s">
        <v>3358</v>
      </c>
    </row>
    <row r="2023" spans="1:2" x14ac:dyDescent="0.3">
      <c r="A2023" s="4" t="s">
        <v>3359</v>
      </c>
      <c r="B2023" s="4" t="s">
        <v>3360</v>
      </c>
    </row>
    <row r="2024" spans="1:2" x14ac:dyDescent="0.3">
      <c r="A2024" s="4" t="s">
        <v>3361</v>
      </c>
      <c r="B2024" s="4" t="s">
        <v>3362</v>
      </c>
    </row>
    <row r="2025" spans="1:2" x14ac:dyDescent="0.3">
      <c r="A2025" s="4" t="s">
        <v>3363</v>
      </c>
      <c r="B2025" s="4" t="s">
        <v>3364</v>
      </c>
    </row>
    <row r="2026" spans="1:2" x14ac:dyDescent="0.3">
      <c r="A2026" s="4" t="s">
        <v>3365</v>
      </c>
      <c r="B2026" s="4" t="s">
        <v>3366</v>
      </c>
    </row>
    <row r="2027" spans="1:2" x14ac:dyDescent="0.3">
      <c r="A2027" s="4" t="s">
        <v>3367</v>
      </c>
      <c r="B2027" s="4" t="s">
        <v>3368</v>
      </c>
    </row>
    <row r="2028" spans="1:2" x14ac:dyDescent="0.3">
      <c r="A2028" s="4" t="s">
        <v>3369</v>
      </c>
      <c r="B2028" s="4" t="s">
        <v>3370</v>
      </c>
    </row>
    <row r="2029" spans="1:2" x14ac:dyDescent="0.3">
      <c r="A2029" s="4" t="s">
        <v>3371</v>
      </c>
      <c r="B2029" s="4" t="s">
        <v>3372</v>
      </c>
    </row>
    <row r="2030" spans="1:2" x14ac:dyDescent="0.3">
      <c r="A2030" s="4" t="s">
        <v>3373</v>
      </c>
      <c r="B2030" s="4" t="s">
        <v>3374</v>
      </c>
    </row>
    <row r="2031" spans="1:2" x14ac:dyDescent="0.3">
      <c r="A2031" s="4" t="s">
        <v>1480</v>
      </c>
      <c r="B2031" s="4" t="s">
        <v>9054</v>
      </c>
    </row>
    <row r="2032" spans="1:2" x14ac:dyDescent="0.3">
      <c r="A2032" s="4" t="s">
        <v>3375</v>
      </c>
      <c r="B2032" s="4" t="s">
        <v>3376</v>
      </c>
    </row>
    <row r="2033" spans="1:2" x14ac:dyDescent="0.3">
      <c r="A2033" s="4" t="s">
        <v>3377</v>
      </c>
      <c r="B2033" s="4" t="s">
        <v>3378</v>
      </c>
    </row>
    <row r="2034" spans="1:2" x14ac:dyDescent="0.3">
      <c r="A2034" s="4" t="s">
        <v>3380</v>
      </c>
      <c r="B2034" s="4" t="s">
        <v>3381</v>
      </c>
    </row>
    <row r="2035" spans="1:2" x14ac:dyDescent="0.3">
      <c r="A2035" s="4" t="s">
        <v>3382</v>
      </c>
      <c r="B2035" s="4" t="s">
        <v>3383</v>
      </c>
    </row>
    <row r="2036" spans="1:2" x14ac:dyDescent="0.3">
      <c r="A2036" s="4" t="s">
        <v>1264</v>
      </c>
      <c r="B2036" s="4" t="s">
        <v>12345</v>
      </c>
    </row>
    <row r="2037" spans="1:2" x14ac:dyDescent="0.3">
      <c r="A2037" s="4" t="s">
        <v>3384</v>
      </c>
      <c r="B2037" s="4" t="s">
        <v>3385</v>
      </c>
    </row>
    <row r="2038" spans="1:2" x14ac:dyDescent="0.3">
      <c r="A2038" s="4" t="s">
        <v>3386</v>
      </c>
      <c r="B2038" s="4" t="s">
        <v>3387</v>
      </c>
    </row>
    <row r="2039" spans="1:2" x14ac:dyDescent="0.3">
      <c r="A2039" s="4" t="s">
        <v>3388</v>
      </c>
      <c r="B2039" s="4" t="s">
        <v>3389</v>
      </c>
    </row>
    <row r="2040" spans="1:2" x14ac:dyDescent="0.3">
      <c r="A2040" s="4" t="s">
        <v>3390</v>
      </c>
      <c r="B2040" s="4" t="s">
        <v>3391</v>
      </c>
    </row>
    <row r="2041" spans="1:2" x14ac:dyDescent="0.3">
      <c r="A2041" s="4" t="s">
        <v>3392</v>
      </c>
      <c r="B2041" s="4" t="s">
        <v>3393</v>
      </c>
    </row>
    <row r="2042" spans="1:2" x14ac:dyDescent="0.3">
      <c r="A2042" s="4" t="s">
        <v>3394</v>
      </c>
      <c r="B2042" s="4" t="s">
        <v>3395</v>
      </c>
    </row>
    <row r="2043" spans="1:2" x14ac:dyDescent="0.3">
      <c r="A2043" s="4" t="s">
        <v>3396</v>
      </c>
      <c r="B2043" s="4" t="s">
        <v>3397</v>
      </c>
    </row>
    <row r="2044" spans="1:2" x14ac:dyDescent="0.3">
      <c r="A2044" s="4" t="s">
        <v>9055</v>
      </c>
      <c r="B2044" s="4" t="s">
        <v>9056</v>
      </c>
    </row>
    <row r="2045" spans="1:2" x14ac:dyDescent="0.3">
      <c r="A2045" s="4" t="s">
        <v>3398</v>
      </c>
      <c r="B2045" s="4" t="s">
        <v>3399</v>
      </c>
    </row>
    <row r="2046" spans="1:2" x14ac:dyDescent="0.3">
      <c r="A2046" s="4" t="s">
        <v>3400</v>
      </c>
      <c r="B2046" s="4" t="s">
        <v>3401</v>
      </c>
    </row>
    <row r="2047" spans="1:2" x14ac:dyDescent="0.3">
      <c r="A2047" s="4" t="s">
        <v>3402</v>
      </c>
      <c r="B2047" s="4" t="s">
        <v>3403</v>
      </c>
    </row>
    <row r="2048" spans="1:2" x14ac:dyDescent="0.3">
      <c r="A2048" s="4" t="s">
        <v>3404</v>
      </c>
      <c r="B2048" s="4" t="s">
        <v>3405</v>
      </c>
    </row>
    <row r="2049" spans="1:2" x14ac:dyDescent="0.3">
      <c r="A2049" s="4" t="s">
        <v>3406</v>
      </c>
      <c r="B2049" s="4" t="s">
        <v>3407</v>
      </c>
    </row>
    <row r="2050" spans="1:2" x14ac:dyDescent="0.3">
      <c r="A2050" s="4" t="s">
        <v>3408</v>
      </c>
      <c r="B2050" s="4" t="s">
        <v>3409</v>
      </c>
    </row>
    <row r="2051" spans="1:2" x14ac:dyDescent="0.3">
      <c r="A2051" s="4" t="s">
        <v>3410</v>
      </c>
      <c r="B2051" s="4" t="s">
        <v>3411</v>
      </c>
    </row>
    <row r="2052" spans="1:2" x14ac:dyDescent="0.3">
      <c r="A2052" s="4" t="s">
        <v>9057</v>
      </c>
      <c r="B2052" s="4" t="s">
        <v>7445</v>
      </c>
    </row>
    <row r="2053" spans="1:2" x14ac:dyDescent="0.3">
      <c r="A2053" s="4" t="s">
        <v>3412</v>
      </c>
      <c r="B2053" s="4" t="s">
        <v>3413</v>
      </c>
    </row>
    <row r="2054" spans="1:2" x14ac:dyDescent="0.3">
      <c r="A2054" s="4" t="s">
        <v>3414</v>
      </c>
      <c r="B2054" s="4" t="s">
        <v>3415</v>
      </c>
    </row>
    <row r="2055" spans="1:2" x14ac:dyDescent="0.3">
      <c r="A2055" s="4" t="s">
        <v>3416</v>
      </c>
      <c r="B2055" s="4" t="s">
        <v>3417</v>
      </c>
    </row>
    <row r="2056" spans="1:2" x14ac:dyDescent="0.3">
      <c r="A2056" s="4" t="s">
        <v>3418</v>
      </c>
      <c r="B2056" s="4" t="s">
        <v>3419</v>
      </c>
    </row>
    <row r="2057" spans="1:2" x14ac:dyDescent="0.3">
      <c r="A2057" s="4" t="s">
        <v>2453</v>
      </c>
      <c r="B2057" s="4" t="s">
        <v>9058</v>
      </c>
    </row>
    <row r="2058" spans="1:2" x14ac:dyDescent="0.3">
      <c r="A2058" s="4" t="s">
        <v>12346</v>
      </c>
      <c r="B2058" s="4" t="s">
        <v>12347</v>
      </c>
    </row>
    <row r="2059" spans="1:2" x14ac:dyDescent="0.3">
      <c r="A2059" s="4" t="s">
        <v>3420</v>
      </c>
      <c r="B2059" s="4" t="s">
        <v>3421</v>
      </c>
    </row>
    <row r="2060" spans="1:2" x14ac:dyDescent="0.3">
      <c r="A2060" s="4" t="s">
        <v>3422</v>
      </c>
      <c r="B2060" s="4" t="s">
        <v>3423</v>
      </c>
    </row>
    <row r="2061" spans="1:2" x14ac:dyDescent="0.3">
      <c r="A2061" s="4" t="s">
        <v>9059</v>
      </c>
      <c r="B2061" s="4" t="s">
        <v>9060</v>
      </c>
    </row>
    <row r="2062" spans="1:2" x14ac:dyDescent="0.3">
      <c r="A2062" s="4" t="s">
        <v>2223</v>
      </c>
      <c r="B2062" s="4" t="s">
        <v>9061</v>
      </c>
    </row>
    <row r="2063" spans="1:2" x14ac:dyDescent="0.3">
      <c r="A2063" s="4" t="s">
        <v>3424</v>
      </c>
      <c r="B2063" s="4" t="s">
        <v>3425</v>
      </c>
    </row>
    <row r="2064" spans="1:2" x14ac:dyDescent="0.3">
      <c r="A2064" s="4" t="s">
        <v>3426</v>
      </c>
      <c r="B2064" s="4" t="s">
        <v>3427</v>
      </c>
    </row>
    <row r="2065" spans="1:2" x14ac:dyDescent="0.3">
      <c r="A2065" s="4" t="s">
        <v>3428</v>
      </c>
      <c r="B2065" s="4" t="s">
        <v>3429</v>
      </c>
    </row>
    <row r="2066" spans="1:2" x14ac:dyDescent="0.3">
      <c r="A2066" s="4" t="s">
        <v>12348</v>
      </c>
      <c r="B2066" s="4" t="s">
        <v>11643</v>
      </c>
    </row>
    <row r="2067" spans="1:2" x14ac:dyDescent="0.3">
      <c r="A2067" s="4" t="s">
        <v>9062</v>
      </c>
      <c r="B2067" s="4" t="s">
        <v>9063</v>
      </c>
    </row>
    <row r="2068" spans="1:2" x14ac:dyDescent="0.3">
      <c r="A2068" s="4" t="s">
        <v>3430</v>
      </c>
      <c r="B2068" s="4" t="s">
        <v>3431</v>
      </c>
    </row>
    <row r="2069" spans="1:2" x14ac:dyDescent="0.3">
      <c r="A2069" s="4" t="s">
        <v>12349</v>
      </c>
      <c r="B2069" s="4" t="s">
        <v>12350</v>
      </c>
    </row>
    <row r="2070" spans="1:2" x14ac:dyDescent="0.3">
      <c r="A2070" s="4" t="s">
        <v>9064</v>
      </c>
      <c r="B2070" s="4" t="s">
        <v>9065</v>
      </c>
    </row>
    <row r="2071" spans="1:2" x14ac:dyDescent="0.3">
      <c r="A2071" s="4" t="s">
        <v>3432</v>
      </c>
      <c r="B2071" s="4" t="s">
        <v>3433</v>
      </c>
    </row>
    <row r="2072" spans="1:2" x14ac:dyDescent="0.3">
      <c r="A2072" s="4" t="s">
        <v>3434</v>
      </c>
      <c r="B2072" s="4" t="s">
        <v>3435</v>
      </c>
    </row>
    <row r="2073" spans="1:2" x14ac:dyDescent="0.3">
      <c r="A2073" s="4" t="s">
        <v>3436</v>
      </c>
      <c r="B2073" s="4" t="s">
        <v>3437</v>
      </c>
    </row>
    <row r="2074" spans="1:2" x14ac:dyDescent="0.3">
      <c r="A2074" s="4" t="s">
        <v>12351</v>
      </c>
      <c r="B2074" s="4" t="s">
        <v>11648</v>
      </c>
    </row>
    <row r="2075" spans="1:2" x14ac:dyDescent="0.3">
      <c r="A2075" s="4" t="s">
        <v>3439</v>
      </c>
      <c r="B2075" s="4" t="s">
        <v>3440</v>
      </c>
    </row>
    <row r="2076" spans="1:2" x14ac:dyDescent="0.3">
      <c r="A2076" s="4" t="s">
        <v>3441</v>
      </c>
      <c r="B2076" s="4" t="s">
        <v>3442</v>
      </c>
    </row>
    <row r="2077" spans="1:2" x14ac:dyDescent="0.3">
      <c r="A2077" s="4" t="s">
        <v>3443</v>
      </c>
      <c r="B2077" s="4" t="s">
        <v>3444</v>
      </c>
    </row>
    <row r="2078" spans="1:2" x14ac:dyDescent="0.3">
      <c r="A2078" s="4" t="s">
        <v>3445</v>
      </c>
      <c r="B2078" s="4" t="s">
        <v>3446</v>
      </c>
    </row>
    <row r="2079" spans="1:2" x14ac:dyDescent="0.3">
      <c r="A2079" s="4" t="s">
        <v>3447</v>
      </c>
      <c r="B2079" s="4" t="s">
        <v>3448</v>
      </c>
    </row>
    <row r="2080" spans="1:2" x14ac:dyDescent="0.3">
      <c r="A2080" s="4" t="s">
        <v>3449</v>
      </c>
      <c r="B2080" s="4" t="s">
        <v>3450</v>
      </c>
    </row>
    <row r="2081" spans="1:2" x14ac:dyDescent="0.3">
      <c r="A2081" s="4" t="s">
        <v>1745</v>
      </c>
      <c r="B2081" s="4" t="s">
        <v>9066</v>
      </c>
    </row>
    <row r="2082" spans="1:2" x14ac:dyDescent="0.3">
      <c r="A2082" s="4" t="s">
        <v>3451</v>
      </c>
      <c r="B2082" s="4" t="s">
        <v>3452</v>
      </c>
    </row>
    <row r="2083" spans="1:2" x14ac:dyDescent="0.3">
      <c r="A2083" s="4" t="s">
        <v>3453</v>
      </c>
      <c r="B2083" s="4" t="s">
        <v>3454</v>
      </c>
    </row>
    <row r="2084" spans="1:2" x14ac:dyDescent="0.3">
      <c r="A2084" s="4" t="s">
        <v>3455</v>
      </c>
      <c r="B2084" s="4" t="s">
        <v>3456</v>
      </c>
    </row>
    <row r="2085" spans="1:2" x14ac:dyDescent="0.3">
      <c r="A2085" s="4" t="s">
        <v>3459</v>
      </c>
      <c r="B2085" s="4" t="s">
        <v>9067</v>
      </c>
    </row>
    <row r="2086" spans="1:2" x14ac:dyDescent="0.3">
      <c r="A2086" s="4" t="s">
        <v>3457</v>
      </c>
      <c r="B2086" s="4" t="s">
        <v>3458</v>
      </c>
    </row>
    <row r="2087" spans="1:2" x14ac:dyDescent="0.3">
      <c r="A2087" s="4" t="s">
        <v>3460</v>
      </c>
      <c r="B2087" s="4" t="s">
        <v>3461</v>
      </c>
    </row>
    <row r="2088" spans="1:2" x14ac:dyDescent="0.3">
      <c r="A2088" s="4" t="s">
        <v>3462</v>
      </c>
      <c r="B2088" s="4" t="s">
        <v>3463</v>
      </c>
    </row>
    <row r="2089" spans="1:2" x14ac:dyDescent="0.3">
      <c r="A2089" s="4" t="s">
        <v>3464</v>
      </c>
      <c r="B2089" s="4" t="s">
        <v>3465</v>
      </c>
    </row>
    <row r="2090" spans="1:2" x14ac:dyDescent="0.3">
      <c r="A2090" s="4" t="s">
        <v>3466</v>
      </c>
      <c r="B2090" s="4" t="s">
        <v>3467</v>
      </c>
    </row>
    <row r="2091" spans="1:2" x14ac:dyDescent="0.3">
      <c r="A2091" s="4" t="s">
        <v>3468</v>
      </c>
      <c r="B2091" s="4" t="s">
        <v>9068</v>
      </c>
    </row>
    <row r="2092" spans="1:2" x14ac:dyDescent="0.3">
      <c r="A2092" s="4" t="s">
        <v>3469</v>
      </c>
      <c r="B2092" s="4" t="s">
        <v>3470</v>
      </c>
    </row>
    <row r="2093" spans="1:2" x14ac:dyDescent="0.3">
      <c r="A2093" s="4" t="s">
        <v>3471</v>
      </c>
      <c r="B2093" s="4" t="s">
        <v>3472</v>
      </c>
    </row>
    <row r="2094" spans="1:2" x14ac:dyDescent="0.3">
      <c r="A2094" s="4" t="s">
        <v>3473</v>
      </c>
      <c r="B2094" s="4" t="s">
        <v>3474</v>
      </c>
    </row>
    <row r="2095" spans="1:2" x14ac:dyDescent="0.3">
      <c r="A2095" s="4" t="s">
        <v>9214</v>
      </c>
      <c r="B2095" s="4" t="s">
        <v>7494</v>
      </c>
    </row>
    <row r="2096" spans="1:2" x14ac:dyDescent="0.3">
      <c r="A2096" s="4" t="s">
        <v>3475</v>
      </c>
      <c r="B2096" s="4" t="s">
        <v>3476</v>
      </c>
    </row>
    <row r="2097" spans="1:2" x14ac:dyDescent="0.3">
      <c r="A2097" s="4" t="s">
        <v>3477</v>
      </c>
      <c r="B2097" s="4" t="s">
        <v>3478</v>
      </c>
    </row>
    <row r="2098" spans="1:2" x14ac:dyDescent="0.3">
      <c r="A2098" s="4" t="s">
        <v>3479</v>
      </c>
      <c r="B2098" s="4" t="s">
        <v>3480</v>
      </c>
    </row>
    <row r="2099" spans="1:2" x14ac:dyDescent="0.3">
      <c r="A2099" s="4" t="s">
        <v>12352</v>
      </c>
      <c r="B2099" s="4" t="s">
        <v>12353</v>
      </c>
    </row>
    <row r="2100" spans="1:2" x14ac:dyDescent="0.3">
      <c r="A2100" s="4" t="s">
        <v>3482</v>
      </c>
      <c r="B2100" s="4" t="s">
        <v>3483</v>
      </c>
    </row>
    <row r="2101" spans="1:2" x14ac:dyDescent="0.3">
      <c r="A2101" s="4" t="s">
        <v>3484</v>
      </c>
      <c r="B2101" s="4" t="s">
        <v>3485</v>
      </c>
    </row>
    <row r="2102" spans="1:2" x14ac:dyDescent="0.3">
      <c r="A2102" s="4" t="s">
        <v>3486</v>
      </c>
      <c r="B2102" s="4" t="s">
        <v>3487</v>
      </c>
    </row>
    <row r="2103" spans="1:2" x14ac:dyDescent="0.3">
      <c r="A2103" s="4" t="s">
        <v>3488</v>
      </c>
      <c r="B2103" s="4" t="s">
        <v>3489</v>
      </c>
    </row>
    <row r="2104" spans="1:2" x14ac:dyDescent="0.3">
      <c r="A2104" s="4" t="s">
        <v>3490</v>
      </c>
      <c r="B2104" s="4" t="s">
        <v>3491</v>
      </c>
    </row>
    <row r="2105" spans="1:2" x14ac:dyDescent="0.3">
      <c r="A2105" s="4" t="s">
        <v>3493</v>
      </c>
      <c r="B2105" s="4" t="s">
        <v>3494</v>
      </c>
    </row>
    <row r="2106" spans="1:2" x14ac:dyDescent="0.3">
      <c r="A2106" s="4" t="s">
        <v>3495</v>
      </c>
      <c r="B2106" s="4" t="s">
        <v>3496</v>
      </c>
    </row>
    <row r="2107" spans="1:2" x14ac:dyDescent="0.3">
      <c r="A2107" s="4" t="s">
        <v>3497</v>
      </c>
      <c r="B2107" s="4" t="s">
        <v>3498</v>
      </c>
    </row>
    <row r="2108" spans="1:2" x14ac:dyDescent="0.3">
      <c r="A2108" s="4" t="s">
        <v>3499</v>
      </c>
      <c r="B2108" s="4" t="s">
        <v>3500</v>
      </c>
    </row>
    <row r="2109" spans="1:2" x14ac:dyDescent="0.3">
      <c r="A2109" s="4" t="s">
        <v>3501</v>
      </c>
      <c r="B2109" s="4" t="s">
        <v>3502</v>
      </c>
    </row>
    <row r="2110" spans="1:2" x14ac:dyDescent="0.3">
      <c r="A2110" s="4" t="s">
        <v>2488</v>
      </c>
      <c r="B2110" s="4" t="s">
        <v>9069</v>
      </c>
    </row>
    <row r="2111" spans="1:2" x14ac:dyDescent="0.3">
      <c r="A2111" s="4" t="s">
        <v>3503</v>
      </c>
      <c r="B2111" s="4" t="s">
        <v>3504</v>
      </c>
    </row>
    <row r="2112" spans="1:2" x14ac:dyDescent="0.3">
      <c r="A2112" s="4" t="s">
        <v>3505</v>
      </c>
      <c r="B2112" s="4" t="s">
        <v>3506</v>
      </c>
    </row>
    <row r="2113" spans="1:2" x14ac:dyDescent="0.3">
      <c r="A2113" s="4" t="s">
        <v>3507</v>
      </c>
      <c r="B2113" s="4" t="s">
        <v>3508</v>
      </c>
    </row>
    <row r="2114" spans="1:2" x14ac:dyDescent="0.3">
      <c r="A2114" s="4" t="s">
        <v>3509</v>
      </c>
      <c r="B2114" s="4" t="s">
        <v>3510</v>
      </c>
    </row>
    <row r="2115" spans="1:2" x14ac:dyDescent="0.3">
      <c r="A2115" s="4" t="s">
        <v>3511</v>
      </c>
      <c r="B2115" s="4" t="s">
        <v>3512</v>
      </c>
    </row>
    <row r="2116" spans="1:2" x14ac:dyDescent="0.3">
      <c r="A2116" s="4" t="s">
        <v>3513</v>
      </c>
      <c r="B2116" s="4" t="s">
        <v>3514</v>
      </c>
    </row>
    <row r="2117" spans="1:2" x14ac:dyDescent="0.3">
      <c r="A2117" s="4" t="s">
        <v>3515</v>
      </c>
      <c r="B2117" s="4" t="s">
        <v>3516</v>
      </c>
    </row>
    <row r="2118" spans="1:2" x14ac:dyDescent="0.3">
      <c r="A2118" s="4" t="s">
        <v>3517</v>
      </c>
      <c r="B2118" s="4" t="s">
        <v>3518</v>
      </c>
    </row>
    <row r="2119" spans="1:2" x14ac:dyDescent="0.3">
      <c r="A2119" s="4" t="s">
        <v>3519</v>
      </c>
      <c r="B2119" s="4" t="s">
        <v>3520</v>
      </c>
    </row>
    <row r="2120" spans="1:2" x14ac:dyDescent="0.3">
      <c r="A2120" s="4" t="s">
        <v>3521</v>
      </c>
      <c r="B2120" s="4" t="s">
        <v>3522</v>
      </c>
    </row>
    <row r="2121" spans="1:2" x14ac:dyDescent="0.3">
      <c r="A2121" s="4" t="s">
        <v>3523</v>
      </c>
      <c r="B2121" s="4" t="s">
        <v>3524</v>
      </c>
    </row>
    <row r="2122" spans="1:2" x14ac:dyDescent="0.3">
      <c r="A2122" s="4" t="s">
        <v>12354</v>
      </c>
      <c r="B2122" s="4" t="s">
        <v>11694</v>
      </c>
    </row>
    <row r="2123" spans="1:2" x14ac:dyDescent="0.3">
      <c r="A2123" s="4" t="s">
        <v>3525</v>
      </c>
      <c r="B2123" s="4" t="s">
        <v>3526</v>
      </c>
    </row>
    <row r="2124" spans="1:2" x14ac:dyDescent="0.3">
      <c r="A2124" s="4" t="s">
        <v>3527</v>
      </c>
      <c r="B2124" s="4" t="s">
        <v>3528</v>
      </c>
    </row>
    <row r="2125" spans="1:2" x14ac:dyDescent="0.3">
      <c r="A2125" s="4" t="s">
        <v>3530</v>
      </c>
      <c r="B2125" s="4" t="s">
        <v>3531</v>
      </c>
    </row>
    <row r="2126" spans="1:2" x14ac:dyDescent="0.3">
      <c r="A2126" s="4" t="s">
        <v>3533</v>
      </c>
      <c r="B2126" s="4" t="s">
        <v>3534</v>
      </c>
    </row>
    <row r="2127" spans="1:2" x14ac:dyDescent="0.3">
      <c r="A2127" s="4" t="s">
        <v>9070</v>
      </c>
      <c r="B2127" s="4" t="s">
        <v>9071</v>
      </c>
    </row>
    <row r="2128" spans="1:2" x14ac:dyDescent="0.3">
      <c r="A2128" s="4" t="s">
        <v>3537</v>
      </c>
      <c r="B2128" s="4" t="s">
        <v>3538</v>
      </c>
    </row>
    <row r="2129" spans="1:2" x14ac:dyDescent="0.3">
      <c r="A2129" s="4" t="s">
        <v>3539</v>
      </c>
      <c r="B2129" s="4" t="s">
        <v>9072</v>
      </c>
    </row>
    <row r="2130" spans="1:2" x14ac:dyDescent="0.3">
      <c r="A2130" s="4" t="s">
        <v>3540</v>
      </c>
      <c r="B2130" s="4" t="s">
        <v>3541</v>
      </c>
    </row>
    <row r="2131" spans="1:2" x14ac:dyDescent="0.3">
      <c r="A2131" s="4" t="s">
        <v>3542</v>
      </c>
      <c r="B2131" s="4" t="s">
        <v>3543</v>
      </c>
    </row>
    <row r="2132" spans="1:2" x14ac:dyDescent="0.3">
      <c r="A2132" s="4" t="s">
        <v>3544</v>
      </c>
      <c r="B2132" s="4" t="s">
        <v>3545</v>
      </c>
    </row>
    <row r="2133" spans="1:2" x14ac:dyDescent="0.3">
      <c r="A2133" s="4" t="s">
        <v>3546</v>
      </c>
      <c r="B2133" s="4" t="s">
        <v>3547</v>
      </c>
    </row>
    <row r="2134" spans="1:2" x14ac:dyDescent="0.3">
      <c r="A2134" s="4" t="s">
        <v>9073</v>
      </c>
      <c r="B2134" s="4" t="s">
        <v>7568</v>
      </c>
    </row>
    <row r="2135" spans="1:2" x14ac:dyDescent="0.3">
      <c r="A2135" s="4" t="s">
        <v>3548</v>
      </c>
      <c r="B2135" s="4" t="s">
        <v>3549</v>
      </c>
    </row>
    <row r="2136" spans="1:2" x14ac:dyDescent="0.3">
      <c r="A2136" s="4" t="s">
        <v>4205</v>
      </c>
      <c r="B2136" s="4" t="s">
        <v>7576</v>
      </c>
    </row>
    <row r="2137" spans="1:2" x14ac:dyDescent="0.3">
      <c r="A2137" s="4" t="s">
        <v>1667</v>
      </c>
      <c r="B2137" s="4" t="s">
        <v>9074</v>
      </c>
    </row>
    <row r="2138" spans="1:2" x14ac:dyDescent="0.3">
      <c r="A2138" s="4" t="s">
        <v>2846</v>
      </c>
      <c r="B2138" s="4" t="s">
        <v>9075</v>
      </c>
    </row>
    <row r="2139" spans="1:2" x14ac:dyDescent="0.3">
      <c r="A2139" s="4" t="s">
        <v>2483</v>
      </c>
      <c r="B2139" s="4" t="s">
        <v>9076</v>
      </c>
    </row>
    <row r="2140" spans="1:2" x14ac:dyDescent="0.3">
      <c r="A2140" s="4" t="s">
        <v>3552</v>
      </c>
      <c r="B2140" s="4" t="s">
        <v>3553</v>
      </c>
    </row>
    <row r="2141" spans="1:2" x14ac:dyDescent="0.3">
      <c r="A2141" s="4" t="s">
        <v>3554</v>
      </c>
      <c r="B2141" s="4" t="s">
        <v>3555</v>
      </c>
    </row>
    <row r="2142" spans="1:2" x14ac:dyDescent="0.3">
      <c r="A2142" s="4" t="s">
        <v>3556</v>
      </c>
      <c r="B2142" s="4" t="s">
        <v>3557</v>
      </c>
    </row>
    <row r="2143" spans="1:2" x14ac:dyDescent="0.3">
      <c r="A2143" s="4" t="s">
        <v>3558</v>
      </c>
      <c r="B2143" s="4" t="s">
        <v>3559</v>
      </c>
    </row>
    <row r="2144" spans="1:2" x14ac:dyDescent="0.3">
      <c r="A2144" s="4" t="s">
        <v>3560</v>
      </c>
      <c r="B2144" s="4" t="s">
        <v>3561</v>
      </c>
    </row>
    <row r="2145" spans="1:2" x14ac:dyDescent="0.3">
      <c r="A2145" s="4" t="s">
        <v>3562</v>
      </c>
      <c r="B2145" s="4" t="s">
        <v>3563</v>
      </c>
    </row>
    <row r="2146" spans="1:2" x14ac:dyDescent="0.3">
      <c r="A2146" s="4" t="s">
        <v>3564</v>
      </c>
      <c r="B2146" s="4" t="s">
        <v>3565</v>
      </c>
    </row>
    <row r="2147" spans="1:2" x14ac:dyDescent="0.3">
      <c r="A2147" s="4" t="s">
        <v>3566</v>
      </c>
      <c r="B2147" s="4" t="s">
        <v>3567</v>
      </c>
    </row>
    <row r="2148" spans="1:2" x14ac:dyDescent="0.3">
      <c r="A2148" s="4" t="s">
        <v>9077</v>
      </c>
      <c r="B2148" s="4" t="s">
        <v>7605</v>
      </c>
    </row>
    <row r="2149" spans="1:2" x14ac:dyDescent="0.3">
      <c r="A2149" s="4" t="s">
        <v>9078</v>
      </c>
      <c r="B2149" s="4" t="s">
        <v>9079</v>
      </c>
    </row>
    <row r="2150" spans="1:2" x14ac:dyDescent="0.3">
      <c r="A2150" s="4" t="s">
        <v>12355</v>
      </c>
      <c r="B2150" s="4" t="s">
        <v>7607</v>
      </c>
    </row>
    <row r="2151" spans="1:2" x14ac:dyDescent="0.3">
      <c r="A2151" s="4" t="s">
        <v>3570</v>
      </c>
      <c r="B2151" s="4" t="s">
        <v>3571</v>
      </c>
    </row>
    <row r="2152" spans="1:2" x14ac:dyDescent="0.3">
      <c r="A2152" s="4" t="s">
        <v>3572</v>
      </c>
      <c r="B2152" s="4" t="s">
        <v>3573</v>
      </c>
    </row>
    <row r="2153" spans="1:2" x14ac:dyDescent="0.3">
      <c r="A2153" s="4" t="s">
        <v>9080</v>
      </c>
      <c r="B2153" s="4" t="s">
        <v>9081</v>
      </c>
    </row>
    <row r="2154" spans="1:2" x14ac:dyDescent="0.3">
      <c r="A2154" s="4" t="s">
        <v>9082</v>
      </c>
      <c r="B2154" s="4" t="s">
        <v>9083</v>
      </c>
    </row>
    <row r="2155" spans="1:2" x14ac:dyDescent="0.3">
      <c r="A2155" s="4" t="s">
        <v>3574</v>
      </c>
      <c r="B2155" s="4" t="s">
        <v>3575</v>
      </c>
    </row>
    <row r="2156" spans="1:2" x14ac:dyDescent="0.3">
      <c r="A2156" s="4" t="s">
        <v>4204</v>
      </c>
      <c r="B2156" s="4" t="s">
        <v>9084</v>
      </c>
    </row>
    <row r="2157" spans="1:2" x14ac:dyDescent="0.3">
      <c r="A2157" s="4" t="s">
        <v>3576</v>
      </c>
      <c r="B2157" s="4" t="s">
        <v>3577</v>
      </c>
    </row>
    <row r="2158" spans="1:2" x14ac:dyDescent="0.3">
      <c r="A2158" s="4" t="s">
        <v>3578</v>
      </c>
      <c r="B2158" s="4" t="s">
        <v>3579</v>
      </c>
    </row>
    <row r="2159" spans="1:2" x14ac:dyDescent="0.3">
      <c r="A2159" s="4" t="s">
        <v>9085</v>
      </c>
      <c r="B2159" s="4" t="s">
        <v>9086</v>
      </c>
    </row>
    <row r="2160" spans="1:2" x14ac:dyDescent="0.3">
      <c r="A2160" s="4" t="s">
        <v>9087</v>
      </c>
      <c r="B2160" s="4" t="s">
        <v>7628</v>
      </c>
    </row>
    <row r="2161" spans="1:2" x14ac:dyDescent="0.3">
      <c r="A2161" s="4" t="s">
        <v>3580</v>
      </c>
      <c r="B2161" s="4" t="s">
        <v>3581</v>
      </c>
    </row>
    <row r="2162" spans="1:2" x14ac:dyDescent="0.3">
      <c r="A2162" s="4" t="s">
        <v>12356</v>
      </c>
      <c r="B2162" s="4" t="s">
        <v>12357</v>
      </c>
    </row>
    <row r="2163" spans="1:2" x14ac:dyDescent="0.3">
      <c r="A2163" s="4" t="s">
        <v>2992</v>
      </c>
      <c r="B2163" s="4" t="s">
        <v>9088</v>
      </c>
    </row>
    <row r="2164" spans="1:2" x14ac:dyDescent="0.3">
      <c r="A2164" s="4" t="s">
        <v>9089</v>
      </c>
      <c r="B2164" s="4" t="s">
        <v>9090</v>
      </c>
    </row>
    <row r="2165" spans="1:2" x14ac:dyDescent="0.3">
      <c r="A2165" s="4" t="s">
        <v>3582</v>
      </c>
      <c r="B2165" s="4" t="s">
        <v>3583</v>
      </c>
    </row>
    <row r="2166" spans="1:2" x14ac:dyDescent="0.3">
      <c r="A2166" s="4" t="s">
        <v>3584</v>
      </c>
      <c r="B2166" s="4" t="s">
        <v>3585</v>
      </c>
    </row>
    <row r="2167" spans="1:2" x14ac:dyDescent="0.3">
      <c r="A2167" s="4" t="s">
        <v>2309</v>
      </c>
      <c r="B2167" s="4" t="s">
        <v>9091</v>
      </c>
    </row>
    <row r="2168" spans="1:2" x14ac:dyDescent="0.3">
      <c r="A2168" s="4" t="s">
        <v>3586</v>
      </c>
      <c r="B2168" s="4" t="s">
        <v>3587</v>
      </c>
    </row>
    <row r="2169" spans="1:2" x14ac:dyDescent="0.3">
      <c r="A2169" s="4" t="s">
        <v>3588</v>
      </c>
      <c r="B2169" s="4" t="s">
        <v>3589</v>
      </c>
    </row>
    <row r="2170" spans="1:2" x14ac:dyDescent="0.3">
      <c r="A2170" s="4" t="s">
        <v>3590</v>
      </c>
      <c r="B2170" s="4" t="s">
        <v>3591</v>
      </c>
    </row>
    <row r="2171" spans="1:2" x14ac:dyDescent="0.3">
      <c r="A2171" s="4" t="s">
        <v>3592</v>
      </c>
      <c r="B2171" s="4" t="s">
        <v>3593</v>
      </c>
    </row>
    <row r="2172" spans="1:2" x14ac:dyDescent="0.3">
      <c r="A2172" s="4" t="s">
        <v>3594</v>
      </c>
      <c r="B2172" s="4" t="s">
        <v>3595</v>
      </c>
    </row>
    <row r="2173" spans="1:2" x14ac:dyDescent="0.3">
      <c r="A2173" s="4" t="s">
        <v>3596</v>
      </c>
      <c r="B2173" s="4" t="s">
        <v>3597</v>
      </c>
    </row>
    <row r="2174" spans="1:2" x14ac:dyDescent="0.3">
      <c r="A2174" s="4" t="s">
        <v>3598</v>
      </c>
      <c r="B2174" s="4" t="s">
        <v>3599</v>
      </c>
    </row>
    <row r="2175" spans="1:2" x14ac:dyDescent="0.3">
      <c r="A2175" s="4" t="s">
        <v>3600</v>
      </c>
      <c r="B2175" s="4" t="s">
        <v>3601</v>
      </c>
    </row>
    <row r="2176" spans="1:2" x14ac:dyDescent="0.3">
      <c r="A2176" s="4" t="s">
        <v>3603</v>
      </c>
      <c r="B2176" s="4" t="s">
        <v>3604</v>
      </c>
    </row>
    <row r="2177" spans="1:2" x14ac:dyDescent="0.3">
      <c r="A2177" s="4" t="s">
        <v>3605</v>
      </c>
      <c r="B2177" s="4" t="s">
        <v>3606</v>
      </c>
    </row>
    <row r="2178" spans="1:2" x14ac:dyDescent="0.3">
      <c r="A2178" s="4" t="s">
        <v>3607</v>
      </c>
      <c r="B2178" s="4" t="s">
        <v>3608</v>
      </c>
    </row>
    <row r="2179" spans="1:2" x14ac:dyDescent="0.3">
      <c r="A2179" s="4" t="s">
        <v>3609</v>
      </c>
      <c r="B2179" s="4" t="s">
        <v>3610</v>
      </c>
    </row>
    <row r="2180" spans="1:2" x14ac:dyDescent="0.3">
      <c r="A2180" s="4" t="s">
        <v>3625</v>
      </c>
      <c r="B2180" s="4" t="s">
        <v>7648</v>
      </c>
    </row>
    <row r="2181" spans="1:2" x14ac:dyDescent="0.3">
      <c r="A2181" s="4" t="s">
        <v>3529</v>
      </c>
      <c r="B2181" s="4" t="s">
        <v>9092</v>
      </c>
    </row>
    <row r="2182" spans="1:2" x14ac:dyDescent="0.3">
      <c r="A2182" s="4" t="s">
        <v>3611</v>
      </c>
      <c r="B2182" s="4" t="s">
        <v>3612</v>
      </c>
    </row>
    <row r="2183" spans="1:2" x14ac:dyDescent="0.3">
      <c r="A2183" s="4" t="s">
        <v>3613</v>
      </c>
      <c r="B2183" s="4" t="s">
        <v>3614</v>
      </c>
    </row>
    <row r="2184" spans="1:2" x14ac:dyDescent="0.3">
      <c r="A2184" s="4" t="s">
        <v>9093</v>
      </c>
      <c r="B2184" s="4" t="s">
        <v>7656</v>
      </c>
    </row>
    <row r="2185" spans="1:2" x14ac:dyDescent="0.3">
      <c r="A2185" s="4" t="s">
        <v>3615</v>
      </c>
      <c r="B2185" s="4" t="s">
        <v>3616</v>
      </c>
    </row>
    <row r="2186" spans="1:2" x14ac:dyDescent="0.3">
      <c r="A2186" s="4" t="s">
        <v>3617</v>
      </c>
      <c r="B2186" s="4" t="s">
        <v>3618</v>
      </c>
    </row>
    <row r="2187" spans="1:2" x14ac:dyDescent="0.3">
      <c r="A2187" s="4" t="s">
        <v>3619</v>
      </c>
      <c r="B2187" s="4" t="s">
        <v>3620</v>
      </c>
    </row>
    <row r="2188" spans="1:2" x14ac:dyDescent="0.3">
      <c r="A2188" s="4" t="s">
        <v>9094</v>
      </c>
      <c r="B2188" s="4" t="s">
        <v>9095</v>
      </c>
    </row>
    <row r="2189" spans="1:2" x14ac:dyDescent="0.3">
      <c r="A2189" s="4" t="s">
        <v>9096</v>
      </c>
      <c r="B2189" s="4" t="s">
        <v>7665</v>
      </c>
    </row>
    <row r="2190" spans="1:2" x14ac:dyDescent="0.3">
      <c r="A2190" s="4" t="s">
        <v>3621</v>
      </c>
      <c r="B2190" s="4" t="s">
        <v>3622</v>
      </c>
    </row>
    <row r="2191" spans="1:2" x14ac:dyDescent="0.3">
      <c r="A2191" s="4" t="s">
        <v>3623</v>
      </c>
      <c r="B2191" s="4" t="s">
        <v>3624</v>
      </c>
    </row>
    <row r="2192" spans="1:2" x14ac:dyDescent="0.3">
      <c r="A2192" s="4" t="s">
        <v>12358</v>
      </c>
      <c r="B2192" s="4" t="s">
        <v>11785</v>
      </c>
    </row>
    <row r="2193" spans="1:2" x14ac:dyDescent="0.3">
      <c r="A2193" s="4" t="s">
        <v>3628</v>
      </c>
      <c r="B2193" s="4" t="s">
        <v>3629</v>
      </c>
    </row>
    <row r="2194" spans="1:2" x14ac:dyDescent="0.3">
      <c r="A2194" s="4" t="s">
        <v>9097</v>
      </c>
      <c r="B2194" s="4" t="s">
        <v>9098</v>
      </c>
    </row>
    <row r="2195" spans="1:2" x14ac:dyDescent="0.3">
      <c r="A2195" s="4" t="s">
        <v>9099</v>
      </c>
      <c r="B2195" s="4" t="s">
        <v>9100</v>
      </c>
    </row>
    <row r="2196" spans="1:2" x14ac:dyDescent="0.3">
      <c r="A2196" s="4" t="s">
        <v>12359</v>
      </c>
      <c r="B2196" s="4" t="s">
        <v>11793</v>
      </c>
    </row>
    <row r="2197" spans="1:2" x14ac:dyDescent="0.3">
      <c r="A2197" s="4" t="s">
        <v>9101</v>
      </c>
      <c r="B2197" s="4" t="s">
        <v>9102</v>
      </c>
    </row>
    <row r="2198" spans="1:2" x14ac:dyDescent="0.3">
      <c r="A2198" s="4" t="s">
        <v>3630</v>
      </c>
      <c r="B2198" s="4" t="s">
        <v>3631</v>
      </c>
    </row>
    <row r="2199" spans="1:2" x14ac:dyDescent="0.3">
      <c r="A2199" s="4" t="s">
        <v>3632</v>
      </c>
      <c r="B2199" s="4" t="s">
        <v>3633</v>
      </c>
    </row>
    <row r="2200" spans="1:2" x14ac:dyDescent="0.3">
      <c r="A2200" s="4" t="s">
        <v>3634</v>
      </c>
      <c r="B2200" s="4" t="s">
        <v>3635</v>
      </c>
    </row>
    <row r="2201" spans="1:2" x14ac:dyDescent="0.3">
      <c r="A2201" s="4" t="s">
        <v>3636</v>
      </c>
      <c r="B2201" s="4" t="s">
        <v>3637</v>
      </c>
    </row>
    <row r="2202" spans="1:2" x14ac:dyDescent="0.3">
      <c r="A2202" s="4" t="s">
        <v>3638</v>
      </c>
      <c r="B2202" s="4" t="s">
        <v>3639</v>
      </c>
    </row>
    <row r="2203" spans="1:2" x14ac:dyDescent="0.3">
      <c r="A2203" s="4" t="s">
        <v>3640</v>
      </c>
      <c r="B2203" s="4" t="s">
        <v>3641</v>
      </c>
    </row>
    <row r="2204" spans="1:2" x14ac:dyDescent="0.3">
      <c r="A2204" s="4" t="s">
        <v>3223</v>
      </c>
      <c r="B2204" s="4" t="s">
        <v>12360</v>
      </c>
    </row>
    <row r="2205" spans="1:2" x14ac:dyDescent="0.3">
      <c r="A2205" s="4" t="s">
        <v>9228</v>
      </c>
      <c r="B2205" s="4" t="s">
        <v>9229</v>
      </c>
    </row>
    <row r="2206" spans="1:2" x14ac:dyDescent="0.3">
      <c r="A2206" s="4" t="s">
        <v>3642</v>
      </c>
      <c r="B2206" s="4" t="s">
        <v>3643</v>
      </c>
    </row>
    <row r="2207" spans="1:2" x14ac:dyDescent="0.3">
      <c r="A2207" s="4" t="s">
        <v>3644</v>
      </c>
      <c r="B2207" s="4" t="s">
        <v>3645</v>
      </c>
    </row>
    <row r="2208" spans="1:2" x14ac:dyDescent="0.3">
      <c r="A2208" s="4" t="s">
        <v>9103</v>
      </c>
      <c r="B2208" s="4" t="s">
        <v>9104</v>
      </c>
    </row>
    <row r="2209" spans="1:2" x14ac:dyDescent="0.3">
      <c r="A2209" s="4" t="s">
        <v>3646</v>
      </c>
      <c r="B2209" s="4" t="s">
        <v>3647</v>
      </c>
    </row>
    <row r="2210" spans="1:2" x14ac:dyDescent="0.3">
      <c r="A2210" s="4" t="s">
        <v>3649</v>
      </c>
      <c r="B2210" s="4" t="s">
        <v>3650</v>
      </c>
    </row>
    <row r="2211" spans="1:2" x14ac:dyDescent="0.3">
      <c r="A2211" s="4" t="s">
        <v>3651</v>
      </c>
      <c r="B2211" s="4" t="s">
        <v>3652</v>
      </c>
    </row>
    <row r="2212" spans="1:2" x14ac:dyDescent="0.3">
      <c r="A2212" s="4" t="s">
        <v>3653</v>
      </c>
      <c r="B2212" s="4" t="s">
        <v>3654</v>
      </c>
    </row>
    <row r="2213" spans="1:2" x14ac:dyDescent="0.3">
      <c r="A2213" s="4" t="s">
        <v>3655</v>
      </c>
      <c r="B2213" s="4" t="s">
        <v>3656</v>
      </c>
    </row>
    <row r="2214" spans="1:2" x14ac:dyDescent="0.3">
      <c r="A2214" s="4" t="s">
        <v>3657</v>
      </c>
      <c r="B2214" s="4" t="s">
        <v>3658</v>
      </c>
    </row>
    <row r="2215" spans="1:2" x14ac:dyDescent="0.3">
      <c r="A2215" s="4" t="s">
        <v>3659</v>
      </c>
      <c r="B2215" s="4" t="s">
        <v>3660</v>
      </c>
    </row>
    <row r="2216" spans="1:2" x14ac:dyDescent="0.3">
      <c r="A2216" s="4" t="s">
        <v>3661</v>
      </c>
      <c r="B2216" s="4" t="s">
        <v>3662</v>
      </c>
    </row>
    <row r="2217" spans="1:2" x14ac:dyDescent="0.3">
      <c r="A2217" s="4" t="s">
        <v>9234</v>
      </c>
      <c r="B2217" s="4" t="s">
        <v>9235</v>
      </c>
    </row>
    <row r="2218" spans="1:2" x14ac:dyDescent="0.3">
      <c r="A2218" s="4" t="s">
        <v>3663</v>
      </c>
      <c r="B2218" s="4" t="s">
        <v>3664</v>
      </c>
    </row>
    <row r="2219" spans="1:2" x14ac:dyDescent="0.3">
      <c r="A2219" s="4" t="s">
        <v>3665</v>
      </c>
      <c r="B2219" s="4" t="s">
        <v>3666</v>
      </c>
    </row>
    <row r="2220" spans="1:2" x14ac:dyDescent="0.3">
      <c r="A2220" s="4" t="s">
        <v>3667</v>
      </c>
      <c r="B2220" s="4" t="s">
        <v>3668</v>
      </c>
    </row>
    <row r="2221" spans="1:2" x14ac:dyDescent="0.3">
      <c r="A2221" s="4" t="s">
        <v>3669</v>
      </c>
      <c r="B2221" s="4" t="s">
        <v>3670</v>
      </c>
    </row>
    <row r="2222" spans="1:2" x14ac:dyDescent="0.3">
      <c r="A2222" s="4" t="s">
        <v>3671</v>
      </c>
      <c r="B2222" s="4" t="s">
        <v>3672</v>
      </c>
    </row>
    <row r="2223" spans="1:2" x14ac:dyDescent="0.3">
      <c r="A2223" s="4" t="s">
        <v>3673</v>
      </c>
      <c r="B2223" s="4" t="s">
        <v>3674</v>
      </c>
    </row>
    <row r="2224" spans="1:2" x14ac:dyDescent="0.3">
      <c r="A2224" s="4" t="s">
        <v>3675</v>
      </c>
      <c r="B2224" s="4" t="s">
        <v>3676</v>
      </c>
    </row>
    <row r="2225" spans="1:2" x14ac:dyDescent="0.3">
      <c r="A2225" s="4" t="s">
        <v>3677</v>
      </c>
      <c r="B2225" s="4" t="s">
        <v>3678</v>
      </c>
    </row>
    <row r="2226" spans="1:2" x14ac:dyDescent="0.3">
      <c r="A2226" s="4" t="s">
        <v>3679</v>
      </c>
      <c r="B2226" s="4" t="s">
        <v>3680</v>
      </c>
    </row>
    <row r="2227" spans="1:2" x14ac:dyDescent="0.3">
      <c r="A2227" s="4" t="s">
        <v>3681</v>
      </c>
      <c r="B2227" s="4" t="s">
        <v>3682</v>
      </c>
    </row>
    <row r="2228" spans="1:2" x14ac:dyDescent="0.3">
      <c r="A2228" s="4" t="s">
        <v>4219</v>
      </c>
      <c r="B2228" s="4" t="s">
        <v>4220</v>
      </c>
    </row>
    <row r="2229" spans="1:2" x14ac:dyDescent="0.3">
      <c r="A2229" s="4" t="s">
        <v>3684</v>
      </c>
      <c r="B2229" s="4" t="s">
        <v>3685</v>
      </c>
    </row>
    <row r="2230" spans="1:2" x14ac:dyDescent="0.3">
      <c r="A2230" s="4" t="s">
        <v>3686</v>
      </c>
      <c r="B2230" s="4" t="s">
        <v>3687</v>
      </c>
    </row>
    <row r="2231" spans="1:2" x14ac:dyDescent="0.3">
      <c r="A2231" s="4" t="s">
        <v>1742</v>
      </c>
      <c r="B2231" s="4" t="s">
        <v>9105</v>
      </c>
    </row>
    <row r="2232" spans="1:2" x14ac:dyDescent="0.3">
      <c r="A2232" s="4" t="s">
        <v>3688</v>
      </c>
      <c r="B2232" s="4" t="s">
        <v>3689</v>
      </c>
    </row>
    <row r="2233" spans="1:2" x14ac:dyDescent="0.3">
      <c r="A2233" s="4" t="s">
        <v>3690</v>
      </c>
      <c r="B2233" s="4" t="s">
        <v>3691</v>
      </c>
    </row>
    <row r="2234" spans="1:2" x14ac:dyDescent="0.3">
      <c r="A2234" s="4" t="s">
        <v>3736</v>
      </c>
      <c r="B2234" s="4" t="s">
        <v>9106</v>
      </c>
    </row>
    <row r="2235" spans="1:2" x14ac:dyDescent="0.3">
      <c r="A2235" s="4" t="s">
        <v>3692</v>
      </c>
      <c r="B2235" s="4" t="s">
        <v>3693</v>
      </c>
    </row>
    <row r="2236" spans="1:2" x14ac:dyDescent="0.3">
      <c r="A2236" s="4" t="s">
        <v>3694</v>
      </c>
      <c r="B2236" s="4" t="s">
        <v>3695</v>
      </c>
    </row>
    <row r="2237" spans="1:2" x14ac:dyDescent="0.3">
      <c r="A2237" s="4" t="s">
        <v>3696</v>
      </c>
      <c r="B2237" s="4" t="s">
        <v>3697</v>
      </c>
    </row>
    <row r="2238" spans="1:2" x14ac:dyDescent="0.3">
      <c r="A2238" s="4" t="s">
        <v>3698</v>
      </c>
      <c r="B2238" s="4" t="s">
        <v>3699</v>
      </c>
    </row>
    <row r="2239" spans="1:2" x14ac:dyDescent="0.3">
      <c r="A2239" s="4" t="s">
        <v>3700</v>
      </c>
      <c r="B2239" s="4" t="s">
        <v>3701</v>
      </c>
    </row>
    <row r="2240" spans="1:2" x14ac:dyDescent="0.3">
      <c r="A2240" s="4" t="s">
        <v>3702</v>
      </c>
      <c r="B2240" s="4" t="s">
        <v>3703</v>
      </c>
    </row>
    <row r="2241" spans="1:2" x14ac:dyDescent="0.3">
      <c r="A2241" s="4" t="s">
        <v>3704</v>
      </c>
      <c r="B2241" s="4" t="s">
        <v>3705</v>
      </c>
    </row>
    <row r="2242" spans="1:2" x14ac:dyDescent="0.3">
      <c r="A2242" s="4" t="s">
        <v>3706</v>
      </c>
      <c r="B2242" s="4" t="s">
        <v>3707</v>
      </c>
    </row>
    <row r="2243" spans="1:2" x14ac:dyDescent="0.3">
      <c r="A2243" s="4" t="s">
        <v>3708</v>
      </c>
      <c r="B2243" s="4" t="s">
        <v>3709</v>
      </c>
    </row>
    <row r="2244" spans="1:2" x14ac:dyDescent="0.3">
      <c r="A2244" s="4" t="s">
        <v>3711</v>
      </c>
      <c r="B2244" s="4" t="s">
        <v>3712</v>
      </c>
    </row>
    <row r="2245" spans="1:2" x14ac:dyDescent="0.3">
      <c r="A2245" s="4" t="s">
        <v>3713</v>
      </c>
      <c r="B2245" s="4" t="s">
        <v>3714</v>
      </c>
    </row>
    <row r="2246" spans="1:2" x14ac:dyDescent="0.3">
      <c r="A2246" s="4" t="s">
        <v>3715</v>
      </c>
      <c r="B2246" s="4" t="s">
        <v>3716</v>
      </c>
    </row>
    <row r="2247" spans="1:2" x14ac:dyDescent="0.3">
      <c r="A2247" s="4" t="s">
        <v>3717</v>
      </c>
      <c r="B2247" s="4" t="s">
        <v>3718</v>
      </c>
    </row>
    <row r="2248" spans="1:2" x14ac:dyDescent="0.3">
      <c r="A2248" s="4" t="s">
        <v>3719</v>
      </c>
      <c r="B2248" s="4" t="s">
        <v>3720</v>
      </c>
    </row>
    <row r="2249" spans="1:2" x14ac:dyDescent="0.3">
      <c r="A2249" s="4" t="s">
        <v>3721</v>
      </c>
      <c r="B2249" s="4" t="s">
        <v>3722</v>
      </c>
    </row>
    <row r="2250" spans="1:2" x14ac:dyDescent="0.3">
      <c r="A2250" s="4" t="s">
        <v>3723</v>
      </c>
      <c r="B2250" s="4" t="s">
        <v>3724</v>
      </c>
    </row>
    <row r="2251" spans="1:2" x14ac:dyDescent="0.3">
      <c r="A2251" s="4" t="s">
        <v>3726</v>
      </c>
      <c r="B2251" s="4" t="s">
        <v>3727</v>
      </c>
    </row>
    <row r="2252" spans="1:2" x14ac:dyDescent="0.3">
      <c r="A2252" s="4" t="s">
        <v>3728</v>
      </c>
      <c r="B2252" s="4" t="s">
        <v>3729</v>
      </c>
    </row>
    <row r="2253" spans="1:2" x14ac:dyDescent="0.3">
      <c r="A2253" s="4" t="s">
        <v>3730</v>
      </c>
      <c r="B2253" s="4" t="s">
        <v>3731</v>
      </c>
    </row>
    <row r="2254" spans="1:2" x14ac:dyDescent="0.3">
      <c r="A2254" s="4" t="s">
        <v>3732</v>
      </c>
      <c r="B2254" s="4" t="s">
        <v>3733</v>
      </c>
    </row>
    <row r="2255" spans="1:2" x14ac:dyDescent="0.3">
      <c r="A2255" s="4" t="s">
        <v>3734</v>
      </c>
      <c r="B2255" s="4" t="s">
        <v>3735</v>
      </c>
    </row>
    <row r="2256" spans="1:2" x14ac:dyDescent="0.3">
      <c r="A2256" s="4" t="s">
        <v>3737</v>
      </c>
      <c r="B2256" s="4" t="s">
        <v>9107</v>
      </c>
    </row>
    <row r="2257" spans="1:2" x14ac:dyDescent="0.3">
      <c r="A2257" s="4" t="s">
        <v>9108</v>
      </c>
      <c r="B2257" s="4" t="s">
        <v>7817</v>
      </c>
    </row>
    <row r="2258" spans="1:2" x14ac:dyDescent="0.3">
      <c r="A2258" s="4" t="s">
        <v>3738</v>
      </c>
      <c r="B2258" s="4" t="s">
        <v>3739</v>
      </c>
    </row>
    <row r="2259" spans="1:2" x14ac:dyDescent="0.3">
      <c r="A2259" s="4" t="s">
        <v>3740</v>
      </c>
      <c r="B2259" s="4" t="s">
        <v>3741</v>
      </c>
    </row>
    <row r="2260" spans="1:2" x14ac:dyDescent="0.3">
      <c r="A2260" s="4" t="s">
        <v>3742</v>
      </c>
      <c r="B2260" s="4" t="s">
        <v>3743</v>
      </c>
    </row>
    <row r="2261" spans="1:2" x14ac:dyDescent="0.3">
      <c r="A2261" s="4" t="s">
        <v>3744</v>
      </c>
      <c r="B2261" s="4" t="s">
        <v>3745</v>
      </c>
    </row>
    <row r="2262" spans="1:2" x14ac:dyDescent="0.3">
      <c r="A2262" s="4" t="s">
        <v>3746</v>
      </c>
      <c r="B2262" s="4" t="s">
        <v>3747</v>
      </c>
    </row>
    <row r="2263" spans="1:2" x14ac:dyDescent="0.3">
      <c r="A2263" s="4" t="s">
        <v>3748</v>
      </c>
      <c r="B2263" s="4" t="s">
        <v>3749</v>
      </c>
    </row>
    <row r="2264" spans="1:2" x14ac:dyDescent="0.3">
      <c r="A2264" s="4" t="s">
        <v>3750</v>
      </c>
      <c r="B2264" s="4" t="s">
        <v>3751</v>
      </c>
    </row>
    <row r="2265" spans="1:2" x14ac:dyDescent="0.3">
      <c r="A2265" s="4" t="s">
        <v>3752</v>
      </c>
      <c r="B2265" s="4" t="s">
        <v>3753</v>
      </c>
    </row>
    <row r="2266" spans="1:2" x14ac:dyDescent="0.3">
      <c r="A2266" s="4" t="s">
        <v>3754</v>
      </c>
      <c r="B2266" s="4" t="s">
        <v>3755</v>
      </c>
    </row>
    <row r="2267" spans="1:2" x14ac:dyDescent="0.3">
      <c r="A2267" s="4" t="s">
        <v>3756</v>
      </c>
      <c r="B2267" s="4" t="s">
        <v>3757</v>
      </c>
    </row>
    <row r="2268" spans="1:2" x14ac:dyDescent="0.3">
      <c r="A2268" s="4" t="s">
        <v>3759</v>
      </c>
      <c r="B2268" s="4" t="s">
        <v>3760</v>
      </c>
    </row>
    <row r="2269" spans="1:2" x14ac:dyDescent="0.3">
      <c r="A2269" s="4" t="s">
        <v>3763</v>
      </c>
      <c r="B2269" s="4" t="s">
        <v>3764</v>
      </c>
    </row>
    <row r="2270" spans="1:2" x14ac:dyDescent="0.3">
      <c r="A2270" s="4" t="s">
        <v>3765</v>
      </c>
      <c r="B2270" s="4" t="s">
        <v>3766</v>
      </c>
    </row>
    <row r="2271" spans="1:2" x14ac:dyDescent="0.3">
      <c r="A2271" s="4" t="s">
        <v>3767</v>
      </c>
      <c r="B2271" s="4" t="s">
        <v>3768</v>
      </c>
    </row>
    <row r="2272" spans="1:2" x14ac:dyDescent="0.3">
      <c r="A2272" s="4" t="s">
        <v>3769</v>
      </c>
      <c r="B2272" s="4" t="s">
        <v>3770</v>
      </c>
    </row>
    <row r="2273" spans="1:2" x14ac:dyDescent="0.3">
      <c r="A2273" s="4" t="s">
        <v>3771</v>
      </c>
      <c r="B2273" s="4" t="s">
        <v>3772</v>
      </c>
    </row>
    <row r="2274" spans="1:2" x14ac:dyDescent="0.3">
      <c r="A2274" s="4" t="s">
        <v>3773</v>
      </c>
      <c r="B2274" s="4" t="s">
        <v>3774</v>
      </c>
    </row>
    <row r="2275" spans="1:2" x14ac:dyDescent="0.3">
      <c r="A2275" s="4" t="s">
        <v>3775</v>
      </c>
      <c r="B2275" s="4" t="s">
        <v>3776</v>
      </c>
    </row>
    <row r="2276" spans="1:2" x14ac:dyDescent="0.3">
      <c r="A2276" s="4" t="s">
        <v>3777</v>
      </c>
      <c r="B2276" s="4" t="s">
        <v>3778</v>
      </c>
    </row>
    <row r="2277" spans="1:2" x14ac:dyDescent="0.3">
      <c r="A2277" s="4" t="s">
        <v>3779</v>
      </c>
      <c r="B2277" s="4" t="s">
        <v>3780</v>
      </c>
    </row>
    <row r="2278" spans="1:2" x14ac:dyDescent="0.3">
      <c r="A2278" s="4" t="s">
        <v>3781</v>
      </c>
      <c r="B2278" s="4" t="s">
        <v>3782</v>
      </c>
    </row>
    <row r="2279" spans="1:2" x14ac:dyDescent="0.3">
      <c r="A2279" s="4" t="s">
        <v>3783</v>
      </c>
      <c r="B2279" s="4" t="s">
        <v>3784</v>
      </c>
    </row>
    <row r="2280" spans="1:2" x14ac:dyDescent="0.3">
      <c r="A2280" s="4" t="s">
        <v>3785</v>
      </c>
      <c r="B2280" s="4" t="s">
        <v>3786</v>
      </c>
    </row>
    <row r="2281" spans="1:2" x14ac:dyDescent="0.3">
      <c r="A2281" s="4" t="s">
        <v>3787</v>
      </c>
      <c r="B2281" s="4" t="s">
        <v>3788</v>
      </c>
    </row>
    <row r="2282" spans="1:2" x14ac:dyDescent="0.3">
      <c r="A2282" s="4" t="s">
        <v>1996</v>
      </c>
      <c r="B2282" s="4" t="s">
        <v>12361</v>
      </c>
    </row>
    <row r="2283" spans="1:2" x14ac:dyDescent="0.3">
      <c r="A2283" s="4" t="s">
        <v>3790</v>
      </c>
      <c r="B2283" s="4" t="s">
        <v>3791</v>
      </c>
    </row>
    <row r="2284" spans="1:2" x14ac:dyDescent="0.3">
      <c r="A2284" s="4" t="s">
        <v>3792</v>
      </c>
      <c r="B2284" s="4" t="s">
        <v>3793</v>
      </c>
    </row>
    <row r="2285" spans="1:2" x14ac:dyDescent="0.3">
      <c r="A2285" s="4" t="s">
        <v>3794</v>
      </c>
      <c r="B2285" s="4" t="s">
        <v>3795</v>
      </c>
    </row>
    <row r="2286" spans="1:2" x14ac:dyDescent="0.3">
      <c r="A2286" s="4" t="s">
        <v>3796</v>
      </c>
      <c r="B2286" s="4" t="s">
        <v>3797</v>
      </c>
    </row>
    <row r="2287" spans="1:2" x14ac:dyDescent="0.3">
      <c r="A2287" s="4" t="s">
        <v>3798</v>
      </c>
      <c r="B2287" s="4" t="s">
        <v>3799</v>
      </c>
    </row>
    <row r="2288" spans="1:2" x14ac:dyDescent="0.3">
      <c r="A2288" s="4" t="s">
        <v>3800</v>
      </c>
      <c r="B2288" s="4" t="s">
        <v>3801</v>
      </c>
    </row>
    <row r="2289" spans="1:2" x14ac:dyDescent="0.3">
      <c r="A2289" s="4" t="s">
        <v>3802</v>
      </c>
      <c r="B2289" s="4" t="s">
        <v>3803</v>
      </c>
    </row>
    <row r="2290" spans="1:2" x14ac:dyDescent="0.3">
      <c r="A2290" s="4" t="s">
        <v>3804</v>
      </c>
      <c r="B2290" s="4" t="s">
        <v>3805</v>
      </c>
    </row>
    <row r="2291" spans="1:2" x14ac:dyDescent="0.3">
      <c r="A2291" s="4" t="s">
        <v>3806</v>
      </c>
      <c r="B2291" s="4" t="s">
        <v>3807</v>
      </c>
    </row>
    <row r="2292" spans="1:2" x14ac:dyDescent="0.3">
      <c r="A2292" s="4" t="s">
        <v>3808</v>
      </c>
      <c r="B2292" s="4" t="s">
        <v>3809</v>
      </c>
    </row>
    <row r="2293" spans="1:2" x14ac:dyDescent="0.3">
      <c r="A2293" s="4" t="s">
        <v>3810</v>
      </c>
      <c r="B2293" s="4" t="s">
        <v>3811</v>
      </c>
    </row>
    <row r="2294" spans="1:2" x14ac:dyDescent="0.3">
      <c r="A2294" s="4" t="s">
        <v>3812</v>
      </c>
      <c r="B2294" s="4" t="s">
        <v>3813</v>
      </c>
    </row>
    <row r="2295" spans="1:2" x14ac:dyDescent="0.3">
      <c r="A2295" s="4" t="s">
        <v>3814</v>
      </c>
      <c r="B2295" s="4" t="s">
        <v>3815</v>
      </c>
    </row>
    <row r="2296" spans="1:2" x14ac:dyDescent="0.3">
      <c r="A2296" s="4" t="s">
        <v>3816</v>
      </c>
      <c r="B2296" s="4" t="s">
        <v>3817</v>
      </c>
    </row>
    <row r="2297" spans="1:2" x14ac:dyDescent="0.3">
      <c r="A2297" s="4" t="s">
        <v>3818</v>
      </c>
      <c r="B2297" s="4" t="s">
        <v>3819</v>
      </c>
    </row>
    <row r="2298" spans="1:2" x14ac:dyDescent="0.3">
      <c r="A2298" s="4" t="s">
        <v>3821</v>
      </c>
      <c r="B2298" s="4" t="s">
        <v>3822</v>
      </c>
    </row>
    <row r="2299" spans="1:2" x14ac:dyDescent="0.3">
      <c r="A2299" s="4" t="s">
        <v>3823</v>
      </c>
      <c r="B2299" s="4" t="s">
        <v>3824</v>
      </c>
    </row>
    <row r="2300" spans="1:2" x14ac:dyDescent="0.3">
      <c r="A2300" s="4" t="s">
        <v>3825</v>
      </c>
      <c r="B2300" s="4" t="s">
        <v>3826</v>
      </c>
    </row>
    <row r="2301" spans="1:2" x14ac:dyDescent="0.3">
      <c r="A2301" s="4" t="s">
        <v>3827</v>
      </c>
      <c r="B2301" s="4" t="s">
        <v>3828</v>
      </c>
    </row>
    <row r="2302" spans="1:2" x14ac:dyDescent="0.3">
      <c r="A2302" s="4" t="s">
        <v>3829</v>
      </c>
      <c r="B2302" s="4" t="s">
        <v>3830</v>
      </c>
    </row>
    <row r="2303" spans="1:2" x14ac:dyDescent="0.3">
      <c r="A2303" s="4" t="s">
        <v>3831</v>
      </c>
      <c r="B2303" s="4" t="s">
        <v>3832</v>
      </c>
    </row>
    <row r="2304" spans="1:2" x14ac:dyDescent="0.3">
      <c r="A2304" s="4" t="s">
        <v>3833</v>
      </c>
      <c r="B2304" s="4" t="s">
        <v>3834</v>
      </c>
    </row>
    <row r="2305" spans="1:2" x14ac:dyDescent="0.3">
      <c r="A2305" s="4" t="s">
        <v>3835</v>
      </c>
      <c r="B2305" s="4" t="s">
        <v>3836</v>
      </c>
    </row>
    <row r="2306" spans="1:2" x14ac:dyDescent="0.3">
      <c r="A2306" s="4" t="s">
        <v>3837</v>
      </c>
      <c r="B2306" s="4" t="s">
        <v>3838</v>
      </c>
    </row>
    <row r="2307" spans="1:2" x14ac:dyDescent="0.3">
      <c r="A2307" s="4" t="s">
        <v>3839</v>
      </c>
      <c r="B2307" s="4" t="s">
        <v>3840</v>
      </c>
    </row>
    <row r="2308" spans="1:2" x14ac:dyDescent="0.3">
      <c r="A2308" s="4" t="s">
        <v>3841</v>
      </c>
      <c r="B2308" s="4" t="s">
        <v>3842</v>
      </c>
    </row>
    <row r="2309" spans="1:2" x14ac:dyDescent="0.3">
      <c r="A2309" s="4" t="s">
        <v>12362</v>
      </c>
      <c r="B2309" s="4" t="s">
        <v>12363</v>
      </c>
    </row>
    <row r="2310" spans="1:2" x14ac:dyDescent="0.3">
      <c r="A2310" s="4" t="s">
        <v>3843</v>
      </c>
      <c r="B2310" s="4" t="s">
        <v>3844</v>
      </c>
    </row>
    <row r="2311" spans="1:2" x14ac:dyDescent="0.3">
      <c r="A2311" s="4" t="s">
        <v>3845</v>
      </c>
      <c r="B2311" s="4" t="s">
        <v>3846</v>
      </c>
    </row>
    <row r="2312" spans="1:2" x14ac:dyDescent="0.3">
      <c r="A2312" s="4" t="s">
        <v>3848</v>
      </c>
      <c r="B2312" s="4" t="s">
        <v>3849</v>
      </c>
    </row>
    <row r="2313" spans="1:2" x14ac:dyDescent="0.3">
      <c r="A2313" s="4" t="s">
        <v>3850</v>
      </c>
      <c r="B2313" s="4" t="s">
        <v>3851</v>
      </c>
    </row>
    <row r="2314" spans="1:2" x14ac:dyDescent="0.3">
      <c r="A2314" s="4" t="s">
        <v>3852</v>
      </c>
      <c r="B2314" s="4" t="s">
        <v>3853</v>
      </c>
    </row>
    <row r="2315" spans="1:2" x14ac:dyDescent="0.3">
      <c r="A2315" s="4" t="s">
        <v>3854</v>
      </c>
      <c r="B2315" s="4" t="s">
        <v>3855</v>
      </c>
    </row>
    <row r="2316" spans="1:2" x14ac:dyDescent="0.3">
      <c r="A2316" s="4" t="s">
        <v>3856</v>
      </c>
      <c r="B2316" s="4" t="s">
        <v>3857</v>
      </c>
    </row>
    <row r="2317" spans="1:2" x14ac:dyDescent="0.3">
      <c r="A2317" s="4" t="s">
        <v>9109</v>
      </c>
      <c r="B2317" s="4" t="s">
        <v>7906</v>
      </c>
    </row>
    <row r="2318" spans="1:2" x14ac:dyDescent="0.3">
      <c r="A2318" s="4" t="s">
        <v>3859</v>
      </c>
      <c r="B2318" s="4" t="s">
        <v>3860</v>
      </c>
    </row>
    <row r="2319" spans="1:2" x14ac:dyDescent="0.3">
      <c r="A2319" s="4" t="s">
        <v>3861</v>
      </c>
      <c r="B2319" s="4" t="s">
        <v>3862</v>
      </c>
    </row>
    <row r="2320" spans="1:2" x14ac:dyDescent="0.3">
      <c r="A2320" s="4" t="s">
        <v>3863</v>
      </c>
      <c r="B2320" s="4" t="s">
        <v>3864</v>
      </c>
    </row>
    <row r="2321" spans="1:2" x14ac:dyDescent="0.3">
      <c r="A2321" s="4" t="s">
        <v>3866</v>
      </c>
      <c r="B2321" s="4" t="s">
        <v>3867</v>
      </c>
    </row>
    <row r="2322" spans="1:2" x14ac:dyDescent="0.3">
      <c r="A2322" s="4" t="s">
        <v>3868</v>
      </c>
      <c r="B2322" s="4" t="s">
        <v>3869</v>
      </c>
    </row>
    <row r="2323" spans="1:2" x14ac:dyDescent="0.3">
      <c r="A2323" s="4" t="s">
        <v>3870</v>
      </c>
      <c r="B2323" s="4" t="s">
        <v>3871</v>
      </c>
    </row>
    <row r="2324" spans="1:2" x14ac:dyDescent="0.3">
      <c r="A2324" s="4" t="s">
        <v>3872</v>
      </c>
      <c r="B2324" s="4" t="s">
        <v>3873</v>
      </c>
    </row>
    <row r="2325" spans="1:2" x14ac:dyDescent="0.3">
      <c r="A2325" s="4" t="s">
        <v>3874</v>
      </c>
      <c r="B2325" s="4" t="s">
        <v>3875</v>
      </c>
    </row>
    <row r="2326" spans="1:2" x14ac:dyDescent="0.3">
      <c r="A2326" s="4" t="s">
        <v>3876</v>
      </c>
      <c r="B2326" s="4" t="s">
        <v>3877</v>
      </c>
    </row>
    <row r="2327" spans="1:2" x14ac:dyDescent="0.3">
      <c r="A2327" s="4" t="s">
        <v>9110</v>
      </c>
      <c r="B2327" s="4" t="s">
        <v>7957</v>
      </c>
    </row>
    <row r="2328" spans="1:2" x14ac:dyDescent="0.3">
      <c r="A2328" s="4" t="s">
        <v>3878</v>
      </c>
      <c r="B2328" s="4" t="s">
        <v>3879</v>
      </c>
    </row>
    <row r="2329" spans="1:2" x14ac:dyDescent="0.3">
      <c r="A2329" s="4" t="s">
        <v>3880</v>
      </c>
      <c r="B2329" s="4" t="s">
        <v>3881</v>
      </c>
    </row>
    <row r="2330" spans="1:2" x14ac:dyDescent="0.3">
      <c r="A2330" s="4" t="s">
        <v>3882</v>
      </c>
      <c r="B2330" s="4" t="s">
        <v>3883</v>
      </c>
    </row>
    <row r="2331" spans="1:2" x14ac:dyDescent="0.3">
      <c r="A2331" s="4" t="s">
        <v>3885</v>
      </c>
      <c r="B2331" s="4" t="s">
        <v>3886</v>
      </c>
    </row>
    <row r="2332" spans="1:2" x14ac:dyDescent="0.3">
      <c r="A2332" s="4" t="s">
        <v>1257</v>
      </c>
      <c r="B2332" s="4" t="s">
        <v>12364</v>
      </c>
    </row>
    <row r="2333" spans="1:2" x14ac:dyDescent="0.3">
      <c r="A2333" s="4" t="s">
        <v>1690</v>
      </c>
      <c r="B2333" s="4" t="s">
        <v>12365</v>
      </c>
    </row>
    <row r="2334" spans="1:2" x14ac:dyDescent="0.3">
      <c r="A2334" s="4" t="s">
        <v>3887</v>
      </c>
      <c r="B2334" s="4" t="s">
        <v>3888</v>
      </c>
    </row>
    <row r="2335" spans="1:2" x14ac:dyDescent="0.3">
      <c r="A2335" s="4" t="s">
        <v>3889</v>
      </c>
      <c r="B2335" s="4" t="s">
        <v>3890</v>
      </c>
    </row>
    <row r="2336" spans="1:2" x14ac:dyDescent="0.3">
      <c r="A2336" s="4" t="s">
        <v>3891</v>
      </c>
      <c r="B2336" s="4" t="s">
        <v>3892</v>
      </c>
    </row>
    <row r="2337" spans="1:2" x14ac:dyDescent="0.3">
      <c r="A2337" s="4" t="s">
        <v>3893</v>
      </c>
      <c r="B2337" s="4" t="s">
        <v>3894</v>
      </c>
    </row>
    <row r="2338" spans="1:2" x14ac:dyDescent="0.3">
      <c r="A2338" s="4" t="s">
        <v>3895</v>
      </c>
      <c r="B2338" s="4" t="s">
        <v>3896</v>
      </c>
    </row>
    <row r="2339" spans="1:2" x14ac:dyDescent="0.3">
      <c r="A2339" s="4" t="s">
        <v>3897</v>
      </c>
      <c r="B2339" s="4" t="s">
        <v>3898</v>
      </c>
    </row>
    <row r="2340" spans="1:2" x14ac:dyDescent="0.3">
      <c r="A2340" s="4" t="s">
        <v>935</v>
      </c>
      <c r="B2340" s="4" t="s">
        <v>9111</v>
      </c>
    </row>
    <row r="2341" spans="1:2" x14ac:dyDescent="0.3">
      <c r="A2341" s="4" t="s">
        <v>3899</v>
      </c>
      <c r="B2341" s="4" t="s">
        <v>3900</v>
      </c>
    </row>
    <row r="2342" spans="1:2" x14ac:dyDescent="0.3">
      <c r="A2342" s="4" t="s">
        <v>3901</v>
      </c>
      <c r="B2342" s="4" t="s">
        <v>3902</v>
      </c>
    </row>
    <row r="2343" spans="1:2" x14ac:dyDescent="0.3">
      <c r="A2343" s="4" t="s">
        <v>3903</v>
      </c>
      <c r="B2343" s="4" t="s">
        <v>3904</v>
      </c>
    </row>
    <row r="2344" spans="1:2" x14ac:dyDescent="0.3">
      <c r="A2344" s="4" t="s">
        <v>4197</v>
      </c>
      <c r="B2344" s="4" t="s">
        <v>7986</v>
      </c>
    </row>
    <row r="2345" spans="1:2" x14ac:dyDescent="0.3">
      <c r="A2345" s="4" t="s">
        <v>3905</v>
      </c>
      <c r="B2345" s="4" t="s">
        <v>3906</v>
      </c>
    </row>
    <row r="2346" spans="1:2" x14ac:dyDescent="0.3">
      <c r="A2346" s="4" t="s">
        <v>3907</v>
      </c>
      <c r="B2346" s="4" t="s">
        <v>3908</v>
      </c>
    </row>
    <row r="2347" spans="1:2" x14ac:dyDescent="0.3">
      <c r="A2347" s="4" t="s">
        <v>294</v>
      </c>
      <c r="B2347" s="4" t="s">
        <v>9112</v>
      </c>
    </row>
    <row r="2348" spans="1:2" x14ac:dyDescent="0.3">
      <c r="A2348" s="4" t="s">
        <v>3909</v>
      </c>
      <c r="B2348" s="4" t="s">
        <v>3910</v>
      </c>
    </row>
    <row r="2349" spans="1:2" x14ac:dyDescent="0.3">
      <c r="A2349" s="4" t="s">
        <v>3911</v>
      </c>
      <c r="B2349" s="4" t="s">
        <v>3912</v>
      </c>
    </row>
    <row r="2350" spans="1:2" x14ac:dyDescent="0.3">
      <c r="A2350" s="4" t="s">
        <v>3916</v>
      </c>
      <c r="B2350" s="4" t="s">
        <v>3917</v>
      </c>
    </row>
    <row r="2351" spans="1:2" x14ac:dyDescent="0.3">
      <c r="A2351" s="4" t="s">
        <v>3918</v>
      </c>
      <c r="B2351" s="4" t="s">
        <v>3919</v>
      </c>
    </row>
    <row r="2352" spans="1:2" x14ac:dyDescent="0.3">
      <c r="A2352" s="4" t="s">
        <v>2099</v>
      </c>
      <c r="B2352" s="4" t="s">
        <v>9113</v>
      </c>
    </row>
    <row r="2353" spans="1:2" x14ac:dyDescent="0.3">
      <c r="A2353" s="4" t="s">
        <v>3936</v>
      </c>
      <c r="B2353" s="4" t="s">
        <v>9114</v>
      </c>
    </row>
    <row r="2354" spans="1:2" x14ac:dyDescent="0.3">
      <c r="A2354" s="4" t="s">
        <v>3921</v>
      </c>
      <c r="B2354" s="4" t="s">
        <v>3922</v>
      </c>
    </row>
    <row r="2355" spans="1:2" x14ac:dyDescent="0.3">
      <c r="A2355" s="4" t="s">
        <v>3923</v>
      </c>
      <c r="B2355" s="4" t="s">
        <v>3924</v>
      </c>
    </row>
    <row r="2356" spans="1:2" x14ac:dyDescent="0.3">
      <c r="A2356" s="4" t="s">
        <v>3925</v>
      </c>
      <c r="B2356" s="4" t="s">
        <v>3926</v>
      </c>
    </row>
    <row r="2357" spans="1:2" x14ac:dyDescent="0.3">
      <c r="A2357" s="4" t="s">
        <v>2775</v>
      </c>
      <c r="B2357" s="4" t="s">
        <v>9115</v>
      </c>
    </row>
    <row r="2358" spans="1:2" x14ac:dyDescent="0.3">
      <c r="A2358" s="4" t="s">
        <v>3927</v>
      </c>
      <c r="B2358" s="4" t="s">
        <v>3928</v>
      </c>
    </row>
    <row r="2359" spans="1:2" x14ac:dyDescent="0.3">
      <c r="A2359" s="4" t="s">
        <v>3929</v>
      </c>
      <c r="B2359" s="4" t="s">
        <v>3930</v>
      </c>
    </row>
    <row r="2360" spans="1:2" x14ac:dyDescent="0.3">
      <c r="A2360" s="4" t="s">
        <v>9116</v>
      </c>
      <c r="B2360" s="4" t="s">
        <v>9117</v>
      </c>
    </row>
    <row r="2361" spans="1:2" x14ac:dyDescent="0.3">
      <c r="A2361" s="4" t="s">
        <v>3932</v>
      </c>
      <c r="B2361" s="4" t="s">
        <v>3933</v>
      </c>
    </row>
    <row r="2362" spans="1:2" x14ac:dyDescent="0.3">
      <c r="A2362" s="4" t="s">
        <v>3914</v>
      </c>
      <c r="B2362" s="4" t="s">
        <v>9118</v>
      </c>
    </row>
    <row r="2363" spans="1:2" x14ac:dyDescent="0.3">
      <c r="A2363" s="4" t="s">
        <v>3934</v>
      </c>
      <c r="B2363" s="4" t="s">
        <v>3935</v>
      </c>
    </row>
    <row r="2364" spans="1:2" x14ac:dyDescent="0.3">
      <c r="A2364" s="4" t="s">
        <v>3920</v>
      </c>
      <c r="B2364" s="4" t="s">
        <v>9119</v>
      </c>
    </row>
    <row r="2365" spans="1:2" x14ac:dyDescent="0.3">
      <c r="A2365" s="4" t="s">
        <v>3937</v>
      </c>
      <c r="B2365" s="4" t="s">
        <v>3938</v>
      </c>
    </row>
    <row r="2366" spans="1:2" x14ac:dyDescent="0.3">
      <c r="A2366" s="4" t="s">
        <v>3939</v>
      </c>
      <c r="B2366" s="4" t="s">
        <v>3940</v>
      </c>
    </row>
    <row r="2367" spans="1:2" x14ac:dyDescent="0.3">
      <c r="A2367" s="4" t="s">
        <v>2208</v>
      </c>
      <c r="B2367" s="4" t="s">
        <v>9120</v>
      </c>
    </row>
    <row r="2368" spans="1:2" x14ac:dyDescent="0.3">
      <c r="A2368" s="4" t="s">
        <v>3941</v>
      </c>
      <c r="B2368" s="4" t="s">
        <v>3942</v>
      </c>
    </row>
    <row r="2369" spans="1:2" x14ac:dyDescent="0.3">
      <c r="A2369" s="4" t="s">
        <v>3943</v>
      </c>
      <c r="B2369" s="4" t="s">
        <v>3944</v>
      </c>
    </row>
    <row r="2370" spans="1:2" x14ac:dyDescent="0.3">
      <c r="A2370" s="4" t="s">
        <v>3945</v>
      </c>
      <c r="B2370" s="4" t="s">
        <v>3946</v>
      </c>
    </row>
    <row r="2371" spans="1:2" x14ac:dyDescent="0.3">
      <c r="A2371" s="4" t="s">
        <v>3947</v>
      </c>
      <c r="B2371" s="4" t="s">
        <v>3948</v>
      </c>
    </row>
    <row r="2372" spans="1:2" x14ac:dyDescent="0.3">
      <c r="A2372" s="4" t="s">
        <v>3949</v>
      </c>
      <c r="B2372" s="4" t="s">
        <v>3950</v>
      </c>
    </row>
    <row r="2373" spans="1:2" x14ac:dyDescent="0.3">
      <c r="A2373" s="4" t="s">
        <v>3951</v>
      </c>
      <c r="B2373" s="4" t="s">
        <v>3952</v>
      </c>
    </row>
    <row r="2374" spans="1:2" x14ac:dyDescent="0.3">
      <c r="A2374" s="4" t="s">
        <v>3953</v>
      </c>
      <c r="B2374" s="4" t="s">
        <v>3954</v>
      </c>
    </row>
    <row r="2375" spans="1:2" x14ac:dyDescent="0.3">
      <c r="A2375" s="4" t="s">
        <v>3955</v>
      </c>
      <c r="B2375" s="4" t="s">
        <v>3956</v>
      </c>
    </row>
    <row r="2376" spans="1:2" x14ac:dyDescent="0.3">
      <c r="A2376" s="4" t="s">
        <v>3957</v>
      </c>
      <c r="B2376" s="4" t="s">
        <v>3958</v>
      </c>
    </row>
    <row r="2377" spans="1:2" x14ac:dyDescent="0.3">
      <c r="A2377" s="4" t="s">
        <v>9121</v>
      </c>
      <c r="B2377" s="4" t="s">
        <v>3960</v>
      </c>
    </row>
    <row r="2378" spans="1:2" x14ac:dyDescent="0.3">
      <c r="A2378" s="4" t="s">
        <v>3961</v>
      </c>
      <c r="B2378" s="4" t="s">
        <v>3962</v>
      </c>
    </row>
    <row r="2379" spans="1:2" x14ac:dyDescent="0.3">
      <c r="A2379" s="4" t="s">
        <v>3963</v>
      </c>
      <c r="B2379" s="4" t="s">
        <v>3964</v>
      </c>
    </row>
    <row r="2380" spans="1:2" x14ac:dyDescent="0.3">
      <c r="A2380" s="4" t="s">
        <v>3959</v>
      </c>
      <c r="B2380" s="4" t="s">
        <v>9122</v>
      </c>
    </row>
    <row r="2381" spans="1:2" x14ac:dyDescent="0.3">
      <c r="A2381" s="4" t="s">
        <v>3965</v>
      </c>
      <c r="B2381" s="4" t="s">
        <v>3966</v>
      </c>
    </row>
    <row r="2382" spans="1:2" x14ac:dyDescent="0.3">
      <c r="A2382" s="4" t="s">
        <v>3967</v>
      </c>
      <c r="B2382" s="4" t="s">
        <v>3968</v>
      </c>
    </row>
    <row r="2383" spans="1:2" x14ac:dyDescent="0.3">
      <c r="A2383" s="4" t="s">
        <v>3971</v>
      </c>
      <c r="B2383" s="4" t="s">
        <v>3972</v>
      </c>
    </row>
    <row r="2384" spans="1:2" x14ac:dyDescent="0.3">
      <c r="A2384" s="4" t="s">
        <v>3973</v>
      </c>
      <c r="B2384" s="4" t="s">
        <v>3974</v>
      </c>
    </row>
    <row r="2385" spans="1:2" x14ac:dyDescent="0.3">
      <c r="A2385" s="4" t="s">
        <v>3975</v>
      </c>
      <c r="B2385" s="4" t="s">
        <v>3976</v>
      </c>
    </row>
    <row r="2386" spans="1:2" x14ac:dyDescent="0.3">
      <c r="A2386" s="4" t="s">
        <v>3977</v>
      </c>
      <c r="B2386" s="4" t="s">
        <v>3978</v>
      </c>
    </row>
    <row r="2387" spans="1:2" x14ac:dyDescent="0.3">
      <c r="A2387" s="4" t="s">
        <v>3979</v>
      </c>
      <c r="B2387" s="4" t="s">
        <v>3980</v>
      </c>
    </row>
    <row r="2388" spans="1:2" x14ac:dyDescent="0.3">
      <c r="A2388" s="4" t="s">
        <v>3981</v>
      </c>
      <c r="B2388" s="4" t="s">
        <v>3982</v>
      </c>
    </row>
    <row r="2389" spans="1:2" x14ac:dyDescent="0.3">
      <c r="A2389" s="4" t="s">
        <v>3983</v>
      </c>
      <c r="B2389" s="4" t="s">
        <v>3984</v>
      </c>
    </row>
    <row r="2390" spans="1:2" x14ac:dyDescent="0.3">
      <c r="A2390" s="4" t="s">
        <v>3985</v>
      </c>
      <c r="B2390" s="4" t="s">
        <v>3986</v>
      </c>
    </row>
    <row r="2391" spans="1:2" x14ac:dyDescent="0.3">
      <c r="A2391" s="4" t="s">
        <v>3987</v>
      </c>
      <c r="B2391" s="4" t="s">
        <v>3988</v>
      </c>
    </row>
    <row r="2392" spans="1:2" x14ac:dyDescent="0.3">
      <c r="A2392" s="4" t="s">
        <v>3989</v>
      </c>
      <c r="B2392" s="4" t="s">
        <v>3990</v>
      </c>
    </row>
    <row r="2393" spans="1:2" x14ac:dyDescent="0.3">
      <c r="A2393" s="4" t="s">
        <v>3991</v>
      </c>
      <c r="B2393" s="4" t="s">
        <v>3992</v>
      </c>
    </row>
    <row r="2394" spans="1:2" x14ac:dyDescent="0.3">
      <c r="A2394" s="4" t="s">
        <v>3993</v>
      </c>
      <c r="B2394" s="4" t="s">
        <v>3994</v>
      </c>
    </row>
    <row r="2395" spans="1:2" x14ac:dyDescent="0.3">
      <c r="A2395" s="4" t="s">
        <v>3995</v>
      </c>
      <c r="B2395" s="4" t="s">
        <v>3996</v>
      </c>
    </row>
    <row r="2396" spans="1:2" x14ac:dyDescent="0.3">
      <c r="A2396" s="4" t="s">
        <v>3997</v>
      </c>
      <c r="B2396" s="4" t="s">
        <v>3998</v>
      </c>
    </row>
    <row r="2397" spans="1:2" x14ac:dyDescent="0.3">
      <c r="A2397" s="4" t="s">
        <v>4000</v>
      </c>
      <c r="B2397" s="4" t="s">
        <v>4001</v>
      </c>
    </row>
    <row r="2398" spans="1:2" x14ac:dyDescent="0.3">
      <c r="A2398" s="4" t="s">
        <v>4002</v>
      </c>
      <c r="B2398" s="4" t="s">
        <v>4003</v>
      </c>
    </row>
    <row r="2399" spans="1:2" x14ac:dyDescent="0.3">
      <c r="A2399" s="4" t="s">
        <v>4004</v>
      </c>
      <c r="B2399" s="4" t="s">
        <v>4005</v>
      </c>
    </row>
    <row r="2400" spans="1:2" x14ac:dyDescent="0.3">
      <c r="A2400" s="4" t="s">
        <v>9123</v>
      </c>
      <c r="B2400" s="4" t="s">
        <v>4006</v>
      </c>
    </row>
    <row r="2401" spans="1:2" x14ac:dyDescent="0.3">
      <c r="A2401" s="4" t="s">
        <v>348</v>
      </c>
      <c r="B2401" s="4" t="s">
        <v>12366</v>
      </c>
    </row>
    <row r="2402" spans="1:2" x14ac:dyDescent="0.3">
      <c r="A2402" s="4" t="s">
        <v>4007</v>
      </c>
      <c r="B2402" s="4" t="s">
        <v>4008</v>
      </c>
    </row>
    <row r="2403" spans="1:2" x14ac:dyDescent="0.3">
      <c r="A2403" s="4" t="s">
        <v>4009</v>
      </c>
      <c r="B2403" s="4" t="s">
        <v>4010</v>
      </c>
    </row>
    <row r="2404" spans="1:2" x14ac:dyDescent="0.3">
      <c r="A2404" s="4" t="s">
        <v>4011</v>
      </c>
      <c r="B2404" s="4" t="s">
        <v>4012</v>
      </c>
    </row>
    <row r="2405" spans="1:2" x14ac:dyDescent="0.3">
      <c r="A2405" s="4" t="s">
        <v>4013</v>
      </c>
      <c r="B2405" s="4" t="s">
        <v>4014</v>
      </c>
    </row>
    <row r="2406" spans="1:2" x14ac:dyDescent="0.3">
      <c r="A2406" s="4" t="s">
        <v>462</v>
      </c>
      <c r="B2406" s="4" t="s">
        <v>9124</v>
      </c>
    </row>
    <row r="2407" spans="1:2" x14ac:dyDescent="0.3">
      <c r="A2407" s="4" t="s">
        <v>4015</v>
      </c>
      <c r="B2407" s="4" t="s">
        <v>4016</v>
      </c>
    </row>
    <row r="2408" spans="1:2" x14ac:dyDescent="0.3">
      <c r="A2408" s="4" t="s">
        <v>4017</v>
      </c>
      <c r="B2408" s="4" t="s">
        <v>4018</v>
      </c>
    </row>
    <row r="2409" spans="1:2" x14ac:dyDescent="0.3">
      <c r="A2409" s="4" t="s">
        <v>4019</v>
      </c>
      <c r="B2409" s="4" t="s">
        <v>4020</v>
      </c>
    </row>
    <row r="2410" spans="1:2" x14ac:dyDescent="0.3">
      <c r="A2410" s="4" t="s">
        <v>4021</v>
      </c>
      <c r="B2410" s="4" t="s">
        <v>4022</v>
      </c>
    </row>
    <row r="2411" spans="1:2" x14ac:dyDescent="0.3">
      <c r="A2411" s="4" t="s">
        <v>2601</v>
      </c>
      <c r="B2411" s="4" t="s">
        <v>9125</v>
      </c>
    </row>
    <row r="2412" spans="1:2" x14ac:dyDescent="0.3">
      <c r="A2412" s="4" t="s">
        <v>4023</v>
      </c>
      <c r="B2412" s="4" t="s">
        <v>4024</v>
      </c>
    </row>
    <row r="2413" spans="1:2" x14ac:dyDescent="0.3">
      <c r="A2413" s="4" t="s">
        <v>1354</v>
      </c>
      <c r="B2413" s="4" t="s">
        <v>9126</v>
      </c>
    </row>
    <row r="2414" spans="1:2" x14ac:dyDescent="0.3">
      <c r="A2414" s="4" t="s">
        <v>4025</v>
      </c>
      <c r="B2414" s="4" t="s">
        <v>4026</v>
      </c>
    </row>
    <row r="2415" spans="1:2" x14ac:dyDescent="0.3">
      <c r="A2415" s="4" t="s">
        <v>4027</v>
      </c>
      <c r="B2415" s="4" t="s">
        <v>4028</v>
      </c>
    </row>
    <row r="2416" spans="1:2" x14ac:dyDescent="0.3">
      <c r="A2416" s="4" t="s">
        <v>4029</v>
      </c>
      <c r="B2416" s="4" t="s">
        <v>4030</v>
      </c>
    </row>
    <row r="2417" spans="1:2" x14ac:dyDescent="0.3">
      <c r="A2417" s="4" t="s">
        <v>4032</v>
      </c>
      <c r="B2417" s="4" t="s">
        <v>4033</v>
      </c>
    </row>
    <row r="2418" spans="1:2" x14ac:dyDescent="0.3">
      <c r="A2418" s="4" t="s">
        <v>4034</v>
      </c>
      <c r="B2418" s="4" t="s">
        <v>4035</v>
      </c>
    </row>
    <row r="2419" spans="1:2" x14ac:dyDescent="0.3">
      <c r="A2419" s="4" t="s">
        <v>4036</v>
      </c>
      <c r="B2419" s="4" t="s">
        <v>4037</v>
      </c>
    </row>
    <row r="2420" spans="1:2" x14ac:dyDescent="0.3">
      <c r="A2420" s="4" t="s">
        <v>4038</v>
      </c>
      <c r="B2420" s="4" t="s">
        <v>4039</v>
      </c>
    </row>
    <row r="2421" spans="1:2" x14ac:dyDescent="0.3">
      <c r="A2421" s="4" t="s">
        <v>4040</v>
      </c>
      <c r="B2421" s="4" t="s">
        <v>4041</v>
      </c>
    </row>
    <row r="2422" spans="1:2" x14ac:dyDescent="0.3">
      <c r="A2422" s="4" t="s">
        <v>4042</v>
      </c>
      <c r="B2422" s="4" t="s">
        <v>4043</v>
      </c>
    </row>
    <row r="2423" spans="1:2" x14ac:dyDescent="0.3">
      <c r="A2423" s="4" t="s">
        <v>4044</v>
      </c>
      <c r="B2423" s="4" t="s">
        <v>4045</v>
      </c>
    </row>
    <row r="2424" spans="1:2" x14ac:dyDescent="0.3">
      <c r="A2424" s="4" t="s">
        <v>4046</v>
      </c>
      <c r="B2424" s="4" t="s">
        <v>4047</v>
      </c>
    </row>
    <row r="2425" spans="1:2" x14ac:dyDescent="0.3">
      <c r="A2425" s="4" t="s">
        <v>4048</v>
      </c>
      <c r="B2425" s="4" t="s">
        <v>4049</v>
      </c>
    </row>
    <row r="2426" spans="1:2" x14ac:dyDescent="0.3">
      <c r="A2426" s="4" t="s">
        <v>4050</v>
      </c>
      <c r="B2426" s="4" t="s">
        <v>4051</v>
      </c>
    </row>
    <row r="2427" spans="1:2" x14ac:dyDescent="0.3">
      <c r="A2427" s="4" t="s">
        <v>4052</v>
      </c>
      <c r="B2427" s="4" t="s">
        <v>4053</v>
      </c>
    </row>
    <row r="2428" spans="1:2" x14ac:dyDescent="0.3">
      <c r="A2428" s="4" t="s">
        <v>4054</v>
      </c>
      <c r="B2428" s="4" t="s">
        <v>4055</v>
      </c>
    </row>
    <row r="2429" spans="1:2" x14ac:dyDescent="0.3">
      <c r="A2429" s="4" t="s">
        <v>4056</v>
      </c>
      <c r="B2429" s="4" t="s">
        <v>4057</v>
      </c>
    </row>
    <row r="2430" spans="1:2" x14ac:dyDescent="0.3">
      <c r="A2430" s="4" t="s">
        <v>4058</v>
      </c>
      <c r="B2430" s="4" t="s">
        <v>4059</v>
      </c>
    </row>
    <row r="2431" spans="1:2" x14ac:dyDescent="0.3">
      <c r="A2431" s="4" t="s">
        <v>4060</v>
      </c>
      <c r="B2431" s="4" t="s">
        <v>4061</v>
      </c>
    </row>
    <row r="2432" spans="1:2" x14ac:dyDescent="0.3">
      <c r="A2432" s="4" t="s">
        <v>9127</v>
      </c>
      <c r="B2432" s="4" t="s">
        <v>9128</v>
      </c>
    </row>
    <row r="2433" spans="1:2" x14ac:dyDescent="0.3">
      <c r="A2433" s="4" t="s">
        <v>4062</v>
      </c>
      <c r="B2433" s="4" t="s">
        <v>4063</v>
      </c>
    </row>
    <row r="2434" spans="1:2" x14ac:dyDescent="0.3">
      <c r="A2434" s="4" t="s">
        <v>4064</v>
      </c>
      <c r="B2434" s="4" t="s">
        <v>4065</v>
      </c>
    </row>
    <row r="2435" spans="1:2" x14ac:dyDescent="0.3">
      <c r="A2435" s="4" t="s">
        <v>4066</v>
      </c>
      <c r="B2435" s="4" t="s">
        <v>4067</v>
      </c>
    </row>
    <row r="2436" spans="1:2" x14ac:dyDescent="0.3">
      <c r="A2436" s="4" t="s">
        <v>4068</v>
      </c>
      <c r="B2436" s="4" t="s">
        <v>4069</v>
      </c>
    </row>
    <row r="2437" spans="1:2" x14ac:dyDescent="0.3">
      <c r="A2437" s="4" t="s">
        <v>4070</v>
      </c>
      <c r="B2437" s="4" t="s">
        <v>4071</v>
      </c>
    </row>
    <row r="2438" spans="1:2" x14ac:dyDescent="0.3">
      <c r="A2438" s="4" t="s">
        <v>4072</v>
      </c>
      <c r="B2438" s="4" t="s">
        <v>4073</v>
      </c>
    </row>
    <row r="2439" spans="1:2" x14ac:dyDescent="0.3">
      <c r="A2439" s="4" t="s">
        <v>4074</v>
      </c>
      <c r="B2439" s="4" t="s">
        <v>4075</v>
      </c>
    </row>
    <row r="2440" spans="1:2" x14ac:dyDescent="0.3">
      <c r="A2440" s="4" t="s">
        <v>4076</v>
      </c>
      <c r="B2440" s="4" t="s">
        <v>4077</v>
      </c>
    </row>
    <row r="2441" spans="1:2" x14ac:dyDescent="0.3">
      <c r="A2441" s="4" t="s">
        <v>4078</v>
      </c>
      <c r="B2441" s="4" t="s">
        <v>4079</v>
      </c>
    </row>
    <row r="2442" spans="1:2" x14ac:dyDescent="0.3">
      <c r="A2442" s="4" t="s">
        <v>4080</v>
      </c>
      <c r="B2442" s="4" t="s">
        <v>4081</v>
      </c>
    </row>
    <row r="2443" spans="1:2" x14ac:dyDescent="0.3">
      <c r="A2443" s="4" t="s">
        <v>4082</v>
      </c>
      <c r="B2443" s="4" t="s">
        <v>4083</v>
      </c>
    </row>
    <row r="2444" spans="1:2" x14ac:dyDescent="0.3">
      <c r="A2444" s="4" t="s">
        <v>4084</v>
      </c>
      <c r="B2444" s="4" t="s">
        <v>4085</v>
      </c>
    </row>
    <row r="2445" spans="1:2" x14ac:dyDescent="0.3">
      <c r="A2445" s="4" t="s">
        <v>4086</v>
      </c>
      <c r="B2445" s="4" t="s">
        <v>4087</v>
      </c>
    </row>
    <row r="2446" spans="1:2" x14ac:dyDescent="0.3">
      <c r="A2446" s="4" t="s">
        <v>4088</v>
      </c>
      <c r="B2446" s="4" t="s">
        <v>4089</v>
      </c>
    </row>
    <row r="2447" spans="1:2" x14ac:dyDescent="0.3">
      <c r="A2447" s="4" t="s">
        <v>4090</v>
      </c>
      <c r="B2447" s="4" t="s">
        <v>4091</v>
      </c>
    </row>
    <row r="2448" spans="1:2" x14ac:dyDescent="0.3">
      <c r="A2448" s="4" t="s">
        <v>4093</v>
      </c>
      <c r="B2448" s="4" t="s">
        <v>4094</v>
      </c>
    </row>
    <row r="2449" spans="1:2" x14ac:dyDescent="0.3">
      <c r="A2449" s="4" t="s">
        <v>4095</v>
      </c>
      <c r="B2449" s="4" t="s">
        <v>4096</v>
      </c>
    </row>
    <row r="2450" spans="1:2" x14ac:dyDescent="0.3">
      <c r="A2450" s="4" t="s">
        <v>4097</v>
      </c>
      <c r="B2450" s="4" t="s">
        <v>4098</v>
      </c>
    </row>
    <row r="2451" spans="1:2" x14ac:dyDescent="0.3">
      <c r="A2451" s="4" t="s">
        <v>4092</v>
      </c>
      <c r="B2451" s="4" t="s">
        <v>9129</v>
      </c>
    </row>
    <row r="2452" spans="1:2" x14ac:dyDescent="0.3">
      <c r="A2452" s="4" t="s">
        <v>4099</v>
      </c>
      <c r="B2452" s="4" t="s">
        <v>4100</v>
      </c>
    </row>
    <row r="2453" spans="1:2" x14ac:dyDescent="0.3">
      <c r="A2453" s="4" t="s">
        <v>4101</v>
      </c>
      <c r="B2453" s="4" t="s">
        <v>9130</v>
      </c>
    </row>
    <row r="2454" spans="1:2" x14ac:dyDescent="0.3">
      <c r="A2454" s="4" t="s">
        <v>4102</v>
      </c>
      <c r="B2454" s="4" t="s">
        <v>9131</v>
      </c>
    </row>
    <row r="2455" spans="1:2" x14ac:dyDescent="0.3">
      <c r="A2455" s="4" t="s">
        <v>4103</v>
      </c>
      <c r="B2455" s="4" t="s">
        <v>4104</v>
      </c>
    </row>
    <row r="2456" spans="1:2" x14ac:dyDescent="0.3">
      <c r="A2456" s="4" t="s">
        <v>4105</v>
      </c>
      <c r="B2456" s="4" t="s">
        <v>4106</v>
      </c>
    </row>
    <row r="2457" spans="1:2" x14ac:dyDescent="0.3">
      <c r="A2457" s="4" t="s">
        <v>4107</v>
      </c>
      <c r="B2457" s="4" t="s">
        <v>4108</v>
      </c>
    </row>
    <row r="2458" spans="1:2" x14ac:dyDescent="0.3">
      <c r="A2458" s="4" t="s">
        <v>4109</v>
      </c>
      <c r="B2458" s="4" t="s">
        <v>4110</v>
      </c>
    </row>
    <row r="2459" spans="1:2" x14ac:dyDescent="0.3">
      <c r="A2459" s="4" t="s">
        <v>4111</v>
      </c>
      <c r="B2459" s="4" t="s">
        <v>4112</v>
      </c>
    </row>
    <row r="2460" spans="1:2" x14ac:dyDescent="0.3">
      <c r="A2460" s="4" t="s">
        <v>4113</v>
      </c>
      <c r="B2460" s="4" t="s">
        <v>4114</v>
      </c>
    </row>
    <row r="2461" spans="1:2" x14ac:dyDescent="0.3">
      <c r="A2461" s="4" t="s">
        <v>4115</v>
      </c>
      <c r="B2461" s="4" t="s">
        <v>4116</v>
      </c>
    </row>
    <row r="2462" spans="1:2" x14ac:dyDescent="0.3">
      <c r="A2462" s="4" t="s">
        <v>4117</v>
      </c>
      <c r="B2462" s="4" t="s">
        <v>4118</v>
      </c>
    </row>
    <row r="2463" spans="1:2" x14ac:dyDescent="0.3">
      <c r="A2463" s="4" t="s">
        <v>4119</v>
      </c>
      <c r="B2463" s="4" t="s">
        <v>4120</v>
      </c>
    </row>
    <row r="2464" spans="1:2" x14ac:dyDescent="0.3">
      <c r="A2464" s="4" t="s">
        <v>4121</v>
      </c>
      <c r="B2464" s="4" t="s">
        <v>4122</v>
      </c>
    </row>
    <row r="2465" spans="1:2" x14ac:dyDescent="0.3">
      <c r="A2465" s="4" t="s">
        <v>4123</v>
      </c>
      <c r="B2465" s="4" t="s">
        <v>4124</v>
      </c>
    </row>
    <row r="2466" spans="1:2" x14ac:dyDescent="0.3">
      <c r="A2466" s="4" t="s">
        <v>4125</v>
      </c>
      <c r="B2466" s="4" t="s">
        <v>4126</v>
      </c>
    </row>
    <row r="2467" spans="1:2" x14ac:dyDescent="0.3">
      <c r="A2467" s="4" t="s">
        <v>4127</v>
      </c>
      <c r="B2467" s="4" t="s">
        <v>4128</v>
      </c>
    </row>
    <row r="2468" spans="1:2" x14ac:dyDescent="0.3">
      <c r="A2468" s="4" t="s">
        <v>4129</v>
      </c>
      <c r="B2468" s="4" t="s">
        <v>4130</v>
      </c>
    </row>
    <row r="2469" spans="1:2" x14ac:dyDescent="0.3">
      <c r="A2469" s="4" t="s">
        <v>4131</v>
      </c>
      <c r="B2469" s="4" t="s">
        <v>4132</v>
      </c>
    </row>
    <row r="2470" spans="1:2" x14ac:dyDescent="0.3">
      <c r="A2470" s="4" t="s">
        <v>4133</v>
      </c>
      <c r="B2470" s="4" t="s">
        <v>4134</v>
      </c>
    </row>
    <row r="2471" spans="1:2" x14ac:dyDescent="0.3">
      <c r="A2471" s="4" t="s">
        <v>4135</v>
      </c>
      <c r="B2471" s="4" t="s">
        <v>4136</v>
      </c>
    </row>
    <row r="2472" spans="1:2" x14ac:dyDescent="0.3">
      <c r="A2472" s="4" t="s">
        <v>4137</v>
      </c>
      <c r="B2472" s="4" t="s">
        <v>4138</v>
      </c>
    </row>
    <row r="2473" spans="1:2" x14ac:dyDescent="0.3">
      <c r="A2473" s="4" t="s">
        <v>4139</v>
      </c>
      <c r="B2473" s="4" t="s">
        <v>4140</v>
      </c>
    </row>
    <row r="2474" spans="1:2" x14ac:dyDescent="0.3">
      <c r="A2474" s="4" t="s">
        <v>4141</v>
      </c>
      <c r="B2474" s="4" t="s">
        <v>4142</v>
      </c>
    </row>
    <row r="2475" spans="1:2" x14ac:dyDescent="0.3">
      <c r="A2475" s="4" t="s">
        <v>4143</v>
      </c>
      <c r="B2475" s="4" t="s">
        <v>4144</v>
      </c>
    </row>
    <row r="2476" spans="1:2" x14ac:dyDescent="0.3">
      <c r="A2476" s="4" t="s">
        <v>4145</v>
      </c>
      <c r="B2476" s="4" t="s">
        <v>4146</v>
      </c>
    </row>
    <row r="2477" spans="1:2" x14ac:dyDescent="0.3">
      <c r="A2477" s="4" t="s">
        <v>4147</v>
      </c>
      <c r="B2477" s="4" t="s">
        <v>4148</v>
      </c>
    </row>
    <row r="2478" spans="1:2" x14ac:dyDescent="0.3">
      <c r="A2478" s="4" t="s">
        <v>9132</v>
      </c>
      <c r="B2478" s="4" t="s">
        <v>9133</v>
      </c>
    </row>
    <row r="2479" spans="1:2" x14ac:dyDescent="0.3">
      <c r="A2479" s="4" t="s">
        <v>9134</v>
      </c>
      <c r="B2479" s="4" t="s">
        <v>9135</v>
      </c>
    </row>
    <row r="2480" spans="1:2" x14ac:dyDescent="0.3">
      <c r="A2480" s="4" t="s">
        <v>9136</v>
      </c>
      <c r="B2480" s="4" t="s">
        <v>9137</v>
      </c>
    </row>
    <row r="2481" spans="1:2" x14ac:dyDescent="0.3">
      <c r="A2481" s="4" t="s">
        <v>4151</v>
      </c>
      <c r="B2481" s="4" t="s">
        <v>4152</v>
      </c>
    </row>
    <row r="2482" spans="1:2" x14ac:dyDescent="0.3">
      <c r="A2482" s="4" t="s">
        <v>8599</v>
      </c>
      <c r="B2482" s="4" t="s">
        <v>8600</v>
      </c>
    </row>
    <row r="2483" spans="1:2" x14ac:dyDescent="0.3">
      <c r="A2483" s="4" t="s">
        <v>9138</v>
      </c>
      <c r="B2483" s="4" t="s">
        <v>9139</v>
      </c>
    </row>
    <row r="2484" spans="1:2" x14ac:dyDescent="0.3">
      <c r="A2484" s="4" t="s">
        <v>9140</v>
      </c>
      <c r="B2484" s="4" t="s">
        <v>9141</v>
      </c>
    </row>
    <row r="2485" spans="1:2" x14ac:dyDescent="0.3">
      <c r="A2485" s="4" t="s">
        <v>9142</v>
      </c>
      <c r="B2485" s="4" t="s">
        <v>9143</v>
      </c>
    </row>
    <row r="2486" spans="1:2" x14ac:dyDescent="0.3">
      <c r="A2486" s="4" t="s">
        <v>12367</v>
      </c>
      <c r="B2486" s="4" t="s">
        <v>12368</v>
      </c>
    </row>
    <row r="2487" spans="1:2" x14ac:dyDescent="0.3">
      <c r="A2487" s="4" t="s">
        <v>12369</v>
      </c>
      <c r="B2487" s="4" t="s">
        <v>12370</v>
      </c>
    </row>
    <row r="2488" spans="1:2" x14ac:dyDescent="0.3">
      <c r="A2488" s="4" t="s">
        <v>12371</v>
      </c>
      <c r="B2488" s="4" t="s">
        <v>12372</v>
      </c>
    </row>
    <row r="2489" spans="1:2" x14ac:dyDescent="0.3">
      <c r="A2489" s="4" t="s">
        <v>12373</v>
      </c>
      <c r="B2489" s="4" t="s">
        <v>12374</v>
      </c>
    </row>
    <row r="2490" spans="1:2" x14ac:dyDescent="0.3">
      <c r="A2490" s="4" t="s">
        <v>4156</v>
      </c>
      <c r="B2490" s="4" t="s">
        <v>4157</v>
      </c>
    </row>
    <row r="2491" spans="1:2" x14ac:dyDescent="0.3">
      <c r="A2491" s="4" t="s">
        <v>4158</v>
      </c>
      <c r="B2491" s="4" t="s">
        <v>4159</v>
      </c>
    </row>
    <row r="2492" spans="1:2" x14ac:dyDescent="0.3">
      <c r="A2492" s="4" t="s">
        <v>12375</v>
      </c>
      <c r="B2492" s="4" t="s">
        <v>12376</v>
      </c>
    </row>
    <row r="2493" spans="1:2" x14ac:dyDescent="0.3">
      <c r="A2493" s="4" t="s">
        <v>4160</v>
      </c>
      <c r="B2493" s="4" t="s">
        <v>4161</v>
      </c>
    </row>
    <row r="2494" spans="1:2" x14ac:dyDescent="0.3">
      <c r="A2494" s="4" t="s">
        <v>4162</v>
      </c>
      <c r="B2494" s="4" t="s">
        <v>4163</v>
      </c>
    </row>
    <row r="2495" spans="1:2" x14ac:dyDescent="0.3">
      <c r="A2495" s="4" t="s">
        <v>9144</v>
      </c>
      <c r="B2495" s="4" t="s">
        <v>9145</v>
      </c>
    </row>
    <row r="2496" spans="1:2" x14ac:dyDescent="0.3">
      <c r="A2496" s="4" t="s">
        <v>9146</v>
      </c>
      <c r="B2496" s="4" t="s">
        <v>9147</v>
      </c>
    </row>
    <row r="2497" spans="1:2" x14ac:dyDescent="0.3">
      <c r="A2497" s="4" t="s">
        <v>9148</v>
      </c>
      <c r="B2497" s="4" t="s">
        <v>9149</v>
      </c>
    </row>
    <row r="2498" spans="1:2" x14ac:dyDescent="0.3">
      <c r="A2498" s="4" t="s">
        <v>12377</v>
      </c>
      <c r="B2498" s="4" t="s">
        <v>12378</v>
      </c>
    </row>
    <row r="2499" spans="1:2" x14ac:dyDescent="0.3">
      <c r="A2499" s="4" t="s">
        <v>9151</v>
      </c>
      <c r="B2499" s="4" t="s">
        <v>9152</v>
      </c>
    </row>
    <row r="2500" spans="1:2" x14ac:dyDescent="0.3">
      <c r="A2500" s="4" t="s">
        <v>4166</v>
      </c>
      <c r="B2500" s="4" t="s">
        <v>4167</v>
      </c>
    </row>
    <row r="2501" spans="1:2" x14ac:dyDescent="0.3">
      <c r="A2501" s="4" t="s">
        <v>9153</v>
      </c>
      <c r="B2501" s="4" t="s">
        <v>9154</v>
      </c>
    </row>
    <row r="2502" spans="1:2" x14ac:dyDescent="0.3">
      <c r="A2502" s="4" t="s">
        <v>9155</v>
      </c>
      <c r="B2502" s="4" t="s">
        <v>9156</v>
      </c>
    </row>
    <row r="2503" spans="1:2" x14ac:dyDescent="0.3">
      <c r="A2503" s="4" t="s">
        <v>12379</v>
      </c>
      <c r="B2503" s="4" t="s">
        <v>12380</v>
      </c>
    </row>
    <row r="2504" spans="1:2" x14ac:dyDescent="0.3">
      <c r="A2504" s="4" t="s">
        <v>12381</v>
      </c>
      <c r="B2504" s="4" t="s">
        <v>12382</v>
      </c>
    </row>
    <row r="2505" spans="1:2" x14ac:dyDescent="0.3">
      <c r="A2505" s="4" t="s">
        <v>12383</v>
      </c>
      <c r="B2505" s="4" t="s">
        <v>12384</v>
      </c>
    </row>
    <row r="2506" spans="1:2" x14ac:dyDescent="0.3">
      <c r="A2506" s="4" t="s">
        <v>9157</v>
      </c>
      <c r="B2506" s="4" t="s">
        <v>9158</v>
      </c>
    </row>
    <row r="2507" spans="1:2" x14ac:dyDescent="0.3">
      <c r="A2507" s="4" t="s">
        <v>4172</v>
      </c>
      <c r="B2507" s="4" t="s">
        <v>4173</v>
      </c>
    </row>
    <row r="2508" spans="1:2" x14ac:dyDescent="0.3">
      <c r="A2508" s="4" t="s">
        <v>4174</v>
      </c>
      <c r="B2508" s="4" t="s">
        <v>4175</v>
      </c>
    </row>
    <row r="2509" spans="1:2" x14ac:dyDescent="0.3">
      <c r="A2509" s="4" t="s">
        <v>4176</v>
      </c>
      <c r="B2509" s="4" t="s">
        <v>4177</v>
      </c>
    </row>
    <row r="2510" spans="1:2" x14ac:dyDescent="0.3">
      <c r="A2510" s="4" t="s">
        <v>9159</v>
      </c>
      <c r="B2510" s="4" t="s">
        <v>12385</v>
      </c>
    </row>
    <row r="2511" spans="1:2" x14ac:dyDescent="0.3">
      <c r="A2511" s="4" t="s">
        <v>12386</v>
      </c>
      <c r="B2511" s="4" t="s">
        <v>12387</v>
      </c>
    </row>
    <row r="2512" spans="1:2" x14ac:dyDescent="0.3">
      <c r="A2512" s="4" t="s">
        <v>9160</v>
      </c>
      <c r="B2512" s="4" t="s">
        <v>9161</v>
      </c>
    </row>
    <row r="2513" spans="1:2" x14ac:dyDescent="0.3">
      <c r="A2513" s="4" t="s">
        <v>9162</v>
      </c>
      <c r="B2513" s="4" t="s">
        <v>9163</v>
      </c>
    </row>
    <row r="2514" spans="1:2" x14ac:dyDescent="0.3">
      <c r="A2514" s="4" t="s">
        <v>8744</v>
      </c>
      <c r="B2514" s="4" t="s">
        <v>8745</v>
      </c>
    </row>
    <row r="2515" spans="1:2" x14ac:dyDescent="0.3">
      <c r="A2515" s="4" t="s">
        <v>4181</v>
      </c>
      <c r="B2515" s="4" t="s">
        <v>4182</v>
      </c>
    </row>
    <row r="2516" spans="1:2" x14ac:dyDescent="0.3">
      <c r="A2516" s="4" t="s">
        <v>9164</v>
      </c>
      <c r="B2516" s="4" t="s">
        <v>9165</v>
      </c>
    </row>
    <row r="2517" spans="1:2" x14ac:dyDescent="0.3">
      <c r="A2517" s="4" t="s">
        <v>12388</v>
      </c>
      <c r="B2517" s="4" t="s">
        <v>12389</v>
      </c>
    </row>
    <row r="2518" spans="1:2" x14ac:dyDescent="0.3">
      <c r="A2518" s="4" t="s">
        <v>12390</v>
      </c>
      <c r="B2518" s="4" t="s">
        <v>9881</v>
      </c>
    </row>
    <row r="2519" spans="1:2" x14ac:dyDescent="0.3">
      <c r="A2519" s="4" t="s">
        <v>427</v>
      </c>
      <c r="B2519" s="4" t="s">
        <v>9901</v>
      </c>
    </row>
    <row r="2520" spans="1:2" x14ac:dyDescent="0.3">
      <c r="A2520" s="4" t="s">
        <v>12391</v>
      </c>
      <c r="B2520" s="4" t="s">
        <v>12392</v>
      </c>
    </row>
    <row r="2521" spans="1:2" x14ac:dyDescent="0.3">
      <c r="A2521" s="4" t="s">
        <v>9166</v>
      </c>
      <c r="B2521" s="4" t="s">
        <v>9167</v>
      </c>
    </row>
    <row r="2522" spans="1:2" x14ac:dyDescent="0.3">
      <c r="A2522" s="4" t="s">
        <v>9168</v>
      </c>
      <c r="B2522" s="4" t="s">
        <v>9169</v>
      </c>
    </row>
    <row r="2523" spans="1:2" x14ac:dyDescent="0.3">
      <c r="A2523" s="4" t="s">
        <v>12393</v>
      </c>
      <c r="B2523" s="4" t="s">
        <v>12394</v>
      </c>
    </row>
    <row r="2524" spans="1:2" x14ac:dyDescent="0.3">
      <c r="A2524" s="4" t="s">
        <v>12395</v>
      </c>
      <c r="B2524" s="4" t="s">
        <v>12396</v>
      </c>
    </row>
    <row r="2525" spans="1:2" x14ac:dyDescent="0.3">
      <c r="A2525" s="4" t="s">
        <v>12397</v>
      </c>
      <c r="B2525" s="4" t="s">
        <v>12398</v>
      </c>
    </row>
    <row r="2526" spans="1:2" x14ac:dyDescent="0.3">
      <c r="A2526" s="4" t="s">
        <v>9170</v>
      </c>
      <c r="B2526" s="4" t="s">
        <v>9171</v>
      </c>
    </row>
    <row r="2527" spans="1:2" x14ac:dyDescent="0.3">
      <c r="A2527" s="4" t="s">
        <v>9172</v>
      </c>
      <c r="B2527" s="4" t="s">
        <v>8522</v>
      </c>
    </row>
    <row r="2528" spans="1:2" x14ac:dyDescent="0.3">
      <c r="A2528" s="4" t="s">
        <v>1017</v>
      </c>
      <c r="B2528" s="4" t="s">
        <v>8524</v>
      </c>
    </row>
    <row r="2529" spans="1:2" x14ac:dyDescent="0.3">
      <c r="A2529" s="4" t="s">
        <v>4189</v>
      </c>
      <c r="B2529" s="4" t="s">
        <v>8591</v>
      </c>
    </row>
    <row r="2530" spans="1:2" x14ac:dyDescent="0.3">
      <c r="A2530" s="4" t="s">
        <v>9173</v>
      </c>
      <c r="B2530" s="4" t="s">
        <v>9174</v>
      </c>
    </row>
    <row r="2531" spans="1:2" x14ac:dyDescent="0.3">
      <c r="A2531" s="4" t="s">
        <v>12399</v>
      </c>
      <c r="B2531" s="4" t="s">
        <v>12400</v>
      </c>
    </row>
    <row r="2532" spans="1:2" x14ac:dyDescent="0.3">
      <c r="A2532" s="4" t="s">
        <v>12401</v>
      </c>
      <c r="B2532" s="4" t="s">
        <v>12402</v>
      </c>
    </row>
    <row r="2533" spans="1:2" x14ac:dyDescent="0.3">
      <c r="A2533" s="4" t="s">
        <v>9175</v>
      </c>
      <c r="B2533" s="4" t="s">
        <v>9176</v>
      </c>
    </row>
    <row r="2534" spans="1:2" x14ac:dyDescent="0.3">
      <c r="A2534" s="4" t="s">
        <v>12403</v>
      </c>
      <c r="B2534" s="4" t="s">
        <v>12404</v>
      </c>
    </row>
    <row r="2535" spans="1:2" x14ac:dyDescent="0.3">
      <c r="A2535" s="4" t="s">
        <v>12405</v>
      </c>
      <c r="B2535" s="4" t="s">
        <v>12406</v>
      </c>
    </row>
    <row r="2536" spans="1:2" x14ac:dyDescent="0.3">
      <c r="A2536" s="4" t="s">
        <v>9177</v>
      </c>
      <c r="B2536" s="4" t="s">
        <v>9178</v>
      </c>
    </row>
    <row r="2537" spans="1:2" x14ac:dyDescent="0.3">
      <c r="A2537" s="4" t="s">
        <v>9179</v>
      </c>
      <c r="B2537" s="4" t="s">
        <v>9180</v>
      </c>
    </row>
    <row r="2538" spans="1:2" x14ac:dyDescent="0.3">
      <c r="A2538" s="4" t="s">
        <v>9181</v>
      </c>
      <c r="B2538" s="4" t="s">
        <v>9182</v>
      </c>
    </row>
    <row r="2539" spans="1:2" x14ac:dyDescent="0.3">
      <c r="A2539" s="4" t="s">
        <v>9183</v>
      </c>
      <c r="B2539" s="4" t="s">
        <v>9184</v>
      </c>
    </row>
    <row r="2540" spans="1:2" x14ac:dyDescent="0.3">
      <c r="A2540" s="4" t="s">
        <v>12407</v>
      </c>
      <c r="B2540" s="4" t="s">
        <v>12408</v>
      </c>
    </row>
    <row r="2541" spans="1:2" x14ac:dyDescent="0.3">
      <c r="A2541" s="4" t="s">
        <v>12409</v>
      </c>
      <c r="B2541" s="4" t="s">
        <v>12410</v>
      </c>
    </row>
    <row r="2542" spans="1:2" x14ac:dyDescent="0.3">
      <c r="A2542" s="4" t="s">
        <v>9185</v>
      </c>
      <c r="B2542" s="4" t="s">
        <v>9186</v>
      </c>
    </row>
    <row r="2543" spans="1:2" x14ac:dyDescent="0.3">
      <c r="A2543" s="4" t="s">
        <v>9187</v>
      </c>
      <c r="B2543" s="4" t="s">
        <v>9188</v>
      </c>
    </row>
    <row r="2544" spans="1:2" x14ac:dyDescent="0.3">
      <c r="A2544" s="4" t="s">
        <v>4194</v>
      </c>
      <c r="B2544" s="4" t="s">
        <v>4195</v>
      </c>
    </row>
    <row r="2545" spans="1:2" x14ac:dyDescent="0.3">
      <c r="A2545" s="4" t="s">
        <v>9189</v>
      </c>
      <c r="B2545" s="4" t="s">
        <v>9190</v>
      </c>
    </row>
    <row r="2546" spans="1:2" x14ac:dyDescent="0.3">
      <c r="A2546" s="4" t="s">
        <v>9191</v>
      </c>
      <c r="B2546" s="4" t="s">
        <v>9192</v>
      </c>
    </row>
    <row r="2547" spans="1:2" x14ac:dyDescent="0.3">
      <c r="A2547" s="4" t="s">
        <v>9194</v>
      </c>
      <c r="B2547" s="4" t="s">
        <v>9195</v>
      </c>
    </row>
    <row r="2548" spans="1:2" x14ac:dyDescent="0.3">
      <c r="A2548" s="4" t="s">
        <v>12411</v>
      </c>
      <c r="B2548" s="4" t="s">
        <v>12412</v>
      </c>
    </row>
    <row r="2549" spans="1:2" x14ac:dyDescent="0.3">
      <c r="A2549" s="4" t="s">
        <v>12413</v>
      </c>
      <c r="B2549" s="4" t="s">
        <v>12414</v>
      </c>
    </row>
    <row r="2550" spans="1:2" x14ac:dyDescent="0.3">
      <c r="A2550" s="4" t="s">
        <v>12415</v>
      </c>
      <c r="B2550" s="4" t="s">
        <v>12416</v>
      </c>
    </row>
    <row r="2551" spans="1:2" x14ac:dyDescent="0.3">
      <c r="A2551" s="4" t="s">
        <v>12417</v>
      </c>
      <c r="B2551" s="4" t="s">
        <v>12418</v>
      </c>
    </row>
    <row r="2552" spans="1:2" x14ac:dyDescent="0.3">
      <c r="A2552" s="4" t="s">
        <v>12419</v>
      </c>
      <c r="B2552" s="4" t="s">
        <v>12420</v>
      </c>
    </row>
    <row r="2553" spans="1:2" x14ac:dyDescent="0.3">
      <c r="A2553" s="4" t="s">
        <v>4199</v>
      </c>
      <c r="B2553" s="4" t="s">
        <v>4200</v>
      </c>
    </row>
    <row r="2554" spans="1:2" x14ac:dyDescent="0.3">
      <c r="A2554" s="4" t="s">
        <v>12421</v>
      </c>
      <c r="B2554" s="4" t="s">
        <v>10887</v>
      </c>
    </row>
    <row r="2555" spans="1:2" x14ac:dyDescent="0.3">
      <c r="A2555" s="4" t="s">
        <v>12422</v>
      </c>
      <c r="B2555" s="4" t="s">
        <v>6514</v>
      </c>
    </row>
    <row r="2556" spans="1:2" x14ac:dyDescent="0.3">
      <c r="A2556" s="4" t="s">
        <v>4155</v>
      </c>
      <c r="B2556" s="4" t="s">
        <v>11026</v>
      </c>
    </row>
    <row r="2557" spans="1:2" x14ac:dyDescent="0.3">
      <c r="A2557" s="4" t="s">
        <v>12423</v>
      </c>
      <c r="B2557" s="4" t="s">
        <v>12424</v>
      </c>
    </row>
    <row r="2558" spans="1:2" x14ac:dyDescent="0.3">
      <c r="A2558" s="4" t="s">
        <v>12425</v>
      </c>
      <c r="B2558" s="4" t="s">
        <v>12426</v>
      </c>
    </row>
    <row r="2559" spans="1:2" x14ac:dyDescent="0.3">
      <c r="A2559" s="4" t="s">
        <v>12427</v>
      </c>
      <c r="B2559" s="4" t="s">
        <v>12428</v>
      </c>
    </row>
    <row r="2560" spans="1:2" x14ac:dyDescent="0.3">
      <c r="A2560" s="4" t="s">
        <v>9199</v>
      </c>
      <c r="B2560" s="4" t="s">
        <v>9200</v>
      </c>
    </row>
    <row r="2561" spans="1:2" x14ac:dyDescent="0.3">
      <c r="A2561" s="4" t="s">
        <v>12429</v>
      </c>
      <c r="B2561" s="4" t="s">
        <v>12430</v>
      </c>
    </row>
    <row r="2562" spans="1:2" x14ac:dyDescent="0.3">
      <c r="A2562" s="4" t="s">
        <v>9201</v>
      </c>
      <c r="B2562" s="4" t="s">
        <v>9202</v>
      </c>
    </row>
    <row r="2563" spans="1:2" x14ac:dyDescent="0.3">
      <c r="A2563" s="4" t="s">
        <v>9203</v>
      </c>
      <c r="B2563" s="4" t="s">
        <v>9204</v>
      </c>
    </row>
    <row r="2564" spans="1:2" x14ac:dyDescent="0.3">
      <c r="A2564" s="4" t="s">
        <v>9205</v>
      </c>
      <c r="B2564" s="4" t="s">
        <v>9206</v>
      </c>
    </row>
    <row r="2565" spans="1:2" x14ac:dyDescent="0.3">
      <c r="A2565" s="4" t="s">
        <v>12431</v>
      </c>
      <c r="B2565" s="4" t="s">
        <v>12432</v>
      </c>
    </row>
    <row r="2566" spans="1:2" x14ac:dyDescent="0.3">
      <c r="A2566" s="4" t="s">
        <v>12433</v>
      </c>
      <c r="B2566" s="4" t="s">
        <v>12434</v>
      </c>
    </row>
    <row r="2567" spans="1:2" x14ac:dyDescent="0.3">
      <c r="A2567" s="4" t="s">
        <v>9207</v>
      </c>
      <c r="B2567" s="4" t="s">
        <v>12435</v>
      </c>
    </row>
    <row r="2568" spans="1:2" x14ac:dyDescent="0.3">
      <c r="A2568" s="4" t="s">
        <v>8963</v>
      </c>
      <c r="B2568" s="4" t="s">
        <v>8964</v>
      </c>
    </row>
    <row r="2569" spans="1:2" x14ac:dyDescent="0.3">
      <c r="A2569" s="4" t="s">
        <v>8965</v>
      </c>
      <c r="B2569" s="4" t="s">
        <v>8966</v>
      </c>
    </row>
    <row r="2570" spans="1:2" x14ac:dyDescent="0.3">
      <c r="A2570" s="4" t="s">
        <v>8983</v>
      </c>
      <c r="B2570" s="4" t="s">
        <v>8984</v>
      </c>
    </row>
    <row r="2571" spans="1:2" x14ac:dyDescent="0.3">
      <c r="A2571" s="4" t="s">
        <v>4210</v>
      </c>
      <c r="B2571" s="4" t="s">
        <v>4211</v>
      </c>
    </row>
    <row r="2572" spans="1:2" x14ac:dyDescent="0.3">
      <c r="A2572" s="4" t="s">
        <v>4212</v>
      </c>
      <c r="B2572" s="4" t="s">
        <v>12436</v>
      </c>
    </row>
    <row r="2573" spans="1:2" x14ac:dyDescent="0.3">
      <c r="A2573" s="4" t="s">
        <v>9023</v>
      </c>
      <c r="B2573" s="4" t="s">
        <v>9024</v>
      </c>
    </row>
    <row r="2574" spans="1:2" x14ac:dyDescent="0.3">
      <c r="A2574" s="4" t="s">
        <v>12437</v>
      </c>
      <c r="B2574" s="4" t="s">
        <v>12438</v>
      </c>
    </row>
    <row r="2575" spans="1:2" x14ac:dyDescent="0.3">
      <c r="A2575" s="4" t="s">
        <v>12439</v>
      </c>
      <c r="B2575" s="4" t="s">
        <v>12440</v>
      </c>
    </row>
    <row r="2576" spans="1:2" x14ac:dyDescent="0.3">
      <c r="A2576" s="4" t="s">
        <v>12441</v>
      </c>
      <c r="B2576" s="4" t="s">
        <v>12442</v>
      </c>
    </row>
    <row r="2577" spans="1:2" x14ac:dyDescent="0.3">
      <c r="A2577" s="4" t="s">
        <v>9208</v>
      </c>
      <c r="B2577" s="4" t="s">
        <v>9209</v>
      </c>
    </row>
    <row r="2578" spans="1:2" x14ac:dyDescent="0.3">
      <c r="A2578" s="4" t="s">
        <v>9210</v>
      </c>
      <c r="B2578" s="4" t="s">
        <v>9211</v>
      </c>
    </row>
    <row r="2579" spans="1:2" x14ac:dyDescent="0.3">
      <c r="A2579" s="4" t="s">
        <v>9212</v>
      </c>
      <c r="B2579" s="4" t="s">
        <v>9213</v>
      </c>
    </row>
    <row r="2580" spans="1:2" x14ac:dyDescent="0.3">
      <c r="A2580" s="4" t="s">
        <v>12443</v>
      </c>
      <c r="B2580" s="4" t="s">
        <v>12444</v>
      </c>
    </row>
    <row r="2581" spans="1:2" x14ac:dyDescent="0.3">
      <c r="A2581" s="4" t="s">
        <v>4216</v>
      </c>
      <c r="B2581" s="4" t="s">
        <v>12445</v>
      </c>
    </row>
    <row r="2582" spans="1:2" x14ac:dyDescent="0.3">
      <c r="A2582" s="4" t="s">
        <v>9215</v>
      </c>
      <c r="B2582" s="4" t="s">
        <v>9216</v>
      </c>
    </row>
    <row r="2583" spans="1:2" x14ac:dyDescent="0.3">
      <c r="A2583" s="4" t="s">
        <v>9218</v>
      </c>
      <c r="B2583" s="4" t="s">
        <v>9219</v>
      </c>
    </row>
    <row r="2584" spans="1:2" x14ac:dyDescent="0.3">
      <c r="A2584" s="4" t="s">
        <v>9220</v>
      </c>
      <c r="B2584" s="4" t="s">
        <v>9221</v>
      </c>
    </row>
    <row r="2585" spans="1:2" x14ac:dyDescent="0.3">
      <c r="A2585" s="4" t="s">
        <v>9222</v>
      </c>
      <c r="B2585" s="4" t="s">
        <v>9223</v>
      </c>
    </row>
    <row r="2586" spans="1:2" x14ac:dyDescent="0.3">
      <c r="A2586" s="4" t="s">
        <v>9224</v>
      </c>
      <c r="B2586" s="4" t="s">
        <v>9225</v>
      </c>
    </row>
    <row r="2587" spans="1:2" x14ac:dyDescent="0.3">
      <c r="A2587" s="4" t="s">
        <v>12446</v>
      </c>
      <c r="B2587" s="4" t="s">
        <v>12447</v>
      </c>
    </row>
    <row r="2588" spans="1:2" x14ac:dyDescent="0.3">
      <c r="A2588" s="4" t="s">
        <v>12448</v>
      </c>
      <c r="B2588" s="4" t="s">
        <v>12449</v>
      </c>
    </row>
    <row r="2589" spans="1:2" x14ac:dyDescent="0.3">
      <c r="A2589" s="4" t="s">
        <v>12450</v>
      </c>
      <c r="B2589" s="4" t="s">
        <v>12451</v>
      </c>
    </row>
    <row r="2590" spans="1:2" x14ac:dyDescent="0.3">
      <c r="A2590" s="4" t="s">
        <v>9226</v>
      </c>
      <c r="B2590" s="4" t="s">
        <v>9227</v>
      </c>
    </row>
    <row r="2591" spans="1:2" x14ac:dyDescent="0.3">
      <c r="A2591" s="4" t="s">
        <v>9230</v>
      </c>
      <c r="B2591" s="4" t="s">
        <v>9231</v>
      </c>
    </row>
    <row r="2592" spans="1:2" x14ac:dyDescent="0.3">
      <c r="A2592" s="4" t="s">
        <v>9232</v>
      </c>
      <c r="B2592" s="4" t="s">
        <v>9233</v>
      </c>
    </row>
    <row r="2593" spans="1:2" x14ac:dyDescent="0.3">
      <c r="A2593" s="4" t="s">
        <v>4221</v>
      </c>
      <c r="B2593" s="4" t="s">
        <v>4222</v>
      </c>
    </row>
    <row r="2594" spans="1:2" x14ac:dyDescent="0.3">
      <c r="A2594" s="4" t="s">
        <v>9236</v>
      </c>
      <c r="B2594" s="4" t="s">
        <v>9237</v>
      </c>
    </row>
    <row r="2595" spans="1:2" x14ac:dyDescent="0.3">
      <c r="A2595" s="4" t="s">
        <v>12452</v>
      </c>
      <c r="B2595" s="4" t="s">
        <v>12453</v>
      </c>
    </row>
    <row r="2596" spans="1:2" x14ac:dyDescent="0.3">
      <c r="A2596" s="4" t="s">
        <v>4224</v>
      </c>
      <c r="B2596" s="4" t="s">
        <v>4225</v>
      </c>
    </row>
    <row r="2597" spans="1:2" x14ac:dyDescent="0.3">
      <c r="A2597" s="4" t="s">
        <v>9238</v>
      </c>
      <c r="B2597" s="4" t="s">
        <v>9239</v>
      </c>
    </row>
    <row r="2598" spans="1:2" x14ac:dyDescent="0.3">
      <c r="A2598" s="4" t="s">
        <v>12454</v>
      </c>
      <c r="B2598" s="4" t="s">
        <v>12455</v>
      </c>
    </row>
    <row r="2599" spans="1:2" x14ac:dyDescent="0.3">
      <c r="A2599" s="4" t="s">
        <v>9240</v>
      </c>
      <c r="B2599" s="4" t="s">
        <v>9241</v>
      </c>
    </row>
    <row r="2600" spans="1:2" x14ac:dyDescent="0.3">
      <c r="A2600" s="4" t="s">
        <v>9242</v>
      </c>
      <c r="B2600" s="4" t="s">
        <v>9243</v>
      </c>
    </row>
    <row r="2601" spans="1:2" x14ac:dyDescent="0.3">
      <c r="A2601" s="4" t="s">
        <v>9244</v>
      </c>
      <c r="B2601" s="4" t="s">
        <v>9245</v>
      </c>
    </row>
    <row r="2602" spans="1:2" x14ac:dyDescent="0.3">
      <c r="A2602" s="4" t="s">
        <v>12456</v>
      </c>
      <c r="B2602" s="4" t="s">
        <v>12457</v>
      </c>
    </row>
    <row r="2603" spans="1:2" x14ac:dyDescent="0.3">
      <c r="A2603" s="4" t="s">
        <v>4227</v>
      </c>
      <c r="B2603" s="4" t="s">
        <v>4228</v>
      </c>
    </row>
    <row r="2604" spans="1:2" x14ac:dyDescent="0.3">
      <c r="A2604" s="4" t="s">
        <v>4229</v>
      </c>
      <c r="B2604" s="4" t="s">
        <v>4230</v>
      </c>
    </row>
    <row r="2605" spans="1:2" x14ac:dyDescent="0.3">
      <c r="A2605" s="4" t="s">
        <v>4723</v>
      </c>
      <c r="B2605" s="4" t="s">
        <v>9246</v>
      </c>
    </row>
    <row r="2606" spans="1:2" x14ac:dyDescent="0.3">
      <c r="A2606" s="4" t="s">
        <v>4721</v>
      </c>
      <c r="B2606" s="4" t="s">
        <v>9247</v>
      </c>
    </row>
    <row r="2607" spans="1:2" x14ac:dyDescent="0.3">
      <c r="A2607" s="4" t="s">
        <v>9248</v>
      </c>
      <c r="B2607" s="4" t="s">
        <v>9249</v>
      </c>
    </row>
    <row r="2608" spans="1:2" x14ac:dyDescent="0.3">
      <c r="A2608" s="4" t="s">
        <v>9250</v>
      </c>
      <c r="B2608" s="4" t="s">
        <v>9251</v>
      </c>
    </row>
    <row r="2609" spans="1:2" x14ac:dyDescent="0.3">
      <c r="A2609" s="4" t="s">
        <v>9252</v>
      </c>
      <c r="B2609" s="4" t="s">
        <v>9253</v>
      </c>
    </row>
    <row r="2610" spans="1:2" x14ac:dyDescent="0.3">
      <c r="A2610" s="4" t="s">
        <v>4231</v>
      </c>
      <c r="B2610" s="4" t="s">
        <v>4232</v>
      </c>
    </row>
    <row r="2611" spans="1:2" x14ac:dyDescent="0.3">
      <c r="A2611" s="4" t="s">
        <v>4233</v>
      </c>
      <c r="B2611" s="4" t="s">
        <v>4234</v>
      </c>
    </row>
    <row r="2612" spans="1:2" x14ac:dyDescent="0.3">
      <c r="A2612" s="4" t="s">
        <v>4235</v>
      </c>
      <c r="B2612" s="4" t="s">
        <v>4236</v>
      </c>
    </row>
    <row r="2613" spans="1:2" x14ac:dyDescent="0.3">
      <c r="A2613" s="4" t="s">
        <v>4238</v>
      </c>
      <c r="B2613" s="4" t="s">
        <v>4239</v>
      </c>
    </row>
    <row r="2614" spans="1:2" x14ac:dyDescent="0.3">
      <c r="A2614" s="4" t="s">
        <v>4240</v>
      </c>
      <c r="B2614" s="4" t="s">
        <v>4241</v>
      </c>
    </row>
    <row r="2615" spans="1:2" x14ac:dyDescent="0.3">
      <c r="A2615" s="4" t="s">
        <v>9254</v>
      </c>
      <c r="B2615" s="4" t="s">
        <v>9255</v>
      </c>
    </row>
    <row r="2616" spans="1:2" x14ac:dyDescent="0.3">
      <c r="A2616" s="4" t="s">
        <v>9256</v>
      </c>
      <c r="B2616" s="4" t="s">
        <v>9257</v>
      </c>
    </row>
    <row r="2617" spans="1:2" x14ac:dyDescent="0.3">
      <c r="A2617" s="4" t="s">
        <v>4242</v>
      </c>
      <c r="B2617" s="4" t="s">
        <v>4243</v>
      </c>
    </row>
    <row r="2618" spans="1:2" x14ac:dyDescent="0.3">
      <c r="A2618" s="4" t="s">
        <v>4244</v>
      </c>
      <c r="B2618" s="4" t="s">
        <v>153</v>
      </c>
    </row>
    <row r="2619" spans="1:2" x14ac:dyDescent="0.3">
      <c r="A2619" s="4" t="s">
        <v>4245</v>
      </c>
      <c r="B2619" s="4" t="s">
        <v>4246</v>
      </c>
    </row>
    <row r="2620" spans="1:2" x14ac:dyDescent="0.3">
      <c r="A2620" s="4" t="s">
        <v>4247</v>
      </c>
      <c r="B2620" s="4" t="s">
        <v>4248</v>
      </c>
    </row>
    <row r="2621" spans="1:2" x14ac:dyDescent="0.3">
      <c r="A2621" s="4" t="s">
        <v>4249</v>
      </c>
      <c r="B2621" s="4" t="s">
        <v>4250</v>
      </c>
    </row>
    <row r="2622" spans="1:2" x14ac:dyDescent="0.3">
      <c r="A2622" s="4" t="s">
        <v>6391</v>
      </c>
      <c r="B2622" s="4" t="s">
        <v>9258</v>
      </c>
    </row>
    <row r="2623" spans="1:2" x14ac:dyDescent="0.3">
      <c r="A2623" s="4" t="s">
        <v>4252</v>
      </c>
      <c r="B2623" s="4" t="s">
        <v>4253</v>
      </c>
    </row>
    <row r="2624" spans="1:2" x14ac:dyDescent="0.3">
      <c r="A2624" s="4" t="s">
        <v>4254</v>
      </c>
      <c r="B2624" s="4" t="s">
        <v>4255</v>
      </c>
    </row>
    <row r="2625" spans="1:2" x14ac:dyDescent="0.3">
      <c r="A2625" s="4" t="s">
        <v>9259</v>
      </c>
      <c r="B2625" s="4" t="s">
        <v>9260</v>
      </c>
    </row>
    <row r="2626" spans="1:2" x14ac:dyDescent="0.3">
      <c r="A2626" s="4" t="s">
        <v>9261</v>
      </c>
      <c r="B2626" s="4" t="s">
        <v>9262</v>
      </c>
    </row>
    <row r="2627" spans="1:2" x14ac:dyDescent="0.3">
      <c r="A2627" s="4" t="s">
        <v>9263</v>
      </c>
      <c r="B2627" s="4" t="s">
        <v>9264</v>
      </c>
    </row>
    <row r="2628" spans="1:2" x14ac:dyDescent="0.3">
      <c r="A2628" s="4" t="s">
        <v>4257</v>
      </c>
      <c r="B2628" s="4" t="s">
        <v>4258</v>
      </c>
    </row>
    <row r="2629" spans="1:2" x14ac:dyDescent="0.3">
      <c r="A2629" s="4" t="s">
        <v>4259</v>
      </c>
      <c r="B2629" s="4" t="s">
        <v>4260</v>
      </c>
    </row>
    <row r="2630" spans="1:2" x14ac:dyDescent="0.3">
      <c r="A2630" s="4" t="s">
        <v>4261</v>
      </c>
      <c r="B2630" s="4" t="s">
        <v>4262</v>
      </c>
    </row>
    <row r="2631" spans="1:2" x14ac:dyDescent="0.3">
      <c r="A2631" s="4" t="s">
        <v>4263</v>
      </c>
      <c r="B2631" s="4" t="s">
        <v>4264</v>
      </c>
    </row>
    <row r="2632" spans="1:2" x14ac:dyDescent="0.3">
      <c r="A2632" s="4" t="s">
        <v>4265</v>
      </c>
      <c r="B2632" s="4" t="s">
        <v>4266</v>
      </c>
    </row>
    <row r="2633" spans="1:2" x14ac:dyDescent="0.3">
      <c r="A2633" s="4" t="s">
        <v>4267</v>
      </c>
      <c r="B2633" s="4" t="s">
        <v>4268</v>
      </c>
    </row>
    <row r="2634" spans="1:2" x14ac:dyDescent="0.3">
      <c r="A2634" s="4" t="s">
        <v>4269</v>
      </c>
      <c r="B2634" s="4" t="s">
        <v>4270</v>
      </c>
    </row>
    <row r="2635" spans="1:2" x14ac:dyDescent="0.3">
      <c r="A2635" s="4" t="s">
        <v>4272</v>
      </c>
      <c r="B2635" s="4" t="s">
        <v>4273</v>
      </c>
    </row>
    <row r="2636" spans="1:2" x14ac:dyDescent="0.3">
      <c r="A2636" s="4" t="s">
        <v>4256</v>
      </c>
      <c r="B2636" s="4" t="s">
        <v>9265</v>
      </c>
    </row>
    <row r="2637" spans="1:2" x14ac:dyDescent="0.3">
      <c r="A2637" s="4" t="s">
        <v>4274</v>
      </c>
      <c r="B2637" s="4" t="s">
        <v>4275</v>
      </c>
    </row>
    <row r="2638" spans="1:2" x14ac:dyDescent="0.3">
      <c r="A2638" s="4" t="s">
        <v>4276</v>
      </c>
      <c r="B2638" s="4" t="s">
        <v>4277</v>
      </c>
    </row>
    <row r="2639" spans="1:2" x14ac:dyDescent="0.3">
      <c r="A2639" s="4" t="s">
        <v>4279</v>
      </c>
      <c r="B2639" s="4" t="s">
        <v>4280</v>
      </c>
    </row>
    <row r="2640" spans="1:2" x14ac:dyDescent="0.3">
      <c r="A2640" s="4" t="s">
        <v>4281</v>
      </c>
      <c r="B2640" s="4" t="s">
        <v>4282</v>
      </c>
    </row>
    <row r="2641" spans="1:2" x14ac:dyDescent="0.3">
      <c r="A2641" s="4" t="s">
        <v>12458</v>
      </c>
      <c r="B2641" s="4" t="s">
        <v>12459</v>
      </c>
    </row>
    <row r="2642" spans="1:2" x14ac:dyDescent="0.3">
      <c r="A2642" s="4" t="s">
        <v>4283</v>
      </c>
      <c r="B2642" s="4" t="s">
        <v>4284</v>
      </c>
    </row>
    <row r="2643" spans="1:2" x14ac:dyDescent="0.3">
      <c r="A2643" s="4" t="s">
        <v>9266</v>
      </c>
      <c r="B2643" s="4" t="s">
        <v>9267</v>
      </c>
    </row>
    <row r="2644" spans="1:2" x14ac:dyDescent="0.3">
      <c r="A2644" s="4" t="s">
        <v>9268</v>
      </c>
      <c r="B2644" s="4" t="s">
        <v>9269</v>
      </c>
    </row>
    <row r="2645" spans="1:2" x14ac:dyDescent="0.3">
      <c r="A2645" s="4" t="s">
        <v>9270</v>
      </c>
      <c r="B2645" s="4" t="s">
        <v>9271</v>
      </c>
    </row>
    <row r="2646" spans="1:2" x14ac:dyDescent="0.3">
      <c r="A2646" s="4" t="s">
        <v>9272</v>
      </c>
      <c r="B2646" s="4" t="s">
        <v>9273</v>
      </c>
    </row>
    <row r="2647" spans="1:2" x14ac:dyDescent="0.3">
      <c r="A2647" s="4" t="s">
        <v>9274</v>
      </c>
      <c r="B2647" s="4" t="s">
        <v>8662</v>
      </c>
    </row>
    <row r="2648" spans="1:2" x14ac:dyDescent="0.3">
      <c r="A2648" s="4" t="s">
        <v>4285</v>
      </c>
      <c r="B2648" s="4" t="s">
        <v>4286</v>
      </c>
    </row>
    <row r="2649" spans="1:2" x14ac:dyDescent="0.3">
      <c r="A2649" s="4" t="s">
        <v>9275</v>
      </c>
      <c r="B2649" s="4" t="s">
        <v>9276</v>
      </c>
    </row>
    <row r="2650" spans="1:2" x14ac:dyDescent="0.3">
      <c r="A2650" s="4" t="s">
        <v>4287</v>
      </c>
      <c r="B2650" s="4" t="s">
        <v>4288</v>
      </c>
    </row>
    <row r="2651" spans="1:2" x14ac:dyDescent="0.3">
      <c r="A2651" s="4" t="s">
        <v>4289</v>
      </c>
      <c r="B2651" s="4" t="s">
        <v>4290</v>
      </c>
    </row>
    <row r="2652" spans="1:2" x14ac:dyDescent="0.3">
      <c r="A2652" s="4" t="s">
        <v>9277</v>
      </c>
      <c r="B2652" s="4" t="s">
        <v>9278</v>
      </c>
    </row>
    <row r="2653" spans="1:2" x14ac:dyDescent="0.3">
      <c r="A2653" s="4" t="s">
        <v>4291</v>
      </c>
      <c r="B2653" s="4" t="s">
        <v>4292</v>
      </c>
    </row>
    <row r="2654" spans="1:2" x14ac:dyDescent="0.3">
      <c r="A2654" s="4" t="s">
        <v>9279</v>
      </c>
      <c r="B2654" s="4" t="s">
        <v>9280</v>
      </c>
    </row>
    <row r="2655" spans="1:2" x14ac:dyDescent="0.3">
      <c r="A2655" s="4" t="s">
        <v>4293</v>
      </c>
      <c r="B2655" s="4" t="s">
        <v>4294</v>
      </c>
    </row>
    <row r="2656" spans="1:2" x14ac:dyDescent="0.3">
      <c r="A2656" s="4" t="s">
        <v>9281</v>
      </c>
      <c r="B2656" s="4" t="s">
        <v>9282</v>
      </c>
    </row>
    <row r="2657" spans="1:2" x14ac:dyDescent="0.3">
      <c r="A2657" s="4" t="s">
        <v>4295</v>
      </c>
      <c r="B2657" s="4" t="s">
        <v>4296</v>
      </c>
    </row>
    <row r="2658" spans="1:2" x14ac:dyDescent="0.3">
      <c r="A2658" s="4" t="s">
        <v>9283</v>
      </c>
      <c r="B2658" s="4" t="s">
        <v>9284</v>
      </c>
    </row>
    <row r="2659" spans="1:2" x14ac:dyDescent="0.3">
      <c r="A2659" s="4" t="s">
        <v>9285</v>
      </c>
      <c r="B2659" s="4" t="s">
        <v>9286</v>
      </c>
    </row>
    <row r="2660" spans="1:2" x14ac:dyDescent="0.3">
      <c r="A2660" s="4" t="s">
        <v>4297</v>
      </c>
      <c r="B2660" s="4" t="s">
        <v>4298</v>
      </c>
    </row>
    <row r="2661" spans="1:2" x14ac:dyDescent="0.3">
      <c r="A2661" s="4" t="s">
        <v>4299</v>
      </c>
      <c r="B2661" s="4" t="s">
        <v>4300</v>
      </c>
    </row>
    <row r="2662" spans="1:2" x14ac:dyDescent="0.3">
      <c r="A2662" s="4" t="s">
        <v>9287</v>
      </c>
      <c r="B2662" s="4" t="s">
        <v>9288</v>
      </c>
    </row>
    <row r="2663" spans="1:2" x14ac:dyDescent="0.3">
      <c r="A2663" s="4" t="s">
        <v>9289</v>
      </c>
      <c r="B2663" s="4" t="s">
        <v>9290</v>
      </c>
    </row>
    <row r="2664" spans="1:2" x14ac:dyDescent="0.3">
      <c r="A2664" s="4" t="s">
        <v>9291</v>
      </c>
      <c r="B2664" s="4" t="s">
        <v>9292</v>
      </c>
    </row>
    <row r="2665" spans="1:2" x14ac:dyDescent="0.3">
      <c r="A2665" s="4" t="s">
        <v>9293</v>
      </c>
      <c r="B2665" s="4" t="s">
        <v>9294</v>
      </c>
    </row>
    <row r="2666" spans="1:2" x14ac:dyDescent="0.3">
      <c r="A2666" s="4" t="s">
        <v>9295</v>
      </c>
      <c r="B2666" s="4" t="s">
        <v>9296</v>
      </c>
    </row>
    <row r="2667" spans="1:2" x14ac:dyDescent="0.3">
      <c r="A2667" s="4" t="s">
        <v>9297</v>
      </c>
      <c r="B2667" s="4" t="s">
        <v>9298</v>
      </c>
    </row>
    <row r="2668" spans="1:2" x14ac:dyDescent="0.3">
      <c r="A2668" s="4" t="s">
        <v>9299</v>
      </c>
      <c r="B2668" s="4" t="s">
        <v>9300</v>
      </c>
    </row>
    <row r="2669" spans="1:2" x14ac:dyDescent="0.3">
      <c r="A2669" s="4" t="s">
        <v>4302</v>
      </c>
      <c r="B2669" s="4" t="s">
        <v>4303</v>
      </c>
    </row>
    <row r="2670" spans="1:2" x14ac:dyDescent="0.3">
      <c r="A2670" s="4" t="s">
        <v>4304</v>
      </c>
      <c r="B2670" s="4" t="s">
        <v>4305</v>
      </c>
    </row>
    <row r="2671" spans="1:2" x14ac:dyDescent="0.3">
      <c r="A2671" s="4" t="s">
        <v>4306</v>
      </c>
      <c r="B2671" s="4" t="s">
        <v>4307</v>
      </c>
    </row>
    <row r="2672" spans="1:2" x14ac:dyDescent="0.3">
      <c r="A2672" s="4" t="s">
        <v>4308</v>
      </c>
      <c r="B2672" s="4" t="s">
        <v>4309</v>
      </c>
    </row>
    <row r="2673" spans="1:2" x14ac:dyDescent="0.3">
      <c r="A2673" s="4" t="s">
        <v>4310</v>
      </c>
      <c r="B2673" s="4" t="s">
        <v>4311</v>
      </c>
    </row>
    <row r="2674" spans="1:2" x14ac:dyDescent="0.3">
      <c r="A2674" s="4" t="s">
        <v>4312</v>
      </c>
      <c r="B2674" s="4" t="s">
        <v>4313</v>
      </c>
    </row>
    <row r="2675" spans="1:2" x14ac:dyDescent="0.3">
      <c r="A2675" s="4" t="s">
        <v>4314</v>
      </c>
      <c r="B2675" s="4" t="s">
        <v>4315</v>
      </c>
    </row>
    <row r="2676" spans="1:2" x14ac:dyDescent="0.3">
      <c r="A2676" s="4" t="s">
        <v>4316</v>
      </c>
      <c r="B2676" s="4" t="s">
        <v>4317</v>
      </c>
    </row>
    <row r="2677" spans="1:2" x14ac:dyDescent="0.3">
      <c r="A2677" s="4" t="s">
        <v>4318</v>
      </c>
      <c r="B2677" s="4" t="s">
        <v>4319</v>
      </c>
    </row>
    <row r="2678" spans="1:2" x14ac:dyDescent="0.3">
      <c r="A2678" s="4" t="s">
        <v>4320</v>
      </c>
      <c r="B2678" s="4" t="s">
        <v>4321</v>
      </c>
    </row>
    <row r="2679" spans="1:2" x14ac:dyDescent="0.3">
      <c r="A2679" s="4" t="s">
        <v>9301</v>
      </c>
      <c r="B2679" s="4" t="s">
        <v>9302</v>
      </c>
    </row>
    <row r="2680" spans="1:2" x14ac:dyDescent="0.3">
      <c r="A2680" s="4" t="s">
        <v>4322</v>
      </c>
      <c r="B2680" s="4" t="s">
        <v>4323</v>
      </c>
    </row>
    <row r="2681" spans="1:2" x14ac:dyDescent="0.3">
      <c r="A2681" s="4" t="s">
        <v>9303</v>
      </c>
      <c r="B2681" s="4" t="s">
        <v>9304</v>
      </c>
    </row>
    <row r="2682" spans="1:2" x14ac:dyDescent="0.3">
      <c r="A2682" s="4" t="s">
        <v>4324</v>
      </c>
      <c r="B2682" s="4" t="s">
        <v>4325</v>
      </c>
    </row>
    <row r="2683" spans="1:2" x14ac:dyDescent="0.3">
      <c r="A2683" s="4" t="s">
        <v>4326</v>
      </c>
      <c r="B2683" s="4" t="s">
        <v>4327</v>
      </c>
    </row>
    <row r="2684" spans="1:2" x14ac:dyDescent="0.3">
      <c r="A2684" s="4" t="s">
        <v>4328</v>
      </c>
      <c r="B2684" s="4" t="s">
        <v>4329</v>
      </c>
    </row>
    <row r="2685" spans="1:2" x14ac:dyDescent="0.3">
      <c r="A2685" s="4" t="s">
        <v>4330</v>
      </c>
      <c r="B2685" s="4" t="s">
        <v>4331</v>
      </c>
    </row>
    <row r="2686" spans="1:2" x14ac:dyDescent="0.3">
      <c r="A2686" s="4" t="s">
        <v>4332</v>
      </c>
      <c r="B2686" s="4" t="s">
        <v>4333</v>
      </c>
    </row>
    <row r="2687" spans="1:2" x14ac:dyDescent="0.3">
      <c r="A2687" s="4" t="s">
        <v>4334</v>
      </c>
      <c r="B2687" s="4" t="s">
        <v>9305</v>
      </c>
    </row>
    <row r="2688" spans="1:2" x14ac:dyDescent="0.3">
      <c r="A2688" s="4" t="s">
        <v>4335</v>
      </c>
      <c r="B2688" s="4" t="s">
        <v>4336</v>
      </c>
    </row>
    <row r="2689" spans="1:2" x14ac:dyDescent="0.3">
      <c r="A2689" s="4" t="s">
        <v>4337</v>
      </c>
      <c r="B2689" s="4" t="s">
        <v>4338</v>
      </c>
    </row>
    <row r="2690" spans="1:2" x14ac:dyDescent="0.3">
      <c r="A2690" s="4" t="s">
        <v>9306</v>
      </c>
      <c r="B2690" s="4" t="s">
        <v>9307</v>
      </c>
    </row>
    <row r="2691" spans="1:2" x14ac:dyDescent="0.3">
      <c r="A2691" s="4" t="s">
        <v>4339</v>
      </c>
      <c r="B2691" s="4" t="s">
        <v>4340</v>
      </c>
    </row>
    <row r="2692" spans="1:2" x14ac:dyDescent="0.3">
      <c r="A2692" s="4" t="s">
        <v>4341</v>
      </c>
      <c r="B2692" s="4" t="s">
        <v>4342</v>
      </c>
    </row>
    <row r="2693" spans="1:2" x14ac:dyDescent="0.3">
      <c r="A2693" s="4" t="s">
        <v>4343</v>
      </c>
      <c r="B2693" s="4" t="s">
        <v>4344</v>
      </c>
    </row>
    <row r="2694" spans="1:2" x14ac:dyDescent="0.3">
      <c r="A2694" s="4" t="s">
        <v>4345</v>
      </c>
      <c r="B2694" s="4" t="s">
        <v>4346</v>
      </c>
    </row>
    <row r="2695" spans="1:2" x14ac:dyDescent="0.3">
      <c r="A2695" s="4" t="s">
        <v>4347</v>
      </c>
      <c r="B2695" s="4" t="s">
        <v>4348</v>
      </c>
    </row>
    <row r="2696" spans="1:2" x14ac:dyDescent="0.3">
      <c r="A2696" s="4" t="s">
        <v>4349</v>
      </c>
      <c r="B2696" s="4" t="s">
        <v>4350</v>
      </c>
    </row>
    <row r="2697" spans="1:2" x14ac:dyDescent="0.3">
      <c r="A2697" s="4" t="s">
        <v>4351</v>
      </c>
      <c r="B2697" s="4" t="s">
        <v>4352</v>
      </c>
    </row>
    <row r="2698" spans="1:2" x14ac:dyDescent="0.3">
      <c r="A2698" s="4" t="s">
        <v>4353</v>
      </c>
      <c r="B2698" s="4" t="s">
        <v>4354</v>
      </c>
    </row>
    <row r="2699" spans="1:2" x14ac:dyDescent="0.3">
      <c r="A2699" s="4" t="s">
        <v>4355</v>
      </c>
      <c r="B2699" s="4" t="s">
        <v>4356</v>
      </c>
    </row>
    <row r="2700" spans="1:2" x14ac:dyDescent="0.3">
      <c r="A2700" s="4" t="s">
        <v>9308</v>
      </c>
      <c r="B2700" s="4" t="s">
        <v>8667</v>
      </c>
    </row>
    <row r="2701" spans="1:2" x14ac:dyDescent="0.3">
      <c r="A2701" s="4" t="s">
        <v>4357</v>
      </c>
      <c r="B2701" s="4" t="s">
        <v>4358</v>
      </c>
    </row>
    <row r="2702" spans="1:2" x14ac:dyDescent="0.3">
      <c r="A2702" s="4" t="s">
        <v>9309</v>
      </c>
      <c r="B2702" s="4" t="s">
        <v>9310</v>
      </c>
    </row>
    <row r="2703" spans="1:2" x14ac:dyDescent="0.3">
      <c r="A2703" s="4" t="s">
        <v>9311</v>
      </c>
      <c r="B2703" s="4" t="s">
        <v>9312</v>
      </c>
    </row>
    <row r="2704" spans="1:2" x14ac:dyDescent="0.3">
      <c r="A2704" s="4" t="s">
        <v>9313</v>
      </c>
      <c r="B2704" s="4" t="s">
        <v>9314</v>
      </c>
    </row>
    <row r="2705" spans="1:2" x14ac:dyDescent="0.3">
      <c r="A2705" s="4" t="s">
        <v>4359</v>
      </c>
      <c r="B2705" s="4" t="s">
        <v>4360</v>
      </c>
    </row>
    <row r="2706" spans="1:2" x14ac:dyDescent="0.3">
      <c r="A2706" s="4" t="s">
        <v>4361</v>
      </c>
      <c r="B2706" s="4" t="s">
        <v>4362</v>
      </c>
    </row>
    <row r="2707" spans="1:2" x14ac:dyDescent="0.3">
      <c r="A2707" s="4" t="s">
        <v>9315</v>
      </c>
      <c r="B2707" s="4" t="s">
        <v>9316</v>
      </c>
    </row>
    <row r="2708" spans="1:2" x14ac:dyDescent="0.3">
      <c r="A2708" s="4" t="s">
        <v>4364</v>
      </c>
      <c r="B2708" s="4" t="s">
        <v>4365</v>
      </c>
    </row>
    <row r="2709" spans="1:2" x14ac:dyDescent="0.3">
      <c r="A2709" s="4" t="s">
        <v>9317</v>
      </c>
      <c r="B2709" s="4" t="s">
        <v>9318</v>
      </c>
    </row>
    <row r="2710" spans="1:2" x14ac:dyDescent="0.3">
      <c r="A2710" s="4" t="s">
        <v>4366</v>
      </c>
      <c r="B2710" s="4" t="s">
        <v>4367</v>
      </c>
    </row>
    <row r="2711" spans="1:2" x14ac:dyDescent="0.3">
      <c r="A2711" s="4" t="s">
        <v>4368</v>
      </c>
      <c r="B2711" s="4" t="s">
        <v>4369</v>
      </c>
    </row>
    <row r="2712" spans="1:2" x14ac:dyDescent="0.3">
      <c r="A2712" s="4" t="s">
        <v>4370</v>
      </c>
      <c r="B2712" s="4" t="s">
        <v>4371</v>
      </c>
    </row>
    <row r="2713" spans="1:2" x14ac:dyDescent="0.3">
      <c r="A2713" s="4" t="s">
        <v>4363</v>
      </c>
      <c r="B2713" s="4" t="s">
        <v>12460</v>
      </c>
    </row>
    <row r="2714" spans="1:2" x14ac:dyDescent="0.3">
      <c r="A2714" s="4" t="s">
        <v>9319</v>
      </c>
      <c r="B2714" s="4" t="s">
        <v>8670</v>
      </c>
    </row>
    <row r="2715" spans="1:2" x14ac:dyDescent="0.3">
      <c r="A2715" s="4" t="s">
        <v>4372</v>
      </c>
      <c r="B2715" s="4" t="s">
        <v>4373</v>
      </c>
    </row>
    <row r="2716" spans="1:2" x14ac:dyDescent="0.3">
      <c r="A2716" s="4" t="s">
        <v>4374</v>
      </c>
      <c r="B2716" s="4" t="s">
        <v>4375</v>
      </c>
    </row>
    <row r="2717" spans="1:2" x14ac:dyDescent="0.3">
      <c r="A2717" s="4" t="s">
        <v>4376</v>
      </c>
      <c r="B2717" s="4" t="s">
        <v>4377</v>
      </c>
    </row>
    <row r="2718" spans="1:2" x14ac:dyDescent="0.3">
      <c r="A2718" s="4" t="s">
        <v>9320</v>
      </c>
      <c r="B2718" s="4" t="s">
        <v>9321</v>
      </c>
    </row>
    <row r="2719" spans="1:2" x14ac:dyDescent="0.3">
      <c r="A2719" s="4" t="s">
        <v>12461</v>
      </c>
      <c r="B2719" s="4" t="s">
        <v>12462</v>
      </c>
    </row>
    <row r="2720" spans="1:2" x14ac:dyDescent="0.3">
      <c r="A2720" s="4" t="s">
        <v>4378</v>
      </c>
      <c r="B2720" s="4" t="s">
        <v>4379</v>
      </c>
    </row>
    <row r="2721" spans="1:2" x14ac:dyDescent="0.3">
      <c r="A2721" s="4" t="s">
        <v>4380</v>
      </c>
      <c r="B2721" s="4" t="s">
        <v>4381</v>
      </c>
    </row>
    <row r="2722" spans="1:2" x14ac:dyDescent="0.3">
      <c r="A2722" s="4" t="s">
        <v>4382</v>
      </c>
      <c r="B2722" s="4" t="s">
        <v>4383</v>
      </c>
    </row>
    <row r="2723" spans="1:2" x14ac:dyDescent="0.3">
      <c r="A2723" s="4" t="s">
        <v>4384</v>
      </c>
      <c r="B2723" s="4" t="s">
        <v>4385</v>
      </c>
    </row>
    <row r="2724" spans="1:2" x14ac:dyDescent="0.3">
      <c r="A2724" s="4" t="s">
        <v>9322</v>
      </c>
      <c r="B2724" s="4" t="s">
        <v>9323</v>
      </c>
    </row>
    <row r="2725" spans="1:2" x14ac:dyDescent="0.3">
      <c r="A2725" s="4" t="s">
        <v>4386</v>
      </c>
      <c r="B2725" s="4" t="s">
        <v>4387</v>
      </c>
    </row>
    <row r="2726" spans="1:2" x14ac:dyDescent="0.3">
      <c r="A2726" s="4" t="s">
        <v>4389</v>
      </c>
      <c r="B2726" s="4" t="s">
        <v>4390</v>
      </c>
    </row>
    <row r="2727" spans="1:2" x14ac:dyDescent="0.3">
      <c r="A2727" s="4" t="s">
        <v>4391</v>
      </c>
      <c r="B2727" s="4" t="s">
        <v>4392</v>
      </c>
    </row>
    <row r="2728" spans="1:2" x14ac:dyDescent="0.3">
      <c r="A2728" s="4" t="s">
        <v>4393</v>
      </c>
      <c r="B2728" s="4" t="s">
        <v>4394</v>
      </c>
    </row>
    <row r="2729" spans="1:2" x14ac:dyDescent="0.3">
      <c r="A2729" s="4" t="s">
        <v>4395</v>
      </c>
      <c r="B2729" s="4" t="s">
        <v>4396</v>
      </c>
    </row>
    <row r="2730" spans="1:2" x14ac:dyDescent="0.3">
      <c r="A2730" s="4" t="s">
        <v>4397</v>
      </c>
      <c r="B2730" s="4" t="s">
        <v>4398</v>
      </c>
    </row>
    <row r="2731" spans="1:2" x14ac:dyDescent="0.3">
      <c r="A2731" s="4" t="s">
        <v>9324</v>
      </c>
      <c r="B2731" s="4" t="s">
        <v>9325</v>
      </c>
    </row>
    <row r="2732" spans="1:2" x14ac:dyDescent="0.3">
      <c r="A2732" s="4" t="s">
        <v>4399</v>
      </c>
      <c r="B2732" s="4" t="s">
        <v>4400</v>
      </c>
    </row>
    <row r="2733" spans="1:2" x14ac:dyDescent="0.3">
      <c r="A2733" s="4" t="s">
        <v>4401</v>
      </c>
      <c r="B2733" s="4" t="s">
        <v>4402</v>
      </c>
    </row>
    <row r="2734" spans="1:2" x14ac:dyDescent="0.3">
      <c r="A2734" s="4" t="s">
        <v>9326</v>
      </c>
      <c r="B2734" s="4" t="s">
        <v>9327</v>
      </c>
    </row>
    <row r="2735" spans="1:2" x14ac:dyDescent="0.3">
      <c r="A2735" s="4" t="s">
        <v>9328</v>
      </c>
      <c r="B2735" s="4" t="s">
        <v>9329</v>
      </c>
    </row>
    <row r="2736" spans="1:2" x14ac:dyDescent="0.3">
      <c r="A2736" s="4" t="s">
        <v>9330</v>
      </c>
      <c r="B2736" s="4" t="s">
        <v>9331</v>
      </c>
    </row>
    <row r="2737" spans="1:2" x14ac:dyDescent="0.3">
      <c r="A2737" s="4" t="s">
        <v>4403</v>
      </c>
      <c r="B2737" s="4" t="s">
        <v>4404</v>
      </c>
    </row>
    <row r="2738" spans="1:2" x14ac:dyDescent="0.3">
      <c r="A2738" s="4" t="s">
        <v>4405</v>
      </c>
      <c r="B2738" s="4" t="s">
        <v>4406</v>
      </c>
    </row>
    <row r="2739" spans="1:2" x14ac:dyDescent="0.3">
      <c r="A2739" s="4" t="s">
        <v>4407</v>
      </c>
      <c r="B2739" s="4" t="s">
        <v>4408</v>
      </c>
    </row>
    <row r="2740" spans="1:2" x14ac:dyDescent="0.3">
      <c r="A2740" s="4" t="s">
        <v>4409</v>
      </c>
      <c r="B2740" s="4" t="s">
        <v>4410</v>
      </c>
    </row>
    <row r="2741" spans="1:2" x14ac:dyDescent="0.3">
      <c r="A2741" s="4" t="s">
        <v>9332</v>
      </c>
      <c r="B2741" s="4" t="s">
        <v>9333</v>
      </c>
    </row>
    <row r="2742" spans="1:2" x14ac:dyDescent="0.3">
      <c r="A2742" s="4" t="s">
        <v>4411</v>
      </c>
      <c r="B2742" s="4" t="s">
        <v>4412</v>
      </c>
    </row>
    <row r="2743" spans="1:2" x14ac:dyDescent="0.3">
      <c r="A2743" s="4" t="s">
        <v>9334</v>
      </c>
      <c r="B2743" s="4" t="s">
        <v>9335</v>
      </c>
    </row>
    <row r="2744" spans="1:2" x14ac:dyDescent="0.3">
      <c r="A2744" s="4" t="s">
        <v>12463</v>
      </c>
      <c r="B2744" s="4" t="s">
        <v>12464</v>
      </c>
    </row>
    <row r="2745" spans="1:2" x14ac:dyDescent="0.3">
      <c r="A2745" s="4" t="s">
        <v>4413</v>
      </c>
      <c r="B2745" s="4" t="s">
        <v>4414</v>
      </c>
    </row>
    <row r="2746" spans="1:2" x14ac:dyDescent="0.3">
      <c r="A2746" s="4" t="s">
        <v>9336</v>
      </c>
      <c r="B2746" s="4" t="s">
        <v>9337</v>
      </c>
    </row>
    <row r="2747" spans="1:2" x14ac:dyDescent="0.3">
      <c r="A2747" s="4" t="s">
        <v>9338</v>
      </c>
      <c r="B2747" s="4" t="s">
        <v>9339</v>
      </c>
    </row>
    <row r="2748" spans="1:2" x14ac:dyDescent="0.3">
      <c r="A2748" s="4" t="s">
        <v>9340</v>
      </c>
      <c r="B2748" s="4" t="s">
        <v>9341</v>
      </c>
    </row>
    <row r="2749" spans="1:2" x14ac:dyDescent="0.3">
      <c r="A2749" s="4" t="s">
        <v>9342</v>
      </c>
      <c r="B2749" s="4" t="s">
        <v>9343</v>
      </c>
    </row>
    <row r="2750" spans="1:2" x14ac:dyDescent="0.3">
      <c r="A2750" s="4" t="s">
        <v>4415</v>
      </c>
      <c r="B2750" s="4" t="s">
        <v>4416</v>
      </c>
    </row>
    <row r="2751" spans="1:2" x14ac:dyDescent="0.3">
      <c r="A2751" s="4" t="s">
        <v>4417</v>
      </c>
      <c r="B2751" s="4" t="s">
        <v>4418</v>
      </c>
    </row>
    <row r="2752" spans="1:2" x14ac:dyDescent="0.3">
      <c r="A2752" s="4" t="s">
        <v>9344</v>
      </c>
      <c r="B2752" s="4" t="s">
        <v>9345</v>
      </c>
    </row>
    <row r="2753" spans="1:2" x14ac:dyDescent="0.3">
      <c r="A2753" s="4" t="s">
        <v>12465</v>
      </c>
      <c r="B2753" s="4" t="s">
        <v>12466</v>
      </c>
    </row>
    <row r="2754" spans="1:2" x14ac:dyDescent="0.3">
      <c r="A2754" s="4" t="s">
        <v>9346</v>
      </c>
      <c r="B2754" s="4" t="s">
        <v>9347</v>
      </c>
    </row>
    <row r="2755" spans="1:2" x14ac:dyDescent="0.3">
      <c r="A2755" s="4" t="s">
        <v>4419</v>
      </c>
      <c r="B2755" s="4" t="s">
        <v>4420</v>
      </c>
    </row>
    <row r="2756" spans="1:2" x14ac:dyDescent="0.3">
      <c r="A2756" s="4" t="s">
        <v>9348</v>
      </c>
      <c r="B2756" s="4" t="s">
        <v>9349</v>
      </c>
    </row>
    <row r="2757" spans="1:2" x14ac:dyDescent="0.3">
      <c r="A2757" s="4" t="s">
        <v>4421</v>
      </c>
      <c r="B2757" s="4" t="s">
        <v>4422</v>
      </c>
    </row>
    <row r="2758" spans="1:2" x14ac:dyDescent="0.3">
      <c r="A2758" s="4" t="s">
        <v>4423</v>
      </c>
      <c r="B2758" s="4" t="s">
        <v>4424</v>
      </c>
    </row>
    <row r="2759" spans="1:2" x14ac:dyDescent="0.3">
      <c r="A2759" s="4" t="s">
        <v>4425</v>
      </c>
      <c r="B2759" s="4" t="s">
        <v>4426</v>
      </c>
    </row>
    <row r="2760" spans="1:2" x14ac:dyDescent="0.3">
      <c r="A2760" s="4" t="s">
        <v>9350</v>
      </c>
      <c r="B2760" s="4" t="s">
        <v>9351</v>
      </c>
    </row>
    <row r="2761" spans="1:2" x14ac:dyDescent="0.3">
      <c r="A2761" s="4" t="s">
        <v>9352</v>
      </c>
      <c r="B2761" s="4" t="s">
        <v>9353</v>
      </c>
    </row>
    <row r="2762" spans="1:2" x14ac:dyDescent="0.3">
      <c r="A2762" s="4" t="s">
        <v>4427</v>
      </c>
      <c r="B2762" s="4" t="s">
        <v>4428</v>
      </c>
    </row>
    <row r="2763" spans="1:2" x14ac:dyDescent="0.3">
      <c r="A2763" s="4" t="s">
        <v>4429</v>
      </c>
      <c r="B2763" s="4" t="s">
        <v>4430</v>
      </c>
    </row>
    <row r="2764" spans="1:2" x14ac:dyDescent="0.3">
      <c r="A2764" s="4" t="s">
        <v>6559</v>
      </c>
      <c r="B2764" s="4" t="s">
        <v>4430</v>
      </c>
    </row>
    <row r="2765" spans="1:2" x14ac:dyDescent="0.3">
      <c r="A2765" s="4" t="s">
        <v>4431</v>
      </c>
      <c r="B2765" s="4" t="s">
        <v>4432</v>
      </c>
    </row>
    <row r="2766" spans="1:2" x14ac:dyDescent="0.3">
      <c r="A2766" s="4" t="s">
        <v>4433</v>
      </c>
      <c r="B2766" s="4" t="s">
        <v>4434</v>
      </c>
    </row>
    <row r="2767" spans="1:2" x14ac:dyDescent="0.3">
      <c r="A2767" s="4" t="s">
        <v>4435</v>
      </c>
      <c r="B2767" s="4" t="s">
        <v>4436</v>
      </c>
    </row>
    <row r="2768" spans="1:2" x14ac:dyDescent="0.3">
      <c r="A2768" s="4" t="s">
        <v>4437</v>
      </c>
      <c r="B2768" s="4" t="s">
        <v>4438</v>
      </c>
    </row>
    <row r="2769" spans="1:2" x14ac:dyDescent="0.3">
      <c r="A2769" s="4" t="s">
        <v>4439</v>
      </c>
      <c r="B2769" s="4" t="s">
        <v>4440</v>
      </c>
    </row>
    <row r="2770" spans="1:2" x14ac:dyDescent="0.3">
      <c r="A2770" s="4" t="s">
        <v>4441</v>
      </c>
      <c r="B2770" s="4" t="s">
        <v>4442</v>
      </c>
    </row>
    <row r="2771" spans="1:2" x14ac:dyDescent="0.3">
      <c r="A2771" s="4" t="s">
        <v>4443</v>
      </c>
      <c r="B2771" s="4" t="s">
        <v>4444</v>
      </c>
    </row>
    <row r="2772" spans="1:2" x14ac:dyDescent="0.3">
      <c r="A2772" s="4" t="s">
        <v>9354</v>
      </c>
      <c r="B2772" s="4" t="s">
        <v>9355</v>
      </c>
    </row>
    <row r="2773" spans="1:2" x14ac:dyDescent="0.3">
      <c r="A2773" s="4" t="s">
        <v>4445</v>
      </c>
      <c r="B2773" s="4" t="s">
        <v>4446</v>
      </c>
    </row>
    <row r="2774" spans="1:2" x14ac:dyDescent="0.3">
      <c r="A2774" s="4" t="s">
        <v>4447</v>
      </c>
      <c r="B2774" s="4" t="s">
        <v>4448</v>
      </c>
    </row>
    <row r="2775" spans="1:2" x14ac:dyDescent="0.3">
      <c r="A2775" s="4" t="s">
        <v>6965</v>
      </c>
      <c r="B2775" s="4" t="s">
        <v>9356</v>
      </c>
    </row>
    <row r="2776" spans="1:2" x14ac:dyDescent="0.3">
      <c r="A2776" s="4" t="s">
        <v>4449</v>
      </c>
      <c r="B2776" s="4" t="s">
        <v>4450</v>
      </c>
    </row>
    <row r="2777" spans="1:2" x14ac:dyDescent="0.3">
      <c r="A2777" s="4" t="s">
        <v>9357</v>
      </c>
      <c r="B2777" s="4" t="s">
        <v>9358</v>
      </c>
    </row>
    <row r="2778" spans="1:2" x14ac:dyDescent="0.3">
      <c r="A2778" s="4" t="s">
        <v>5803</v>
      </c>
      <c r="B2778" s="4" t="s">
        <v>9359</v>
      </c>
    </row>
    <row r="2779" spans="1:2" x14ac:dyDescent="0.3">
      <c r="A2779" s="4" t="s">
        <v>12467</v>
      </c>
      <c r="B2779" s="4" t="s">
        <v>12468</v>
      </c>
    </row>
    <row r="2780" spans="1:2" x14ac:dyDescent="0.3">
      <c r="A2780" s="4" t="s">
        <v>4451</v>
      </c>
      <c r="B2780" s="4" t="s">
        <v>4452</v>
      </c>
    </row>
    <row r="2781" spans="1:2" x14ac:dyDescent="0.3">
      <c r="A2781" s="4" t="s">
        <v>4453</v>
      </c>
      <c r="B2781" s="4" t="s">
        <v>4454</v>
      </c>
    </row>
    <row r="2782" spans="1:2" x14ac:dyDescent="0.3">
      <c r="A2782" s="4" t="s">
        <v>9360</v>
      </c>
      <c r="B2782" s="4" t="s">
        <v>9361</v>
      </c>
    </row>
    <row r="2783" spans="1:2" x14ac:dyDescent="0.3">
      <c r="A2783" s="4" t="s">
        <v>9362</v>
      </c>
      <c r="B2783" s="4" t="s">
        <v>9363</v>
      </c>
    </row>
    <row r="2784" spans="1:2" x14ac:dyDescent="0.3">
      <c r="A2784" s="4" t="s">
        <v>9364</v>
      </c>
      <c r="B2784" s="4" t="s">
        <v>9365</v>
      </c>
    </row>
    <row r="2785" spans="1:2" x14ac:dyDescent="0.3">
      <c r="A2785" s="4" t="s">
        <v>4455</v>
      </c>
      <c r="B2785" s="4" t="s">
        <v>4456</v>
      </c>
    </row>
    <row r="2786" spans="1:2" x14ac:dyDescent="0.3">
      <c r="A2786" s="4" t="s">
        <v>4457</v>
      </c>
      <c r="B2786" s="4" t="s">
        <v>4458</v>
      </c>
    </row>
    <row r="2787" spans="1:2" x14ac:dyDescent="0.3">
      <c r="A2787" s="4" t="s">
        <v>12469</v>
      </c>
      <c r="B2787" s="4" t="s">
        <v>12470</v>
      </c>
    </row>
    <row r="2788" spans="1:2" x14ac:dyDescent="0.3">
      <c r="A2788" s="4" t="s">
        <v>12471</v>
      </c>
      <c r="B2788" s="4" t="s">
        <v>12472</v>
      </c>
    </row>
    <row r="2789" spans="1:2" x14ac:dyDescent="0.3">
      <c r="A2789" s="4" t="s">
        <v>9366</v>
      </c>
      <c r="B2789" s="4" t="s">
        <v>9367</v>
      </c>
    </row>
    <row r="2790" spans="1:2" x14ac:dyDescent="0.3">
      <c r="A2790" s="4" t="s">
        <v>4459</v>
      </c>
      <c r="B2790" s="4" t="s">
        <v>4460</v>
      </c>
    </row>
    <row r="2791" spans="1:2" x14ac:dyDescent="0.3">
      <c r="A2791" s="4" t="s">
        <v>9368</v>
      </c>
      <c r="B2791" s="4" t="s">
        <v>9369</v>
      </c>
    </row>
    <row r="2792" spans="1:2" x14ac:dyDescent="0.3">
      <c r="A2792" s="4" t="s">
        <v>4461</v>
      </c>
      <c r="B2792" s="4" t="s">
        <v>4462</v>
      </c>
    </row>
    <row r="2793" spans="1:2" x14ac:dyDescent="0.3">
      <c r="A2793" s="4" t="s">
        <v>4463</v>
      </c>
      <c r="B2793" s="4" t="s">
        <v>4464</v>
      </c>
    </row>
    <row r="2794" spans="1:2" x14ac:dyDescent="0.3">
      <c r="A2794" s="4" t="s">
        <v>4465</v>
      </c>
      <c r="B2794" s="4" t="s">
        <v>4466</v>
      </c>
    </row>
    <row r="2795" spans="1:2" x14ac:dyDescent="0.3">
      <c r="A2795" s="4" t="s">
        <v>4467</v>
      </c>
      <c r="B2795" s="4" t="s">
        <v>4468</v>
      </c>
    </row>
    <row r="2796" spans="1:2" x14ac:dyDescent="0.3">
      <c r="A2796" s="4" t="s">
        <v>9370</v>
      </c>
      <c r="B2796" s="4" t="s">
        <v>9371</v>
      </c>
    </row>
    <row r="2797" spans="1:2" x14ac:dyDescent="0.3">
      <c r="A2797" s="4" t="s">
        <v>4469</v>
      </c>
      <c r="B2797" s="4" t="s">
        <v>4470</v>
      </c>
    </row>
    <row r="2798" spans="1:2" x14ac:dyDescent="0.3">
      <c r="A2798" s="4" t="s">
        <v>9372</v>
      </c>
      <c r="B2798" s="4" t="s">
        <v>9373</v>
      </c>
    </row>
    <row r="2799" spans="1:2" x14ac:dyDescent="0.3">
      <c r="A2799" s="4" t="s">
        <v>4472</v>
      </c>
      <c r="B2799" s="4" t="s">
        <v>4473</v>
      </c>
    </row>
    <row r="2800" spans="1:2" x14ac:dyDescent="0.3">
      <c r="A2800" s="4" t="s">
        <v>4474</v>
      </c>
      <c r="B2800" s="4" t="s">
        <v>4475</v>
      </c>
    </row>
    <row r="2801" spans="1:2" x14ac:dyDescent="0.3">
      <c r="A2801" s="4" t="s">
        <v>4476</v>
      </c>
      <c r="B2801" s="4" t="s">
        <v>4477</v>
      </c>
    </row>
    <row r="2802" spans="1:2" x14ac:dyDescent="0.3">
      <c r="A2802" s="4" t="s">
        <v>4478</v>
      </c>
      <c r="B2802" s="4" t="s">
        <v>4479</v>
      </c>
    </row>
    <row r="2803" spans="1:2" x14ac:dyDescent="0.3">
      <c r="A2803" s="4" t="s">
        <v>9374</v>
      </c>
      <c r="B2803" s="4" t="s">
        <v>9375</v>
      </c>
    </row>
    <row r="2804" spans="1:2" x14ac:dyDescent="0.3">
      <c r="A2804" s="4" t="s">
        <v>4480</v>
      </c>
      <c r="B2804" s="4" t="s">
        <v>4481</v>
      </c>
    </row>
    <row r="2805" spans="1:2" x14ac:dyDescent="0.3">
      <c r="A2805" s="4" t="s">
        <v>4482</v>
      </c>
      <c r="B2805" s="4" t="s">
        <v>4483</v>
      </c>
    </row>
    <row r="2806" spans="1:2" x14ac:dyDescent="0.3">
      <c r="A2806" s="4" t="s">
        <v>4484</v>
      </c>
      <c r="B2806" s="4" t="s">
        <v>4485</v>
      </c>
    </row>
    <row r="2807" spans="1:2" x14ac:dyDescent="0.3">
      <c r="A2807" s="4" t="s">
        <v>4486</v>
      </c>
      <c r="B2807" s="4" t="s">
        <v>4487</v>
      </c>
    </row>
    <row r="2808" spans="1:2" x14ac:dyDescent="0.3">
      <c r="A2808" s="4" t="s">
        <v>4488</v>
      </c>
      <c r="B2808" s="4" t="s">
        <v>4489</v>
      </c>
    </row>
    <row r="2809" spans="1:2" x14ac:dyDescent="0.3">
      <c r="A2809" s="4" t="s">
        <v>4490</v>
      </c>
      <c r="B2809" s="4" t="s">
        <v>4491</v>
      </c>
    </row>
    <row r="2810" spans="1:2" x14ac:dyDescent="0.3">
      <c r="A2810" s="4" t="s">
        <v>9376</v>
      </c>
      <c r="B2810" s="4" t="s">
        <v>9377</v>
      </c>
    </row>
    <row r="2811" spans="1:2" x14ac:dyDescent="0.3">
      <c r="A2811" s="4" t="s">
        <v>9378</v>
      </c>
      <c r="B2811" s="4" t="s">
        <v>9379</v>
      </c>
    </row>
    <row r="2812" spans="1:2" x14ac:dyDescent="0.3">
      <c r="A2812" s="4" t="s">
        <v>9380</v>
      </c>
      <c r="B2812" s="4" t="s">
        <v>9381</v>
      </c>
    </row>
    <row r="2813" spans="1:2" x14ac:dyDescent="0.3">
      <c r="A2813" s="4" t="s">
        <v>4493</v>
      </c>
      <c r="B2813" s="4" t="s">
        <v>4494</v>
      </c>
    </row>
    <row r="2814" spans="1:2" x14ac:dyDescent="0.3">
      <c r="A2814" s="4" t="s">
        <v>4495</v>
      </c>
      <c r="B2814" s="4" t="s">
        <v>4496</v>
      </c>
    </row>
    <row r="2815" spans="1:2" x14ac:dyDescent="0.3">
      <c r="A2815" s="4" t="s">
        <v>9382</v>
      </c>
      <c r="B2815" s="4" t="s">
        <v>9383</v>
      </c>
    </row>
    <row r="2816" spans="1:2" x14ac:dyDescent="0.3">
      <c r="A2816" s="4" t="s">
        <v>4497</v>
      </c>
      <c r="B2816" s="4" t="s">
        <v>4498</v>
      </c>
    </row>
    <row r="2817" spans="1:2" x14ac:dyDescent="0.3">
      <c r="A2817" s="4" t="s">
        <v>9384</v>
      </c>
      <c r="B2817" s="4" t="s">
        <v>9385</v>
      </c>
    </row>
    <row r="2818" spans="1:2" x14ac:dyDescent="0.3">
      <c r="A2818" s="4" t="s">
        <v>4499</v>
      </c>
      <c r="B2818" s="4" t="s">
        <v>4500</v>
      </c>
    </row>
    <row r="2819" spans="1:2" x14ac:dyDescent="0.3">
      <c r="A2819" s="4" t="s">
        <v>4501</v>
      </c>
      <c r="B2819" s="4" t="s">
        <v>4502</v>
      </c>
    </row>
    <row r="2820" spans="1:2" x14ac:dyDescent="0.3">
      <c r="A2820" s="4" t="s">
        <v>6657</v>
      </c>
      <c r="B2820" s="4" t="s">
        <v>4503</v>
      </c>
    </row>
    <row r="2821" spans="1:2" x14ac:dyDescent="0.3">
      <c r="A2821" s="4" t="s">
        <v>4504</v>
      </c>
      <c r="B2821" s="4" t="s">
        <v>4505</v>
      </c>
    </row>
    <row r="2822" spans="1:2" x14ac:dyDescent="0.3">
      <c r="A2822" s="4" t="s">
        <v>9386</v>
      </c>
      <c r="B2822" s="4" t="s">
        <v>9387</v>
      </c>
    </row>
    <row r="2823" spans="1:2" x14ac:dyDescent="0.3">
      <c r="A2823" s="4" t="s">
        <v>9388</v>
      </c>
      <c r="B2823" s="4" t="s">
        <v>9389</v>
      </c>
    </row>
    <row r="2824" spans="1:2" x14ac:dyDescent="0.3">
      <c r="A2824" s="4" t="s">
        <v>4506</v>
      </c>
      <c r="B2824" s="4" t="s">
        <v>4507</v>
      </c>
    </row>
    <row r="2825" spans="1:2" x14ac:dyDescent="0.3">
      <c r="A2825" s="4" t="s">
        <v>4508</v>
      </c>
      <c r="B2825" s="4" t="s">
        <v>4509</v>
      </c>
    </row>
    <row r="2826" spans="1:2" x14ac:dyDescent="0.3">
      <c r="A2826" s="4" t="s">
        <v>4510</v>
      </c>
      <c r="B2826" s="4" t="s">
        <v>4511</v>
      </c>
    </row>
    <row r="2827" spans="1:2" x14ac:dyDescent="0.3">
      <c r="A2827" s="4" t="s">
        <v>4512</v>
      </c>
      <c r="B2827" s="4" t="s">
        <v>4513</v>
      </c>
    </row>
    <row r="2828" spans="1:2" x14ac:dyDescent="0.3">
      <c r="A2828" s="4" t="s">
        <v>4514</v>
      </c>
      <c r="B2828" s="4" t="s">
        <v>4515</v>
      </c>
    </row>
    <row r="2829" spans="1:2" x14ac:dyDescent="0.3">
      <c r="A2829" s="4" t="s">
        <v>9390</v>
      </c>
      <c r="B2829" s="4" t="s">
        <v>9391</v>
      </c>
    </row>
    <row r="2830" spans="1:2" x14ac:dyDescent="0.3">
      <c r="A2830" s="4" t="s">
        <v>9392</v>
      </c>
      <c r="B2830" s="4" t="s">
        <v>9393</v>
      </c>
    </row>
    <row r="2831" spans="1:2" x14ac:dyDescent="0.3">
      <c r="A2831" s="4" t="s">
        <v>4516</v>
      </c>
      <c r="B2831" s="4" t="s">
        <v>4517</v>
      </c>
    </row>
    <row r="2832" spans="1:2" x14ac:dyDescent="0.3">
      <c r="A2832" s="4" t="s">
        <v>9394</v>
      </c>
      <c r="B2832" s="4" t="s">
        <v>9395</v>
      </c>
    </row>
    <row r="2833" spans="1:2" x14ac:dyDescent="0.3">
      <c r="A2833" s="4" t="s">
        <v>9396</v>
      </c>
      <c r="B2833" s="4" t="s">
        <v>9397</v>
      </c>
    </row>
    <row r="2834" spans="1:2" x14ac:dyDescent="0.3">
      <c r="A2834" s="4" t="s">
        <v>4519</v>
      </c>
      <c r="B2834" s="4" t="s">
        <v>4520</v>
      </c>
    </row>
    <row r="2835" spans="1:2" x14ac:dyDescent="0.3">
      <c r="A2835" s="4" t="s">
        <v>4521</v>
      </c>
      <c r="B2835" s="4" t="s">
        <v>4522</v>
      </c>
    </row>
    <row r="2836" spans="1:2" x14ac:dyDescent="0.3">
      <c r="A2836" s="4" t="s">
        <v>9398</v>
      </c>
      <c r="B2836" s="4" t="s">
        <v>9399</v>
      </c>
    </row>
    <row r="2837" spans="1:2" x14ac:dyDescent="0.3">
      <c r="A2837" s="4" t="s">
        <v>4523</v>
      </c>
      <c r="B2837" s="4" t="s">
        <v>4524</v>
      </c>
    </row>
    <row r="2838" spans="1:2" x14ac:dyDescent="0.3">
      <c r="A2838" s="4" t="s">
        <v>4525</v>
      </c>
      <c r="B2838" s="4" t="s">
        <v>4526</v>
      </c>
    </row>
    <row r="2839" spans="1:2" x14ac:dyDescent="0.3">
      <c r="A2839" s="4" t="s">
        <v>12473</v>
      </c>
      <c r="B2839" s="4" t="s">
        <v>12474</v>
      </c>
    </row>
    <row r="2840" spans="1:2" x14ac:dyDescent="0.3">
      <c r="A2840" s="4" t="s">
        <v>4527</v>
      </c>
      <c r="B2840" s="4" t="s">
        <v>4528</v>
      </c>
    </row>
    <row r="2841" spans="1:2" x14ac:dyDescent="0.3">
      <c r="A2841" s="4" t="s">
        <v>9400</v>
      </c>
      <c r="B2841" s="4" t="s">
        <v>9401</v>
      </c>
    </row>
    <row r="2842" spans="1:2" x14ac:dyDescent="0.3">
      <c r="A2842" s="4" t="s">
        <v>4530</v>
      </c>
      <c r="B2842" s="4" t="s">
        <v>4531</v>
      </c>
    </row>
    <row r="2843" spans="1:2" x14ac:dyDescent="0.3">
      <c r="A2843" s="4" t="s">
        <v>9402</v>
      </c>
      <c r="B2843" s="4" t="s">
        <v>9403</v>
      </c>
    </row>
    <row r="2844" spans="1:2" x14ac:dyDescent="0.3">
      <c r="A2844" s="4" t="s">
        <v>4532</v>
      </c>
      <c r="B2844" s="4" t="s">
        <v>4533</v>
      </c>
    </row>
    <row r="2845" spans="1:2" x14ac:dyDescent="0.3">
      <c r="A2845" s="4" t="s">
        <v>9404</v>
      </c>
      <c r="B2845" s="4" t="s">
        <v>9405</v>
      </c>
    </row>
    <row r="2846" spans="1:2" x14ac:dyDescent="0.3">
      <c r="A2846" s="4" t="s">
        <v>4535</v>
      </c>
      <c r="B2846" s="4" t="s">
        <v>4536</v>
      </c>
    </row>
    <row r="2847" spans="1:2" x14ac:dyDescent="0.3">
      <c r="A2847" s="4" t="s">
        <v>9406</v>
      </c>
      <c r="B2847" s="4" t="s">
        <v>9407</v>
      </c>
    </row>
    <row r="2848" spans="1:2" x14ac:dyDescent="0.3">
      <c r="A2848" s="4" t="s">
        <v>4537</v>
      </c>
      <c r="B2848" s="4" t="s">
        <v>4538</v>
      </c>
    </row>
    <row r="2849" spans="1:2" x14ac:dyDescent="0.3">
      <c r="A2849" s="4" t="s">
        <v>9408</v>
      </c>
      <c r="B2849" s="4" t="s">
        <v>9409</v>
      </c>
    </row>
    <row r="2850" spans="1:2" x14ac:dyDescent="0.3">
      <c r="A2850" s="4" t="s">
        <v>9410</v>
      </c>
      <c r="B2850" s="4" t="s">
        <v>9411</v>
      </c>
    </row>
    <row r="2851" spans="1:2" x14ac:dyDescent="0.3">
      <c r="A2851" s="4" t="s">
        <v>9412</v>
      </c>
      <c r="B2851" s="4" t="s">
        <v>9413</v>
      </c>
    </row>
    <row r="2852" spans="1:2" x14ac:dyDescent="0.3">
      <c r="A2852" s="4" t="s">
        <v>9414</v>
      </c>
      <c r="B2852" s="4" t="s">
        <v>8684</v>
      </c>
    </row>
    <row r="2853" spans="1:2" x14ac:dyDescent="0.3">
      <c r="A2853" s="4" t="s">
        <v>4539</v>
      </c>
      <c r="B2853" s="4" t="s">
        <v>4540</v>
      </c>
    </row>
    <row r="2854" spans="1:2" x14ac:dyDescent="0.3">
      <c r="A2854" s="4" t="s">
        <v>4541</v>
      </c>
      <c r="B2854" s="4" t="s">
        <v>4542</v>
      </c>
    </row>
    <row r="2855" spans="1:2" x14ac:dyDescent="0.3">
      <c r="A2855" s="4" t="s">
        <v>4544</v>
      </c>
      <c r="B2855" s="4" t="s">
        <v>4545</v>
      </c>
    </row>
    <row r="2856" spans="1:2" x14ac:dyDescent="0.3">
      <c r="A2856" s="4" t="s">
        <v>4547</v>
      </c>
      <c r="B2856" s="4" t="s">
        <v>4548</v>
      </c>
    </row>
    <row r="2857" spans="1:2" x14ac:dyDescent="0.3">
      <c r="A2857" s="4" t="s">
        <v>9415</v>
      </c>
      <c r="B2857" s="4" t="s">
        <v>9416</v>
      </c>
    </row>
    <row r="2858" spans="1:2" x14ac:dyDescent="0.3">
      <c r="A2858" s="4" t="s">
        <v>4549</v>
      </c>
      <c r="B2858" s="4" t="s">
        <v>9417</v>
      </c>
    </row>
    <row r="2859" spans="1:2" x14ac:dyDescent="0.3">
      <c r="A2859" s="4" t="s">
        <v>9418</v>
      </c>
      <c r="B2859" s="4" t="s">
        <v>9419</v>
      </c>
    </row>
    <row r="2860" spans="1:2" x14ac:dyDescent="0.3">
      <c r="A2860" s="4" t="s">
        <v>4546</v>
      </c>
      <c r="B2860" s="4" t="s">
        <v>9420</v>
      </c>
    </row>
    <row r="2861" spans="1:2" x14ac:dyDescent="0.3">
      <c r="A2861" s="4" t="s">
        <v>9421</v>
      </c>
      <c r="B2861" s="4" t="s">
        <v>9422</v>
      </c>
    </row>
    <row r="2862" spans="1:2" x14ac:dyDescent="0.3">
      <c r="A2862" s="4" t="s">
        <v>4550</v>
      </c>
      <c r="B2862" s="4" t="s">
        <v>4551</v>
      </c>
    </row>
    <row r="2863" spans="1:2" x14ac:dyDescent="0.3">
      <c r="A2863" s="4" t="s">
        <v>9423</v>
      </c>
      <c r="B2863" s="4" t="s">
        <v>9424</v>
      </c>
    </row>
    <row r="2864" spans="1:2" x14ac:dyDescent="0.3">
      <c r="A2864" s="4" t="s">
        <v>4552</v>
      </c>
      <c r="B2864" s="4" t="s">
        <v>4553</v>
      </c>
    </row>
    <row r="2865" spans="1:2" x14ac:dyDescent="0.3">
      <c r="A2865" s="4" t="s">
        <v>9425</v>
      </c>
      <c r="B2865" s="4" t="s">
        <v>9426</v>
      </c>
    </row>
    <row r="2866" spans="1:2" x14ac:dyDescent="0.3">
      <c r="A2866" s="4" t="s">
        <v>4554</v>
      </c>
      <c r="B2866" s="4" t="s">
        <v>4555</v>
      </c>
    </row>
    <row r="2867" spans="1:2" x14ac:dyDescent="0.3">
      <c r="A2867" s="4" t="s">
        <v>9427</v>
      </c>
      <c r="B2867" s="4" t="s">
        <v>9428</v>
      </c>
    </row>
    <row r="2868" spans="1:2" x14ac:dyDescent="0.3">
      <c r="A2868" s="4" t="s">
        <v>9429</v>
      </c>
      <c r="B2868" s="4" t="s">
        <v>8686</v>
      </c>
    </row>
    <row r="2869" spans="1:2" x14ac:dyDescent="0.3">
      <c r="A2869" s="4" t="s">
        <v>9430</v>
      </c>
      <c r="B2869" s="4" t="s">
        <v>9431</v>
      </c>
    </row>
    <row r="2870" spans="1:2" x14ac:dyDescent="0.3">
      <c r="A2870" s="4" t="s">
        <v>9432</v>
      </c>
      <c r="B2870" s="4" t="s">
        <v>9433</v>
      </c>
    </row>
    <row r="2871" spans="1:2" x14ac:dyDescent="0.3">
      <c r="A2871" s="4" t="s">
        <v>9434</v>
      </c>
      <c r="B2871" s="4" t="s">
        <v>9435</v>
      </c>
    </row>
    <row r="2872" spans="1:2" x14ac:dyDescent="0.3">
      <c r="A2872" s="4" t="s">
        <v>4556</v>
      </c>
      <c r="B2872" s="4" t="s">
        <v>4557</v>
      </c>
    </row>
    <row r="2873" spans="1:2" x14ac:dyDescent="0.3">
      <c r="A2873" s="4" t="s">
        <v>4558</v>
      </c>
      <c r="B2873" s="4" t="s">
        <v>4559</v>
      </c>
    </row>
    <row r="2874" spans="1:2" x14ac:dyDescent="0.3">
      <c r="A2874" s="4" t="s">
        <v>9436</v>
      </c>
      <c r="B2874" s="4" t="s">
        <v>9437</v>
      </c>
    </row>
    <row r="2875" spans="1:2" x14ac:dyDescent="0.3">
      <c r="A2875" s="4" t="s">
        <v>4561</v>
      </c>
      <c r="B2875" s="4" t="s">
        <v>4560</v>
      </c>
    </row>
    <row r="2876" spans="1:2" x14ac:dyDescent="0.3">
      <c r="A2876" s="4" t="s">
        <v>4562</v>
      </c>
      <c r="B2876" s="4" t="s">
        <v>4563</v>
      </c>
    </row>
    <row r="2877" spans="1:2" x14ac:dyDescent="0.3">
      <c r="A2877" s="4" t="s">
        <v>9438</v>
      </c>
      <c r="B2877" s="4" t="s">
        <v>9439</v>
      </c>
    </row>
    <row r="2878" spans="1:2" x14ac:dyDescent="0.3">
      <c r="A2878" s="4" t="s">
        <v>12475</v>
      </c>
      <c r="B2878" s="4" t="s">
        <v>12476</v>
      </c>
    </row>
    <row r="2879" spans="1:2" x14ac:dyDescent="0.3">
      <c r="A2879" s="4" t="s">
        <v>9440</v>
      </c>
      <c r="B2879" s="4" t="s">
        <v>9441</v>
      </c>
    </row>
    <row r="2880" spans="1:2" x14ac:dyDescent="0.3">
      <c r="A2880" s="4" t="s">
        <v>4564</v>
      </c>
      <c r="B2880" s="4" t="s">
        <v>4565</v>
      </c>
    </row>
    <row r="2881" spans="1:2" x14ac:dyDescent="0.3">
      <c r="A2881" s="4" t="s">
        <v>9442</v>
      </c>
      <c r="B2881" s="4" t="s">
        <v>9443</v>
      </c>
    </row>
    <row r="2882" spans="1:2" x14ac:dyDescent="0.3">
      <c r="A2882" s="4" t="s">
        <v>9444</v>
      </c>
      <c r="B2882" s="4" t="s">
        <v>9445</v>
      </c>
    </row>
    <row r="2883" spans="1:2" x14ac:dyDescent="0.3">
      <c r="A2883" s="4" t="s">
        <v>9446</v>
      </c>
      <c r="B2883" s="4" t="s">
        <v>9447</v>
      </c>
    </row>
    <row r="2884" spans="1:2" x14ac:dyDescent="0.3">
      <c r="A2884" s="4" t="s">
        <v>4566</v>
      </c>
      <c r="B2884" s="4" t="s">
        <v>4567</v>
      </c>
    </row>
    <row r="2885" spans="1:2" x14ac:dyDescent="0.3">
      <c r="A2885" s="4" t="s">
        <v>9448</v>
      </c>
      <c r="B2885" s="4" t="s">
        <v>9449</v>
      </c>
    </row>
    <row r="2886" spans="1:2" x14ac:dyDescent="0.3">
      <c r="A2886" s="4" t="s">
        <v>9450</v>
      </c>
      <c r="B2886" s="4" t="s">
        <v>9451</v>
      </c>
    </row>
    <row r="2887" spans="1:2" x14ac:dyDescent="0.3">
      <c r="A2887" s="4" t="s">
        <v>4568</v>
      </c>
      <c r="B2887" s="4" t="s">
        <v>4569</v>
      </c>
    </row>
    <row r="2888" spans="1:2" x14ac:dyDescent="0.3">
      <c r="A2888" s="4" t="s">
        <v>4570</v>
      </c>
      <c r="B2888" s="4" t="s">
        <v>4571</v>
      </c>
    </row>
    <row r="2889" spans="1:2" x14ac:dyDescent="0.3">
      <c r="A2889" s="4" t="s">
        <v>4572</v>
      </c>
      <c r="B2889" s="4" t="s">
        <v>4573</v>
      </c>
    </row>
    <row r="2890" spans="1:2" x14ac:dyDescent="0.3">
      <c r="A2890" s="4" t="s">
        <v>9452</v>
      </c>
      <c r="B2890" s="4" t="s">
        <v>9453</v>
      </c>
    </row>
    <row r="2891" spans="1:2" x14ac:dyDescent="0.3">
      <c r="A2891" s="4" t="s">
        <v>4574</v>
      </c>
      <c r="B2891" s="4" t="s">
        <v>4575</v>
      </c>
    </row>
    <row r="2892" spans="1:2" x14ac:dyDescent="0.3">
      <c r="A2892" s="4" t="s">
        <v>4576</v>
      </c>
      <c r="B2892" s="4" t="s">
        <v>4577</v>
      </c>
    </row>
    <row r="2893" spans="1:2" x14ac:dyDescent="0.3">
      <c r="A2893" s="4" t="s">
        <v>4578</v>
      </c>
      <c r="B2893" s="4" t="s">
        <v>4579</v>
      </c>
    </row>
    <row r="2894" spans="1:2" x14ac:dyDescent="0.3">
      <c r="A2894" s="4" t="s">
        <v>4580</v>
      </c>
      <c r="B2894" s="4" t="s">
        <v>4581</v>
      </c>
    </row>
    <row r="2895" spans="1:2" x14ac:dyDescent="0.3">
      <c r="A2895" s="4" t="s">
        <v>9454</v>
      </c>
      <c r="B2895" s="4" t="s">
        <v>9455</v>
      </c>
    </row>
    <row r="2896" spans="1:2" x14ac:dyDescent="0.3">
      <c r="A2896" s="4" t="s">
        <v>4582</v>
      </c>
      <c r="B2896" s="4" t="s">
        <v>4583</v>
      </c>
    </row>
    <row r="2897" spans="1:2" x14ac:dyDescent="0.3">
      <c r="A2897" s="4" t="s">
        <v>9456</v>
      </c>
      <c r="B2897" s="4" t="s">
        <v>9457</v>
      </c>
    </row>
    <row r="2898" spans="1:2" x14ac:dyDescent="0.3">
      <c r="A2898" s="4" t="s">
        <v>12477</v>
      </c>
      <c r="B2898" s="4" t="s">
        <v>12478</v>
      </c>
    </row>
    <row r="2899" spans="1:2" x14ac:dyDescent="0.3">
      <c r="A2899" s="4" t="s">
        <v>4584</v>
      </c>
      <c r="B2899" s="4" t="s">
        <v>4585</v>
      </c>
    </row>
    <row r="2900" spans="1:2" x14ac:dyDescent="0.3">
      <c r="A2900" s="4" t="s">
        <v>4586</v>
      </c>
      <c r="B2900" s="4" t="s">
        <v>4587</v>
      </c>
    </row>
    <row r="2901" spans="1:2" x14ac:dyDescent="0.3">
      <c r="A2901" s="4" t="s">
        <v>4588</v>
      </c>
      <c r="B2901" s="4" t="s">
        <v>4589</v>
      </c>
    </row>
    <row r="2902" spans="1:2" x14ac:dyDescent="0.3">
      <c r="A2902" s="4" t="s">
        <v>4590</v>
      </c>
      <c r="B2902" s="4" t="s">
        <v>4591</v>
      </c>
    </row>
    <row r="2903" spans="1:2" x14ac:dyDescent="0.3">
      <c r="A2903" s="4" t="s">
        <v>4592</v>
      </c>
      <c r="B2903" s="4" t="s">
        <v>4593</v>
      </c>
    </row>
    <row r="2904" spans="1:2" x14ac:dyDescent="0.3">
      <c r="A2904" s="4" t="s">
        <v>4594</v>
      </c>
      <c r="B2904" s="4" t="s">
        <v>4595</v>
      </c>
    </row>
    <row r="2905" spans="1:2" x14ac:dyDescent="0.3">
      <c r="A2905" s="4" t="s">
        <v>4596</v>
      </c>
      <c r="B2905" s="4" t="s">
        <v>4597</v>
      </c>
    </row>
    <row r="2906" spans="1:2" x14ac:dyDescent="0.3">
      <c r="A2906" s="4" t="s">
        <v>4598</v>
      </c>
      <c r="B2906" s="4" t="s">
        <v>4599</v>
      </c>
    </row>
    <row r="2907" spans="1:2" x14ac:dyDescent="0.3">
      <c r="A2907" s="4" t="s">
        <v>12479</v>
      </c>
      <c r="B2907" s="4" t="s">
        <v>12480</v>
      </c>
    </row>
    <row r="2908" spans="1:2" x14ac:dyDescent="0.3">
      <c r="A2908" s="4" t="s">
        <v>4600</v>
      </c>
      <c r="B2908" s="4" t="s">
        <v>4601</v>
      </c>
    </row>
    <row r="2909" spans="1:2" x14ac:dyDescent="0.3">
      <c r="A2909" s="4" t="s">
        <v>9458</v>
      </c>
      <c r="B2909" s="4" t="s">
        <v>8692</v>
      </c>
    </row>
    <row r="2910" spans="1:2" x14ac:dyDescent="0.3">
      <c r="A2910" s="4" t="s">
        <v>4602</v>
      </c>
      <c r="B2910" s="4" t="s">
        <v>4603</v>
      </c>
    </row>
    <row r="2911" spans="1:2" x14ac:dyDescent="0.3">
      <c r="A2911" s="4" t="s">
        <v>9459</v>
      </c>
      <c r="B2911" s="4" t="s">
        <v>9460</v>
      </c>
    </row>
    <row r="2912" spans="1:2" x14ac:dyDescent="0.3">
      <c r="A2912" s="4" t="s">
        <v>9461</v>
      </c>
      <c r="B2912" s="4" t="s">
        <v>9462</v>
      </c>
    </row>
    <row r="2913" spans="1:2" x14ac:dyDescent="0.3">
      <c r="A2913" s="4" t="s">
        <v>6600</v>
      </c>
      <c r="B2913" s="4" t="s">
        <v>9463</v>
      </c>
    </row>
    <row r="2914" spans="1:2" x14ac:dyDescent="0.3">
      <c r="A2914" s="4" t="s">
        <v>4604</v>
      </c>
      <c r="B2914" s="4" t="s">
        <v>4605</v>
      </c>
    </row>
    <row r="2915" spans="1:2" x14ac:dyDescent="0.3">
      <c r="A2915" s="4" t="s">
        <v>9465</v>
      </c>
      <c r="B2915" s="4" t="s">
        <v>9466</v>
      </c>
    </row>
    <row r="2916" spans="1:2" x14ac:dyDescent="0.3">
      <c r="A2916" s="4" t="s">
        <v>4606</v>
      </c>
      <c r="B2916" s="4" t="s">
        <v>4607</v>
      </c>
    </row>
    <row r="2917" spans="1:2" x14ac:dyDescent="0.3">
      <c r="A2917" s="4" t="s">
        <v>4608</v>
      </c>
      <c r="B2917" s="4" t="s">
        <v>4609</v>
      </c>
    </row>
    <row r="2918" spans="1:2" x14ac:dyDescent="0.3">
      <c r="A2918" s="4" t="s">
        <v>4610</v>
      </c>
      <c r="B2918" s="4" t="s">
        <v>4611</v>
      </c>
    </row>
    <row r="2919" spans="1:2" x14ac:dyDescent="0.3">
      <c r="A2919" s="4" t="s">
        <v>9467</v>
      </c>
      <c r="B2919" s="4" t="s">
        <v>9468</v>
      </c>
    </row>
    <row r="2920" spans="1:2" x14ac:dyDescent="0.3">
      <c r="A2920" s="4" t="s">
        <v>9469</v>
      </c>
      <c r="B2920" s="4" t="s">
        <v>9470</v>
      </c>
    </row>
    <row r="2921" spans="1:2" x14ac:dyDescent="0.3">
      <c r="A2921" s="4" t="s">
        <v>4612</v>
      </c>
      <c r="B2921" s="4" t="s">
        <v>4613</v>
      </c>
    </row>
    <row r="2922" spans="1:2" x14ac:dyDescent="0.3">
      <c r="A2922" s="4" t="s">
        <v>4614</v>
      </c>
      <c r="B2922" s="4" t="s">
        <v>4615</v>
      </c>
    </row>
    <row r="2923" spans="1:2" x14ac:dyDescent="0.3">
      <c r="A2923" s="4" t="s">
        <v>4616</v>
      </c>
      <c r="B2923" s="4" t="s">
        <v>4617</v>
      </c>
    </row>
    <row r="2924" spans="1:2" x14ac:dyDescent="0.3">
      <c r="A2924" s="4" t="s">
        <v>4618</v>
      </c>
      <c r="B2924" s="4" t="s">
        <v>4619</v>
      </c>
    </row>
    <row r="2925" spans="1:2" x14ac:dyDescent="0.3">
      <c r="A2925" s="4" t="s">
        <v>4620</v>
      </c>
      <c r="B2925" s="4" t="s">
        <v>4621</v>
      </c>
    </row>
    <row r="2926" spans="1:2" x14ac:dyDescent="0.3">
      <c r="A2926" s="4" t="s">
        <v>4622</v>
      </c>
      <c r="B2926" s="4" t="s">
        <v>4623</v>
      </c>
    </row>
    <row r="2927" spans="1:2" x14ac:dyDescent="0.3">
      <c r="A2927" s="4" t="s">
        <v>4624</v>
      </c>
      <c r="B2927" s="4" t="s">
        <v>9471</v>
      </c>
    </row>
    <row r="2928" spans="1:2" x14ac:dyDescent="0.3">
      <c r="A2928" s="4" t="s">
        <v>4625</v>
      </c>
      <c r="B2928" s="4" t="s">
        <v>4626</v>
      </c>
    </row>
    <row r="2929" spans="1:2" x14ac:dyDescent="0.3">
      <c r="A2929" s="4" t="s">
        <v>4627</v>
      </c>
      <c r="B2929" s="4" t="s">
        <v>4628</v>
      </c>
    </row>
    <row r="2930" spans="1:2" x14ac:dyDescent="0.3">
      <c r="A2930" s="4" t="s">
        <v>4629</v>
      </c>
      <c r="B2930" s="4" t="s">
        <v>12481</v>
      </c>
    </row>
    <row r="2931" spans="1:2" x14ac:dyDescent="0.3">
      <c r="A2931" s="4" t="s">
        <v>4630</v>
      </c>
      <c r="B2931" s="4" t="s">
        <v>4631</v>
      </c>
    </row>
    <row r="2932" spans="1:2" x14ac:dyDescent="0.3">
      <c r="A2932" s="4" t="s">
        <v>4632</v>
      </c>
      <c r="B2932" s="4" t="s">
        <v>4633</v>
      </c>
    </row>
    <row r="2933" spans="1:2" x14ac:dyDescent="0.3">
      <c r="A2933" s="4" t="s">
        <v>4634</v>
      </c>
      <c r="B2933" s="4" t="s">
        <v>4635</v>
      </c>
    </row>
    <row r="2934" spans="1:2" x14ac:dyDescent="0.3">
      <c r="A2934" s="4" t="s">
        <v>4636</v>
      </c>
      <c r="B2934" s="4" t="s">
        <v>4637</v>
      </c>
    </row>
    <row r="2935" spans="1:2" x14ac:dyDescent="0.3">
      <c r="A2935" s="4" t="s">
        <v>9472</v>
      </c>
      <c r="B2935" s="4" t="s">
        <v>9473</v>
      </c>
    </row>
    <row r="2936" spans="1:2" x14ac:dyDescent="0.3">
      <c r="A2936" s="4" t="s">
        <v>4638</v>
      </c>
      <c r="B2936" s="4" t="s">
        <v>4639</v>
      </c>
    </row>
    <row r="2937" spans="1:2" x14ac:dyDescent="0.3">
      <c r="A2937" s="4" t="s">
        <v>9474</v>
      </c>
      <c r="B2937" s="4" t="s">
        <v>9475</v>
      </c>
    </row>
    <row r="2938" spans="1:2" x14ac:dyDescent="0.3">
      <c r="A2938" s="4" t="s">
        <v>4640</v>
      </c>
      <c r="B2938" s="4" t="s">
        <v>4641</v>
      </c>
    </row>
    <row r="2939" spans="1:2" x14ac:dyDescent="0.3">
      <c r="A2939" s="4" t="s">
        <v>4642</v>
      </c>
      <c r="B2939" s="4" t="s">
        <v>4643</v>
      </c>
    </row>
    <row r="2940" spans="1:2" x14ac:dyDescent="0.3">
      <c r="A2940" s="4" t="s">
        <v>9476</v>
      </c>
      <c r="B2940" s="4" t="s">
        <v>9477</v>
      </c>
    </row>
    <row r="2941" spans="1:2" x14ac:dyDescent="0.3">
      <c r="A2941" s="4" t="s">
        <v>4644</v>
      </c>
      <c r="B2941" s="4" t="s">
        <v>4645</v>
      </c>
    </row>
    <row r="2942" spans="1:2" x14ac:dyDescent="0.3">
      <c r="A2942" s="4" t="s">
        <v>4646</v>
      </c>
      <c r="B2942" s="4" t="s">
        <v>4647</v>
      </c>
    </row>
    <row r="2943" spans="1:2" x14ac:dyDescent="0.3">
      <c r="A2943" s="4" t="s">
        <v>9478</v>
      </c>
      <c r="B2943" s="4" t="s">
        <v>9479</v>
      </c>
    </row>
    <row r="2944" spans="1:2" x14ac:dyDescent="0.3">
      <c r="A2944" s="4" t="s">
        <v>4648</v>
      </c>
      <c r="B2944" s="4" t="s">
        <v>4649</v>
      </c>
    </row>
    <row r="2945" spans="1:2" x14ac:dyDescent="0.3">
      <c r="A2945" s="4" t="s">
        <v>4650</v>
      </c>
      <c r="B2945" s="4" t="s">
        <v>4651</v>
      </c>
    </row>
    <row r="2946" spans="1:2" x14ac:dyDescent="0.3">
      <c r="A2946" s="4" t="s">
        <v>4652</v>
      </c>
      <c r="B2946" s="4" t="s">
        <v>4653</v>
      </c>
    </row>
    <row r="2947" spans="1:2" x14ac:dyDescent="0.3">
      <c r="A2947" s="4" t="s">
        <v>9480</v>
      </c>
      <c r="B2947" s="4" t="s">
        <v>9481</v>
      </c>
    </row>
    <row r="2948" spans="1:2" x14ac:dyDescent="0.3">
      <c r="A2948" s="4" t="s">
        <v>4654</v>
      </c>
      <c r="B2948" s="4" t="s">
        <v>4655</v>
      </c>
    </row>
    <row r="2949" spans="1:2" x14ac:dyDescent="0.3">
      <c r="A2949" s="4" t="s">
        <v>4656</v>
      </c>
      <c r="B2949" s="4" t="s">
        <v>4657</v>
      </c>
    </row>
    <row r="2950" spans="1:2" x14ac:dyDescent="0.3">
      <c r="A2950" s="4" t="s">
        <v>4658</v>
      </c>
      <c r="B2950" s="4" t="s">
        <v>4659</v>
      </c>
    </row>
    <row r="2951" spans="1:2" x14ac:dyDescent="0.3">
      <c r="A2951" s="4" t="s">
        <v>4660</v>
      </c>
      <c r="B2951" s="4" t="s">
        <v>4661</v>
      </c>
    </row>
    <row r="2952" spans="1:2" x14ac:dyDescent="0.3">
      <c r="A2952" s="4" t="s">
        <v>4662</v>
      </c>
      <c r="B2952" s="4" t="s">
        <v>4663</v>
      </c>
    </row>
    <row r="2953" spans="1:2" x14ac:dyDescent="0.3">
      <c r="A2953" s="4" t="s">
        <v>4664</v>
      </c>
      <c r="B2953" s="4" t="s">
        <v>4665</v>
      </c>
    </row>
    <row r="2954" spans="1:2" x14ac:dyDescent="0.3">
      <c r="A2954" s="4" t="s">
        <v>4666</v>
      </c>
      <c r="B2954" s="4" t="s">
        <v>4667</v>
      </c>
    </row>
    <row r="2955" spans="1:2" x14ac:dyDescent="0.3">
      <c r="A2955" s="4" t="s">
        <v>4668</v>
      </c>
      <c r="B2955" s="4" t="s">
        <v>4669</v>
      </c>
    </row>
    <row r="2956" spans="1:2" x14ac:dyDescent="0.3">
      <c r="A2956" s="4" t="s">
        <v>4670</v>
      </c>
      <c r="B2956" s="4" t="s">
        <v>4671</v>
      </c>
    </row>
    <row r="2957" spans="1:2" x14ac:dyDescent="0.3">
      <c r="A2957" s="4" t="s">
        <v>4672</v>
      </c>
      <c r="B2957" s="4" t="s">
        <v>4673</v>
      </c>
    </row>
    <row r="2958" spans="1:2" x14ac:dyDescent="0.3">
      <c r="A2958" s="4" t="s">
        <v>4674</v>
      </c>
      <c r="B2958" s="4" t="s">
        <v>4675</v>
      </c>
    </row>
    <row r="2959" spans="1:2" x14ac:dyDescent="0.3">
      <c r="A2959" s="4" t="s">
        <v>4676</v>
      </c>
      <c r="B2959" s="4" t="s">
        <v>4677</v>
      </c>
    </row>
    <row r="2960" spans="1:2" x14ac:dyDescent="0.3">
      <c r="A2960" s="4" t="s">
        <v>5219</v>
      </c>
      <c r="B2960" s="4" t="s">
        <v>9482</v>
      </c>
    </row>
    <row r="2961" spans="1:2" x14ac:dyDescent="0.3">
      <c r="A2961" s="4" t="s">
        <v>8020</v>
      </c>
      <c r="B2961" s="4" t="s">
        <v>9483</v>
      </c>
    </row>
    <row r="2962" spans="1:2" x14ac:dyDescent="0.3">
      <c r="A2962" s="4" t="s">
        <v>9484</v>
      </c>
      <c r="B2962" s="4" t="s">
        <v>9485</v>
      </c>
    </row>
    <row r="2963" spans="1:2" x14ac:dyDescent="0.3">
      <c r="A2963" s="4" t="s">
        <v>9486</v>
      </c>
      <c r="B2963" s="4" t="s">
        <v>9150</v>
      </c>
    </row>
    <row r="2964" spans="1:2" x14ac:dyDescent="0.3">
      <c r="A2964" s="4" t="s">
        <v>4678</v>
      </c>
      <c r="B2964" s="4" t="s">
        <v>4679</v>
      </c>
    </row>
    <row r="2965" spans="1:2" x14ac:dyDescent="0.3">
      <c r="A2965" s="4" t="s">
        <v>9487</v>
      </c>
      <c r="B2965" s="4" t="s">
        <v>9488</v>
      </c>
    </row>
    <row r="2966" spans="1:2" x14ac:dyDescent="0.3">
      <c r="A2966" s="4" t="s">
        <v>9489</v>
      </c>
      <c r="B2966" s="4" t="s">
        <v>9490</v>
      </c>
    </row>
    <row r="2967" spans="1:2" x14ac:dyDescent="0.3">
      <c r="A2967" s="4" t="s">
        <v>4680</v>
      </c>
      <c r="B2967" s="4" t="s">
        <v>4681</v>
      </c>
    </row>
    <row r="2968" spans="1:2" x14ac:dyDescent="0.3">
      <c r="A2968" s="4" t="s">
        <v>12482</v>
      </c>
      <c r="B2968" s="4" t="s">
        <v>618</v>
      </c>
    </row>
    <row r="2969" spans="1:2" x14ac:dyDescent="0.3">
      <c r="A2969" s="4" t="s">
        <v>4682</v>
      </c>
      <c r="B2969" s="4" t="s">
        <v>4683</v>
      </c>
    </row>
    <row r="2970" spans="1:2" x14ac:dyDescent="0.3">
      <c r="A2970" s="4" t="s">
        <v>12483</v>
      </c>
      <c r="B2970" s="4" t="s">
        <v>12484</v>
      </c>
    </row>
    <row r="2971" spans="1:2" x14ac:dyDescent="0.3">
      <c r="A2971" s="4" t="s">
        <v>9491</v>
      </c>
      <c r="B2971" s="4" t="s">
        <v>9492</v>
      </c>
    </row>
    <row r="2972" spans="1:2" x14ac:dyDescent="0.3">
      <c r="A2972" s="4" t="s">
        <v>12485</v>
      </c>
      <c r="B2972" s="4" t="s">
        <v>12486</v>
      </c>
    </row>
    <row r="2973" spans="1:2" x14ac:dyDescent="0.3">
      <c r="A2973" s="4" t="s">
        <v>4684</v>
      </c>
      <c r="B2973" s="4" t="s">
        <v>4685</v>
      </c>
    </row>
    <row r="2974" spans="1:2" x14ac:dyDescent="0.3">
      <c r="A2974" s="4" t="s">
        <v>4686</v>
      </c>
      <c r="B2974" s="4" t="s">
        <v>4687</v>
      </c>
    </row>
    <row r="2975" spans="1:2" x14ac:dyDescent="0.3">
      <c r="A2975" s="4" t="s">
        <v>9493</v>
      </c>
      <c r="B2975" s="4" t="s">
        <v>9494</v>
      </c>
    </row>
    <row r="2976" spans="1:2" x14ac:dyDescent="0.3">
      <c r="A2976" s="4" t="s">
        <v>9495</v>
      </c>
      <c r="B2976" s="4" t="s">
        <v>9496</v>
      </c>
    </row>
    <row r="2977" spans="1:2" x14ac:dyDescent="0.3">
      <c r="A2977" s="4" t="s">
        <v>9497</v>
      </c>
      <c r="B2977" s="4" t="s">
        <v>9498</v>
      </c>
    </row>
    <row r="2978" spans="1:2" x14ac:dyDescent="0.3">
      <c r="A2978" s="4" t="s">
        <v>9499</v>
      </c>
      <c r="B2978" s="4" t="s">
        <v>9500</v>
      </c>
    </row>
    <row r="2979" spans="1:2" x14ac:dyDescent="0.3">
      <c r="A2979" s="4" t="s">
        <v>4701</v>
      </c>
      <c r="B2979" s="4" t="s">
        <v>9501</v>
      </c>
    </row>
    <row r="2980" spans="1:2" x14ac:dyDescent="0.3">
      <c r="A2980" s="4" t="s">
        <v>4688</v>
      </c>
      <c r="B2980" s="4" t="s">
        <v>4689</v>
      </c>
    </row>
    <row r="2981" spans="1:2" x14ac:dyDescent="0.3">
      <c r="A2981" s="4" t="s">
        <v>4690</v>
      </c>
      <c r="B2981" s="4" t="s">
        <v>4691</v>
      </c>
    </row>
    <row r="2982" spans="1:2" x14ac:dyDescent="0.3">
      <c r="A2982" s="4" t="s">
        <v>9502</v>
      </c>
      <c r="B2982" s="4" t="s">
        <v>8695</v>
      </c>
    </row>
    <row r="2983" spans="1:2" x14ac:dyDescent="0.3">
      <c r="A2983" s="4" t="s">
        <v>4692</v>
      </c>
      <c r="B2983" s="4" t="s">
        <v>4693</v>
      </c>
    </row>
    <row r="2984" spans="1:2" x14ac:dyDescent="0.3">
      <c r="A2984" s="4" t="s">
        <v>4694</v>
      </c>
      <c r="B2984" s="4" t="s">
        <v>4695</v>
      </c>
    </row>
    <row r="2985" spans="1:2" x14ac:dyDescent="0.3">
      <c r="A2985" s="4" t="s">
        <v>4696</v>
      </c>
      <c r="B2985" s="4" t="s">
        <v>4697</v>
      </c>
    </row>
    <row r="2986" spans="1:2" x14ac:dyDescent="0.3">
      <c r="A2986" s="4" t="s">
        <v>7193</v>
      </c>
      <c r="B2986" s="4" t="s">
        <v>9503</v>
      </c>
    </row>
    <row r="2987" spans="1:2" x14ac:dyDescent="0.3">
      <c r="A2987" s="4" t="s">
        <v>9504</v>
      </c>
      <c r="B2987" s="4" t="s">
        <v>9505</v>
      </c>
    </row>
    <row r="2988" spans="1:2" x14ac:dyDescent="0.3">
      <c r="A2988" s="4" t="s">
        <v>4698</v>
      </c>
      <c r="B2988" s="4" t="s">
        <v>4699</v>
      </c>
    </row>
    <row r="2989" spans="1:2" x14ac:dyDescent="0.3">
      <c r="A2989" s="4" t="s">
        <v>9506</v>
      </c>
      <c r="B2989" s="4" t="s">
        <v>9507</v>
      </c>
    </row>
    <row r="2990" spans="1:2" x14ac:dyDescent="0.3">
      <c r="A2990" s="4" t="s">
        <v>12487</v>
      </c>
      <c r="B2990" s="4" t="s">
        <v>12488</v>
      </c>
    </row>
    <row r="2991" spans="1:2" x14ac:dyDescent="0.3">
      <c r="A2991" s="4" t="s">
        <v>9508</v>
      </c>
      <c r="B2991" s="4" t="s">
        <v>9509</v>
      </c>
    </row>
    <row r="2992" spans="1:2" x14ac:dyDescent="0.3">
      <c r="A2992" s="4" t="s">
        <v>4702</v>
      </c>
      <c r="B2992" s="4" t="s">
        <v>4703</v>
      </c>
    </row>
    <row r="2993" spans="1:2" x14ac:dyDescent="0.3">
      <c r="A2993" s="4" t="s">
        <v>9510</v>
      </c>
      <c r="B2993" s="4" t="s">
        <v>9511</v>
      </c>
    </row>
    <row r="2994" spans="1:2" x14ac:dyDescent="0.3">
      <c r="A2994" s="4" t="s">
        <v>4704</v>
      </c>
      <c r="B2994" s="4" t="s">
        <v>4705</v>
      </c>
    </row>
    <row r="2995" spans="1:2" x14ac:dyDescent="0.3">
      <c r="A2995" s="4" t="s">
        <v>4706</v>
      </c>
      <c r="B2995" s="4" t="s">
        <v>4707</v>
      </c>
    </row>
    <row r="2996" spans="1:2" x14ac:dyDescent="0.3">
      <c r="A2996" s="4" t="s">
        <v>9512</v>
      </c>
      <c r="B2996" s="4" t="s">
        <v>9513</v>
      </c>
    </row>
    <row r="2997" spans="1:2" x14ac:dyDescent="0.3">
      <c r="A2997" s="4" t="s">
        <v>4708</v>
      </c>
      <c r="B2997" s="4" t="s">
        <v>4709</v>
      </c>
    </row>
    <row r="2998" spans="1:2" x14ac:dyDescent="0.3">
      <c r="A2998" s="4" t="s">
        <v>4710</v>
      </c>
      <c r="B2998" s="4" t="s">
        <v>4711</v>
      </c>
    </row>
    <row r="2999" spans="1:2" x14ac:dyDescent="0.3">
      <c r="A2999" s="4" t="s">
        <v>4712</v>
      </c>
      <c r="B2999" s="4" t="s">
        <v>4713</v>
      </c>
    </row>
    <row r="3000" spans="1:2" x14ac:dyDescent="0.3">
      <c r="A3000" s="4" t="s">
        <v>4715</v>
      </c>
      <c r="B3000" s="4" t="s">
        <v>4716</v>
      </c>
    </row>
    <row r="3001" spans="1:2" x14ac:dyDescent="0.3">
      <c r="A3001" s="4" t="s">
        <v>7805</v>
      </c>
      <c r="B3001" s="4" t="s">
        <v>9514</v>
      </c>
    </row>
    <row r="3002" spans="1:2" x14ac:dyDescent="0.3">
      <c r="A3002" s="4" t="s">
        <v>4717</v>
      </c>
      <c r="B3002" s="4" t="s">
        <v>4718</v>
      </c>
    </row>
    <row r="3003" spans="1:2" x14ac:dyDescent="0.3">
      <c r="A3003" s="4" t="s">
        <v>4719</v>
      </c>
      <c r="B3003" s="4" t="s">
        <v>4720</v>
      </c>
    </row>
    <row r="3004" spans="1:2" x14ac:dyDescent="0.3">
      <c r="A3004" s="4" t="s">
        <v>4724</v>
      </c>
      <c r="B3004" s="4" t="s">
        <v>9515</v>
      </c>
    </row>
    <row r="3005" spans="1:2" x14ac:dyDescent="0.3">
      <c r="A3005" s="4" t="s">
        <v>9516</v>
      </c>
      <c r="B3005" s="4" t="s">
        <v>9517</v>
      </c>
    </row>
    <row r="3006" spans="1:2" x14ac:dyDescent="0.3">
      <c r="A3006" s="4" t="s">
        <v>9518</v>
      </c>
      <c r="B3006" s="4" t="s">
        <v>8702</v>
      </c>
    </row>
    <row r="3007" spans="1:2" x14ac:dyDescent="0.3">
      <c r="A3007" s="4" t="s">
        <v>9519</v>
      </c>
      <c r="B3007" s="4" t="s">
        <v>9520</v>
      </c>
    </row>
    <row r="3008" spans="1:2" x14ac:dyDescent="0.3">
      <c r="A3008" s="4" t="s">
        <v>5314</v>
      </c>
      <c r="B3008" s="4" t="s">
        <v>9522</v>
      </c>
    </row>
    <row r="3009" spans="1:2" x14ac:dyDescent="0.3">
      <c r="A3009" s="4" t="s">
        <v>9521</v>
      </c>
      <c r="B3009" s="4" t="s">
        <v>12489</v>
      </c>
    </row>
    <row r="3010" spans="1:2" x14ac:dyDescent="0.3">
      <c r="A3010" s="4" t="s">
        <v>4725</v>
      </c>
      <c r="B3010" s="4" t="s">
        <v>4726</v>
      </c>
    </row>
    <row r="3011" spans="1:2" x14ac:dyDescent="0.3">
      <c r="A3011" s="4" t="s">
        <v>6869</v>
      </c>
      <c r="B3011" s="4" t="s">
        <v>9523</v>
      </c>
    </row>
    <row r="3012" spans="1:2" x14ac:dyDescent="0.3">
      <c r="A3012" s="4" t="s">
        <v>9524</v>
      </c>
      <c r="B3012" s="4" t="s">
        <v>9525</v>
      </c>
    </row>
    <row r="3013" spans="1:2" x14ac:dyDescent="0.3">
      <c r="A3013" s="4" t="s">
        <v>9526</v>
      </c>
      <c r="B3013" s="4" t="s">
        <v>9527</v>
      </c>
    </row>
    <row r="3014" spans="1:2" x14ac:dyDescent="0.3">
      <c r="A3014" s="4" t="s">
        <v>4727</v>
      </c>
      <c r="B3014" s="4" t="s">
        <v>4728</v>
      </c>
    </row>
    <row r="3015" spans="1:2" x14ac:dyDescent="0.3">
      <c r="A3015" s="4" t="s">
        <v>4729</v>
      </c>
      <c r="B3015" s="4" t="s">
        <v>4730</v>
      </c>
    </row>
    <row r="3016" spans="1:2" x14ac:dyDescent="0.3">
      <c r="A3016" s="4" t="s">
        <v>4731</v>
      </c>
      <c r="B3016" s="4" t="s">
        <v>4732</v>
      </c>
    </row>
    <row r="3017" spans="1:2" x14ac:dyDescent="0.3">
      <c r="A3017" s="4" t="s">
        <v>4733</v>
      </c>
      <c r="B3017" s="4" t="s">
        <v>4734</v>
      </c>
    </row>
    <row r="3018" spans="1:2" x14ac:dyDescent="0.3">
      <c r="A3018" s="4" t="s">
        <v>4736</v>
      </c>
      <c r="B3018" s="4" t="s">
        <v>4737</v>
      </c>
    </row>
    <row r="3019" spans="1:2" x14ac:dyDescent="0.3">
      <c r="A3019" s="4" t="s">
        <v>4738</v>
      </c>
      <c r="B3019" s="4" t="s">
        <v>4739</v>
      </c>
    </row>
    <row r="3020" spans="1:2" x14ac:dyDescent="0.3">
      <c r="A3020" s="4" t="s">
        <v>4740</v>
      </c>
      <c r="B3020" s="4" t="s">
        <v>4741</v>
      </c>
    </row>
    <row r="3021" spans="1:2" x14ac:dyDescent="0.3">
      <c r="A3021" s="4" t="s">
        <v>9528</v>
      </c>
      <c r="B3021" s="4" t="s">
        <v>9529</v>
      </c>
    </row>
    <row r="3022" spans="1:2" x14ac:dyDescent="0.3">
      <c r="A3022" s="4" t="s">
        <v>4742</v>
      </c>
      <c r="B3022" s="4" t="s">
        <v>9530</v>
      </c>
    </row>
    <row r="3023" spans="1:2" x14ac:dyDescent="0.3">
      <c r="A3023" s="4" t="s">
        <v>4743</v>
      </c>
      <c r="B3023" s="4" t="s">
        <v>4744</v>
      </c>
    </row>
    <row r="3024" spans="1:2" x14ac:dyDescent="0.3">
      <c r="A3024" s="4" t="s">
        <v>4745</v>
      </c>
      <c r="B3024" s="4" t="s">
        <v>4746</v>
      </c>
    </row>
    <row r="3025" spans="1:2" x14ac:dyDescent="0.3">
      <c r="A3025" s="4" t="s">
        <v>4747</v>
      </c>
      <c r="B3025" s="4" t="s">
        <v>4748</v>
      </c>
    </row>
    <row r="3026" spans="1:2" x14ac:dyDescent="0.3">
      <c r="A3026" s="4" t="s">
        <v>4749</v>
      </c>
      <c r="B3026" s="4" t="s">
        <v>4750</v>
      </c>
    </row>
    <row r="3027" spans="1:2" x14ac:dyDescent="0.3">
      <c r="A3027" s="4" t="s">
        <v>4751</v>
      </c>
      <c r="B3027" s="4" t="s">
        <v>4752</v>
      </c>
    </row>
    <row r="3028" spans="1:2" x14ac:dyDescent="0.3">
      <c r="A3028" s="4" t="s">
        <v>4753</v>
      </c>
      <c r="B3028" s="4" t="s">
        <v>4754</v>
      </c>
    </row>
    <row r="3029" spans="1:2" x14ac:dyDescent="0.3">
      <c r="A3029" s="4" t="s">
        <v>4755</v>
      </c>
      <c r="B3029" s="4" t="s">
        <v>4756</v>
      </c>
    </row>
    <row r="3030" spans="1:2" x14ac:dyDescent="0.3">
      <c r="A3030" s="4" t="s">
        <v>4757</v>
      </c>
      <c r="B3030" s="4" t="s">
        <v>4758</v>
      </c>
    </row>
    <row r="3031" spans="1:2" x14ac:dyDescent="0.3">
      <c r="A3031" s="4" t="s">
        <v>4759</v>
      </c>
      <c r="B3031" s="4" t="s">
        <v>4760</v>
      </c>
    </row>
    <row r="3032" spans="1:2" x14ac:dyDescent="0.3">
      <c r="A3032" s="4" t="s">
        <v>4761</v>
      </c>
      <c r="B3032" s="4" t="s">
        <v>4762</v>
      </c>
    </row>
    <row r="3033" spans="1:2" x14ac:dyDescent="0.3">
      <c r="A3033" s="4" t="s">
        <v>9531</v>
      </c>
      <c r="B3033" s="4" t="s">
        <v>9532</v>
      </c>
    </row>
    <row r="3034" spans="1:2" x14ac:dyDescent="0.3">
      <c r="A3034" s="4" t="s">
        <v>4764</v>
      </c>
      <c r="B3034" s="4" t="s">
        <v>4765</v>
      </c>
    </row>
    <row r="3035" spans="1:2" x14ac:dyDescent="0.3">
      <c r="A3035" s="4" t="s">
        <v>9533</v>
      </c>
      <c r="B3035" s="4" t="s">
        <v>9534</v>
      </c>
    </row>
    <row r="3036" spans="1:2" x14ac:dyDescent="0.3">
      <c r="A3036" s="4" t="s">
        <v>9535</v>
      </c>
      <c r="B3036" s="4" t="s">
        <v>9536</v>
      </c>
    </row>
    <row r="3037" spans="1:2" x14ac:dyDescent="0.3">
      <c r="A3037" s="4" t="s">
        <v>4766</v>
      </c>
      <c r="B3037" s="4" t="s">
        <v>4767</v>
      </c>
    </row>
    <row r="3038" spans="1:2" x14ac:dyDescent="0.3">
      <c r="A3038" s="4" t="s">
        <v>12490</v>
      </c>
      <c r="B3038" s="4" t="s">
        <v>12491</v>
      </c>
    </row>
    <row r="3039" spans="1:2" x14ac:dyDescent="0.3">
      <c r="A3039" s="4" t="s">
        <v>4768</v>
      </c>
      <c r="B3039" s="4" t="s">
        <v>4769</v>
      </c>
    </row>
    <row r="3040" spans="1:2" x14ac:dyDescent="0.3">
      <c r="A3040" s="4" t="s">
        <v>4770</v>
      </c>
      <c r="B3040" s="4" t="s">
        <v>4771</v>
      </c>
    </row>
    <row r="3041" spans="1:2" x14ac:dyDescent="0.3">
      <c r="A3041" s="4" t="s">
        <v>4772</v>
      </c>
      <c r="B3041" s="4" t="s">
        <v>4773</v>
      </c>
    </row>
    <row r="3042" spans="1:2" x14ac:dyDescent="0.3">
      <c r="A3042" s="4" t="s">
        <v>4774</v>
      </c>
      <c r="B3042" s="4" t="s">
        <v>4775</v>
      </c>
    </row>
    <row r="3043" spans="1:2" x14ac:dyDescent="0.3">
      <c r="A3043" s="4" t="s">
        <v>4776</v>
      </c>
      <c r="B3043" s="4" t="s">
        <v>4777</v>
      </c>
    </row>
    <row r="3044" spans="1:2" x14ac:dyDescent="0.3">
      <c r="A3044" s="4" t="s">
        <v>4778</v>
      </c>
      <c r="B3044" s="4" t="s">
        <v>4779</v>
      </c>
    </row>
    <row r="3045" spans="1:2" x14ac:dyDescent="0.3">
      <c r="A3045" s="4" t="s">
        <v>4780</v>
      </c>
      <c r="B3045" s="4" t="s">
        <v>4781</v>
      </c>
    </row>
    <row r="3046" spans="1:2" x14ac:dyDescent="0.3">
      <c r="A3046" s="4" t="s">
        <v>4782</v>
      </c>
      <c r="B3046" s="4" t="s">
        <v>4783</v>
      </c>
    </row>
    <row r="3047" spans="1:2" x14ac:dyDescent="0.3">
      <c r="A3047" s="4" t="s">
        <v>4784</v>
      </c>
      <c r="B3047" s="4" t="s">
        <v>4785</v>
      </c>
    </row>
    <row r="3048" spans="1:2" x14ac:dyDescent="0.3">
      <c r="A3048" s="4" t="s">
        <v>4786</v>
      </c>
      <c r="B3048" s="4" t="s">
        <v>4787</v>
      </c>
    </row>
    <row r="3049" spans="1:2" x14ac:dyDescent="0.3">
      <c r="A3049" s="4" t="s">
        <v>9537</v>
      </c>
      <c r="B3049" s="4" t="s">
        <v>9538</v>
      </c>
    </row>
    <row r="3050" spans="1:2" x14ac:dyDescent="0.3">
      <c r="A3050" s="4" t="s">
        <v>4789</v>
      </c>
      <c r="B3050" s="4" t="s">
        <v>4790</v>
      </c>
    </row>
    <row r="3051" spans="1:2" x14ac:dyDescent="0.3">
      <c r="A3051" s="4" t="s">
        <v>9539</v>
      </c>
      <c r="B3051" s="4" t="s">
        <v>9540</v>
      </c>
    </row>
    <row r="3052" spans="1:2" x14ac:dyDescent="0.3">
      <c r="A3052" s="4" t="s">
        <v>4791</v>
      </c>
      <c r="B3052" s="4" t="s">
        <v>4792</v>
      </c>
    </row>
    <row r="3053" spans="1:2" x14ac:dyDescent="0.3">
      <c r="A3053" s="4" t="s">
        <v>9541</v>
      </c>
      <c r="B3053" s="4" t="s">
        <v>9542</v>
      </c>
    </row>
    <row r="3054" spans="1:2" x14ac:dyDescent="0.3">
      <c r="A3054" s="4" t="s">
        <v>4793</v>
      </c>
      <c r="B3054" s="4" t="s">
        <v>4794</v>
      </c>
    </row>
    <row r="3055" spans="1:2" x14ac:dyDescent="0.3">
      <c r="A3055" s="4" t="s">
        <v>4795</v>
      </c>
      <c r="B3055" s="4" t="s">
        <v>4796</v>
      </c>
    </row>
    <row r="3056" spans="1:2" x14ac:dyDescent="0.3">
      <c r="A3056" s="4" t="s">
        <v>9543</v>
      </c>
      <c r="B3056" s="4" t="s">
        <v>9544</v>
      </c>
    </row>
    <row r="3057" spans="1:2" x14ac:dyDescent="0.3">
      <c r="A3057" s="4" t="s">
        <v>9545</v>
      </c>
      <c r="B3057" s="4" t="s">
        <v>9546</v>
      </c>
    </row>
    <row r="3058" spans="1:2" x14ac:dyDescent="0.3">
      <c r="A3058" s="4" t="s">
        <v>4798</v>
      </c>
      <c r="B3058" s="4" t="s">
        <v>4799</v>
      </c>
    </row>
    <row r="3059" spans="1:2" x14ac:dyDescent="0.3">
      <c r="A3059" s="4" t="s">
        <v>9547</v>
      </c>
      <c r="B3059" s="4" t="s">
        <v>9548</v>
      </c>
    </row>
    <row r="3060" spans="1:2" x14ac:dyDescent="0.3">
      <c r="A3060" s="4" t="s">
        <v>4971</v>
      </c>
      <c r="B3060" s="4" t="s">
        <v>9549</v>
      </c>
    </row>
    <row r="3061" spans="1:2" x14ac:dyDescent="0.3">
      <c r="A3061" s="4" t="s">
        <v>9550</v>
      </c>
      <c r="B3061" s="4" t="s">
        <v>9551</v>
      </c>
    </row>
    <row r="3062" spans="1:2" x14ac:dyDescent="0.3">
      <c r="A3062" s="4" t="s">
        <v>4800</v>
      </c>
      <c r="B3062" s="4" t="s">
        <v>4801</v>
      </c>
    </row>
    <row r="3063" spans="1:2" x14ac:dyDescent="0.3">
      <c r="A3063" s="4" t="s">
        <v>4802</v>
      </c>
      <c r="B3063" s="4" t="s">
        <v>4803</v>
      </c>
    </row>
    <row r="3064" spans="1:2" x14ac:dyDescent="0.3">
      <c r="A3064" s="4" t="s">
        <v>4804</v>
      </c>
      <c r="B3064" s="4" t="s">
        <v>4805</v>
      </c>
    </row>
    <row r="3065" spans="1:2" x14ac:dyDescent="0.3">
      <c r="A3065" s="4" t="s">
        <v>4806</v>
      </c>
      <c r="B3065" s="4" t="s">
        <v>4807</v>
      </c>
    </row>
    <row r="3066" spans="1:2" x14ac:dyDescent="0.3">
      <c r="A3066" s="4" t="s">
        <v>12492</v>
      </c>
      <c r="B3066" s="4" t="s">
        <v>12493</v>
      </c>
    </row>
    <row r="3067" spans="1:2" x14ac:dyDescent="0.3">
      <c r="A3067" s="4" t="s">
        <v>9552</v>
      </c>
      <c r="B3067" s="4" t="s">
        <v>9553</v>
      </c>
    </row>
    <row r="3068" spans="1:2" x14ac:dyDescent="0.3">
      <c r="A3068" s="4" t="s">
        <v>4808</v>
      </c>
      <c r="B3068" s="4" t="s">
        <v>4809</v>
      </c>
    </row>
    <row r="3069" spans="1:2" x14ac:dyDescent="0.3">
      <c r="A3069" s="4" t="s">
        <v>4810</v>
      </c>
      <c r="B3069" s="4" t="s">
        <v>4811</v>
      </c>
    </row>
    <row r="3070" spans="1:2" x14ac:dyDescent="0.3">
      <c r="A3070" s="4" t="s">
        <v>4812</v>
      </c>
      <c r="B3070" s="4" t="s">
        <v>4813</v>
      </c>
    </row>
    <row r="3071" spans="1:2" x14ac:dyDescent="0.3">
      <c r="A3071" s="4" t="s">
        <v>4814</v>
      </c>
      <c r="B3071" s="4" t="s">
        <v>9554</v>
      </c>
    </row>
    <row r="3072" spans="1:2" x14ac:dyDescent="0.3">
      <c r="A3072" s="4" t="s">
        <v>9555</v>
      </c>
      <c r="B3072" s="4" t="s">
        <v>9556</v>
      </c>
    </row>
    <row r="3073" spans="1:2" x14ac:dyDescent="0.3">
      <c r="A3073" s="4" t="s">
        <v>9557</v>
      </c>
      <c r="B3073" s="4" t="s">
        <v>9558</v>
      </c>
    </row>
    <row r="3074" spans="1:2" x14ac:dyDescent="0.3">
      <c r="A3074" s="4" t="s">
        <v>9559</v>
      </c>
      <c r="B3074" s="4" t="s">
        <v>9560</v>
      </c>
    </row>
    <row r="3075" spans="1:2" x14ac:dyDescent="0.3">
      <c r="A3075" s="4" t="s">
        <v>4815</v>
      </c>
      <c r="B3075" s="4" t="s">
        <v>4816</v>
      </c>
    </row>
    <row r="3076" spans="1:2" x14ac:dyDescent="0.3">
      <c r="A3076" s="4" t="s">
        <v>4817</v>
      </c>
      <c r="B3076" s="4" t="s">
        <v>4818</v>
      </c>
    </row>
    <row r="3077" spans="1:2" x14ac:dyDescent="0.3">
      <c r="A3077" s="4" t="s">
        <v>9561</v>
      </c>
      <c r="B3077" s="4" t="s">
        <v>9562</v>
      </c>
    </row>
    <row r="3078" spans="1:2" x14ac:dyDescent="0.3">
      <c r="A3078" s="4" t="s">
        <v>4819</v>
      </c>
      <c r="B3078" s="4" t="s">
        <v>4820</v>
      </c>
    </row>
    <row r="3079" spans="1:2" x14ac:dyDescent="0.3">
      <c r="A3079" s="4" t="s">
        <v>9563</v>
      </c>
      <c r="B3079" s="4" t="s">
        <v>9564</v>
      </c>
    </row>
    <row r="3080" spans="1:2" x14ac:dyDescent="0.3">
      <c r="A3080" s="4" t="s">
        <v>8009</v>
      </c>
      <c r="B3080" s="4" t="s">
        <v>9565</v>
      </c>
    </row>
    <row r="3081" spans="1:2" x14ac:dyDescent="0.3">
      <c r="A3081" s="4" t="s">
        <v>9566</v>
      </c>
      <c r="B3081" s="4" t="s">
        <v>9567</v>
      </c>
    </row>
    <row r="3082" spans="1:2" x14ac:dyDescent="0.3">
      <c r="A3082" s="4" t="s">
        <v>4821</v>
      </c>
      <c r="B3082" s="4" t="s">
        <v>4822</v>
      </c>
    </row>
    <row r="3083" spans="1:2" x14ac:dyDescent="0.3">
      <c r="A3083" s="4" t="s">
        <v>9568</v>
      </c>
      <c r="B3083" s="4" t="s">
        <v>9569</v>
      </c>
    </row>
    <row r="3084" spans="1:2" x14ac:dyDescent="0.3">
      <c r="A3084" s="4" t="s">
        <v>9570</v>
      </c>
      <c r="B3084" s="4" t="s">
        <v>9571</v>
      </c>
    </row>
    <row r="3085" spans="1:2" x14ac:dyDescent="0.3">
      <c r="A3085" s="4" t="s">
        <v>9572</v>
      </c>
      <c r="B3085" s="4" t="s">
        <v>9573</v>
      </c>
    </row>
    <row r="3086" spans="1:2" x14ac:dyDescent="0.3">
      <c r="A3086" s="4" t="s">
        <v>11556</v>
      </c>
      <c r="B3086" s="4" t="s">
        <v>12494</v>
      </c>
    </row>
    <row r="3087" spans="1:2" x14ac:dyDescent="0.3">
      <c r="A3087" s="4" t="s">
        <v>9574</v>
      </c>
      <c r="B3087" s="4" t="s">
        <v>9575</v>
      </c>
    </row>
    <row r="3088" spans="1:2" x14ac:dyDescent="0.3">
      <c r="A3088" s="4" t="s">
        <v>9576</v>
      </c>
      <c r="B3088" s="4" t="s">
        <v>9577</v>
      </c>
    </row>
    <row r="3089" spans="1:2" x14ac:dyDescent="0.3">
      <c r="A3089" s="4" t="s">
        <v>4825</v>
      </c>
      <c r="B3089" s="4" t="s">
        <v>4826</v>
      </c>
    </row>
    <row r="3090" spans="1:2" x14ac:dyDescent="0.3">
      <c r="A3090" s="4" t="s">
        <v>4827</v>
      </c>
      <c r="B3090" s="4" t="s">
        <v>4828</v>
      </c>
    </row>
    <row r="3091" spans="1:2" x14ac:dyDescent="0.3">
      <c r="A3091" s="4" t="s">
        <v>9578</v>
      </c>
      <c r="B3091" s="4" t="s">
        <v>9579</v>
      </c>
    </row>
    <row r="3092" spans="1:2" x14ac:dyDescent="0.3">
      <c r="A3092" s="4" t="s">
        <v>12495</v>
      </c>
      <c r="B3092" s="4" t="s">
        <v>12496</v>
      </c>
    </row>
    <row r="3093" spans="1:2" x14ac:dyDescent="0.3">
      <c r="A3093" s="4" t="s">
        <v>4829</v>
      </c>
      <c r="B3093" s="4" t="s">
        <v>4830</v>
      </c>
    </row>
    <row r="3094" spans="1:2" x14ac:dyDescent="0.3">
      <c r="A3094" s="4" t="s">
        <v>4831</v>
      </c>
      <c r="B3094" s="4" t="s">
        <v>4832</v>
      </c>
    </row>
    <row r="3095" spans="1:2" x14ac:dyDescent="0.3">
      <c r="A3095" s="4" t="s">
        <v>4833</v>
      </c>
      <c r="B3095" s="4" t="s">
        <v>4834</v>
      </c>
    </row>
    <row r="3096" spans="1:2" x14ac:dyDescent="0.3">
      <c r="A3096" s="4" t="s">
        <v>4835</v>
      </c>
      <c r="B3096" s="4" t="s">
        <v>4836</v>
      </c>
    </row>
    <row r="3097" spans="1:2" x14ac:dyDescent="0.3">
      <c r="A3097" s="4" t="s">
        <v>4994</v>
      </c>
      <c r="B3097" s="4" t="s">
        <v>9580</v>
      </c>
    </row>
    <row r="3098" spans="1:2" x14ac:dyDescent="0.3">
      <c r="A3098" s="4" t="s">
        <v>4837</v>
      </c>
      <c r="B3098" s="4" t="s">
        <v>4838</v>
      </c>
    </row>
    <row r="3099" spans="1:2" x14ac:dyDescent="0.3">
      <c r="A3099" s="4" t="s">
        <v>4839</v>
      </c>
      <c r="B3099" s="4" t="s">
        <v>4840</v>
      </c>
    </row>
    <row r="3100" spans="1:2" x14ac:dyDescent="0.3">
      <c r="A3100" s="4" t="s">
        <v>4841</v>
      </c>
      <c r="B3100" s="4" t="s">
        <v>4842</v>
      </c>
    </row>
    <row r="3101" spans="1:2" x14ac:dyDescent="0.3">
      <c r="A3101" s="4" t="s">
        <v>4843</v>
      </c>
      <c r="B3101" s="4" t="s">
        <v>4844</v>
      </c>
    </row>
    <row r="3102" spans="1:2" x14ac:dyDescent="0.3">
      <c r="A3102" s="4" t="s">
        <v>9581</v>
      </c>
      <c r="B3102" s="4" t="s">
        <v>9582</v>
      </c>
    </row>
    <row r="3103" spans="1:2" x14ac:dyDescent="0.3">
      <c r="A3103" s="4" t="s">
        <v>4845</v>
      </c>
      <c r="B3103" s="4" t="s">
        <v>4846</v>
      </c>
    </row>
    <row r="3104" spans="1:2" x14ac:dyDescent="0.3">
      <c r="A3104" s="4" t="s">
        <v>4848</v>
      </c>
      <c r="B3104" s="4" t="s">
        <v>4849</v>
      </c>
    </row>
    <row r="3105" spans="1:2" x14ac:dyDescent="0.3">
      <c r="A3105" s="4" t="s">
        <v>9583</v>
      </c>
      <c r="B3105" s="4" t="s">
        <v>9584</v>
      </c>
    </row>
    <row r="3106" spans="1:2" x14ac:dyDescent="0.3">
      <c r="A3106" s="4" t="s">
        <v>4851</v>
      </c>
      <c r="B3106" s="4" t="s">
        <v>4852</v>
      </c>
    </row>
    <row r="3107" spans="1:2" x14ac:dyDescent="0.3">
      <c r="A3107" s="4" t="s">
        <v>4853</v>
      </c>
      <c r="B3107" s="4" t="s">
        <v>4854</v>
      </c>
    </row>
    <row r="3108" spans="1:2" x14ac:dyDescent="0.3">
      <c r="A3108" s="4" t="s">
        <v>4855</v>
      </c>
      <c r="B3108" s="4" t="s">
        <v>4856</v>
      </c>
    </row>
    <row r="3109" spans="1:2" x14ac:dyDescent="0.3">
      <c r="A3109" s="4" t="s">
        <v>9585</v>
      </c>
      <c r="B3109" s="4" t="s">
        <v>9586</v>
      </c>
    </row>
    <row r="3110" spans="1:2" x14ac:dyDescent="0.3">
      <c r="A3110" s="4" t="s">
        <v>4857</v>
      </c>
      <c r="B3110" s="4" t="s">
        <v>4858</v>
      </c>
    </row>
    <row r="3111" spans="1:2" x14ac:dyDescent="0.3">
      <c r="A3111" s="4" t="s">
        <v>4859</v>
      </c>
      <c r="B3111" s="4" t="s">
        <v>4860</v>
      </c>
    </row>
    <row r="3112" spans="1:2" x14ac:dyDescent="0.3">
      <c r="A3112" s="4" t="s">
        <v>4861</v>
      </c>
      <c r="B3112" s="4" t="s">
        <v>4862</v>
      </c>
    </row>
    <row r="3113" spans="1:2" x14ac:dyDescent="0.3">
      <c r="A3113" s="4" t="s">
        <v>4863</v>
      </c>
      <c r="B3113" s="4" t="s">
        <v>4864</v>
      </c>
    </row>
    <row r="3114" spans="1:2" x14ac:dyDescent="0.3">
      <c r="A3114" s="4" t="s">
        <v>4865</v>
      </c>
      <c r="B3114" s="4" t="s">
        <v>4866</v>
      </c>
    </row>
    <row r="3115" spans="1:2" x14ac:dyDescent="0.3">
      <c r="A3115" s="4" t="s">
        <v>4867</v>
      </c>
      <c r="B3115" s="4" t="s">
        <v>4868</v>
      </c>
    </row>
    <row r="3116" spans="1:2" x14ac:dyDescent="0.3">
      <c r="A3116" s="4" t="s">
        <v>4869</v>
      </c>
      <c r="B3116" s="4" t="s">
        <v>4870</v>
      </c>
    </row>
    <row r="3117" spans="1:2" x14ac:dyDescent="0.3">
      <c r="A3117" s="4" t="s">
        <v>4871</v>
      </c>
      <c r="B3117" s="4" t="s">
        <v>4872</v>
      </c>
    </row>
    <row r="3118" spans="1:2" x14ac:dyDescent="0.3">
      <c r="A3118" s="4" t="s">
        <v>4873</v>
      </c>
      <c r="B3118" s="4" t="s">
        <v>4874</v>
      </c>
    </row>
    <row r="3119" spans="1:2" x14ac:dyDescent="0.3">
      <c r="A3119" s="4" t="s">
        <v>4875</v>
      </c>
      <c r="B3119" s="4" t="s">
        <v>4876</v>
      </c>
    </row>
    <row r="3120" spans="1:2" x14ac:dyDescent="0.3">
      <c r="A3120" s="4" t="s">
        <v>4877</v>
      </c>
      <c r="B3120" s="4" t="s">
        <v>4878</v>
      </c>
    </row>
    <row r="3121" spans="1:2" x14ac:dyDescent="0.3">
      <c r="A3121" s="4" t="s">
        <v>4879</v>
      </c>
      <c r="B3121" s="4" t="s">
        <v>4880</v>
      </c>
    </row>
    <row r="3122" spans="1:2" x14ac:dyDescent="0.3">
      <c r="A3122" s="4" t="s">
        <v>9587</v>
      </c>
      <c r="B3122" s="4" t="s">
        <v>880</v>
      </c>
    </row>
    <row r="3123" spans="1:2" x14ac:dyDescent="0.3">
      <c r="A3123" s="4" t="s">
        <v>4882</v>
      </c>
      <c r="B3123" s="4" t="s">
        <v>4883</v>
      </c>
    </row>
    <row r="3124" spans="1:2" x14ac:dyDescent="0.3">
      <c r="A3124" s="4" t="s">
        <v>4884</v>
      </c>
      <c r="B3124" s="4" t="s">
        <v>4885</v>
      </c>
    </row>
    <row r="3125" spans="1:2" x14ac:dyDescent="0.3">
      <c r="A3125" s="4" t="s">
        <v>4886</v>
      </c>
      <c r="B3125" s="4" t="s">
        <v>894</v>
      </c>
    </row>
    <row r="3126" spans="1:2" x14ac:dyDescent="0.3">
      <c r="A3126" s="4" t="s">
        <v>4887</v>
      </c>
      <c r="B3126" s="4" t="s">
        <v>4888</v>
      </c>
    </row>
    <row r="3127" spans="1:2" x14ac:dyDescent="0.3">
      <c r="A3127" s="4" t="s">
        <v>12497</v>
      </c>
      <c r="B3127" s="4" t="s">
        <v>12498</v>
      </c>
    </row>
    <row r="3128" spans="1:2" x14ac:dyDescent="0.3">
      <c r="A3128" s="4" t="s">
        <v>4889</v>
      </c>
      <c r="B3128" s="4" t="s">
        <v>4890</v>
      </c>
    </row>
    <row r="3129" spans="1:2" x14ac:dyDescent="0.3">
      <c r="A3129" s="4" t="s">
        <v>4891</v>
      </c>
      <c r="B3129" s="4" t="s">
        <v>4892</v>
      </c>
    </row>
    <row r="3130" spans="1:2" x14ac:dyDescent="0.3">
      <c r="A3130" s="4" t="s">
        <v>9588</v>
      </c>
      <c r="B3130" s="4" t="s">
        <v>9589</v>
      </c>
    </row>
    <row r="3131" spans="1:2" x14ac:dyDescent="0.3">
      <c r="A3131" s="4" t="s">
        <v>4893</v>
      </c>
      <c r="B3131" s="4" t="s">
        <v>4894</v>
      </c>
    </row>
    <row r="3132" spans="1:2" x14ac:dyDescent="0.3">
      <c r="A3132" s="4" t="s">
        <v>4850</v>
      </c>
      <c r="B3132" s="4" t="s">
        <v>9590</v>
      </c>
    </row>
    <row r="3133" spans="1:2" x14ac:dyDescent="0.3">
      <c r="A3133" s="4" t="s">
        <v>9591</v>
      </c>
      <c r="B3133" s="4" t="s">
        <v>9592</v>
      </c>
    </row>
    <row r="3134" spans="1:2" x14ac:dyDescent="0.3">
      <c r="A3134" s="4" t="s">
        <v>4895</v>
      </c>
      <c r="B3134" s="4" t="s">
        <v>4896</v>
      </c>
    </row>
    <row r="3135" spans="1:2" x14ac:dyDescent="0.3">
      <c r="A3135" s="4" t="s">
        <v>4897</v>
      </c>
      <c r="B3135" s="4" t="s">
        <v>4898</v>
      </c>
    </row>
    <row r="3136" spans="1:2" x14ac:dyDescent="0.3">
      <c r="A3136" s="4" t="s">
        <v>4899</v>
      </c>
      <c r="B3136" s="4" t="s">
        <v>4900</v>
      </c>
    </row>
    <row r="3137" spans="1:2" x14ac:dyDescent="0.3">
      <c r="A3137" s="4" t="s">
        <v>4901</v>
      </c>
      <c r="B3137" s="4" t="s">
        <v>4902</v>
      </c>
    </row>
    <row r="3138" spans="1:2" x14ac:dyDescent="0.3">
      <c r="A3138" s="4" t="s">
        <v>4903</v>
      </c>
      <c r="B3138" s="4" t="s">
        <v>4904</v>
      </c>
    </row>
    <row r="3139" spans="1:2" x14ac:dyDescent="0.3">
      <c r="A3139" s="4" t="s">
        <v>4905</v>
      </c>
      <c r="B3139" s="4" t="s">
        <v>4906</v>
      </c>
    </row>
    <row r="3140" spans="1:2" x14ac:dyDescent="0.3">
      <c r="A3140" s="4" t="s">
        <v>9593</v>
      </c>
      <c r="B3140" s="4" t="s">
        <v>9594</v>
      </c>
    </row>
    <row r="3141" spans="1:2" x14ac:dyDescent="0.3">
      <c r="A3141" s="4" t="s">
        <v>4907</v>
      </c>
      <c r="B3141" s="4" t="s">
        <v>4908</v>
      </c>
    </row>
    <row r="3142" spans="1:2" x14ac:dyDescent="0.3">
      <c r="A3142" s="4" t="s">
        <v>4909</v>
      </c>
      <c r="B3142" s="4" t="s">
        <v>4910</v>
      </c>
    </row>
    <row r="3143" spans="1:2" x14ac:dyDescent="0.3">
      <c r="A3143" s="4" t="s">
        <v>4911</v>
      </c>
      <c r="B3143" s="4" t="s">
        <v>4912</v>
      </c>
    </row>
    <row r="3144" spans="1:2" x14ac:dyDescent="0.3">
      <c r="A3144" s="4" t="s">
        <v>4913</v>
      </c>
      <c r="B3144" s="4" t="s">
        <v>4914</v>
      </c>
    </row>
    <row r="3145" spans="1:2" x14ac:dyDescent="0.3">
      <c r="A3145" s="4" t="s">
        <v>4915</v>
      </c>
      <c r="B3145" s="4" t="s">
        <v>4916</v>
      </c>
    </row>
    <row r="3146" spans="1:2" x14ac:dyDescent="0.3">
      <c r="A3146" s="4" t="s">
        <v>4917</v>
      </c>
      <c r="B3146" s="4" t="s">
        <v>4918</v>
      </c>
    </row>
    <row r="3147" spans="1:2" x14ac:dyDescent="0.3">
      <c r="A3147" s="4" t="s">
        <v>9595</v>
      </c>
      <c r="B3147" s="4" t="s">
        <v>9596</v>
      </c>
    </row>
    <row r="3148" spans="1:2" x14ac:dyDescent="0.3">
      <c r="A3148" s="4" t="s">
        <v>9597</v>
      </c>
      <c r="B3148" s="4" t="s">
        <v>9598</v>
      </c>
    </row>
    <row r="3149" spans="1:2" x14ac:dyDescent="0.3">
      <c r="A3149" s="4" t="s">
        <v>9599</v>
      </c>
      <c r="B3149" s="4" t="s">
        <v>9600</v>
      </c>
    </row>
    <row r="3150" spans="1:2" x14ac:dyDescent="0.3">
      <c r="A3150" s="4" t="s">
        <v>12499</v>
      </c>
      <c r="B3150" s="4" t="s">
        <v>12500</v>
      </c>
    </row>
    <row r="3151" spans="1:2" x14ac:dyDescent="0.3">
      <c r="A3151" s="4" t="s">
        <v>4919</v>
      </c>
      <c r="B3151" s="4" t="s">
        <v>926</v>
      </c>
    </row>
    <row r="3152" spans="1:2" x14ac:dyDescent="0.3">
      <c r="A3152" s="4" t="s">
        <v>7484</v>
      </c>
      <c r="B3152" s="4" t="s">
        <v>9601</v>
      </c>
    </row>
    <row r="3153" spans="1:2" x14ac:dyDescent="0.3">
      <c r="A3153" s="4" t="s">
        <v>9602</v>
      </c>
      <c r="B3153" s="4" t="s">
        <v>9603</v>
      </c>
    </row>
    <row r="3154" spans="1:2" x14ac:dyDescent="0.3">
      <c r="A3154" s="4" t="s">
        <v>4920</v>
      </c>
      <c r="B3154" s="4" t="s">
        <v>4921</v>
      </c>
    </row>
    <row r="3155" spans="1:2" x14ac:dyDescent="0.3">
      <c r="A3155" s="4" t="s">
        <v>9604</v>
      </c>
      <c r="B3155" s="4" t="s">
        <v>931</v>
      </c>
    </row>
    <row r="3156" spans="1:2" x14ac:dyDescent="0.3">
      <c r="A3156" s="4" t="s">
        <v>4972</v>
      </c>
      <c r="B3156" s="4" t="s">
        <v>9605</v>
      </c>
    </row>
    <row r="3157" spans="1:2" x14ac:dyDescent="0.3">
      <c r="A3157" s="4" t="s">
        <v>4923</v>
      </c>
      <c r="B3157" s="4" t="s">
        <v>4924</v>
      </c>
    </row>
    <row r="3158" spans="1:2" x14ac:dyDescent="0.3">
      <c r="A3158" s="4" t="s">
        <v>12501</v>
      </c>
      <c r="B3158" s="4" t="s">
        <v>12502</v>
      </c>
    </row>
    <row r="3159" spans="1:2" x14ac:dyDescent="0.3">
      <c r="A3159" s="4" t="s">
        <v>4925</v>
      </c>
      <c r="B3159" s="4" t="s">
        <v>4926</v>
      </c>
    </row>
    <row r="3160" spans="1:2" x14ac:dyDescent="0.3">
      <c r="A3160" s="4" t="s">
        <v>4927</v>
      </c>
      <c r="B3160" s="4" t="s">
        <v>4928</v>
      </c>
    </row>
    <row r="3161" spans="1:2" x14ac:dyDescent="0.3">
      <c r="A3161" s="4" t="s">
        <v>4929</v>
      </c>
      <c r="B3161" s="4" t="s">
        <v>4930</v>
      </c>
    </row>
    <row r="3162" spans="1:2" x14ac:dyDescent="0.3">
      <c r="A3162" s="4" t="s">
        <v>9606</v>
      </c>
      <c r="B3162" s="4" t="s">
        <v>9607</v>
      </c>
    </row>
    <row r="3163" spans="1:2" x14ac:dyDescent="0.3">
      <c r="A3163" s="4" t="s">
        <v>4931</v>
      </c>
      <c r="B3163" s="4" t="s">
        <v>4932</v>
      </c>
    </row>
    <row r="3164" spans="1:2" x14ac:dyDescent="0.3">
      <c r="A3164" s="4" t="s">
        <v>4948</v>
      </c>
      <c r="B3164" s="4" t="s">
        <v>9608</v>
      </c>
    </row>
    <row r="3165" spans="1:2" x14ac:dyDescent="0.3">
      <c r="A3165" s="4" t="s">
        <v>9609</v>
      </c>
      <c r="B3165" s="4" t="s">
        <v>9610</v>
      </c>
    </row>
    <row r="3166" spans="1:2" x14ac:dyDescent="0.3">
      <c r="A3166" s="4" t="s">
        <v>5534</v>
      </c>
      <c r="B3166" s="4" t="s">
        <v>9611</v>
      </c>
    </row>
    <row r="3167" spans="1:2" x14ac:dyDescent="0.3">
      <c r="A3167" s="4" t="s">
        <v>4935</v>
      </c>
      <c r="B3167" s="4" t="s">
        <v>4936</v>
      </c>
    </row>
    <row r="3168" spans="1:2" x14ac:dyDescent="0.3">
      <c r="A3168" s="4" t="s">
        <v>4937</v>
      </c>
      <c r="B3168" s="4" t="s">
        <v>4938</v>
      </c>
    </row>
    <row r="3169" spans="1:2" x14ac:dyDescent="0.3">
      <c r="A3169" s="4" t="s">
        <v>4939</v>
      </c>
      <c r="B3169" s="4" t="s">
        <v>4940</v>
      </c>
    </row>
    <row r="3170" spans="1:2" x14ac:dyDescent="0.3">
      <c r="A3170" s="4" t="s">
        <v>9612</v>
      </c>
      <c r="B3170" s="4" t="s">
        <v>9613</v>
      </c>
    </row>
    <row r="3171" spans="1:2" x14ac:dyDescent="0.3">
      <c r="A3171" s="4" t="s">
        <v>9614</v>
      </c>
      <c r="B3171" s="4" t="s">
        <v>9615</v>
      </c>
    </row>
    <row r="3172" spans="1:2" x14ac:dyDescent="0.3">
      <c r="A3172" s="4" t="s">
        <v>9616</v>
      </c>
      <c r="B3172" s="4" t="s">
        <v>9617</v>
      </c>
    </row>
    <row r="3173" spans="1:2" x14ac:dyDescent="0.3">
      <c r="A3173" s="4" t="s">
        <v>4941</v>
      </c>
      <c r="B3173" s="4" t="s">
        <v>4942</v>
      </c>
    </row>
    <row r="3174" spans="1:2" x14ac:dyDescent="0.3">
      <c r="A3174" s="4" t="s">
        <v>9618</v>
      </c>
      <c r="B3174" s="4" t="s">
        <v>9619</v>
      </c>
    </row>
    <row r="3175" spans="1:2" x14ac:dyDescent="0.3">
      <c r="A3175" s="4" t="s">
        <v>9620</v>
      </c>
      <c r="B3175" s="4" t="s">
        <v>9621</v>
      </c>
    </row>
    <row r="3176" spans="1:2" x14ac:dyDescent="0.3">
      <c r="A3176" s="4" t="s">
        <v>6438</v>
      </c>
      <c r="B3176" s="4" t="s">
        <v>12503</v>
      </c>
    </row>
    <row r="3177" spans="1:2" x14ac:dyDescent="0.3">
      <c r="A3177" s="4" t="s">
        <v>9622</v>
      </c>
      <c r="B3177" s="4" t="s">
        <v>9623</v>
      </c>
    </row>
    <row r="3178" spans="1:2" x14ac:dyDescent="0.3">
      <c r="A3178" s="4" t="s">
        <v>12504</v>
      </c>
      <c r="B3178" s="4" t="s">
        <v>12505</v>
      </c>
    </row>
    <row r="3179" spans="1:2" x14ac:dyDescent="0.3">
      <c r="A3179" s="4" t="s">
        <v>4944</v>
      </c>
      <c r="B3179" s="4" t="s">
        <v>4945</v>
      </c>
    </row>
    <row r="3180" spans="1:2" x14ac:dyDescent="0.3">
      <c r="A3180" s="4" t="s">
        <v>9624</v>
      </c>
      <c r="B3180" s="4" t="s">
        <v>9625</v>
      </c>
    </row>
    <row r="3181" spans="1:2" x14ac:dyDescent="0.3">
      <c r="A3181" s="4" t="s">
        <v>4946</v>
      </c>
      <c r="B3181" s="4" t="s">
        <v>4947</v>
      </c>
    </row>
    <row r="3182" spans="1:2" x14ac:dyDescent="0.3">
      <c r="A3182" s="4" t="s">
        <v>4949</v>
      </c>
      <c r="B3182" s="4" t="s">
        <v>4950</v>
      </c>
    </row>
    <row r="3183" spans="1:2" x14ac:dyDescent="0.3">
      <c r="A3183" s="4" t="s">
        <v>4951</v>
      </c>
      <c r="B3183" s="4" t="s">
        <v>4952</v>
      </c>
    </row>
    <row r="3184" spans="1:2" x14ac:dyDescent="0.3">
      <c r="A3184" s="4" t="s">
        <v>4953</v>
      </c>
      <c r="B3184" s="4" t="s">
        <v>4954</v>
      </c>
    </row>
    <row r="3185" spans="1:2" x14ac:dyDescent="0.3">
      <c r="A3185" s="4" t="s">
        <v>12506</v>
      </c>
      <c r="B3185" s="4" t="s">
        <v>12507</v>
      </c>
    </row>
    <row r="3186" spans="1:2" x14ac:dyDescent="0.3">
      <c r="A3186" s="4" t="s">
        <v>9626</v>
      </c>
      <c r="B3186" s="4" t="s">
        <v>9627</v>
      </c>
    </row>
    <row r="3187" spans="1:2" x14ac:dyDescent="0.3">
      <c r="A3187" s="4" t="s">
        <v>4933</v>
      </c>
      <c r="B3187" s="4" t="s">
        <v>9628</v>
      </c>
    </row>
    <row r="3188" spans="1:2" x14ac:dyDescent="0.3">
      <c r="A3188" s="4" t="s">
        <v>9629</v>
      </c>
      <c r="B3188" s="4" t="s">
        <v>9630</v>
      </c>
    </row>
    <row r="3189" spans="1:2" x14ac:dyDescent="0.3">
      <c r="A3189" s="4" t="s">
        <v>9631</v>
      </c>
      <c r="B3189" s="4" t="s">
        <v>9632</v>
      </c>
    </row>
    <row r="3190" spans="1:2" x14ac:dyDescent="0.3">
      <c r="A3190" s="4" t="s">
        <v>4955</v>
      </c>
      <c r="B3190" s="4" t="s">
        <v>4956</v>
      </c>
    </row>
    <row r="3191" spans="1:2" x14ac:dyDescent="0.3">
      <c r="A3191" s="4" t="s">
        <v>9633</v>
      </c>
      <c r="B3191" s="4" t="s">
        <v>9634</v>
      </c>
    </row>
    <row r="3192" spans="1:2" x14ac:dyDescent="0.3">
      <c r="A3192" s="4" t="s">
        <v>4735</v>
      </c>
      <c r="B3192" s="4" t="s">
        <v>9635</v>
      </c>
    </row>
    <row r="3193" spans="1:2" x14ac:dyDescent="0.3">
      <c r="A3193" s="4" t="s">
        <v>4957</v>
      </c>
      <c r="B3193" s="4" t="s">
        <v>4958</v>
      </c>
    </row>
    <row r="3194" spans="1:2" x14ac:dyDescent="0.3">
      <c r="A3194" s="4" t="s">
        <v>4959</v>
      </c>
      <c r="B3194" s="4" t="s">
        <v>4960</v>
      </c>
    </row>
    <row r="3195" spans="1:2" x14ac:dyDescent="0.3">
      <c r="A3195" s="4" t="s">
        <v>9636</v>
      </c>
      <c r="B3195" s="4" t="s">
        <v>9637</v>
      </c>
    </row>
    <row r="3196" spans="1:2" x14ac:dyDescent="0.3">
      <c r="A3196" s="4" t="s">
        <v>9638</v>
      </c>
      <c r="B3196" s="4" t="s">
        <v>9639</v>
      </c>
    </row>
    <row r="3197" spans="1:2" x14ac:dyDescent="0.3">
      <c r="A3197" s="4" t="s">
        <v>8090</v>
      </c>
      <c r="B3197" s="4" t="s">
        <v>9640</v>
      </c>
    </row>
    <row r="3198" spans="1:2" x14ac:dyDescent="0.3">
      <c r="A3198" s="4" t="s">
        <v>4722</v>
      </c>
      <c r="B3198" s="4" t="s">
        <v>9641</v>
      </c>
    </row>
    <row r="3199" spans="1:2" x14ac:dyDescent="0.3">
      <c r="A3199" s="4" t="s">
        <v>6063</v>
      </c>
      <c r="B3199" s="4" t="s">
        <v>9642</v>
      </c>
    </row>
    <row r="3200" spans="1:2" x14ac:dyDescent="0.3">
      <c r="A3200" s="4" t="s">
        <v>9643</v>
      </c>
      <c r="B3200" s="4" t="s">
        <v>9644</v>
      </c>
    </row>
    <row r="3201" spans="1:2" x14ac:dyDescent="0.3">
      <c r="A3201" s="4" t="s">
        <v>9645</v>
      </c>
      <c r="B3201" s="4" t="s">
        <v>9646</v>
      </c>
    </row>
    <row r="3202" spans="1:2" x14ac:dyDescent="0.3">
      <c r="A3202" s="4" t="s">
        <v>4788</v>
      </c>
      <c r="B3202" s="4" t="s">
        <v>9647</v>
      </c>
    </row>
    <row r="3203" spans="1:2" x14ac:dyDescent="0.3">
      <c r="A3203" s="4" t="s">
        <v>9648</v>
      </c>
      <c r="B3203" s="4" t="s">
        <v>8714</v>
      </c>
    </row>
    <row r="3204" spans="1:2" x14ac:dyDescent="0.3">
      <c r="A3204" s="4" t="s">
        <v>4961</v>
      </c>
      <c r="B3204" s="4" t="s">
        <v>4962</v>
      </c>
    </row>
    <row r="3205" spans="1:2" x14ac:dyDescent="0.3">
      <c r="A3205" s="4" t="s">
        <v>9649</v>
      </c>
      <c r="B3205" s="4" t="s">
        <v>975</v>
      </c>
    </row>
    <row r="3206" spans="1:2" x14ac:dyDescent="0.3">
      <c r="A3206" s="4" t="s">
        <v>4963</v>
      </c>
      <c r="B3206" s="4" t="s">
        <v>4964</v>
      </c>
    </row>
    <row r="3207" spans="1:2" x14ac:dyDescent="0.3">
      <c r="A3207" s="4" t="s">
        <v>4965</v>
      </c>
      <c r="B3207" s="4" t="s">
        <v>4966</v>
      </c>
    </row>
    <row r="3208" spans="1:2" x14ac:dyDescent="0.3">
      <c r="A3208" s="4" t="s">
        <v>4967</v>
      </c>
      <c r="B3208" s="4" t="s">
        <v>4968</v>
      </c>
    </row>
    <row r="3209" spans="1:2" x14ac:dyDescent="0.3">
      <c r="A3209" s="4" t="s">
        <v>4969</v>
      </c>
      <c r="B3209" s="4" t="s">
        <v>4970</v>
      </c>
    </row>
    <row r="3210" spans="1:2" x14ac:dyDescent="0.3">
      <c r="A3210" s="4" t="s">
        <v>9650</v>
      </c>
      <c r="B3210" s="4" t="s">
        <v>9651</v>
      </c>
    </row>
    <row r="3211" spans="1:2" x14ac:dyDescent="0.3">
      <c r="A3211" s="4" t="s">
        <v>6707</v>
      </c>
      <c r="B3211" s="4" t="s">
        <v>9652</v>
      </c>
    </row>
    <row r="3212" spans="1:2" x14ac:dyDescent="0.3">
      <c r="A3212" s="4" t="s">
        <v>9653</v>
      </c>
      <c r="B3212" s="4" t="s">
        <v>9654</v>
      </c>
    </row>
    <row r="3213" spans="1:2" x14ac:dyDescent="0.3">
      <c r="A3213" s="4" t="s">
        <v>9655</v>
      </c>
      <c r="B3213" s="4" t="s">
        <v>9656</v>
      </c>
    </row>
    <row r="3214" spans="1:2" x14ac:dyDescent="0.3">
      <c r="A3214" s="4" t="s">
        <v>4922</v>
      </c>
      <c r="B3214" s="4" t="s">
        <v>12508</v>
      </c>
    </row>
    <row r="3215" spans="1:2" x14ac:dyDescent="0.3">
      <c r="A3215" s="4" t="s">
        <v>6349</v>
      </c>
      <c r="B3215" s="4" t="s">
        <v>9657</v>
      </c>
    </row>
    <row r="3216" spans="1:2" x14ac:dyDescent="0.3">
      <c r="A3216" s="4" t="s">
        <v>4975</v>
      </c>
      <c r="B3216" s="4" t="s">
        <v>4974</v>
      </c>
    </row>
    <row r="3217" spans="1:2" x14ac:dyDescent="0.3">
      <c r="A3217" s="4" t="s">
        <v>4976</v>
      </c>
      <c r="B3217" s="4" t="s">
        <v>4977</v>
      </c>
    </row>
    <row r="3218" spans="1:2" x14ac:dyDescent="0.3">
      <c r="A3218" s="4" t="s">
        <v>4978</v>
      </c>
      <c r="B3218" s="4" t="s">
        <v>4979</v>
      </c>
    </row>
    <row r="3219" spans="1:2" x14ac:dyDescent="0.3">
      <c r="A3219" s="4" t="s">
        <v>4980</v>
      </c>
      <c r="B3219" s="4" t="s">
        <v>4981</v>
      </c>
    </row>
    <row r="3220" spans="1:2" x14ac:dyDescent="0.3">
      <c r="A3220" s="4" t="s">
        <v>9658</v>
      </c>
      <c r="B3220" s="4" t="s">
        <v>9659</v>
      </c>
    </row>
    <row r="3221" spans="1:2" x14ac:dyDescent="0.3">
      <c r="A3221" s="4" t="s">
        <v>9660</v>
      </c>
      <c r="B3221" s="4" t="s">
        <v>9661</v>
      </c>
    </row>
    <row r="3222" spans="1:2" x14ac:dyDescent="0.3">
      <c r="A3222" s="4" t="s">
        <v>4982</v>
      </c>
      <c r="B3222" s="4" t="s">
        <v>4983</v>
      </c>
    </row>
    <row r="3223" spans="1:2" x14ac:dyDescent="0.3">
      <c r="A3223" s="4" t="s">
        <v>4984</v>
      </c>
      <c r="B3223" s="4" t="s">
        <v>4985</v>
      </c>
    </row>
    <row r="3224" spans="1:2" x14ac:dyDescent="0.3">
      <c r="A3224" s="4" t="s">
        <v>4986</v>
      </c>
      <c r="B3224" s="4" t="s">
        <v>4987</v>
      </c>
    </row>
    <row r="3225" spans="1:2" x14ac:dyDescent="0.3">
      <c r="A3225" s="4" t="s">
        <v>9662</v>
      </c>
      <c r="B3225" s="4" t="s">
        <v>9663</v>
      </c>
    </row>
    <row r="3226" spans="1:2" x14ac:dyDescent="0.3">
      <c r="A3226" s="4" t="s">
        <v>9664</v>
      </c>
      <c r="B3226" s="4" t="s">
        <v>9665</v>
      </c>
    </row>
    <row r="3227" spans="1:2" x14ac:dyDescent="0.3">
      <c r="A3227" s="4" t="s">
        <v>4988</v>
      </c>
      <c r="B3227" s="4" t="s">
        <v>4989</v>
      </c>
    </row>
    <row r="3228" spans="1:2" x14ac:dyDescent="0.3">
      <c r="A3228" s="4" t="s">
        <v>9666</v>
      </c>
      <c r="B3228" s="4" t="s">
        <v>9667</v>
      </c>
    </row>
    <row r="3229" spans="1:2" x14ac:dyDescent="0.3">
      <c r="A3229" s="4" t="s">
        <v>9668</v>
      </c>
      <c r="B3229" s="4" t="s">
        <v>9669</v>
      </c>
    </row>
    <row r="3230" spans="1:2" x14ac:dyDescent="0.3">
      <c r="A3230" s="4" t="s">
        <v>4990</v>
      </c>
      <c r="B3230" s="4" t="s">
        <v>4991</v>
      </c>
    </row>
    <row r="3231" spans="1:2" x14ac:dyDescent="0.3">
      <c r="A3231" s="4" t="s">
        <v>4992</v>
      </c>
      <c r="B3231" s="4" t="s">
        <v>4993</v>
      </c>
    </row>
    <row r="3232" spans="1:2" x14ac:dyDescent="0.3">
      <c r="A3232" s="4" t="s">
        <v>9670</v>
      </c>
      <c r="B3232" s="4" t="s">
        <v>9671</v>
      </c>
    </row>
    <row r="3233" spans="1:2" x14ac:dyDescent="0.3">
      <c r="A3233" s="4" t="s">
        <v>9672</v>
      </c>
      <c r="B3233" s="4" t="s">
        <v>9673</v>
      </c>
    </row>
    <row r="3234" spans="1:2" x14ac:dyDescent="0.3">
      <c r="A3234" s="4" t="s">
        <v>4995</v>
      </c>
      <c r="B3234" s="4" t="s">
        <v>4996</v>
      </c>
    </row>
    <row r="3235" spans="1:2" x14ac:dyDescent="0.3">
      <c r="A3235" s="4" t="s">
        <v>9674</v>
      </c>
      <c r="B3235" s="4" t="s">
        <v>9675</v>
      </c>
    </row>
    <row r="3236" spans="1:2" x14ac:dyDescent="0.3">
      <c r="A3236" s="4" t="s">
        <v>4997</v>
      </c>
      <c r="B3236" s="4" t="s">
        <v>4998</v>
      </c>
    </row>
    <row r="3237" spans="1:2" x14ac:dyDescent="0.3">
      <c r="A3237" s="4" t="s">
        <v>4999</v>
      </c>
      <c r="B3237" s="4" t="s">
        <v>5000</v>
      </c>
    </row>
    <row r="3238" spans="1:2" x14ac:dyDescent="0.3">
      <c r="A3238" s="4" t="s">
        <v>5001</v>
      </c>
      <c r="B3238" s="4" t="s">
        <v>5002</v>
      </c>
    </row>
    <row r="3239" spans="1:2" x14ac:dyDescent="0.3">
      <c r="A3239" s="4" t="s">
        <v>5003</v>
      </c>
      <c r="B3239" s="4" t="s">
        <v>5004</v>
      </c>
    </row>
    <row r="3240" spans="1:2" x14ac:dyDescent="0.3">
      <c r="A3240" s="4" t="s">
        <v>9676</v>
      </c>
      <c r="B3240" s="4" t="s">
        <v>9677</v>
      </c>
    </row>
    <row r="3241" spans="1:2" x14ac:dyDescent="0.3">
      <c r="A3241" s="4" t="s">
        <v>6649</v>
      </c>
      <c r="B3241" s="4" t="s">
        <v>9678</v>
      </c>
    </row>
    <row r="3242" spans="1:2" x14ac:dyDescent="0.3">
      <c r="A3242" s="4" t="s">
        <v>9679</v>
      </c>
      <c r="B3242" s="4" t="s">
        <v>8719</v>
      </c>
    </row>
    <row r="3243" spans="1:2" x14ac:dyDescent="0.3">
      <c r="A3243" s="4" t="s">
        <v>9680</v>
      </c>
      <c r="B3243" s="4" t="s">
        <v>9681</v>
      </c>
    </row>
    <row r="3244" spans="1:2" x14ac:dyDescent="0.3">
      <c r="A3244" s="4" t="s">
        <v>9682</v>
      </c>
      <c r="B3244" s="4" t="s">
        <v>9683</v>
      </c>
    </row>
    <row r="3245" spans="1:2" x14ac:dyDescent="0.3">
      <c r="A3245" s="4" t="s">
        <v>5005</v>
      </c>
      <c r="B3245" s="4" t="s">
        <v>5006</v>
      </c>
    </row>
    <row r="3246" spans="1:2" x14ac:dyDescent="0.3">
      <c r="A3246" s="4" t="s">
        <v>5007</v>
      </c>
      <c r="B3246" s="4" t="s">
        <v>5008</v>
      </c>
    </row>
    <row r="3247" spans="1:2" x14ac:dyDescent="0.3">
      <c r="A3247" s="4" t="s">
        <v>12509</v>
      </c>
      <c r="B3247" s="4" t="s">
        <v>12510</v>
      </c>
    </row>
    <row r="3248" spans="1:2" x14ac:dyDescent="0.3">
      <c r="A3248" s="4" t="s">
        <v>9684</v>
      </c>
      <c r="B3248" s="4" t="s">
        <v>9685</v>
      </c>
    </row>
    <row r="3249" spans="1:2" x14ac:dyDescent="0.3">
      <c r="A3249" s="4" t="s">
        <v>9686</v>
      </c>
      <c r="B3249" s="4" t="s">
        <v>9687</v>
      </c>
    </row>
    <row r="3250" spans="1:2" x14ac:dyDescent="0.3">
      <c r="A3250" s="4" t="s">
        <v>12511</v>
      </c>
      <c r="B3250" s="4" t="s">
        <v>12512</v>
      </c>
    </row>
    <row r="3251" spans="1:2" x14ac:dyDescent="0.3">
      <c r="A3251" s="4" t="s">
        <v>5009</v>
      </c>
      <c r="B3251" s="4" t="s">
        <v>5010</v>
      </c>
    </row>
    <row r="3252" spans="1:2" x14ac:dyDescent="0.3">
      <c r="A3252" s="4" t="s">
        <v>9688</v>
      </c>
      <c r="B3252" s="4" t="s">
        <v>9689</v>
      </c>
    </row>
    <row r="3253" spans="1:2" x14ac:dyDescent="0.3">
      <c r="A3253" s="4" t="s">
        <v>9690</v>
      </c>
      <c r="B3253" s="4" t="s">
        <v>9691</v>
      </c>
    </row>
    <row r="3254" spans="1:2" x14ac:dyDescent="0.3">
      <c r="A3254" s="4" t="s">
        <v>5011</v>
      </c>
      <c r="B3254" s="4" t="s">
        <v>5012</v>
      </c>
    </row>
    <row r="3255" spans="1:2" x14ac:dyDescent="0.3">
      <c r="A3255" s="4" t="s">
        <v>5013</v>
      </c>
      <c r="B3255" s="4" t="s">
        <v>5014</v>
      </c>
    </row>
    <row r="3256" spans="1:2" x14ac:dyDescent="0.3">
      <c r="A3256" s="4" t="s">
        <v>5015</v>
      </c>
      <c r="B3256" s="4" t="s">
        <v>5016</v>
      </c>
    </row>
    <row r="3257" spans="1:2" x14ac:dyDescent="0.3">
      <c r="A3257" s="4" t="s">
        <v>5017</v>
      </c>
      <c r="B3257" s="4" t="s">
        <v>5018</v>
      </c>
    </row>
    <row r="3258" spans="1:2" x14ac:dyDescent="0.3">
      <c r="A3258" s="4" t="s">
        <v>5019</v>
      </c>
      <c r="B3258" s="4" t="s">
        <v>5020</v>
      </c>
    </row>
    <row r="3259" spans="1:2" x14ac:dyDescent="0.3">
      <c r="A3259" s="4" t="s">
        <v>9692</v>
      </c>
      <c r="B3259" s="4" t="s">
        <v>9693</v>
      </c>
    </row>
    <row r="3260" spans="1:2" x14ac:dyDescent="0.3">
      <c r="A3260" s="4" t="s">
        <v>5022</v>
      </c>
      <c r="B3260" s="4" t="s">
        <v>5023</v>
      </c>
    </row>
    <row r="3261" spans="1:2" x14ac:dyDescent="0.3">
      <c r="A3261" s="4" t="s">
        <v>5024</v>
      </c>
      <c r="B3261" s="4" t="s">
        <v>5025</v>
      </c>
    </row>
    <row r="3262" spans="1:2" x14ac:dyDescent="0.3">
      <c r="A3262" s="4" t="s">
        <v>6310</v>
      </c>
      <c r="B3262" s="4" t="s">
        <v>9694</v>
      </c>
    </row>
    <row r="3263" spans="1:2" x14ac:dyDescent="0.3">
      <c r="A3263" s="4" t="s">
        <v>5026</v>
      </c>
      <c r="B3263" s="4" t="s">
        <v>5027</v>
      </c>
    </row>
    <row r="3264" spans="1:2" x14ac:dyDescent="0.3">
      <c r="A3264" s="4" t="s">
        <v>9695</v>
      </c>
      <c r="B3264" s="4" t="s">
        <v>9696</v>
      </c>
    </row>
    <row r="3265" spans="1:2" x14ac:dyDescent="0.3">
      <c r="A3265" s="4" t="s">
        <v>9697</v>
      </c>
      <c r="B3265" s="4" t="s">
        <v>9698</v>
      </c>
    </row>
    <row r="3266" spans="1:2" x14ac:dyDescent="0.3">
      <c r="A3266" s="4" t="s">
        <v>5028</v>
      </c>
      <c r="B3266" s="4" t="s">
        <v>5029</v>
      </c>
    </row>
    <row r="3267" spans="1:2" x14ac:dyDescent="0.3">
      <c r="A3267" s="4" t="s">
        <v>5030</v>
      </c>
      <c r="B3267" s="4" t="s">
        <v>5031</v>
      </c>
    </row>
    <row r="3268" spans="1:2" x14ac:dyDescent="0.3">
      <c r="A3268" s="4" t="s">
        <v>5032</v>
      </c>
      <c r="B3268" s="4" t="s">
        <v>5033</v>
      </c>
    </row>
    <row r="3269" spans="1:2" x14ac:dyDescent="0.3">
      <c r="A3269" s="4" t="s">
        <v>9699</v>
      </c>
      <c r="B3269" s="4" t="s">
        <v>9700</v>
      </c>
    </row>
    <row r="3270" spans="1:2" x14ac:dyDescent="0.3">
      <c r="A3270" s="4" t="s">
        <v>5034</v>
      </c>
      <c r="B3270" s="4" t="s">
        <v>5035</v>
      </c>
    </row>
    <row r="3271" spans="1:2" x14ac:dyDescent="0.3">
      <c r="A3271" s="4" t="s">
        <v>9701</v>
      </c>
      <c r="B3271" s="4" t="s">
        <v>9702</v>
      </c>
    </row>
    <row r="3272" spans="1:2" x14ac:dyDescent="0.3">
      <c r="A3272" s="4" t="s">
        <v>5036</v>
      </c>
      <c r="B3272" s="4" t="s">
        <v>5037</v>
      </c>
    </row>
    <row r="3273" spans="1:2" x14ac:dyDescent="0.3">
      <c r="A3273" s="4" t="s">
        <v>9703</v>
      </c>
      <c r="B3273" s="4" t="s">
        <v>9704</v>
      </c>
    </row>
    <row r="3274" spans="1:2" x14ac:dyDescent="0.3">
      <c r="A3274" s="4" t="s">
        <v>9705</v>
      </c>
      <c r="B3274" s="4" t="s">
        <v>9706</v>
      </c>
    </row>
    <row r="3275" spans="1:2" x14ac:dyDescent="0.3">
      <c r="A3275" s="4" t="s">
        <v>5038</v>
      </c>
      <c r="B3275" s="4" t="s">
        <v>5039</v>
      </c>
    </row>
    <row r="3276" spans="1:2" x14ac:dyDescent="0.3">
      <c r="A3276" s="4" t="s">
        <v>9707</v>
      </c>
      <c r="B3276" s="4" t="s">
        <v>9708</v>
      </c>
    </row>
    <row r="3277" spans="1:2" x14ac:dyDescent="0.3">
      <c r="A3277" s="4" t="s">
        <v>5040</v>
      </c>
      <c r="B3277" s="4" t="s">
        <v>5041</v>
      </c>
    </row>
    <row r="3278" spans="1:2" x14ac:dyDescent="0.3">
      <c r="A3278" s="4" t="s">
        <v>12513</v>
      </c>
      <c r="B3278" s="4" t="s">
        <v>12514</v>
      </c>
    </row>
    <row r="3279" spans="1:2" x14ac:dyDescent="0.3">
      <c r="A3279" s="4" t="s">
        <v>12515</v>
      </c>
      <c r="B3279" s="4" t="s">
        <v>1054</v>
      </c>
    </row>
    <row r="3280" spans="1:2" x14ac:dyDescent="0.3">
      <c r="A3280" s="4" t="s">
        <v>9709</v>
      </c>
      <c r="B3280" s="4" t="s">
        <v>9710</v>
      </c>
    </row>
    <row r="3281" spans="1:2" x14ac:dyDescent="0.3">
      <c r="A3281" s="4" t="s">
        <v>5042</v>
      </c>
      <c r="B3281" s="4" t="s">
        <v>5043</v>
      </c>
    </row>
    <row r="3282" spans="1:2" x14ac:dyDescent="0.3">
      <c r="A3282" s="4" t="s">
        <v>9711</v>
      </c>
      <c r="B3282" s="4" t="s">
        <v>9712</v>
      </c>
    </row>
    <row r="3283" spans="1:2" x14ac:dyDescent="0.3">
      <c r="A3283" s="4" t="s">
        <v>9713</v>
      </c>
      <c r="B3283" s="4" t="s">
        <v>9714</v>
      </c>
    </row>
    <row r="3284" spans="1:2" x14ac:dyDescent="0.3">
      <c r="A3284" s="4" t="s">
        <v>9715</v>
      </c>
      <c r="B3284" s="4" t="s">
        <v>9716</v>
      </c>
    </row>
    <row r="3285" spans="1:2" x14ac:dyDescent="0.3">
      <c r="A3285" s="4" t="s">
        <v>5044</v>
      </c>
      <c r="B3285" s="4" t="s">
        <v>5045</v>
      </c>
    </row>
    <row r="3286" spans="1:2" x14ac:dyDescent="0.3">
      <c r="A3286" s="4" t="s">
        <v>9717</v>
      </c>
      <c r="B3286" s="4" t="s">
        <v>9718</v>
      </c>
    </row>
    <row r="3287" spans="1:2" x14ac:dyDescent="0.3">
      <c r="A3287" s="4" t="s">
        <v>9719</v>
      </c>
      <c r="B3287" s="4" t="s">
        <v>9720</v>
      </c>
    </row>
    <row r="3288" spans="1:2" x14ac:dyDescent="0.3">
      <c r="A3288" s="4" t="s">
        <v>9721</v>
      </c>
      <c r="B3288" s="4" t="s">
        <v>9722</v>
      </c>
    </row>
    <row r="3289" spans="1:2" x14ac:dyDescent="0.3">
      <c r="A3289" s="4" t="s">
        <v>5046</v>
      </c>
      <c r="B3289" s="4" t="s">
        <v>5047</v>
      </c>
    </row>
    <row r="3290" spans="1:2" x14ac:dyDescent="0.3">
      <c r="A3290" s="4" t="s">
        <v>5048</v>
      </c>
      <c r="B3290" s="4" t="s">
        <v>5049</v>
      </c>
    </row>
    <row r="3291" spans="1:2" x14ac:dyDescent="0.3">
      <c r="A3291" s="4" t="s">
        <v>9723</v>
      </c>
      <c r="B3291" s="4" t="s">
        <v>8724</v>
      </c>
    </row>
    <row r="3292" spans="1:2" x14ac:dyDescent="0.3">
      <c r="A3292" s="4" t="s">
        <v>12516</v>
      </c>
      <c r="B3292" s="4" t="s">
        <v>12517</v>
      </c>
    </row>
    <row r="3293" spans="1:2" x14ac:dyDescent="0.3">
      <c r="A3293" s="4" t="s">
        <v>5051</v>
      </c>
      <c r="B3293" s="4" t="s">
        <v>5052</v>
      </c>
    </row>
    <row r="3294" spans="1:2" x14ac:dyDescent="0.3">
      <c r="A3294" s="4" t="s">
        <v>5053</v>
      </c>
      <c r="B3294" s="4" t="s">
        <v>5054</v>
      </c>
    </row>
    <row r="3295" spans="1:2" x14ac:dyDescent="0.3">
      <c r="A3295" s="4" t="s">
        <v>12518</v>
      </c>
      <c r="B3295" s="4" t="s">
        <v>12519</v>
      </c>
    </row>
    <row r="3296" spans="1:2" x14ac:dyDescent="0.3">
      <c r="A3296" s="4" t="s">
        <v>5055</v>
      </c>
      <c r="B3296" s="4" t="s">
        <v>5056</v>
      </c>
    </row>
    <row r="3297" spans="1:2" x14ac:dyDescent="0.3">
      <c r="A3297" s="4" t="s">
        <v>5057</v>
      </c>
      <c r="B3297" s="4" t="s">
        <v>5058</v>
      </c>
    </row>
    <row r="3298" spans="1:2" x14ac:dyDescent="0.3">
      <c r="A3298" s="4" t="s">
        <v>12520</v>
      </c>
      <c r="B3298" s="4" t="s">
        <v>12521</v>
      </c>
    </row>
    <row r="3299" spans="1:2" x14ac:dyDescent="0.3">
      <c r="A3299" s="4" t="s">
        <v>9724</v>
      </c>
      <c r="B3299" s="4" t="s">
        <v>9725</v>
      </c>
    </row>
    <row r="3300" spans="1:2" x14ac:dyDescent="0.3">
      <c r="A3300" s="4" t="s">
        <v>9726</v>
      </c>
      <c r="B3300" s="4" t="s">
        <v>9727</v>
      </c>
    </row>
    <row r="3301" spans="1:2" x14ac:dyDescent="0.3">
      <c r="A3301" s="4" t="s">
        <v>5059</v>
      </c>
      <c r="B3301" s="4" t="s">
        <v>5060</v>
      </c>
    </row>
    <row r="3302" spans="1:2" x14ac:dyDescent="0.3">
      <c r="A3302" s="4" t="s">
        <v>9728</v>
      </c>
      <c r="B3302" s="4" t="s">
        <v>9729</v>
      </c>
    </row>
    <row r="3303" spans="1:2" x14ac:dyDescent="0.3">
      <c r="A3303" s="4" t="s">
        <v>5061</v>
      </c>
      <c r="B3303" s="4" t="s">
        <v>5062</v>
      </c>
    </row>
    <row r="3304" spans="1:2" x14ac:dyDescent="0.3">
      <c r="A3304" s="4" t="s">
        <v>9730</v>
      </c>
      <c r="B3304" s="4" t="s">
        <v>9731</v>
      </c>
    </row>
    <row r="3305" spans="1:2" x14ac:dyDescent="0.3">
      <c r="A3305" s="4" t="s">
        <v>9732</v>
      </c>
      <c r="B3305" s="4" t="s">
        <v>9733</v>
      </c>
    </row>
    <row r="3306" spans="1:2" x14ac:dyDescent="0.3">
      <c r="A3306" s="4" t="s">
        <v>6750</v>
      </c>
      <c r="B3306" s="4" t="s">
        <v>9734</v>
      </c>
    </row>
    <row r="3307" spans="1:2" x14ac:dyDescent="0.3">
      <c r="A3307" s="4" t="s">
        <v>5063</v>
      </c>
      <c r="B3307" s="4" t="s">
        <v>5064</v>
      </c>
    </row>
    <row r="3308" spans="1:2" x14ac:dyDescent="0.3">
      <c r="A3308" s="4" t="s">
        <v>9735</v>
      </c>
      <c r="B3308" s="4" t="s">
        <v>9736</v>
      </c>
    </row>
    <row r="3309" spans="1:2" x14ac:dyDescent="0.3">
      <c r="A3309" s="4" t="s">
        <v>12522</v>
      </c>
      <c r="B3309" s="4" t="s">
        <v>12523</v>
      </c>
    </row>
    <row r="3310" spans="1:2" x14ac:dyDescent="0.3">
      <c r="A3310" s="4" t="s">
        <v>5065</v>
      </c>
      <c r="B3310" s="4" t="s">
        <v>5066</v>
      </c>
    </row>
    <row r="3311" spans="1:2" x14ac:dyDescent="0.3">
      <c r="A3311" s="4" t="s">
        <v>5067</v>
      </c>
      <c r="B3311" s="4" t="s">
        <v>5068</v>
      </c>
    </row>
    <row r="3312" spans="1:2" x14ac:dyDescent="0.3">
      <c r="A3312" s="4" t="s">
        <v>5069</v>
      </c>
      <c r="B3312" s="4" t="s">
        <v>5070</v>
      </c>
    </row>
    <row r="3313" spans="1:2" x14ac:dyDescent="0.3">
      <c r="A3313" s="4" t="s">
        <v>5071</v>
      </c>
      <c r="B3313" s="4" t="s">
        <v>5072</v>
      </c>
    </row>
    <row r="3314" spans="1:2" x14ac:dyDescent="0.3">
      <c r="A3314" s="4" t="s">
        <v>5073</v>
      </c>
      <c r="B3314" s="4" t="s">
        <v>5074</v>
      </c>
    </row>
    <row r="3315" spans="1:2" x14ac:dyDescent="0.3">
      <c r="A3315" s="4" t="s">
        <v>5075</v>
      </c>
      <c r="B3315" s="4" t="s">
        <v>5076</v>
      </c>
    </row>
    <row r="3316" spans="1:2" x14ac:dyDescent="0.3">
      <c r="A3316" s="4" t="s">
        <v>5077</v>
      </c>
      <c r="B3316" s="4" t="s">
        <v>5078</v>
      </c>
    </row>
    <row r="3317" spans="1:2" x14ac:dyDescent="0.3">
      <c r="A3317" s="4" t="s">
        <v>5079</v>
      </c>
      <c r="B3317" s="4" t="s">
        <v>5080</v>
      </c>
    </row>
    <row r="3318" spans="1:2" x14ac:dyDescent="0.3">
      <c r="A3318" s="4" t="s">
        <v>5081</v>
      </c>
      <c r="B3318" s="4" t="s">
        <v>5082</v>
      </c>
    </row>
    <row r="3319" spans="1:2" x14ac:dyDescent="0.3">
      <c r="A3319" s="4" t="s">
        <v>5084</v>
      </c>
      <c r="B3319" s="4" t="s">
        <v>5085</v>
      </c>
    </row>
    <row r="3320" spans="1:2" x14ac:dyDescent="0.3">
      <c r="A3320" s="4" t="s">
        <v>5086</v>
      </c>
      <c r="B3320" s="4" t="s">
        <v>5087</v>
      </c>
    </row>
    <row r="3321" spans="1:2" x14ac:dyDescent="0.3">
      <c r="A3321" s="4" t="s">
        <v>5088</v>
      </c>
      <c r="B3321" s="4" t="s">
        <v>5089</v>
      </c>
    </row>
    <row r="3322" spans="1:2" x14ac:dyDescent="0.3">
      <c r="A3322" s="4" t="s">
        <v>5090</v>
      </c>
      <c r="B3322" s="4" t="s">
        <v>5091</v>
      </c>
    </row>
    <row r="3323" spans="1:2" x14ac:dyDescent="0.3">
      <c r="A3323" s="4" t="s">
        <v>7741</v>
      </c>
      <c r="B3323" s="4" t="s">
        <v>9737</v>
      </c>
    </row>
    <row r="3324" spans="1:2" x14ac:dyDescent="0.3">
      <c r="A3324" s="4" t="s">
        <v>5092</v>
      </c>
      <c r="B3324" s="4" t="s">
        <v>5093</v>
      </c>
    </row>
    <row r="3325" spans="1:2" x14ac:dyDescent="0.3">
      <c r="A3325" s="4" t="s">
        <v>5094</v>
      </c>
      <c r="B3325" s="4" t="s">
        <v>5095</v>
      </c>
    </row>
    <row r="3326" spans="1:2" x14ac:dyDescent="0.3">
      <c r="A3326" s="4" t="s">
        <v>5096</v>
      </c>
      <c r="B3326" s="4" t="s">
        <v>5097</v>
      </c>
    </row>
    <row r="3327" spans="1:2" x14ac:dyDescent="0.3">
      <c r="A3327" s="4" t="s">
        <v>5098</v>
      </c>
      <c r="B3327" s="4" t="s">
        <v>5099</v>
      </c>
    </row>
    <row r="3328" spans="1:2" x14ac:dyDescent="0.3">
      <c r="A3328" s="4" t="s">
        <v>5100</v>
      </c>
      <c r="B3328" s="4" t="s">
        <v>5101</v>
      </c>
    </row>
    <row r="3329" spans="1:2" x14ac:dyDescent="0.3">
      <c r="A3329" s="4" t="s">
        <v>5102</v>
      </c>
      <c r="B3329" s="4" t="s">
        <v>5103</v>
      </c>
    </row>
    <row r="3330" spans="1:2" x14ac:dyDescent="0.3">
      <c r="A3330" s="4" t="s">
        <v>5104</v>
      </c>
      <c r="B3330" s="4" t="s">
        <v>5105</v>
      </c>
    </row>
    <row r="3331" spans="1:2" x14ac:dyDescent="0.3">
      <c r="A3331" s="4" t="s">
        <v>5083</v>
      </c>
      <c r="B3331" s="4" t="s">
        <v>9738</v>
      </c>
    </row>
    <row r="3332" spans="1:2" x14ac:dyDescent="0.3">
      <c r="A3332" s="4" t="s">
        <v>5106</v>
      </c>
      <c r="B3332" s="4" t="s">
        <v>5107</v>
      </c>
    </row>
    <row r="3333" spans="1:2" x14ac:dyDescent="0.3">
      <c r="A3333" s="4" t="s">
        <v>5108</v>
      </c>
      <c r="B3333" s="4" t="s">
        <v>5109</v>
      </c>
    </row>
    <row r="3334" spans="1:2" x14ac:dyDescent="0.3">
      <c r="A3334" s="4" t="s">
        <v>5110</v>
      </c>
      <c r="B3334" s="4" t="s">
        <v>5111</v>
      </c>
    </row>
    <row r="3335" spans="1:2" x14ac:dyDescent="0.3">
      <c r="A3335" s="4" t="s">
        <v>5112</v>
      </c>
      <c r="B3335" s="4" t="s">
        <v>5113</v>
      </c>
    </row>
    <row r="3336" spans="1:2" x14ac:dyDescent="0.3">
      <c r="A3336" s="4" t="s">
        <v>5114</v>
      </c>
      <c r="B3336" s="4" t="s">
        <v>5115</v>
      </c>
    </row>
    <row r="3337" spans="1:2" x14ac:dyDescent="0.3">
      <c r="A3337" s="4" t="s">
        <v>5116</v>
      </c>
      <c r="B3337" s="4" t="s">
        <v>5117</v>
      </c>
    </row>
    <row r="3338" spans="1:2" x14ac:dyDescent="0.3">
      <c r="A3338" s="4" t="s">
        <v>9739</v>
      </c>
      <c r="B3338" s="4" t="s">
        <v>9740</v>
      </c>
    </row>
    <row r="3339" spans="1:2" x14ac:dyDescent="0.3">
      <c r="A3339" s="4" t="s">
        <v>5118</v>
      </c>
      <c r="B3339" s="4" t="s">
        <v>5119</v>
      </c>
    </row>
    <row r="3340" spans="1:2" x14ac:dyDescent="0.3">
      <c r="A3340" s="4" t="s">
        <v>5120</v>
      </c>
      <c r="B3340" s="4" t="s">
        <v>5121</v>
      </c>
    </row>
    <row r="3341" spans="1:2" x14ac:dyDescent="0.3">
      <c r="A3341" s="4" t="s">
        <v>5122</v>
      </c>
      <c r="B3341" s="4" t="s">
        <v>5123</v>
      </c>
    </row>
    <row r="3342" spans="1:2" x14ac:dyDescent="0.3">
      <c r="A3342" s="4" t="s">
        <v>9741</v>
      </c>
      <c r="B3342" s="4" t="s">
        <v>9742</v>
      </c>
    </row>
    <row r="3343" spans="1:2" x14ac:dyDescent="0.3">
      <c r="A3343" s="4" t="s">
        <v>9743</v>
      </c>
      <c r="B3343" s="4" t="s">
        <v>9744</v>
      </c>
    </row>
    <row r="3344" spans="1:2" x14ac:dyDescent="0.3">
      <c r="A3344" s="4" t="s">
        <v>9745</v>
      </c>
      <c r="B3344" s="4" t="s">
        <v>1113</v>
      </c>
    </row>
    <row r="3345" spans="1:2" x14ac:dyDescent="0.3">
      <c r="A3345" s="4" t="s">
        <v>5125</v>
      </c>
      <c r="B3345" s="4" t="s">
        <v>5126</v>
      </c>
    </row>
    <row r="3346" spans="1:2" x14ac:dyDescent="0.3">
      <c r="A3346" s="4" t="s">
        <v>5127</v>
      </c>
      <c r="B3346" s="4" t="s">
        <v>5128</v>
      </c>
    </row>
    <row r="3347" spans="1:2" x14ac:dyDescent="0.3">
      <c r="A3347" s="4" t="s">
        <v>9746</v>
      </c>
      <c r="B3347" s="4" t="s">
        <v>9747</v>
      </c>
    </row>
    <row r="3348" spans="1:2" x14ac:dyDescent="0.3">
      <c r="A3348" s="4" t="s">
        <v>5129</v>
      </c>
      <c r="B3348" s="4" t="s">
        <v>5130</v>
      </c>
    </row>
    <row r="3349" spans="1:2" x14ac:dyDescent="0.3">
      <c r="A3349" s="4" t="s">
        <v>5131</v>
      </c>
      <c r="B3349" s="4" t="s">
        <v>5132</v>
      </c>
    </row>
    <row r="3350" spans="1:2" x14ac:dyDescent="0.3">
      <c r="A3350" s="4" t="s">
        <v>5133</v>
      </c>
      <c r="B3350" s="4" t="s">
        <v>5134</v>
      </c>
    </row>
    <row r="3351" spans="1:2" x14ac:dyDescent="0.3">
      <c r="A3351" s="4" t="s">
        <v>5135</v>
      </c>
      <c r="B3351" s="4" t="s">
        <v>5136</v>
      </c>
    </row>
    <row r="3352" spans="1:2" x14ac:dyDescent="0.3">
      <c r="A3352" s="4" t="s">
        <v>9748</v>
      </c>
      <c r="B3352" s="4" t="s">
        <v>9749</v>
      </c>
    </row>
    <row r="3353" spans="1:2" x14ac:dyDescent="0.3">
      <c r="A3353" s="4" t="s">
        <v>9750</v>
      </c>
      <c r="B3353" s="4" t="s">
        <v>8732</v>
      </c>
    </row>
    <row r="3354" spans="1:2" x14ac:dyDescent="0.3">
      <c r="A3354" s="4" t="s">
        <v>5137</v>
      </c>
      <c r="B3354" s="4" t="s">
        <v>5138</v>
      </c>
    </row>
    <row r="3355" spans="1:2" x14ac:dyDescent="0.3">
      <c r="A3355" s="4" t="s">
        <v>5139</v>
      </c>
      <c r="B3355" s="4" t="s">
        <v>5140</v>
      </c>
    </row>
    <row r="3356" spans="1:2" x14ac:dyDescent="0.3">
      <c r="A3356" s="4" t="s">
        <v>9751</v>
      </c>
      <c r="B3356" s="4" t="s">
        <v>9752</v>
      </c>
    </row>
    <row r="3357" spans="1:2" x14ac:dyDescent="0.3">
      <c r="A3357" s="4" t="s">
        <v>9753</v>
      </c>
      <c r="B3357" s="4" t="s">
        <v>9754</v>
      </c>
    </row>
    <row r="3358" spans="1:2" x14ac:dyDescent="0.3">
      <c r="A3358" s="4" t="s">
        <v>9755</v>
      </c>
      <c r="B3358" s="4" t="s">
        <v>9756</v>
      </c>
    </row>
    <row r="3359" spans="1:2" x14ac:dyDescent="0.3">
      <c r="A3359" s="4" t="s">
        <v>9757</v>
      </c>
      <c r="B3359" s="4" t="s">
        <v>9758</v>
      </c>
    </row>
    <row r="3360" spans="1:2" x14ac:dyDescent="0.3">
      <c r="A3360" s="4" t="s">
        <v>5141</v>
      </c>
      <c r="B3360" s="4" t="s">
        <v>5142</v>
      </c>
    </row>
    <row r="3361" spans="1:2" x14ac:dyDescent="0.3">
      <c r="A3361" s="4" t="s">
        <v>5143</v>
      </c>
      <c r="B3361" s="4" t="s">
        <v>5144</v>
      </c>
    </row>
    <row r="3362" spans="1:2" x14ac:dyDescent="0.3">
      <c r="A3362" s="4" t="s">
        <v>5145</v>
      </c>
      <c r="B3362" s="4" t="s">
        <v>5146</v>
      </c>
    </row>
    <row r="3363" spans="1:2" x14ac:dyDescent="0.3">
      <c r="A3363" s="4" t="s">
        <v>12524</v>
      </c>
      <c r="B3363" s="4" t="s">
        <v>12525</v>
      </c>
    </row>
    <row r="3364" spans="1:2" x14ac:dyDescent="0.3">
      <c r="A3364" s="4" t="s">
        <v>9759</v>
      </c>
      <c r="B3364" s="4" t="s">
        <v>9760</v>
      </c>
    </row>
    <row r="3365" spans="1:2" x14ac:dyDescent="0.3">
      <c r="A3365" s="4" t="s">
        <v>9761</v>
      </c>
      <c r="B3365" s="4" t="s">
        <v>9762</v>
      </c>
    </row>
    <row r="3366" spans="1:2" x14ac:dyDescent="0.3">
      <c r="A3366" s="4" t="s">
        <v>5147</v>
      </c>
      <c r="B3366" s="4" t="s">
        <v>5148</v>
      </c>
    </row>
    <row r="3367" spans="1:2" x14ac:dyDescent="0.3">
      <c r="A3367" s="4" t="s">
        <v>9763</v>
      </c>
      <c r="B3367" s="4" t="s">
        <v>9764</v>
      </c>
    </row>
    <row r="3368" spans="1:2" x14ac:dyDescent="0.3">
      <c r="A3368" s="4" t="s">
        <v>12526</v>
      </c>
      <c r="B3368" s="4" t="s">
        <v>12527</v>
      </c>
    </row>
    <row r="3369" spans="1:2" x14ac:dyDescent="0.3">
      <c r="A3369" s="4" t="s">
        <v>12528</v>
      </c>
      <c r="B3369" s="4" t="s">
        <v>12529</v>
      </c>
    </row>
    <row r="3370" spans="1:2" x14ac:dyDescent="0.3">
      <c r="A3370" s="4" t="s">
        <v>10829</v>
      </c>
      <c r="B3370" s="4" t="s">
        <v>12530</v>
      </c>
    </row>
    <row r="3371" spans="1:2" x14ac:dyDescent="0.3">
      <c r="A3371" s="4" t="s">
        <v>12531</v>
      </c>
      <c r="B3371" s="4" t="s">
        <v>12532</v>
      </c>
    </row>
    <row r="3372" spans="1:2" x14ac:dyDescent="0.3">
      <c r="A3372" s="4" t="s">
        <v>9765</v>
      </c>
      <c r="B3372" s="4" t="s">
        <v>8734</v>
      </c>
    </row>
    <row r="3373" spans="1:2" x14ac:dyDescent="0.3">
      <c r="A3373" s="4" t="s">
        <v>5150</v>
      </c>
      <c r="B3373" s="4" t="s">
        <v>5151</v>
      </c>
    </row>
    <row r="3374" spans="1:2" x14ac:dyDescent="0.3">
      <c r="A3374" s="4" t="s">
        <v>9766</v>
      </c>
      <c r="B3374" s="4" t="s">
        <v>9767</v>
      </c>
    </row>
    <row r="3375" spans="1:2" x14ac:dyDescent="0.3">
      <c r="A3375" s="4" t="s">
        <v>5152</v>
      </c>
      <c r="B3375" s="4" t="s">
        <v>5153</v>
      </c>
    </row>
    <row r="3376" spans="1:2" x14ac:dyDescent="0.3">
      <c r="A3376" s="4" t="s">
        <v>5154</v>
      </c>
      <c r="B3376" s="4" t="s">
        <v>5155</v>
      </c>
    </row>
    <row r="3377" spans="1:2" x14ac:dyDescent="0.3">
      <c r="A3377" s="4" t="s">
        <v>9768</v>
      </c>
      <c r="B3377" s="4" t="s">
        <v>9769</v>
      </c>
    </row>
    <row r="3378" spans="1:2" x14ac:dyDescent="0.3">
      <c r="A3378" s="4" t="s">
        <v>9770</v>
      </c>
      <c r="B3378" s="4" t="s">
        <v>9771</v>
      </c>
    </row>
    <row r="3379" spans="1:2" x14ac:dyDescent="0.3">
      <c r="A3379" s="4" t="s">
        <v>5156</v>
      </c>
      <c r="B3379" s="4" t="s">
        <v>5157</v>
      </c>
    </row>
    <row r="3380" spans="1:2" x14ac:dyDescent="0.3">
      <c r="A3380" s="4" t="s">
        <v>5158</v>
      </c>
      <c r="B3380" s="4" t="s">
        <v>5159</v>
      </c>
    </row>
    <row r="3381" spans="1:2" x14ac:dyDescent="0.3">
      <c r="A3381" s="4" t="s">
        <v>5161</v>
      </c>
      <c r="B3381" s="4" t="s">
        <v>5162</v>
      </c>
    </row>
    <row r="3382" spans="1:2" x14ac:dyDescent="0.3">
      <c r="A3382" s="4" t="s">
        <v>12533</v>
      </c>
      <c r="B3382" s="4" t="s">
        <v>12534</v>
      </c>
    </row>
    <row r="3383" spans="1:2" x14ac:dyDescent="0.3">
      <c r="A3383" s="4" t="s">
        <v>5163</v>
      </c>
      <c r="B3383" s="4" t="s">
        <v>5164</v>
      </c>
    </row>
    <row r="3384" spans="1:2" x14ac:dyDescent="0.3">
      <c r="A3384" s="4" t="s">
        <v>9772</v>
      </c>
      <c r="B3384" s="4" t="s">
        <v>9773</v>
      </c>
    </row>
    <row r="3385" spans="1:2" x14ac:dyDescent="0.3">
      <c r="A3385" s="4" t="s">
        <v>5165</v>
      </c>
      <c r="B3385" s="4" t="s">
        <v>5166</v>
      </c>
    </row>
    <row r="3386" spans="1:2" x14ac:dyDescent="0.3">
      <c r="A3386" s="4" t="s">
        <v>9774</v>
      </c>
      <c r="B3386" s="4" t="s">
        <v>9775</v>
      </c>
    </row>
    <row r="3387" spans="1:2" x14ac:dyDescent="0.3">
      <c r="A3387" s="4" t="s">
        <v>5167</v>
      </c>
      <c r="B3387" s="4" t="s">
        <v>5168</v>
      </c>
    </row>
    <row r="3388" spans="1:2" x14ac:dyDescent="0.3">
      <c r="A3388" s="4" t="s">
        <v>4534</v>
      </c>
      <c r="B3388" s="4" t="s">
        <v>9776</v>
      </c>
    </row>
    <row r="3389" spans="1:2" x14ac:dyDescent="0.3">
      <c r="A3389" s="4" t="s">
        <v>9777</v>
      </c>
      <c r="B3389" s="4" t="s">
        <v>8736</v>
      </c>
    </row>
    <row r="3390" spans="1:2" x14ac:dyDescent="0.3">
      <c r="A3390" s="4" t="s">
        <v>5171</v>
      </c>
      <c r="B3390" s="4" t="s">
        <v>5172</v>
      </c>
    </row>
    <row r="3391" spans="1:2" x14ac:dyDescent="0.3">
      <c r="A3391" s="4" t="s">
        <v>5173</v>
      </c>
      <c r="B3391" s="4" t="s">
        <v>5174</v>
      </c>
    </row>
    <row r="3392" spans="1:2" x14ac:dyDescent="0.3">
      <c r="A3392" s="4" t="s">
        <v>5175</v>
      </c>
      <c r="B3392" s="4" t="s">
        <v>5176</v>
      </c>
    </row>
    <row r="3393" spans="1:2" x14ac:dyDescent="0.3">
      <c r="A3393" s="4" t="s">
        <v>9778</v>
      </c>
      <c r="B3393" s="4" t="s">
        <v>9779</v>
      </c>
    </row>
    <row r="3394" spans="1:2" x14ac:dyDescent="0.3">
      <c r="A3394" s="4" t="s">
        <v>9780</v>
      </c>
      <c r="B3394" s="4" t="s">
        <v>9781</v>
      </c>
    </row>
    <row r="3395" spans="1:2" x14ac:dyDescent="0.3">
      <c r="A3395" s="4" t="s">
        <v>9782</v>
      </c>
      <c r="B3395" s="4" t="s">
        <v>9783</v>
      </c>
    </row>
    <row r="3396" spans="1:2" x14ac:dyDescent="0.3">
      <c r="A3396" s="4" t="s">
        <v>9784</v>
      </c>
      <c r="B3396" s="4" t="s">
        <v>9785</v>
      </c>
    </row>
    <row r="3397" spans="1:2" x14ac:dyDescent="0.3">
      <c r="A3397" s="4" t="s">
        <v>5177</v>
      </c>
      <c r="B3397" s="4" t="s">
        <v>5178</v>
      </c>
    </row>
    <row r="3398" spans="1:2" x14ac:dyDescent="0.3">
      <c r="A3398" s="4" t="s">
        <v>5179</v>
      </c>
      <c r="B3398" s="4" t="s">
        <v>5180</v>
      </c>
    </row>
    <row r="3399" spans="1:2" x14ac:dyDescent="0.3">
      <c r="A3399" s="4" t="s">
        <v>12535</v>
      </c>
      <c r="B3399" s="4" t="s">
        <v>12536</v>
      </c>
    </row>
    <row r="3400" spans="1:2" x14ac:dyDescent="0.3">
      <c r="A3400" s="4" t="s">
        <v>5181</v>
      </c>
      <c r="B3400" s="4" t="s">
        <v>5182</v>
      </c>
    </row>
    <row r="3401" spans="1:2" x14ac:dyDescent="0.3">
      <c r="A3401" s="4" t="s">
        <v>5183</v>
      </c>
      <c r="B3401" s="4" t="s">
        <v>5184</v>
      </c>
    </row>
    <row r="3402" spans="1:2" x14ac:dyDescent="0.3">
      <c r="A3402" s="4" t="s">
        <v>9786</v>
      </c>
      <c r="B3402" s="4" t="s">
        <v>9787</v>
      </c>
    </row>
    <row r="3403" spans="1:2" x14ac:dyDescent="0.3">
      <c r="A3403" s="4" t="s">
        <v>9788</v>
      </c>
      <c r="B3403" s="4" t="s">
        <v>9789</v>
      </c>
    </row>
    <row r="3404" spans="1:2" x14ac:dyDescent="0.3">
      <c r="A3404" s="4" t="s">
        <v>9790</v>
      </c>
      <c r="B3404" s="4" t="s">
        <v>9791</v>
      </c>
    </row>
    <row r="3405" spans="1:2" x14ac:dyDescent="0.3">
      <c r="A3405" s="4" t="s">
        <v>9792</v>
      </c>
      <c r="B3405" s="4" t="s">
        <v>9793</v>
      </c>
    </row>
    <row r="3406" spans="1:2" x14ac:dyDescent="0.3">
      <c r="A3406" s="4" t="s">
        <v>5185</v>
      </c>
      <c r="B3406" s="4" t="s">
        <v>5186</v>
      </c>
    </row>
    <row r="3407" spans="1:2" x14ac:dyDescent="0.3">
      <c r="A3407" s="4" t="s">
        <v>9794</v>
      </c>
      <c r="B3407" s="4" t="s">
        <v>9795</v>
      </c>
    </row>
    <row r="3408" spans="1:2" x14ac:dyDescent="0.3">
      <c r="A3408" s="4" t="s">
        <v>9796</v>
      </c>
      <c r="B3408" s="4" t="s">
        <v>5187</v>
      </c>
    </row>
    <row r="3409" spans="1:2" x14ac:dyDescent="0.3">
      <c r="A3409" s="4" t="s">
        <v>9797</v>
      </c>
      <c r="B3409" s="4" t="s">
        <v>9798</v>
      </c>
    </row>
    <row r="3410" spans="1:2" x14ac:dyDescent="0.3">
      <c r="A3410" s="4" t="s">
        <v>5188</v>
      </c>
      <c r="B3410" s="4" t="s">
        <v>5189</v>
      </c>
    </row>
    <row r="3411" spans="1:2" x14ac:dyDescent="0.3">
      <c r="A3411" s="4" t="s">
        <v>5190</v>
      </c>
      <c r="B3411" s="4" t="s">
        <v>8586</v>
      </c>
    </row>
    <row r="3412" spans="1:2" x14ac:dyDescent="0.3">
      <c r="A3412" s="4" t="s">
        <v>9799</v>
      </c>
      <c r="B3412" s="4" t="s">
        <v>9800</v>
      </c>
    </row>
    <row r="3413" spans="1:2" x14ac:dyDescent="0.3">
      <c r="A3413" s="4" t="s">
        <v>9801</v>
      </c>
      <c r="B3413" s="4" t="s">
        <v>9802</v>
      </c>
    </row>
    <row r="3414" spans="1:2" x14ac:dyDescent="0.3">
      <c r="A3414" s="4" t="s">
        <v>9803</v>
      </c>
      <c r="B3414" s="4" t="s">
        <v>9804</v>
      </c>
    </row>
    <row r="3415" spans="1:2" x14ac:dyDescent="0.3">
      <c r="A3415" s="4" t="s">
        <v>5191</v>
      </c>
      <c r="B3415" s="4" t="s">
        <v>5192</v>
      </c>
    </row>
    <row r="3416" spans="1:2" x14ac:dyDescent="0.3">
      <c r="A3416" s="4" t="s">
        <v>5193</v>
      </c>
      <c r="B3416" s="4" t="s">
        <v>5194</v>
      </c>
    </row>
    <row r="3417" spans="1:2" x14ac:dyDescent="0.3">
      <c r="A3417" s="4" t="s">
        <v>5195</v>
      </c>
      <c r="B3417" s="4" t="s">
        <v>5196</v>
      </c>
    </row>
    <row r="3418" spans="1:2" x14ac:dyDescent="0.3">
      <c r="A3418" s="4" t="s">
        <v>5197</v>
      </c>
      <c r="B3418" s="4" t="s">
        <v>5198</v>
      </c>
    </row>
    <row r="3419" spans="1:2" x14ac:dyDescent="0.3">
      <c r="A3419" s="4" t="s">
        <v>5199</v>
      </c>
      <c r="B3419" s="4" t="s">
        <v>5200</v>
      </c>
    </row>
    <row r="3420" spans="1:2" x14ac:dyDescent="0.3">
      <c r="A3420" s="4" t="s">
        <v>5201</v>
      </c>
      <c r="B3420" s="4" t="s">
        <v>5202</v>
      </c>
    </row>
    <row r="3421" spans="1:2" x14ac:dyDescent="0.3">
      <c r="A3421" s="4" t="s">
        <v>12537</v>
      </c>
      <c r="B3421" s="4" t="s">
        <v>12538</v>
      </c>
    </row>
    <row r="3422" spans="1:2" x14ac:dyDescent="0.3">
      <c r="A3422" s="4" t="s">
        <v>12539</v>
      </c>
      <c r="B3422" s="4" t="s">
        <v>12540</v>
      </c>
    </row>
    <row r="3423" spans="1:2" x14ac:dyDescent="0.3">
      <c r="A3423" s="4" t="s">
        <v>9805</v>
      </c>
      <c r="B3423" s="4" t="s">
        <v>9806</v>
      </c>
    </row>
    <row r="3424" spans="1:2" x14ac:dyDescent="0.3">
      <c r="A3424" s="4" t="s">
        <v>5203</v>
      </c>
      <c r="B3424" s="4" t="s">
        <v>5204</v>
      </c>
    </row>
    <row r="3425" spans="1:2" x14ac:dyDescent="0.3">
      <c r="A3425" s="4" t="s">
        <v>9807</v>
      </c>
      <c r="B3425" s="4" t="s">
        <v>9808</v>
      </c>
    </row>
    <row r="3426" spans="1:2" x14ac:dyDescent="0.3">
      <c r="A3426" s="4" t="s">
        <v>9809</v>
      </c>
      <c r="B3426" s="4" t="s">
        <v>9810</v>
      </c>
    </row>
    <row r="3427" spans="1:2" x14ac:dyDescent="0.3">
      <c r="A3427" s="4" t="s">
        <v>5205</v>
      </c>
      <c r="B3427" s="4" t="s">
        <v>5206</v>
      </c>
    </row>
    <row r="3428" spans="1:2" x14ac:dyDescent="0.3">
      <c r="A3428" s="4" t="s">
        <v>5207</v>
      </c>
      <c r="B3428" s="4" t="s">
        <v>5208</v>
      </c>
    </row>
    <row r="3429" spans="1:2" x14ac:dyDescent="0.3">
      <c r="A3429" s="4" t="s">
        <v>9811</v>
      </c>
      <c r="B3429" s="4" t="s">
        <v>9812</v>
      </c>
    </row>
    <row r="3430" spans="1:2" x14ac:dyDescent="0.3">
      <c r="A3430" s="4" t="s">
        <v>5209</v>
      </c>
      <c r="B3430" s="4" t="s">
        <v>5210</v>
      </c>
    </row>
    <row r="3431" spans="1:2" x14ac:dyDescent="0.3">
      <c r="A3431" s="4" t="s">
        <v>9813</v>
      </c>
      <c r="B3431" s="4" t="s">
        <v>9814</v>
      </c>
    </row>
    <row r="3432" spans="1:2" x14ac:dyDescent="0.3">
      <c r="A3432" s="4" t="s">
        <v>5778</v>
      </c>
      <c r="B3432" s="4" t="s">
        <v>9815</v>
      </c>
    </row>
    <row r="3433" spans="1:2" x14ac:dyDescent="0.3">
      <c r="A3433" s="4" t="s">
        <v>5211</v>
      </c>
      <c r="B3433" s="4" t="s">
        <v>5212</v>
      </c>
    </row>
    <row r="3434" spans="1:2" x14ac:dyDescent="0.3">
      <c r="A3434" s="4" t="s">
        <v>5213</v>
      </c>
      <c r="B3434" s="4" t="s">
        <v>5214</v>
      </c>
    </row>
    <row r="3435" spans="1:2" x14ac:dyDescent="0.3">
      <c r="A3435" s="4" t="s">
        <v>5215</v>
      </c>
      <c r="B3435" s="4" t="s">
        <v>5216</v>
      </c>
    </row>
    <row r="3436" spans="1:2" x14ac:dyDescent="0.3">
      <c r="A3436" s="4" t="s">
        <v>5217</v>
      </c>
      <c r="B3436" s="4" t="s">
        <v>5218</v>
      </c>
    </row>
    <row r="3437" spans="1:2" x14ac:dyDescent="0.3">
      <c r="A3437" s="4" t="s">
        <v>9816</v>
      </c>
      <c r="B3437" s="4" t="s">
        <v>8741</v>
      </c>
    </row>
    <row r="3438" spans="1:2" x14ac:dyDescent="0.3">
      <c r="A3438" s="4" t="s">
        <v>9817</v>
      </c>
      <c r="B3438" s="4" t="s">
        <v>9818</v>
      </c>
    </row>
    <row r="3439" spans="1:2" x14ac:dyDescent="0.3">
      <c r="A3439" s="4" t="s">
        <v>5220</v>
      </c>
      <c r="B3439" s="4" t="s">
        <v>5221</v>
      </c>
    </row>
    <row r="3440" spans="1:2" x14ac:dyDescent="0.3">
      <c r="A3440" s="4" t="s">
        <v>5222</v>
      </c>
      <c r="B3440" s="4" t="s">
        <v>5223</v>
      </c>
    </row>
    <row r="3441" spans="1:2" x14ac:dyDescent="0.3">
      <c r="A3441" s="4" t="s">
        <v>9819</v>
      </c>
      <c r="B3441" s="4" t="s">
        <v>9820</v>
      </c>
    </row>
    <row r="3442" spans="1:2" x14ac:dyDescent="0.3">
      <c r="A3442" s="4" t="s">
        <v>12541</v>
      </c>
      <c r="B3442" s="4" t="s">
        <v>12542</v>
      </c>
    </row>
    <row r="3443" spans="1:2" x14ac:dyDescent="0.3">
      <c r="A3443" s="4" t="s">
        <v>5224</v>
      </c>
      <c r="B3443" s="4" t="s">
        <v>5225</v>
      </c>
    </row>
    <row r="3444" spans="1:2" x14ac:dyDescent="0.3">
      <c r="A3444" s="4" t="s">
        <v>5226</v>
      </c>
      <c r="B3444" s="4" t="s">
        <v>5227</v>
      </c>
    </row>
    <row r="3445" spans="1:2" x14ac:dyDescent="0.3">
      <c r="A3445" s="4" t="s">
        <v>5228</v>
      </c>
      <c r="B3445" s="4" t="s">
        <v>9821</v>
      </c>
    </row>
    <row r="3446" spans="1:2" x14ac:dyDescent="0.3">
      <c r="A3446" s="4" t="s">
        <v>9822</v>
      </c>
      <c r="B3446" s="4" t="s">
        <v>9823</v>
      </c>
    </row>
    <row r="3447" spans="1:2" x14ac:dyDescent="0.3">
      <c r="A3447" s="4" t="s">
        <v>9824</v>
      </c>
      <c r="B3447" s="4" t="s">
        <v>9825</v>
      </c>
    </row>
    <row r="3448" spans="1:2" x14ac:dyDescent="0.3">
      <c r="A3448" s="4" t="s">
        <v>9826</v>
      </c>
      <c r="B3448" s="4" t="s">
        <v>9827</v>
      </c>
    </row>
    <row r="3449" spans="1:2" x14ac:dyDescent="0.3">
      <c r="A3449" s="4" t="s">
        <v>5229</v>
      </c>
      <c r="B3449" s="4" t="s">
        <v>5230</v>
      </c>
    </row>
    <row r="3450" spans="1:2" x14ac:dyDescent="0.3">
      <c r="A3450" s="4" t="s">
        <v>9828</v>
      </c>
      <c r="B3450" s="4" t="s">
        <v>9829</v>
      </c>
    </row>
    <row r="3451" spans="1:2" x14ac:dyDescent="0.3">
      <c r="A3451" s="4" t="s">
        <v>5231</v>
      </c>
      <c r="B3451" s="4" t="s">
        <v>5232</v>
      </c>
    </row>
    <row r="3452" spans="1:2" x14ac:dyDescent="0.3">
      <c r="A3452" s="4" t="s">
        <v>9830</v>
      </c>
      <c r="B3452" s="4" t="s">
        <v>9831</v>
      </c>
    </row>
    <row r="3453" spans="1:2" x14ac:dyDescent="0.3">
      <c r="A3453" s="4" t="s">
        <v>5233</v>
      </c>
      <c r="B3453" s="4" t="s">
        <v>5234</v>
      </c>
    </row>
    <row r="3454" spans="1:2" x14ac:dyDescent="0.3">
      <c r="A3454" s="4" t="s">
        <v>9832</v>
      </c>
      <c r="B3454" s="4" t="s">
        <v>9833</v>
      </c>
    </row>
    <row r="3455" spans="1:2" x14ac:dyDescent="0.3">
      <c r="A3455" s="4" t="s">
        <v>9834</v>
      </c>
      <c r="B3455" s="4" t="s">
        <v>9835</v>
      </c>
    </row>
    <row r="3456" spans="1:2" x14ac:dyDescent="0.3">
      <c r="A3456" s="4" t="s">
        <v>9836</v>
      </c>
      <c r="B3456" s="4" t="s">
        <v>9837</v>
      </c>
    </row>
    <row r="3457" spans="1:2" x14ac:dyDescent="0.3">
      <c r="A3457" s="4" t="s">
        <v>5235</v>
      </c>
      <c r="B3457" s="4" t="s">
        <v>5236</v>
      </c>
    </row>
    <row r="3458" spans="1:2" x14ac:dyDescent="0.3">
      <c r="A3458" s="4" t="s">
        <v>5237</v>
      </c>
      <c r="B3458" s="4" t="s">
        <v>5238</v>
      </c>
    </row>
    <row r="3459" spans="1:2" x14ac:dyDescent="0.3">
      <c r="A3459" s="4" t="s">
        <v>7987</v>
      </c>
      <c r="B3459" s="4" t="s">
        <v>9838</v>
      </c>
    </row>
    <row r="3460" spans="1:2" x14ac:dyDescent="0.3">
      <c r="A3460" s="4" t="s">
        <v>9839</v>
      </c>
      <c r="B3460" s="4" t="s">
        <v>9840</v>
      </c>
    </row>
    <row r="3461" spans="1:2" x14ac:dyDescent="0.3">
      <c r="A3461" s="4" t="s">
        <v>12543</v>
      </c>
      <c r="B3461" s="4" t="s">
        <v>12544</v>
      </c>
    </row>
    <row r="3462" spans="1:2" x14ac:dyDescent="0.3">
      <c r="A3462" s="4" t="s">
        <v>5239</v>
      </c>
      <c r="B3462" s="4" t="s">
        <v>5240</v>
      </c>
    </row>
    <row r="3463" spans="1:2" x14ac:dyDescent="0.3">
      <c r="A3463" s="4" t="s">
        <v>5241</v>
      </c>
      <c r="B3463" s="4" t="s">
        <v>5242</v>
      </c>
    </row>
    <row r="3464" spans="1:2" x14ac:dyDescent="0.3">
      <c r="A3464" s="4" t="s">
        <v>12545</v>
      </c>
      <c r="B3464" s="4" t="s">
        <v>12264</v>
      </c>
    </row>
    <row r="3465" spans="1:2" x14ac:dyDescent="0.3">
      <c r="A3465" s="4" t="s">
        <v>5243</v>
      </c>
      <c r="B3465" s="4" t="s">
        <v>5244</v>
      </c>
    </row>
    <row r="3466" spans="1:2" x14ac:dyDescent="0.3">
      <c r="A3466" s="4" t="s">
        <v>9841</v>
      </c>
      <c r="B3466" s="4" t="s">
        <v>9842</v>
      </c>
    </row>
    <row r="3467" spans="1:2" x14ac:dyDescent="0.3">
      <c r="A3467" s="4" t="s">
        <v>5245</v>
      </c>
      <c r="B3467" s="4" t="s">
        <v>5246</v>
      </c>
    </row>
    <row r="3468" spans="1:2" x14ac:dyDescent="0.3">
      <c r="A3468" s="4" t="s">
        <v>9843</v>
      </c>
      <c r="B3468" s="4" t="s">
        <v>9844</v>
      </c>
    </row>
    <row r="3469" spans="1:2" x14ac:dyDescent="0.3">
      <c r="A3469" s="4" t="s">
        <v>12546</v>
      </c>
      <c r="B3469" s="4" t="s">
        <v>12547</v>
      </c>
    </row>
    <row r="3470" spans="1:2" x14ac:dyDescent="0.3">
      <c r="A3470" s="4" t="s">
        <v>9845</v>
      </c>
      <c r="B3470" s="4" t="s">
        <v>9846</v>
      </c>
    </row>
    <row r="3471" spans="1:2" x14ac:dyDescent="0.3">
      <c r="A3471" s="4" t="s">
        <v>9847</v>
      </c>
      <c r="B3471" s="4" t="s">
        <v>9848</v>
      </c>
    </row>
    <row r="3472" spans="1:2" x14ac:dyDescent="0.3">
      <c r="A3472" s="4" t="s">
        <v>9849</v>
      </c>
      <c r="B3472" s="4" t="s">
        <v>9850</v>
      </c>
    </row>
    <row r="3473" spans="1:2" x14ac:dyDescent="0.3">
      <c r="A3473" s="4" t="s">
        <v>12548</v>
      </c>
      <c r="B3473" s="4" t="s">
        <v>12549</v>
      </c>
    </row>
    <row r="3474" spans="1:2" x14ac:dyDescent="0.3">
      <c r="A3474" s="4" t="s">
        <v>5247</v>
      </c>
      <c r="B3474" s="4" t="s">
        <v>5248</v>
      </c>
    </row>
    <row r="3475" spans="1:2" x14ac:dyDescent="0.3">
      <c r="A3475" s="4" t="s">
        <v>5249</v>
      </c>
      <c r="B3475" s="4" t="s">
        <v>5250</v>
      </c>
    </row>
    <row r="3476" spans="1:2" x14ac:dyDescent="0.3">
      <c r="A3476" s="4" t="s">
        <v>5251</v>
      </c>
      <c r="B3476" s="4" t="s">
        <v>5252</v>
      </c>
    </row>
    <row r="3477" spans="1:2" x14ac:dyDescent="0.3">
      <c r="A3477" s="4" t="s">
        <v>7335</v>
      </c>
      <c r="B3477" s="4" t="s">
        <v>9851</v>
      </c>
    </row>
    <row r="3478" spans="1:2" x14ac:dyDescent="0.3">
      <c r="A3478" s="4" t="s">
        <v>12550</v>
      </c>
      <c r="B3478" s="4" t="s">
        <v>12551</v>
      </c>
    </row>
    <row r="3479" spans="1:2" x14ac:dyDescent="0.3">
      <c r="A3479" s="4" t="s">
        <v>9852</v>
      </c>
      <c r="B3479" s="4" t="s">
        <v>9853</v>
      </c>
    </row>
    <row r="3480" spans="1:2" x14ac:dyDescent="0.3">
      <c r="A3480" s="4" t="s">
        <v>9854</v>
      </c>
      <c r="B3480" s="4" t="s">
        <v>9855</v>
      </c>
    </row>
    <row r="3481" spans="1:2" x14ac:dyDescent="0.3">
      <c r="A3481" s="4" t="s">
        <v>9856</v>
      </c>
      <c r="B3481" s="4" t="s">
        <v>9857</v>
      </c>
    </row>
    <row r="3482" spans="1:2" x14ac:dyDescent="0.3">
      <c r="A3482" s="4" t="s">
        <v>9858</v>
      </c>
      <c r="B3482" s="4" t="s">
        <v>9859</v>
      </c>
    </row>
    <row r="3483" spans="1:2" x14ac:dyDescent="0.3">
      <c r="A3483" s="4" t="s">
        <v>12552</v>
      </c>
      <c r="B3483" s="4" t="s">
        <v>12553</v>
      </c>
    </row>
    <row r="3484" spans="1:2" x14ac:dyDescent="0.3">
      <c r="A3484" s="4" t="s">
        <v>5254</v>
      </c>
      <c r="B3484" s="4" t="s">
        <v>5255</v>
      </c>
    </row>
    <row r="3485" spans="1:2" x14ac:dyDescent="0.3">
      <c r="A3485" s="4" t="s">
        <v>5256</v>
      </c>
      <c r="B3485" s="4" t="s">
        <v>5257</v>
      </c>
    </row>
    <row r="3486" spans="1:2" x14ac:dyDescent="0.3">
      <c r="A3486" s="4" t="s">
        <v>5258</v>
      </c>
      <c r="B3486" s="4" t="s">
        <v>5259</v>
      </c>
    </row>
    <row r="3487" spans="1:2" x14ac:dyDescent="0.3">
      <c r="A3487" s="4" t="s">
        <v>9860</v>
      </c>
      <c r="B3487" s="4" t="s">
        <v>9861</v>
      </c>
    </row>
    <row r="3488" spans="1:2" x14ac:dyDescent="0.3">
      <c r="A3488" s="4" t="s">
        <v>9862</v>
      </c>
      <c r="B3488" s="4" t="s">
        <v>9863</v>
      </c>
    </row>
    <row r="3489" spans="1:2" x14ac:dyDescent="0.3">
      <c r="A3489" s="4" t="s">
        <v>9864</v>
      </c>
      <c r="B3489" s="4" t="s">
        <v>9865</v>
      </c>
    </row>
    <row r="3490" spans="1:2" x14ac:dyDescent="0.3">
      <c r="A3490" s="4" t="s">
        <v>5260</v>
      </c>
      <c r="B3490" s="4" t="s">
        <v>5261</v>
      </c>
    </row>
    <row r="3491" spans="1:2" x14ac:dyDescent="0.3">
      <c r="A3491" s="4" t="s">
        <v>9866</v>
      </c>
      <c r="B3491" s="4" t="s">
        <v>9867</v>
      </c>
    </row>
    <row r="3492" spans="1:2" x14ac:dyDescent="0.3">
      <c r="A3492" s="4" t="s">
        <v>5262</v>
      </c>
      <c r="B3492" s="4" t="s">
        <v>5263</v>
      </c>
    </row>
    <row r="3493" spans="1:2" x14ac:dyDescent="0.3">
      <c r="A3493" s="4" t="s">
        <v>4700</v>
      </c>
      <c r="B3493" s="4" t="s">
        <v>8750</v>
      </c>
    </row>
    <row r="3494" spans="1:2" x14ac:dyDescent="0.3">
      <c r="A3494" s="4" t="s">
        <v>9868</v>
      </c>
      <c r="B3494" s="4" t="s">
        <v>9869</v>
      </c>
    </row>
    <row r="3495" spans="1:2" x14ac:dyDescent="0.3">
      <c r="A3495" s="4" t="s">
        <v>5264</v>
      </c>
      <c r="B3495" s="4" t="s">
        <v>5265</v>
      </c>
    </row>
    <row r="3496" spans="1:2" x14ac:dyDescent="0.3">
      <c r="A3496" s="4" t="s">
        <v>9870</v>
      </c>
      <c r="B3496" s="4" t="s">
        <v>9871</v>
      </c>
    </row>
    <row r="3497" spans="1:2" x14ac:dyDescent="0.3">
      <c r="A3497" s="4" t="s">
        <v>9872</v>
      </c>
      <c r="B3497" s="4" t="s">
        <v>9873</v>
      </c>
    </row>
    <row r="3498" spans="1:2" x14ac:dyDescent="0.3">
      <c r="A3498" s="4" t="s">
        <v>9874</v>
      </c>
      <c r="B3498" s="4" t="s">
        <v>1273</v>
      </c>
    </row>
    <row r="3499" spans="1:2" x14ac:dyDescent="0.3">
      <c r="A3499" s="4" t="s">
        <v>9875</v>
      </c>
      <c r="B3499" s="4" t="s">
        <v>9876</v>
      </c>
    </row>
    <row r="3500" spans="1:2" x14ac:dyDescent="0.3">
      <c r="A3500" s="4" t="s">
        <v>9877</v>
      </c>
      <c r="B3500" s="4" t="s">
        <v>8753</v>
      </c>
    </row>
    <row r="3501" spans="1:2" x14ac:dyDescent="0.3">
      <c r="A3501" s="4" t="s">
        <v>9878</v>
      </c>
      <c r="B3501" s="4" t="s">
        <v>9879</v>
      </c>
    </row>
    <row r="3502" spans="1:2" x14ac:dyDescent="0.3">
      <c r="A3502" s="4" t="s">
        <v>5266</v>
      </c>
      <c r="B3502" s="4" t="s">
        <v>5267</v>
      </c>
    </row>
    <row r="3503" spans="1:2" x14ac:dyDescent="0.3">
      <c r="A3503" s="4" t="s">
        <v>9880</v>
      </c>
      <c r="B3503" s="4" t="s">
        <v>9881</v>
      </c>
    </row>
    <row r="3504" spans="1:2" x14ac:dyDescent="0.3">
      <c r="A3504" s="4" t="s">
        <v>9882</v>
      </c>
      <c r="B3504" s="4" t="s">
        <v>9883</v>
      </c>
    </row>
    <row r="3505" spans="1:2" x14ac:dyDescent="0.3">
      <c r="A3505" s="4" t="s">
        <v>9884</v>
      </c>
      <c r="B3505" s="4" t="s">
        <v>9885</v>
      </c>
    </row>
    <row r="3506" spans="1:2" x14ac:dyDescent="0.3">
      <c r="A3506" s="4" t="s">
        <v>9886</v>
      </c>
      <c r="B3506" s="4" t="s">
        <v>9887</v>
      </c>
    </row>
    <row r="3507" spans="1:2" x14ac:dyDescent="0.3">
      <c r="A3507" s="4" t="s">
        <v>5269</v>
      </c>
      <c r="B3507" s="4" t="s">
        <v>5270</v>
      </c>
    </row>
    <row r="3508" spans="1:2" x14ac:dyDescent="0.3">
      <c r="A3508" s="4" t="s">
        <v>5271</v>
      </c>
      <c r="B3508" s="4" t="s">
        <v>5272</v>
      </c>
    </row>
    <row r="3509" spans="1:2" x14ac:dyDescent="0.3">
      <c r="A3509" s="4" t="s">
        <v>9888</v>
      </c>
      <c r="B3509" s="4" t="s">
        <v>9889</v>
      </c>
    </row>
    <row r="3510" spans="1:2" x14ac:dyDescent="0.3">
      <c r="A3510" s="4" t="s">
        <v>5273</v>
      </c>
      <c r="B3510" s="4" t="s">
        <v>5274</v>
      </c>
    </row>
    <row r="3511" spans="1:2" x14ac:dyDescent="0.3">
      <c r="A3511" s="4" t="s">
        <v>5275</v>
      </c>
      <c r="B3511" s="4" t="s">
        <v>5276</v>
      </c>
    </row>
    <row r="3512" spans="1:2" x14ac:dyDescent="0.3">
      <c r="A3512" s="4" t="s">
        <v>9890</v>
      </c>
      <c r="B3512" s="4" t="s">
        <v>9891</v>
      </c>
    </row>
    <row r="3513" spans="1:2" x14ac:dyDescent="0.3">
      <c r="A3513" s="4" t="s">
        <v>9892</v>
      </c>
      <c r="B3513" s="4" t="s">
        <v>9893</v>
      </c>
    </row>
    <row r="3514" spans="1:2" x14ac:dyDescent="0.3">
      <c r="A3514" s="4" t="s">
        <v>5277</v>
      </c>
      <c r="B3514" s="4" t="s">
        <v>5278</v>
      </c>
    </row>
    <row r="3515" spans="1:2" x14ac:dyDescent="0.3">
      <c r="A3515" s="4" t="s">
        <v>5281</v>
      </c>
      <c r="B3515" s="4" t="s">
        <v>9894</v>
      </c>
    </row>
    <row r="3516" spans="1:2" x14ac:dyDescent="0.3">
      <c r="A3516" s="4" t="s">
        <v>5279</v>
      </c>
      <c r="B3516" s="4" t="s">
        <v>5280</v>
      </c>
    </row>
    <row r="3517" spans="1:2" x14ac:dyDescent="0.3">
      <c r="A3517" s="4" t="s">
        <v>9895</v>
      </c>
      <c r="B3517" s="4" t="s">
        <v>8758</v>
      </c>
    </row>
    <row r="3518" spans="1:2" x14ac:dyDescent="0.3">
      <c r="A3518" s="4" t="s">
        <v>9896</v>
      </c>
      <c r="B3518" s="4" t="s">
        <v>9897</v>
      </c>
    </row>
    <row r="3519" spans="1:2" x14ac:dyDescent="0.3">
      <c r="A3519" s="4" t="s">
        <v>5282</v>
      </c>
      <c r="B3519" s="4" t="s">
        <v>5283</v>
      </c>
    </row>
    <row r="3520" spans="1:2" x14ac:dyDescent="0.3">
      <c r="A3520" s="4" t="s">
        <v>9898</v>
      </c>
      <c r="B3520" s="4" t="s">
        <v>9899</v>
      </c>
    </row>
    <row r="3521" spans="1:2" x14ac:dyDescent="0.3">
      <c r="A3521" s="4" t="s">
        <v>5284</v>
      </c>
      <c r="B3521" s="4" t="s">
        <v>5285</v>
      </c>
    </row>
    <row r="3522" spans="1:2" x14ac:dyDescent="0.3">
      <c r="A3522" s="4" t="s">
        <v>9900</v>
      </c>
      <c r="B3522" s="4" t="s">
        <v>9901</v>
      </c>
    </row>
    <row r="3523" spans="1:2" x14ac:dyDescent="0.3">
      <c r="A3523" s="4" t="s">
        <v>9902</v>
      </c>
      <c r="B3523" s="4" t="s">
        <v>9903</v>
      </c>
    </row>
    <row r="3524" spans="1:2" x14ac:dyDescent="0.3">
      <c r="A3524" s="4" t="s">
        <v>5286</v>
      </c>
      <c r="B3524" s="4" t="s">
        <v>5287</v>
      </c>
    </row>
    <row r="3525" spans="1:2" x14ac:dyDescent="0.3">
      <c r="A3525" s="4" t="s">
        <v>9904</v>
      </c>
      <c r="B3525" s="4" t="s">
        <v>9905</v>
      </c>
    </row>
    <row r="3526" spans="1:2" x14ac:dyDescent="0.3">
      <c r="A3526" s="4" t="s">
        <v>9906</v>
      </c>
      <c r="B3526" s="4" t="s">
        <v>9907</v>
      </c>
    </row>
    <row r="3527" spans="1:2" x14ac:dyDescent="0.3">
      <c r="A3527" s="4" t="s">
        <v>12554</v>
      </c>
      <c r="B3527" s="4" t="s">
        <v>8760</v>
      </c>
    </row>
    <row r="3528" spans="1:2" x14ac:dyDescent="0.3">
      <c r="A3528" s="4" t="s">
        <v>5288</v>
      </c>
      <c r="B3528" s="4" t="s">
        <v>5289</v>
      </c>
    </row>
    <row r="3529" spans="1:2" x14ac:dyDescent="0.3">
      <c r="A3529" s="4" t="s">
        <v>9908</v>
      </c>
      <c r="B3529" s="4" t="s">
        <v>9909</v>
      </c>
    </row>
    <row r="3530" spans="1:2" x14ac:dyDescent="0.3">
      <c r="A3530" s="4" t="s">
        <v>7522</v>
      </c>
      <c r="B3530" s="4" t="s">
        <v>9910</v>
      </c>
    </row>
    <row r="3531" spans="1:2" x14ac:dyDescent="0.3">
      <c r="A3531" s="4" t="s">
        <v>9911</v>
      </c>
      <c r="B3531" s="4" t="s">
        <v>9912</v>
      </c>
    </row>
    <row r="3532" spans="1:2" x14ac:dyDescent="0.3">
      <c r="A3532" s="4" t="s">
        <v>5290</v>
      </c>
      <c r="B3532" s="4" t="s">
        <v>5291</v>
      </c>
    </row>
    <row r="3533" spans="1:2" x14ac:dyDescent="0.3">
      <c r="A3533" s="4" t="s">
        <v>9913</v>
      </c>
      <c r="B3533" s="4" t="s">
        <v>9914</v>
      </c>
    </row>
    <row r="3534" spans="1:2" x14ac:dyDescent="0.3">
      <c r="A3534" s="4" t="s">
        <v>9915</v>
      </c>
      <c r="B3534" s="4" t="s">
        <v>9916</v>
      </c>
    </row>
    <row r="3535" spans="1:2" x14ac:dyDescent="0.3">
      <c r="A3535" s="4" t="s">
        <v>5292</v>
      </c>
      <c r="B3535" s="4" t="s">
        <v>5293</v>
      </c>
    </row>
    <row r="3536" spans="1:2" x14ac:dyDescent="0.3">
      <c r="A3536" s="4" t="s">
        <v>9917</v>
      </c>
      <c r="B3536" s="4" t="s">
        <v>9918</v>
      </c>
    </row>
    <row r="3537" spans="1:2" x14ac:dyDescent="0.3">
      <c r="A3537" s="4" t="s">
        <v>5294</v>
      </c>
      <c r="B3537" s="4" t="s">
        <v>5295</v>
      </c>
    </row>
    <row r="3538" spans="1:2" x14ac:dyDescent="0.3">
      <c r="A3538" s="4" t="s">
        <v>9919</v>
      </c>
      <c r="B3538" s="4" t="s">
        <v>9920</v>
      </c>
    </row>
    <row r="3539" spans="1:2" x14ac:dyDescent="0.3">
      <c r="A3539" s="4" t="s">
        <v>9921</v>
      </c>
      <c r="B3539" s="4" t="s">
        <v>9922</v>
      </c>
    </row>
    <row r="3540" spans="1:2" x14ac:dyDescent="0.3">
      <c r="A3540" s="4" t="s">
        <v>5296</v>
      </c>
      <c r="B3540" s="4" t="s">
        <v>5297</v>
      </c>
    </row>
    <row r="3541" spans="1:2" x14ac:dyDescent="0.3">
      <c r="A3541" s="4" t="s">
        <v>5298</v>
      </c>
      <c r="B3541" s="4" t="s">
        <v>5299</v>
      </c>
    </row>
    <row r="3542" spans="1:2" x14ac:dyDescent="0.3">
      <c r="A3542" s="4" t="s">
        <v>5300</v>
      </c>
      <c r="B3542" s="4" t="s">
        <v>5301</v>
      </c>
    </row>
    <row r="3543" spans="1:2" x14ac:dyDescent="0.3">
      <c r="A3543" s="4" t="s">
        <v>5302</v>
      </c>
      <c r="B3543" s="4" t="s">
        <v>5303</v>
      </c>
    </row>
    <row r="3544" spans="1:2" x14ac:dyDescent="0.3">
      <c r="A3544" s="4" t="s">
        <v>9923</v>
      </c>
      <c r="B3544" s="4" t="s">
        <v>9924</v>
      </c>
    </row>
    <row r="3545" spans="1:2" x14ac:dyDescent="0.3">
      <c r="A3545" s="4" t="s">
        <v>9925</v>
      </c>
      <c r="B3545" s="4" t="s">
        <v>9926</v>
      </c>
    </row>
    <row r="3546" spans="1:2" x14ac:dyDescent="0.3">
      <c r="A3546" s="4" t="s">
        <v>5304</v>
      </c>
      <c r="B3546" s="4" t="s">
        <v>5305</v>
      </c>
    </row>
    <row r="3547" spans="1:2" x14ac:dyDescent="0.3">
      <c r="A3547" s="4" t="s">
        <v>9927</v>
      </c>
      <c r="B3547" s="4" t="s">
        <v>9928</v>
      </c>
    </row>
    <row r="3548" spans="1:2" x14ac:dyDescent="0.3">
      <c r="A3548" s="4" t="s">
        <v>5306</v>
      </c>
      <c r="B3548" s="4" t="s">
        <v>5307</v>
      </c>
    </row>
    <row r="3549" spans="1:2" x14ac:dyDescent="0.3">
      <c r="A3549" s="4" t="s">
        <v>5308</v>
      </c>
      <c r="B3549" s="4" t="s">
        <v>5309</v>
      </c>
    </row>
    <row r="3550" spans="1:2" x14ac:dyDescent="0.3">
      <c r="A3550" s="4" t="s">
        <v>9929</v>
      </c>
      <c r="B3550" s="4" t="s">
        <v>9930</v>
      </c>
    </row>
    <row r="3551" spans="1:2" x14ac:dyDescent="0.3">
      <c r="A3551" s="4" t="s">
        <v>5310</v>
      </c>
      <c r="B3551" s="4" t="s">
        <v>5311</v>
      </c>
    </row>
    <row r="3552" spans="1:2" x14ac:dyDescent="0.3">
      <c r="A3552" s="4" t="s">
        <v>9931</v>
      </c>
      <c r="B3552" s="4" t="s">
        <v>9932</v>
      </c>
    </row>
    <row r="3553" spans="1:2" x14ac:dyDescent="0.3">
      <c r="A3553" s="4" t="s">
        <v>5312</v>
      </c>
      <c r="B3553" s="4" t="s">
        <v>5313</v>
      </c>
    </row>
    <row r="3554" spans="1:2" x14ac:dyDescent="0.3">
      <c r="A3554" s="4" t="s">
        <v>9933</v>
      </c>
      <c r="B3554" s="4" t="s">
        <v>9934</v>
      </c>
    </row>
    <row r="3555" spans="1:2" x14ac:dyDescent="0.3">
      <c r="A3555" s="4" t="s">
        <v>9935</v>
      </c>
      <c r="B3555" s="4" t="s">
        <v>9936</v>
      </c>
    </row>
    <row r="3556" spans="1:2" x14ac:dyDescent="0.3">
      <c r="A3556" s="4" t="s">
        <v>4237</v>
      </c>
      <c r="B3556" s="4" t="s">
        <v>9937</v>
      </c>
    </row>
    <row r="3557" spans="1:2" x14ac:dyDescent="0.3">
      <c r="A3557" s="4" t="s">
        <v>9938</v>
      </c>
      <c r="B3557" s="4" t="s">
        <v>9939</v>
      </c>
    </row>
    <row r="3558" spans="1:2" x14ac:dyDescent="0.3">
      <c r="A3558" s="4" t="s">
        <v>5315</v>
      </c>
      <c r="B3558" s="4" t="s">
        <v>5316</v>
      </c>
    </row>
    <row r="3559" spans="1:2" x14ac:dyDescent="0.3">
      <c r="A3559" s="4" t="s">
        <v>5317</v>
      </c>
      <c r="B3559" s="4" t="s">
        <v>5318</v>
      </c>
    </row>
    <row r="3560" spans="1:2" x14ac:dyDescent="0.3">
      <c r="A3560" s="4" t="s">
        <v>5319</v>
      </c>
      <c r="B3560" s="4" t="s">
        <v>5320</v>
      </c>
    </row>
    <row r="3561" spans="1:2" x14ac:dyDescent="0.3">
      <c r="A3561" s="4" t="s">
        <v>5321</v>
      </c>
      <c r="B3561" s="4" t="s">
        <v>5322</v>
      </c>
    </row>
    <row r="3562" spans="1:2" x14ac:dyDescent="0.3">
      <c r="A3562" s="4" t="s">
        <v>9940</v>
      </c>
      <c r="B3562" s="4" t="s">
        <v>9941</v>
      </c>
    </row>
    <row r="3563" spans="1:2" x14ac:dyDescent="0.3">
      <c r="A3563" s="4" t="s">
        <v>5323</v>
      </c>
      <c r="B3563" s="4" t="s">
        <v>5324</v>
      </c>
    </row>
    <row r="3564" spans="1:2" x14ac:dyDescent="0.3">
      <c r="A3564" s="4" t="s">
        <v>5325</v>
      </c>
      <c r="B3564" s="4" t="s">
        <v>5326</v>
      </c>
    </row>
    <row r="3565" spans="1:2" x14ac:dyDescent="0.3">
      <c r="A3565" s="4" t="s">
        <v>9942</v>
      </c>
      <c r="B3565" s="4" t="s">
        <v>9943</v>
      </c>
    </row>
    <row r="3566" spans="1:2" x14ac:dyDescent="0.3">
      <c r="A3566" s="4" t="s">
        <v>5327</v>
      </c>
      <c r="B3566" s="4" t="s">
        <v>5328</v>
      </c>
    </row>
    <row r="3567" spans="1:2" x14ac:dyDescent="0.3">
      <c r="A3567" s="4" t="s">
        <v>9944</v>
      </c>
      <c r="B3567" s="4" t="s">
        <v>9945</v>
      </c>
    </row>
    <row r="3568" spans="1:2" x14ac:dyDescent="0.3">
      <c r="A3568" s="4" t="s">
        <v>5329</v>
      </c>
      <c r="B3568" s="4" t="s">
        <v>5330</v>
      </c>
    </row>
    <row r="3569" spans="1:2" x14ac:dyDescent="0.3">
      <c r="A3569" s="4" t="s">
        <v>5331</v>
      </c>
      <c r="B3569" s="4" t="s">
        <v>5332</v>
      </c>
    </row>
    <row r="3570" spans="1:2" x14ac:dyDescent="0.3">
      <c r="A3570" s="4" t="s">
        <v>9946</v>
      </c>
      <c r="B3570" s="4" t="s">
        <v>8767</v>
      </c>
    </row>
    <row r="3571" spans="1:2" x14ac:dyDescent="0.3">
      <c r="A3571" s="4" t="s">
        <v>5333</v>
      </c>
      <c r="B3571" s="4" t="s">
        <v>5334</v>
      </c>
    </row>
    <row r="3572" spans="1:2" x14ac:dyDescent="0.3">
      <c r="A3572" s="4" t="s">
        <v>9947</v>
      </c>
      <c r="B3572" s="4" t="s">
        <v>9948</v>
      </c>
    </row>
    <row r="3573" spans="1:2" x14ac:dyDescent="0.3">
      <c r="A3573" s="4" t="s">
        <v>9949</v>
      </c>
      <c r="B3573" s="4" t="s">
        <v>9950</v>
      </c>
    </row>
    <row r="3574" spans="1:2" x14ac:dyDescent="0.3">
      <c r="A3574" s="4" t="s">
        <v>5335</v>
      </c>
      <c r="B3574" s="4" t="s">
        <v>5336</v>
      </c>
    </row>
    <row r="3575" spans="1:2" x14ac:dyDescent="0.3">
      <c r="A3575" s="4" t="s">
        <v>9951</v>
      </c>
      <c r="B3575" s="4" t="s">
        <v>9952</v>
      </c>
    </row>
    <row r="3576" spans="1:2" x14ac:dyDescent="0.3">
      <c r="A3576" s="4" t="s">
        <v>5337</v>
      </c>
      <c r="B3576" s="4" t="s">
        <v>5338</v>
      </c>
    </row>
    <row r="3577" spans="1:2" x14ac:dyDescent="0.3">
      <c r="A3577" s="4" t="s">
        <v>5339</v>
      </c>
      <c r="B3577" s="4" t="s">
        <v>5340</v>
      </c>
    </row>
    <row r="3578" spans="1:2" x14ac:dyDescent="0.3">
      <c r="A3578" s="4" t="s">
        <v>9953</v>
      </c>
      <c r="B3578" s="4" t="s">
        <v>9954</v>
      </c>
    </row>
    <row r="3579" spans="1:2" x14ac:dyDescent="0.3">
      <c r="A3579" s="4" t="s">
        <v>9955</v>
      </c>
      <c r="B3579" s="4" t="s">
        <v>9956</v>
      </c>
    </row>
    <row r="3580" spans="1:2" x14ac:dyDescent="0.3">
      <c r="A3580" s="4" t="s">
        <v>9957</v>
      </c>
      <c r="B3580" s="4" t="s">
        <v>8771</v>
      </c>
    </row>
    <row r="3581" spans="1:2" x14ac:dyDescent="0.3">
      <c r="A3581" s="4" t="s">
        <v>9958</v>
      </c>
      <c r="B3581" s="4" t="s">
        <v>9959</v>
      </c>
    </row>
    <row r="3582" spans="1:2" x14ac:dyDescent="0.3">
      <c r="A3582" s="4" t="s">
        <v>9960</v>
      </c>
      <c r="B3582" s="4" t="s">
        <v>8773</v>
      </c>
    </row>
    <row r="3583" spans="1:2" x14ac:dyDescent="0.3">
      <c r="A3583" s="4" t="s">
        <v>9961</v>
      </c>
      <c r="B3583" s="4" t="s">
        <v>9962</v>
      </c>
    </row>
    <row r="3584" spans="1:2" x14ac:dyDescent="0.3">
      <c r="A3584" s="4" t="s">
        <v>5341</v>
      </c>
      <c r="B3584" s="4" t="s">
        <v>5342</v>
      </c>
    </row>
    <row r="3585" spans="1:2" x14ac:dyDescent="0.3">
      <c r="A3585" s="4" t="s">
        <v>9963</v>
      </c>
      <c r="B3585" s="4" t="s">
        <v>9964</v>
      </c>
    </row>
    <row r="3586" spans="1:2" x14ac:dyDescent="0.3">
      <c r="A3586" s="4" t="s">
        <v>5343</v>
      </c>
      <c r="B3586" s="4" t="s">
        <v>5344</v>
      </c>
    </row>
    <row r="3587" spans="1:2" x14ac:dyDescent="0.3">
      <c r="A3587" s="4" t="s">
        <v>9965</v>
      </c>
      <c r="B3587" s="4" t="s">
        <v>9966</v>
      </c>
    </row>
    <row r="3588" spans="1:2" x14ac:dyDescent="0.3">
      <c r="A3588" s="4" t="s">
        <v>9967</v>
      </c>
      <c r="B3588" s="4" t="s">
        <v>9968</v>
      </c>
    </row>
    <row r="3589" spans="1:2" x14ac:dyDescent="0.3">
      <c r="A3589" s="4" t="s">
        <v>5345</v>
      </c>
      <c r="B3589" s="4" t="s">
        <v>5346</v>
      </c>
    </row>
    <row r="3590" spans="1:2" x14ac:dyDescent="0.3">
      <c r="A3590" s="4" t="s">
        <v>9969</v>
      </c>
      <c r="B3590" s="4" t="s">
        <v>9970</v>
      </c>
    </row>
    <row r="3591" spans="1:2" x14ac:dyDescent="0.3">
      <c r="A3591" s="4" t="s">
        <v>5347</v>
      </c>
      <c r="B3591" s="4" t="s">
        <v>5348</v>
      </c>
    </row>
    <row r="3592" spans="1:2" x14ac:dyDescent="0.3">
      <c r="A3592" s="4" t="s">
        <v>5349</v>
      </c>
      <c r="B3592" s="4" t="s">
        <v>5350</v>
      </c>
    </row>
    <row r="3593" spans="1:2" x14ac:dyDescent="0.3">
      <c r="A3593" s="4" t="s">
        <v>5351</v>
      </c>
      <c r="B3593" s="4" t="s">
        <v>5352</v>
      </c>
    </row>
    <row r="3594" spans="1:2" x14ac:dyDescent="0.3">
      <c r="A3594" s="4" t="s">
        <v>9971</v>
      </c>
      <c r="B3594" s="4" t="s">
        <v>9972</v>
      </c>
    </row>
    <row r="3595" spans="1:2" x14ac:dyDescent="0.3">
      <c r="A3595" s="4" t="s">
        <v>9973</v>
      </c>
      <c r="B3595" s="4" t="s">
        <v>9974</v>
      </c>
    </row>
    <row r="3596" spans="1:2" x14ac:dyDescent="0.3">
      <c r="A3596" s="4" t="s">
        <v>5353</v>
      </c>
      <c r="B3596" s="4" t="s">
        <v>5354</v>
      </c>
    </row>
    <row r="3597" spans="1:2" x14ac:dyDescent="0.3">
      <c r="A3597" s="4" t="s">
        <v>12555</v>
      </c>
      <c r="B3597" s="4" t="s">
        <v>12556</v>
      </c>
    </row>
    <row r="3598" spans="1:2" x14ac:dyDescent="0.3">
      <c r="A3598" s="4" t="s">
        <v>8041</v>
      </c>
      <c r="B3598" s="4" t="s">
        <v>9975</v>
      </c>
    </row>
    <row r="3599" spans="1:2" x14ac:dyDescent="0.3">
      <c r="A3599" s="4" t="s">
        <v>9976</v>
      </c>
      <c r="B3599" s="4" t="s">
        <v>8776</v>
      </c>
    </row>
    <row r="3600" spans="1:2" x14ac:dyDescent="0.3">
      <c r="A3600" s="4" t="s">
        <v>9977</v>
      </c>
      <c r="B3600" s="4" t="s">
        <v>9978</v>
      </c>
    </row>
    <row r="3601" spans="1:2" x14ac:dyDescent="0.3">
      <c r="A3601" s="4" t="s">
        <v>5355</v>
      </c>
      <c r="B3601" s="4" t="s">
        <v>5356</v>
      </c>
    </row>
    <row r="3602" spans="1:2" x14ac:dyDescent="0.3">
      <c r="A3602" s="4" t="s">
        <v>9979</v>
      </c>
      <c r="B3602" s="4" t="s">
        <v>9980</v>
      </c>
    </row>
    <row r="3603" spans="1:2" x14ac:dyDescent="0.3">
      <c r="A3603" s="4" t="s">
        <v>9981</v>
      </c>
      <c r="B3603" s="4" t="s">
        <v>9982</v>
      </c>
    </row>
    <row r="3604" spans="1:2" x14ac:dyDescent="0.3">
      <c r="A3604" s="4" t="s">
        <v>9983</v>
      </c>
      <c r="B3604" s="4" t="s">
        <v>9984</v>
      </c>
    </row>
    <row r="3605" spans="1:2" x14ac:dyDescent="0.3">
      <c r="A3605" s="4" t="s">
        <v>9985</v>
      </c>
      <c r="B3605" s="4" t="s">
        <v>8778</v>
      </c>
    </row>
    <row r="3606" spans="1:2" x14ac:dyDescent="0.3">
      <c r="A3606" s="4" t="s">
        <v>9986</v>
      </c>
      <c r="B3606" s="4" t="s">
        <v>9987</v>
      </c>
    </row>
    <row r="3607" spans="1:2" x14ac:dyDescent="0.3">
      <c r="A3607" s="4" t="s">
        <v>9988</v>
      </c>
      <c r="B3607" s="4" t="s">
        <v>9989</v>
      </c>
    </row>
    <row r="3608" spans="1:2" x14ac:dyDescent="0.3">
      <c r="A3608" s="4" t="s">
        <v>9990</v>
      </c>
      <c r="B3608" s="4" t="s">
        <v>8781</v>
      </c>
    </row>
    <row r="3609" spans="1:2" x14ac:dyDescent="0.3">
      <c r="A3609" s="4" t="s">
        <v>9991</v>
      </c>
      <c r="B3609" s="4" t="s">
        <v>9992</v>
      </c>
    </row>
    <row r="3610" spans="1:2" x14ac:dyDescent="0.3">
      <c r="A3610" s="4" t="s">
        <v>5357</v>
      </c>
      <c r="B3610" s="4" t="s">
        <v>5358</v>
      </c>
    </row>
    <row r="3611" spans="1:2" x14ac:dyDescent="0.3">
      <c r="A3611" s="4" t="s">
        <v>9993</v>
      </c>
      <c r="B3611" s="4" t="s">
        <v>9994</v>
      </c>
    </row>
    <row r="3612" spans="1:2" x14ac:dyDescent="0.3">
      <c r="A3612" s="4" t="s">
        <v>9995</v>
      </c>
      <c r="B3612" s="4" t="s">
        <v>9996</v>
      </c>
    </row>
    <row r="3613" spans="1:2" x14ac:dyDescent="0.3">
      <c r="A3613" s="4" t="s">
        <v>5359</v>
      </c>
      <c r="B3613" s="4" t="s">
        <v>5360</v>
      </c>
    </row>
    <row r="3614" spans="1:2" x14ac:dyDescent="0.3">
      <c r="A3614" s="4" t="s">
        <v>5361</v>
      </c>
      <c r="B3614" s="4" t="s">
        <v>5362</v>
      </c>
    </row>
    <row r="3615" spans="1:2" x14ac:dyDescent="0.3">
      <c r="A3615" s="4" t="s">
        <v>9997</v>
      </c>
      <c r="B3615" s="4" t="s">
        <v>9998</v>
      </c>
    </row>
    <row r="3616" spans="1:2" x14ac:dyDescent="0.3">
      <c r="A3616" s="4" t="s">
        <v>5363</v>
      </c>
      <c r="B3616" s="4" t="s">
        <v>5364</v>
      </c>
    </row>
    <row r="3617" spans="1:2" x14ac:dyDescent="0.3">
      <c r="A3617" s="4" t="s">
        <v>5365</v>
      </c>
      <c r="B3617" s="4" t="s">
        <v>5366</v>
      </c>
    </row>
    <row r="3618" spans="1:2" x14ac:dyDescent="0.3">
      <c r="A3618" s="4" t="s">
        <v>5367</v>
      </c>
      <c r="B3618" s="4" t="s">
        <v>5368</v>
      </c>
    </row>
    <row r="3619" spans="1:2" x14ac:dyDescent="0.3">
      <c r="A3619" s="4" t="s">
        <v>9999</v>
      </c>
      <c r="B3619" s="4" t="s">
        <v>10000</v>
      </c>
    </row>
    <row r="3620" spans="1:2" x14ac:dyDescent="0.3">
      <c r="A3620" s="4" t="s">
        <v>5369</v>
      </c>
      <c r="B3620" s="4" t="s">
        <v>5370</v>
      </c>
    </row>
    <row r="3621" spans="1:2" x14ac:dyDescent="0.3">
      <c r="A3621" s="4" t="s">
        <v>10001</v>
      </c>
      <c r="B3621" s="4" t="s">
        <v>10002</v>
      </c>
    </row>
    <row r="3622" spans="1:2" x14ac:dyDescent="0.3">
      <c r="A3622" s="4" t="s">
        <v>11636</v>
      </c>
      <c r="B3622" s="4" t="s">
        <v>12557</v>
      </c>
    </row>
    <row r="3623" spans="1:2" x14ac:dyDescent="0.3">
      <c r="A3623" s="4" t="s">
        <v>10003</v>
      </c>
      <c r="B3623" s="4" t="s">
        <v>10004</v>
      </c>
    </row>
    <row r="3624" spans="1:2" x14ac:dyDescent="0.3">
      <c r="A3624" s="4" t="s">
        <v>10005</v>
      </c>
      <c r="B3624" s="4" t="s">
        <v>10006</v>
      </c>
    </row>
    <row r="3625" spans="1:2" x14ac:dyDescent="0.3">
      <c r="A3625" s="4" t="s">
        <v>5372</v>
      </c>
      <c r="B3625" s="4" t="s">
        <v>5373</v>
      </c>
    </row>
    <row r="3626" spans="1:2" x14ac:dyDescent="0.3">
      <c r="A3626" s="4" t="s">
        <v>10007</v>
      </c>
      <c r="B3626" s="4" t="s">
        <v>10008</v>
      </c>
    </row>
    <row r="3627" spans="1:2" x14ac:dyDescent="0.3">
      <c r="A3627" s="4" t="s">
        <v>5527</v>
      </c>
      <c r="B3627" s="4" t="s">
        <v>10009</v>
      </c>
    </row>
    <row r="3628" spans="1:2" x14ac:dyDescent="0.3">
      <c r="A3628" s="4" t="s">
        <v>5374</v>
      </c>
      <c r="B3628" s="4" t="s">
        <v>5375</v>
      </c>
    </row>
    <row r="3629" spans="1:2" x14ac:dyDescent="0.3">
      <c r="A3629" s="4" t="s">
        <v>6811</v>
      </c>
      <c r="B3629" s="4" t="s">
        <v>12558</v>
      </c>
    </row>
    <row r="3630" spans="1:2" x14ac:dyDescent="0.3">
      <c r="A3630" s="4" t="s">
        <v>10010</v>
      </c>
      <c r="B3630" s="4" t="s">
        <v>10011</v>
      </c>
    </row>
    <row r="3631" spans="1:2" x14ac:dyDescent="0.3">
      <c r="A3631" s="4" t="s">
        <v>5376</v>
      </c>
      <c r="B3631" s="4" t="s">
        <v>12559</v>
      </c>
    </row>
    <row r="3632" spans="1:2" x14ac:dyDescent="0.3">
      <c r="A3632" s="4" t="s">
        <v>5377</v>
      </c>
      <c r="B3632" s="4" t="s">
        <v>5378</v>
      </c>
    </row>
    <row r="3633" spans="1:2" x14ac:dyDescent="0.3">
      <c r="A3633" s="4" t="s">
        <v>5379</v>
      </c>
      <c r="B3633" s="4" t="s">
        <v>5380</v>
      </c>
    </row>
    <row r="3634" spans="1:2" x14ac:dyDescent="0.3">
      <c r="A3634" s="4" t="s">
        <v>10012</v>
      </c>
      <c r="B3634" s="4" t="s">
        <v>10013</v>
      </c>
    </row>
    <row r="3635" spans="1:2" x14ac:dyDescent="0.3">
      <c r="A3635" s="4" t="s">
        <v>5381</v>
      </c>
      <c r="B3635" s="4" t="s">
        <v>5382</v>
      </c>
    </row>
    <row r="3636" spans="1:2" x14ac:dyDescent="0.3">
      <c r="A3636" s="4" t="s">
        <v>5383</v>
      </c>
      <c r="B3636" s="4" t="s">
        <v>5384</v>
      </c>
    </row>
    <row r="3637" spans="1:2" x14ac:dyDescent="0.3">
      <c r="A3637" s="4" t="s">
        <v>5385</v>
      </c>
      <c r="B3637" s="4" t="s">
        <v>5386</v>
      </c>
    </row>
    <row r="3638" spans="1:2" x14ac:dyDescent="0.3">
      <c r="A3638" s="4" t="s">
        <v>5387</v>
      </c>
      <c r="B3638" s="4" t="s">
        <v>5388</v>
      </c>
    </row>
    <row r="3639" spans="1:2" x14ac:dyDescent="0.3">
      <c r="A3639" s="4" t="s">
        <v>12560</v>
      </c>
      <c r="B3639" s="4" t="s">
        <v>12561</v>
      </c>
    </row>
    <row r="3640" spans="1:2" x14ac:dyDescent="0.3">
      <c r="A3640" s="4" t="s">
        <v>5389</v>
      </c>
      <c r="B3640" s="4" t="s">
        <v>5390</v>
      </c>
    </row>
    <row r="3641" spans="1:2" x14ac:dyDescent="0.3">
      <c r="A3641" s="4" t="s">
        <v>5391</v>
      </c>
      <c r="B3641" s="4" t="s">
        <v>5392</v>
      </c>
    </row>
    <row r="3642" spans="1:2" x14ac:dyDescent="0.3">
      <c r="A3642" s="4" t="s">
        <v>10014</v>
      </c>
      <c r="B3642" s="4" t="s">
        <v>10015</v>
      </c>
    </row>
    <row r="3643" spans="1:2" x14ac:dyDescent="0.3">
      <c r="A3643" s="4" t="s">
        <v>7328</v>
      </c>
      <c r="B3643" s="4" t="s">
        <v>10016</v>
      </c>
    </row>
    <row r="3644" spans="1:2" x14ac:dyDescent="0.3">
      <c r="A3644" s="4" t="s">
        <v>10017</v>
      </c>
      <c r="B3644" s="4" t="s">
        <v>8787</v>
      </c>
    </row>
    <row r="3645" spans="1:2" x14ac:dyDescent="0.3">
      <c r="A3645" s="4" t="s">
        <v>10018</v>
      </c>
      <c r="B3645" s="4" t="s">
        <v>8789</v>
      </c>
    </row>
    <row r="3646" spans="1:2" x14ac:dyDescent="0.3">
      <c r="A3646" s="4" t="s">
        <v>5393</v>
      </c>
      <c r="B3646" s="4" t="s">
        <v>5394</v>
      </c>
    </row>
    <row r="3647" spans="1:2" x14ac:dyDescent="0.3">
      <c r="A3647" s="4" t="s">
        <v>10019</v>
      </c>
      <c r="B3647" s="4" t="s">
        <v>10020</v>
      </c>
    </row>
    <row r="3648" spans="1:2" x14ac:dyDescent="0.3">
      <c r="A3648" s="4" t="s">
        <v>10021</v>
      </c>
      <c r="B3648" s="4" t="s">
        <v>10022</v>
      </c>
    </row>
    <row r="3649" spans="1:2" x14ac:dyDescent="0.3">
      <c r="A3649" s="4" t="s">
        <v>10023</v>
      </c>
      <c r="B3649" s="4" t="s">
        <v>10024</v>
      </c>
    </row>
    <row r="3650" spans="1:2" x14ac:dyDescent="0.3">
      <c r="A3650" s="4" t="s">
        <v>10025</v>
      </c>
      <c r="B3650" s="4" t="s">
        <v>10026</v>
      </c>
    </row>
    <row r="3651" spans="1:2" x14ac:dyDescent="0.3">
      <c r="A3651" s="4" t="s">
        <v>10027</v>
      </c>
      <c r="B3651" s="4" t="s">
        <v>10028</v>
      </c>
    </row>
    <row r="3652" spans="1:2" x14ac:dyDescent="0.3">
      <c r="A3652" s="4" t="s">
        <v>10029</v>
      </c>
      <c r="B3652" s="4" t="s">
        <v>10030</v>
      </c>
    </row>
    <row r="3653" spans="1:2" x14ac:dyDescent="0.3">
      <c r="A3653" s="4" t="s">
        <v>10031</v>
      </c>
      <c r="B3653" s="4" t="s">
        <v>10032</v>
      </c>
    </row>
    <row r="3654" spans="1:2" x14ac:dyDescent="0.3">
      <c r="A3654" s="4" t="s">
        <v>10033</v>
      </c>
      <c r="B3654" s="4" t="s">
        <v>10034</v>
      </c>
    </row>
    <row r="3655" spans="1:2" x14ac:dyDescent="0.3">
      <c r="A3655" s="4" t="s">
        <v>6764</v>
      </c>
      <c r="B3655" s="4" t="s">
        <v>10035</v>
      </c>
    </row>
    <row r="3656" spans="1:2" x14ac:dyDescent="0.3">
      <c r="A3656" s="4" t="s">
        <v>10036</v>
      </c>
      <c r="B3656" s="4" t="s">
        <v>10037</v>
      </c>
    </row>
    <row r="3657" spans="1:2" x14ac:dyDescent="0.3">
      <c r="A3657" s="4" t="s">
        <v>5395</v>
      </c>
      <c r="B3657" s="4" t="s">
        <v>5396</v>
      </c>
    </row>
    <row r="3658" spans="1:2" x14ac:dyDescent="0.3">
      <c r="A3658" s="4" t="s">
        <v>5397</v>
      </c>
      <c r="B3658" s="4" t="s">
        <v>5398</v>
      </c>
    </row>
    <row r="3659" spans="1:2" x14ac:dyDescent="0.3">
      <c r="A3659" s="4" t="s">
        <v>5399</v>
      </c>
      <c r="B3659" s="4" t="s">
        <v>5400</v>
      </c>
    </row>
    <row r="3660" spans="1:2" x14ac:dyDescent="0.3">
      <c r="A3660" s="4" t="s">
        <v>10038</v>
      </c>
      <c r="B3660" s="4" t="s">
        <v>10039</v>
      </c>
    </row>
    <row r="3661" spans="1:2" x14ac:dyDescent="0.3">
      <c r="A3661" s="4" t="s">
        <v>5401</v>
      </c>
      <c r="B3661" s="4" t="s">
        <v>5402</v>
      </c>
    </row>
    <row r="3662" spans="1:2" x14ac:dyDescent="0.3">
      <c r="A3662" s="4" t="s">
        <v>10040</v>
      </c>
      <c r="B3662" s="4" t="s">
        <v>10041</v>
      </c>
    </row>
    <row r="3663" spans="1:2" x14ac:dyDescent="0.3">
      <c r="A3663" s="4" t="s">
        <v>10042</v>
      </c>
      <c r="B3663" s="4" t="s">
        <v>10043</v>
      </c>
    </row>
    <row r="3664" spans="1:2" x14ac:dyDescent="0.3">
      <c r="A3664" s="4" t="s">
        <v>5403</v>
      </c>
      <c r="B3664" s="4" t="s">
        <v>5404</v>
      </c>
    </row>
    <row r="3665" spans="1:2" x14ac:dyDescent="0.3">
      <c r="A3665" s="4" t="s">
        <v>10044</v>
      </c>
      <c r="B3665" s="4" t="s">
        <v>10045</v>
      </c>
    </row>
    <row r="3666" spans="1:2" x14ac:dyDescent="0.3">
      <c r="A3666" s="4" t="s">
        <v>5405</v>
      </c>
      <c r="B3666" s="4" t="s">
        <v>5406</v>
      </c>
    </row>
    <row r="3667" spans="1:2" x14ac:dyDescent="0.3">
      <c r="A3667" s="4" t="s">
        <v>5407</v>
      </c>
      <c r="B3667" s="4" t="s">
        <v>5408</v>
      </c>
    </row>
    <row r="3668" spans="1:2" x14ac:dyDescent="0.3">
      <c r="A3668" s="4" t="s">
        <v>5409</v>
      </c>
      <c r="B3668" s="4" t="s">
        <v>5410</v>
      </c>
    </row>
    <row r="3669" spans="1:2" x14ac:dyDescent="0.3">
      <c r="A3669" s="4" t="s">
        <v>10046</v>
      </c>
      <c r="B3669" s="4" t="s">
        <v>10047</v>
      </c>
    </row>
    <row r="3670" spans="1:2" x14ac:dyDescent="0.3">
      <c r="A3670" s="4" t="s">
        <v>10048</v>
      </c>
      <c r="B3670" s="4" t="s">
        <v>10049</v>
      </c>
    </row>
    <row r="3671" spans="1:2" x14ac:dyDescent="0.3">
      <c r="A3671" s="4" t="s">
        <v>5411</v>
      </c>
      <c r="B3671" s="4" t="s">
        <v>5412</v>
      </c>
    </row>
    <row r="3672" spans="1:2" x14ac:dyDescent="0.3">
      <c r="A3672" s="4" t="s">
        <v>12562</v>
      </c>
      <c r="B3672" s="4" t="s">
        <v>12563</v>
      </c>
    </row>
    <row r="3673" spans="1:2" x14ac:dyDescent="0.3">
      <c r="A3673" s="4" t="s">
        <v>5413</v>
      </c>
      <c r="B3673" s="4" t="s">
        <v>5414</v>
      </c>
    </row>
    <row r="3674" spans="1:2" x14ac:dyDescent="0.3">
      <c r="A3674" s="4" t="s">
        <v>5415</v>
      </c>
      <c r="B3674" s="4" t="s">
        <v>5416</v>
      </c>
    </row>
    <row r="3675" spans="1:2" x14ac:dyDescent="0.3">
      <c r="A3675" s="4" t="s">
        <v>5417</v>
      </c>
      <c r="B3675" s="4" t="s">
        <v>5418</v>
      </c>
    </row>
    <row r="3676" spans="1:2" x14ac:dyDescent="0.3">
      <c r="A3676" s="4" t="s">
        <v>10050</v>
      </c>
      <c r="B3676" s="4" t="s">
        <v>10051</v>
      </c>
    </row>
    <row r="3677" spans="1:2" x14ac:dyDescent="0.3">
      <c r="A3677" s="4" t="s">
        <v>10052</v>
      </c>
      <c r="B3677" s="4" t="s">
        <v>10053</v>
      </c>
    </row>
    <row r="3678" spans="1:2" x14ac:dyDescent="0.3">
      <c r="A3678" s="4" t="s">
        <v>5419</v>
      </c>
      <c r="B3678" s="4" t="s">
        <v>5420</v>
      </c>
    </row>
    <row r="3679" spans="1:2" x14ac:dyDescent="0.3">
      <c r="A3679" s="4" t="s">
        <v>5421</v>
      </c>
      <c r="B3679" s="4" t="s">
        <v>5422</v>
      </c>
    </row>
    <row r="3680" spans="1:2" x14ac:dyDescent="0.3">
      <c r="A3680" s="4" t="s">
        <v>5423</v>
      </c>
      <c r="B3680" s="4" t="s">
        <v>5424</v>
      </c>
    </row>
    <row r="3681" spans="1:2" x14ac:dyDescent="0.3">
      <c r="A3681" s="4" t="s">
        <v>5425</v>
      </c>
      <c r="B3681" s="4" t="s">
        <v>5426</v>
      </c>
    </row>
    <row r="3682" spans="1:2" x14ac:dyDescent="0.3">
      <c r="A3682" s="4" t="s">
        <v>5427</v>
      </c>
      <c r="B3682" s="4" t="s">
        <v>5428</v>
      </c>
    </row>
    <row r="3683" spans="1:2" x14ac:dyDescent="0.3">
      <c r="A3683" s="4" t="s">
        <v>5429</v>
      </c>
      <c r="B3683" s="4" t="s">
        <v>5430</v>
      </c>
    </row>
    <row r="3684" spans="1:2" x14ac:dyDescent="0.3">
      <c r="A3684" s="4" t="s">
        <v>5431</v>
      </c>
      <c r="B3684" s="4" t="s">
        <v>5432</v>
      </c>
    </row>
    <row r="3685" spans="1:2" x14ac:dyDescent="0.3">
      <c r="A3685" s="4" t="s">
        <v>5433</v>
      </c>
      <c r="B3685" s="4" t="s">
        <v>5434</v>
      </c>
    </row>
    <row r="3686" spans="1:2" x14ac:dyDescent="0.3">
      <c r="A3686" s="4" t="s">
        <v>10054</v>
      </c>
      <c r="B3686" s="4" t="s">
        <v>10055</v>
      </c>
    </row>
    <row r="3687" spans="1:2" x14ac:dyDescent="0.3">
      <c r="A3687" s="4" t="s">
        <v>5435</v>
      </c>
      <c r="B3687" s="4" t="s">
        <v>5436</v>
      </c>
    </row>
    <row r="3688" spans="1:2" x14ac:dyDescent="0.3">
      <c r="A3688" s="4" t="s">
        <v>5437</v>
      </c>
      <c r="B3688" s="4" t="s">
        <v>5438</v>
      </c>
    </row>
    <row r="3689" spans="1:2" x14ac:dyDescent="0.3">
      <c r="A3689" s="4" t="s">
        <v>10056</v>
      </c>
      <c r="B3689" s="4" t="s">
        <v>10057</v>
      </c>
    </row>
    <row r="3690" spans="1:2" x14ac:dyDescent="0.3">
      <c r="A3690" s="4" t="s">
        <v>5439</v>
      </c>
      <c r="B3690" s="4" t="s">
        <v>5440</v>
      </c>
    </row>
    <row r="3691" spans="1:2" x14ac:dyDescent="0.3">
      <c r="A3691" s="4" t="s">
        <v>5441</v>
      </c>
      <c r="B3691" s="4" t="s">
        <v>5442</v>
      </c>
    </row>
    <row r="3692" spans="1:2" x14ac:dyDescent="0.3">
      <c r="A3692" s="4" t="s">
        <v>5443</v>
      </c>
      <c r="B3692" s="4" t="s">
        <v>5444</v>
      </c>
    </row>
    <row r="3693" spans="1:2" x14ac:dyDescent="0.3">
      <c r="A3693" s="4" t="s">
        <v>5445</v>
      </c>
      <c r="B3693" s="4" t="s">
        <v>5446</v>
      </c>
    </row>
    <row r="3694" spans="1:2" x14ac:dyDescent="0.3">
      <c r="A3694" s="4" t="s">
        <v>5447</v>
      </c>
      <c r="B3694" s="4" t="s">
        <v>5448</v>
      </c>
    </row>
    <row r="3695" spans="1:2" x14ac:dyDescent="0.3">
      <c r="A3695" s="4" t="s">
        <v>10058</v>
      </c>
      <c r="B3695" s="4" t="s">
        <v>10059</v>
      </c>
    </row>
    <row r="3696" spans="1:2" x14ac:dyDescent="0.3">
      <c r="A3696" s="4" t="s">
        <v>10060</v>
      </c>
      <c r="B3696" s="4" t="s">
        <v>10061</v>
      </c>
    </row>
    <row r="3697" spans="1:2" x14ac:dyDescent="0.3">
      <c r="A3697" s="4" t="s">
        <v>5449</v>
      </c>
      <c r="B3697" s="4" t="s">
        <v>5450</v>
      </c>
    </row>
    <row r="3698" spans="1:2" x14ac:dyDescent="0.3">
      <c r="A3698" s="4" t="s">
        <v>5451</v>
      </c>
      <c r="B3698" s="4" t="s">
        <v>5452</v>
      </c>
    </row>
    <row r="3699" spans="1:2" x14ac:dyDescent="0.3">
      <c r="A3699" s="4" t="s">
        <v>10062</v>
      </c>
      <c r="B3699" s="4" t="s">
        <v>10063</v>
      </c>
    </row>
    <row r="3700" spans="1:2" x14ac:dyDescent="0.3">
      <c r="A3700" s="4" t="s">
        <v>5453</v>
      </c>
      <c r="B3700" s="4" t="s">
        <v>5454</v>
      </c>
    </row>
    <row r="3701" spans="1:2" x14ac:dyDescent="0.3">
      <c r="A3701" s="4" t="s">
        <v>5455</v>
      </c>
      <c r="B3701" s="4" t="s">
        <v>5456</v>
      </c>
    </row>
    <row r="3702" spans="1:2" x14ac:dyDescent="0.3">
      <c r="A3702" s="4" t="s">
        <v>10064</v>
      </c>
      <c r="B3702" s="4" t="s">
        <v>10065</v>
      </c>
    </row>
    <row r="3703" spans="1:2" x14ac:dyDescent="0.3">
      <c r="A3703" s="4" t="s">
        <v>5457</v>
      </c>
      <c r="B3703" s="4" t="s">
        <v>5458</v>
      </c>
    </row>
    <row r="3704" spans="1:2" x14ac:dyDescent="0.3">
      <c r="A3704" s="4" t="s">
        <v>5459</v>
      </c>
      <c r="B3704" s="4" t="s">
        <v>5460</v>
      </c>
    </row>
    <row r="3705" spans="1:2" x14ac:dyDescent="0.3">
      <c r="A3705" s="4" t="s">
        <v>5461</v>
      </c>
      <c r="B3705" s="4" t="s">
        <v>5462</v>
      </c>
    </row>
    <row r="3706" spans="1:2" x14ac:dyDescent="0.3">
      <c r="A3706" s="4" t="s">
        <v>10066</v>
      </c>
      <c r="B3706" s="4" t="s">
        <v>8793</v>
      </c>
    </row>
    <row r="3707" spans="1:2" x14ac:dyDescent="0.3">
      <c r="A3707" s="4" t="s">
        <v>5463</v>
      </c>
      <c r="B3707" s="4" t="s">
        <v>5464</v>
      </c>
    </row>
    <row r="3708" spans="1:2" x14ac:dyDescent="0.3">
      <c r="A3708" s="4" t="s">
        <v>5465</v>
      </c>
      <c r="B3708" s="4" t="s">
        <v>5466</v>
      </c>
    </row>
    <row r="3709" spans="1:2" x14ac:dyDescent="0.3">
      <c r="A3709" s="4" t="s">
        <v>5467</v>
      </c>
      <c r="B3709" s="4" t="s">
        <v>5468</v>
      </c>
    </row>
    <row r="3710" spans="1:2" x14ac:dyDescent="0.3">
      <c r="A3710" s="4" t="s">
        <v>7564</v>
      </c>
      <c r="B3710" s="4" t="s">
        <v>10067</v>
      </c>
    </row>
    <row r="3711" spans="1:2" x14ac:dyDescent="0.3">
      <c r="A3711" s="4" t="s">
        <v>5469</v>
      </c>
      <c r="B3711" s="4" t="s">
        <v>5470</v>
      </c>
    </row>
    <row r="3712" spans="1:2" x14ac:dyDescent="0.3">
      <c r="A3712" s="4" t="s">
        <v>5471</v>
      </c>
      <c r="B3712" s="4" t="s">
        <v>5472</v>
      </c>
    </row>
    <row r="3713" spans="1:2" x14ac:dyDescent="0.3">
      <c r="A3713" s="4" t="s">
        <v>5473</v>
      </c>
      <c r="B3713" s="4" t="s">
        <v>5474</v>
      </c>
    </row>
    <row r="3714" spans="1:2" x14ac:dyDescent="0.3">
      <c r="A3714" s="4" t="s">
        <v>10068</v>
      </c>
      <c r="B3714" s="4" t="s">
        <v>10069</v>
      </c>
    </row>
    <row r="3715" spans="1:2" x14ac:dyDescent="0.3">
      <c r="A3715" s="4" t="s">
        <v>5475</v>
      </c>
      <c r="B3715" s="4" t="s">
        <v>5476</v>
      </c>
    </row>
    <row r="3716" spans="1:2" x14ac:dyDescent="0.3">
      <c r="A3716" s="4" t="s">
        <v>5477</v>
      </c>
      <c r="B3716" s="4" t="s">
        <v>5478</v>
      </c>
    </row>
    <row r="3717" spans="1:2" x14ac:dyDescent="0.3">
      <c r="A3717" s="4" t="s">
        <v>5479</v>
      </c>
      <c r="B3717" s="4" t="s">
        <v>5480</v>
      </c>
    </row>
    <row r="3718" spans="1:2" x14ac:dyDescent="0.3">
      <c r="A3718" s="4" t="s">
        <v>10070</v>
      </c>
      <c r="B3718" s="4" t="s">
        <v>10071</v>
      </c>
    </row>
    <row r="3719" spans="1:2" x14ac:dyDescent="0.3">
      <c r="A3719" s="4" t="s">
        <v>10072</v>
      </c>
      <c r="B3719" s="4" t="s">
        <v>10073</v>
      </c>
    </row>
    <row r="3720" spans="1:2" x14ac:dyDescent="0.3">
      <c r="A3720" s="4" t="s">
        <v>10074</v>
      </c>
      <c r="B3720" s="4" t="s">
        <v>10075</v>
      </c>
    </row>
    <row r="3721" spans="1:2" x14ac:dyDescent="0.3">
      <c r="A3721" s="4" t="s">
        <v>5481</v>
      </c>
      <c r="B3721" s="4" t="s">
        <v>5482</v>
      </c>
    </row>
    <row r="3722" spans="1:2" x14ac:dyDescent="0.3">
      <c r="A3722" s="4" t="s">
        <v>5483</v>
      </c>
      <c r="B3722" s="4" t="s">
        <v>5484</v>
      </c>
    </row>
    <row r="3723" spans="1:2" x14ac:dyDescent="0.3">
      <c r="A3723" s="4" t="s">
        <v>5485</v>
      </c>
      <c r="B3723" s="4" t="s">
        <v>5486</v>
      </c>
    </row>
    <row r="3724" spans="1:2" x14ac:dyDescent="0.3">
      <c r="A3724" s="4" t="s">
        <v>10076</v>
      </c>
      <c r="B3724" s="4" t="s">
        <v>10077</v>
      </c>
    </row>
    <row r="3725" spans="1:2" x14ac:dyDescent="0.3">
      <c r="A3725" s="4" t="s">
        <v>5487</v>
      </c>
      <c r="B3725" s="4" t="s">
        <v>5488</v>
      </c>
    </row>
    <row r="3726" spans="1:2" x14ac:dyDescent="0.3">
      <c r="A3726" s="4" t="s">
        <v>5489</v>
      </c>
      <c r="B3726" s="4" t="s">
        <v>5490</v>
      </c>
    </row>
    <row r="3727" spans="1:2" x14ac:dyDescent="0.3">
      <c r="A3727" s="4" t="s">
        <v>10078</v>
      </c>
      <c r="B3727" s="4" t="s">
        <v>10079</v>
      </c>
    </row>
    <row r="3728" spans="1:2" x14ac:dyDescent="0.3">
      <c r="A3728" s="4" t="s">
        <v>5491</v>
      </c>
      <c r="B3728" s="4" t="s">
        <v>5492</v>
      </c>
    </row>
    <row r="3729" spans="1:2" x14ac:dyDescent="0.3">
      <c r="A3729" s="4" t="s">
        <v>5493</v>
      </c>
      <c r="B3729" s="4" t="s">
        <v>5494</v>
      </c>
    </row>
    <row r="3730" spans="1:2" x14ac:dyDescent="0.3">
      <c r="A3730" s="4" t="s">
        <v>12564</v>
      </c>
      <c r="B3730" s="4" t="s">
        <v>12565</v>
      </c>
    </row>
    <row r="3731" spans="1:2" x14ac:dyDescent="0.3">
      <c r="A3731" s="4" t="s">
        <v>10080</v>
      </c>
      <c r="B3731" s="4" t="s">
        <v>10081</v>
      </c>
    </row>
    <row r="3732" spans="1:2" x14ac:dyDescent="0.3">
      <c r="A3732" s="4" t="s">
        <v>5495</v>
      </c>
      <c r="B3732" s="4" t="s">
        <v>5496</v>
      </c>
    </row>
    <row r="3733" spans="1:2" x14ac:dyDescent="0.3">
      <c r="A3733" s="4" t="s">
        <v>10082</v>
      </c>
      <c r="B3733" s="4" t="s">
        <v>10083</v>
      </c>
    </row>
    <row r="3734" spans="1:2" x14ac:dyDescent="0.3">
      <c r="A3734" s="4" t="s">
        <v>5497</v>
      </c>
      <c r="B3734" s="4" t="s">
        <v>5498</v>
      </c>
    </row>
    <row r="3735" spans="1:2" x14ac:dyDescent="0.3">
      <c r="A3735" s="4" t="s">
        <v>10084</v>
      </c>
      <c r="B3735" s="4" t="s">
        <v>10085</v>
      </c>
    </row>
    <row r="3736" spans="1:2" x14ac:dyDescent="0.3">
      <c r="A3736" s="4" t="s">
        <v>5499</v>
      </c>
      <c r="B3736" s="4" t="s">
        <v>5500</v>
      </c>
    </row>
    <row r="3737" spans="1:2" x14ac:dyDescent="0.3">
      <c r="A3737" s="4" t="s">
        <v>5501</v>
      </c>
      <c r="B3737" s="4" t="s">
        <v>5502</v>
      </c>
    </row>
    <row r="3738" spans="1:2" x14ac:dyDescent="0.3">
      <c r="A3738" s="4" t="s">
        <v>5503</v>
      </c>
      <c r="B3738" s="4" t="s">
        <v>5504</v>
      </c>
    </row>
    <row r="3739" spans="1:2" x14ac:dyDescent="0.3">
      <c r="A3739" s="4" t="s">
        <v>7782</v>
      </c>
      <c r="B3739" s="4" t="s">
        <v>10086</v>
      </c>
    </row>
    <row r="3740" spans="1:2" x14ac:dyDescent="0.3">
      <c r="A3740" s="4" t="s">
        <v>10087</v>
      </c>
      <c r="B3740" s="4" t="s">
        <v>10088</v>
      </c>
    </row>
    <row r="3741" spans="1:2" x14ac:dyDescent="0.3">
      <c r="A3741" s="4" t="s">
        <v>10089</v>
      </c>
      <c r="B3741" s="4" t="s">
        <v>10090</v>
      </c>
    </row>
    <row r="3742" spans="1:2" x14ac:dyDescent="0.3">
      <c r="A3742" s="4" t="s">
        <v>5505</v>
      </c>
      <c r="B3742" s="4" t="s">
        <v>5506</v>
      </c>
    </row>
    <row r="3743" spans="1:2" x14ac:dyDescent="0.3">
      <c r="A3743" s="4" t="s">
        <v>5507</v>
      </c>
      <c r="B3743" s="4" t="s">
        <v>5508</v>
      </c>
    </row>
    <row r="3744" spans="1:2" x14ac:dyDescent="0.3">
      <c r="A3744" s="4" t="s">
        <v>5509</v>
      </c>
      <c r="B3744" s="4" t="s">
        <v>5510</v>
      </c>
    </row>
    <row r="3745" spans="1:2" x14ac:dyDescent="0.3">
      <c r="A3745" s="4" t="s">
        <v>5511</v>
      </c>
      <c r="B3745" s="4" t="s">
        <v>5512</v>
      </c>
    </row>
    <row r="3746" spans="1:2" x14ac:dyDescent="0.3">
      <c r="A3746" s="4" t="s">
        <v>5513</v>
      </c>
      <c r="B3746" s="4" t="s">
        <v>5514</v>
      </c>
    </row>
    <row r="3747" spans="1:2" x14ac:dyDescent="0.3">
      <c r="A3747" s="4" t="s">
        <v>5515</v>
      </c>
      <c r="B3747" s="4" t="s">
        <v>5516</v>
      </c>
    </row>
    <row r="3748" spans="1:2" x14ac:dyDescent="0.3">
      <c r="A3748" s="4" t="s">
        <v>5517</v>
      </c>
      <c r="B3748" s="4" t="s">
        <v>5518</v>
      </c>
    </row>
    <row r="3749" spans="1:2" x14ac:dyDescent="0.3">
      <c r="A3749" s="4" t="s">
        <v>10091</v>
      </c>
      <c r="B3749" s="4" t="s">
        <v>10092</v>
      </c>
    </row>
    <row r="3750" spans="1:2" x14ac:dyDescent="0.3">
      <c r="A3750" s="4" t="s">
        <v>5519</v>
      </c>
      <c r="B3750" s="4" t="s">
        <v>5520</v>
      </c>
    </row>
    <row r="3751" spans="1:2" x14ac:dyDescent="0.3">
      <c r="A3751" s="4" t="s">
        <v>10093</v>
      </c>
      <c r="B3751" s="4" t="s">
        <v>10094</v>
      </c>
    </row>
    <row r="3752" spans="1:2" x14ac:dyDescent="0.3">
      <c r="A3752" s="4" t="s">
        <v>5521</v>
      </c>
      <c r="B3752" s="4" t="s">
        <v>5522</v>
      </c>
    </row>
    <row r="3753" spans="1:2" x14ac:dyDescent="0.3">
      <c r="A3753" s="4" t="s">
        <v>5523</v>
      </c>
      <c r="B3753" s="4" t="s">
        <v>5524</v>
      </c>
    </row>
    <row r="3754" spans="1:2" x14ac:dyDescent="0.3">
      <c r="A3754" s="4" t="s">
        <v>5525</v>
      </c>
      <c r="B3754" s="4" t="s">
        <v>5526</v>
      </c>
    </row>
    <row r="3755" spans="1:2" x14ac:dyDescent="0.3">
      <c r="A3755" s="4" t="s">
        <v>10095</v>
      </c>
      <c r="B3755" s="4" t="s">
        <v>10096</v>
      </c>
    </row>
    <row r="3756" spans="1:2" x14ac:dyDescent="0.3">
      <c r="A3756" s="4" t="s">
        <v>5528</v>
      </c>
      <c r="B3756" s="4" t="s">
        <v>5529</v>
      </c>
    </row>
    <row r="3757" spans="1:2" x14ac:dyDescent="0.3">
      <c r="A3757" s="4" t="s">
        <v>10097</v>
      </c>
      <c r="B3757" s="4" t="s">
        <v>10098</v>
      </c>
    </row>
    <row r="3758" spans="1:2" x14ac:dyDescent="0.3">
      <c r="A3758" s="4" t="s">
        <v>5530</v>
      </c>
      <c r="B3758" s="4" t="s">
        <v>5531</v>
      </c>
    </row>
    <row r="3759" spans="1:2" x14ac:dyDescent="0.3">
      <c r="A3759" s="4" t="s">
        <v>5532</v>
      </c>
      <c r="B3759" s="4" t="s">
        <v>5533</v>
      </c>
    </row>
    <row r="3760" spans="1:2" x14ac:dyDescent="0.3">
      <c r="A3760" s="4" t="s">
        <v>10101</v>
      </c>
      <c r="B3760" s="4" t="s">
        <v>10100</v>
      </c>
    </row>
    <row r="3761" spans="1:2" x14ac:dyDescent="0.3">
      <c r="A3761" s="4" t="s">
        <v>10099</v>
      </c>
      <c r="B3761" s="4" t="s">
        <v>10100</v>
      </c>
    </row>
    <row r="3762" spans="1:2" x14ac:dyDescent="0.3">
      <c r="A3762" s="4" t="s">
        <v>5535</v>
      </c>
      <c r="B3762" s="4" t="s">
        <v>5536</v>
      </c>
    </row>
    <row r="3763" spans="1:2" x14ac:dyDescent="0.3">
      <c r="A3763" s="4" t="s">
        <v>5537</v>
      </c>
      <c r="B3763" s="4" t="s">
        <v>1600</v>
      </c>
    </row>
    <row r="3764" spans="1:2" x14ac:dyDescent="0.3">
      <c r="A3764" s="4" t="s">
        <v>10102</v>
      </c>
      <c r="B3764" s="4" t="s">
        <v>8797</v>
      </c>
    </row>
    <row r="3765" spans="1:2" x14ac:dyDescent="0.3">
      <c r="A3765" s="4" t="s">
        <v>10103</v>
      </c>
      <c r="B3765" s="4" t="s">
        <v>10104</v>
      </c>
    </row>
    <row r="3766" spans="1:2" x14ac:dyDescent="0.3">
      <c r="A3766" s="4" t="s">
        <v>10105</v>
      </c>
      <c r="B3766" s="4" t="s">
        <v>10106</v>
      </c>
    </row>
    <row r="3767" spans="1:2" x14ac:dyDescent="0.3">
      <c r="A3767" s="4" t="s">
        <v>10107</v>
      </c>
      <c r="B3767" s="4" t="s">
        <v>10108</v>
      </c>
    </row>
    <row r="3768" spans="1:2" x14ac:dyDescent="0.3">
      <c r="A3768" s="4" t="s">
        <v>5547</v>
      </c>
      <c r="B3768" s="4" t="s">
        <v>10109</v>
      </c>
    </row>
    <row r="3769" spans="1:2" x14ac:dyDescent="0.3">
      <c r="A3769" s="4" t="s">
        <v>5538</v>
      </c>
      <c r="B3769" s="4" t="s">
        <v>5539</v>
      </c>
    </row>
    <row r="3770" spans="1:2" x14ac:dyDescent="0.3">
      <c r="A3770" s="4" t="s">
        <v>10110</v>
      </c>
      <c r="B3770" s="4" t="s">
        <v>10111</v>
      </c>
    </row>
    <row r="3771" spans="1:2" x14ac:dyDescent="0.3">
      <c r="A3771" s="4" t="s">
        <v>5540</v>
      </c>
      <c r="B3771" s="4" t="s">
        <v>5541</v>
      </c>
    </row>
    <row r="3772" spans="1:2" x14ac:dyDescent="0.3">
      <c r="A3772" s="4" t="s">
        <v>5542</v>
      </c>
      <c r="B3772" s="4" t="s">
        <v>5543</v>
      </c>
    </row>
    <row r="3773" spans="1:2" x14ac:dyDescent="0.3">
      <c r="A3773" s="4" t="s">
        <v>10112</v>
      </c>
      <c r="B3773" s="4" t="s">
        <v>8799</v>
      </c>
    </row>
    <row r="3774" spans="1:2" x14ac:dyDescent="0.3">
      <c r="A3774" s="4" t="s">
        <v>5544</v>
      </c>
      <c r="B3774" s="4" t="s">
        <v>10113</v>
      </c>
    </row>
    <row r="3775" spans="1:2" x14ac:dyDescent="0.3">
      <c r="A3775" s="4" t="s">
        <v>5545</v>
      </c>
      <c r="B3775" s="4" t="s">
        <v>5546</v>
      </c>
    </row>
    <row r="3776" spans="1:2" x14ac:dyDescent="0.3">
      <c r="A3776" s="4" t="s">
        <v>10114</v>
      </c>
      <c r="B3776" s="4" t="s">
        <v>10115</v>
      </c>
    </row>
    <row r="3777" spans="1:2" x14ac:dyDescent="0.3">
      <c r="A3777" s="4" t="s">
        <v>5548</v>
      </c>
      <c r="B3777" s="4" t="s">
        <v>5549</v>
      </c>
    </row>
    <row r="3778" spans="1:2" x14ac:dyDescent="0.3">
      <c r="A3778" s="4" t="s">
        <v>5550</v>
      </c>
      <c r="B3778" s="4" t="s">
        <v>5551</v>
      </c>
    </row>
    <row r="3779" spans="1:2" x14ac:dyDescent="0.3">
      <c r="A3779" s="4" t="s">
        <v>5552</v>
      </c>
      <c r="B3779" s="4" t="s">
        <v>5553</v>
      </c>
    </row>
    <row r="3780" spans="1:2" x14ac:dyDescent="0.3">
      <c r="A3780" s="4" t="s">
        <v>5554</v>
      </c>
      <c r="B3780" s="4" t="s">
        <v>5555</v>
      </c>
    </row>
    <row r="3781" spans="1:2" x14ac:dyDescent="0.3">
      <c r="A3781" s="4" t="s">
        <v>5556</v>
      </c>
      <c r="B3781" s="4" t="s">
        <v>5557</v>
      </c>
    </row>
    <row r="3782" spans="1:2" x14ac:dyDescent="0.3">
      <c r="A3782" s="4" t="s">
        <v>5558</v>
      </c>
      <c r="B3782" s="4" t="s">
        <v>5559</v>
      </c>
    </row>
    <row r="3783" spans="1:2" x14ac:dyDescent="0.3">
      <c r="A3783" s="4" t="s">
        <v>10116</v>
      </c>
      <c r="B3783" s="4" t="s">
        <v>10117</v>
      </c>
    </row>
    <row r="3784" spans="1:2" x14ac:dyDescent="0.3">
      <c r="A3784" s="4" t="s">
        <v>10118</v>
      </c>
      <c r="B3784" s="4" t="s">
        <v>10119</v>
      </c>
    </row>
    <row r="3785" spans="1:2" x14ac:dyDescent="0.3">
      <c r="A3785" s="4" t="s">
        <v>5560</v>
      </c>
      <c r="B3785" s="4" t="s">
        <v>5561</v>
      </c>
    </row>
    <row r="3786" spans="1:2" x14ac:dyDescent="0.3">
      <c r="A3786" s="4" t="s">
        <v>10120</v>
      </c>
      <c r="B3786" s="4" t="s">
        <v>10121</v>
      </c>
    </row>
    <row r="3787" spans="1:2" x14ac:dyDescent="0.3">
      <c r="A3787" s="4" t="s">
        <v>5562</v>
      </c>
      <c r="B3787" s="4" t="s">
        <v>5563</v>
      </c>
    </row>
    <row r="3788" spans="1:2" x14ac:dyDescent="0.3">
      <c r="A3788" s="4" t="s">
        <v>5564</v>
      </c>
      <c r="B3788" s="4" t="s">
        <v>5565</v>
      </c>
    </row>
    <row r="3789" spans="1:2" x14ac:dyDescent="0.3">
      <c r="A3789" s="4" t="s">
        <v>5566</v>
      </c>
      <c r="B3789" s="4" t="s">
        <v>5567</v>
      </c>
    </row>
    <row r="3790" spans="1:2" x14ac:dyDescent="0.3">
      <c r="A3790" s="4" t="s">
        <v>10122</v>
      </c>
      <c r="B3790" s="4" t="s">
        <v>10123</v>
      </c>
    </row>
    <row r="3791" spans="1:2" x14ac:dyDescent="0.3">
      <c r="A3791" s="4" t="s">
        <v>10124</v>
      </c>
      <c r="B3791" s="4" t="s">
        <v>10125</v>
      </c>
    </row>
    <row r="3792" spans="1:2" x14ac:dyDescent="0.3">
      <c r="A3792" s="4" t="s">
        <v>5568</v>
      </c>
      <c r="B3792" s="4" t="s">
        <v>5569</v>
      </c>
    </row>
    <row r="3793" spans="1:2" x14ac:dyDescent="0.3">
      <c r="A3793" s="4" t="s">
        <v>5570</v>
      </c>
      <c r="B3793" s="4" t="s">
        <v>5571</v>
      </c>
    </row>
    <row r="3794" spans="1:2" x14ac:dyDescent="0.3">
      <c r="A3794" s="4" t="s">
        <v>10126</v>
      </c>
      <c r="B3794" s="4" t="s">
        <v>10127</v>
      </c>
    </row>
    <row r="3795" spans="1:2" x14ac:dyDescent="0.3">
      <c r="A3795" s="4" t="s">
        <v>5572</v>
      </c>
      <c r="B3795" s="4" t="s">
        <v>5573</v>
      </c>
    </row>
    <row r="3796" spans="1:2" x14ac:dyDescent="0.3">
      <c r="A3796" s="4" t="s">
        <v>5574</v>
      </c>
      <c r="B3796" s="4" t="s">
        <v>5575</v>
      </c>
    </row>
    <row r="3797" spans="1:2" x14ac:dyDescent="0.3">
      <c r="A3797" s="4" t="s">
        <v>10128</v>
      </c>
      <c r="B3797" s="4" t="s">
        <v>10129</v>
      </c>
    </row>
    <row r="3798" spans="1:2" x14ac:dyDescent="0.3">
      <c r="A3798" s="4" t="s">
        <v>5576</v>
      </c>
      <c r="B3798" s="4" t="s">
        <v>5577</v>
      </c>
    </row>
    <row r="3799" spans="1:2" x14ac:dyDescent="0.3">
      <c r="A3799" s="4" t="s">
        <v>10130</v>
      </c>
      <c r="B3799" s="4" t="s">
        <v>10131</v>
      </c>
    </row>
    <row r="3800" spans="1:2" x14ac:dyDescent="0.3">
      <c r="A3800" s="4" t="s">
        <v>10132</v>
      </c>
      <c r="B3800" s="4" t="s">
        <v>10133</v>
      </c>
    </row>
    <row r="3801" spans="1:2" x14ac:dyDescent="0.3">
      <c r="A3801" s="4" t="s">
        <v>12566</v>
      </c>
      <c r="B3801" s="4" t="s">
        <v>12567</v>
      </c>
    </row>
    <row r="3802" spans="1:2" x14ac:dyDescent="0.3">
      <c r="A3802" s="4" t="s">
        <v>10134</v>
      </c>
      <c r="B3802" s="4" t="s">
        <v>10135</v>
      </c>
    </row>
    <row r="3803" spans="1:2" x14ac:dyDescent="0.3">
      <c r="A3803" s="4" t="s">
        <v>5578</v>
      </c>
      <c r="B3803" s="4" t="s">
        <v>5579</v>
      </c>
    </row>
    <row r="3804" spans="1:2" x14ac:dyDescent="0.3">
      <c r="A3804" s="4" t="s">
        <v>12568</v>
      </c>
      <c r="B3804" s="4" t="s">
        <v>12569</v>
      </c>
    </row>
    <row r="3805" spans="1:2" x14ac:dyDescent="0.3">
      <c r="A3805" s="4" t="s">
        <v>5580</v>
      </c>
      <c r="B3805" s="4" t="s">
        <v>5581</v>
      </c>
    </row>
    <row r="3806" spans="1:2" x14ac:dyDescent="0.3">
      <c r="A3806" s="4" t="s">
        <v>5582</v>
      </c>
      <c r="B3806" s="4" t="s">
        <v>5583</v>
      </c>
    </row>
    <row r="3807" spans="1:2" x14ac:dyDescent="0.3">
      <c r="A3807" s="4" t="s">
        <v>5584</v>
      </c>
      <c r="B3807" s="4" t="s">
        <v>5585</v>
      </c>
    </row>
    <row r="3808" spans="1:2" x14ac:dyDescent="0.3">
      <c r="A3808" s="4" t="s">
        <v>10136</v>
      </c>
      <c r="B3808" s="4" t="s">
        <v>8802</v>
      </c>
    </row>
    <row r="3809" spans="1:2" x14ac:dyDescent="0.3">
      <c r="A3809" s="4" t="s">
        <v>5586</v>
      </c>
      <c r="B3809" s="4" t="s">
        <v>5587</v>
      </c>
    </row>
    <row r="3810" spans="1:2" x14ac:dyDescent="0.3">
      <c r="A3810" s="4" t="s">
        <v>12570</v>
      </c>
      <c r="B3810" s="4" t="s">
        <v>12571</v>
      </c>
    </row>
    <row r="3811" spans="1:2" x14ac:dyDescent="0.3">
      <c r="A3811" s="4" t="s">
        <v>10137</v>
      </c>
      <c r="B3811" s="4" t="s">
        <v>10138</v>
      </c>
    </row>
    <row r="3812" spans="1:2" x14ac:dyDescent="0.3">
      <c r="A3812" s="4" t="s">
        <v>5588</v>
      </c>
      <c r="B3812" s="4" t="s">
        <v>5589</v>
      </c>
    </row>
    <row r="3813" spans="1:2" x14ac:dyDescent="0.3">
      <c r="A3813" s="4" t="s">
        <v>5591</v>
      </c>
      <c r="B3813" s="4" t="s">
        <v>5592</v>
      </c>
    </row>
    <row r="3814" spans="1:2" x14ac:dyDescent="0.3">
      <c r="A3814" s="4" t="s">
        <v>5593</v>
      </c>
      <c r="B3814" s="4" t="s">
        <v>5594</v>
      </c>
    </row>
    <row r="3815" spans="1:2" x14ac:dyDescent="0.3">
      <c r="A3815" s="4" t="s">
        <v>5595</v>
      </c>
      <c r="B3815" s="4" t="s">
        <v>5596</v>
      </c>
    </row>
    <row r="3816" spans="1:2" x14ac:dyDescent="0.3">
      <c r="A3816" s="4" t="s">
        <v>5597</v>
      </c>
      <c r="B3816" s="4" t="s">
        <v>5598</v>
      </c>
    </row>
    <row r="3817" spans="1:2" x14ac:dyDescent="0.3">
      <c r="A3817" s="4" t="s">
        <v>5599</v>
      </c>
      <c r="B3817" s="4" t="s">
        <v>5600</v>
      </c>
    </row>
    <row r="3818" spans="1:2" x14ac:dyDescent="0.3">
      <c r="A3818" s="4" t="s">
        <v>10139</v>
      </c>
      <c r="B3818" s="4" t="s">
        <v>10140</v>
      </c>
    </row>
    <row r="3819" spans="1:2" x14ac:dyDescent="0.3">
      <c r="A3819" s="4" t="s">
        <v>5601</v>
      </c>
      <c r="B3819" s="4" t="s">
        <v>5602</v>
      </c>
    </row>
    <row r="3820" spans="1:2" x14ac:dyDescent="0.3">
      <c r="A3820" s="4" t="s">
        <v>5603</v>
      </c>
      <c r="B3820" s="4" t="s">
        <v>5604</v>
      </c>
    </row>
    <row r="3821" spans="1:2" x14ac:dyDescent="0.3">
      <c r="A3821" s="4" t="s">
        <v>12572</v>
      </c>
      <c r="B3821" s="4" t="s">
        <v>8804</v>
      </c>
    </row>
    <row r="3822" spans="1:2" x14ac:dyDescent="0.3">
      <c r="A3822" s="4" t="s">
        <v>10141</v>
      </c>
      <c r="B3822" s="4" t="s">
        <v>10142</v>
      </c>
    </row>
    <row r="3823" spans="1:2" x14ac:dyDescent="0.3">
      <c r="A3823" s="4" t="s">
        <v>5605</v>
      </c>
      <c r="B3823" s="4" t="s">
        <v>5606</v>
      </c>
    </row>
    <row r="3824" spans="1:2" x14ac:dyDescent="0.3">
      <c r="A3824" s="4" t="s">
        <v>5607</v>
      </c>
      <c r="B3824" s="4" t="s">
        <v>1668</v>
      </c>
    </row>
    <row r="3825" spans="1:2" x14ac:dyDescent="0.3">
      <c r="A3825" s="4" t="s">
        <v>5608</v>
      </c>
      <c r="B3825" s="4" t="s">
        <v>5609</v>
      </c>
    </row>
    <row r="3826" spans="1:2" x14ac:dyDescent="0.3">
      <c r="A3826" s="4" t="s">
        <v>5610</v>
      </c>
      <c r="B3826" s="4" t="s">
        <v>5611</v>
      </c>
    </row>
    <row r="3827" spans="1:2" x14ac:dyDescent="0.3">
      <c r="A3827" s="4" t="s">
        <v>5612</v>
      </c>
      <c r="B3827" s="4" t="s">
        <v>5613</v>
      </c>
    </row>
    <row r="3828" spans="1:2" x14ac:dyDescent="0.3">
      <c r="A3828" s="4" t="s">
        <v>10143</v>
      </c>
      <c r="B3828" s="4" t="s">
        <v>10144</v>
      </c>
    </row>
    <row r="3829" spans="1:2" x14ac:dyDescent="0.3">
      <c r="A3829" s="4" t="s">
        <v>12573</v>
      </c>
      <c r="B3829" s="4" t="s">
        <v>12574</v>
      </c>
    </row>
    <row r="3830" spans="1:2" x14ac:dyDescent="0.3">
      <c r="A3830" s="4" t="s">
        <v>5614</v>
      </c>
      <c r="B3830" s="4" t="s">
        <v>5615</v>
      </c>
    </row>
    <row r="3831" spans="1:2" x14ac:dyDescent="0.3">
      <c r="A3831" s="4" t="s">
        <v>5616</v>
      </c>
      <c r="B3831" s="4" t="s">
        <v>5617</v>
      </c>
    </row>
    <row r="3832" spans="1:2" x14ac:dyDescent="0.3">
      <c r="A3832" s="4" t="s">
        <v>10145</v>
      </c>
      <c r="B3832" s="4" t="s">
        <v>10146</v>
      </c>
    </row>
    <row r="3833" spans="1:2" x14ac:dyDescent="0.3">
      <c r="A3833" s="4" t="s">
        <v>10147</v>
      </c>
      <c r="B3833" s="4" t="s">
        <v>10148</v>
      </c>
    </row>
    <row r="3834" spans="1:2" x14ac:dyDescent="0.3">
      <c r="A3834" s="4" t="s">
        <v>5618</v>
      </c>
      <c r="B3834" s="4" t="s">
        <v>5619</v>
      </c>
    </row>
    <row r="3835" spans="1:2" x14ac:dyDescent="0.3">
      <c r="A3835" s="4" t="s">
        <v>10149</v>
      </c>
      <c r="B3835" s="4" t="s">
        <v>10150</v>
      </c>
    </row>
    <row r="3836" spans="1:2" x14ac:dyDescent="0.3">
      <c r="A3836" s="4" t="s">
        <v>10151</v>
      </c>
      <c r="B3836" s="4" t="s">
        <v>8807</v>
      </c>
    </row>
    <row r="3837" spans="1:2" x14ac:dyDescent="0.3">
      <c r="A3837" s="4" t="s">
        <v>5620</v>
      </c>
      <c r="B3837" s="4" t="s">
        <v>5621</v>
      </c>
    </row>
    <row r="3838" spans="1:2" x14ac:dyDescent="0.3">
      <c r="A3838" s="4" t="s">
        <v>5622</v>
      </c>
      <c r="B3838" s="4" t="s">
        <v>5623</v>
      </c>
    </row>
    <row r="3839" spans="1:2" x14ac:dyDescent="0.3">
      <c r="A3839" s="4" t="s">
        <v>5624</v>
      </c>
      <c r="B3839" s="4" t="s">
        <v>5625</v>
      </c>
    </row>
    <row r="3840" spans="1:2" x14ac:dyDescent="0.3">
      <c r="A3840" s="4" t="s">
        <v>5626</v>
      </c>
      <c r="B3840" s="4" t="s">
        <v>5627</v>
      </c>
    </row>
    <row r="3841" spans="1:2" x14ac:dyDescent="0.3">
      <c r="A3841" s="4" t="s">
        <v>12575</v>
      </c>
      <c r="B3841" s="4" t="s">
        <v>12576</v>
      </c>
    </row>
    <row r="3842" spans="1:2" x14ac:dyDescent="0.3">
      <c r="A3842" s="4" t="s">
        <v>5629</v>
      </c>
      <c r="B3842" s="4" t="s">
        <v>5630</v>
      </c>
    </row>
    <row r="3843" spans="1:2" x14ac:dyDescent="0.3">
      <c r="A3843" s="4" t="s">
        <v>5631</v>
      </c>
      <c r="B3843" s="4" t="s">
        <v>5632</v>
      </c>
    </row>
    <row r="3844" spans="1:2" x14ac:dyDescent="0.3">
      <c r="A3844" s="4" t="s">
        <v>12577</v>
      </c>
      <c r="B3844" s="4" t="s">
        <v>12578</v>
      </c>
    </row>
    <row r="3845" spans="1:2" x14ac:dyDescent="0.3">
      <c r="A3845" s="4" t="s">
        <v>5633</v>
      </c>
      <c r="B3845" s="4" t="s">
        <v>5634</v>
      </c>
    </row>
    <row r="3846" spans="1:2" x14ac:dyDescent="0.3">
      <c r="A3846" s="4" t="s">
        <v>5635</v>
      </c>
      <c r="B3846" s="4" t="s">
        <v>5636</v>
      </c>
    </row>
    <row r="3847" spans="1:2" x14ac:dyDescent="0.3">
      <c r="A3847" s="4" t="s">
        <v>10647</v>
      </c>
      <c r="B3847" s="4" t="s">
        <v>12579</v>
      </c>
    </row>
    <row r="3848" spans="1:2" x14ac:dyDescent="0.3">
      <c r="A3848" s="4" t="s">
        <v>5637</v>
      </c>
      <c r="B3848" s="4" t="s">
        <v>5638</v>
      </c>
    </row>
    <row r="3849" spans="1:2" x14ac:dyDescent="0.3">
      <c r="A3849" s="4" t="s">
        <v>12580</v>
      </c>
      <c r="B3849" s="4" t="s">
        <v>1717</v>
      </c>
    </row>
    <row r="3850" spans="1:2" x14ac:dyDescent="0.3">
      <c r="A3850" s="4" t="s">
        <v>10152</v>
      </c>
      <c r="B3850" s="4" t="s">
        <v>10153</v>
      </c>
    </row>
    <row r="3851" spans="1:2" x14ac:dyDescent="0.3">
      <c r="A3851" s="4" t="s">
        <v>10154</v>
      </c>
      <c r="B3851" s="4" t="s">
        <v>10155</v>
      </c>
    </row>
    <row r="3852" spans="1:2" x14ac:dyDescent="0.3">
      <c r="A3852" s="4" t="s">
        <v>4471</v>
      </c>
      <c r="B3852" s="4" t="s">
        <v>10156</v>
      </c>
    </row>
    <row r="3853" spans="1:2" x14ac:dyDescent="0.3">
      <c r="A3853" s="4" t="s">
        <v>5639</v>
      </c>
      <c r="B3853" s="4" t="s">
        <v>5640</v>
      </c>
    </row>
    <row r="3854" spans="1:2" x14ac:dyDescent="0.3">
      <c r="A3854" s="4" t="s">
        <v>10157</v>
      </c>
      <c r="B3854" s="4" t="s">
        <v>10158</v>
      </c>
    </row>
    <row r="3855" spans="1:2" x14ac:dyDescent="0.3">
      <c r="A3855" s="4" t="s">
        <v>10159</v>
      </c>
      <c r="B3855" s="4" t="s">
        <v>10160</v>
      </c>
    </row>
    <row r="3856" spans="1:2" x14ac:dyDescent="0.3">
      <c r="A3856" s="4" t="s">
        <v>10161</v>
      </c>
      <c r="B3856" s="4" t="s">
        <v>10162</v>
      </c>
    </row>
    <row r="3857" spans="1:2" x14ac:dyDescent="0.3">
      <c r="A3857" s="4" t="s">
        <v>5641</v>
      </c>
      <c r="B3857" s="4" t="s">
        <v>5642</v>
      </c>
    </row>
    <row r="3858" spans="1:2" x14ac:dyDescent="0.3">
      <c r="A3858" s="4" t="s">
        <v>10163</v>
      </c>
      <c r="B3858" s="4" t="s">
        <v>10164</v>
      </c>
    </row>
    <row r="3859" spans="1:2" x14ac:dyDescent="0.3">
      <c r="A3859" s="4" t="s">
        <v>10165</v>
      </c>
      <c r="B3859" s="4" t="s">
        <v>10166</v>
      </c>
    </row>
    <row r="3860" spans="1:2" x14ac:dyDescent="0.3">
      <c r="A3860" s="4" t="s">
        <v>12581</v>
      </c>
      <c r="B3860" s="4" t="s">
        <v>12582</v>
      </c>
    </row>
    <row r="3861" spans="1:2" x14ac:dyDescent="0.3">
      <c r="A3861" s="4" t="s">
        <v>5643</v>
      </c>
      <c r="B3861" s="4" t="s">
        <v>5644</v>
      </c>
    </row>
    <row r="3862" spans="1:2" x14ac:dyDescent="0.3">
      <c r="A3862" s="4" t="s">
        <v>5645</v>
      </c>
      <c r="B3862" s="4" t="s">
        <v>5646</v>
      </c>
    </row>
    <row r="3863" spans="1:2" x14ac:dyDescent="0.3">
      <c r="A3863" s="4" t="s">
        <v>5647</v>
      </c>
      <c r="B3863" s="4" t="s">
        <v>5648</v>
      </c>
    </row>
    <row r="3864" spans="1:2" x14ac:dyDescent="0.3">
      <c r="A3864" s="4" t="s">
        <v>10167</v>
      </c>
      <c r="B3864" s="4" t="s">
        <v>10168</v>
      </c>
    </row>
    <row r="3865" spans="1:2" x14ac:dyDescent="0.3">
      <c r="A3865" s="4" t="s">
        <v>10169</v>
      </c>
      <c r="B3865" s="4" t="s">
        <v>10170</v>
      </c>
    </row>
    <row r="3866" spans="1:2" x14ac:dyDescent="0.3">
      <c r="A3866" s="4" t="s">
        <v>10171</v>
      </c>
      <c r="B3866" s="4" t="s">
        <v>10172</v>
      </c>
    </row>
    <row r="3867" spans="1:2" x14ac:dyDescent="0.3">
      <c r="A3867" s="4" t="s">
        <v>10173</v>
      </c>
      <c r="B3867" s="4" t="s">
        <v>10174</v>
      </c>
    </row>
    <row r="3868" spans="1:2" x14ac:dyDescent="0.3">
      <c r="A3868" s="4" t="s">
        <v>5650</v>
      </c>
      <c r="B3868" s="4" t="s">
        <v>5651</v>
      </c>
    </row>
    <row r="3869" spans="1:2" x14ac:dyDescent="0.3">
      <c r="A3869" s="4" t="s">
        <v>5652</v>
      </c>
      <c r="B3869" s="4" t="s">
        <v>5653</v>
      </c>
    </row>
    <row r="3870" spans="1:2" x14ac:dyDescent="0.3">
      <c r="A3870" s="4" t="s">
        <v>5654</v>
      </c>
      <c r="B3870" s="4" t="s">
        <v>5655</v>
      </c>
    </row>
    <row r="3871" spans="1:2" x14ac:dyDescent="0.3">
      <c r="A3871" s="4" t="s">
        <v>5656</v>
      </c>
      <c r="B3871" s="4" t="s">
        <v>5657</v>
      </c>
    </row>
    <row r="3872" spans="1:2" x14ac:dyDescent="0.3">
      <c r="A3872" s="4" t="s">
        <v>5658</v>
      </c>
      <c r="B3872" s="4" t="s">
        <v>5659</v>
      </c>
    </row>
    <row r="3873" spans="1:2" x14ac:dyDescent="0.3">
      <c r="A3873" s="4" t="s">
        <v>5660</v>
      </c>
      <c r="B3873" s="4" t="s">
        <v>5661</v>
      </c>
    </row>
    <row r="3874" spans="1:2" x14ac:dyDescent="0.3">
      <c r="A3874" s="4" t="s">
        <v>5662</v>
      </c>
      <c r="B3874" s="4" t="s">
        <v>5663</v>
      </c>
    </row>
    <row r="3875" spans="1:2" x14ac:dyDescent="0.3">
      <c r="A3875" s="4" t="s">
        <v>10175</v>
      </c>
      <c r="B3875" s="4" t="s">
        <v>10176</v>
      </c>
    </row>
    <row r="3876" spans="1:2" x14ac:dyDescent="0.3">
      <c r="A3876" s="4" t="s">
        <v>5664</v>
      </c>
      <c r="B3876" s="4" t="s">
        <v>5665</v>
      </c>
    </row>
    <row r="3877" spans="1:2" x14ac:dyDescent="0.3">
      <c r="A3877" s="4" t="s">
        <v>5666</v>
      </c>
      <c r="B3877" s="4" t="s">
        <v>5667</v>
      </c>
    </row>
    <row r="3878" spans="1:2" x14ac:dyDescent="0.3">
      <c r="A3878" s="4" t="s">
        <v>10177</v>
      </c>
      <c r="B3878" s="4" t="s">
        <v>10178</v>
      </c>
    </row>
    <row r="3879" spans="1:2" x14ac:dyDescent="0.3">
      <c r="A3879" s="4" t="s">
        <v>5668</v>
      </c>
      <c r="B3879" s="4" t="s">
        <v>5669</v>
      </c>
    </row>
    <row r="3880" spans="1:2" x14ac:dyDescent="0.3">
      <c r="A3880" s="4" t="s">
        <v>10179</v>
      </c>
      <c r="B3880" s="4" t="s">
        <v>10180</v>
      </c>
    </row>
    <row r="3881" spans="1:2" x14ac:dyDescent="0.3">
      <c r="A3881" s="4" t="s">
        <v>5670</v>
      </c>
      <c r="B3881" s="4" t="s">
        <v>5671</v>
      </c>
    </row>
    <row r="3882" spans="1:2" x14ac:dyDescent="0.3">
      <c r="A3882" s="4" t="s">
        <v>10181</v>
      </c>
      <c r="B3882" s="4" t="s">
        <v>10182</v>
      </c>
    </row>
    <row r="3883" spans="1:2" x14ac:dyDescent="0.3">
      <c r="A3883" s="4" t="s">
        <v>10183</v>
      </c>
      <c r="B3883" s="4" t="s">
        <v>10184</v>
      </c>
    </row>
    <row r="3884" spans="1:2" x14ac:dyDescent="0.3">
      <c r="A3884" s="4" t="s">
        <v>5672</v>
      </c>
      <c r="B3884" s="4" t="s">
        <v>5673</v>
      </c>
    </row>
    <row r="3885" spans="1:2" x14ac:dyDescent="0.3">
      <c r="A3885" s="4" t="s">
        <v>10185</v>
      </c>
      <c r="B3885" s="4" t="s">
        <v>10186</v>
      </c>
    </row>
    <row r="3886" spans="1:2" x14ac:dyDescent="0.3">
      <c r="A3886" s="4" t="s">
        <v>10187</v>
      </c>
      <c r="B3886" s="4" t="s">
        <v>10188</v>
      </c>
    </row>
    <row r="3887" spans="1:2" x14ac:dyDescent="0.3">
      <c r="A3887" s="4" t="s">
        <v>5674</v>
      </c>
      <c r="B3887" s="4" t="s">
        <v>5675</v>
      </c>
    </row>
    <row r="3888" spans="1:2" x14ac:dyDescent="0.3">
      <c r="A3888" s="4" t="s">
        <v>10189</v>
      </c>
      <c r="B3888" s="4" t="s">
        <v>10190</v>
      </c>
    </row>
    <row r="3889" spans="1:2" x14ac:dyDescent="0.3">
      <c r="A3889" s="4" t="s">
        <v>10191</v>
      </c>
      <c r="B3889" s="4" t="s">
        <v>10192</v>
      </c>
    </row>
    <row r="3890" spans="1:2" x14ac:dyDescent="0.3">
      <c r="A3890" s="4" t="s">
        <v>5676</v>
      </c>
      <c r="B3890" s="4" t="s">
        <v>5677</v>
      </c>
    </row>
    <row r="3891" spans="1:2" x14ac:dyDescent="0.3">
      <c r="A3891" s="4" t="s">
        <v>10193</v>
      </c>
      <c r="B3891" s="4" t="s">
        <v>10194</v>
      </c>
    </row>
    <row r="3892" spans="1:2" x14ac:dyDescent="0.3">
      <c r="A3892" s="4" t="s">
        <v>10195</v>
      </c>
      <c r="B3892" s="4" t="s">
        <v>10196</v>
      </c>
    </row>
    <row r="3893" spans="1:2" x14ac:dyDescent="0.3">
      <c r="A3893" s="4" t="s">
        <v>10197</v>
      </c>
      <c r="B3893" s="4" t="s">
        <v>10198</v>
      </c>
    </row>
    <row r="3894" spans="1:2" x14ac:dyDescent="0.3">
      <c r="A3894" s="4" t="s">
        <v>5678</v>
      </c>
      <c r="B3894" s="4" t="s">
        <v>5679</v>
      </c>
    </row>
    <row r="3895" spans="1:2" x14ac:dyDescent="0.3">
      <c r="A3895" s="4" t="s">
        <v>5680</v>
      </c>
      <c r="B3895" s="4" t="s">
        <v>5681</v>
      </c>
    </row>
    <row r="3896" spans="1:2" x14ac:dyDescent="0.3">
      <c r="A3896" s="4" t="s">
        <v>5682</v>
      </c>
      <c r="B3896" s="4" t="s">
        <v>5683</v>
      </c>
    </row>
    <row r="3897" spans="1:2" x14ac:dyDescent="0.3">
      <c r="A3897" s="4" t="s">
        <v>5684</v>
      </c>
      <c r="B3897" s="4" t="s">
        <v>10199</v>
      </c>
    </row>
    <row r="3898" spans="1:2" x14ac:dyDescent="0.3">
      <c r="A3898" s="4" t="s">
        <v>10200</v>
      </c>
      <c r="B3898" s="4" t="s">
        <v>10201</v>
      </c>
    </row>
    <row r="3899" spans="1:2" x14ac:dyDescent="0.3">
      <c r="A3899" s="4" t="s">
        <v>5685</v>
      </c>
      <c r="B3899" s="4" t="s">
        <v>5686</v>
      </c>
    </row>
    <row r="3900" spans="1:2" x14ac:dyDescent="0.3">
      <c r="A3900" s="4" t="s">
        <v>10202</v>
      </c>
      <c r="B3900" s="4" t="s">
        <v>10203</v>
      </c>
    </row>
    <row r="3901" spans="1:2" x14ac:dyDescent="0.3">
      <c r="A3901" s="4" t="s">
        <v>5687</v>
      </c>
      <c r="B3901" s="4" t="s">
        <v>5688</v>
      </c>
    </row>
    <row r="3902" spans="1:2" x14ac:dyDescent="0.3">
      <c r="A3902" s="4" t="s">
        <v>10204</v>
      </c>
      <c r="B3902" s="4" t="s">
        <v>10205</v>
      </c>
    </row>
    <row r="3903" spans="1:2" x14ac:dyDescent="0.3">
      <c r="A3903" s="4" t="s">
        <v>10206</v>
      </c>
      <c r="B3903" s="4" t="s">
        <v>10207</v>
      </c>
    </row>
    <row r="3904" spans="1:2" x14ac:dyDescent="0.3">
      <c r="A3904" s="4" t="s">
        <v>5689</v>
      </c>
      <c r="B3904" s="4" t="s">
        <v>5690</v>
      </c>
    </row>
    <row r="3905" spans="1:2" x14ac:dyDescent="0.3">
      <c r="A3905" s="4" t="s">
        <v>5692</v>
      </c>
      <c r="B3905" s="4" t="s">
        <v>5693</v>
      </c>
    </row>
    <row r="3906" spans="1:2" x14ac:dyDescent="0.3">
      <c r="A3906" s="4" t="s">
        <v>10208</v>
      </c>
      <c r="B3906" s="4" t="s">
        <v>10209</v>
      </c>
    </row>
    <row r="3907" spans="1:2" x14ac:dyDescent="0.3">
      <c r="A3907" s="4" t="s">
        <v>5694</v>
      </c>
      <c r="B3907" s="4" t="s">
        <v>5695</v>
      </c>
    </row>
    <row r="3908" spans="1:2" x14ac:dyDescent="0.3">
      <c r="A3908" s="4" t="s">
        <v>10210</v>
      </c>
      <c r="B3908" s="4" t="s">
        <v>10211</v>
      </c>
    </row>
    <row r="3909" spans="1:2" x14ac:dyDescent="0.3">
      <c r="A3909" s="4" t="s">
        <v>10212</v>
      </c>
      <c r="B3909" s="4" t="s">
        <v>10213</v>
      </c>
    </row>
    <row r="3910" spans="1:2" x14ac:dyDescent="0.3">
      <c r="A3910" s="4" t="s">
        <v>10214</v>
      </c>
      <c r="B3910" s="4" t="s">
        <v>10215</v>
      </c>
    </row>
    <row r="3911" spans="1:2" x14ac:dyDescent="0.3">
      <c r="A3911" s="4" t="s">
        <v>5696</v>
      </c>
      <c r="B3911" s="4" t="s">
        <v>5697</v>
      </c>
    </row>
    <row r="3912" spans="1:2" x14ac:dyDescent="0.3">
      <c r="A3912" s="4" t="s">
        <v>5698</v>
      </c>
      <c r="B3912" s="4" t="s">
        <v>5699</v>
      </c>
    </row>
    <row r="3913" spans="1:2" x14ac:dyDescent="0.3">
      <c r="A3913" s="4" t="s">
        <v>10216</v>
      </c>
      <c r="B3913" s="4" t="s">
        <v>10217</v>
      </c>
    </row>
    <row r="3914" spans="1:2" x14ac:dyDescent="0.3">
      <c r="A3914" s="4" t="s">
        <v>5700</v>
      </c>
      <c r="B3914" s="4" t="s">
        <v>5701</v>
      </c>
    </row>
    <row r="3915" spans="1:2" x14ac:dyDescent="0.3">
      <c r="A3915" s="4" t="s">
        <v>5702</v>
      </c>
      <c r="B3915" s="4" t="s">
        <v>5703</v>
      </c>
    </row>
    <row r="3916" spans="1:2" x14ac:dyDescent="0.3">
      <c r="A3916" s="4" t="s">
        <v>5704</v>
      </c>
      <c r="B3916" s="4" t="s">
        <v>5705</v>
      </c>
    </row>
    <row r="3917" spans="1:2" x14ac:dyDescent="0.3">
      <c r="A3917" s="4" t="s">
        <v>12583</v>
      </c>
      <c r="B3917" s="4" t="s">
        <v>12584</v>
      </c>
    </row>
    <row r="3918" spans="1:2" x14ac:dyDescent="0.3">
      <c r="A3918" s="4" t="s">
        <v>10218</v>
      </c>
      <c r="B3918" s="4" t="s">
        <v>10219</v>
      </c>
    </row>
    <row r="3919" spans="1:2" x14ac:dyDescent="0.3">
      <c r="A3919" s="4" t="s">
        <v>10220</v>
      </c>
      <c r="B3919" s="4" t="s">
        <v>10221</v>
      </c>
    </row>
    <row r="3920" spans="1:2" x14ac:dyDescent="0.3">
      <c r="A3920" s="4" t="s">
        <v>10222</v>
      </c>
      <c r="B3920" s="4" t="s">
        <v>10223</v>
      </c>
    </row>
    <row r="3921" spans="1:2" x14ac:dyDescent="0.3">
      <c r="A3921" s="4" t="s">
        <v>10224</v>
      </c>
      <c r="B3921" s="4" t="s">
        <v>10225</v>
      </c>
    </row>
    <row r="3922" spans="1:2" x14ac:dyDescent="0.3">
      <c r="A3922" s="4" t="s">
        <v>5706</v>
      </c>
      <c r="B3922" s="4" t="s">
        <v>5707</v>
      </c>
    </row>
    <row r="3923" spans="1:2" x14ac:dyDescent="0.3">
      <c r="A3923" s="4" t="s">
        <v>10226</v>
      </c>
      <c r="B3923" s="4" t="s">
        <v>10227</v>
      </c>
    </row>
    <row r="3924" spans="1:2" x14ac:dyDescent="0.3">
      <c r="A3924" s="4" t="s">
        <v>7034</v>
      </c>
      <c r="B3924" s="4" t="s">
        <v>12585</v>
      </c>
    </row>
    <row r="3925" spans="1:2" x14ac:dyDescent="0.3">
      <c r="A3925" s="4" t="s">
        <v>10228</v>
      </c>
      <c r="B3925" s="4" t="s">
        <v>10229</v>
      </c>
    </row>
    <row r="3926" spans="1:2" x14ac:dyDescent="0.3">
      <c r="A3926" s="4" t="s">
        <v>12586</v>
      </c>
      <c r="B3926" s="4" t="s">
        <v>12587</v>
      </c>
    </row>
    <row r="3927" spans="1:2" x14ac:dyDescent="0.3">
      <c r="A3927" s="4" t="s">
        <v>12588</v>
      </c>
      <c r="B3927" s="4" t="s">
        <v>12589</v>
      </c>
    </row>
    <row r="3928" spans="1:2" x14ac:dyDescent="0.3">
      <c r="A3928" s="4" t="s">
        <v>10230</v>
      </c>
      <c r="B3928" s="4" t="s">
        <v>10231</v>
      </c>
    </row>
    <row r="3929" spans="1:2" x14ac:dyDescent="0.3">
      <c r="A3929" s="4" t="s">
        <v>10232</v>
      </c>
      <c r="B3929" s="4" t="s">
        <v>10233</v>
      </c>
    </row>
    <row r="3930" spans="1:2" x14ac:dyDescent="0.3">
      <c r="A3930" s="4" t="s">
        <v>5738</v>
      </c>
      <c r="B3930" s="4" t="s">
        <v>10234</v>
      </c>
    </row>
    <row r="3931" spans="1:2" x14ac:dyDescent="0.3">
      <c r="A3931" s="4" t="s">
        <v>10235</v>
      </c>
      <c r="B3931" s="4" t="s">
        <v>10236</v>
      </c>
    </row>
    <row r="3932" spans="1:2" x14ac:dyDescent="0.3">
      <c r="A3932" s="4" t="s">
        <v>5708</v>
      </c>
      <c r="B3932" s="4" t="s">
        <v>5709</v>
      </c>
    </row>
    <row r="3933" spans="1:2" x14ac:dyDescent="0.3">
      <c r="A3933" s="4" t="s">
        <v>10237</v>
      </c>
      <c r="B3933" s="4" t="s">
        <v>10238</v>
      </c>
    </row>
    <row r="3934" spans="1:2" x14ac:dyDescent="0.3">
      <c r="A3934" s="4" t="s">
        <v>5710</v>
      </c>
      <c r="B3934" s="4" t="s">
        <v>5711</v>
      </c>
    </row>
    <row r="3935" spans="1:2" x14ac:dyDescent="0.3">
      <c r="A3935" s="4" t="s">
        <v>10239</v>
      </c>
      <c r="B3935" s="4" t="s">
        <v>10240</v>
      </c>
    </row>
    <row r="3936" spans="1:2" x14ac:dyDescent="0.3">
      <c r="A3936" s="4" t="s">
        <v>10241</v>
      </c>
      <c r="B3936" s="4" t="s">
        <v>10242</v>
      </c>
    </row>
    <row r="3937" spans="1:2" x14ac:dyDescent="0.3">
      <c r="A3937" s="4" t="s">
        <v>10243</v>
      </c>
      <c r="B3937" s="4" t="s">
        <v>10244</v>
      </c>
    </row>
    <row r="3938" spans="1:2" x14ac:dyDescent="0.3">
      <c r="A3938" s="4" t="s">
        <v>12590</v>
      </c>
      <c r="B3938" s="4" t="s">
        <v>12591</v>
      </c>
    </row>
    <row r="3939" spans="1:2" x14ac:dyDescent="0.3">
      <c r="A3939" s="4" t="s">
        <v>10245</v>
      </c>
      <c r="B3939" s="4" t="s">
        <v>10246</v>
      </c>
    </row>
    <row r="3940" spans="1:2" x14ac:dyDescent="0.3">
      <c r="A3940" s="4" t="s">
        <v>5712</v>
      </c>
      <c r="B3940" s="4" t="s">
        <v>5713</v>
      </c>
    </row>
    <row r="3941" spans="1:2" x14ac:dyDescent="0.3">
      <c r="A3941" s="4" t="s">
        <v>10247</v>
      </c>
      <c r="B3941" s="4" t="s">
        <v>10248</v>
      </c>
    </row>
    <row r="3942" spans="1:2" x14ac:dyDescent="0.3">
      <c r="A3942" s="4" t="s">
        <v>10249</v>
      </c>
      <c r="B3942" s="4" t="s">
        <v>10250</v>
      </c>
    </row>
    <row r="3943" spans="1:2" x14ac:dyDescent="0.3">
      <c r="A3943" s="4" t="s">
        <v>10251</v>
      </c>
      <c r="B3943" s="4" t="s">
        <v>10252</v>
      </c>
    </row>
    <row r="3944" spans="1:2" x14ac:dyDescent="0.3">
      <c r="A3944" s="4" t="s">
        <v>10253</v>
      </c>
      <c r="B3944" s="4" t="s">
        <v>10254</v>
      </c>
    </row>
    <row r="3945" spans="1:2" x14ac:dyDescent="0.3">
      <c r="A3945" s="4" t="s">
        <v>5714</v>
      </c>
      <c r="B3945" s="4" t="s">
        <v>5715</v>
      </c>
    </row>
    <row r="3946" spans="1:2" x14ac:dyDescent="0.3">
      <c r="A3946" s="4" t="s">
        <v>5717</v>
      </c>
      <c r="B3946" s="4" t="s">
        <v>5718</v>
      </c>
    </row>
    <row r="3947" spans="1:2" x14ac:dyDescent="0.3">
      <c r="A3947" s="4" t="s">
        <v>5719</v>
      </c>
      <c r="B3947" s="4" t="s">
        <v>5720</v>
      </c>
    </row>
    <row r="3948" spans="1:2" x14ac:dyDescent="0.3">
      <c r="A3948" s="4" t="s">
        <v>5721</v>
      </c>
      <c r="B3948" s="4" t="s">
        <v>5722</v>
      </c>
    </row>
    <row r="3949" spans="1:2" x14ac:dyDescent="0.3">
      <c r="A3949" s="4" t="s">
        <v>5723</v>
      </c>
      <c r="B3949" s="4" t="s">
        <v>5724</v>
      </c>
    </row>
    <row r="3950" spans="1:2" x14ac:dyDescent="0.3">
      <c r="A3950" s="4" t="s">
        <v>5725</v>
      </c>
      <c r="B3950" s="4" t="s">
        <v>5726</v>
      </c>
    </row>
    <row r="3951" spans="1:2" x14ac:dyDescent="0.3">
      <c r="A3951" s="4" t="s">
        <v>5727</v>
      </c>
      <c r="B3951" s="4" t="s">
        <v>5728</v>
      </c>
    </row>
    <row r="3952" spans="1:2" x14ac:dyDescent="0.3">
      <c r="A3952" s="4" t="s">
        <v>12592</v>
      </c>
      <c r="B3952" s="4" t="s">
        <v>12593</v>
      </c>
    </row>
    <row r="3953" spans="1:2" x14ac:dyDescent="0.3">
      <c r="A3953" s="4" t="s">
        <v>5729</v>
      </c>
      <c r="B3953" s="4" t="s">
        <v>10255</v>
      </c>
    </row>
    <row r="3954" spans="1:2" x14ac:dyDescent="0.3">
      <c r="A3954" s="4" t="s">
        <v>5730</v>
      </c>
      <c r="B3954" s="4" t="s">
        <v>5731</v>
      </c>
    </row>
    <row r="3955" spans="1:2" x14ac:dyDescent="0.3">
      <c r="A3955" s="4" t="s">
        <v>5732</v>
      </c>
      <c r="B3955" s="4" t="s">
        <v>5733</v>
      </c>
    </row>
    <row r="3956" spans="1:2" x14ac:dyDescent="0.3">
      <c r="A3956" s="4" t="s">
        <v>5734</v>
      </c>
      <c r="B3956" s="4" t="s">
        <v>5735</v>
      </c>
    </row>
    <row r="3957" spans="1:2" x14ac:dyDescent="0.3">
      <c r="A3957" s="4" t="s">
        <v>5736</v>
      </c>
      <c r="B3957" s="4" t="s">
        <v>5737</v>
      </c>
    </row>
    <row r="3958" spans="1:2" x14ac:dyDescent="0.3">
      <c r="A3958" s="4" t="s">
        <v>10256</v>
      </c>
      <c r="B3958" s="4" t="s">
        <v>10257</v>
      </c>
    </row>
    <row r="3959" spans="1:2" x14ac:dyDescent="0.3">
      <c r="A3959" s="4" t="s">
        <v>4492</v>
      </c>
      <c r="B3959" s="4" t="s">
        <v>10258</v>
      </c>
    </row>
    <row r="3960" spans="1:2" x14ac:dyDescent="0.3">
      <c r="A3960" s="4" t="s">
        <v>5739</v>
      </c>
      <c r="B3960" s="4" t="s">
        <v>5740</v>
      </c>
    </row>
    <row r="3961" spans="1:2" x14ac:dyDescent="0.3">
      <c r="A3961" s="4" t="s">
        <v>10259</v>
      </c>
      <c r="B3961" s="4" t="s">
        <v>10260</v>
      </c>
    </row>
    <row r="3962" spans="1:2" x14ac:dyDescent="0.3">
      <c r="A3962" s="4" t="s">
        <v>5741</v>
      </c>
      <c r="B3962" s="4" t="s">
        <v>5742</v>
      </c>
    </row>
    <row r="3963" spans="1:2" x14ac:dyDescent="0.3">
      <c r="A3963" s="4" t="s">
        <v>10261</v>
      </c>
      <c r="B3963" s="4" t="s">
        <v>10262</v>
      </c>
    </row>
    <row r="3964" spans="1:2" x14ac:dyDescent="0.3">
      <c r="A3964" s="4" t="s">
        <v>5757</v>
      </c>
      <c r="B3964" s="4" t="s">
        <v>10263</v>
      </c>
    </row>
    <row r="3965" spans="1:2" x14ac:dyDescent="0.3">
      <c r="A3965" s="4" t="s">
        <v>5743</v>
      </c>
      <c r="B3965" s="4" t="s">
        <v>5744</v>
      </c>
    </row>
    <row r="3966" spans="1:2" x14ac:dyDescent="0.3">
      <c r="A3966" s="4" t="s">
        <v>5745</v>
      </c>
      <c r="B3966" s="4" t="s">
        <v>5746</v>
      </c>
    </row>
    <row r="3967" spans="1:2" x14ac:dyDescent="0.3">
      <c r="A3967" s="4" t="s">
        <v>10264</v>
      </c>
      <c r="B3967" s="4" t="s">
        <v>10265</v>
      </c>
    </row>
    <row r="3968" spans="1:2" x14ac:dyDescent="0.3">
      <c r="A3968" s="4" t="s">
        <v>5747</v>
      </c>
      <c r="B3968" s="4" t="s">
        <v>5748</v>
      </c>
    </row>
    <row r="3969" spans="1:2" x14ac:dyDescent="0.3">
      <c r="A3969" s="4" t="s">
        <v>5749</v>
      </c>
      <c r="B3969" s="4" t="s">
        <v>5750</v>
      </c>
    </row>
    <row r="3970" spans="1:2" x14ac:dyDescent="0.3">
      <c r="A3970" s="4" t="s">
        <v>5751</v>
      </c>
      <c r="B3970" s="4" t="s">
        <v>5752</v>
      </c>
    </row>
    <row r="3971" spans="1:2" x14ac:dyDescent="0.3">
      <c r="A3971" s="4" t="s">
        <v>5755</v>
      </c>
      <c r="B3971" s="4" t="s">
        <v>5756</v>
      </c>
    </row>
    <row r="3972" spans="1:2" x14ac:dyDescent="0.3">
      <c r="A3972" s="4" t="s">
        <v>5758</v>
      </c>
      <c r="B3972" s="4" t="s">
        <v>5759</v>
      </c>
    </row>
    <row r="3973" spans="1:2" x14ac:dyDescent="0.3">
      <c r="A3973" s="4" t="s">
        <v>5760</v>
      </c>
      <c r="B3973" s="4" t="s">
        <v>5761</v>
      </c>
    </row>
    <row r="3974" spans="1:2" x14ac:dyDescent="0.3">
      <c r="A3974" s="4" t="s">
        <v>5762</v>
      </c>
      <c r="B3974" s="4" t="s">
        <v>5763</v>
      </c>
    </row>
    <row r="3975" spans="1:2" x14ac:dyDescent="0.3">
      <c r="A3975" s="4" t="s">
        <v>5764</v>
      </c>
      <c r="B3975" s="4" t="s">
        <v>5765</v>
      </c>
    </row>
    <row r="3976" spans="1:2" x14ac:dyDescent="0.3">
      <c r="A3976" s="4" t="s">
        <v>10266</v>
      </c>
      <c r="B3976" s="4" t="s">
        <v>10267</v>
      </c>
    </row>
    <row r="3977" spans="1:2" x14ac:dyDescent="0.3">
      <c r="A3977" s="4" t="s">
        <v>5766</v>
      </c>
      <c r="B3977" s="4" t="s">
        <v>5767</v>
      </c>
    </row>
    <row r="3978" spans="1:2" x14ac:dyDescent="0.3">
      <c r="A3978" s="4" t="s">
        <v>5768</v>
      </c>
      <c r="B3978" s="4" t="s">
        <v>5769</v>
      </c>
    </row>
    <row r="3979" spans="1:2" x14ac:dyDescent="0.3">
      <c r="A3979" s="4" t="s">
        <v>5770</v>
      </c>
      <c r="B3979" s="4" t="s">
        <v>5771</v>
      </c>
    </row>
    <row r="3980" spans="1:2" x14ac:dyDescent="0.3">
      <c r="A3980" s="4" t="s">
        <v>5772</v>
      </c>
      <c r="B3980" s="4" t="s">
        <v>5773</v>
      </c>
    </row>
    <row r="3981" spans="1:2" x14ac:dyDescent="0.3">
      <c r="A3981" s="4" t="s">
        <v>5774</v>
      </c>
      <c r="B3981" s="4" t="s">
        <v>5775</v>
      </c>
    </row>
    <row r="3982" spans="1:2" x14ac:dyDescent="0.3">
      <c r="A3982" s="4" t="s">
        <v>10268</v>
      </c>
      <c r="B3982" s="4" t="s">
        <v>10269</v>
      </c>
    </row>
    <row r="3983" spans="1:2" x14ac:dyDescent="0.3">
      <c r="A3983" s="4" t="s">
        <v>5776</v>
      </c>
      <c r="B3983" s="4" t="s">
        <v>5777</v>
      </c>
    </row>
    <row r="3984" spans="1:2" x14ac:dyDescent="0.3">
      <c r="A3984" s="4" t="s">
        <v>10270</v>
      </c>
      <c r="B3984" s="4" t="s">
        <v>10271</v>
      </c>
    </row>
    <row r="3985" spans="1:2" x14ac:dyDescent="0.3">
      <c r="A3985" s="4" t="s">
        <v>5779</v>
      </c>
      <c r="B3985" s="4" t="s">
        <v>5780</v>
      </c>
    </row>
    <row r="3986" spans="1:2" x14ac:dyDescent="0.3">
      <c r="A3986" s="4" t="s">
        <v>5781</v>
      </c>
      <c r="B3986" s="4" t="s">
        <v>5782</v>
      </c>
    </row>
    <row r="3987" spans="1:2" x14ac:dyDescent="0.3">
      <c r="A3987" s="4" t="s">
        <v>10272</v>
      </c>
      <c r="B3987" s="4" t="s">
        <v>1837</v>
      </c>
    </row>
    <row r="3988" spans="1:2" x14ac:dyDescent="0.3">
      <c r="A3988" s="4" t="s">
        <v>5783</v>
      </c>
      <c r="B3988" s="4" t="s">
        <v>5784</v>
      </c>
    </row>
    <row r="3989" spans="1:2" x14ac:dyDescent="0.3">
      <c r="A3989" s="4" t="s">
        <v>5785</v>
      </c>
      <c r="B3989" s="4" t="s">
        <v>5786</v>
      </c>
    </row>
    <row r="3990" spans="1:2" x14ac:dyDescent="0.3">
      <c r="A3990" s="4" t="s">
        <v>10273</v>
      </c>
      <c r="B3990" s="4" t="s">
        <v>10274</v>
      </c>
    </row>
    <row r="3991" spans="1:2" x14ac:dyDescent="0.3">
      <c r="A3991" s="4" t="s">
        <v>12594</v>
      </c>
      <c r="B3991" s="4" t="s">
        <v>12595</v>
      </c>
    </row>
    <row r="3992" spans="1:2" x14ac:dyDescent="0.3">
      <c r="A3992" s="4" t="s">
        <v>5787</v>
      </c>
      <c r="B3992" s="4" t="s">
        <v>5788</v>
      </c>
    </row>
    <row r="3993" spans="1:2" x14ac:dyDescent="0.3">
      <c r="A3993" s="4" t="s">
        <v>5789</v>
      </c>
      <c r="B3993" s="4" t="s">
        <v>5790</v>
      </c>
    </row>
    <row r="3994" spans="1:2" x14ac:dyDescent="0.3">
      <c r="A3994" s="4" t="s">
        <v>10275</v>
      </c>
      <c r="B3994" s="4" t="s">
        <v>10276</v>
      </c>
    </row>
    <row r="3995" spans="1:2" x14ac:dyDescent="0.3">
      <c r="A3995" s="4" t="s">
        <v>10277</v>
      </c>
      <c r="B3995" s="4" t="s">
        <v>10278</v>
      </c>
    </row>
    <row r="3996" spans="1:2" x14ac:dyDescent="0.3">
      <c r="A3996" s="4" t="s">
        <v>10279</v>
      </c>
      <c r="B3996" s="4" t="s">
        <v>10280</v>
      </c>
    </row>
    <row r="3997" spans="1:2" x14ac:dyDescent="0.3">
      <c r="A3997" s="4" t="s">
        <v>5791</v>
      </c>
      <c r="B3997" s="4" t="s">
        <v>5792</v>
      </c>
    </row>
    <row r="3998" spans="1:2" x14ac:dyDescent="0.3">
      <c r="A3998" s="4" t="s">
        <v>5793</v>
      </c>
      <c r="B3998" s="4" t="s">
        <v>5794</v>
      </c>
    </row>
    <row r="3999" spans="1:2" x14ac:dyDescent="0.3">
      <c r="A3999" s="4" t="s">
        <v>5795</v>
      </c>
      <c r="B3999" s="4" t="s">
        <v>5796</v>
      </c>
    </row>
    <row r="4000" spans="1:2" x14ac:dyDescent="0.3">
      <c r="A4000" s="4" t="s">
        <v>10281</v>
      </c>
      <c r="B4000" s="4" t="s">
        <v>10282</v>
      </c>
    </row>
    <row r="4001" spans="1:2" x14ac:dyDescent="0.3">
      <c r="A4001" s="4" t="s">
        <v>12596</v>
      </c>
      <c r="B4001" s="4" t="s">
        <v>12597</v>
      </c>
    </row>
    <row r="4002" spans="1:2" x14ac:dyDescent="0.3">
      <c r="A4002" s="4" t="s">
        <v>10283</v>
      </c>
      <c r="B4002" s="4" t="s">
        <v>10284</v>
      </c>
    </row>
    <row r="4003" spans="1:2" x14ac:dyDescent="0.3">
      <c r="A4003" s="4" t="s">
        <v>5797</v>
      </c>
      <c r="B4003" s="4" t="s">
        <v>5798</v>
      </c>
    </row>
    <row r="4004" spans="1:2" x14ac:dyDescent="0.3">
      <c r="A4004" s="4" t="s">
        <v>5799</v>
      </c>
      <c r="B4004" s="4" t="s">
        <v>5800</v>
      </c>
    </row>
    <row r="4005" spans="1:2" x14ac:dyDescent="0.3">
      <c r="A4005" s="4" t="s">
        <v>10285</v>
      </c>
      <c r="B4005" s="4" t="s">
        <v>8827</v>
      </c>
    </row>
    <row r="4006" spans="1:2" x14ac:dyDescent="0.3">
      <c r="A4006" s="4" t="s">
        <v>10286</v>
      </c>
      <c r="B4006" s="4" t="s">
        <v>10287</v>
      </c>
    </row>
    <row r="4007" spans="1:2" x14ac:dyDescent="0.3">
      <c r="A4007" s="4" t="s">
        <v>5801</v>
      </c>
      <c r="B4007" s="4" t="s">
        <v>5802</v>
      </c>
    </row>
    <row r="4008" spans="1:2" x14ac:dyDescent="0.3">
      <c r="A4008" s="4" t="s">
        <v>5804</v>
      </c>
      <c r="B4008" s="4" t="s">
        <v>5805</v>
      </c>
    </row>
    <row r="4009" spans="1:2" x14ac:dyDescent="0.3">
      <c r="A4009" s="4" t="s">
        <v>5806</v>
      </c>
      <c r="B4009" s="4" t="s">
        <v>5807</v>
      </c>
    </row>
    <row r="4010" spans="1:2" x14ac:dyDescent="0.3">
      <c r="A4010" s="4" t="s">
        <v>5808</v>
      </c>
      <c r="B4010" s="4" t="s">
        <v>5809</v>
      </c>
    </row>
    <row r="4011" spans="1:2" x14ac:dyDescent="0.3">
      <c r="A4011" s="4" t="s">
        <v>5810</v>
      </c>
      <c r="B4011" s="4" t="s">
        <v>5811</v>
      </c>
    </row>
    <row r="4012" spans="1:2" x14ac:dyDescent="0.3">
      <c r="A4012" s="4" t="s">
        <v>5812</v>
      </c>
      <c r="B4012" s="4" t="s">
        <v>5813</v>
      </c>
    </row>
    <row r="4013" spans="1:2" x14ac:dyDescent="0.3">
      <c r="A4013" s="4" t="s">
        <v>10288</v>
      </c>
      <c r="B4013" s="4" t="s">
        <v>10289</v>
      </c>
    </row>
    <row r="4014" spans="1:2" x14ac:dyDescent="0.3">
      <c r="A4014" s="4" t="s">
        <v>5814</v>
      </c>
      <c r="B4014" s="4" t="s">
        <v>5815</v>
      </c>
    </row>
    <row r="4015" spans="1:2" x14ac:dyDescent="0.3">
      <c r="A4015" s="4" t="s">
        <v>10290</v>
      </c>
      <c r="B4015" s="4" t="s">
        <v>10291</v>
      </c>
    </row>
    <row r="4016" spans="1:2" x14ac:dyDescent="0.3">
      <c r="A4016" s="4" t="s">
        <v>5816</v>
      </c>
      <c r="B4016" s="4" t="s">
        <v>5817</v>
      </c>
    </row>
    <row r="4017" spans="1:2" x14ac:dyDescent="0.3">
      <c r="A4017" s="4" t="s">
        <v>5818</v>
      </c>
      <c r="B4017" s="4" t="s">
        <v>5819</v>
      </c>
    </row>
    <row r="4018" spans="1:2" x14ac:dyDescent="0.3">
      <c r="A4018" s="4" t="s">
        <v>5820</v>
      </c>
      <c r="B4018" s="4" t="s">
        <v>5821</v>
      </c>
    </row>
    <row r="4019" spans="1:2" x14ac:dyDescent="0.3">
      <c r="A4019" s="4" t="s">
        <v>5822</v>
      </c>
      <c r="B4019" s="4" t="s">
        <v>5823</v>
      </c>
    </row>
    <row r="4020" spans="1:2" x14ac:dyDescent="0.3">
      <c r="A4020" s="4" t="s">
        <v>5824</v>
      </c>
      <c r="B4020" s="4" t="s">
        <v>5825</v>
      </c>
    </row>
    <row r="4021" spans="1:2" x14ac:dyDescent="0.3">
      <c r="A4021" s="4" t="s">
        <v>5826</v>
      </c>
      <c r="B4021" s="4" t="s">
        <v>5827</v>
      </c>
    </row>
    <row r="4022" spans="1:2" x14ac:dyDescent="0.3">
      <c r="A4022" s="4" t="s">
        <v>10292</v>
      </c>
      <c r="B4022" s="4" t="s">
        <v>10293</v>
      </c>
    </row>
    <row r="4023" spans="1:2" x14ac:dyDescent="0.3">
      <c r="A4023" s="4" t="s">
        <v>5828</v>
      </c>
      <c r="B4023" s="4" t="s">
        <v>5829</v>
      </c>
    </row>
    <row r="4024" spans="1:2" x14ac:dyDescent="0.3">
      <c r="A4024" s="4" t="s">
        <v>5830</v>
      </c>
      <c r="B4024" s="4" t="s">
        <v>5831</v>
      </c>
    </row>
    <row r="4025" spans="1:2" x14ac:dyDescent="0.3">
      <c r="A4025" s="4" t="s">
        <v>12598</v>
      </c>
      <c r="B4025" s="4" t="s">
        <v>12288</v>
      </c>
    </row>
    <row r="4026" spans="1:2" x14ac:dyDescent="0.3">
      <c r="A4026" s="4" t="s">
        <v>10294</v>
      </c>
      <c r="B4026" s="4" t="s">
        <v>10295</v>
      </c>
    </row>
    <row r="4027" spans="1:2" x14ac:dyDescent="0.3">
      <c r="A4027" s="4" t="s">
        <v>5832</v>
      </c>
      <c r="B4027" s="4" t="s">
        <v>5833</v>
      </c>
    </row>
    <row r="4028" spans="1:2" x14ac:dyDescent="0.3">
      <c r="A4028" s="4" t="s">
        <v>10296</v>
      </c>
      <c r="B4028" s="4" t="s">
        <v>10297</v>
      </c>
    </row>
    <row r="4029" spans="1:2" x14ac:dyDescent="0.3">
      <c r="A4029" s="4" t="s">
        <v>5834</v>
      </c>
      <c r="B4029" s="4" t="s">
        <v>5835</v>
      </c>
    </row>
    <row r="4030" spans="1:2" x14ac:dyDescent="0.3">
      <c r="A4030" s="4" t="s">
        <v>10298</v>
      </c>
      <c r="B4030" s="4" t="s">
        <v>10299</v>
      </c>
    </row>
    <row r="4031" spans="1:2" x14ac:dyDescent="0.3">
      <c r="A4031" s="4" t="s">
        <v>10300</v>
      </c>
      <c r="B4031" s="4" t="s">
        <v>10301</v>
      </c>
    </row>
    <row r="4032" spans="1:2" x14ac:dyDescent="0.3">
      <c r="A4032" s="4" t="s">
        <v>5836</v>
      </c>
      <c r="B4032" s="4" t="s">
        <v>5837</v>
      </c>
    </row>
    <row r="4033" spans="1:2" x14ac:dyDescent="0.3">
      <c r="A4033" s="4" t="s">
        <v>10302</v>
      </c>
      <c r="B4033" s="4" t="s">
        <v>10303</v>
      </c>
    </row>
    <row r="4034" spans="1:2" x14ac:dyDescent="0.3">
      <c r="A4034" s="4" t="s">
        <v>10304</v>
      </c>
      <c r="B4034" s="4" t="s">
        <v>10305</v>
      </c>
    </row>
    <row r="4035" spans="1:2" x14ac:dyDescent="0.3">
      <c r="A4035" s="4" t="s">
        <v>10306</v>
      </c>
      <c r="B4035" s="4" t="s">
        <v>8832</v>
      </c>
    </row>
    <row r="4036" spans="1:2" x14ac:dyDescent="0.3">
      <c r="A4036" s="4" t="s">
        <v>5838</v>
      </c>
      <c r="B4036" s="4" t="s">
        <v>5839</v>
      </c>
    </row>
    <row r="4037" spans="1:2" x14ac:dyDescent="0.3">
      <c r="A4037" s="4" t="s">
        <v>5840</v>
      </c>
      <c r="B4037" s="4" t="s">
        <v>5841</v>
      </c>
    </row>
    <row r="4038" spans="1:2" x14ac:dyDescent="0.3">
      <c r="A4038" s="4" t="s">
        <v>5842</v>
      </c>
      <c r="B4038" s="4" t="s">
        <v>5843</v>
      </c>
    </row>
    <row r="4039" spans="1:2" x14ac:dyDescent="0.3">
      <c r="A4039" s="4" t="s">
        <v>10307</v>
      </c>
      <c r="B4039" s="4" t="s">
        <v>10308</v>
      </c>
    </row>
    <row r="4040" spans="1:2" x14ac:dyDescent="0.3">
      <c r="A4040" s="4" t="s">
        <v>5844</v>
      </c>
      <c r="B4040" s="4" t="s">
        <v>5845</v>
      </c>
    </row>
    <row r="4041" spans="1:2" x14ac:dyDescent="0.3">
      <c r="A4041" s="4" t="s">
        <v>5846</v>
      </c>
      <c r="B4041" s="4" t="s">
        <v>5847</v>
      </c>
    </row>
    <row r="4042" spans="1:2" x14ac:dyDescent="0.3">
      <c r="A4042" s="4" t="s">
        <v>5848</v>
      </c>
      <c r="B4042" s="4" t="s">
        <v>5849</v>
      </c>
    </row>
    <row r="4043" spans="1:2" x14ac:dyDescent="0.3">
      <c r="A4043" s="4" t="s">
        <v>5850</v>
      </c>
      <c r="B4043" s="4" t="s">
        <v>5851</v>
      </c>
    </row>
    <row r="4044" spans="1:2" x14ac:dyDescent="0.3">
      <c r="A4044" s="4" t="s">
        <v>5852</v>
      </c>
      <c r="B4044" s="4" t="s">
        <v>5853</v>
      </c>
    </row>
    <row r="4045" spans="1:2" x14ac:dyDescent="0.3">
      <c r="A4045" s="4" t="s">
        <v>5854</v>
      </c>
      <c r="B4045" s="4" t="s">
        <v>5855</v>
      </c>
    </row>
    <row r="4046" spans="1:2" x14ac:dyDescent="0.3">
      <c r="A4046" s="4" t="s">
        <v>5856</v>
      </c>
      <c r="B4046" s="4" t="s">
        <v>5857</v>
      </c>
    </row>
    <row r="4047" spans="1:2" x14ac:dyDescent="0.3">
      <c r="A4047" s="4" t="s">
        <v>5859</v>
      </c>
      <c r="B4047" s="4" t="s">
        <v>5860</v>
      </c>
    </row>
    <row r="4048" spans="1:2" x14ac:dyDescent="0.3">
      <c r="A4048" s="4" t="s">
        <v>5861</v>
      </c>
      <c r="B4048" s="4" t="s">
        <v>5862</v>
      </c>
    </row>
    <row r="4049" spans="1:2" x14ac:dyDescent="0.3">
      <c r="A4049" s="4" t="s">
        <v>10309</v>
      </c>
      <c r="B4049" s="4" t="s">
        <v>8835</v>
      </c>
    </row>
    <row r="4050" spans="1:2" x14ac:dyDescent="0.3">
      <c r="A4050" s="4" t="s">
        <v>5863</v>
      </c>
      <c r="B4050" s="4" t="s">
        <v>5864</v>
      </c>
    </row>
    <row r="4051" spans="1:2" x14ac:dyDescent="0.3">
      <c r="A4051" s="4" t="s">
        <v>5865</v>
      </c>
      <c r="B4051" s="4" t="s">
        <v>5866</v>
      </c>
    </row>
    <row r="4052" spans="1:2" x14ac:dyDescent="0.3">
      <c r="A4052" s="4" t="s">
        <v>5867</v>
      </c>
      <c r="B4052" s="4" t="s">
        <v>5868</v>
      </c>
    </row>
    <row r="4053" spans="1:2" x14ac:dyDescent="0.3">
      <c r="A4053" s="4" t="s">
        <v>10310</v>
      </c>
      <c r="B4053" s="4" t="s">
        <v>10311</v>
      </c>
    </row>
    <row r="4054" spans="1:2" x14ac:dyDescent="0.3">
      <c r="A4054" s="4" t="s">
        <v>10312</v>
      </c>
      <c r="B4054" s="4" t="s">
        <v>10313</v>
      </c>
    </row>
    <row r="4055" spans="1:2" x14ac:dyDescent="0.3">
      <c r="A4055" s="4" t="s">
        <v>10314</v>
      </c>
      <c r="B4055" s="4" t="s">
        <v>10315</v>
      </c>
    </row>
    <row r="4056" spans="1:2" x14ac:dyDescent="0.3">
      <c r="A4056" s="4" t="s">
        <v>10316</v>
      </c>
      <c r="B4056" s="4" t="s">
        <v>1900</v>
      </c>
    </row>
    <row r="4057" spans="1:2" x14ac:dyDescent="0.3">
      <c r="A4057" s="4" t="s">
        <v>5869</v>
      </c>
      <c r="B4057" s="4" t="s">
        <v>5870</v>
      </c>
    </row>
    <row r="4058" spans="1:2" x14ac:dyDescent="0.3">
      <c r="A4058" s="4" t="s">
        <v>10317</v>
      </c>
      <c r="B4058" s="4" t="s">
        <v>8839</v>
      </c>
    </row>
    <row r="4059" spans="1:2" x14ac:dyDescent="0.3">
      <c r="A4059" s="4" t="s">
        <v>12599</v>
      </c>
      <c r="B4059" s="4" t="s">
        <v>12600</v>
      </c>
    </row>
    <row r="4060" spans="1:2" x14ac:dyDescent="0.3">
      <c r="A4060" s="4" t="s">
        <v>12601</v>
      </c>
      <c r="B4060" s="4" t="s">
        <v>12602</v>
      </c>
    </row>
    <row r="4061" spans="1:2" x14ac:dyDescent="0.3">
      <c r="A4061" s="4" t="s">
        <v>5871</v>
      </c>
      <c r="B4061" s="4" t="s">
        <v>5872</v>
      </c>
    </row>
    <row r="4062" spans="1:2" x14ac:dyDescent="0.3">
      <c r="A4062" s="4" t="s">
        <v>5873</v>
      </c>
      <c r="B4062" s="4" t="s">
        <v>5874</v>
      </c>
    </row>
    <row r="4063" spans="1:2" x14ac:dyDescent="0.3">
      <c r="A4063" s="4" t="s">
        <v>5875</v>
      </c>
      <c r="B4063" s="4" t="s">
        <v>5876</v>
      </c>
    </row>
    <row r="4064" spans="1:2" x14ac:dyDescent="0.3">
      <c r="A4064" s="4" t="s">
        <v>10318</v>
      </c>
      <c r="B4064" s="4" t="s">
        <v>10319</v>
      </c>
    </row>
    <row r="4065" spans="1:2" x14ac:dyDescent="0.3">
      <c r="A4065" s="4" t="s">
        <v>5877</v>
      </c>
      <c r="B4065" s="4" t="s">
        <v>5878</v>
      </c>
    </row>
    <row r="4066" spans="1:2" x14ac:dyDescent="0.3">
      <c r="A4066" s="4" t="s">
        <v>5879</v>
      </c>
      <c r="B4066" s="4" t="s">
        <v>5880</v>
      </c>
    </row>
    <row r="4067" spans="1:2" x14ac:dyDescent="0.3">
      <c r="A4067" s="4" t="s">
        <v>5881</v>
      </c>
      <c r="B4067" s="4" t="s">
        <v>5882</v>
      </c>
    </row>
    <row r="4068" spans="1:2" x14ac:dyDescent="0.3">
      <c r="A4068" s="4" t="s">
        <v>10320</v>
      </c>
      <c r="B4068" s="4" t="s">
        <v>10321</v>
      </c>
    </row>
    <row r="4069" spans="1:2" x14ac:dyDescent="0.3">
      <c r="A4069" s="4" t="s">
        <v>10322</v>
      </c>
      <c r="B4069" s="4" t="s">
        <v>10323</v>
      </c>
    </row>
    <row r="4070" spans="1:2" x14ac:dyDescent="0.3">
      <c r="A4070" s="4" t="s">
        <v>10324</v>
      </c>
      <c r="B4070" s="4" t="s">
        <v>10325</v>
      </c>
    </row>
    <row r="4071" spans="1:2" x14ac:dyDescent="0.3">
      <c r="A4071" s="4" t="s">
        <v>5884</v>
      </c>
      <c r="B4071" s="4" t="s">
        <v>5885</v>
      </c>
    </row>
    <row r="4072" spans="1:2" x14ac:dyDescent="0.3">
      <c r="A4072" s="4" t="s">
        <v>10326</v>
      </c>
      <c r="B4072" s="4" t="s">
        <v>10327</v>
      </c>
    </row>
    <row r="4073" spans="1:2" x14ac:dyDescent="0.3">
      <c r="A4073" s="4" t="s">
        <v>5886</v>
      </c>
      <c r="B4073" s="4" t="s">
        <v>5887</v>
      </c>
    </row>
    <row r="4074" spans="1:2" x14ac:dyDescent="0.3">
      <c r="A4074" s="4" t="s">
        <v>10328</v>
      </c>
      <c r="B4074" s="4" t="s">
        <v>10329</v>
      </c>
    </row>
    <row r="4075" spans="1:2" x14ac:dyDescent="0.3">
      <c r="A4075" s="4" t="s">
        <v>5888</v>
      </c>
      <c r="B4075" s="4" t="s">
        <v>5889</v>
      </c>
    </row>
    <row r="4076" spans="1:2" x14ac:dyDescent="0.3">
      <c r="A4076" s="4" t="s">
        <v>5890</v>
      </c>
      <c r="B4076" s="4" t="s">
        <v>5891</v>
      </c>
    </row>
    <row r="4077" spans="1:2" x14ac:dyDescent="0.3">
      <c r="A4077" s="4" t="s">
        <v>10330</v>
      </c>
      <c r="B4077" s="4" t="s">
        <v>10331</v>
      </c>
    </row>
    <row r="4078" spans="1:2" x14ac:dyDescent="0.3">
      <c r="A4078" s="4" t="s">
        <v>12603</v>
      </c>
      <c r="B4078" s="4" t="s">
        <v>12604</v>
      </c>
    </row>
    <row r="4079" spans="1:2" x14ac:dyDescent="0.3">
      <c r="A4079" s="4" t="s">
        <v>5892</v>
      </c>
      <c r="B4079" s="4" t="s">
        <v>5893</v>
      </c>
    </row>
    <row r="4080" spans="1:2" x14ac:dyDescent="0.3">
      <c r="A4080" s="4" t="s">
        <v>10332</v>
      </c>
      <c r="B4080" s="4" t="s">
        <v>10333</v>
      </c>
    </row>
    <row r="4081" spans="1:2" x14ac:dyDescent="0.3">
      <c r="A4081" s="4" t="s">
        <v>10334</v>
      </c>
      <c r="B4081" s="4" t="s">
        <v>10335</v>
      </c>
    </row>
    <row r="4082" spans="1:2" x14ac:dyDescent="0.3">
      <c r="A4082" s="4" t="s">
        <v>5894</v>
      </c>
      <c r="B4082" s="4" t="s">
        <v>5895</v>
      </c>
    </row>
    <row r="4083" spans="1:2" x14ac:dyDescent="0.3">
      <c r="A4083" s="4" t="s">
        <v>10336</v>
      </c>
      <c r="B4083" s="4" t="s">
        <v>10337</v>
      </c>
    </row>
    <row r="4084" spans="1:2" x14ac:dyDescent="0.3">
      <c r="A4084" s="4" t="s">
        <v>5896</v>
      </c>
      <c r="B4084" s="4" t="s">
        <v>5897</v>
      </c>
    </row>
    <row r="4085" spans="1:2" x14ac:dyDescent="0.3">
      <c r="A4085" s="4" t="s">
        <v>10338</v>
      </c>
      <c r="B4085" s="4" t="s">
        <v>10339</v>
      </c>
    </row>
    <row r="4086" spans="1:2" x14ac:dyDescent="0.3">
      <c r="A4086" s="4" t="s">
        <v>6562</v>
      </c>
      <c r="B4086" s="4" t="s">
        <v>10340</v>
      </c>
    </row>
    <row r="4087" spans="1:2" x14ac:dyDescent="0.3">
      <c r="A4087" s="4" t="s">
        <v>5898</v>
      </c>
      <c r="B4087" s="4" t="s">
        <v>5899</v>
      </c>
    </row>
    <row r="4088" spans="1:2" x14ac:dyDescent="0.3">
      <c r="A4088" s="4" t="s">
        <v>5900</v>
      </c>
      <c r="B4088" s="4" t="s">
        <v>5901</v>
      </c>
    </row>
    <row r="4089" spans="1:2" x14ac:dyDescent="0.3">
      <c r="A4089" s="4" t="s">
        <v>10341</v>
      </c>
      <c r="B4089" s="4" t="s">
        <v>10342</v>
      </c>
    </row>
    <row r="4090" spans="1:2" x14ac:dyDescent="0.3">
      <c r="A4090" s="4" t="s">
        <v>10343</v>
      </c>
      <c r="B4090" s="4" t="s">
        <v>10344</v>
      </c>
    </row>
    <row r="4091" spans="1:2" x14ac:dyDescent="0.3">
      <c r="A4091" s="4" t="s">
        <v>5902</v>
      </c>
      <c r="B4091" s="4" t="s">
        <v>5903</v>
      </c>
    </row>
    <row r="4092" spans="1:2" x14ac:dyDescent="0.3">
      <c r="A4092" s="4" t="s">
        <v>5904</v>
      </c>
      <c r="B4092" s="4" t="s">
        <v>5905</v>
      </c>
    </row>
    <row r="4093" spans="1:2" x14ac:dyDescent="0.3">
      <c r="A4093" s="4" t="s">
        <v>10345</v>
      </c>
      <c r="B4093" s="4" t="s">
        <v>10346</v>
      </c>
    </row>
    <row r="4094" spans="1:2" x14ac:dyDescent="0.3">
      <c r="A4094" s="4" t="s">
        <v>10347</v>
      </c>
      <c r="B4094" s="4" t="s">
        <v>10348</v>
      </c>
    </row>
    <row r="4095" spans="1:2" x14ac:dyDescent="0.3">
      <c r="A4095" s="4" t="s">
        <v>5906</v>
      </c>
      <c r="B4095" s="4" t="s">
        <v>5907</v>
      </c>
    </row>
    <row r="4096" spans="1:2" x14ac:dyDescent="0.3">
      <c r="A4096" s="4" t="s">
        <v>5908</v>
      </c>
      <c r="B4096" s="4" t="s">
        <v>5909</v>
      </c>
    </row>
    <row r="4097" spans="1:2" x14ac:dyDescent="0.3">
      <c r="A4097" s="4" t="s">
        <v>5910</v>
      </c>
      <c r="B4097" s="4" t="s">
        <v>5911</v>
      </c>
    </row>
    <row r="4098" spans="1:2" x14ac:dyDescent="0.3">
      <c r="A4098" s="4" t="s">
        <v>5912</v>
      </c>
      <c r="B4098" s="4" t="s">
        <v>5913</v>
      </c>
    </row>
    <row r="4099" spans="1:2" x14ac:dyDescent="0.3">
      <c r="A4099" s="4" t="s">
        <v>5914</v>
      </c>
      <c r="B4099" s="4" t="s">
        <v>5915</v>
      </c>
    </row>
    <row r="4100" spans="1:2" x14ac:dyDescent="0.3">
      <c r="A4100" s="4" t="s">
        <v>5916</v>
      </c>
      <c r="B4100" s="4" t="s">
        <v>5917</v>
      </c>
    </row>
    <row r="4101" spans="1:2" x14ac:dyDescent="0.3">
      <c r="A4101" s="4" t="s">
        <v>5918</v>
      </c>
      <c r="B4101" s="4" t="s">
        <v>5919</v>
      </c>
    </row>
    <row r="4102" spans="1:2" x14ac:dyDescent="0.3">
      <c r="A4102" s="4" t="s">
        <v>5920</v>
      </c>
      <c r="B4102" s="4" t="s">
        <v>5921</v>
      </c>
    </row>
    <row r="4103" spans="1:2" x14ac:dyDescent="0.3">
      <c r="A4103" s="4" t="s">
        <v>10349</v>
      </c>
      <c r="B4103" s="4" t="s">
        <v>8844</v>
      </c>
    </row>
    <row r="4104" spans="1:2" x14ac:dyDescent="0.3">
      <c r="A4104" s="4" t="s">
        <v>5922</v>
      </c>
      <c r="B4104" s="4" t="s">
        <v>5923</v>
      </c>
    </row>
    <row r="4105" spans="1:2" x14ac:dyDescent="0.3">
      <c r="A4105" s="4" t="s">
        <v>5924</v>
      </c>
      <c r="B4105" s="4" t="s">
        <v>5925</v>
      </c>
    </row>
    <row r="4106" spans="1:2" x14ac:dyDescent="0.3">
      <c r="A4106" s="4" t="s">
        <v>5926</v>
      </c>
      <c r="B4106" s="4" t="s">
        <v>5927</v>
      </c>
    </row>
    <row r="4107" spans="1:2" x14ac:dyDescent="0.3">
      <c r="A4107" s="4" t="s">
        <v>10350</v>
      </c>
      <c r="B4107" s="4" t="s">
        <v>10351</v>
      </c>
    </row>
    <row r="4108" spans="1:2" x14ac:dyDescent="0.3">
      <c r="A4108" s="4" t="s">
        <v>10352</v>
      </c>
      <c r="B4108" s="4" t="s">
        <v>10353</v>
      </c>
    </row>
    <row r="4109" spans="1:2" x14ac:dyDescent="0.3">
      <c r="A4109" s="4" t="s">
        <v>10354</v>
      </c>
      <c r="B4109" s="4" t="s">
        <v>10355</v>
      </c>
    </row>
    <row r="4110" spans="1:2" x14ac:dyDescent="0.3">
      <c r="A4110" s="4" t="s">
        <v>10356</v>
      </c>
      <c r="B4110" s="4" t="s">
        <v>10357</v>
      </c>
    </row>
    <row r="4111" spans="1:2" x14ac:dyDescent="0.3">
      <c r="A4111" s="4" t="s">
        <v>5928</v>
      </c>
      <c r="B4111" s="4" t="s">
        <v>5929</v>
      </c>
    </row>
    <row r="4112" spans="1:2" x14ac:dyDescent="0.3">
      <c r="A4112" s="4" t="s">
        <v>5930</v>
      </c>
      <c r="B4112" s="4" t="s">
        <v>5931</v>
      </c>
    </row>
    <row r="4113" spans="1:2" x14ac:dyDescent="0.3">
      <c r="A4113" s="4" t="s">
        <v>10358</v>
      </c>
      <c r="B4113" s="4" t="s">
        <v>10359</v>
      </c>
    </row>
    <row r="4114" spans="1:2" x14ac:dyDescent="0.3">
      <c r="A4114" s="4" t="s">
        <v>5932</v>
      </c>
      <c r="B4114" s="4" t="s">
        <v>5933</v>
      </c>
    </row>
    <row r="4115" spans="1:2" x14ac:dyDescent="0.3">
      <c r="A4115" s="4" t="s">
        <v>5934</v>
      </c>
      <c r="B4115" s="4" t="s">
        <v>5935</v>
      </c>
    </row>
    <row r="4116" spans="1:2" x14ac:dyDescent="0.3">
      <c r="A4116" s="4" t="s">
        <v>5936</v>
      </c>
      <c r="B4116" s="4" t="s">
        <v>5937</v>
      </c>
    </row>
    <row r="4117" spans="1:2" x14ac:dyDescent="0.3">
      <c r="A4117" s="4" t="s">
        <v>7215</v>
      </c>
      <c r="B4117" s="4" t="s">
        <v>10360</v>
      </c>
    </row>
    <row r="4118" spans="1:2" x14ac:dyDescent="0.3">
      <c r="A4118" s="4" t="s">
        <v>10361</v>
      </c>
      <c r="B4118" s="4" t="s">
        <v>10362</v>
      </c>
    </row>
    <row r="4119" spans="1:2" x14ac:dyDescent="0.3">
      <c r="A4119" s="4" t="s">
        <v>12605</v>
      </c>
      <c r="B4119" s="4" t="s">
        <v>12606</v>
      </c>
    </row>
    <row r="4120" spans="1:2" x14ac:dyDescent="0.3">
      <c r="A4120" s="4" t="s">
        <v>10363</v>
      </c>
      <c r="B4120" s="4" t="s">
        <v>10364</v>
      </c>
    </row>
    <row r="4121" spans="1:2" x14ac:dyDescent="0.3">
      <c r="A4121" s="4" t="s">
        <v>10365</v>
      </c>
      <c r="B4121" s="4" t="s">
        <v>10366</v>
      </c>
    </row>
    <row r="4122" spans="1:2" x14ac:dyDescent="0.3">
      <c r="A4122" s="4" t="s">
        <v>12607</v>
      </c>
      <c r="B4122" s="4" t="s">
        <v>12608</v>
      </c>
    </row>
    <row r="4123" spans="1:2" x14ac:dyDescent="0.3">
      <c r="A4123" s="4" t="s">
        <v>10367</v>
      </c>
      <c r="B4123" s="4" t="s">
        <v>10368</v>
      </c>
    </row>
    <row r="4124" spans="1:2" x14ac:dyDescent="0.3">
      <c r="A4124" s="4" t="s">
        <v>5940</v>
      </c>
      <c r="B4124" s="4" t="s">
        <v>5941</v>
      </c>
    </row>
    <row r="4125" spans="1:2" x14ac:dyDescent="0.3">
      <c r="A4125" s="4" t="s">
        <v>5942</v>
      </c>
      <c r="B4125" s="4" t="s">
        <v>5943</v>
      </c>
    </row>
    <row r="4126" spans="1:2" x14ac:dyDescent="0.3">
      <c r="A4126" s="4" t="s">
        <v>10369</v>
      </c>
      <c r="B4126" s="4" t="s">
        <v>10370</v>
      </c>
    </row>
    <row r="4127" spans="1:2" x14ac:dyDescent="0.3">
      <c r="A4127" s="4" t="s">
        <v>5944</v>
      </c>
      <c r="B4127" s="4" t="s">
        <v>5945</v>
      </c>
    </row>
    <row r="4128" spans="1:2" x14ac:dyDescent="0.3">
      <c r="A4128" s="4" t="s">
        <v>10371</v>
      </c>
      <c r="B4128" s="4" t="s">
        <v>10372</v>
      </c>
    </row>
    <row r="4129" spans="1:2" x14ac:dyDescent="0.3">
      <c r="A4129" s="4" t="s">
        <v>10373</v>
      </c>
      <c r="B4129" s="4" t="s">
        <v>10374</v>
      </c>
    </row>
    <row r="4130" spans="1:2" x14ac:dyDescent="0.3">
      <c r="A4130" s="4" t="s">
        <v>10375</v>
      </c>
      <c r="B4130" s="4" t="s">
        <v>10376</v>
      </c>
    </row>
    <row r="4131" spans="1:2" x14ac:dyDescent="0.3">
      <c r="A4131" s="4" t="s">
        <v>12609</v>
      </c>
      <c r="B4131" s="4" t="s">
        <v>12610</v>
      </c>
    </row>
    <row r="4132" spans="1:2" x14ac:dyDescent="0.3">
      <c r="A4132" s="4" t="s">
        <v>5946</v>
      </c>
      <c r="B4132" s="4" t="s">
        <v>5947</v>
      </c>
    </row>
    <row r="4133" spans="1:2" x14ac:dyDescent="0.3">
      <c r="A4133" s="4" t="s">
        <v>5948</v>
      </c>
      <c r="B4133" s="4" t="s">
        <v>5949</v>
      </c>
    </row>
    <row r="4134" spans="1:2" x14ac:dyDescent="0.3">
      <c r="A4134" s="4" t="s">
        <v>10377</v>
      </c>
      <c r="B4134" s="4" t="s">
        <v>10378</v>
      </c>
    </row>
    <row r="4135" spans="1:2" x14ac:dyDescent="0.3">
      <c r="A4135" s="4" t="s">
        <v>5590</v>
      </c>
      <c r="B4135" s="4" t="s">
        <v>10379</v>
      </c>
    </row>
    <row r="4136" spans="1:2" x14ac:dyDescent="0.3">
      <c r="A4136" s="4" t="s">
        <v>10380</v>
      </c>
      <c r="B4136" s="4" t="s">
        <v>10381</v>
      </c>
    </row>
    <row r="4137" spans="1:2" x14ac:dyDescent="0.3">
      <c r="A4137" s="4" t="s">
        <v>5950</v>
      </c>
      <c r="B4137" s="4" t="s">
        <v>5951</v>
      </c>
    </row>
    <row r="4138" spans="1:2" x14ac:dyDescent="0.3">
      <c r="A4138" s="4" t="s">
        <v>5952</v>
      </c>
      <c r="B4138" s="4" t="s">
        <v>5953</v>
      </c>
    </row>
    <row r="4139" spans="1:2" x14ac:dyDescent="0.3">
      <c r="A4139" s="4" t="s">
        <v>5954</v>
      </c>
      <c r="B4139" s="4" t="s">
        <v>5955</v>
      </c>
    </row>
    <row r="4140" spans="1:2" x14ac:dyDescent="0.3">
      <c r="A4140" s="4" t="s">
        <v>5956</v>
      </c>
      <c r="B4140" s="4" t="s">
        <v>5957</v>
      </c>
    </row>
    <row r="4141" spans="1:2" x14ac:dyDescent="0.3">
      <c r="A4141" s="4" t="s">
        <v>5958</v>
      </c>
      <c r="B4141" s="4" t="s">
        <v>5959</v>
      </c>
    </row>
    <row r="4142" spans="1:2" x14ac:dyDescent="0.3">
      <c r="A4142" s="4" t="s">
        <v>10382</v>
      </c>
      <c r="B4142" s="4" t="s">
        <v>10383</v>
      </c>
    </row>
    <row r="4143" spans="1:2" x14ac:dyDescent="0.3">
      <c r="A4143" s="4" t="s">
        <v>10384</v>
      </c>
      <c r="B4143" s="4" t="s">
        <v>1993</v>
      </c>
    </row>
    <row r="4144" spans="1:2" x14ac:dyDescent="0.3">
      <c r="A4144" s="4" t="s">
        <v>10385</v>
      </c>
      <c r="B4144" s="4" t="s">
        <v>10386</v>
      </c>
    </row>
    <row r="4145" spans="1:2" x14ac:dyDescent="0.3">
      <c r="A4145" s="4" t="s">
        <v>10387</v>
      </c>
      <c r="B4145" s="4" t="s">
        <v>10388</v>
      </c>
    </row>
    <row r="4146" spans="1:2" x14ac:dyDescent="0.3">
      <c r="A4146" s="4" t="s">
        <v>5961</v>
      </c>
      <c r="B4146" s="4" t="s">
        <v>5962</v>
      </c>
    </row>
    <row r="4147" spans="1:2" x14ac:dyDescent="0.3">
      <c r="A4147" s="4" t="s">
        <v>5963</v>
      </c>
      <c r="B4147" s="4" t="s">
        <v>5964</v>
      </c>
    </row>
    <row r="4148" spans="1:2" x14ac:dyDescent="0.3">
      <c r="A4148" s="4" t="s">
        <v>10389</v>
      </c>
      <c r="B4148" s="4" t="s">
        <v>10390</v>
      </c>
    </row>
    <row r="4149" spans="1:2" x14ac:dyDescent="0.3">
      <c r="A4149" s="4" t="s">
        <v>10391</v>
      </c>
      <c r="B4149" s="4" t="s">
        <v>10392</v>
      </c>
    </row>
    <row r="4150" spans="1:2" x14ac:dyDescent="0.3">
      <c r="A4150" s="4" t="s">
        <v>12611</v>
      </c>
      <c r="B4150" s="4" t="s">
        <v>12612</v>
      </c>
    </row>
    <row r="4151" spans="1:2" x14ac:dyDescent="0.3">
      <c r="A4151" s="4" t="s">
        <v>10393</v>
      </c>
      <c r="B4151" s="4" t="s">
        <v>10394</v>
      </c>
    </row>
    <row r="4152" spans="1:2" x14ac:dyDescent="0.3">
      <c r="A4152" s="4" t="s">
        <v>10395</v>
      </c>
      <c r="B4152" s="4" t="s">
        <v>8850</v>
      </c>
    </row>
    <row r="4153" spans="1:2" x14ac:dyDescent="0.3">
      <c r="A4153" s="4" t="s">
        <v>12613</v>
      </c>
      <c r="B4153" s="4" t="s">
        <v>12614</v>
      </c>
    </row>
    <row r="4154" spans="1:2" x14ac:dyDescent="0.3">
      <c r="A4154" s="4" t="s">
        <v>5965</v>
      </c>
      <c r="B4154" s="4" t="s">
        <v>5966</v>
      </c>
    </row>
    <row r="4155" spans="1:2" x14ac:dyDescent="0.3">
      <c r="A4155" s="4" t="s">
        <v>5967</v>
      </c>
      <c r="B4155" s="4" t="s">
        <v>5968</v>
      </c>
    </row>
    <row r="4156" spans="1:2" x14ac:dyDescent="0.3">
      <c r="A4156" s="4" t="s">
        <v>10396</v>
      </c>
      <c r="B4156" s="4" t="s">
        <v>10397</v>
      </c>
    </row>
    <row r="4157" spans="1:2" x14ac:dyDescent="0.3">
      <c r="A4157" s="4" t="s">
        <v>10398</v>
      </c>
      <c r="B4157" s="4" t="s">
        <v>8853</v>
      </c>
    </row>
    <row r="4158" spans="1:2" x14ac:dyDescent="0.3">
      <c r="A4158" s="4" t="s">
        <v>10399</v>
      </c>
      <c r="B4158" s="4" t="s">
        <v>10400</v>
      </c>
    </row>
    <row r="4159" spans="1:2" x14ac:dyDescent="0.3">
      <c r="A4159" s="4" t="s">
        <v>10401</v>
      </c>
      <c r="B4159" s="4" t="s">
        <v>10402</v>
      </c>
    </row>
    <row r="4160" spans="1:2" x14ac:dyDescent="0.3">
      <c r="A4160" s="4" t="s">
        <v>10403</v>
      </c>
      <c r="B4160" s="4" t="s">
        <v>8855</v>
      </c>
    </row>
    <row r="4161" spans="1:2" x14ac:dyDescent="0.3">
      <c r="A4161" s="4" t="s">
        <v>5969</v>
      </c>
      <c r="B4161" s="4" t="s">
        <v>5970</v>
      </c>
    </row>
    <row r="4162" spans="1:2" x14ac:dyDescent="0.3">
      <c r="A4162" s="4" t="s">
        <v>5021</v>
      </c>
      <c r="B4162" s="4" t="s">
        <v>10404</v>
      </c>
    </row>
    <row r="4163" spans="1:2" x14ac:dyDescent="0.3">
      <c r="A4163" s="4" t="s">
        <v>12615</v>
      </c>
      <c r="B4163" s="4" t="s">
        <v>12616</v>
      </c>
    </row>
    <row r="4164" spans="1:2" x14ac:dyDescent="0.3">
      <c r="A4164" s="4" t="s">
        <v>5971</v>
      </c>
      <c r="B4164" s="4" t="s">
        <v>5972</v>
      </c>
    </row>
    <row r="4165" spans="1:2" x14ac:dyDescent="0.3">
      <c r="A4165" s="4" t="s">
        <v>5973</v>
      </c>
      <c r="B4165" s="4" t="s">
        <v>5974</v>
      </c>
    </row>
    <row r="4166" spans="1:2" x14ac:dyDescent="0.3">
      <c r="A4166" s="4" t="s">
        <v>10405</v>
      </c>
      <c r="B4166" s="4" t="s">
        <v>8857</v>
      </c>
    </row>
    <row r="4167" spans="1:2" x14ac:dyDescent="0.3">
      <c r="A4167" s="4" t="s">
        <v>5975</v>
      </c>
      <c r="B4167" s="4" t="s">
        <v>5976</v>
      </c>
    </row>
    <row r="4168" spans="1:2" x14ac:dyDescent="0.3">
      <c r="A4168" s="4" t="s">
        <v>5977</v>
      </c>
      <c r="B4168" s="4" t="s">
        <v>5978</v>
      </c>
    </row>
    <row r="4169" spans="1:2" x14ac:dyDescent="0.3">
      <c r="A4169" s="4" t="s">
        <v>12617</v>
      </c>
      <c r="B4169" s="4" t="s">
        <v>12618</v>
      </c>
    </row>
    <row r="4170" spans="1:2" x14ac:dyDescent="0.3">
      <c r="A4170" s="4" t="s">
        <v>5979</v>
      </c>
      <c r="B4170" s="4" t="s">
        <v>5980</v>
      </c>
    </row>
    <row r="4171" spans="1:2" x14ac:dyDescent="0.3">
      <c r="A4171" s="4" t="s">
        <v>12619</v>
      </c>
      <c r="B4171" s="4" t="s">
        <v>12620</v>
      </c>
    </row>
    <row r="4172" spans="1:2" x14ac:dyDescent="0.3">
      <c r="A4172" s="4" t="s">
        <v>10406</v>
      </c>
      <c r="B4172" s="4" t="s">
        <v>10407</v>
      </c>
    </row>
    <row r="4173" spans="1:2" x14ac:dyDescent="0.3">
      <c r="A4173" s="4" t="s">
        <v>5981</v>
      </c>
      <c r="B4173" s="4" t="s">
        <v>5982</v>
      </c>
    </row>
    <row r="4174" spans="1:2" x14ac:dyDescent="0.3">
      <c r="A4174" s="4" t="s">
        <v>5983</v>
      </c>
      <c r="B4174" s="4" t="s">
        <v>5984</v>
      </c>
    </row>
    <row r="4175" spans="1:2" x14ac:dyDescent="0.3">
      <c r="A4175" s="4" t="s">
        <v>10408</v>
      </c>
      <c r="B4175" s="4" t="s">
        <v>10409</v>
      </c>
    </row>
    <row r="4176" spans="1:2" x14ac:dyDescent="0.3">
      <c r="A4176" s="4" t="s">
        <v>10410</v>
      </c>
      <c r="B4176" s="4" t="s">
        <v>10411</v>
      </c>
    </row>
    <row r="4177" spans="1:2" x14ac:dyDescent="0.3">
      <c r="A4177" s="4" t="s">
        <v>10412</v>
      </c>
      <c r="B4177" s="4" t="s">
        <v>10413</v>
      </c>
    </row>
    <row r="4178" spans="1:2" x14ac:dyDescent="0.3">
      <c r="A4178" s="4" t="s">
        <v>10414</v>
      </c>
      <c r="B4178" s="4" t="s">
        <v>10415</v>
      </c>
    </row>
    <row r="4179" spans="1:2" x14ac:dyDescent="0.3">
      <c r="A4179" s="4" t="s">
        <v>10416</v>
      </c>
      <c r="B4179" s="4" t="s">
        <v>10417</v>
      </c>
    </row>
    <row r="4180" spans="1:2" x14ac:dyDescent="0.3">
      <c r="A4180" s="4" t="s">
        <v>5985</v>
      </c>
      <c r="B4180" s="4" t="s">
        <v>5986</v>
      </c>
    </row>
    <row r="4181" spans="1:2" x14ac:dyDescent="0.3">
      <c r="A4181" s="4" t="s">
        <v>5987</v>
      </c>
      <c r="B4181" s="4" t="s">
        <v>5988</v>
      </c>
    </row>
    <row r="4182" spans="1:2" x14ac:dyDescent="0.3">
      <c r="A4182" s="4" t="s">
        <v>5989</v>
      </c>
      <c r="B4182" s="4" t="s">
        <v>5990</v>
      </c>
    </row>
    <row r="4183" spans="1:2" x14ac:dyDescent="0.3">
      <c r="A4183" s="4" t="s">
        <v>5991</v>
      </c>
      <c r="B4183" s="4" t="s">
        <v>5992</v>
      </c>
    </row>
    <row r="4184" spans="1:2" x14ac:dyDescent="0.3">
      <c r="A4184" s="4" t="s">
        <v>10418</v>
      </c>
      <c r="B4184" s="4" t="s">
        <v>10419</v>
      </c>
    </row>
    <row r="4185" spans="1:2" x14ac:dyDescent="0.3">
      <c r="A4185" s="4" t="s">
        <v>10420</v>
      </c>
      <c r="B4185" s="4" t="s">
        <v>10421</v>
      </c>
    </row>
    <row r="4186" spans="1:2" x14ac:dyDescent="0.3">
      <c r="A4186" s="4" t="s">
        <v>5993</v>
      </c>
      <c r="B4186" s="4" t="s">
        <v>5994</v>
      </c>
    </row>
    <row r="4187" spans="1:2" x14ac:dyDescent="0.3">
      <c r="A4187" s="4" t="s">
        <v>5995</v>
      </c>
      <c r="B4187" s="4" t="s">
        <v>5996</v>
      </c>
    </row>
    <row r="4188" spans="1:2" x14ac:dyDescent="0.3">
      <c r="A4188" s="4" t="s">
        <v>10422</v>
      </c>
      <c r="B4188" s="4" t="s">
        <v>10423</v>
      </c>
    </row>
    <row r="4189" spans="1:2" x14ac:dyDescent="0.3">
      <c r="A4189" s="4" t="s">
        <v>5997</v>
      </c>
      <c r="B4189" s="4" t="s">
        <v>5998</v>
      </c>
    </row>
    <row r="4190" spans="1:2" x14ac:dyDescent="0.3">
      <c r="A4190" s="4" t="s">
        <v>5999</v>
      </c>
      <c r="B4190" s="4" t="s">
        <v>6000</v>
      </c>
    </row>
    <row r="4191" spans="1:2" x14ac:dyDescent="0.3">
      <c r="A4191" s="4" t="s">
        <v>10424</v>
      </c>
      <c r="B4191" s="4" t="s">
        <v>8859</v>
      </c>
    </row>
    <row r="4192" spans="1:2" x14ac:dyDescent="0.3">
      <c r="A4192" s="4" t="s">
        <v>10425</v>
      </c>
      <c r="B4192" s="4" t="s">
        <v>10426</v>
      </c>
    </row>
    <row r="4193" spans="1:2" x14ac:dyDescent="0.3">
      <c r="A4193" s="4" t="s">
        <v>10427</v>
      </c>
      <c r="B4193" s="4" t="s">
        <v>10428</v>
      </c>
    </row>
    <row r="4194" spans="1:2" x14ac:dyDescent="0.3">
      <c r="A4194" s="4" t="s">
        <v>10429</v>
      </c>
      <c r="B4194" s="4" t="s">
        <v>10430</v>
      </c>
    </row>
    <row r="4195" spans="1:2" x14ac:dyDescent="0.3">
      <c r="A4195" s="4" t="s">
        <v>6001</v>
      </c>
      <c r="B4195" s="4" t="s">
        <v>10431</v>
      </c>
    </row>
    <row r="4196" spans="1:2" x14ac:dyDescent="0.3">
      <c r="A4196" s="4" t="s">
        <v>10432</v>
      </c>
      <c r="B4196" s="4" t="s">
        <v>8861</v>
      </c>
    </row>
    <row r="4197" spans="1:2" x14ac:dyDescent="0.3">
      <c r="A4197" s="4" t="s">
        <v>10433</v>
      </c>
      <c r="B4197" s="4" t="s">
        <v>10434</v>
      </c>
    </row>
    <row r="4198" spans="1:2" x14ac:dyDescent="0.3">
      <c r="A4198" s="4" t="s">
        <v>10435</v>
      </c>
      <c r="B4198" s="4" t="s">
        <v>10436</v>
      </c>
    </row>
    <row r="4199" spans="1:2" x14ac:dyDescent="0.3">
      <c r="A4199" s="4" t="s">
        <v>6003</v>
      </c>
      <c r="B4199" s="4" t="s">
        <v>6004</v>
      </c>
    </row>
    <row r="4200" spans="1:2" x14ac:dyDescent="0.3">
      <c r="A4200" s="4" t="s">
        <v>10437</v>
      </c>
      <c r="B4200" s="4" t="s">
        <v>10438</v>
      </c>
    </row>
    <row r="4201" spans="1:2" x14ac:dyDescent="0.3">
      <c r="A4201" s="4" t="s">
        <v>6005</v>
      </c>
      <c r="B4201" s="4" t="s">
        <v>6006</v>
      </c>
    </row>
    <row r="4202" spans="1:2" x14ac:dyDescent="0.3">
      <c r="A4202" s="4" t="s">
        <v>10439</v>
      </c>
      <c r="B4202" s="4" t="s">
        <v>10440</v>
      </c>
    </row>
    <row r="4203" spans="1:2" x14ac:dyDescent="0.3">
      <c r="A4203" s="4" t="s">
        <v>6007</v>
      </c>
      <c r="B4203" s="4" t="s">
        <v>6008</v>
      </c>
    </row>
    <row r="4204" spans="1:2" x14ac:dyDescent="0.3">
      <c r="A4204" s="4" t="s">
        <v>10441</v>
      </c>
      <c r="B4204" s="4" t="s">
        <v>10442</v>
      </c>
    </row>
    <row r="4205" spans="1:2" x14ac:dyDescent="0.3">
      <c r="A4205" s="4" t="s">
        <v>6009</v>
      </c>
      <c r="B4205" s="4" t="s">
        <v>6010</v>
      </c>
    </row>
    <row r="4206" spans="1:2" x14ac:dyDescent="0.3">
      <c r="A4206" s="4" t="s">
        <v>12621</v>
      </c>
      <c r="B4206" s="4" t="s">
        <v>12296</v>
      </c>
    </row>
    <row r="4207" spans="1:2" x14ac:dyDescent="0.3">
      <c r="A4207" s="4" t="s">
        <v>6011</v>
      </c>
      <c r="B4207" s="4" t="s">
        <v>6012</v>
      </c>
    </row>
    <row r="4208" spans="1:2" x14ac:dyDescent="0.3">
      <c r="A4208" s="4" t="s">
        <v>10443</v>
      </c>
      <c r="B4208" s="4" t="s">
        <v>10444</v>
      </c>
    </row>
    <row r="4209" spans="1:2" x14ac:dyDescent="0.3">
      <c r="A4209" s="4" t="s">
        <v>10445</v>
      </c>
      <c r="B4209" s="4" t="s">
        <v>10446</v>
      </c>
    </row>
    <row r="4210" spans="1:2" x14ac:dyDescent="0.3">
      <c r="A4210" s="4" t="s">
        <v>10447</v>
      </c>
      <c r="B4210" s="4" t="s">
        <v>10448</v>
      </c>
    </row>
    <row r="4211" spans="1:2" x14ac:dyDescent="0.3">
      <c r="A4211" s="4" t="s">
        <v>6014</v>
      </c>
      <c r="B4211" s="4" t="s">
        <v>6015</v>
      </c>
    </row>
    <row r="4212" spans="1:2" x14ac:dyDescent="0.3">
      <c r="A4212" s="4" t="s">
        <v>10449</v>
      </c>
      <c r="B4212" s="4" t="s">
        <v>10450</v>
      </c>
    </row>
    <row r="4213" spans="1:2" x14ac:dyDescent="0.3">
      <c r="A4213" s="4" t="s">
        <v>12622</v>
      </c>
      <c r="B4213" s="4" t="s">
        <v>12623</v>
      </c>
    </row>
    <row r="4214" spans="1:2" x14ac:dyDescent="0.3">
      <c r="A4214" s="4" t="s">
        <v>10451</v>
      </c>
      <c r="B4214" s="4" t="s">
        <v>10452</v>
      </c>
    </row>
    <row r="4215" spans="1:2" x14ac:dyDescent="0.3">
      <c r="A4215" s="4" t="s">
        <v>10453</v>
      </c>
      <c r="B4215" s="4" t="s">
        <v>10454</v>
      </c>
    </row>
    <row r="4216" spans="1:2" x14ac:dyDescent="0.3">
      <c r="A4216" s="4" t="s">
        <v>10455</v>
      </c>
      <c r="B4216" s="4" t="s">
        <v>10456</v>
      </c>
    </row>
    <row r="4217" spans="1:2" x14ac:dyDescent="0.3">
      <c r="A4217" s="4" t="s">
        <v>10457</v>
      </c>
      <c r="B4217" s="4" t="s">
        <v>10458</v>
      </c>
    </row>
    <row r="4218" spans="1:2" x14ac:dyDescent="0.3">
      <c r="A4218" s="4" t="s">
        <v>10459</v>
      </c>
      <c r="B4218" s="4" t="s">
        <v>10460</v>
      </c>
    </row>
    <row r="4219" spans="1:2" x14ac:dyDescent="0.3">
      <c r="A4219" s="4" t="s">
        <v>10461</v>
      </c>
      <c r="B4219" s="4" t="s">
        <v>8866</v>
      </c>
    </row>
    <row r="4220" spans="1:2" x14ac:dyDescent="0.3">
      <c r="A4220" s="4" t="s">
        <v>10462</v>
      </c>
      <c r="B4220" s="4" t="s">
        <v>10463</v>
      </c>
    </row>
    <row r="4221" spans="1:2" x14ac:dyDescent="0.3">
      <c r="A4221" s="4" t="s">
        <v>10464</v>
      </c>
      <c r="B4221" s="4" t="s">
        <v>10465</v>
      </c>
    </row>
    <row r="4222" spans="1:2" x14ac:dyDescent="0.3">
      <c r="A4222" s="4" t="s">
        <v>6016</v>
      </c>
      <c r="B4222" s="4" t="s">
        <v>6017</v>
      </c>
    </row>
    <row r="4223" spans="1:2" x14ac:dyDescent="0.3">
      <c r="A4223" s="4" t="s">
        <v>6018</v>
      </c>
      <c r="B4223" s="4" t="s">
        <v>6019</v>
      </c>
    </row>
    <row r="4224" spans="1:2" x14ac:dyDescent="0.3">
      <c r="A4224" s="4" t="s">
        <v>6020</v>
      </c>
      <c r="B4224" s="4" t="s">
        <v>6021</v>
      </c>
    </row>
    <row r="4225" spans="1:2" x14ac:dyDescent="0.3">
      <c r="A4225" s="4" t="s">
        <v>10466</v>
      </c>
      <c r="B4225" s="4" t="s">
        <v>10467</v>
      </c>
    </row>
    <row r="4226" spans="1:2" x14ac:dyDescent="0.3">
      <c r="A4226" s="4" t="s">
        <v>6022</v>
      </c>
      <c r="B4226" s="4" t="s">
        <v>6023</v>
      </c>
    </row>
    <row r="4227" spans="1:2" x14ac:dyDescent="0.3">
      <c r="A4227" s="4" t="s">
        <v>6024</v>
      </c>
      <c r="B4227" s="4" t="s">
        <v>6025</v>
      </c>
    </row>
    <row r="4228" spans="1:2" x14ac:dyDescent="0.3">
      <c r="A4228" s="4" t="s">
        <v>10468</v>
      </c>
      <c r="B4228" s="4" t="s">
        <v>10469</v>
      </c>
    </row>
    <row r="4229" spans="1:2" x14ac:dyDescent="0.3">
      <c r="A4229" s="4" t="s">
        <v>6026</v>
      </c>
      <c r="B4229" s="4" t="s">
        <v>6027</v>
      </c>
    </row>
    <row r="4230" spans="1:2" x14ac:dyDescent="0.3">
      <c r="A4230" s="4" t="s">
        <v>6028</v>
      </c>
      <c r="B4230" s="4" t="s">
        <v>6029</v>
      </c>
    </row>
    <row r="4231" spans="1:2" x14ac:dyDescent="0.3">
      <c r="A4231" s="4" t="s">
        <v>6030</v>
      </c>
      <c r="B4231" s="4" t="s">
        <v>6031</v>
      </c>
    </row>
    <row r="4232" spans="1:2" x14ac:dyDescent="0.3">
      <c r="A4232" s="4" t="s">
        <v>6032</v>
      </c>
      <c r="B4232" s="4" t="s">
        <v>6033</v>
      </c>
    </row>
    <row r="4233" spans="1:2" x14ac:dyDescent="0.3">
      <c r="A4233" s="4" t="s">
        <v>6034</v>
      </c>
      <c r="B4233" s="4" t="s">
        <v>6035</v>
      </c>
    </row>
    <row r="4234" spans="1:2" x14ac:dyDescent="0.3">
      <c r="A4234" s="4" t="s">
        <v>6036</v>
      </c>
      <c r="B4234" s="4" t="s">
        <v>6037</v>
      </c>
    </row>
    <row r="4235" spans="1:2" x14ac:dyDescent="0.3">
      <c r="A4235" s="4" t="s">
        <v>10470</v>
      </c>
      <c r="B4235" s="4" t="s">
        <v>10471</v>
      </c>
    </row>
    <row r="4236" spans="1:2" x14ac:dyDescent="0.3">
      <c r="A4236" s="4" t="s">
        <v>10472</v>
      </c>
      <c r="B4236" s="4" t="s">
        <v>10473</v>
      </c>
    </row>
    <row r="4237" spans="1:2" x14ac:dyDescent="0.3">
      <c r="A4237" s="4" t="s">
        <v>6038</v>
      </c>
      <c r="B4237" s="4" t="s">
        <v>6039</v>
      </c>
    </row>
    <row r="4238" spans="1:2" x14ac:dyDescent="0.3">
      <c r="A4238" s="4" t="s">
        <v>10474</v>
      </c>
      <c r="B4238" s="4" t="s">
        <v>10475</v>
      </c>
    </row>
    <row r="4239" spans="1:2" x14ac:dyDescent="0.3">
      <c r="A4239" s="4" t="s">
        <v>10476</v>
      </c>
      <c r="B4239" s="4" t="s">
        <v>8870</v>
      </c>
    </row>
    <row r="4240" spans="1:2" x14ac:dyDescent="0.3">
      <c r="A4240" s="4" t="s">
        <v>6040</v>
      </c>
      <c r="B4240" s="4" t="s">
        <v>6041</v>
      </c>
    </row>
    <row r="4241" spans="1:2" x14ac:dyDescent="0.3">
      <c r="A4241" s="4" t="s">
        <v>10477</v>
      </c>
      <c r="B4241" s="4" t="s">
        <v>2108</v>
      </c>
    </row>
    <row r="4242" spans="1:2" x14ac:dyDescent="0.3">
      <c r="A4242" s="4" t="s">
        <v>6042</v>
      </c>
      <c r="B4242" s="4" t="s">
        <v>6043</v>
      </c>
    </row>
    <row r="4243" spans="1:2" x14ac:dyDescent="0.3">
      <c r="A4243" s="4" t="s">
        <v>12624</v>
      </c>
      <c r="B4243" s="4" t="s">
        <v>12625</v>
      </c>
    </row>
    <row r="4244" spans="1:2" x14ac:dyDescent="0.3">
      <c r="A4244" s="4" t="s">
        <v>6044</v>
      </c>
      <c r="B4244" s="4" t="s">
        <v>6045</v>
      </c>
    </row>
    <row r="4245" spans="1:2" x14ac:dyDescent="0.3">
      <c r="A4245" s="4" t="s">
        <v>6047</v>
      </c>
      <c r="B4245" s="4" t="s">
        <v>6048</v>
      </c>
    </row>
    <row r="4246" spans="1:2" x14ac:dyDescent="0.3">
      <c r="A4246" s="4" t="s">
        <v>6049</v>
      </c>
      <c r="B4246" s="4" t="s">
        <v>12626</v>
      </c>
    </row>
    <row r="4247" spans="1:2" x14ac:dyDescent="0.3">
      <c r="A4247" s="4" t="s">
        <v>6050</v>
      </c>
      <c r="B4247" s="4" t="s">
        <v>6051</v>
      </c>
    </row>
    <row r="4248" spans="1:2" x14ac:dyDescent="0.3">
      <c r="A4248" s="4" t="s">
        <v>6052</v>
      </c>
      <c r="B4248" s="4" t="s">
        <v>6053</v>
      </c>
    </row>
    <row r="4249" spans="1:2" x14ac:dyDescent="0.3">
      <c r="A4249" s="4" t="s">
        <v>10478</v>
      </c>
      <c r="B4249" s="4" t="s">
        <v>10479</v>
      </c>
    </row>
    <row r="4250" spans="1:2" x14ac:dyDescent="0.3">
      <c r="A4250" s="4" t="s">
        <v>6054</v>
      </c>
      <c r="B4250" s="4" t="s">
        <v>6055</v>
      </c>
    </row>
    <row r="4251" spans="1:2" x14ac:dyDescent="0.3">
      <c r="A4251" s="4" t="s">
        <v>6056</v>
      </c>
      <c r="B4251" s="4" t="s">
        <v>6057</v>
      </c>
    </row>
    <row r="4252" spans="1:2" x14ac:dyDescent="0.3">
      <c r="A4252" s="4" t="s">
        <v>5691</v>
      </c>
      <c r="B4252" s="4" t="s">
        <v>10480</v>
      </c>
    </row>
    <row r="4253" spans="1:2" x14ac:dyDescent="0.3">
      <c r="A4253" s="4" t="s">
        <v>10481</v>
      </c>
      <c r="B4253" s="4" t="s">
        <v>10482</v>
      </c>
    </row>
    <row r="4254" spans="1:2" x14ac:dyDescent="0.3">
      <c r="A4254" s="4" t="s">
        <v>10483</v>
      </c>
      <c r="B4254" s="4" t="s">
        <v>10484</v>
      </c>
    </row>
    <row r="4255" spans="1:2" x14ac:dyDescent="0.3">
      <c r="A4255" s="4" t="s">
        <v>10485</v>
      </c>
      <c r="B4255" s="4" t="s">
        <v>10486</v>
      </c>
    </row>
    <row r="4256" spans="1:2" x14ac:dyDescent="0.3">
      <c r="A4256" s="4" t="s">
        <v>10487</v>
      </c>
      <c r="B4256" s="4" t="s">
        <v>10488</v>
      </c>
    </row>
    <row r="4257" spans="1:2" x14ac:dyDescent="0.3">
      <c r="A4257" s="4" t="s">
        <v>10489</v>
      </c>
      <c r="B4257" s="4" t="s">
        <v>10490</v>
      </c>
    </row>
    <row r="4258" spans="1:2" x14ac:dyDescent="0.3">
      <c r="A4258" s="4" t="s">
        <v>10491</v>
      </c>
      <c r="B4258" s="4" t="s">
        <v>10492</v>
      </c>
    </row>
    <row r="4259" spans="1:2" x14ac:dyDescent="0.3">
      <c r="A4259" s="4" t="s">
        <v>6059</v>
      </c>
      <c r="B4259" s="4" t="s">
        <v>6060</v>
      </c>
    </row>
    <row r="4260" spans="1:2" x14ac:dyDescent="0.3">
      <c r="A4260" s="4" t="s">
        <v>6061</v>
      </c>
      <c r="B4260" s="4" t="s">
        <v>6062</v>
      </c>
    </row>
    <row r="4261" spans="1:2" x14ac:dyDescent="0.3">
      <c r="A4261" s="4" t="s">
        <v>6751</v>
      </c>
      <c r="B4261" s="4" t="s">
        <v>10493</v>
      </c>
    </row>
    <row r="4262" spans="1:2" x14ac:dyDescent="0.3">
      <c r="A4262" s="4" t="s">
        <v>10494</v>
      </c>
      <c r="B4262" s="4" t="s">
        <v>6064</v>
      </c>
    </row>
    <row r="4263" spans="1:2" x14ac:dyDescent="0.3">
      <c r="A4263" s="4" t="s">
        <v>6065</v>
      </c>
      <c r="B4263" s="4" t="s">
        <v>6066</v>
      </c>
    </row>
    <row r="4264" spans="1:2" x14ac:dyDescent="0.3">
      <c r="A4264" s="4" t="s">
        <v>6067</v>
      </c>
      <c r="B4264" s="4" t="s">
        <v>6068</v>
      </c>
    </row>
    <row r="4265" spans="1:2" x14ac:dyDescent="0.3">
      <c r="A4265" s="4" t="s">
        <v>10495</v>
      </c>
      <c r="B4265" s="4" t="s">
        <v>10496</v>
      </c>
    </row>
    <row r="4266" spans="1:2" x14ac:dyDescent="0.3">
      <c r="A4266" s="4" t="s">
        <v>12627</v>
      </c>
      <c r="B4266" s="4" t="s">
        <v>12628</v>
      </c>
    </row>
    <row r="4267" spans="1:2" x14ac:dyDescent="0.3">
      <c r="A4267" s="4" t="s">
        <v>10497</v>
      </c>
      <c r="B4267" s="4" t="s">
        <v>10498</v>
      </c>
    </row>
    <row r="4268" spans="1:2" x14ac:dyDescent="0.3">
      <c r="A4268" s="4" t="s">
        <v>10499</v>
      </c>
      <c r="B4268" s="4" t="s">
        <v>10500</v>
      </c>
    </row>
    <row r="4269" spans="1:2" x14ac:dyDescent="0.3">
      <c r="A4269" s="4" t="s">
        <v>6069</v>
      </c>
      <c r="B4269" s="4" t="s">
        <v>6070</v>
      </c>
    </row>
    <row r="4270" spans="1:2" x14ac:dyDescent="0.3">
      <c r="A4270" s="4" t="s">
        <v>6071</v>
      </c>
      <c r="B4270" s="4" t="s">
        <v>6072</v>
      </c>
    </row>
    <row r="4271" spans="1:2" x14ac:dyDescent="0.3">
      <c r="A4271" s="4" t="s">
        <v>6073</v>
      </c>
      <c r="B4271" s="4" t="s">
        <v>6074</v>
      </c>
    </row>
    <row r="4272" spans="1:2" x14ac:dyDescent="0.3">
      <c r="A4272" s="4" t="s">
        <v>6075</v>
      </c>
      <c r="B4272" s="4" t="s">
        <v>6076</v>
      </c>
    </row>
    <row r="4273" spans="1:2" x14ac:dyDescent="0.3">
      <c r="A4273" s="4" t="s">
        <v>10501</v>
      </c>
      <c r="B4273" s="4" t="s">
        <v>10502</v>
      </c>
    </row>
    <row r="4274" spans="1:2" x14ac:dyDescent="0.3">
      <c r="A4274" s="4" t="s">
        <v>6077</v>
      </c>
      <c r="B4274" s="4" t="s">
        <v>6078</v>
      </c>
    </row>
    <row r="4275" spans="1:2" x14ac:dyDescent="0.3">
      <c r="A4275" s="4" t="s">
        <v>12629</v>
      </c>
      <c r="B4275" s="4" t="s">
        <v>8871</v>
      </c>
    </row>
    <row r="4276" spans="1:2" x14ac:dyDescent="0.3">
      <c r="A4276" s="4" t="s">
        <v>10504</v>
      </c>
      <c r="B4276" s="4" t="s">
        <v>10505</v>
      </c>
    </row>
    <row r="4277" spans="1:2" x14ac:dyDescent="0.3">
      <c r="A4277" s="4" t="s">
        <v>10506</v>
      </c>
      <c r="B4277" s="4" t="s">
        <v>2131</v>
      </c>
    </row>
    <row r="4278" spans="1:2" x14ac:dyDescent="0.3">
      <c r="A4278" s="4" t="s">
        <v>6079</v>
      </c>
      <c r="B4278" s="4" t="s">
        <v>6080</v>
      </c>
    </row>
    <row r="4279" spans="1:2" x14ac:dyDescent="0.3">
      <c r="A4279" s="4" t="s">
        <v>10507</v>
      </c>
      <c r="B4279" s="4" t="s">
        <v>10508</v>
      </c>
    </row>
    <row r="4280" spans="1:2" x14ac:dyDescent="0.3">
      <c r="A4280" s="4" t="s">
        <v>6081</v>
      </c>
      <c r="B4280" s="4" t="s">
        <v>6082</v>
      </c>
    </row>
    <row r="4281" spans="1:2" x14ac:dyDescent="0.3">
      <c r="A4281" s="4" t="s">
        <v>10509</v>
      </c>
      <c r="B4281" s="4" t="s">
        <v>10510</v>
      </c>
    </row>
    <row r="4282" spans="1:2" x14ac:dyDescent="0.3">
      <c r="A4282" s="4" t="s">
        <v>6083</v>
      </c>
      <c r="B4282" s="4" t="s">
        <v>6084</v>
      </c>
    </row>
    <row r="4283" spans="1:2" x14ac:dyDescent="0.3">
      <c r="A4283" s="4" t="s">
        <v>6085</v>
      </c>
      <c r="B4283" s="4" t="s">
        <v>6086</v>
      </c>
    </row>
    <row r="4284" spans="1:2" x14ac:dyDescent="0.3">
      <c r="A4284" s="4" t="s">
        <v>6087</v>
      </c>
      <c r="B4284" s="4" t="s">
        <v>6088</v>
      </c>
    </row>
    <row r="4285" spans="1:2" x14ac:dyDescent="0.3">
      <c r="A4285" s="4" t="s">
        <v>6089</v>
      </c>
      <c r="B4285" s="4" t="s">
        <v>6090</v>
      </c>
    </row>
    <row r="4286" spans="1:2" x14ac:dyDescent="0.3">
      <c r="A4286" s="4" t="s">
        <v>10511</v>
      </c>
      <c r="B4286" s="4" t="s">
        <v>10512</v>
      </c>
    </row>
    <row r="4287" spans="1:2" x14ac:dyDescent="0.3">
      <c r="A4287" s="4" t="s">
        <v>10513</v>
      </c>
      <c r="B4287" s="4" t="s">
        <v>10514</v>
      </c>
    </row>
    <row r="4288" spans="1:2" x14ac:dyDescent="0.3">
      <c r="A4288" s="4" t="s">
        <v>10515</v>
      </c>
      <c r="B4288" s="4" t="s">
        <v>10516</v>
      </c>
    </row>
    <row r="4289" spans="1:2" x14ac:dyDescent="0.3">
      <c r="A4289" s="4" t="s">
        <v>6091</v>
      </c>
      <c r="B4289" s="4" t="s">
        <v>6092</v>
      </c>
    </row>
    <row r="4290" spans="1:2" x14ac:dyDescent="0.3">
      <c r="A4290" s="4" t="s">
        <v>6093</v>
      </c>
      <c r="B4290" s="4" t="s">
        <v>6094</v>
      </c>
    </row>
    <row r="4291" spans="1:2" x14ac:dyDescent="0.3">
      <c r="A4291" s="4" t="s">
        <v>10517</v>
      </c>
      <c r="B4291" s="4" t="s">
        <v>10518</v>
      </c>
    </row>
    <row r="4292" spans="1:2" x14ac:dyDescent="0.3">
      <c r="A4292" s="4" t="s">
        <v>10519</v>
      </c>
      <c r="B4292" s="4" t="s">
        <v>10520</v>
      </c>
    </row>
    <row r="4293" spans="1:2" x14ac:dyDescent="0.3">
      <c r="A4293" s="4" t="s">
        <v>10521</v>
      </c>
      <c r="B4293" s="4" t="s">
        <v>10522</v>
      </c>
    </row>
    <row r="4294" spans="1:2" x14ac:dyDescent="0.3">
      <c r="A4294" s="4" t="s">
        <v>10523</v>
      </c>
      <c r="B4294" s="4" t="s">
        <v>10524</v>
      </c>
    </row>
    <row r="4295" spans="1:2" x14ac:dyDescent="0.3">
      <c r="A4295" s="4" t="s">
        <v>10525</v>
      </c>
      <c r="B4295" s="4" t="s">
        <v>10526</v>
      </c>
    </row>
    <row r="4296" spans="1:2" x14ac:dyDescent="0.3">
      <c r="A4296" s="4" t="s">
        <v>6096</v>
      </c>
      <c r="B4296" s="4" t="s">
        <v>6097</v>
      </c>
    </row>
    <row r="4297" spans="1:2" x14ac:dyDescent="0.3">
      <c r="A4297" s="4" t="s">
        <v>6098</v>
      </c>
      <c r="B4297" s="4" t="s">
        <v>6099</v>
      </c>
    </row>
    <row r="4298" spans="1:2" x14ac:dyDescent="0.3">
      <c r="A4298" s="4" t="s">
        <v>6100</v>
      </c>
      <c r="B4298" s="4" t="s">
        <v>6101</v>
      </c>
    </row>
    <row r="4299" spans="1:2" x14ac:dyDescent="0.3">
      <c r="A4299" s="4" t="s">
        <v>6102</v>
      </c>
      <c r="B4299" s="4" t="s">
        <v>6103</v>
      </c>
    </row>
    <row r="4300" spans="1:2" x14ac:dyDescent="0.3">
      <c r="A4300" s="4" t="s">
        <v>10527</v>
      </c>
      <c r="B4300" s="4" t="s">
        <v>10528</v>
      </c>
    </row>
    <row r="4301" spans="1:2" x14ac:dyDescent="0.3">
      <c r="A4301" s="4" t="s">
        <v>6104</v>
      </c>
      <c r="B4301" s="4" t="s">
        <v>6105</v>
      </c>
    </row>
    <row r="4302" spans="1:2" x14ac:dyDescent="0.3">
      <c r="A4302" s="4" t="s">
        <v>10529</v>
      </c>
      <c r="B4302" s="4" t="s">
        <v>10530</v>
      </c>
    </row>
    <row r="4303" spans="1:2" x14ac:dyDescent="0.3">
      <c r="A4303" s="4" t="s">
        <v>6107</v>
      </c>
      <c r="B4303" s="4" t="s">
        <v>6108</v>
      </c>
    </row>
    <row r="4304" spans="1:2" x14ac:dyDescent="0.3">
      <c r="A4304" s="4" t="s">
        <v>10531</v>
      </c>
      <c r="B4304" s="4" t="s">
        <v>10532</v>
      </c>
    </row>
    <row r="4305" spans="1:2" x14ac:dyDescent="0.3">
      <c r="A4305" s="4" t="s">
        <v>6109</v>
      </c>
      <c r="B4305" s="4" t="s">
        <v>6110</v>
      </c>
    </row>
    <row r="4306" spans="1:2" x14ac:dyDescent="0.3">
      <c r="A4306" s="4" t="s">
        <v>6095</v>
      </c>
      <c r="B4306" s="4" t="s">
        <v>10533</v>
      </c>
    </row>
    <row r="4307" spans="1:2" x14ac:dyDescent="0.3">
      <c r="A4307" s="4" t="s">
        <v>6106</v>
      </c>
      <c r="B4307" s="4" t="s">
        <v>10534</v>
      </c>
    </row>
    <row r="4308" spans="1:2" x14ac:dyDescent="0.3">
      <c r="A4308" s="4" t="s">
        <v>6111</v>
      </c>
      <c r="B4308" s="4" t="s">
        <v>6112</v>
      </c>
    </row>
    <row r="4309" spans="1:2" x14ac:dyDescent="0.3">
      <c r="A4309" s="4" t="s">
        <v>5149</v>
      </c>
      <c r="B4309" s="4" t="s">
        <v>10535</v>
      </c>
    </row>
    <row r="4310" spans="1:2" x14ac:dyDescent="0.3">
      <c r="A4310" s="4" t="s">
        <v>10536</v>
      </c>
      <c r="B4310" s="4" t="s">
        <v>10537</v>
      </c>
    </row>
    <row r="4311" spans="1:2" x14ac:dyDescent="0.3">
      <c r="A4311" s="4" t="s">
        <v>10538</v>
      </c>
      <c r="B4311" s="4" t="s">
        <v>10539</v>
      </c>
    </row>
    <row r="4312" spans="1:2" x14ac:dyDescent="0.3">
      <c r="A4312" s="4" t="s">
        <v>6113</v>
      </c>
      <c r="B4312" s="4" t="s">
        <v>6114</v>
      </c>
    </row>
    <row r="4313" spans="1:2" x14ac:dyDescent="0.3">
      <c r="A4313" s="4" t="s">
        <v>10541</v>
      </c>
      <c r="B4313" s="4" t="s">
        <v>10542</v>
      </c>
    </row>
    <row r="4314" spans="1:2" x14ac:dyDescent="0.3">
      <c r="A4314" s="4" t="s">
        <v>6133</v>
      </c>
      <c r="B4314" s="4" t="s">
        <v>10543</v>
      </c>
    </row>
    <row r="4315" spans="1:2" x14ac:dyDescent="0.3">
      <c r="A4315" s="4" t="s">
        <v>10544</v>
      </c>
      <c r="B4315" s="4" t="s">
        <v>10545</v>
      </c>
    </row>
    <row r="4316" spans="1:2" x14ac:dyDescent="0.3">
      <c r="A4316" s="4" t="s">
        <v>10546</v>
      </c>
      <c r="B4316" s="4" t="s">
        <v>10547</v>
      </c>
    </row>
    <row r="4317" spans="1:2" x14ac:dyDescent="0.3">
      <c r="A4317" s="4" t="s">
        <v>6115</v>
      </c>
      <c r="B4317" s="4" t="s">
        <v>6116</v>
      </c>
    </row>
    <row r="4318" spans="1:2" x14ac:dyDescent="0.3">
      <c r="A4318" s="4" t="s">
        <v>6117</v>
      </c>
      <c r="B4318" s="4" t="s">
        <v>6118</v>
      </c>
    </row>
    <row r="4319" spans="1:2" x14ac:dyDescent="0.3">
      <c r="A4319" s="4" t="s">
        <v>6119</v>
      </c>
      <c r="B4319" s="4" t="s">
        <v>6120</v>
      </c>
    </row>
    <row r="4320" spans="1:2" x14ac:dyDescent="0.3">
      <c r="A4320" s="4" t="s">
        <v>6121</v>
      </c>
      <c r="B4320" s="4" t="s">
        <v>6122</v>
      </c>
    </row>
    <row r="4321" spans="1:2" x14ac:dyDescent="0.3">
      <c r="A4321" s="4" t="s">
        <v>6123</v>
      </c>
      <c r="B4321" s="4" t="s">
        <v>6124</v>
      </c>
    </row>
    <row r="4322" spans="1:2" x14ac:dyDescent="0.3">
      <c r="A4322" s="4" t="s">
        <v>6143</v>
      </c>
      <c r="B4322" s="4" t="s">
        <v>10548</v>
      </c>
    </row>
    <row r="4323" spans="1:2" x14ac:dyDescent="0.3">
      <c r="A4323" s="4" t="s">
        <v>6125</v>
      </c>
      <c r="B4323" s="4" t="s">
        <v>6126</v>
      </c>
    </row>
    <row r="4324" spans="1:2" x14ac:dyDescent="0.3">
      <c r="A4324" s="4" t="s">
        <v>10540</v>
      </c>
      <c r="B4324" s="4" t="s">
        <v>12630</v>
      </c>
    </row>
    <row r="4325" spans="1:2" x14ac:dyDescent="0.3">
      <c r="A4325" s="4" t="s">
        <v>10549</v>
      </c>
      <c r="B4325" s="4" t="s">
        <v>10550</v>
      </c>
    </row>
    <row r="4326" spans="1:2" x14ac:dyDescent="0.3">
      <c r="A4326" s="4" t="s">
        <v>10551</v>
      </c>
      <c r="B4326" s="4" t="s">
        <v>10552</v>
      </c>
    </row>
    <row r="4327" spans="1:2" x14ac:dyDescent="0.3">
      <c r="A4327" s="4" t="s">
        <v>10553</v>
      </c>
      <c r="B4327" s="4" t="s">
        <v>10554</v>
      </c>
    </row>
    <row r="4328" spans="1:2" x14ac:dyDescent="0.3">
      <c r="A4328" s="4" t="s">
        <v>6127</v>
      </c>
      <c r="B4328" s="4" t="s">
        <v>6128</v>
      </c>
    </row>
    <row r="4329" spans="1:2" x14ac:dyDescent="0.3">
      <c r="A4329" s="4" t="s">
        <v>6129</v>
      </c>
      <c r="B4329" s="4" t="s">
        <v>6130</v>
      </c>
    </row>
    <row r="4330" spans="1:2" x14ac:dyDescent="0.3">
      <c r="A4330" s="4" t="s">
        <v>10555</v>
      </c>
      <c r="B4330" s="4" t="s">
        <v>10556</v>
      </c>
    </row>
    <row r="4331" spans="1:2" x14ac:dyDescent="0.3">
      <c r="A4331" s="4" t="s">
        <v>6131</v>
      </c>
      <c r="B4331" s="4" t="s">
        <v>6132</v>
      </c>
    </row>
    <row r="4332" spans="1:2" x14ac:dyDescent="0.3">
      <c r="A4332" s="4" t="s">
        <v>12631</v>
      </c>
      <c r="B4332" s="4" t="s">
        <v>12632</v>
      </c>
    </row>
    <row r="4333" spans="1:2" x14ac:dyDescent="0.3">
      <c r="A4333" s="4" t="s">
        <v>12633</v>
      </c>
      <c r="B4333" s="4" t="s">
        <v>12634</v>
      </c>
    </row>
    <row r="4334" spans="1:2" x14ac:dyDescent="0.3">
      <c r="A4334" s="4" t="s">
        <v>6134</v>
      </c>
      <c r="B4334" s="4" t="s">
        <v>6135</v>
      </c>
    </row>
    <row r="4335" spans="1:2" x14ac:dyDescent="0.3">
      <c r="A4335" s="4" t="s">
        <v>6137</v>
      </c>
      <c r="B4335" s="4" t="s">
        <v>6138</v>
      </c>
    </row>
    <row r="4336" spans="1:2" x14ac:dyDescent="0.3">
      <c r="A4336" s="4" t="s">
        <v>6139</v>
      </c>
      <c r="B4336" s="4" t="s">
        <v>6140</v>
      </c>
    </row>
    <row r="4337" spans="1:2" x14ac:dyDescent="0.3">
      <c r="A4337" s="4" t="s">
        <v>10557</v>
      </c>
      <c r="B4337" s="4" t="s">
        <v>10558</v>
      </c>
    </row>
    <row r="4338" spans="1:2" x14ac:dyDescent="0.3">
      <c r="A4338" s="4" t="s">
        <v>10559</v>
      </c>
      <c r="B4338" s="4" t="s">
        <v>10560</v>
      </c>
    </row>
    <row r="4339" spans="1:2" x14ac:dyDescent="0.3">
      <c r="A4339" s="4" t="s">
        <v>6141</v>
      </c>
      <c r="B4339" s="4" t="s">
        <v>6142</v>
      </c>
    </row>
    <row r="4340" spans="1:2" x14ac:dyDescent="0.3">
      <c r="A4340" s="4" t="s">
        <v>4271</v>
      </c>
      <c r="B4340" s="4" t="s">
        <v>10561</v>
      </c>
    </row>
    <row r="4341" spans="1:2" x14ac:dyDescent="0.3">
      <c r="A4341" s="4" t="s">
        <v>6144</v>
      </c>
      <c r="B4341" s="4" t="s">
        <v>6145</v>
      </c>
    </row>
    <row r="4342" spans="1:2" x14ac:dyDescent="0.3">
      <c r="A4342" s="4" t="s">
        <v>6146</v>
      </c>
      <c r="B4342" s="4" t="s">
        <v>6147</v>
      </c>
    </row>
    <row r="4343" spans="1:2" x14ac:dyDescent="0.3">
      <c r="A4343" s="4" t="s">
        <v>10562</v>
      </c>
      <c r="B4343" s="4" t="s">
        <v>10563</v>
      </c>
    </row>
    <row r="4344" spans="1:2" x14ac:dyDescent="0.3">
      <c r="A4344" s="4" t="s">
        <v>6148</v>
      </c>
      <c r="B4344" s="4" t="s">
        <v>6149</v>
      </c>
    </row>
    <row r="4345" spans="1:2" x14ac:dyDescent="0.3">
      <c r="A4345" s="4" t="s">
        <v>6150</v>
      </c>
      <c r="B4345" s="4" t="s">
        <v>6151</v>
      </c>
    </row>
    <row r="4346" spans="1:2" x14ac:dyDescent="0.3">
      <c r="A4346" s="4" t="s">
        <v>6152</v>
      </c>
      <c r="B4346" s="4" t="s">
        <v>6153</v>
      </c>
    </row>
    <row r="4347" spans="1:2" x14ac:dyDescent="0.3">
      <c r="A4347" s="4" t="s">
        <v>6154</v>
      </c>
      <c r="B4347" s="4" t="s">
        <v>6155</v>
      </c>
    </row>
    <row r="4348" spans="1:2" x14ac:dyDescent="0.3">
      <c r="A4348" s="4" t="s">
        <v>6156</v>
      </c>
      <c r="B4348" s="4" t="s">
        <v>6157</v>
      </c>
    </row>
    <row r="4349" spans="1:2" x14ac:dyDescent="0.3">
      <c r="A4349" s="4" t="s">
        <v>10564</v>
      </c>
      <c r="B4349" s="4" t="s">
        <v>10565</v>
      </c>
    </row>
    <row r="4350" spans="1:2" x14ac:dyDescent="0.3">
      <c r="A4350" s="4" t="s">
        <v>5253</v>
      </c>
      <c r="B4350" s="4" t="s">
        <v>12635</v>
      </c>
    </row>
    <row r="4351" spans="1:2" x14ac:dyDescent="0.3">
      <c r="A4351" s="4" t="s">
        <v>6158</v>
      </c>
      <c r="B4351" s="4" t="s">
        <v>6159</v>
      </c>
    </row>
    <row r="4352" spans="1:2" x14ac:dyDescent="0.3">
      <c r="A4352" s="4" t="s">
        <v>6160</v>
      </c>
      <c r="B4352" s="4" t="s">
        <v>6161</v>
      </c>
    </row>
    <row r="4353" spans="1:2" x14ac:dyDescent="0.3">
      <c r="A4353" s="4" t="s">
        <v>6162</v>
      </c>
      <c r="B4353" s="4" t="s">
        <v>6163</v>
      </c>
    </row>
    <row r="4354" spans="1:2" x14ac:dyDescent="0.3">
      <c r="A4354" s="4" t="s">
        <v>6164</v>
      </c>
      <c r="B4354" s="4" t="s">
        <v>6165</v>
      </c>
    </row>
    <row r="4355" spans="1:2" x14ac:dyDescent="0.3">
      <c r="A4355" s="4" t="s">
        <v>10566</v>
      </c>
      <c r="B4355" s="4" t="s">
        <v>10567</v>
      </c>
    </row>
    <row r="4356" spans="1:2" x14ac:dyDescent="0.3">
      <c r="A4356" s="4" t="s">
        <v>6166</v>
      </c>
      <c r="B4356" s="4" t="s">
        <v>6167</v>
      </c>
    </row>
    <row r="4357" spans="1:2" x14ac:dyDescent="0.3">
      <c r="A4357" s="4" t="s">
        <v>6168</v>
      </c>
      <c r="B4357" s="4" t="s">
        <v>6169</v>
      </c>
    </row>
    <row r="4358" spans="1:2" x14ac:dyDescent="0.3">
      <c r="A4358" s="4" t="s">
        <v>6170</v>
      </c>
      <c r="B4358" s="4" t="s">
        <v>6171</v>
      </c>
    </row>
    <row r="4359" spans="1:2" x14ac:dyDescent="0.3">
      <c r="A4359" s="4" t="s">
        <v>6172</v>
      </c>
      <c r="B4359" s="4" t="s">
        <v>6173</v>
      </c>
    </row>
    <row r="4360" spans="1:2" x14ac:dyDescent="0.3">
      <c r="A4360" s="4" t="s">
        <v>10568</v>
      </c>
      <c r="B4360" s="4" t="s">
        <v>10569</v>
      </c>
    </row>
    <row r="4361" spans="1:2" x14ac:dyDescent="0.3">
      <c r="A4361" s="4" t="s">
        <v>4973</v>
      </c>
      <c r="B4361" s="4" t="s">
        <v>10570</v>
      </c>
    </row>
    <row r="4362" spans="1:2" x14ac:dyDescent="0.3">
      <c r="A4362" s="4" t="s">
        <v>6174</v>
      </c>
      <c r="B4362" s="4" t="s">
        <v>6175</v>
      </c>
    </row>
    <row r="4363" spans="1:2" x14ac:dyDescent="0.3">
      <c r="A4363" s="4" t="s">
        <v>6176</v>
      </c>
      <c r="B4363" s="4" t="s">
        <v>6175</v>
      </c>
    </row>
    <row r="4364" spans="1:2" x14ac:dyDescent="0.3">
      <c r="A4364" s="4" t="s">
        <v>6177</v>
      </c>
      <c r="B4364" s="4" t="s">
        <v>6178</v>
      </c>
    </row>
    <row r="4365" spans="1:2" x14ac:dyDescent="0.3">
      <c r="A4365" s="4" t="s">
        <v>10571</v>
      </c>
      <c r="B4365" s="4" t="s">
        <v>10572</v>
      </c>
    </row>
    <row r="4366" spans="1:2" x14ac:dyDescent="0.3">
      <c r="A4366" s="4" t="s">
        <v>6179</v>
      </c>
      <c r="B4366" s="4" t="s">
        <v>6180</v>
      </c>
    </row>
    <row r="4367" spans="1:2" x14ac:dyDescent="0.3">
      <c r="A4367" s="4" t="s">
        <v>6181</v>
      </c>
      <c r="B4367" s="4" t="s">
        <v>6182</v>
      </c>
    </row>
    <row r="4368" spans="1:2" x14ac:dyDescent="0.3">
      <c r="A4368" s="4" t="s">
        <v>10573</v>
      </c>
      <c r="B4368" s="4" t="s">
        <v>10574</v>
      </c>
    </row>
    <row r="4369" spans="1:2" x14ac:dyDescent="0.3">
      <c r="A4369" s="4" t="s">
        <v>6183</v>
      </c>
      <c r="B4369" s="4" t="s">
        <v>12636</v>
      </c>
    </row>
    <row r="4370" spans="1:2" x14ac:dyDescent="0.3">
      <c r="A4370" s="4" t="s">
        <v>10575</v>
      </c>
      <c r="B4370" s="4" t="s">
        <v>10576</v>
      </c>
    </row>
    <row r="4371" spans="1:2" x14ac:dyDescent="0.3">
      <c r="A4371" s="4" t="s">
        <v>10577</v>
      </c>
      <c r="B4371" s="4" t="s">
        <v>10578</v>
      </c>
    </row>
    <row r="4372" spans="1:2" x14ac:dyDescent="0.3">
      <c r="A4372" s="4" t="s">
        <v>10579</v>
      </c>
      <c r="B4372" s="4" t="s">
        <v>10580</v>
      </c>
    </row>
    <row r="4373" spans="1:2" x14ac:dyDescent="0.3">
      <c r="A4373" s="4" t="s">
        <v>10581</v>
      </c>
      <c r="B4373" s="4" t="s">
        <v>10582</v>
      </c>
    </row>
    <row r="4374" spans="1:2" x14ac:dyDescent="0.3">
      <c r="A4374" s="4" t="s">
        <v>6184</v>
      </c>
      <c r="B4374" s="4" t="s">
        <v>6185</v>
      </c>
    </row>
    <row r="4375" spans="1:2" x14ac:dyDescent="0.3">
      <c r="A4375" s="4" t="s">
        <v>10583</v>
      </c>
      <c r="B4375" s="4" t="s">
        <v>10584</v>
      </c>
    </row>
    <row r="4376" spans="1:2" x14ac:dyDescent="0.3">
      <c r="A4376" s="4" t="s">
        <v>6186</v>
      </c>
      <c r="B4376" s="4" t="s">
        <v>6187</v>
      </c>
    </row>
    <row r="4377" spans="1:2" x14ac:dyDescent="0.3">
      <c r="A4377" s="4" t="s">
        <v>10585</v>
      </c>
      <c r="B4377" s="4" t="s">
        <v>10586</v>
      </c>
    </row>
    <row r="4378" spans="1:2" x14ac:dyDescent="0.3">
      <c r="A4378" s="4" t="s">
        <v>10587</v>
      </c>
      <c r="B4378" s="4" t="s">
        <v>10588</v>
      </c>
    </row>
    <row r="4379" spans="1:2" x14ac:dyDescent="0.3">
      <c r="A4379" s="4" t="s">
        <v>6188</v>
      </c>
      <c r="B4379" s="4" t="s">
        <v>6189</v>
      </c>
    </row>
    <row r="4380" spans="1:2" x14ac:dyDescent="0.3">
      <c r="A4380" s="4" t="s">
        <v>10589</v>
      </c>
      <c r="B4380" s="4" t="s">
        <v>8877</v>
      </c>
    </row>
    <row r="4381" spans="1:2" x14ac:dyDescent="0.3">
      <c r="A4381" s="4" t="s">
        <v>6190</v>
      </c>
      <c r="B4381" s="4" t="s">
        <v>6191</v>
      </c>
    </row>
    <row r="4382" spans="1:2" x14ac:dyDescent="0.3">
      <c r="A4382" s="4" t="s">
        <v>10590</v>
      </c>
      <c r="B4382" s="4" t="s">
        <v>10591</v>
      </c>
    </row>
    <row r="4383" spans="1:2" x14ac:dyDescent="0.3">
      <c r="A4383" s="4" t="s">
        <v>6192</v>
      </c>
      <c r="B4383" s="4" t="s">
        <v>6193</v>
      </c>
    </row>
    <row r="4384" spans="1:2" x14ac:dyDescent="0.3">
      <c r="A4384" s="4" t="s">
        <v>12637</v>
      </c>
      <c r="B4384" s="4" t="s">
        <v>12638</v>
      </c>
    </row>
    <row r="4385" spans="1:2" x14ac:dyDescent="0.3">
      <c r="A4385" s="4" t="s">
        <v>6194</v>
      </c>
      <c r="B4385" s="4" t="s">
        <v>6195</v>
      </c>
    </row>
    <row r="4386" spans="1:2" x14ac:dyDescent="0.3">
      <c r="A4386" s="4" t="s">
        <v>6196</v>
      </c>
      <c r="B4386" s="4" t="s">
        <v>6197</v>
      </c>
    </row>
    <row r="4387" spans="1:2" x14ac:dyDescent="0.3">
      <c r="A4387" s="4" t="s">
        <v>12639</v>
      </c>
      <c r="B4387" s="4" t="s">
        <v>12640</v>
      </c>
    </row>
    <row r="4388" spans="1:2" x14ac:dyDescent="0.3">
      <c r="A4388" s="4" t="s">
        <v>6198</v>
      </c>
      <c r="B4388" s="4" t="s">
        <v>6199</v>
      </c>
    </row>
    <row r="4389" spans="1:2" x14ac:dyDescent="0.3">
      <c r="A4389" s="4" t="s">
        <v>12641</v>
      </c>
      <c r="B4389" s="4" t="s">
        <v>12642</v>
      </c>
    </row>
    <row r="4390" spans="1:2" x14ac:dyDescent="0.3">
      <c r="A4390" s="4" t="s">
        <v>10592</v>
      </c>
      <c r="B4390" s="4" t="s">
        <v>10593</v>
      </c>
    </row>
    <row r="4391" spans="1:2" x14ac:dyDescent="0.3">
      <c r="A4391" s="4" t="s">
        <v>12643</v>
      </c>
      <c r="B4391" s="4" t="s">
        <v>12302</v>
      </c>
    </row>
    <row r="4392" spans="1:2" x14ac:dyDescent="0.3">
      <c r="A4392" s="4" t="s">
        <v>10594</v>
      </c>
      <c r="B4392" s="4" t="s">
        <v>10595</v>
      </c>
    </row>
    <row r="4393" spans="1:2" x14ac:dyDescent="0.3">
      <c r="A4393" s="4" t="s">
        <v>10597</v>
      </c>
      <c r="B4393" s="4" t="s">
        <v>10598</v>
      </c>
    </row>
    <row r="4394" spans="1:2" x14ac:dyDescent="0.3">
      <c r="A4394" s="4" t="s">
        <v>10599</v>
      </c>
      <c r="B4394" s="4" t="s">
        <v>10600</v>
      </c>
    </row>
    <row r="4395" spans="1:2" x14ac:dyDescent="0.3">
      <c r="A4395" s="4" t="s">
        <v>10601</v>
      </c>
      <c r="B4395" s="4" t="s">
        <v>10602</v>
      </c>
    </row>
    <row r="4396" spans="1:2" x14ac:dyDescent="0.3">
      <c r="A4396" s="4" t="s">
        <v>10603</v>
      </c>
      <c r="B4396" s="4" t="s">
        <v>10604</v>
      </c>
    </row>
    <row r="4397" spans="1:2" x14ac:dyDescent="0.3">
      <c r="A4397" s="4" t="s">
        <v>10605</v>
      </c>
      <c r="B4397" s="4" t="s">
        <v>10606</v>
      </c>
    </row>
    <row r="4398" spans="1:2" x14ac:dyDescent="0.3">
      <c r="A4398" s="4" t="s">
        <v>6200</v>
      </c>
      <c r="B4398" s="4" t="s">
        <v>6201</v>
      </c>
    </row>
    <row r="4399" spans="1:2" x14ac:dyDescent="0.3">
      <c r="A4399" s="4" t="s">
        <v>6202</v>
      </c>
      <c r="B4399" s="4" t="s">
        <v>6203</v>
      </c>
    </row>
    <row r="4400" spans="1:2" x14ac:dyDescent="0.3">
      <c r="A4400" s="4" t="s">
        <v>10607</v>
      </c>
      <c r="B4400" s="4" t="s">
        <v>10608</v>
      </c>
    </row>
    <row r="4401" spans="1:2" x14ac:dyDescent="0.3">
      <c r="A4401" s="4" t="s">
        <v>6204</v>
      </c>
      <c r="B4401" s="4" t="s">
        <v>6205</v>
      </c>
    </row>
    <row r="4402" spans="1:2" x14ac:dyDescent="0.3">
      <c r="A4402" s="4" t="s">
        <v>10609</v>
      </c>
      <c r="B4402" s="4" t="s">
        <v>10610</v>
      </c>
    </row>
    <row r="4403" spans="1:2" x14ac:dyDescent="0.3">
      <c r="A4403" s="4" t="s">
        <v>10611</v>
      </c>
      <c r="B4403" s="4" t="s">
        <v>10612</v>
      </c>
    </row>
    <row r="4404" spans="1:2" x14ac:dyDescent="0.3">
      <c r="A4404" s="4" t="s">
        <v>6206</v>
      </c>
      <c r="B4404" s="4" t="s">
        <v>6207</v>
      </c>
    </row>
    <row r="4405" spans="1:2" x14ac:dyDescent="0.3">
      <c r="A4405" s="4" t="s">
        <v>10613</v>
      </c>
      <c r="B4405" s="4" t="s">
        <v>10614</v>
      </c>
    </row>
    <row r="4406" spans="1:2" x14ac:dyDescent="0.3">
      <c r="A4406" s="4" t="s">
        <v>10615</v>
      </c>
      <c r="B4406" s="4" t="s">
        <v>10616</v>
      </c>
    </row>
    <row r="4407" spans="1:2" x14ac:dyDescent="0.3">
      <c r="A4407" s="4" t="s">
        <v>4388</v>
      </c>
      <c r="B4407" s="4" t="s">
        <v>10617</v>
      </c>
    </row>
    <row r="4408" spans="1:2" x14ac:dyDescent="0.3">
      <c r="A4408" s="4" t="s">
        <v>10618</v>
      </c>
      <c r="B4408" s="4" t="s">
        <v>10619</v>
      </c>
    </row>
    <row r="4409" spans="1:2" x14ac:dyDescent="0.3">
      <c r="A4409" s="4" t="s">
        <v>10620</v>
      </c>
      <c r="B4409" s="4" t="s">
        <v>10621</v>
      </c>
    </row>
    <row r="4410" spans="1:2" x14ac:dyDescent="0.3">
      <c r="A4410" s="4" t="s">
        <v>10622</v>
      </c>
      <c r="B4410" s="4" t="s">
        <v>10623</v>
      </c>
    </row>
    <row r="4411" spans="1:2" x14ac:dyDescent="0.3">
      <c r="A4411" s="4" t="s">
        <v>6209</v>
      </c>
      <c r="B4411" s="4" t="s">
        <v>6210</v>
      </c>
    </row>
    <row r="4412" spans="1:2" x14ac:dyDescent="0.3">
      <c r="A4412" s="4" t="s">
        <v>10624</v>
      </c>
      <c r="B4412" s="4" t="s">
        <v>10625</v>
      </c>
    </row>
    <row r="4413" spans="1:2" x14ac:dyDescent="0.3">
      <c r="A4413" s="4" t="s">
        <v>4881</v>
      </c>
      <c r="B4413" s="4" t="s">
        <v>10626</v>
      </c>
    </row>
    <row r="4414" spans="1:2" x14ac:dyDescent="0.3">
      <c r="A4414" s="4" t="s">
        <v>6211</v>
      </c>
      <c r="B4414" s="4" t="s">
        <v>6212</v>
      </c>
    </row>
    <row r="4415" spans="1:2" x14ac:dyDescent="0.3">
      <c r="A4415" s="4" t="s">
        <v>6213</v>
      </c>
      <c r="B4415" s="4" t="s">
        <v>6214</v>
      </c>
    </row>
    <row r="4416" spans="1:2" x14ac:dyDescent="0.3">
      <c r="A4416" s="4" t="s">
        <v>6216</v>
      </c>
      <c r="B4416" s="4" t="s">
        <v>6217</v>
      </c>
    </row>
    <row r="4417" spans="1:2" x14ac:dyDescent="0.3">
      <c r="A4417" s="4" t="s">
        <v>6246</v>
      </c>
      <c r="B4417" s="4" t="s">
        <v>10627</v>
      </c>
    </row>
    <row r="4418" spans="1:2" x14ac:dyDescent="0.3">
      <c r="A4418" s="4" t="s">
        <v>10628</v>
      </c>
      <c r="B4418" s="4" t="s">
        <v>10629</v>
      </c>
    </row>
    <row r="4419" spans="1:2" x14ac:dyDescent="0.3">
      <c r="A4419" s="4" t="s">
        <v>6218</v>
      </c>
      <c r="B4419" s="4" t="s">
        <v>6219</v>
      </c>
    </row>
    <row r="4420" spans="1:2" x14ac:dyDescent="0.3">
      <c r="A4420" s="4" t="s">
        <v>6220</v>
      </c>
      <c r="B4420" s="4" t="s">
        <v>6221</v>
      </c>
    </row>
    <row r="4421" spans="1:2" x14ac:dyDescent="0.3">
      <c r="A4421" s="4" t="s">
        <v>6222</v>
      </c>
      <c r="B4421" s="4" t="s">
        <v>6223</v>
      </c>
    </row>
    <row r="4422" spans="1:2" x14ac:dyDescent="0.3">
      <c r="A4422" s="4" t="s">
        <v>6224</v>
      </c>
      <c r="B4422" s="4" t="s">
        <v>6225</v>
      </c>
    </row>
    <row r="4423" spans="1:2" x14ac:dyDescent="0.3">
      <c r="A4423" s="4" t="s">
        <v>6226</v>
      </c>
      <c r="B4423" s="4" t="s">
        <v>6227</v>
      </c>
    </row>
    <row r="4424" spans="1:2" x14ac:dyDescent="0.3">
      <c r="A4424" s="4" t="s">
        <v>6228</v>
      </c>
      <c r="B4424" s="4" t="s">
        <v>6229</v>
      </c>
    </row>
    <row r="4425" spans="1:2" x14ac:dyDescent="0.3">
      <c r="A4425" s="4" t="s">
        <v>12644</v>
      </c>
      <c r="B4425" s="4" t="s">
        <v>12645</v>
      </c>
    </row>
    <row r="4426" spans="1:2" x14ac:dyDescent="0.3">
      <c r="A4426" s="4" t="s">
        <v>6230</v>
      </c>
      <c r="B4426" s="4" t="s">
        <v>6231</v>
      </c>
    </row>
    <row r="4427" spans="1:2" x14ac:dyDescent="0.3">
      <c r="A4427" s="4" t="s">
        <v>6232</v>
      </c>
      <c r="B4427" s="4" t="s">
        <v>6233</v>
      </c>
    </row>
    <row r="4428" spans="1:2" x14ac:dyDescent="0.3">
      <c r="A4428" s="4" t="s">
        <v>10630</v>
      </c>
      <c r="B4428" s="4" t="s">
        <v>10631</v>
      </c>
    </row>
    <row r="4429" spans="1:2" x14ac:dyDescent="0.3">
      <c r="A4429" s="4" t="s">
        <v>6234</v>
      </c>
      <c r="B4429" s="4" t="s">
        <v>6235</v>
      </c>
    </row>
    <row r="4430" spans="1:2" x14ac:dyDescent="0.3">
      <c r="A4430" s="4" t="s">
        <v>10632</v>
      </c>
      <c r="B4430" s="4" t="s">
        <v>10633</v>
      </c>
    </row>
    <row r="4431" spans="1:2" x14ac:dyDescent="0.3">
      <c r="A4431" s="4" t="s">
        <v>6236</v>
      </c>
      <c r="B4431" s="4" t="s">
        <v>6237</v>
      </c>
    </row>
    <row r="4432" spans="1:2" x14ac:dyDescent="0.3">
      <c r="A4432" s="4" t="s">
        <v>10634</v>
      </c>
      <c r="B4432" s="4" t="s">
        <v>10635</v>
      </c>
    </row>
    <row r="4433" spans="1:2" x14ac:dyDescent="0.3">
      <c r="A4433" s="4" t="s">
        <v>6238</v>
      </c>
      <c r="B4433" s="4" t="s">
        <v>6239</v>
      </c>
    </row>
    <row r="4434" spans="1:2" x14ac:dyDescent="0.3">
      <c r="A4434" s="4" t="s">
        <v>10636</v>
      </c>
      <c r="B4434" s="4" t="s">
        <v>10637</v>
      </c>
    </row>
    <row r="4435" spans="1:2" x14ac:dyDescent="0.3">
      <c r="A4435" s="4" t="s">
        <v>6739</v>
      </c>
      <c r="B4435" s="4" t="s">
        <v>10638</v>
      </c>
    </row>
    <row r="4436" spans="1:2" x14ac:dyDescent="0.3">
      <c r="A4436" s="4" t="s">
        <v>12646</v>
      </c>
      <c r="B4436" s="4" t="s">
        <v>12647</v>
      </c>
    </row>
    <row r="4437" spans="1:2" x14ac:dyDescent="0.3">
      <c r="A4437" s="4" t="s">
        <v>6240</v>
      </c>
      <c r="B4437" s="4" t="s">
        <v>6241</v>
      </c>
    </row>
    <row r="4438" spans="1:2" x14ac:dyDescent="0.3">
      <c r="A4438" s="4" t="s">
        <v>6242</v>
      </c>
      <c r="B4438" s="4" t="s">
        <v>6243</v>
      </c>
    </row>
    <row r="4439" spans="1:2" x14ac:dyDescent="0.3">
      <c r="A4439" s="4" t="s">
        <v>12648</v>
      </c>
      <c r="B4439" s="4" t="s">
        <v>12649</v>
      </c>
    </row>
    <row r="4440" spans="1:2" x14ac:dyDescent="0.3">
      <c r="A4440" s="4" t="s">
        <v>6244</v>
      </c>
      <c r="B4440" s="4" t="s">
        <v>6245</v>
      </c>
    </row>
    <row r="4441" spans="1:2" x14ac:dyDescent="0.3">
      <c r="A4441" s="4" t="s">
        <v>7841</v>
      </c>
      <c r="B4441" s="4" t="s">
        <v>12650</v>
      </c>
    </row>
    <row r="4442" spans="1:2" x14ac:dyDescent="0.3">
      <c r="A4442" s="4" t="s">
        <v>10639</v>
      </c>
      <c r="B4442" s="4" t="s">
        <v>10640</v>
      </c>
    </row>
    <row r="4443" spans="1:2" x14ac:dyDescent="0.3">
      <c r="A4443" s="4" t="s">
        <v>5160</v>
      </c>
      <c r="B4443" s="4" t="s">
        <v>10641</v>
      </c>
    </row>
    <row r="4444" spans="1:2" x14ac:dyDescent="0.3">
      <c r="A4444" s="4" t="s">
        <v>7992</v>
      </c>
      <c r="B4444" s="4" t="s">
        <v>10642</v>
      </c>
    </row>
    <row r="4445" spans="1:2" x14ac:dyDescent="0.3">
      <c r="A4445" s="4" t="s">
        <v>6247</v>
      </c>
      <c r="B4445" s="4" t="s">
        <v>6248</v>
      </c>
    </row>
    <row r="4446" spans="1:2" x14ac:dyDescent="0.3">
      <c r="A4446" s="4" t="s">
        <v>10643</v>
      </c>
      <c r="B4446" s="4" t="s">
        <v>10644</v>
      </c>
    </row>
    <row r="4447" spans="1:2" x14ac:dyDescent="0.3">
      <c r="A4447" s="4" t="s">
        <v>10645</v>
      </c>
      <c r="B4447" s="4" t="s">
        <v>10646</v>
      </c>
    </row>
    <row r="4448" spans="1:2" x14ac:dyDescent="0.3">
      <c r="A4448" s="4" t="s">
        <v>6249</v>
      </c>
      <c r="B4448" s="4" t="s">
        <v>6250</v>
      </c>
    </row>
    <row r="4449" spans="1:2" x14ac:dyDescent="0.3">
      <c r="A4449" s="4" t="s">
        <v>6251</v>
      </c>
      <c r="B4449" s="4" t="s">
        <v>6252</v>
      </c>
    </row>
    <row r="4450" spans="1:2" x14ac:dyDescent="0.3">
      <c r="A4450" s="4" t="s">
        <v>5883</v>
      </c>
      <c r="B4450" s="4" t="s">
        <v>10648</v>
      </c>
    </row>
    <row r="4451" spans="1:2" x14ac:dyDescent="0.3">
      <c r="A4451" s="4" t="s">
        <v>10649</v>
      </c>
      <c r="B4451" s="4" t="s">
        <v>10650</v>
      </c>
    </row>
    <row r="4452" spans="1:2" x14ac:dyDescent="0.3">
      <c r="A4452" s="4" t="s">
        <v>10651</v>
      </c>
      <c r="B4452" s="4" t="s">
        <v>10652</v>
      </c>
    </row>
    <row r="4453" spans="1:2" x14ac:dyDescent="0.3">
      <c r="A4453" s="4" t="s">
        <v>6253</v>
      </c>
      <c r="B4453" s="4" t="s">
        <v>6254</v>
      </c>
    </row>
    <row r="4454" spans="1:2" x14ac:dyDescent="0.3">
      <c r="A4454" s="4" t="s">
        <v>10653</v>
      </c>
      <c r="B4454" s="4" t="s">
        <v>10654</v>
      </c>
    </row>
    <row r="4455" spans="1:2" x14ac:dyDescent="0.3">
      <c r="A4455" s="4" t="s">
        <v>10655</v>
      </c>
      <c r="B4455" s="4" t="s">
        <v>8881</v>
      </c>
    </row>
    <row r="4456" spans="1:2" x14ac:dyDescent="0.3">
      <c r="A4456" s="4" t="s">
        <v>6255</v>
      </c>
      <c r="B4456" s="4" t="s">
        <v>6256</v>
      </c>
    </row>
    <row r="4457" spans="1:2" x14ac:dyDescent="0.3">
      <c r="A4457" s="4" t="s">
        <v>6257</v>
      </c>
      <c r="B4457" s="4" t="s">
        <v>10656</v>
      </c>
    </row>
    <row r="4458" spans="1:2" x14ac:dyDescent="0.3">
      <c r="A4458" s="4" t="s">
        <v>10657</v>
      </c>
      <c r="B4458" s="4" t="s">
        <v>10658</v>
      </c>
    </row>
    <row r="4459" spans="1:2" x14ac:dyDescent="0.3">
      <c r="A4459" s="4" t="s">
        <v>6258</v>
      </c>
      <c r="B4459" s="4" t="s">
        <v>6259</v>
      </c>
    </row>
    <row r="4460" spans="1:2" x14ac:dyDescent="0.3">
      <c r="A4460" s="4" t="s">
        <v>10659</v>
      </c>
      <c r="B4460" s="4" t="s">
        <v>10660</v>
      </c>
    </row>
    <row r="4461" spans="1:2" x14ac:dyDescent="0.3">
      <c r="A4461" s="4" t="s">
        <v>6260</v>
      </c>
      <c r="B4461" s="4" t="s">
        <v>6261</v>
      </c>
    </row>
    <row r="4462" spans="1:2" x14ac:dyDescent="0.3">
      <c r="A4462" s="4" t="s">
        <v>10661</v>
      </c>
      <c r="B4462" s="4" t="s">
        <v>10662</v>
      </c>
    </row>
    <row r="4463" spans="1:2" x14ac:dyDescent="0.3">
      <c r="A4463" s="4" t="s">
        <v>10663</v>
      </c>
      <c r="B4463" s="4" t="s">
        <v>10664</v>
      </c>
    </row>
    <row r="4464" spans="1:2" x14ac:dyDescent="0.3">
      <c r="A4464" s="4" t="s">
        <v>6262</v>
      </c>
      <c r="B4464" s="4" t="s">
        <v>6263</v>
      </c>
    </row>
    <row r="4465" spans="1:2" x14ac:dyDescent="0.3">
      <c r="A4465" s="4" t="s">
        <v>10665</v>
      </c>
      <c r="B4465" s="4" t="s">
        <v>10666</v>
      </c>
    </row>
    <row r="4466" spans="1:2" x14ac:dyDescent="0.3">
      <c r="A4466" s="4" t="s">
        <v>6265</v>
      </c>
      <c r="B4466" s="4" t="s">
        <v>6266</v>
      </c>
    </row>
    <row r="4467" spans="1:2" x14ac:dyDescent="0.3">
      <c r="A4467" s="4" t="s">
        <v>6267</v>
      </c>
      <c r="B4467" s="4" t="s">
        <v>6268</v>
      </c>
    </row>
    <row r="4468" spans="1:2" x14ac:dyDescent="0.3">
      <c r="A4468" s="4" t="s">
        <v>6269</v>
      </c>
      <c r="B4468" s="4" t="s">
        <v>6270</v>
      </c>
    </row>
    <row r="4469" spans="1:2" x14ac:dyDescent="0.3">
      <c r="A4469" s="4" t="s">
        <v>10667</v>
      </c>
      <c r="B4469" s="4" t="s">
        <v>10668</v>
      </c>
    </row>
    <row r="4470" spans="1:2" x14ac:dyDescent="0.3">
      <c r="A4470" s="4" t="s">
        <v>10669</v>
      </c>
      <c r="B4470" s="4" t="s">
        <v>10670</v>
      </c>
    </row>
    <row r="4471" spans="1:2" x14ac:dyDescent="0.3">
      <c r="A4471" s="4" t="s">
        <v>10671</v>
      </c>
      <c r="B4471" s="4" t="s">
        <v>10672</v>
      </c>
    </row>
    <row r="4472" spans="1:2" x14ac:dyDescent="0.3">
      <c r="A4472" s="4" t="s">
        <v>10673</v>
      </c>
      <c r="B4472" s="4" t="s">
        <v>10674</v>
      </c>
    </row>
    <row r="4473" spans="1:2" x14ac:dyDescent="0.3">
      <c r="A4473" s="4" t="s">
        <v>10675</v>
      </c>
      <c r="B4473" s="4" t="s">
        <v>10676</v>
      </c>
    </row>
    <row r="4474" spans="1:2" x14ac:dyDescent="0.3">
      <c r="A4474" s="4" t="s">
        <v>10677</v>
      </c>
      <c r="B4474" s="4" t="s">
        <v>10678</v>
      </c>
    </row>
    <row r="4475" spans="1:2" x14ac:dyDescent="0.3">
      <c r="A4475" s="4" t="s">
        <v>6271</v>
      </c>
      <c r="B4475" s="4" t="s">
        <v>6272</v>
      </c>
    </row>
    <row r="4476" spans="1:2" x14ac:dyDescent="0.3">
      <c r="A4476" s="4" t="s">
        <v>10679</v>
      </c>
      <c r="B4476" s="4" t="s">
        <v>10680</v>
      </c>
    </row>
    <row r="4477" spans="1:2" x14ac:dyDescent="0.3">
      <c r="A4477" s="4" t="s">
        <v>10681</v>
      </c>
      <c r="B4477" s="4" t="s">
        <v>10682</v>
      </c>
    </row>
    <row r="4478" spans="1:2" x14ac:dyDescent="0.3">
      <c r="A4478" s="4" t="s">
        <v>10683</v>
      </c>
      <c r="B4478" s="4" t="s">
        <v>10684</v>
      </c>
    </row>
    <row r="4479" spans="1:2" x14ac:dyDescent="0.3">
      <c r="A4479" s="4" t="s">
        <v>6273</v>
      </c>
      <c r="B4479" s="4" t="s">
        <v>6274</v>
      </c>
    </row>
    <row r="4480" spans="1:2" x14ac:dyDescent="0.3">
      <c r="A4480" s="4" t="s">
        <v>6275</v>
      </c>
      <c r="B4480" s="4" t="s">
        <v>6276</v>
      </c>
    </row>
    <row r="4481" spans="1:2" x14ac:dyDescent="0.3">
      <c r="A4481" s="4" t="s">
        <v>6277</v>
      </c>
      <c r="B4481" s="4" t="s">
        <v>6278</v>
      </c>
    </row>
    <row r="4482" spans="1:2" x14ac:dyDescent="0.3">
      <c r="A4482" s="4" t="s">
        <v>6279</v>
      </c>
      <c r="B4482" s="4" t="s">
        <v>6280</v>
      </c>
    </row>
    <row r="4483" spans="1:2" x14ac:dyDescent="0.3">
      <c r="A4483" s="4" t="s">
        <v>6281</v>
      </c>
      <c r="B4483" s="4" t="s">
        <v>6282</v>
      </c>
    </row>
    <row r="4484" spans="1:2" x14ac:dyDescent="0.3">
      <c r="A4484" s="4" t="s">
        <v>6283</v>
      </c>
      <c r="B4484" s="4" t="s">
        <v>6284</v>
      </c>
    </row>
    <row r="4485" spans="1:2" x14ac:dyDescent="0.3">
      <c r="A4485" s="4" t="s">
        <v>7474</v>
      </c>
      <c r="B4485" s="4" t="s">
        <v>10685</v>
      </c>
    </row>
    <row r="4486" spans="1:2" x14ac:dyDescent="0.3">
      <c r="A4486" s="4" t="s">
        <v>6285</v>
      </c>
      <c r="B4486" s="4" t="s">
        <v>10686</v>
      </c>
    </row>
    <row r="4487" spans="1:2" x14ac:dyDescent="0.3">
      <c r="A4487" s="4" t="s">
        <v>5628</v>
      </c>
      <c r="B4487" s="4" t="s">
        <v>10687</v>
      </c>
    </row>
    <row r="4488" spans="1:2" x14ac:dyDescent="0.3">
      <c r="A4488" s="4" t="s">
        <v>6611</v>
      </c>
      <c r="B4488" s="4" t="s">
        <v>10688</v>
      </c>
    </row>
    <row r="4489" spans="1:2" x14ac:dyDescent="0.3">
      <c r="A4489" s="4" t="s">
        <v>7472</v>
      </c>
      <c r="B4489" s="4" t="s">
        <v>10689</v>
      </c>
    </row>
    <row r="4490" spans="1:2" x14ac:dyDescent="0.3">
      <c r="A4490" s="4" t="s">
        <v>8129</v>
      </c>
      <c r="B4490" s="4" t="s">
        <v>10690</v>
      </c>
    </row>
    <row r="4491" spans="1:2" x14ac:dyDescent="0.3">
      <c r="A4491" s="4" t="s">
        <v>10691</v>
      </c>
      <c r="B4491" s="4" t="s">
        <v>10692</v>
      </c>
    </row>
    <row r="4492" spans="1:2" x14ac:dyDescent="0.3">
      <c r="A4492" s="4" t="s">
        <v>7473</v>
      </c>
      <c r="B4492" s="4" t="s">
        <v>10693</v>
      </c>
    </row>
    <row r="4493" spans="1:2" x14ac:dyDescent="0.3">
      <c r="A4493" s="4" t="s">
        <v>7631</v>
      </c>
      <c r="B4493" s="4" t="s">
        <v>10694</v>
      </c>
    </row>
    <row r="4494" spans="1:2" x14ac:dyDescent="0.3">
      <c r="A4494" s="4" t="s">
        <v>6286</v>
      </c>
      <c r="B4494" s="4" t="s">
        <v>6287</v>
      </c>
    </row>
    <row r="4495" spans="1:2" x14ac:dyDescent="0.3">
      <c r="A4495" s="4" t="s">
        <v>10695</v>
      </c>
      <c r="B4495" s="4" t="s">
        <v>10696</v>
      </c>
    </row>
    <row r="4496" spans="1:2" x14ac:dyDescent="0.3">
      <c r="A4496" s="4" t="s">
        <v>6288</v>
      </c>
      <c r="B4496" s="4" t="s">
        <v>6289</v>
      </c>
    </row>
    <row r="4497" spans="1:2" x14ac:dyDescent="0.3">
      <c r="A4497" s="4" t="s">
        <v>10697</v>
      </c>
      <c r="B4497" s="4" t="s">
        <v>10698</v>
      </c>
    </row>
    <row r="4498" spans="1:2" x14ac:dyDescent="0.3">
      <c r="A4498" s="4" t="s">
        <v>6290</v>
      </c>
      <c r="B4498" s="4" t="s">
        <v>6291</v>
      </c>
    </row>
    <row r="4499" spans="1:2" x14ac:dyDescent="0.3">
      <c r="A4499" s="4" t="s">
        <v>10699</v>
      </c>
      <c r="B4499" s="4" t="s">
        <v>10700</v>
      </c>
    </row>
    <row r="4500" spans="1:2" x14ac:dyDescent="0.3">
      <c r="A4500" s="4" t="s">
        <v>12651</v>
      </c>
      <c r="B4500" s="4" t="s">
        <v>12652</v>
      </c>
    </row>
    <row r="4501" spans="1:2" x14ac:dyDescent="0.3">
      <c r="A4501" s="4" t="s">
        <v>10701</v>
      </c>
      <c r="B4501" s="4" t="s">
        <v>10702</v>
      </c>
    </row>
    <row r="4502" spans="1:2" x14ac:dyDescent="0.3">
      <c r="A4502" s="4" t="s">
        <v>10703</v>
      </c>
      <c r="B4502" s="4" t="s">
        <v>10704</v>
      </c>
    </row>
    <row r="4503" spans="1:2" x14ac:dyDescent="0.3">
      <c r="A4503" s="4" t="s">
        <v>7577</v>
      </c>
      <c r="B4503" s="4" t="s">
        <v>10705</v>
      </c>
    </row>
    <row r="4504" spans="1:2" x14ac:dyDescent="0.3">
      <c r="A4504" s="4" t="s">
        <v>6292</v>
      </c>
      <c r="B4504" s="4" t="s">
        <v>6293</v>
      </c>
    </row>
    <row r="4505" spans="1:2" x14ac:dyDescent="0.3">
      <c r="A4505" s="4" t="s">
        <v>6294</v>
      </c>
      <c r="B4505" s="4" t="s">
        <v>6295</v>
      </c>
    </row>
    <row r="4506" spans="1:2" x14ac:dyDescent="0.3">
      <c r="A4506" s="4" t="s">
        <v>6296</v>
      </c>
      <c r="B4506" s="4" t="s">
        <v>6297</v>
      </c>
    </row>
    <row r="4507" spans="1:2" x14ac:dyDescent="0.3">
      <c r="A4507" s="4" t="s">
        <v>10706</v>
      </c>
      <c r="B4507" s="4" t="s">
        <v>10707</v>
      </c>
    </row>
    <row r="4508" spans="1:2" x14ac:dyDescent="0.3">
      <c r="A4508" s="4" t="s">
        <v>6298</v>
      </c>
      <c r="B4508" s="4" t="s">
        <v>6299</v>
      </c>
    </row>
    <row r="4509" spans="1:2" x14ac:dyDescent="0.3">
      <c r="A4509" s="4" t="s">
        <v>6300</v>
      </c>
      <c r="B4509" s="4" t="s">
        <v>6301</v>
      </c>
    </row>
    <row r="4510" spans="1:2" x14ac:dyDescent="0.3">
      <c r="A4510" s="4" t="s">
        <v>6302</v>
      </c>
      <c r="B4510" s="4" t="s">
        <v>6303</v>
      </c>
    </row>
    <row r="4511" spans="1:2" x14ac:dyDescent="0.3">
      <c r="A4511" s="4" t="s">
        <v>6304</v>
      </c>
      <c r="B4511" s="4" t="s">
        <v>6305</v>
      </c>
    </row>
    <row r="4512" spans="1:2" x14ac:dyDescent="0.3">
      <c r="A4512" s="4" t="s">
        <v>6306</v>
      </c>
      <c r="B4512" s="4" t="s">
        <v>6307</v>
      </c>
    </row>
    <row r="4513" spans="1:2" x14ac:dyDescent="0.3">
      <c r="A4513" s="4" t="s">
        <v>6308</v>
      </c>
      <c r="B4513" s="4" t="s">
        <v>6309</v>
      </c>
    </row>
    <row r="4514" spans="1:2" x14ac:dyDescent="0.3">
      <c r="A4514" s="4" t="s">
        <v>6311</v>
      </c>
      <c r="B4514" s="4" t="s">
        <v>6312</v>
      </c>
    </row>
    <row r="4515" spans="1:2" x14ac:dyDescent="0.3">
      <c r="A4515" s="4" t="s">
        <v>10708</v>
      </c>
      <c r="B4515" s="4" t="s">
        <v>10709</v>
      </c>
    </row>
    <row r="4516" spans="1:2" x14ac:dyDescent="0.3">
      <c r="A4516" s="4" t="s">
        <v>12653</v>
      </c>
      <c r="B4516" s="4" t="s">
        <v>12654</v>
      </c>
    </row>
    <row r="4517" spans="1:2" x14ac:dyDescent="0.3">
      <c r="A4517" s="4" t="s">
        <v>10710</v>
      </c>
      <c r="B4517" s="4" t="s">
        <v>10711</v>
      </c>
    </row>
    <row r="4518" spans="1:2" x14ac:dyDescent="0.3">
      <c r="A4518" s="4" t="s">
        <v>6313</v>
      </c>
      <c r="B4518" s="4" t="s">
        <v>6314</v>
      </c>
    </row>
    <row r="4519" spans="1:2" x14ac:dyDescent="0.3">
      <c r="A4519" s="4" t="s">
        <v>10712</v>
      </c>
      <c r="B4519" s="4" t="s">
        <v>10713</v>
      </c>
    </row>
    <row r="4520" spans="1:2" x14ac:dyDescent="0.3">
      <c r="A4520" s="4" t="s">
        <v>7411</v>
      </c>
      <c r="B4520" s="4" t="s">
        <v>10714</v>
      </c>
    </row>
    <row r="4521" spans="1:2" x14ac:dyDescent="0.3">
      <c r="A4521" s="4" t="s">
        <v>6315</v>
      </c>
      <c r="B4521" s="4" t="s">
        <v>6316</v>
      </c>
    </row>
    <row r="4522" spans="1:2" x14ac:dyDescent="0.3">
      <c r="A4522" s="4" t="s">
        <v>6317</v>
      </c>
      <c r="B4522" s="4" t="s">
        <v>6318</v>
      </c>
    </row>
    <row r="4523" spans="1:2" x14ac:dyDescent="0.3">
      <c r="A4523" s="4" t="s">
        <v>10715</v>
      </c>
      <c r="B4523" s="4" t="s">
        <v>10716</v>
      </c>
    </row>
    <row r="4524" spans="1:2" x14ac:dyDescent="0.3">
      <c r="A4524" s="4" t="s">
        <v>10717</v>
      </c>
      <c r="B4524" s="4" t="s">
        <v>10718</v>
      </c>
    </row>
    <row r="4525" spans="1:2" x14ac:dyDescent="0.3">
      <c r="A4525" s="4" t="s">
        <v>6319</v>
      </c>
      <c r="B4525" s="4" t="s">
        <v>6320</v>
      </c>
    </row>
    <row r="4526" spans="1:2" x14ac:dyDescent="0.3">
      <c r="A4526" s="4" t="s">
        <v>4714</v>
      </c>
      <c r="B4526" s="4" t="s">
        <v>10719</v>
      </c>
    </row>
    <row r="4527" spans="1:2" x14ac:dyDescent="0.3">
      <c r="A4527" s="4" t="s">
        <v>6321</v>
      </c>
      <c r="B4527" s="4" t="s">
        <v>6322</v>
      </c>
    </row>
    <row r="4528" spans="1:2" x14ac:dyDescent="0.3">
      <c r="A4528" s="4" t="s">
        <v>6323</v>
      </c>
      <c r="B4528" s="4" t="s">
        <v>6324</v>
      </c>
    </row>
    <row r="4529" spans="1:2" x14ac:dyDescent="0.3">
      <c r="A4529" s="4" t="s">
        <v>10720</v>
      </c>
      <c r="B4529" s="4" t="s">
        <v>10721</v>
      </c>
    </row>
    <row r="4530" spans="1:2" x14ac:dyDescent="0.3">
      <c r="A4530" s="4" t="s">
        <v>6325</v>
      </c>
      <c r="B4530" s="4" t="s">
        <v>6326</v>
      </c>
    </row>
    <row r="4531" spans="1:2" x14ac:dyDescent="0.3">
      <c r="A4531" s="4" t="s">
        <v>6327</v>
      </c>
      <c r="B4531" s="4" t="s">
        <v>6328</v>
      </c>
    </row>
    <row r="4532" spans="1:2" x14ac:dyDescent="0.3">
      <c r="A4532" s="4" t="s">
        <v>10722</v>
      </c>
      <c r="B4532" s="4" t="s">
        <v>8892</v>
      </c>
    </row>
    <row r="4533" spans="1:2" x14ac:dyDescent="0.3">
      <c r="A4533" s="4" t="s">
        <v>6329</v>
      </c>
      <c r="B4533" s="4" t="s">
        <v>6330</v>
      </c>
    </row>
    <row r="4534" spans="1:2" x14ac:dyDescent="0.3">
      <c r="A4534" s="4" t="s">
        <v>6331</v>
      </c>
      <c r="B4534" s="4" t="s">
        <v>6332</v>
      </c>
    </row>
    <row r="4535" spans="1:2" x14ac:dyDescent="0.3">
      <c r="A4535" s="4" t="s">
        <v>10723</v>
      </c>
      <c r="B4535" s="4" t="s">
        <v>10724</v>
      </c>
    </row>
    <row r="4536" spans="1:2" x14ac:dyDescent="0.3">
      <c r="A4536" s="4" t="s">
        <v>10725</v>
      </c>
      <c r="B4536" s="4" t="s">
        <v>10726</v>
      </c>
    </row>
    <row r="4537" spans="1:2" x14ac:dyDescent="0.3">
      <c r="A4537" s="4" t="s">
        <v>12655</v>
      </c>
      <c r="B4537" s="4" t="s">
        <v>2290</v>
      </c>
    </row>
    <row r="4538" spans="1:2" x14ac:dyDescent="0.3">
      <c r="A4538" s="4" t="s">
        <v>6333</v>
      </c>
      <c r="B4538" s="4" t="s">
        <v>6334</v>
      </c>
    </row>
    <row r="4539" spans="1:2" x14ac:dyDescent="0.3">
      <c r="A4539" s="4" t="s">
        <v>10727</v>
      </c>
      <c r="B4539" s="4" t="s">
        <v>10728</v>
      </c>
    </row>
    <row r="4540" spans="1:2" x14ac:dyDescent="0.3">
      <c r="A4540" s="4" t="s">
        <v>10729</v>
      </c>
      <c r="B4540" s="4" t="s">
        <v>10730</v>
      </c>
    </row>
    <row r="4541" spans="1:2" x14ac:dyDescent="0.3">
      <c r="A4541" s="4" t="s">
        <v>10731</v>
      </c>
      <c r="B4541" s="4" t="s">
        <v>10732</v>
      </c>
    </row>
    <row r="4542" spans="1:2" x14ac:dyDescent="0.3">
      <c r="A4542" s="4" t="s">
        <v>10733</v>
      </c>
      <c r="B4542" s="4" t="s">
        <v>10734</v>
      </c>
    </row>
    <row r="4543" spans="1:2" x14ac:dyDescent="0.3">
      <c r="A4543" s="4" t="s">
        <v>6336</v>
      </c>
      <c r="B4543" s="4" t="s">
        <v>6337</v>
      </c>
    </row>
    <row r="4544" spans="1:2" x14ac:dyDescent="0.3">
      <c r="A4544" s="4" t="s">
        <v>10735</v>
      </c>
      <c r="B4544" s="4" t="s">
        <v>10736</v>
      </c>
    </row>
    <row r="4545" spans="1:2" x14ac:dyDescent="0.3">
      <c r="A4545" s="4" t="s">
        <v>10737</v>
      </c>
      <c r="B4545" s="4" t="s">
        <v>10738</v>
      </c>
    </row>
    <row r="4546" spans="1:2" x14ac:dyDescent="0.3">
      <c r="A4546" s="4" t="s">
        <v>6338</v>
      </c>
      <c r="B4546" s="4" t="s">
        <v>6339</v>
      </c>
    </row>
    <row r="4547" spans="1:2" x14ac:dyDescent="0.3">
      <c r="A4547" s="4" t="s">
        <v>6335</v>
      </c>
      <c r="B4547" s="4" t="s">
        <v>10739</v>
      </c>
    </row>
    <row r="4548" spans="1:2" x14ac:dyDescent="0.3">
      <c r="A4548" s="4" t="s">
        <v>10740</v>
      </c>
      <c r="B4548" s="4" t="s">
        <v>10741</v>
      </c>
    </row>
    <row r="4549" spans="1:2" x14ac:dyDescent="0.3">
      <c r="A4549" s="4" t="s">
        <v>6340</v>
      </c>
      <c r="B4549" s="4" t="s">
        <v>6341</v>
      </c>
    </row>
    <row r="4550" spans="1:2" x14ac:dyDescent="0.3">
      <c r="A4550" s="4" t="s">
        <v>6342</v>
      </c>
      <c r="B4550" s="4" t="s">
        <v>6343</v>
      </c>
    </row>
    <row r="4551" spans="1:2" x14ac:dyDescent="0.3">
      <c r="A4551" s="4" t="s">
        <v>10742</v>
      </c>
      <c r="B4551" s="4" t="s">
        <v>10743</v>
      </c>
    </row>
    <row r="4552" spans="1:2" x14ac:dyDescent="0.3">
      <c r="A4552" s="4" t="s">
        <v>10744</v>
      </c>
      <c r="B4552" s="4" t="s">
        <v>10745</v>
      </c>
    </row>
    <row r="4553" spans="1:2" x14ac:dyDescent="0.3">
      <c r="A4553" s="4" t="s">
        <v>12656</v>
      </c>
      <c r="B4553" s="4" t="s">
        <v>12657</v>
      </c>
    </row>
    <row r="4554" spans="1:2" x14ac:dyDescent="0.3">
      <c r="A4554" s="4" t="s">
        <v>6344</v>
      </c>
      <c r="B4554" s="4" t="s">
        <v>6345</v>
      </c>
    </row>
    <row r="4555" spans="1:2" x14ac:dyDescent="0.3">
      <c r="A4555" s="4" t="s">
        <v>10746</v>
      </c>
      <c r="B4555" s="4" t="s">
        <v>10747</v>
      </c>
    </row>
    <row r="4556" spans="1:2" x14ac:dyDescent="0.3">
      <c r="A4556" s="4" t="s">
        <v>10748</v>
      </c>
      <c r="B4556" s="4" t="s">
        <v>10749</v>
      </c>
    </row>
    <row r="4557" spans="1:2" x14ac:dyDescent="0.3">
      <c r="A4557" s="4" t="s">
        <v>6346</v>
      </c>
      <c r="B4557" s="4" t="s">
        <v>2298</v>
      </c>
    </row>
    <row r="4558" spans="1:2" x14ac:dyDescent="0.3">
      <c r="A4558" s="4" t="s">
        <v>6347</v>
      </c>
      <c r="B4558" s="4" t="s">
        <v>6348</v>
      </c>
    </row>
    <row r="4559" spans="1:2" x14ac:dyDescent="0.3">
      <c r="A4559" s="4" t="s">
        <v>10750</v>
      </c>
      <c r="B4559" s="4" t="s">
        <v>8896</v>
      </c>
    </row>
    <row r="4560" spans="1:2" x14ac:dyDescent="0.3">
      <c r="A4560" s="4" t="s">
        <v>10751</v>
      </c>
      <c r="B4560" s="4" t="s">
        <v>10752</v>
      </c>
    </row>
    <row r="4561" spans="1:2" x14ac:dyDescent="0.3">
      <c r="A4561" s="4" t="s">
        <v>10753</v>
      </c>
      <c r="B4561" s="4" t="s">
        <v>10754</v>
      </c>
    </row>
    <row r="4562" spans="1:2" x14ac:dyDescent="0.3">
      <c r="A4562" s="4" t="s">
        <v>10755</v>
      </c>
      <c r="B4562" s="4" t="s">
        <v>10756</v>
      </c>
    </row>
    <row r="4563" spans="1:2" x14ac:dyDescent="0.3">
      <c r="A4563" s="4" t="s">
        <v>6136</v>
      </c>
      <c r="B4563" s="4" t="s">
        <v>10757</v>
      </c>
    </row>
    <row r="4564" spans="1:2" x14ac:dyDescent="0.3">
      <c r="A4564" s="4" t="s">
        <v>6350</v>
      </c>
      <c r="B4564" s="4" t="s">
        <v>6351</v>
      </c>
    </row>
    <row r="4565" spans="1:2" x14ac:dyDescent="0.3">
      <c r="A4565" s="4" t="s">
        <v>10758</v>
      </c>
      <c r="B4565" s="4" t="s">
        <v>10759</v>
      </c>
    </row>
    <row r="4566" spans="1:2" x14ac:dyDescent="0.3">
      <c r="A4566" s="4" t="s">
        <v>10760</v>
      </c>
      <c r="B4566" s="4" t="s">
        <v>8898</v>
      </c>
    </row>
    <row r="4567" spans="1:2" x14ac:dyDescent="0.3">
      <c r="A4567" s="4" t="s">
        <v>6352</v>
      </c>
      <c r="B4567" s="4" t="s">
        <v>6353</v>
      </c>
    </row>
    <row r="4568" spans="1:2" x14ac:dyDescent="0.3">
      <c r="A4568" s="4" t="s">
        <v>6354</v>
      </c>
      <c r="B4568" s="4" t="s">
        <v>6355</v>
      </c>
    </row>
    <row r="4569" spans="1:2" x14ac:dyDescent="0.3">
      <c r="A4569" s="4" t="s">
        <v>10761</v>
      </c>
      <c r="B4569" s="4" t="s">
        <v>10762</v>
      </c>
    </row>
    <row r="4570" spans="1:2" x14ac:dyDescent="0.3">
      <c r="A4570" s="4" t="s">
        <v>6356</v>
      </c>
      <c r="B4570" s="4" t="s">
        <v>6357</v>
      </c>
    </row>
    <row r="4571" spans="1:2" x14ac:dyDescent="0.3">
      <c r="A4571" s="4" t="s">
        <v>6358</v>
      </c>
      <c r="B4571" s="4" t="s">
        <v>6359</v>
      </c>
    </row>
    <row r="4572" spans="1:2" x14ac:dyDescent="0.3">
      <c r="A4572" s="4" t="s">
        <v>10763</v>
      </c>
      <c r="B4572" s="4" t="s">
        <v>10764</v>
      </c>
    </row>
    <row r="4573" spans="1:2" x14ac:dyDescent="0.3">
      <c r="A4573" s="4" t="s">
        <v>6360</v>
      </c>
      <c r="B4573" s="4" t="s">
        <v>6361</v>
      </c>
    </row>
    <row r="4574" spans="1:2" x14ac:dyDescent="0.3">
      <c r="A4574" s="4" t="s">
        <v>10765</v>
      </c>
      <c r="B4574" s="4" t="s">
        <v>10766</v>
      </c>
    </row>
    <row r="4575" spans="1:2" x14ac:dyDescent="0.3">
      <c r="A4575" s="4" t="s">
        <v>6362</v>
      </c>
      <c r="B4575" s="4" t="s">
        <v>10767</v>
      </c>
    </row>
    <row r="4576" spans="1:2" x14ac:dyDescent="0.3">
      <c r="A4576" s="4" t="s">
        <v>6363</v>
      </c>
      <c r="B4576" s="4" t="s">
        <v>6364</v>
      </c>
    </row>
    <row r="4577" spans="1:2" x14ac:dyDescent="0.3">
      <c r="A4577" s="4" t="s">
        <v>10768</v>
      </c>
      <c r="B4577" s="4" t="s">
        <v>8900</v>
      </c>
    </row>
    <row r="4578" spans="1:2" x14ac:dyDescent="0.3">
      <c r="A4578" s="4" t="s">
        <v>4529</v>
      </c>
      <c r="B4578" s="4" t="s">
        <v>10769</v>
      </c>
    </row>
    <row r="4579" spans="1:2" x14ac:dyDescent="0.3">
      <c r="A4579" s="4" t="s">
        <v>10770</v>
      </c>
      <c r="B4579" s="4" t="s">
        <v>10771</v>
      </c>
    </row>
    <row r="4580" spans="1:2" x14ac:dyDescent="0.3">
      <c r="A4580" s="4" t="s">
        <v>6365</v>
      </c>
      <c r="B4580" s="4" t="s">
        <v>6366</v>
      </c>
    </row>
    <row r="4581" spans="1:2" x14ac:dyDescent="0.3">
      <c r="A4581" s="4" t="s">
        <v>10772</v>
      </c>
      <c r="B4581" s="4" t="s">
        <v>10773</v>
      </c>
    </row>
    <row r="4582" spans="1:2" x14ac:dyDescent="0.3">
      <c r="A4582" s="4" t="s">
        <v>6367</v>
      </c>
      <c r="B4582" s="4" t="s">
        <v>6368</v>
      </c>
    </row>
    <row r="4583" spans="1:2" x14ac:dyDescent="0.3">
      <c r="A4583" s="4" t="s">
        <v>6369</v>
      </c>
      <c r="B4583" s="4" t="s">
        <v>6370</v>
      </c>
    </row>
    <row r="4584" spans="1:2" x14ac:dyDescent="0.3">
      <c r="A4584" s="4" t="s">
        <v>6371</v>
      </c>
      <c r="B4584" s="4" t="s">
        <v>6372</v>
      </c>
    </row>
    <row r="4585" spans="1:2" x14ac:dyDescent="0.3">
      <c r="A4585" s="4" t="s">
        <v>10774</v>
      </c>
      <c r="B4585" s="4" t="s">
        <v>10775</v>
      </c>
    </row>
    <row r="4586" spans="1:2" x14ac:dyDescent="0.3">
      <c r="A4586" s="4" t="s">
        <v>6373</v>
      </c>
      <c r="B4586" s="4" t="s">
        <v>6374</v>
      </c>
    </row>
    <row r="4587" spans="1:2" x14ac:dyDescent="0.3">
      <c r="A4587" s="4" t="s">
        <v>6375</v>
      </c>
      <c r="B4587" s="4" t="s">
        <v>6376</v>
      </c>
    </row>
    <row r="4588" spans="1:2" x14ac:dyDescent="0.3">
      <c r="A4588" s="4" t="s">
        <v>10776</v>
      </c>
      <c r="B4588" s="4" t="s">
        <v>10777</v>
      </c>
    </row>
    <row r="4589" spans="1:2" x14ac:dyDescent="0.3">
      <c r="A4589" s="4" t="s">
        <v>10778</v>
      </c>
      <c r="B4589" s="4" t="s">
        <v>10779</v>
      </c>
    </row>
    <row r="4590" spans="1:2" x14ac:dyDescent="0.3">
      <c r="A4590" s="4" t="s">
        <v>6377</v>
      </c>
      <c r="B4590" s="4" t="s">
        <v>6378</v>
      </c>
    </row>
    <row r="4591" spans="1:2" x14ac:dyDescent="0.3">
      <c r="A4591" s="4" t="s">
        <v>6379</v>
      </c>
      <c r="B4591" s="4" t="s">
        <v>6380</v>
      </c>
    </row>
    <row r="4592" spans="1:2" x14ac:dyDescent="0.3">
      <c r="A4592" s="4" t="s">
        <v>10780</v>
      </c>
      <c r="B4592" s="4" t="s">
        <v>10781</v>
      </c>
    </row>
    <row r="4593" spans="1:2" x14ac:dyDescent="0.3">
      <c r="A4593" s="4" t="s">
        <v>6382</v>
      </c>
      <c r="B4593" s="4" t="s">
        <v>6383</v>
      </c>
    </row>
    <row r="4594" spans="1:2" x14ac:dyDescent="0.3">
      <c r="A4594" s="4" t="s">
        <v>6384</v>
      </c>
      <c r="B4594" s="4" t="s">
        <v>6385</v>
      </c>
    </row>
    <row r="4595" spans="1:2" x14ac:dyDescent="0.3">
      <c r="A4595" s="4" t="s">
        <v>6387</v>
      </c>
      <c r="B4595" s="4" t="s">
        <v>6388</v>
      </c>
    </row>
    <row r="4596" spans="1:2" x14ac:dyDescent="0.3">
      <c r="A4596" s="4" t="s">
        <v>12658</v>
      </c>
      <c r="B4596" s="4" t="s">
        <v>12659</v>
      </c>
    </row>
    <row r="4597" spans="1:2" x14ac:dyDescent="0.3">
      <c r="A4597" s="4" t="s">
        <v>10782</v>
      </c>
      <c r="B4597" s="4" t="s">
        <v>10783</v>
      </c>
    </row>
    <row r="4598" spans="1:2" x14ac:dyDescent="0.3">
      <c r="A4598" s="4" t="s">
        <v>10784</v>
      </c>
      <c r="B4598" s="4" t="s">
        <v>10785</v>
      </c>
    </row>
    <row r="4599" spans="1:2" x14ac:dyDescent="0.3">
      <c r="A4599" s="4" t="s">
        <v>6381</v>
      </c>
      <c r="B4599" s="4" t="s">
        <v>12660</v>
      </c>
    </row>
    <row r="4600" spans="1:2" x14ac:dyDescent="0.3">
      <c r="A4600" s="4" t="s">
        <v>6389</v>
      </c>
      <c r="B4600" s="4" t="s">
        <v>6390</v>
      </c>
    </row>
    <row r="4601" spans="1:2" x14ac:dyDescent="0.3">
      <c r="A4601" s="4" t="s">
        <v>10786</v>
      </c>
      <c r="B4601" s="4" t="s">
        <v>10787</v>
      </c>
    </row>
    <row r="4602" spans="1:2" x14ac:dyDescent="0.3">
      <c r="A4602" s="4" t="s">
        <v>10788</v>
      </c>
      <c r="B4602" s="4" t="s">
        <v>10789</v>
      </c>
    </row>
    <row r="4603" spans="1:2" x14ac:dyDescent="0.3">
      <c r="A4603" s="4" t="s">
        <v>10790</v>
      </c>
      <c r="B4603" s="4" t="s">
        <v>10791</v>
      </c>
    </row>
    <row r="4604" spans="1:2" x14ac:dyDescent="0.3">
      <c r="A4604" s="4" t="s">
        <v>6392</v>
      </c>
      <c r="B4604" s="4" t="s">
        <v>6393</v>
      </c>
    </row>
    <row r="4605" spans="1:2" x14ac:dyDescent="0.3">
      <c r="A4605" s="4" t="s">
        <v>6394</v>
      </c>
      <c r="B4605" s="4" t="s">
        <v>6395</v>
      </c>
    </row>
    <row r="4606" spans="1:2" x14ac:dyDescent="0.3">
      <c r="A4606" s="4" t="s">
        <v>4251</v>
      </c>
      <c r="B4606" s="4" t="s">
        <v>10792</v>
      </c>
    </row>
    <row r="4607" spans="1:2" x14ac:dyDescent="0.3">
      <c r="A4607" s="4" t="s">
        <v>7505</v>
      </c>
      <c r="B4607" s="4" t="s">
        <v>10793</v>
      </c>
    </row>
    <row r="4608" spans="1:2" x14ac:dyDescent="0.3">
      <c r="A4608" s="4" t="s">
        <v>11669</v>
      </c>
      <c r="B4608" s="4" t="s">
        <v>12661</v>
      </c>
    </row>
    <row r="4609" spans="1:2" x14ac:dyDescent="0.3">
      <c r="A4609" s="4" t="s">
        <v>10794</v>
      </c>
      <c r="B4609" s="4" t="s">
        <v>10795</v>
      </c>
    </row>
    <row r="4610" spans="1:2" x14ac:dyDescent="0.3">
      <c r="A4610" s="4" t="s">
        <v>10796</v>
      </c>
      <c r="B4610" s="4" t="s">
        <v>10797</v>
      </c>
    </row>
    <row r="4611" spans="1:2" x14ac:dyDescent="0.3">
      <c r="A4611" s="4" t="s">
        <v>10798</v>
      </c>
      <c r="B4611" s="4" t="s">
        <v>10799</v>
      </c>
    </row>
    <row r="4612" spans="1:2" x14ac:dyDescent="0.3">
      <c r="A4612" s="4" t="s">
        <v>6396</v>
      </c>
      <c r="B4612" s="4" t="s">
        <v>6397</v>
      </c>
    </row>
    <row r="4613" spans="1:2" x14ac:dyDescent="0.3">
      <c r="A4613" s="4" t="s">
        <v>10800</v>
      </c>
      <c r="B4613" s="4" t="s">
        <v>10801</v>
      </c>
    </row>
    <row r="4614" spans="1:2" x14ac:dyDescent="0.3">
      <c r="A4614" s="4" t="s">
        <v>6398</v>
      </c>
      <c r="B4614" s="4" t="s">
        <v>6399</v>
      </c>
    </row>
    <row r="4615" spans="1:2" x14ac:dyDescent="0.3">
      <c r="A4615" s="4" t="s">
        <v>10802</v>
      </c>
      <c r="B4615" s="4" t="s">
        <v>10803</v>
      </c>
    </row>
    <row r="4616" spans="1:2" x14ac:dyDescent="0.3">
      <c r="A4616" s="4" t="s">
        <v>6400</v>
      </c>
      <c r="B4616" s="4" t="s">
        <v>6401</v>
      </c>
    </row>
    <row r="4617" spans="1:2" x14ac:dyDescent="0.3">
      <c r="A4617" s="4" t="s">
        <v>10804</v>
      </c>
      <c r="B4617" s="4" t="s">
        <v>10805</v>
      </c>
    </row>
    <row r="4618" spans="1:2" x14ac:dyDescent="0.3">
      <c r="A4618" s="4" t="s">
        <v>6402</v>
      </c>
      <c r="B4618" s="4" t="s">
        <v>6403</v>
      </c>
    </row>
    <row r="4619" spans="1:2" x14ac:dyDescent="0.3">
      <c r="A4619" s="4" t="s">
        <v>10806</v>
      </c>
      <c r="B4619" s="4" t="s">
        <v>10807</v>
      </c>
    </row>
    <row r="4620" spans="1:2" x14ac:dyDescent="0.3">
      <c r="A4620" s="4" t="s">
        <v>10808</v>
      </c>
      <c r="B4620" s="4" t="s">
        <v>10809</v>
      </c>
    </row>
    <row r="4621" spans="1:2" x14ac:dyDescent="0.3">
      <c r="A4621" s="4" t="s">
        <v>10810</v>
      </c>
      <c r="B4621" s="4" t="s">
        <v>10811</v>
      </c>
    </row>
    <row r="4622" spans="1:2" x14ac:dyDescent="0.3">
      <c r="A4622" s="4" t="s">
        <v>12662</v>
      </c>
      <c r="B4622" s="4" t="s">
        <v>12663</v>
      </c>
    </row>
    <row r="4623" spans="1:2" x14ac:dyDescent="0.3">
      <c r="A4623" s="4" t="s">
        <v>10812</v>
      </c>
      <c r="B4623" s="4" t="s">
        <v>2343</v>
      </c>
    </row>
    <row r="4624" spans="1:2" x14ac:dyDescent="0.3">
      <c r="A4624" s="4" t="s">
        <v>6404</v>
      </c>
      <c r="B4624" s="4" t="s">
        <v>6405</v>
      </c>
    </row>
    <row r="4625" spans="1:2" x14ac:dyDescent="0.3">
      <c r="A4625" s="4" t="s">
        <v>6406</v>
      </c>
      <c r="B4625" s="4" t="s">
        <v>6407</v>
      </c>
    </row>
    <row r="4626" spans="1:2" x14ac:dyDescent="0.3">
      <c r="A4626" s="4" t="s">
        <v>10813</v>
      </c>
      <c r="B4626" s="4" t="s">
        <v>10814</v>
      </c>
    </row>
    <row r="4627" spans="1:2" x14ac:dyDescent="0.3">
      <c r="A4627" s="4" t="s">
        <v>10815</v>
      </c>
      <c r="B4627" s="4" t="s">
        <v>10816</v>
      </c>
    </row>
    <row r="4628" spans="1:2" x14ac:dyDescent="0.3">
      <c r="A4628" s="4" t="s">
        <v>10817</v>
      </c>
      <c r="B4628" s="4" t="s">
        <v>10818</v>
      </c>
    </row>
    <row r="4629" spans="1:2" x14ac:dyDescent="0.3">
      <c r="A4629" s="4" t="s">
        <v>6408</v>
      </c>
      <c r="B4629" s="4" t="s">
        <v>6409</v>
      </c>
    </row>
    <row r="4630" spans="1:2" x14ac:dyDescent="0.3">
      <c r="A4630" s="4" t="s">
        <v>6410</v>
      </c>
      <c r="B4630" s="4" t="s">
        <v>6411</v>
      </c>
    </row>
    <row r="4631" spans="1:2" x14ac:dyDescent="0.3">
      <c r="A4631" s="4" t="s">
        <v>10819</v>
      </c>
      <c r="B4631" s="4" t="s">
        <v>10820</v>
      </c>
    </row>
    <row r="4632" spans="1:2" x14ac:dyDescent="0.3">
      <c r="A4632" s="4" t="s">
        <v>10821</v>
      </c>
      <c r="B4632" s="4" t="s">
        <v>10822</v>
      </c>
    </row>
    <row r="4633" spans="1:2" x14ac:dyDescent="0.3">
      <c r="A4633" s="4" t="s">
        <v>6412</v>
      </c>
      <c r="B4633" s="4" t="s">
        <v>6413</v>
      </c>
    </row>
    <row r="4634" spans="1:2" x14ac:dyDescent="0.3">
      <c r="A4634" s="4" t="s">
        <v>12664</v>
      </c>
      <c r="B4634" s="4" t="s">
        <v>12665</v>
      </c>
    </row>
    <row r="4635" spans="1:2" x14ac:dyDescent="0.3">
      <c r="A4635" s="4" t="s">
        <v>6414</v>
      </c>
      <c r="B4635" s="4" t="s">
        <v>6415</v>
      </c>
    </row>
    <row r="4636" spans="1:2" x14ac:dyDescent="0.3">
      <c r="A4636" s="4" t="s">
        <v>6416</v>
      </c>
      <c r="B4636" s="4" t="s">
        <v>6417</v>
      </c>
    </row>
    <row r="4637" spans="1:2" x14ac:dyDescent="0.3">
      <c r="A4637" s="4" t="s">
        <v>6418</v>
      </c>
      <c r="B4637" s="4" t="s">
        <v>6419</v>
      </c>
    </row>
    <row r="4638" spans="1:2" x14ac:dyDescent="0.3">
      <c r="A4638" s="4" t="s">
        <v>10823</v>
      </c>
      <c r="B4638" s="4" t="s">
        <v>10824</v>
      </c>
    </row>
    <row r="4639" spans="1:2" x14ac:dyDescent="0.3">
      <c r="A4639" s="4" t="s">
        <v>10825</v>
      </c>
      <c r="B4639" s="4" t="s">
        <v>10826</v>
      </c>
    </row>
    <row r="4640" spans="1:2" x14ac:dyDescent="0.3">
      <c r="A4640" s="4" t="s">
        <v>6420</v>
      </c>
      <c r="B4640" s="4" t="s">
        <v>6421</v>
      </c>
    </row>
    <row r="4641" spans="1:2" x14ac:dyDescent="0.3">
      <c r="A4641" s="4" t="s">
        <v>6422</v>
      </c>
      <c r="B4641" s="4" t="s">
        <v>6423</v>
      </c>
    </row>
    <row r="4642" spans="1:2" x14ac:dyDescent="0.3">
      <c r="A4642" s="4" t="s">
        <v>10827</v>
      </c>
      <c r="B4642" s="4" t="s">
        <v>10828</v>
      </c>
    </row>
    <row r="4643" spans="1:2" x14ac:dyDescent="0.3">
      <c r="A4643" s="4" t="s">
        <v>6424</v>
      </c>
      <c r="B4643" s="4" t="s">
        <v>6425</v>
      </c>
    </row>
    <row r="4644" spans="1:2" x14ac:dyDescent="0.3">
      <c r="A4644" s="4" t="s">
        <v>6426</v>
      </c>
      <c r="B4644" s="4" t="s">
        <v>6427</v>
      </c>
    </row>
    <row r="4645" spans="1:2" x14ac:dyDescent="0.3">
      <c r="A4645" s="4" t="s">
        <v>6428</v>
      </c>
      <c r="B4645" s="4" t="s">
        <v>6429</v>
      </c>
    </row>
    <row r="4646" spans="1:2" x14ac:dyDescent="0.3">
      <c r="A4646" s="4" t="s">
        <v>6430</v>
      </c>
      <c r="B4646" s="4" t="s">
        <v>6431</v>
      </c>
    </row>
    <row r="4647" spans="1:2" x14ac:dyDescent="0.3">
      <c r="A4647" s="4" t="s">
        <v>6432</v>
      </c>
      <c r="B4647" s="4" t="s">
        <v>6433</v>
      </c>
    </row>
    <row r="4648" spans="1:2" x14ac:dyDescent="0.3">
      <c r="A4648" s="4" t="s">
        <v>6434</v>
      </c>
      <c r="B4648" s="4" t="s">
        <v>6435</v>
      </c>
    </row>
    <row r="4649" spans="1:2" x14ac:dyDescent="0.3">
      <c r="A4649" s="4" t="s">
        <v>10830</v>
      </c>
      <c r="B4649" s="4" t="s">
        <v>10831</v>
      </c>
    </row>
    <row r="4650" spans="1:2" x14ac:dyDescent="0.3">
      <c r="A4650" s="4" t="s">
        <v>10832</v>
      </c>
      <c r="B4650" s="4" t="s">
        <v>10833</v>
      </c>
    </row>
    <row r="4651" spans="1:2" x14ac:dyDescent="0.3">
      <c r="A4651" s="4" t="s">
        <v>6436</v>
      </c>
      <c r="B4651" s="4" t="s">
        <v>6437</v>
      </c>
    </row>
    <row r="4652" spans="1:2" x14ac:dyDescent="0.3">
      <c r="A4652" s="4" t="s">
        <v>6439</v>
      </c>
      <c r="B4652" s="4" t="s">
        <v>6440</v>
      </c>
    </row>
    <row r="4653" spans="1:2" x14ac:dyDescent="0.3">
      <c r="A4653" s="4" t="s">
        <v>6441</v>
      </c>
      <c r="B4653" s="4" t="s">
        <v>2361</v>
      </c>
    </row>
    <row r="4654" spans="1:2" x14ac:dyDescent="0.3">
      <c r="A4654" s="4" t="s">
        <v>10834</v>
      </c>
      <c r="B4654" s="4" t="s">
        <v>10835</v>
      </c>
    </row>
    <row r="4655" spans="1:2" x14ac:dyDescent="0.3">
      <c r="A4655" s="4" t="s">
        <v>6442</v>
      </c>
      <c r="B4655" s="4" t="s">
        <v>6443</v>
      </c>
    </row>
    <row r="4656" spans="1:2" x14ac:dyDescent="0.3">
      <c r="A4656" s="4" t="s">
        <v>6444</v>
      </c>
      <c r="B4656" s="4" t="s">
        <v>6445</v>
      </c>
    </row>
    <row r="4657" spans="1:2" x14ac:dyDescent="0.3">
      <c r="A4657" s="4" t="s">
        <v>10836</v>
      </c>
      <c r="B4657" s="4" t="s">
        <v>10837</v>
      </c>
    </row>
    <row r="4658" spans="1:2" x14ac:dyDescent="0.3">
      <c r="A4658" s="4" t="s">
        <v>10838</v>
      </c>
      <c r="B4658" s="4" t="s">
        <v>10839</v>
      </c>
    </row>
    <row r="4659" spans="1:2" x14ac:dyDescent="0.3">
      <c r="A4659" s="4" t="s">
        <v>6446</v>
      </c>
      <c r="B4659" s="4" t="s">
        <v>6447</v>
      </c>
    </row>
    <row r="4660" spans="1:2" x14ac:dyDescent="0.3">
      <c r="A4660" s="4" t="s">
        <v>10840</v>
      </c>
      <c r="B4660" s="4" t="s">
        <v>10841</v>
      </c>
    </row>
    <row r="4661" spans="1:2" x14ac:dyDescent="0.3">
      <c r="A4661" s="4" t="s">
        <v>6448</v>
      </c>
      <c r="B4661" s="4" t="s">
        <v>6449</v>
      </c>
    </row>
    <row r="4662" spans="1:2" x14ac:dyDescent="0.3">
      <c r="A4662" s="4" t="s">
        <v>12666</v>
      </c>
      <c r="B4662" s="4" t="s">
        <v>8908</v>
      </c>
    </row>
    <row r="4663" spans="1:2" x14ac:dyDescent="0.3">
      <c r="A4663" s="4" t="s">
        <v>10842</v>
      </c>
      <c r="B4663" s="4" t="s">
        <v>10843</v>
      </c>
    </row>
    <row r="4664" spans="1:2" x14ac:dyDescent="0.3">
      <c r="A4664" s="4" t="s">
        <v>6450</v>
      </c>
      <c r="B4664" s="4" t="s">
        <v>6451</v>
      </c>
    </row>
    <row r="4665" spans="1:2" x14ac:dyDescent="0.3">
      <c r="A4665" s="4" t="s">
        <v>6452</v>
      </c>
      <c r="B4665" s="4" t="s">
        <v>6453</v>
      </c>
    </row>
    <row r="4666" spans="1:2" x14ac:dyDescent="0.3">
      <c r="A4666" s="4" t="s">
        <v>10844</v>
      </c>
      <c r="B4666" s="4" t="s">
        <v>10845</v>
      </c>
    </row>
    <row r="4667" spans="1:2" x14ac:dyDescent="0.3">
      <c r="A4667" s="4" t="s">
        <v>10846</v>
      </c>
      <c r="B4667" s="4" t="s">
        <v>10847</v>
      </c>
    </row>
    <row r="4668" spans="1:2" x14ac:dyDescent="0.3">
      <c r="A4668" s="4" t="s">
        <v>6454</v>
      </c>
      <c r="B4668" s="4" t="s">
        <v>6455</v>
      </c>
    </row>
    <row r="4669" spans="1:2" x14ac:dyDescent="0.3">
      <c r="A4669" s="4" t="s">
        <v>6456</v>
      </c>
      <c r="B4669" s="4" t="s">
        <v>6457</v>
      </c>
    </row>
    <row r="4670" spans="1:2" x14ac:dyDescent="0.3">
      <c r="A4670" s="4" t="s">
        <v>6458</v>
      </c>
      <c r="B4670" s="4" t="s">
        <v>6459</v>
      </c>
    </row>
    <row r="4671" spans="1:2" x14ac:dyDescent="0.3">
      <c r="A4671" s="4" t="s">
        <v>6460</v>
      </c>
      <c r="B4671" s="4" t="s">
        <v>6461</v>
      </c>
    </row>
    <row r="4672" spans="1:2" x14ac:dyDescent="0.3">
      <c r="A4672" s="4" t="s">
        <v>10848</v>
      </c>
      <c r="B4672" s="4" t="s">
        <v>10849</v>
      </c>
    </row>
    <row r="4673" spans="1:2" x14ac:dyDescent="0.3">
      <c r="A4673" s="4" t="s">
        <v>10850</v>
      </c>
      <c r="B4673" s="4" t="s">
        <v>10851</v>
      </c>
    </row>
    <row r="4674" spans="1:2" x14ac:dyDescent="0.3">
      <c r="A4674" s="4" t="s">
        <v>10852</v>
      </c>
      <c r="B4674" s="4" t="s">
        <v>10853</v>
      </c>
    </row>
    <row r="4675" spans="1:2" x14ac:dyDescent="0.3">
      <c r="A4675" s="4" t="s">
        <v>10854</v>
      </c>
      <c r="B4675" s="4" t="s">
        <v>10855</v>
      </c>
    </row>
    <row r="4676" spans="1:2" x14ac:dyDescent="0.3">
      <c r="A4676" s="4" t="s">
        <v>6462</v>
      </c>
      <c r="B4676" s="4" t="s">
        <v>6463</v>
      </c>
    </row>
    <row r="4677" spans="1:2" x14ac:dyDescent="0.3">
      <c r="A4677" s="4" t="s">
        <v>10856</v>
      </c>
      <c r="B4677" s="4" t="s">
        <v>10857</v>
      </c>
    </row>
    <row r="4678" spans="1:2" x14ac:dyDescent="0.3">
      <c r="A4678" s="4" t="s">
        <v>10858</v>
      </c>
      <c r="B4678" s="4" t="s">
        <v>10859</v>
      </c>
    </row>
    <row r="4679" spans="1:2" x14ac:dyDescent="0.3">
      <c r="A4679" s="4" t="s">
        <v>6464</v>
      </c>
      <c r="B4679" s="4" t="s">
        <v>6465</v>
      </c>
    </row>
    <row r="4680" spans="1:2" x14ac:dyDescent="0.3">
      <c r="A4680" s="4" t="s">
        <v>6466</v>
      </c>
      <c r="B4680" s="4" t="s">
        <v>6467</v>
      </c>
    </row>
    <row r="4681" spans="1:2" x14ac:dyDescent="0.3">
      <c r="A4681" s="4" t="s">
        <v>6468</v>
      </c>
      <c r="B4681" s="4" t="s">
        <v>6469</v>
      </c>
    </row>
    <row r="4682" spans="1:2" x14ac:dyDescent="0.3">
      <c r="A4682" s="4" t="s">
        <v>12667</v>
      </c>
      <c r="B4682" s="4" t="s">
        <v>12668</v>
      </c>
    </row>
    <row r="4683" spans="1:2" x14ac:dyDescent="0.3">
      <c r="A4683" s="4" t="s">
        <v>6470</v>
      </c>
      <c r="B4683" s="4" t="s">
        <v>6471</v>
      </c>
    </row>
    <row r="4684" spans="1:2" x14ac:dyDescent="0.3">
      <c r="A4684" s="4" t="s">
        <v>10860</v>
      </c>
      <c r="B4684" s="4" t="s">
        <v>10861</v>
      </c>
    </row>
    <row r="4685" spans="1:2" x14ac:dyDescent="0.3">
      <c r="A4685" s="4" t="s">
        <v>6472</v>
      </c>
      <c r="B4685" s="4" t="s">
        <v>6473</v>
      </c>
    </row>
    <row r="4686" spans="1:2" x14ac:dyDescent="0.3">
      <c r="A4686" s="4" t="s">
        <v>10862</v>
      </c>
      <c r="B4686" s="4" t="s">
        <v>10863</v>
      </c>
    </row>
    <row r="4687" spans="1:2" x14ac:dyDescent="0.3">
      <c r="A4687" s="4" t="s">
        <v>10864</v>
      </c>
      <c r="B4687" s="4" t="s">
        <v>10865</v>
      </c>
    </row>
    <row r="4688" spans="1:2" x14ac:dyDescent="0.3">
      <c r="A4688" s="4" t="s">
        <v>10866</v>
      </c>
      <c r="B4688" s="4" t="s">
        <v>10867</v>
      </c>
    </row>
    <row r="4689" spans="1:2" x14ac:dyDescent="0.3">
      <c r="A4689" s="4" t="s">
        <v>10868</v>
      </c>
      <c r="B4689" s="4" t="s">
        <v>10869</v>
      </c>
    </row>
    <row r="4690" spans="1:2" x14ac:dyDescent="0.3">
      <c r="A4690" s="4" t="s">
        <v>6474</v>
      </c>
      <c r="B4690" s="4" t="s">
        <v>6475</v>
      </c>
    </row>
    <row r="4691" spans="1:2" x14ac:dyDescent="0.3">
      <c r="A4691" s="4" t="s">
        <v>6476</v>
      </c>
      <c r="B4691" s="4" t="s">
        <v>6477</v>
      </c>
    </row>
    <row r="4692" spans="1:2" x14ac:dyDescent="0.3">
      <c r="A4692" s="4" t="s">
        <v>6479</v>
      </c>
      <c r="B4692" s="4" t="s">
        <v>6480</v>
      </c>
    </row>
    <row r="4693" spans="1:2" x14ac:dyDescent="0.3">
      <c r="A4693" s="4" t="s">
        <v>10870</v>
      </c>
      <c r="B4693" s="4" t="s">
        <v>10871</v>
      </c>
    </row>
    <row r="4694" spans="1:2" x14ac:dyDescent="0.3">
      <c r="A4694" s="4" t="s">
        <v>6481</v>
      </c>
      <c r="B4694" s="4" t="s">
        <v>6482</v>
      </c>
    </row>
    <row r="4695" spans="1:2" x14ac:dyDescent="0.3">
      <c r="A4695" s="4" t="s">
        <v>10872</v>
      </c>
      <c r="B4695" s="4" t="s">
        <v>6484</v>
      </c>
    </row>
    <row r="4696" spans="1:2" x14ac:dyDescent="0.3">
      <c r="A4696" s="4" t="s">
        <v>6483</v>
      </c>
      <c r="B4696" s="4" t="s">
        <v>10873</v>
      </c>
    </row>
    <row r="4697" spans="1:2" x14ac:dyDescent="0.3">
      <c r="A4697" s="4" t="s">
        <v>10874</v>
      </c>
      <c r="B4697" s="4" t="s">
        <v>10875</v>
      </c>
    </row>
    <row r="4698" spans="1:2" x14ac:dyDescent="0.3">
      <c r="A4698" s="4" t="s">
        <v>10876</v>
      </c>
      <c r="B4698" s="4" t="s">
        <v>10877</v>
      </c>
    </row>
    <row r="4699" spans="1:2" x14ac:dyDescent="0.3">
      <c r="A4699" s="4" t="s">
        <v>10878</v>
      </c>
      <c r="B4699" s="4" t="s">
        <v>10879</v>
      </c>
    </row>
    <row r="4700" spans="1:2" x14ac:dyDescent="0.3">
      <c r="A4700" s="4" t="s">
        <v>10880</v>
      </c>
      <c r="B4700" s="4" t="s">
        <v>10881</v>
      </c>
    </row>
    <row r="4701" spans="1:2" x14ac:dyDescent="0.3">
      <c r="A4701" s="4" t="s">
        <v>6485</v>
      </c>
      <c r="B4701" s="4" t="s">
        <v>6486</v>
      </c>
    </row>
    <row r="4702" spans="1:2" x14ac:dyDescent="0.3">
      <c r="A4702" s="4" t="s">
        <v>6487</v>
      </c>
      <c r="B4702" s="4" t="s">
        <v>6488</v>
      </c>
    </row>
    <row r="4703" spans="1:2" x14ac:dyDescent="0.3">
      <c r="A4703" s="4" t="s">
        <v>6489</v>
      </c>
      <c r="B4703" s="4" t="s">
        <v>6490</v>
      </c>
    </row>
    <row r="4704" spans="1:2" x14ac:dyDescent="0.3">
      <c r="A4704" s="4" t="s">
        <v>6491</v>
      </c>
      <c r="B4704" s="4" t="s">
        <v>6492</v>
      </c>
    </row>
    <row r="4705" spans="1:2" x14ac:dyDescent="0.3">
      <c r="A4705" s="4" t="s">
        <v>6493</v>
      </c>
      <c r="B4705" s="4" t="s">
        <v>6494</v>
      </c>
    </row>
    <row r="4706" spans="1:2" x14ac:dyDescent="0.3">
      <c r="A4706" s="4" t="s">
        <v>6495</v>
      </c>
      <c r="B4706" s="4" t="s">
        <v>6496</v>
      </c>
    </row>
    <row r="4707" spans="1:2" x14ac:dyDescent="0.3">
      <c r="A4707" s="4" t="s">
        <v>10882</v>
      </c>
      <c r="B4707" s="4" t="s">
        <v>10883</v>
      </c>
    </row>
    <row r="4708" spans="1:2" x14ac:dyDescent="0.3">
      <c r="A4708" s="4" t="s">
        <v>10884</v>
      </c>
      <c r="B4708" s="4" t="s">
        <v>10885</v>
      </c>
    </row>
    <row r="4709" spans="1:2" x14ac:dyDescent="0.3">
      <c r="A4709" s="4" t="s">
        <v>6497</v>
      </c>
      <c r="B4709" s="4" t="s">
        <v>6498</v>
      </c>
    </row>
    <row r="4710" spans="1:2" x14ac:dyDescent="0.3">
      <c r="A4710" s="4" t="s">
        <v>10886</v>
      </c>
      <c r="B4710" s="4" t="s">
        <v>10887</v>
      </c>
    </row>
    <row r="4711" spans="1:2" x14ac:dyDescent="0.3">
      <c r="A4711" s="4" t="s">
        <v>10888</v>
      </c>
      <c r="B4711" s="4" t="s">
        <v>8914</v>
      </c>
    </row>
    <row r="4712" spans="1:2" x14ac:dyDescent="0.3">
      <c r="A4712" s="4" t="s">
        <v>6499</v>
      </c>
      <c r="B4712" s="4" t="s">
        <v>6500</v>
      </c>
    </row>
    <row r="4713" spans="1:2" x14ac:dyDescent="0.3">
      <c r="A4713" s="4" t="s">
        <v>6501</v>
      </c>
      <c r="B4713" s="4" t="s">
        <v>6502</v>
      </c>
    </row>
    <row r="4714" spans="1:2" x14ac:dyDescent="0.3">
      <c r="A4714" s="4" t="s">
        <v>6503</v>
      </c>
      <c r="B4714" s="4" t="s">
        <v>6504</v>
      </c>
    </row>
    <row r="4715" spans="1:2" x14ac:dyDescent="0.3">
      <c r="A4715" s="4" t="s">
        <v>10889</v>
      </c>
      <c r="B4715" s="4" t="s">
        <v>10890</v>
      </c>
    </row>
    <row r="4716" spans="1:2" x14ac:dyDescent="0.3">
      <c r="A4716" s="4" t="s">
        <v>6505</v>
      </c>
      <c r="B4716" s="4" t="s">
        <v>6506</v>
      </c>
    </row>
    <row r="4717" spans="1:2" x14ac:dyDescent="0.3">
      <c r="A4717" s="4" t="s">
        <v>10891</v>
      </c>
      <c r="B4717" s="4" t="s">
        <v>10892</v>
      </c>
    </row>
    <row r="4718" spans="1:2" x14ac:dyDescent="0.3">
      <c r="A4718" s="4" t="s">
        <v>6507</v>
      </c>
      <c r="B4718" s="4" t="s">
        <v>6508</v>
      </c>
    </row>
    <row r="4719" spans="1:2" x14ac:dyDescent="0.3">
      <c r="A4719" s="4" t="s">
        <v>6509</v>
      </c>
      <c r="B4719" s="4" t="s">
        <v>6510</v>
      </c>
    </row>
    <row r="4720" spans="1:2" x14ac:dyDescent="0.3">
      <c r="A4720" s="4" t="s">
        <v>10893</v>
      </c>
      <c r="B4720" s="4" t="s">
        <v>10894</v>
      </c>
    </row>
    <row r="4721" spans="1:2" x14ac:dyDescent="0.3">
      <c r="A4721" s="4" t="s">
        <v>6511</v>
      </c>
      <c r="B4721" s="4" t="s">
        <v>6512</v>
      </c>
    </row>
    <row r="4722" spans="1:2" x14ac:dyDescent="0.3">
      <c r="A4722" s="4" t="s">
        <v>12669</v>
      </c>
      <c r="B4722" s="4" t="s">
        <v>12670</v>
      </c>
    </row>
    <row r="4723" spans="1:2" x14ac:dyDescent="0.3">
      <c r="A4723" s="4" t="s">
        <v>10895</v>
      </c>
      <c r="B4723" s="4" t="s">
        <v>10896</v>
      </c>
    </row>
    <row r="4724" spans="1:2" x14ac:dyDescent="0.3">
      <c r="A4724" s="4" t="s">
        <v>6513</v>
      </c>
      <c r="B4724" s="4" t="s">
        <v>6514</v>
      </c>
    </row>
    <row r="4725" spans="1:2" x14ac:dyDescent="0.3">
      <c r="A4725" s="4" t="s">
        <v>6515</v>
      </c>
      <c r="B4725" s="4" t="s">
        <v>6516</v>
      </c>
    </row>
    <row r="4726" spans="1:2" x14ac:dyDescent="0.3">
      <c r="A4726" s="4" t="s">
        <v>10897</v>
      </c>
      <c r="B4726" s="4" t="s">
        <v>10898</v>
      </c>
    </row>
    <row r="4727" spans="1:2" x14ac:dyDescent="0.3">
      <c r="A4727" s="4" t="s">
        <v>12671</v>
      </c>
      <c r="B4727" s="4" t="s">
        <v>12672</v>
      </c>
    </row>
    <row r="4728" spans="1:2" x14ac:dyDescent="0.3">
      <c r="A4728" s="4" t="s">
        <v>6517</v>
      </c>
      <c r="B4728" s="4" t="s">
        <v>6518</v>
      </c>
    </row>
    <row r="4729" spans="1:2" x14ac:dyDescent="0.3">
      <c r="A4729" s="4" t="s">
        <v>6519</v>
      </c>
      <c r="B4729" s="4" t="s">
        <v>6520</v>
      </c>
    </row>
    <row r="4730" spans="1:2" x14ac:dyDescent="0.3">
      <c r="A4730" s="4" t="s">
        <v>10899</v>
      </c>
      <c r="B4730" s="4" t="s">
        <v>6520</v>
      </c>
    </row>
    <row r="4731" spans="1:2" x14ac:dyDescent="0.3">
      <c r="A4731" s="4" t="s">
        <v>10900</v>
      </c>
      <c r="B4731" s="4" t="s">
        <v>10901</v>
      </c>
    </row>
    <row r="4732" spans="1:2" x14ac:dyDescent="0.3">
      <c r="A4732" s="4" t="s">
        <v>6521</v>
      </c>
      <c r="B4732" s="4" t="s">
        <v>6522</v>
      </c>
    </row>
    <row r="4733" spans="1:2" x14ac:dyDescent="0.3">
      <c r="A4733" s="4" t="s">
        <v>10902</v>
      </c>
      <c r="B4733" s="4" t="s">
        <v>10903</v>
      </c>
    </row>
    <row r="4734" spans="1:2" x14ac:dyDescent="0.3">
      <c r="A4734" s="4" t="s">
        <v>6523</v>
      </c>
      <c r="B4734" s="4" t="s">
        <v>6524</v>
      </c>
    </row>
    <row r="4735" spans="1:2" x14ac:dyDescent="0.3">
      <c r="A4735" s="4" t="s">
        <v>10904</v>
      </c>
      <c r="B4735" s="4" t="s">
        <v>10905</v>
      </c>
    </row>
    <row r="4736" spans="1:2" x14ac:dyDescent="0.3">
      <c r="A4736" s="4" t="s">
        <v>10906</v>
      </c>
      <c r="B4736" s="4" t="s">
        <v>8918</v>
      </c>
    </row>
    <row r="4737" spans="1:2" x14ac:dyDescent="0.3">
      <c r="A4737" s="4" t="s">
        <v>6525</v>
      </c>
      <c r="B4737" s="4" t="s">
        <v>6526</v>
      </c>
    </row>
    <row r="4738" spans="1:2" x14ac:dyDescent="0.3">
      <c r="A4738" s="4" t="s">
        <v>6208</v>
      </c>
      <c r="B4738" s="4" t="s">
        <v>12673</v>
      </c>
    </row>
    <row r="4739" spans="1:2" x14ac:dyDescent="0.3">
      <c r="A4739" s="4" t="s">
        <v>12674</v>
      </c>
      <c r="B4739" s="4" t="s">
        <v>12675</v>
      </c>
    </row>
    <row r="4740" spans="1:2" x14ac:dyDescent="0.3">
      <c r="A4740" s="4" t="s">
        <v>10907</v>
      </c>
      <c r="B4740" s="4" t="s">
        <v>10908</v>
      </c>
    </row>
    <row r="4741" spans="1:2" x14ac:dyDescent="0.3">
      <c r="A4741" s="4" t="s">
        <v>6527</v>
      </c>
      <c r="B4741" s="4" t="s">
        <v>6528</v>
      </c>
    </row>
    <row r="4742" spans="1:2" x14ac:dyDescent="0.3">
      <c r="A4742" s="4" t="s">
        <v>6529</v>
      </c>
      <c r="B4742" s="4" t="s">
        <v>6530</v>
      </c>
    </row>
    <row r="4743" spans="1:2" x14ac:dyDescent="0.3">
      <c r="A4743" s="4" t="s">
        <v>10909</v>
      </c>
      <c r="B4743" s="4" t="s">
        <v>10910</v>
      </c>
    </row>
    <row r="4744" spans="1:2" x14ac:dyDescent="0.3">
      <c r="A4744" s="4" t="s">
        <v>6531</v>
      </c>
      <c r="B4744" s="4" t="s">
        <v>6532</v>
      </c>
    </row>
    <row r="4745" spans="1:2" x14ac:dyDescent="0.3">
      <c r="A4745" s="4" t="s">
        <v>6533</v>
      </c>
      <c r="B4745" s="4" t="s">
        <v>6534</v>
      </c>
    </row>
    <row r="4746" spans="1:2" x14ac:dyDescent="0.3">
      <c r="A4746" s="4" t="s">
        <v>10911</v>
      </c>
      <c r="B4746" s="4" t="s">
        <v>10912</v>
      </c>
    </row>
    <row r="4747" spans="1:2" x14ac:dyDescent="0.3">
      <c r="A4747" s="4" t="s">
        <v>10913</v>
      </c>
      <c r="B4747" s="4" t="s">
        <v>10914</v>
      </c>
    </row>
    <row r="4748" spans="1:2" x14ac:dyDescent="0.3">
      <c r="A4748" s="4" t="s">
        <v>6535</v>
      </c>
      <c r="B4748" s="4" t="s">
        <v>6536</v>
      </c>
    </row>
    <row r="4749" spans="1:2" x14ac:dyDescent="0.3">
      <c r="A4749" s="4" t="s">
        <v>6537</v>
      </c>
      <c r="B4749" s="4" t="s">
        <v>6538</v>
      </c>
    </row>
    <row r="4750" spans="1:2" x14ac:dyDescent="0.3">
      <c r="A4750" s="4" t="s">
        <v>6539</v>
      </c>
      <c r="B4750" s="4" t="s">
        <v>6540</v>
      </c>
    </row>
    <row r="4751" spans="1:2" x14ac:dyDescent="0.3">
      <c r="A4751" s="4" t="s">
        <v>6541</v>
      </c>
      <c r="B4751" s="4" t="s">
        <v>6542</v>
      </c>
    </row>
    <row r="4752" spans="1:2" x14ac:dyDescent="0.3">
      <c r="A4752" s="4" t="s">
        <v>10915</v>
      </c>
      <c r="B4752" s="4" t="s">
        <v>10916</v>
      </c>
    </row>
    <row r="4753" spans="1:2" x14ac:dyDescent="0.3">
      <c r="A4753" s="4" t="s">
        <v>6543</v>
      </c>
      <c r="B4753" s="4" t="s">
        <v>6544</v>
      </c>
    </row>
    <row r="4754" spans="1:2" x14ac:dyDescent="0.3">
      <c r="A4754" s="4" t="s">
        <v>10917</v>
      </c>
      <c r="B4754" s="4" t="s">
        <v>10918</v>
      </c>
    </row>
    <row r="4755" spans="1:2" x14ac:dyDescent="0.3">
      <c r="A4755" s="4" t="s">
        <v>10919</v>
      </c>
      <c r="B4755" s="4" t="s">
        <v>10920</v>
      </c>
    </row>
    <row r="4756" spans="1:2" x14ac:dyDescent="0.3">
      <c r="A4756" s="4" t="s">
        <v>10921</v>
      </c>
      <c r="B4756" s="4" t="s">
        <v>10922</v>
      </c>
    </row>
    <row r="4757" spans="1:2" x14ac:dyDescent="0.3">
      <c r="A4757" s="4" t="s">
        <v>10923</v>
      </c>
      <c r="B4757" s="4" t="s">
        <v>10924</v>
      </c>
    </row>
    <row r="4758" spans="1:2" x14ac:dyDescent="0.3">
      <c r="A4758" s="4" t="s">
        <v>10925</v>
      </c>
      <c r="B4758" s="4" t="s">
        <v>10926</v>
      </c>
    </row>
    <row r="4759" spans="1:2" x14ac:dyDescent="0.3">
      <c r="A4759" s="4" t="s">
        <v>10927</v>
      </c>
      <c r="B4759" s="4" t="s">
        <v>8921</v>
      </c>
    </row>
    <row r="4760" spans="1:2" x14ac:dyDescent="0.3">
      <c r="A4760" s="4" t="s">
        <v>6545</v>
      </c>
      <c r="B4760" s="4" t="s">
        <v>6546</v>
      </c>
    </row>
    <row r="4761" spans="1:2" x14ac:dyDescent="0.3">
      <c r="A4761" s="4" t="s">
        <v>6547</v>
      </c>
      <c r="B4761" s="4" t="s">
        <v>6548</v>
      </c>
    </row>
    <row r="4762" spans="1:2" x14ac:dyDescent="0.3">
      <c r="A4762" s="4" t="s">
        <v>10928</v>
      </c>
      <c r="B4762" s="4" t="s">
        <v>10929</v>
      </c>
    </row>
    <row r="4763" spans="1:2" x14ac:dyDescent="0.3">
      <c r="A4763" s="4" t="s">
        <v>6549</v>
      </c>
      <c r="B4763" s="4" t="s">
        <v>6550</v>
      </c>
    </row>
    <row r="4764" spans="1:2" x14ac:dyDescent="0.3">
      <c r="A4764" s="4" t="s">
        <v>10930</v>
      </c>
      <c r="B4764" s="4" t="s">
        <v>10931</v>
      </c>
    </row>
    <row r="4765" spans="1:2" x14ac:dyDescent="0.3">
      <c r="A4765" s="4" t="s">
        <v>10932</v>
      </c>
      <c r="B4765" s="4" t="s">
        <v>10933</v>
      </c>
    </row>
    <row r="4766" spans="1:2" x14ac:dyDescent="0.3">
      <c r="A4766" s="4" t="s">
        <v>10934</v>
      </c>
      <c r="B4766" s="4" t="s">
        <v>10935</v>
      </c>
    </row>
    <row r="4767" spans="1:2" x14ac:dyDescent="0.3">
      <c r="A4767" s="4" t="s">
        <v>6551</v>
      </c>
      <c r="B4767" s="4" t="s">
        <v>6552</v>
      </c>
    </row>
    <row r="4768" spans="1:2" x14ac:dyDescent="0.3">
      <c r="A4768" s="4" t="s">
        <v>6553</v>
      </c>
      <c r="B4768" s="4" t="s">
        <v>6554</v>
      </c>
    </row>
    <row r="4769" spans="1:2" x14ac:dyDescent="0.3">
      <c r="A4769" s="4" t="s">
        <v>6555</v>
      </c>
      <c r="B4769" s="4" t="s">
        <v>6556</v>
      </c>
    </row>
    <row r="4770" spans="1:2" x14ac:dyDescent="0.3">
      <c r="A4770" s="4" t="s">
        <v>10936</v>
      </c>
      <c r="B4770" s="4" t="s">
        <v>10937</v>
      </c>
    </row>
    <row r="4771" spans="1:2" x14ac:dyDescent="0.3">
      <c r="A4771" s="4" t="s">
        <v>10938</v>
      </c>
      <c r="B4771" s="4" t="s">
        <v>10939</v>
      </c>
    </row>
    <row r="4772" spans="1:2" x14ac:dyDescent="0.3">
      <c r="A4772" s="4" t="s">
        <v>6560</v>
      </c>
      <c r="B4772" s="4" t="s">
        <v>6561</v>
      </c>
    </row>
    <row r="4773" spans="1:2" x14ac:dyDescent="0.3">
      <c r="A4773" s="4" t="s">
        <v>10940</v>
      </c>
      <c r="B4773" s="4" t="s">
        <v>10941</v>
      </c>
    </row>
    <row r="4774" spans="1:2" x14ac:dyDescent="0.3">
      <c r="A4774" s="4" t="s">
        <v>6564</v>
      </c>
      <c r="B4774" s="4" t="s">
        <v>6565</v>
      </c>
    </row>
    <row r="4775" spans="1:2" x14ac:dyDescent="0.3">
      <c r="A4775" s="4" t="s">
        <v>10942</v>
      </c>
      <c r="B4775" s="4" t="s">
        <v>10943</v>
      </c>
    </row>
    <row r="4776" spans="1:2" x14ac:dyDescent="0.3">
      <c r="A4776" s="4" t="s">
        <v>6566</v>
      </c>
      <c r="B4776" s="4" t="s">
        <v>6567</v>
      </c>
    </row>
    <row r="4777" spans="1:2" x14ac:dyDescent="0.3">
      <c r="A4777" s="4" t="s">
        <v>6568</v>
      </c>
      <c r="B4777" s="4" t="s">
        <v>6569</v>
      </c>
    </row>
    <row r="4778" spans="1:2" x14ac:dyDescent="0.3">
      <c r="A4778" s="4" t="s">
        <v>6570</v>
      </c>
      <c r="B4778" s="4" t="s">
        <v>6571</v>
      </c>
    </row>
    <row r="4779" spans="1:2" x14ac:dyDescent="0.3">
      <c r="A4779" s="4" t="s">
        <v>6572</v>
      </c>
      <c r="B4779" s="4" t="s">
        <v>6573</v>
      </c>
    </row>
    <row r="4780" spans="1:2" x14ac:dyDescent="0.3">
      <c r="A4780" s="4" t="s">
        <v>10944</v>
      </c>
      <c r="B4780" s="4" t="s">
        <v>10945</v>
      </c>
    </row>
    <row r="4781" spans="1:2" x14ac:dyDescent="0.3">
      <c r="A4781" s="4" t="s">
        <v>10946</v>
      </c>
      <c r="B4781" s="4" t="s">
        <v>10947</v>
      </c>
    </row>
    <row r="4782" spans="1:2" x14ac:dyDescent="0.3">
      <c r="A4782" s="4" t="s">
        <v>6574</v>
      </c>
      <c r="B4782" s="4" t="s">
        <v>6575</v>
      </c>
    </row>
    <row r="4783" spans="1:2" x14ac:dyDescent="0.3">
      <c r="A4783" s="4" t="s">
        <v>6576</v>
      </c>
      <c r="B4783" s="4" t="s">
        <v>6577</v>
      </c>
    </row>
    <row r="4784" spans="1:2" x14ac:dyDescent="0.3">
      <c r="A4784" s="4" t="s">
        <v>6578</v>
      </c>
      <c r="B4784" s="4" t="s">
        <v>6579</v>
      </c>
    </row>
    <row r="4785" spans="1:2" x14ac:dyDescent="0.3">
      <c r="A4785" s="4" t="s">
        <v>10948</v>
      </c>
      <c r="B4785" s="4" t="s">
        <v>10949</v>
      </c>
    </row>
    <row r="4786" spans="1:2" x14ac:dyDescent="0.3">
      <c r="A4786" s="4" t="s">
        <v>10950</v>
      </c>
      <c r="B4786" s="4" t="s">
        <v>10951</v>
      </c>
    </row>
    <row r="4787" spans="1:2" x14ac:dyDescent="0.3">
      <c r="A4787" s="4" t="s">
        <v>6580</v>
      </c>
      <c r="B4787" s="4" t="s">
        <v>6581</v>
      </c>
    </row>
    <row r="4788" spans="1:2" x14ac:dyDescent="0.3">
      <c r="A4788" s="4" t="s">
        <v>6582</v>
      </c>
      <c r="B4788" s="4" t="s">
        <v>6583</v>
      </c>
    </row>
    <row r="4789" spans="1:2" x14ac:dyDescent="0.3">
      <c r="A4789" s="4" t="s">
        <v>6584</v>
      </c>
      <c r="B4789" s="4" t="s">
        <v>6585</v>
      </c>
    </row>
    <row r="4790" spans="1:2" x14ac:dyDescent="0.3">
      <c r="A4790" s="4" t="s">
        <v>6586</v>
      </c>
      <c r="B4790" s="4" t="s">
        <v>6587</v>
      </c>
    </row>
    <row r="4791" spans="1:2" x14ac:dyDescent="0.3">
      <c r="A4791" s="4" t="s">
        <v>6588</v>
      </c>
      <c r="B4791" s="4" t="s">
        <v>6589</v>
      </c>
    </row>
    <row r="4792" spans="1:2" x14ac:dyDescent="0.3">
      <c r="A4792" s="4" t="s">
        <v>10952</v>
      </c>
      <c r="B4792" s="4" t="s">
        <v>2505</v>
      </c>
    </row>
    <row r="4793" spans="1:2" x14ac:dyDescent="0.3">
      <c r="A4793" s="4" t="s">
        <v>12676</v>
      </c>
      <c r="B4793" s="4" t="s">
        <v>12677</v>
      </c>
    </row>
    <row r="4794" spans="1:2" x14ac:dyDescent="0.3">
      <c r="A4794" s="4" t="s">
        <v>6590</v>
      </c>
      <c r="B4794" s="4" t="s">
        <v>6591</v>
      </c>
    </row>
    <row r="4795" spans="1:2" x14ac:dyDescent="0.3">
      <c r="A4795" s="4" t="s">
        <v>10953</v>
      </c>
      <c r="B4795" s="4" t="s">
        <v>10954</v>
      </c>
    </row>
    <row r="4796" spans="1:2" x14ac:dyDescent="0.3">
      <c r="A4796" s="4" t="s">
        <v>10955</v>
      </c>
      <c r="B4796" s="4" t="s">
        <v>10956</v>
      </c>
    </row>
    <row r="4797" spans="1:2" x14ac:dyDescent="0.3">
      <c r="A4797" s="4" t="s">
        <v>10957</v>
      </c>
      <c r="B4797" s="4" t="s">
        <v>10958</v>
      </c>
    </row>
    <row r="4798" spans="1:2" x14ac:dyDescent="0.3">
      <c r="A4798" s="4" t="s">
        <v>6592</v>
      </c>
      <c r="B4798" s="4" t="s">
        <v>6593</v>
      </c>
    </row>
    <row r="4799" spans="1:2" x14ac:dyDescent="0.3">
      <c r="A4799" s="4" t="s">
        <v>6594</v>
      </c>
      <c r="B4799" s="4" t="s">
        <v>6595</v>
      </c>
    </row>
    <row r="4800" spans="1:2" x14ac:dyDescent="0.3">
      <c r="A4800" s="4" t="s">
        <v>6596</v>
      </c>
      <c r="B4800" s="4" t="s">
        <v>6597</v>
      </c>
    </row>
    <row r="4801" spans="1:2" x14ac:dyDescent="0.3">
      <c r="A4801" s="4" t="s">
        <v>6598</v>
      </c>
      <c r="B4801" s="4" t="s">
        <v>6599</v>
      </c>
    </row>
    <row r="4802" spans="1:2" x14ac:dyDescent="0.3">
      <c r="A4802" s="4" t="s">
        <v>6601</v>
      </c>
      <c r="B4802" s="4" t="s">
        <v>6602</v>
      </c>
    </row>
    <row r="4803" spans="1:2" x14ac:dyDescent="0.3">
      <c r="A4803" s="4" t="s">
        <v>6603</v>
      </c>
      <c r="B4803" s="4" t="s">
        <v>6604</v>
      </c>
    </row>
    <row r="4804" spans="1:2" x14ac:dyDescent="0.3">
      <c r="A4804" s="4" t="s">
        <v>6605</v>
      </c>
      <c r="B4804" s="4" t="s">
        <v>6606</v>
      </c>
    </row>
    <row r="4805" spans="1:2" x14ac:dyDescent="0.3">
      <c r="A4805" s="4" t="s">
        <v>10959</v>
      </c>
      <c r="B4805" s="4" t="s">
        <v>10960</v>
      </c>
    </row>
    <row r="4806" spans="1:2" x14ac:dyDescent="0.3">
      <c r="A4806" s="4" t="s">
        <v>6607</v>
      </c>
      <c r="B4806" s="4" t="s">
        <v>6608</v>
      </c>
    </row>
    <row r="4807" spans="1:2" x14ac:dyDescent="0.3">
      <c r="A4807" s="4" t="s">
        <v>10961</v>
      </c>
      <c r="B4807" s="4" t="s">
        <v>10962</v>
      </c>
    </row>
    <row r="4808" spans="1:2" x14ac:dyDescent="0.3">
      <c r="A4808" s="4" t="s">
        <v>6609</v>
      </c>
      <c r="B4808" s="4" t="s">
        <v>6610</v>
      </c>
    </row>
    <row r="4809" spans="1:2" x14ac:dyDescent="0.3">
      <c r="A4809" s="4" t="s">
        <v>6612</v>
      </c>
      <c r="B4809" s="4" t="s">
        <v>6613</v>
      </c>
    </row>
    <row r="4810" spans="1:2" x14ac:dyDescent="0.3">
      <c r="A4810" s="4" t="s">
        <v>6614</v>
      </c>
      <c r="B4810" s="4" t="s">
        <v>6615</v>
      </c>
    </row>
    <row r="4811" spans="1:2" x14ac:dyDescent="0.3">
      <c r="A4811" s="4" t="s">
        <v>6616</v>
      </c>
      <c r="B4811" s="4" t="s">
        <v>6617</v>
      </c>
    </row>
    <row r="4812" spans="1:2" x14ac:dyDescent="0.3">
      <c r="A4812" s="4" t="s">
        <v>6618</v>
      </c>
      <c r="B4812" s="4" t="s">
        <v>6619</v>
      </c>
    </row>
    <row r="4813" spans="1:2" x14ac:dyDescent="0.3">
      <c r="A4813" s="4" t="s">
        <v>10963</v>
      </c>
      <c r="B4813" s="4" t="s">
        <v>2530</v>
      </c>
    </row>
    <row r="4814" spans="1:2" x14ac:dyDescent="0.3">
      <c r="A4814" s="4" t="s">
        <v>6620</v>
      </c>
      <c r="B4814" s="4" t="s">
        <v>6621</v>
      </c>
    </row>
    <row r="4815" spans="1:2" x14ac:dyDescent="0.3">
      <c r="A4815" s="4" t="s">
        <v>6623</v>
      </c>
      <c r="B4815" s="4" t="s">
        <v>6624</v>
      </c>
    </row>
    <row r="4816" spans="1:2" x14ac:dyDescent="0.3">
      <c r="A4816" s="4" t="s">
        <v>10964</v>
      </c>
      <c r="B4816" s="4" t="s">
        <v>10965</v>
      </c>
    </row>
    <row r="4817" spans="1:2" x14ac:dyDescent="0.3">
      <c r="A4817" s="4" t="s">
        <v>6625</v>
      </c>
      <c r="B4817" s="4" t="s">
        <v>6626</v>
      </c>
    </row>
    <row r="4818" spans="1:2" x14ac:dyDescent="0.3">
      <c r="A4818" s="4" t="s">
        <v>10966</v>
      </c>
      <c r="B4818" s="4" t="s">
        <v>10967</v>
      </c>
    </row>
    <row r="4819" spans="1:2" x14ac:dyDescent="0.3">
      <c r="A4819" s="4" t="s">
        <v>10968</v>
      </c>
      <c r="B4819" s="4" t="s">
        <v>2534</v>
      </c>
    </row>
    <row r="4820" spans="1:2" x14ac:dyDescent="0.3">
      <c r="A4820" s="4" t="s">
        <v>10969</v>
      </c>
      <c r="B4820" s="4" t="s">
        <v>10970</v>
      </c>
    </row>
    <row r="4821" spans="1:2" x14ac:dyDescent="0.3">
      <c r="A4821" s="4" t="s">
        <v>6627</v>
      </c>
      <c r="B4821" s="4" t="s">
        <v>6628</v>
      </c>
    </row>
    <row r="4822" spans="1:2" x14ac:dyDescent="0.3">
      <c r="A4822" s="4" t="s">
        <v>6629</v>
      </c>
      <c r="B4822" s="4" t="s">
        <v>6630</v>
      </c>
    </row>
    <row r="4823" spans="1:2" x14ac:dyDescent="0.3">
      <c r="A4823" s="4" t="s">
        <v>6631</v>
      </c>
      <c r="B4823" s="4" t="s">
        <v>6632</v>
      </c>
    </row>
    <row r="4824" spans="1:2" x14ac:dyDescent="0.3">
      <c r="A4824" s="4" t="s">
        <v>6633</v>
      </c>
      <c r="B4824" s="4" t="s">
        <v>6634</v>
      </c>
    </row>
    <row r="4825" spans="1:2" x14ac:dyDescent="0.3">
      <c r="A4825" s="4" t="s">
        <v>12678</v>
      </c>
      <c r="B4825" s="4" t="s">
        <v>6634</v>
      </c>
    </row>
    <row r="4826" spans="1:2" x14ac:dyDescent="0.3">
      <c r="A4826" s="4" t="s">
        <v>10971</v>
      </c>
      <c r="B4826" s="4" t="s">
        <v>10972</v>
      </c>
    </row>
    <row r="4827" spans="1:2" x14ac:dyDescent="0.3">
      <c r="A4827" s="4" t="s">
        <v>10973</v>
      </c>
      <c r="B4827" s="4" t="s">
        <v>8932</v>
      </c>
    </row>
    <row r="4828" spans="1:2" x14ac:dyDescent="0.3">
      <c r="A4828" s="4" t="s">
        <v>6635</v>
      </c>
      <c r="B4828" s="4" t="s">
        <v>6636</v>
      </c>
    </row>
    <row r="4829" spans="1:2" x14ac:dyDescent="0.3">
      <c r="A4829" s="4" t="s">
        <v>10974</v>
      </c>
      <c r="B4829" s="4" t="s">
        <v>10975</v>
      </c>
    </row>
    <row r="4830" spans="1:2" x14ac:dyDescent="0.3">
      <c r="A4830" s="4" t="s">
        <v>10976</v>
      </c>
      <c r="B4830" s="4" t="s">
        <v>10977</v>
      </c>
    </row>
    <row r="4831" spans="1:2" x14ac:dyDescent="0.3">
      <c r="A4831" s="4" t="s">
        <v>10978</v>
      </c>
      <c r="B4831" s="4" t="s">
        <v>10979</v>
      </c>
    </row>
    <row r="4832" spans="1:2" x14ac:dyDescent="0.3">
      <c r="A4832" s="4" t="s">
        <v>10980</v>
      </c>
      <c r="B4832" s="4" t="s">
        <v>8934</v>
      </c>
    </row>
    <row r="4833" spans="1:2" x14ac:dyDescent="0.3">
      <c r="A4833" s="4" t="s">
        <v>10981</v>
      </c>
      <c r="B4833" s="4" t="s">
        <v>9196</v>
      </c>
    </row>
    <row r="4834" spans="1:2" x14ac:dyDescent="0.3">
      <c r="A4834" s="4" t="s">
        <v>10982</v>
      </c>
      <c r="B4834" s="4" t="s">
        <v>10983</v>
      </c>
    </row>
    <row r="4835" spans="1:2" x14ac:dyDescent="0.3">
      <c r="A4835" s="4" t="s">
        <v>10984</v>
      </c>
      <c r="B4835" s="4" t="s">
        <v>10985</v>
      </c>
    </row>
    <row r="4836" spans="1:2" x14ac:dyDescent="0.3">
      <c r="A4836" s="4" t="s">
        <v>6637</v>
      </c>
      <c r="B4836" s="4" t="s">
        <v>6638</v>
      </c>
    </row>
    <row r="4837" spans="1:2" x14ac:dyDescent="0.3">
      <c r="A4837" s="4" t="s">
        <v>6639</v>
      </c>
      <c r="B4837" s="4" t="s">
        <v>6640</v>
      </c>
    </row>
    <row r="4838" spans="1:2" x14ac:dyDescent="0.3">
      <c r="A4838" s="4" t="s">
        <v>6641</v>
      </c>
      <c r="B4838" s="4" t="s">
        <v>6642</v>
      </c>
    </row>
    <row r="4839" spans="1:2" x14ac:dyDescent="0.3">
      <c r="A4839" s="4" t="s">
        <v>10986</v>
      </c>
      <c r="B4839" s="4" t="s">
        <v>10987</v>
      </c>
    </row>
    <row r="4840" spans="1:2" x14ac:dyDescent="0.3">
      <c r="A4840" s="4" t="s">
        <v>6643</v>
      </c>
      <c r="B4840" s="4" t="s">
        <v>6644</v>
      </c>
    </row>
    <row r="4841" spans="1:2" x14ac:dyDescent="0.3">
      <c r="A4841" s="4" t="s">
        <v>10988</v>
      </c>
      <c r="B4841" s="4" t="s">
        <v>10989</v>
      </c>
    </row>
    <row r="4842" spans="1:2" x14ac:dyDescent="0.3">
      <c r="A4842" s="4" t="s">
        <v>10990</v>
      </c>
      <c r="B4842" s="4" t="s">
        <v>10991</v>
      </c>
    </row>
    <row r="4843" spans="1:2" x14ac:dyDescent="0.3">
      <c r="A4843" s="4" t="s">
        <v>6645</v>
      </c>
      <c r="B4843" s="4" t="s">
        <v>6646</v>
      </c>
    </row>
    <row r="4844" spans="1:2" x14ac:dyDescent="0.3">
      <c r="A4844" s="4" t="s">
        <v>6647</v>
      </c>
      <c r="B4844" s="4" t="s">
        <v>6648</v>
      </c>
    </row>
    <row r="4845" spans="1:2" x14ac:dyDescent="0.3">
      <c r="A4845" s="4" t="s">
        <v>4763</v>
      </c>
      <c r="B4845" s="4" t="s">
        <v>9198</v>
      </c>
    </row>
    <row r="4846" spans="1:2" x14ac:dyDescent="0.3">
      <c r="A4846" s="4" t="s">
        <v>6651</v>
      </c>
      <c r="B4846" s="4" t="s">
        <v>6652</v>
      </c>
    </row>
    <row r="4847" spans="1:2" x14ac:dyDescent="0.3">
      <c r="A4847" s="4" t="s">
        <v>6653</v>
      </c>
      <c r="B4847" s="4" t="s">
        <v>6654</v>
      </c>
    </row>
    <row r="4848" spans="1:2" x14ac:dyDescent="0.3">
      <c r="A4848" s="4" t="s">
        <v>10992</v>
      </c>
      <c r="B4848" s="4" t="s">
        <v>8940</v>
      </c>
    </row>
    <row r="4849" spans="1:2" x14ac:dyDescent="0.3">
      <c r="A4849" s="4" t="s">
        <v>6655</v>
      </c>
      <c r="B4849" s="4" t="s">
        <v>6656</v>
      </c>
    </row>
    <row r="4850" spans="1:2" x14ac:dyDescent="0.3">
      <c r="A4850" s="4" t="s">
        <v>10993</v>
      </c>
      <c r="B4850" s="4" t="s">
        <v>10994</v>
      </c>
    </row>
    <row r="4851" spans="1:2" x14ac:dyDescent="0.3">
      <c r="A4851" s="4" t="s">
        <v>6658</v>
      </c>
      <c r="B4851" s="4" t="s">
        <v>10995</v>
      </c>
    </row>
    <row r="4852" spans="1:2" x14ac:dyDescent="0.3">
      <c r="A4852" s="4" t="s">
        <v>7634</v>
      </c>
      <c r="B4852" s="4" t="s">
        <v>10996</v>
      </c>
    </row>
    <row r="4853" spans="1:2" x14ac:dyDescent="0.3">
      <c r="A4853" s="4" t="s">
        <v>10997</v>
      </c>
      <c r="B4853" s="4" t="s">
        <v>10998</v>
      </c>
    </row>
    <row r="4854" spans="1:2" x14ac:dyDescent="0.3">
      <c r="A4854" s="4" t="s">
        <v>6659</v>
      </c>
      <c r="B4854" s="4" t="s">
        <v>6660</v>
      </c>
    </row>
    <row r="4855" spans="1:2" x14ac:dyDescent="0.3">
      <c r="A4855" s="4" t="s">
        <v>6661</v>
      </c>
      <c r="B4855" s="4" t="s">
        <v>6662</v>
      </c>
    </row>
    <row r="4856" spans="1:2" x14ac:dyDescent="0.3">
      <c r="A4856" s="4" t="s">
        <v>10999</v>
      </c>
      <c r="B4856" s="4" t="s">
        <v>11000</v>
      </c>
    </row>
    <row r="4857" spans="1:2" x14ac:dyDescent="0.3">
      <c r="A4857" s="4" t="s">
        <v>11001</v>
      </c>
      <c r="B4857" s="4" t="s">
        <v>11002</v>
      </c>
    </row>
    <row r="4858" spans="1:2" x14ac:dyDescent="0.3">
      <c r="A4858" s="4" t="s">
        <v>11003</v>
      </c>
      <c r="B4858" s="4" t="s">
        <v>11004</v>
      </c>
    </row>
    <row r="4859" spans="1:2" x14ac:dyDescent="0.3">
      <c r="A4859" s="4" t="s">
        <v>11005</v>
      </c>
      <c r="B4859" s="4" t="s">
        <v>11006</v>
      </c>
    </row>
    <row r="4860" spans="1:2" x14ac:dyDescent="0.3">
      <c r="A4860" s="4" t="s">
        <v>11007</v>
      </c>
      <c r="B4860" s="4" t="s">
        <v>11008</v>
      </c>
    </row>
    <row r="4861" spans="1:2" x14ac:dyDescent="0.3">
      <c r="A4861" s="4" t="s">
        <v>6663</v>
      </c>
      <c r="B4861" s="4" t="s">
        <v>6664</v>
      </c>
    </row>
    <row r="4862" spans="1:2" x14ac:dyDescent="0.3">
      <c r="A4862" s="4" t="s">
        <v>11009</v>
      </c>
      <c r="B4862" s="4" t="s">
        <v>11010</v>
      </c>
    </row>
    <row r="4863" spans="1:2" x14ac:dyDescent="0.3">
      <c r="A4863" s="4" t="s">
        <v>6665</v>
      </c>
      <c r="B4863" s="4" t="s">
        <v>6666</v>
      </c>
    </row>
    <row r="4864" spans="1:2" x14ac:dyDescent="0.3">
      <c r="A4864" s="4" t="s">
        <v>11011</v>
      </c>
      <c r="B4864" s="4" t="s">
        <v>11012</v>
      </c>
    </row>
    <row r="4865" spans="1:2" x14ac:dyDescent="0.3">
      <c r="A4865" s="4" t="s">
        <v>11013</v>
      </c>
      <c r="B4865" s="4" t="s">
        <v>11014</v>
      </c>
    </row>
    <row r="4866" spans="1:2" x14ac:dyDescent="0.3">
      <c r="A4866" s="4" t="s">
        <v>11015</v>
      </c>
      <c r="B4866" s="4" t="s">
        <v>11016</v>
      </c>
    </row>
    <row r="4867" spans="1:2" x14ac:dyDescent="0.3">
      <c r="A4867" s="4" t="s">
        <v>11017</v>
      </c>
      <c r="B4867" s="4" t="s">
        <v>11018</v>
      </c>
    </row>
    <row r="4868" spans="1:2" x14ac:dyDescent="0.3">
      <c r="A4868" s="4" t="s">
        <v>11019</v>
      </c>
      <c r="B4868" s="4" t="s">
        <v>11020</v>
      </c>
    </row>
    <row r="4869" spans="1:2" x14ac:dyDescent="0.3">
      <c r="A4869" s="4" t="s">
        <v>6668</v>
      </c>
      <c r="B4869" s="4" t="s">
        <v>6669</v>
      </c>
    </row>
    <row r="4870" spans="1:2" x14ac:dyDescent="0.3">
      <c r="A4870" s="4" t="s">
        <v>11021</v>
      </c>
      <c r="B4870" s="4" t="s">
        <v>11022</v>
      </c>
    </row>
    <row r="4871" spans="1:2" x14ac:dyDescent="0.3">
      <c r="A4871" s="4" t="s">
        <v>11023</v>
      </c>
      <c r="B4871" s="4" t="s">
        <v>11024</v>
      </c>
    </row>
    <row r="4872" spans="1:2" x14ac:dyDescent="0.3">
      <c r="A4872" s="4" t="s">
        <v>11025</v>
      </c>
      <c r="B4872" s="4" t="s">
        <v>11026</v>
      </c>
    </row>
    <row r="4873" spans="1:2" x14ac:dyDescent="0.3">
      <c r="A4873" s="4" t="s">
        <v>11027</v>
      </c>
      <c r="B4873" s="4" t="s">
        <v>11028</v>
      </c>
    </row>
    <row r="4874" spans="1:2" x14ac:dyDescent="0.3">
      <c r="A4874" s="4" t="s">
        <v>6670</v>
      </c>
      <c r="B4874" s="4" t="s">
        <v>6671</v>
      </c>
    </row>
    <row r="4875" spans="1:2" x14ac:dyDescent="0.3">
      <c r="A4875" s="4" t="s">
        <v>12679</v>
      </c>
      <c r="B4875" s="4" t="s">
        <v>12680</v>
      </c>
    </row>
    <row r="4876" spans="1:2" x14ac:dyDescent="0.3">
      <c r="A4876" s="4" t="s">
        <v>11029</v>
      </c>
      <c r="B4876" s="4" t="s">
        <v>11030</v>
      </c>
    </row>
    <row r="4877" spans="1:2" x14ac:dyDescent="0.3">
      <c r="A4877" s="4" t="s">
        <v>11031</v>
      </c>
      <c r="B4877" s="4" t="s">
        <v>11032</v>
      </c>
    </row>
    <row r="4878" spans="1:2" x14ac:dyDescent="0.3">
      <c r="A4878" s="4" t="s">
        <v>11033</v>
      </c>
      <c r="B4878" s="4" t="s">
        <v>11034</v>
      </c>
    </row>
    <row r="4879" spans="1:2" x14ac:dyDescent="0.3">
      <c r="A4879" s="4" t="s">
        <v>11035</v>
      </c>
      <c r="B4879" s="4" t="s">
        <v>11036</v>
      </c>
    </row>
    <row r="4880" spans="1:2" x14ac:dyDescent="0.3">
      <c r="A4880" s="4" t="s">
        <v>6672</v>
      </c>
      <c r="B4880" s="4" t="s">
        <v>6673</v>
      </c>
    </row>
    <row r="4881" spans="1:2" x14ac:dyDescent="0.3">
      <c r="A4881" s="4" t="s">
        <v>6674</v>
      </c>
      <c r="B4881" s="4" t="s">
        <v>6675</v>
      </c>
    </row>
    <row r="4882" spans="1:2" x14ac:dyDescent="0.3">
      <c r="A4882" s="4" t="s">
        <v>11037</v>
      </c>
      <c r="B4882" s="4" t="s">
        <v>11038</v>
      </c>
    </row>
    <row r="4883" spans="1:2" x14ac:dyDescent="0.3">
      <c r="A4883" s="4" t="s">
        <v>6676</v>
      </c>
      <c r="B4883" s="4" t="s">
        <v>6677</v>
      </c>
    </row>
    <row r="4884" spans="1:2" x14ac:dyDescent="0.3">
      <c r="A4884" s="4" t="s">
        <v>11039</v>
      </c>
      <c r="B4884" s="4" t="s">
        <v>11040</v>
      </c>
    </row>
    <row r="4885" spans="1:2" x14ac:dyDescent="0.3">
      <c r="A4885" s="4" t="s">
        <v>6678</v>
      </c>
      <c r="B4885" s="4" t="s">
        <v>6679</v>
      </c>
    </row>
    <row r="4886" spans="1:2" x14ac:dyDescent="0.3">
      <c r="A4886" s="4" t="s">
        <v>6680</v>
      </c>
      <c r="B4886" s="4" t="s">
        <v>6681</v>
      </c>
    </row>
    <row r="4887" spans="1:2" x14ac:dyDescent="0.3">
      <c r="A4887" s="4" t="s">
        <v>12681</v>
      </c>
      <c r="B4887" s="4" t="s">
        <v>12682</v>
      </c>
    </row>
    <row r="4888" spans="1:2" x14ac:dyDescent="0.3">
      <c r="A4888" s="4" t="s">
        <v>11041</v>
      </c>
      <c r="B4888" s="4" t="s">
        <v>11042</v>
      </c>
    </row>
    <row r="4889" spans="1:2" x14ac:dyDescent="0.3">
      <c r="A4889" s="4" t="s">
        <v>11043</v>
      </c>
      <c r="B4889" s="4" t="s">
        <v>8945</v>
      </c>
    </row>
    <row r="4890" spans="1:2" x14ac:dyDescent="0.3">
      <c r="A4890" s="4" t="s">
        <v>11044</v>
      </c>
      <c r="B4890" s="4" t="s">
        <v>8947</v>
      </c>
    </row>
    <row r="4891" spans="1:2" x14ac:dyDescent="0.3">
      <c r="A4891" s="4" t="s">
        <v>11045</v>
      </c>
      <c r="B4891" s="4" t="s">
        <v>11046</v>
      </c>
    </row>
    <row r="4892" spans="1:2" x14ac:dyDescent="0.3">
      <c r="A4892" s="4" t="s">
        <v>6682</v>
      </c>
      <c r="B4892" s="4" t="s">
        <v>11047</v>
      </c>
    </row>
    <row r="4893" spans="1:2" x14ac:dyDescent="0.3">
      <c r="A4893" s="4" t="s">
        <v>7814</v>
      </c>
      <c r="B4893" s="4" t="s">
        <v>11048</v>
      </c>
    </row>
    <row r="4894" spans="1:2" x14ac:dyDescent="0.3">
      <c r="A4894" s="4" t="s">
        <v>6683</v>
      </c>
      <c r="B4894" s="4" t="s">
        <v>6684</v>
      </c>
    </row>
    <row r="4895" spans="1:2" x14ac:dyDescent="0.3">
      <c r="A4895" s="4" t="s">
        <v>11049</v>
      </c>
      <c r="B4895" s="4" t="s">
        <v>11050</v>
      </c>
    </row>
    <row r="4896" spans="1:2" x14ac:dyDescent="0.3">
      <c r="A4896" s="4" t="s">
        <v>12683</v>
      </c>
      <c r="B4896" s="4" t="s">
        <v>12684</v>
      </c>
    </row>
    <row r="4897" spans="1:2" x14ac:dyDescent="0.3">
      <c r="A4897" s="4" t="s">
        <v>6686</v>
      </c>
      <c r="B4897" s="4" t="s">
        <v>11051</v>
      </c>
    </row>
    <row r="4898" spans="1:2" x14ac:dyDescent="0.3">
      <c r="A4898" s="4" t="s">
        <v>7892</v>
      </c>
      <c r="B4898" s="4" t="s">
        <v>11052</v>
      </c>
    </row>
    <row r="4899" spans="1:2" x14ac:dyDescent="0.3">
      <c r="A4899" s="4" t="s">
        <v>11053</v>
      </c>
      <c r="B4899" s="4" t="s">
        <v>11054</v>
      </c>
    </row>
    <row r="4900" spans="1:2" x14ac:dyDescent="0.3">
      <c r="A4900" s="4" t="s">
        <v>11055</v>
      </c>
      <c r="B4900" s="4" t="s">
        <v>11056</v>
      </c>
    </row>
    <row r="4901" spans="1:2" x14ac:dyDescent="0.3">
      <c r="A4901" s="4" t="s">
        <v>6687</v>
      </c>
      <c r="B4901" s="4" t="s">
        <v>6688</v>
      </c>
    </row>
    <row r="4902" spans="1:2" x14ac:dyDescent="0.3">
      <c r="A4902" s="4" t="s">
        <v>12685</v>
      </c>
      <c r="B4902" s="4" t="s">
        <v>12686</v>
      </c>
    </row>
    <row r="4903" spans="1:2" x14ac:dyDescent="0.3">
      <c r="A4903" s="4" t="s">
        <v>11057</v>
      </c>
      <c r="B4903" s="4" t="s">
        <v>11058</v>
      </c>
    </row>
    <row r="4904" spans="1:2" x14ac:dyDescent="0.3">
      <c r="A4904" s="4" t="s">
        <v>6689</v>
      </c>
      <c r="B4904" s="4" t="s">
        <v>6690</v>
      </c>
    </row>
    <row r="4905" spans="1:2" x14ac:dyDescent="0.3">
      <c r="A4905" s="4" t="s">
        <v>11059</v>
      </c>
      <c r="B4905" s="4" t="s">
        <v>11060</v>
      </c>
    </row>
    <row r="4906" spans="1:2" x14ac:dyDescent="0.3">
      <c r="A4906" s="4" t="s">
        <v>6691</v>
      </c>
      <c r="B4906" s="4" t="s">
        <v>6692</v>
      </c>
    </row>
    <row r="4907" spans="1:2" x14ac:dyDescent="0.3">
      <c r="A4907" s="4" t="s">
        <v>7322</v>
      </c>
      <c r="B4907" s="4" t="s">
        <v>11061</v>
      </c>
    </row>
    <row r="4908" spans="1:2" x14ac:dyDescent="0.3">
      <c r="A4908" s="4" t="s">
        <v>11062</v>
      </c>
      <c r="B4908" s="4" t="s">
        <v>11063</v>
      </c>
    </row>
    <row r="4909" spans="1:2" x14ac:dyDescent="0.3">
      <c r="A4909" s="4" t="s">
        <v>11064</v>
      </c>
      <c r="B4909" s="4" t="s">
        <v>11065</v>
      </c>
    </row>
    <row r="4910" spans="1:2" x14ac:dyDescent="0.3">
      <c r="A4910" s="4" t="s">
        <v>6693</v>
      </c>
      <c r="B4910" s="4" t="s">
        <v>6694</v>
      </c>
    </row>
    <row r="4911" spans="1:2" x14ac:dyDescent="0.3">
      <c r="A4911" s="4" t="s">
        <v>6695</v>
      </c>
      <c r="B4911" s="4" t="s">
        <v>6696</v>
      </c>
    </row>
    <row r="4912" spans="1:2" x14ac:dyDescent="0.3">
      <c r="A4912" s="4" t="s">
        <v>6697</v>
      </c>
      <c r="B4912" s="4" t="s">
        <v>6698</v>
      </c>
    </row>
    <row r="4913" spans="1:2" x14ac:dyDescent="0.3">
      <c r="A4913" s="4" t="s">
        <v>11066</v>
      </c>
      <c r="B4913" s="4" t="s">
        <v>11067</v>
      </c>
    </row>
    <row r="4914" spans="1:2" x14ac:dyDescent="0.3">
      <c r="A4914" s="4" t="s">
        <v>11068</v>
      </c>
      <c r="B4914" s="4" t="s">
        <v>11069</v>
      </c>
    </row>
    <row r="4915" spans="1:2" x14ac:dyDescent="0.3">
      <c r="A4915" s="4" t="s">
        <v>6699</v>
      </c>
      <c r="B4915" s="4" t="s">
        <v>6700</v>
      </c>
    </row>
    <row r="4916" spans="1:2" x14ac:dyDescent="0.3">
      <c r="A4916" s="4" t="s">
        <v>6701</v>
      </c>
      <c r="B4916" s="4" t="s">
        <v>6702</v>
      </c>
    </row>
    <row r="4917" spans="1:2" x14ac:dyDescent="0.3">
      <c r="A4917" s="4" t="s">
        <v>6703</v>
      </c>
      <c r="B4917" s="4" t="s">
        <v>6704</v>
      </c>
    </row>
    <row r="4918" spans="1:2" x14ac:dyDescent="0.3">
      <c r="A4918" s="4" t="s">
        <v>6728</v>
      </c>
      <c r="B4918" s="4" t="s">
        <v>11070</v>
      </c>
    </row>
    <row r="4919" spans="1:2" x14ac:dyDescent="0.3">
      <c r="A4919" s="4" t="s">
        <v>11071</v>
      </c>
      <c r="B4919" s="4" t="s">
        <v>11072</v>
      </c>
    </row>
    <row r="4920" spans="1:2" x14ac:dyDescent="0.3">
      <c r="A4920" s="4" t="s">
        <v>11073</v>
      </c>
      <c r="B4920" s="4" t="s">
        <v>11074</v>
      </c>
    </row>
    <row r="4921" spans="1:2" x14ac:dyDescent="0.3">
      <c r="A4921" s="4" t="s">
        <v>6705</v>
      </c>
      <c r="B4921" s="4" t="s">
        <v>6706</v>
      </c>
    </row>
    <row r="4922" spans="1:2" x14ac:dyDescent="0.3">
      <c r="A4922" s="4" t="s">
        <v>11075</v>
      </c>
      <c r="B4922" s="4" t="s">
        <v>11076</v>
      </c>
    </row>
    <row r="4923" spans="1:2" x14ac:dyDescent="0.3">
      <c r="A4923" s="4" t="s">
        <v>6708</v>
      </c>
      <c r="B4923" s="4" t="s">
        <v>6709</v>
      </c>
    </row>
    <row r="4924" spans="1:2" x14ac:dyDescent="0.3">
      <c r="A4924" s="4" t="s">
        <v>11077</v>
      </c>
      <c r="B4924" s="4" t="s">
        <v>11078</v>
      </c>
    </row>
    <row r="4925" spans="1:2" x14ac:dyDescent="0.3">
      <c r="A4925" s="4" t="s">
        <v>11079</v>
      </c>
      <c r="B4925" s="4" t="s">
        <v>11080</v>
      </c>
    </row>
    <row r="4926" spans="1:2" x14ac:dyDescent="0.3">
      <c r="A4926" s="4" t="s">
        <v>6710</v>
      </c>
      <c r="B4926" s="4" t="s">
        <v>6711</v>
      </c>
    </row>
    <row r="4927" spans="1:2" x14ac:dyDescent="0.3">
      <c r="A4927" s="4" t="s">
        <v>11081</v>
      </c>
      <c r="B4927" s="4" t="s">
        <v>11082</v>
      </c>
    </row>
    <row r="4928" spans="1:2" x14ac:dyDescent="0.3">
      <c r="A4928" s="4" t="s">
        <v>11083</v>
      </c>
      <c r="B4928" s="4" t="s">
        <v>11084</v>
      </c>
    </row>
    <row r="4929" spans="1:2" x14ac:dyDescent="0.3">
      <c r="A4929" s="4" t="s">
        <v>11085</v>
      </c>
      <c r="B4929" s="4" t="s">
        <v>11086</v>
      </c>
    </row>
    <row r="4930" spans="1:2" x14ac:dyDescent="0.3">
      <c r="A4930" s="4" t="s">
        <v>11087</v>
      </c>
      <c r="B4930" s="4" t="s">
        <v>11088</v>
      </c>
    </row>
    <row r="4931" spans="1:2" x14ac:dyDescent="0.3">
      <c r="A4931" s="4" t="s">
        <v>6712</v>
      </c>
      <c r="B4931" s="4" t="s">
        <v>6713</v>
      </c>
    </row>
    <row r="4932" spans="1:2" x14ac:dyDescent="0.3">
      <c r="A4932" s="4" t="s">
        <v>6714</v>
      </c>
      <c r="B4932" s="4" t="s">
        <v>6715</v>
      </c>
    </row>
    <row r="4933" spans="1:2" x14ac:dyDescent="0.3">
      <c r="A4933" s="4" t="s">
        <v>11089</v>
      </c>
      <c r="B4933" s="4" t="s">
        <v>11090</v>
      </c>
    </row>
    <row r="4934" spans="1:2" x14ac:dyDescent="0.3">
      <c r="A4934" s="4" t="s">
        <v>11091</v>
      </c>
      <c r="B4934" s="4" t="s">
        <v>11092</v>
      </c>
    </row>
    <row r="4935" spans="1:2" x14ac:dyDescent="0.3">
      <c r="A4935" s="4" t="s">
        <v>6716</v>
      </c>
      <c r="B4935" s="4" t="s">
        <v>6717</v>
      </c>
    </row>
    <row r="4936" spans="1:2" x14ac:dyDescent="0.3">
      <c r="A4936" s="4" t="s">
        <v>11093</v>
      </c>
      <c r="B4936" s="4" t="s">
        <v>11094</v>
      </c>
    </row>
    <row r="4937" spans="1:2" x14ac:dyDescent="0.3">
      <c r="A4937" s="4" t="s">
        <v>11095</v>
      </c>
      <c r="B4937" s="4" t="s">
        <v>11096</v>
      </c>
    </row>
    <row r="4938" spans="1:2" x14ac:dyDescent="0.3">
      <c r="A4938" s="4" t="s">
        <v>6902</v>
      </c>
      <c r="B4938" s="4" t="s">
        <v>11097</v>
      </c>
    </row>
    <row r="4939" spans="1:2" x14ac:dyDescent="0.3">
      <c r="A4939" s="4" t="s">
        <v>6718</v>
      </c>
      <c r="B4939" s="4" t="s">
        <v>6719</v>
      </c>
    </row>
    <row r="4940" spans="1:2" x14ac:dyDescent="0.3">
      <c r="A4940" s="4" t="s">
        <v>6720</v>
      </c>
      <c r="B4940" s="4" t="s">
        <v>6721</v>
      </c>
    </row>
    <row r="4941" spans="1:2" x14ac:dyDescent="0.3">
      <c r="A4941" s="4" t="s">
        <v>6722</v>
      </c>
      <c r="B4941" s="4" t="s">
        <v>6723</v>
      </c>
    </row>
    <row r="4942" spans="1:2" x14ac:dyDescent="0.3">
      <c r="A4942" s="4" t="s">
        <v>6724</v>
      </c>
      <c r="B4942" s="4" t="s">
        <v>6725</v>
      </c>
    </row>
    <row r="4943" spans="1:2" x14ac:dyDescent="0.3">
      <c r="A4943" s="4" t="s">
        <v>6726</v>
      </c>
      <c r="B4943" s="4" t="s">
        <v>6727</v>
      </c>
    </row>
    <row r="4944" spans="1:2" x14ac:dyDescent="0.3">
      <c r="A4944" s="4" t="s">
        <v>11098</v>
      </c>
      <c r="B4944" s="4" t="s">
        <v>6729</v>
      </c>
    </row>
    <row r="4945" spans="1:2" x14ac:dyDescent="0.3">
      <c r="A4945" s="4" t="s">
        <v>6731</v>
      </c>
      <c r="B4945" s="4" t="s">
        <v>6732</v>
      </c>
    </row>
    <row r="4946" spans="1:2" x14ac:dyDescent="0.3">
      <c r="A4946" s="4" t="s">
        <v>6733</v>
      </c>
      <c r="B4946" s="4" t="s">
        <v>6734</v>
      </c>
    </row>
    <row r="4947" spans="1:2" x14ac:dyDescent="0.3">
      <c r="A4947" s="4" t="s">
        <v>6730</v>
      </c>
      <c r="B4947" s="4" t="s">
        <v>11099</v>
      </c>
    </row>
    <row r="4948" spans="1:2" x14ac:dyDescent="0.3">
      <c r="A4948" s="4" t="s">
        <v>11100</v>
      </c>
      <c r="B4948" s="4" t="s">
        <v>11101</v>
      </c>
    </row>
    <row r="4949" spans="1:2" x14ac:dyDescent="0.3">
      <c r="A4949" s="4" t="s">
        <v>11102</v>
      </c>
      <c r="B4949" s="4" t="s">
        <v>11103</v>
      </c>
    </row>
    <row r="4950" spans="1:2" x14ac:dyDescent="0.3">
      <c r="A4950" s="4" t="s">
        <v>6736</v>
      </c>
      <c r="B4950" s="4" t="s">
        <v>6737</v>
      </c>
    </row>
    <row r="4951" spans="1:2" x14ac:dyDescent="0.3">
      <c r="A4951" s="4" t="s">
        <v>6740</v>
      </c>
      <c r="B4951" s="4" t="s">
        <v>6741</v>
      </c>
    </row>
    <row r="4952" spans="1:2" x14ac:dyDescent="0.3">
      <c r="A4952" s="4" t="s">
        <v>6742</v>
      </c>
      <c r="B4952" s="4" t="s">
        <v>6743</v>
      </c>
    </row>
    <row r="4953" spans="1:2" x14ac:dyDescent="0.3">
      <c r="A4953" s="4" t="s">
        <v>6744</v>
      </c>
      <c r="B4953" s="4" t="s">
        <v>6745</v>
      </c>
    </row>
    <row r="4954" spans="1:2" x14ac:dyDescent="0.3">
      <c r="A4954" s="4" t="s">
        <v>11104</v>
      </c>
      <c r="B4954" s="4" t="s">
        <v>2722</v>
      </c>
    </row>
    <row r="4955" spans="1:2" x14ac:dyDescent="0.3">
      <c r="A4955" s="4" t="s">
        <v>12687</v>
      </c>
      <c r="B4955" s="4" t="s">
        <v>12688</v>
      </c>
    </row>
    <row r="4956" spans="1:2" x14ac:dyDescent="0.3">
      <c r="A4956" s="4" t="s">
        <v>11105</v>
      </c>
      <c r="B4956" s="4" t="s">
        <v>11106</v>
      </c>
    </row>
    <row r="4957" spans="1:2" x14ac:dyDescent="0.3">
      <c r="A4957" s="4" t="s">
        <v>6746</v>
      </c>
      <c r="B4957" s="4" t="s">
        <v>6747</v>
      </c>
    </row>
    <row r="4958" spans="1:2" x14ac:dyDescent="0.3">
      <c r="A4958" s="4" t="s">
        <v>6748</v>
      </c>
      <c r="B4958" s="4" t="s">
        <v>6749</v>
      </c>
    </row>
    <row r="4959" spans="1:2" x14ac:dyDescent="0.3">
      <c r="A4959" s="4" t="s">
        <v>12689</v>
      </c>
      <c r="B4959" s="4" t="s">
        <v>12690</v>
      </c>
    </row>
    <row r="4960" spans="1:2" x14ac:dyDescent="0.3">
      <c r="A4960" s="4" t="s">
        <v>11107</v>
      </c>
      <c r="B4960" s="4" t="s">
        <v>11108</v>
      </c>
    </row>
    <row r="4961" spans="1:2" x14ac:dyDescent="0.3">
      <c r="A4961" s="4" t="s">
        <v>11109</v>
      </c>
      <c r="B4961" s="4" t="s">
        <v>8955</v>
      </c>
    </row>
    <row r="4962" spans="1:2" x14ac:dyDescent="0.3">
      <c r="A4962" s="4" t="s">
        <v>11110</v>
      </c>
      <c r="B4962" s="4" t="s">
        <v>11111</v>
      </c>
    </row>
    <row r="4963" spans="1:2" x14ac:dyDescent="0.3">
      <c r="A4963" s="4" t="s">
        <v>6752</v>
      </c>
      <c r="B4963" s="4" t="s">
        <v>6753</v>
      </c>
    </row>
    <row r="4964" spans="1:2" x14ac:dyDescent="0.3">
      <c r="A4964" s="4" t="s">
        <v>6754</v>
      </c>
      <c r="B4964" s="4" t="s">
        <v>6755</v>
      </c>
    </row>
    <row r="4965" spans="1:2" x14ac:dyDescent="0.3">
      <c r="A4965" s="4" t="s">
        <v>6756</v>
      </c>
      <c r="B4965" s="4" t="s">
        <v>6757</v>
      </c>
    </row>
    <row r="4966" spans="1:2" x14ac:dyDescent="0.3">
      <c r="A4966" s="4" t="s">
        <v>6758</v>
      </c>
      <c r="B4966" s="4" t="s">
        <v>6759</v>
      </c>
    </row>
    <row r="4967" spans="1:2" x14ac:dyDescent="0.3">
      <c r="A4967" s="4" t="s">
        <v>6760</v>
      </c>
      <c r="B4967" s="4" t="s">
        <v>6761</v>
      </c>
    </row>
    <row r="4968" spans="1:2" x14ac:dyDescent="0.3">
      <c r="A4968" s="4" t="s">
        <v>11112</v>
      </c>
      <c r="B4968" s="4" t="s">
        <v>11113</v>
      </c>
    </row>
    <row r="4969" spans="1:2" x14ac:dyDescent="0.3">
      <c r="A4969" s="4" t="s">
        <v>6762</v>
      </c>
      <c r="B4969" s="4" t="s">
        <v>6763</v>
      </c>
    </row>
    <row r="4970" spans="1:2" x14ac:dyDescent="0.3">
      <c r="A4970" s="4" t="s">
        <v>11114</v>
      </c>
      <c r="B4970" s="4" t="s">
        <v>11115</v>
      </c>
    </row>
    <row r="4971" spans="1:2" x14ac:dyDescent="0.3">
      <c r="A4971" s="4" t="s">
        <v>11116</v>
      </c>
      <c r="B4971" s="4" t="s">
        <v>11117</v>
      </c>
    </row>
    <row r="4972" spans="1:2" x14ac:dyDescent="0.3">
      <c r="A4972" s="4" t="s">
        <v>11118</v>
      </c>
      <c r="B4972" s="4" t="s">
        <v>11119</v>
      </c>
    </row>
    <row r="4973" spans="1:2" x14ac:dyDescent="0.3">
      <c r="A4973" s="4" t="s">
        <v>6765</v>
      </c>
      <c r="B4973" s="4" t="s">
        <v>6766</v>
      </c>
    </row>
    <row r="4974" spans="1:2" x14ac:dyDescent="0.3">
      <c r="A4974" s="4" t="s">
        <v>11120</v>
      </c>
      <c r="B4974" s="4" t="s">
        <v>11121</v>
      </c>
    </row>
    <row r="4975" spans="1:2" x14ac:dyDescent="0.3">
      <c r="A4975" s="4" t="s">
        <v>11122</v>
      </c>
      <c r="B4975" s="4" t="s">
        <v>11123</v>
      </c>
    </row>
    <row r="4976" spans="1:2" x14ac:dyDescent="0.3">
      <c r="A4976" s="4" t="s">
        <v>11124</v>
      </c>
      <c r="B4976" s="4" t="s">
        <v>11125</v>
      </c>
    </row>
    <row r="4977" spans="1:2" x14ac:dyDescent="0.3">
      <c r="A4977" s="4" t="s">
        <v>12691</v>
      </c>
      <c r="B4977" s="4" t="s">
        <v>12692</v>
      </c>
    </row>
    <row r="4978" spans="1:2" x14ac:dyDescent="0.3">
      <c r="A4978" s="4" t="s">
        <v>11126</v>
      </c>
      <c r="B4978" s="4" t="s">
        <v>11127</v>
      </c>
    </row>
    <row r="4979" spans="1:2" x14ac:dyDescent="0.3">
      <c r="A4979" s="4" t="s">
        <v>11128</v>
      </c>
      <c r="B4979" s="4" t="s">
        <v>11129</v>
      </c>
    </row>
    <row r="4980" spans="1:2" x14ac:dyDescent="0.3">
      <c r="A4980" s="4" t="s">
        <v>11130</v>
      </c>
      <c r="B4980" s="4" t="s">
        <v>11131</v>
      </c>
    </row>
    <row r="4981" spans="1:2" x14ac:dyDescent="0.3">
      <c r="A4981" s="4" t="s">
        <v>11132</v>
      </c>
      <c r="B4981" s="4" t="s">
        <v>11133</v>
      </c>
    </row>
    <row r="4982" spans="1:2" x14ac:dyDescent="0.3">
      <c r="A4982" s="4" t="s">
        <v>11134</v>
      </c>
      <c r="B4982" s="4" t="s">
        <v>2752</v>
      </c>
    </row>
    <row r="4983" spans="1:2" x14ac:dyDescent="0.3">
      <c r="A4983" s="4" t="s">
        <v>11135</v>
      </c>
      <c r="B4983" s="4" t="s">
        <v>11136</v>
      </c>
    </row>
    <row r="4984" spans="1:2" x14ac:dyDescent="0.3">
      <c r="A4984" s="4" t="s">
        <v>6767</v>
      </c>
      <c r="B4984" s="4" t="s">
        <v>6768</v>
      </c>
    </row>
    <row r="4985" spans="1:2" x14ac:dyDescent="0.3">
      <c r="A4985" s="4" t="s">
        <v>6558</v>
      </c>
      <c r="B4985" s="4" t="s">
        <v>11137</v>
      </c>
    </row>
    <row r="4986" spans="1:2" x14ac:dyDescent="0.3">
      <c r="A4986" s="4" t="s">
        <v>6769</v>
      </c>
      <c r="B4986" s="4" t="s">
        <v>6770</v>
      </c>
    </row>
    <row r="4987" spans="1:2" x14ac:dyDescent="0.3">
      <c r="A4987" s="4" t="s">
        <v>11138</v>
      </c>
      <c r="B4987" s="4" t="s">
        <v>11139</v>
      </c>
    </row>
    <row r="4988" spans="1:2" x14ac:dyDescent="0.3">
      <c r="A4988" s="4" t="s">
        <v>11140</v>
      </c>
      <c r="B4988" s="4" t="s">
        <v>11141</v>
      </c>
    </row>
    <row r="4989" spans="1:2" x14ac:dyDescent="0.3">
      <c r="A4989" s="4" t="s">
        <v>11142</v>
      </c>
      <c r="B4989" s="4" t="s">
        <v>11143</v>
      </c>
    </row>
    <row r="4990" spans="1:2" x14ac:dyDescent="0.3">
      <c r="A4990" s="4" t="s">
        <v>11144</v>
      </c>
      <c r="B4990" s="4" t="s">
        <v>11145</v>
      </c>
    </row>
    <row r="4991" spans="1:2" x14ac:dyDescent="0.3">
      <c r="A4991" s="4" t="s">
        <v>11146</v>
      </c>
      <c r="B4991" s="4" t="s">
        <v>11147</v>
      </c>
    </row>
    <row r="4992" spans="1:2" x14ac:dyDescent="0.3">
      <c r="A4992" s="4" t="s">
        <v>6771</v>
      </c>
      <c r="B4992" s="4" t="s">
        <v>6772</v>
      </c>
    </row>
    <row r="4993" spans="1:2" x14ac:dyDescent="0.3">
      <c r="A4993" s="4" t="s">
        <v>11148</v>
      </c>
      <c r="B4993" s="4" t="s">
        <v>11149</v>
      </c>
    </row>
    <row r="4994" spans="1:2" x14ac:dyDescent="0.3">
      <c r="A4994" s="4" t="s">
        <v>11150</v>
      </c>
      <c r="B4994" s="4" t="s">
        <v>11151</v>
      </c>
    </row>
    <row r="4995" spans="1:2" x14ac:dyDescent="0.3">
      <c r="A4995" s="4" t="s">
        <v>11152</v>
      </c>
      <c r="B4995" s="4" t="s">
        <v>11153</v>
      </c>
    </row>
    <row r="4996" spans="1:2" x14ac:dyDescent="0.3">
      <c r="A4996" s="4" t="s">
        <v>11154</v>
      </c>
      <c r="B4996" s="4" t="s">
        <v>8968</v>
      </c>
    </row>
    <row r="4997" spans="1:2" x14ac:dyDescent="0.3">
      <c r="A4997" s="4" t="s">
        <v>11155</v>
      </c>
      <c r="B4997" s="4" t="s">
        <v>11156</v>
      </c>
    </row>
    <row r="4998" spans="1:2" x14ac:dyDescent="0.3">
      <c r="A4998" s="4" t="s">
        <v>6773</v>
      </c>
      <c r="B4998" s="4" t="s">
        <v>6774</v>
      </c>
    </row>
    <row r="4999" spans="1:2" x14ac:dyDescent="0.3">
      <c r="A4999" s="4" t="s">
        <v>6775</v>
      </c>
      <c r="B4999" s="4" t="s">
        <v>6776</v>
      </c>
    </row>
    <row r="5000" spans="1:2" x14ac:dyDescent="0.3">
      <c r="A5000" s="4" t="s">
        <v>6735</v>
      </c>
      <c r="B5000" s="4" t="s">
        <v>11157</v>
      </c>
    </row>
    <row r="5001" spans="1:2" x14ac:dyDescent="0.3">
      <c r="A5001" s="4" t="s">
        <v>6777</v>
      </c>
      <c r="B5001" s="4" t="s">
        <v>6778</v>
      </c>
    </row>
    <row r="5002" spans="1:2" x14ac:dyDescent="0.3">
      <c r="A5002" s="4" t="s">
        <v>6779</v>
      </c>
      <c r="B5002" s="4" t="s">
        <v>6780</v>
      </c>
    </row>
    <row r="5003" spans="1:2" x14ac:dyDescent="0.3">
      <c r="A5003" s="4" t="s">
        <v>11158</v>
      </c>
      <c r="B5003" s="4" t="s">
        <v>11159</v>
      </c>
    </row>
    <row r="5004" spans="1:2" x14ac:dyDescent="0.3">
      <c r="A5004" s="4" t="s">
        <v>7312</v>
      </c>
      <c r="B5004" s="4" t="s">
        <v>11160</v>
      </c>
    </row>
    <row r="5005" spans="1:2" x14ac:dyDescent="0.3">
      <c r="A5005" s="4" t="s">
        <v>6781</v>
      </c>
      <c r="B5005" s="4" t="s">
        <v>6782</v>
      </c>
    </row>
    <row r="5006" spans="1:2" x14ac:dyDescent="0.3">
      <c r="A5006" s="4" t="s">
        <v>11161</v>
      </c>
      <c r="B5006" s="4" t="s">
        <v>11162</v>
      </c>
    </row>
    <row r="5007" spans="1:2" x14ac:dyDescent="0.3">
      <c r="A5007" s="4" t="s">
        <v>6783</v>
      </c>
      <c r="B5007" s="4" t="s">
        <v>6784</v>
      </c>
    </row>
    <row r="5008" spans="1:2" x14ac:dyDescent="0.3">
      <c r="A5008" s="4" t="s">
        <v>11163</v>
      </c>
      <c r="B5008" s="4" t="s">
        <v>11164</v>
      </c>
    </row>
    <row r="5009" spans="1:2" x14ac:dyDescent="0.3">
      <c r="A5009" s="4" t="s">
        <v>11165</v>
      </c>
      <c r="B5009" s="4" t="s">
        <v>8972</v>
      </c>
    </row>
    <row r="5010" spans="1:2" x14ac:dyDescent="0.3">
      <c r="A5010" s="4" t="s">
        <v>11166</v>
      </c>
      <c r="B5010" s="4" t="s">
        <v>11167</v>
      </c>
    </row>
    <row r="5011" spans="1:2" x14ac:dyDescent="0.3">
      <c r="A5011" s="4" t="s">
        <v>6785</v>
      </c>
      <c r="B5011" s="4" t="s">
        <v>6786</v>
      </c>
    </row>
    <row r="5012" spans="1:2" x14ac:dyDescent="0.3">
      <c r="A5012" s="4" t="s">
        <v>6787</v>
      </c>
      <c r="B5012" s="4" t="s">
        <v>6788</v>
      </c>
    </row>
    <row r="5013" spans="1:2" x14ac:dyDescent="0.3">
      <c r="A5013" s="4" t="s">
        <v>6789</v>
      </c>
      <c r="B5013" s="4" t="s">
        <v>6790</v>
      </c>
    </row>
    <row r="5014" spans="1:2" x14ac:dyDescent="0.3">
      <c r="A5014" s="4" t="s">
        <v>6791</v>
      </c>
      <c r="B5014" s="4" t="s">
        <v>6792</v>
      </c>
    </row>
    <row r="5015" spans="1:2" x14ac:dyDescent="0.3">
      <c r="A5015" s="4" t="s">
        <v>6793</v>
      </c>
      <c r="B5015" s="4" t="s">
        <v>6794</v>
      </c>
    </row>
    <row r="5016" spans="1:2" x14ac:dyDescent="0.3">
      <c r="A5016" s="4" t="s">
        <v>11168</v>
      </c>
      <c r="B5016" s="4" t="s">
        <v>11169</v>
      </c>
    </row>
    <row r="5017" spans="1:2" x14ac:dyDescent="0.3">
      <c r="A5017" s="4" t="s">
        <v>6795</v>
      </c>
      <c r="B5017" s="4" t="s">
        <v>6796</v>
      </c>
    </row>
    <row r="5018" spans="1:2" x14ac:dyDescent="0.3">
      <c r="A5018" s="4" t="s">
        <v>11170</v>
      </c>
      <c r="B5018" s="4" t="s">
        <v>11171</v>
      </c>
    </row>
    <row r="5019" spans="1:2" x14ac:dyDescent="0.3">
      <c r="A5019" s="4" t="s">
        <v>11172</v>
      </c>
      <c r="B5019" s="4" t="s">
        <v>11173</v>
      </c>
    </row>
    <row r="5020" spans="1:2" x14ac:dyDescent="0.3">
      <c r="A5020" s="4" t="s">
        <v>11174</v>
      </c>
      <c r="B5020" s="4" t="s">
        <v>11175</v>
      </c>
    </row>
    <row r="5021" spans="1:2" x14ac:dyDescent="0.3">
      <c r="A5021" s="4" t="s">
        <v>6797</v>
      </c>
      <c r="B5021" s="4" t="s">
        <v>6798</v>
      </c>
    </row>
    <row r="5022" spans="1:2" x14ac:dyDescent="0.3">
      <c r="A5022" s="4" t="s">
        <v>11176</v>
      </c>
      <c r="B5022" s="4" t="s">
        <v>11177</v>
      </c>
    </row>
    <row r="5023" spans="1:2" x14ac:dyDescent="0.3">
      <c r="A5023" s="4" t="s">
        <v>11178</v>
      </c>
      <c r="B5023" s="4" t="s">
        <v>11179</v>
      </c>
    </row>
    <row r="5024" spans="1:2" x14ac:dyDescent="0.3">
      <c r="A5024" s="4" t="s">
        <v>6799</v>
      </c>
      <c r="B5024" s="4" t="s">
        <v>6800</v>
      </c>
    </row>
    <row r="5025" spans="1:2" x14ac:dyDescent="0.3">
      <c r="A5025" s="4" t="s">
        <v>6801</v>
      </c>
      <c r="B5025" s="4" t="s">
        <v>6802</v>
      </c>
    </row>
    <row r="5026" spans="1:2" x14ac:dyDescent="0.3">
      <c r="A5026" s="4" t="s">
        <v>11180</v>
      </c>
      <c r="B5026" s="4" t="s">
        <v>11181</v>
      </c>
    </row>
    <row r="5027" spans="1:2" x14ac:dyDescent="0.3">
      <c r="A5027" s="4" t="s">
        <v>6803</v>
      </c>
      <c r="B5027" s="4" t="s">
        <v>6804</v>
      </c>
    </row>
    <row r="5028" spans="1:2" x14ac:dyDescent="0.3">
      <c r="A5028" s="4" t="s">
        <v>6805</v>
      </c>
      <c r="B5028" s="4" t="s">
        <v>6806</v>
      </c>
    </row>
    <row r="5029" spans="1:2" x14ac:dyDescent="0.3">
      <c r="A5029" s="4" t="s">
        <v>11182</v>
      </c>
      <c r="B5029" s="4" t="s">
        <v>11183</v>
      </c>
    </row>
    <row r="5030" spans="1:2" x14ac:dyDescent="0.3">
      <c r="A5030" s="4" t="s">
        <v>6807</v>
      </c>
      <c r="B5030" s="4" t="s">
        <v>6808</v>
      </c>
    </row>
    <row r="5031" spans="1:2" x14ac:dyDescent="0.3">
      <c r="A5031" s="4" t="s">
        <v>11184</v>
      </c>
      <c r="B5031" s="4" t="s">
        <v>11185</v>
      </c>
    </row>
    <row r="5032" spans="1:2" x14ac:dyDescent="0.3">
      <c r="A5032" s="4" t="s">
        <v>6809</v>
      </c>
      <c r="B5032" s="4" t="s">
        <v>6810</v>
      </c>
    </row>
    <row r="5033" spans="1:2" x14ac:dyDescent="0.3">
      <c r="A5033" s="4" t="s">
        <v>11186</v>
      </c>
      <c r="B5033" s="4" t="s">
        <v>11187</v>
      </c>
    </row>
    <row r="5034" spans="1:2" x14ac:dyDescent="0.3">
      <c r="A5034" s="4" t="s">
        <v>11188</v>
      </c>
      <c r="B5034" s="4" t="s">
        <v>11189</v>
      </c>
    </row>
    <row r="5035" spans="1:2" x14ac:dyDescent="0.3">
      <c r="A5035" s="4" t="s">
        <v>5753</v>
      </c>
      <c r="B5035" s="4" t="s">
        <v>11190</v>
      </c>
    </row>
    <row r="5036" spans="1:2" x14ac:dyDescent="0.3">
      <c r="A5036" s="4" t="s">
        <v>11191</v>
      </c>
      <c r="B5036" s="4" t="s">
        <v>11192</v>
      </c>
    </row>
    <row r="5037" spans="1:2" x14ac:dyDescent="0.3">
      <c r="A5037" s="4" t="s">
        <v>6812</v>
      </c>
      <c r="B5037" s="4" t="s">
        <v>6813</v>
      </c>
    </row>
    <row r="5038" spans="1:2" x14ac:dyDescent="0.3">
      <c r="A5038" s="4" t="s">
        <v>6814</v>
      </c>
      <c r="B5038" s="4" t="s">
        <v>6815</v>
      </c>
    </row>
    <row r="5039" spans="1:2" x14ac:dyDescent="0.3">
      <c r="A5039" s="4" t="s">
        <v>11193</v>
      </c>
      <c r="B5039" s="4" t="s">
        <v>11194</v>
      </c>
    </row>
    <row r="5040" spans="1:2" x14ac:dyDescent="0.3">
      <c r="A5040" s="4" t="s">
        <v>11195</v>
      </c>
      <c r="B5040" s="4" t="s">
        <v>11196</v>
      </c>
    </row>
    <row r="5041" spans="1:2" x14ac:dyDescent="0.3">
      <c r="A5041" s="4" t="s">
        <v>6816</v>
      </c>
      <c r="B5041" s="4" t="s">
        <v>6817</v>
      </c>
    </row>
    <row r="5042" spans="1:2" x14ac:dyDescent="0.3">
      <c r="A5042" s="4" t="s">
        <v>6818</v>
      </c>
      <c r="B5042" s="4" t="s">
        <v>6819</v>
      </c>
    </row>
    <row r="5043" spans="1:2" x14ac:dyDescent="0.3">
      <c r="A5043" s="4" t="s">
        <v>6820</v>
      </c>
      <c r="B5043" s="4" t="s">
        <v>6821</v>
      </c>
    </row>
    <row r="5044" spans="1:2" x14ac:dyDescent="0.3">
      <c r="A5044" s="4" t="s">
        <v>11197</v>
      </c>
      <c r="B5044" s="4" t="s">
        <v>11198</v>
      </c>
    </row>
    <row r="5045" spans="1:2" x14ac:dyDescent="0.3">
      <c r="A5045" s="4" t="s">
        <v>6822</v>
      </c>
      <c r="B5045" s="4" t="s">
        <v>6823</v>
      </c>
    </row>
    <row r="5046" spans="1:2" x14ac:dyDescent="0.3">
      <c r="A5046" s="4" t="s">
        <v>11199</v>
      </c>
      <c r="B5046" s="4" t="s">
        <v>11200</v>
      </c>
    </row>
    <row r="5047" spans="1:2" x14ac:dyDescent="0.3">
      <c r="A5047" s="4" t="s">
        <v>12693</v>
      </c>
      <c r="B5047" s="4" t="s">
        <v>12694</v>
      </c>
    </row>
    <row r="5048" spans="1:2" x14ac:dyDescent="0.3">
      <c r="A5048" s="4" t="s">
        <v>6824</v>
      </c>
      <c r="B5048" s="4" t="s">
        <v>6825</v>
      </c>
    </row>
    <row r="5049" spans="1:2" x14ac:dyDescent="0.3">
      <c r="A5049" s="4" t="s">
        <v>6826</v>
      </c>
      <c r="B5049" s="4" t="s">
        <v>6827</v>
      </c>
    </row>
    <row r="5050" spans="1:2" x14ac:dyDescent="0.3">
      <c r="A5050" s="4" t="s">
        <v>6828</v>
      </c>
      <c r="B5050" s="4" t="s">
        <v>6829</v>
      </c>
    </row>
    <row r="5051" spans="1:2" x14ac:dyDescent="0.3">
      <c r="A5051" s="4" t="s">
        <v>12695</v>
      </c>
      <c r="B5051" s="4" t="s">
        <v>12696</v>
      </c>
    </row>
    <row r="5052" spans="1:2" x14ac:dyDescent="0.3">
      <c r="A5052" s="4" t="s">
        <v>11201</v>
      </c>
      <c r="B5052" s="4" t="s">
        <v>8975</v>
      </c>
    </row>
    <row r="5053" spans="1:2" x14ac:dyDescent="0.3">
      <c r="A5053" s="4" t="s">
        <v>11202</v>
      </c>
      <c r="B5053" s="4" t="s">
        <v>11203</v>
      </c>
    </row>
    <row r="5054" spans="1:2" x14ac:dyDescent="0.3">
      <c r="A5054" s="4" t="s">
        <v>11204</v>
      </c>
      <c r="B5054" s="4" t="s">
        <v>11205</v>
      </c>
    </row>
    <row r="5055" spans="1:2" x14ac:dyDescent="0.3">
      <c r="A5055" s="4" t="s">
        <v>6830</v>
      </c>
      <c r="B5055" s="4" t="s">
        <v>6831</v>
      </c>
    </row>
    <row r="5056" spans="1:2" x14ac:dyDescent="0.3">
      <c r="A5056" s="4" t="s">
        <v>6832</v>
      </c>
      <c r="B5056" s="4" t="s">
        <v>6833</v>
      </c>
    </row>
    <row r="5057" spans="1:2" x14ac:dyDescent="0.3">
      <c r="A5057" s="4" t="s">
        <v>6835</v>
      </c>
      <c r="B5057" s="4" t="s">
        <v>6836</v>
      </c>
    </row>
    <row r="5058" spans="1:2" x14ac:dyDescent="0.3">
      <c r="A5058" s="4" t="s">
        <v>6837</v>
      </c>
      <c r="B5058" s="4" t="s">
        <v>6838</v>
      </c>
    </row>
    <row r="5059" spans="1:2" x14ac:dyDescent="0.3">
      <c r="A5059" s="4" t="s">
        <v>6834</v>
      </c>
      <c r="B5059" s="4" t="s">
        <v>8977</v>
      </c>
    </row>
    <row r="5060" spans="1:2" x14ac:dyDescent="0.3">
      <c r="A5060" s="4" t="s">
        <v>6839</v>
      </c>
      <c r="B5060" s="4" t="s">
        <v>6840</v>
      </c>
    </row>
    <row r="5061" spans="1:2" x14ac:dyDescent="0.3">
      <c r="A5061" s="4" t="s">
        <v>6841</v>
      </c>
      <c r="B5061" s="4" t="s">
        <v>6842</v>
      </c>
    </row>
    <row r="5062" spans="1:2" x14ac:dyDescent="0.3">
      <c r="A5062" s="4" t="s">
        <v>12697</v>
      </c>
      <c r="B5062" s="4" t="s">
        <v>12698</v>
      </c>
    </row>
    <row r="5063" spans="1:2" x14ac:dyDescent="0.3">
      <c r="A5063" s="4" t="s">
        <v>6843</v>
      </c>
      <c r="B5063" s="4" t="s">
        <v>6844</v>
      </c>
    </row>
    <row r="5064" spans="1:2" x14ac:dyDescent="0.3">
      <c r="A5064" s="4" t="s">
        <v>6845</v>
      </c>
      <c r="B5064" s="4" t="s">
        <v>6846</v>
      </c>
    </row>
    <row r="5065" spans="1:2" x14ac:dyDescent="0.3">
      <c r="A5065" s="4" t="s">
        <v>11206</v>
      </c>
      <c r="B5065" s="4" t="s">
        <v>11207</v>
      </c>
    </row>
    <row r="5066" spans="1:2" x14ac:dyDescent="0.3">
      <c r="A5066" s="4" t="s">
        <v>12699</v>
      </c>
      <c r="B5066" s="4" t="s">
        <v>12323</v>
      </c>
    </row>
    <row r="5067" spans="1:2" x14ac:dyDescent="0.3">
      <c r="A5067" s="4" t="s">
        <v>6847</v>
      </c>
      <c r="B5067" s="4" t="s">
        <v>6848</v>
      </c>
    </row>
    <row r="5068" spans="1:2" x14ac:dyDescent="0.3">
      <c r="A5068" s="4" t="s">
        <v>11208</v>
      </c>
      <c r="B5068" s="4" t="s">
        <v>11209</v>
      </c>
    </row>
    <row r="5069" spans="1:2" x14ac:dyDescent="0.3">
      <c r="A5069" s="4" t="s">
        <v>12700</v>
      </c>
      <c r="B5069" s="4" t="s">
        <v>12701</v>
      </c>
    </row>
    <row r="5070" spans="1:2" x14ac:dyDescent="0.3">
      <c r="A5070" s="4" t="s">
        <v>6849</v>
      </c>
      <c r="B5070" s="4" t="s">
        <v>6850</v>
      </c>
    </row>
    <row r="5071" spans="1:2" x14ac:dyDescent="0.3">
      <c r="A5071" s="4" t="s">
        <v>6851</v>
      </c>
      <c r="B5071" s="4" t="s">
        <v>11210</v>
      </c>
    </row>
    <row r="5072" spans="1:2" x14ac:dyDescent="0.3">
      <c r="A5072" s="4" t="s">
        <v>6852</v>
      </c>
      <c r="B5072" s="4" t="s">
        <v>6853</v>
      </c>
    </row>
    <row r="5073" spans="1:2" x14ac:dyDescent="0.3">
      <c r="A5073" s="4" t="s">
        <v>6854</v>
      </c>
      <c r="B5073" s="4" t="s">
        <v>6855</v>
      </c>
    </row>
    <row r="5074" spans="1:2" x14ac:dyDescent="0.3">
      <c r="A5074" s="4" t="s">
        <v>10503</v>
      </c>
      <c r="B5074" s="4" t="s">
        <v>12702</v>
      </c>
    </row>
    <row r="5075" spans="1:2" x14ac:dyDescent="0.3">
      <c r="A5075" s="4" t="s">
        <v>11211</v>
      </c>
      <c r="B5075" s="4" t="s">
        <v>11212</v>
      </c>
    </row>
    <row r="5076" spans="1:2" x14ac:dyDescent="0.3">
      <c r="A5076" s="4" t="s">
        <v>11213</v>
      </c>
      <c r="B5076" s="4" t="s">
        <v>11214</v>
      </c>
    </row>
    <row r="5077" spans="1:2" x14ac:dyDescent="0.3">
      <c r="A5077" s="4" t="s">
        <v>11215</v>
      </c>
      <c r="B5077" s="4" t="s">
        <v>11216</v>
      </c>
    </row>
    <row r="5078" spans="1:2" x14ac:dyDescent="0.3">
      <c r="A5078" s="4" t="s">
        <v>6856</v>
      </c>
      <c r="B5078" s="4" t="s">
        <v>6857</v>
      </c>
    </row>
    <row r="5079" spans="1:2" x14ac:dyDescent="0.3">
      <c r="A5079" s="4" t="s">
        <v>6858</v>
      </c>
      <c r="B5079" s="4" t="s">
        <v>6859</v>
      </c>
    </row>
    <row r="5080" spans="1:2" x14ac:dyDescent="0.3">
      <c r="A5080" s="4" t="s">
        <v>6860</v>
      </c>
      <c r="B5080" s="4" t="s">
        <v>6861</v>
      </c>
    </row>
    <row r="5081" spans="1:2" x14ac:dyDescent="0.3">
      <c r="A5081" s="4" t="s">
        <v>6862</v>
      </c>
      <c r="B5081" s="4" t="s">
        <v>6863</v>
      </c>
    </row>
    <row r="5082" spans="1:2" x14ac:dyDescent="0.3">
      <c r="A5082" s="4" t="s">
        <v>6864</v>
      </c>
      <c r="B5082" s="4" t="s">
        <v>6865</v>
      </c>
    </row>
    <row r="5083" spans="1:2" x14ac:dyDescent="0.3">
      <c r="A5083" s="4" t="s">
        <v>6866</v>
      </c>
      <c r="B5083" s="4" t="s">
        <v>11217</v>
      </c>
    </row>
    <row r="5084" spans="1:2" x14ac:dyDescent="0.3">
      <c r="A5084" s="4" t="s">
        <v>6867</v>
      </c>
      <c r="B5084" s="4" t="s">
        <v>6868</v>
      </c>
    </row>
    <row r="5085" spans="1:2" x14ac:dyDescent="0.3">
      <c r="A5085" s="4" t="s">
        <v>11218</v>
      </c>
      <c r="B5085" s="4" t="s">
        <v>11219</v>
      </c>
    </row>
    <row r="5086" spans="1:2" x14ac:dyDescent="0.3">
      <c r="A5086" s="4" t="s">
        <v>11220</v>
      </c>
      <c r="B5086" s="4" t="s">
        <v>2915</v>
      </c>
    </row>
    <row r="5087" spans="1:2" x14ac:dyDescent="0.3">
      <c r="A5087" s="4" t="s">
        <v>6870</v>
      </c>
      <c r="B5087" s="4" t="s">
        <v>6871</v>
      </c>
    </row>
    <row r="5088" spans="1:2" x14ac:dyDescent="0.3">
      <c r="A5088" s="4" t="s">
        <v>11221</v>
      </c>
      <c r="B5088" s="4" t="s">
        <v>11222</v>
      </c>
    </row>
    <row r="5089" spans="1:2" x14ac:dyDescent="0.3">
      <c r="A5089" s="4" t="s">
        <v>6872</v>
      </c>
      <c r="B5089" s="4" t="s">
        <v>6873</v>
      </c>
    </row>
    <row r="5090" spans="1:2" x14ac:dyDescent="0.3">
      <c r="A5090" s="4" t="s">
        <v>7416</v>
      </c>
      <c r="B5090" s="4" t="s">
        <v>11223</v>
      </c>
    </row>
    <row r="5091" spans="1:2" x14ac:dyDescent="0.3">
      <c r="A5091" s="4" t="s">
        <v>6874</v>
      </c>
      <c r="B5091" s="4" t="s">
        <v>6875</v>
      </c>
    </row>
    <row r="5092" spans="1:2" x14ac:dyDescent="0.3">
      <c r="A5092" s="4" t="s">
        <v>11224</v>
      </c>
      <c r="B5092" s="4" t="s">
        <v>8980</v>
      </c>
    </row>
    <row r="5093" spans="1:2" x14ac:dyDescent="0.3">
      <c r="A5093" s="4" t="s">
        <v>6876</v>
      </c>
      <c r="B5093" s="4" t="s">
        <v>6877</v>
      </c>
    </row>
    <row r="5094" spans="1:2" x14ac:dyDescent="0.3">
      <c r="A5094" s="4" t="s">
        <v>11225</v>
      </c>
      <c r="B5094" s="4" t="s">
        <v>11226</v>
      </c>
    </row>
    <row r="5095" spans="1:2" x14ac:dyDescent="0.3">
      <c r="A5095" s="4" t="s">
        <v>6878</v>
      </c>
      <c r="B5095" s="4" t="s">
        <v>6879</v>
      </c>
    </row>
    <row r="5096" spans="1:2" x14ac:dyDescent="0.3">
      <c r="A5096" s="4" t="s">
        <v>6880</v>
      </c>
      <c r="B5096" s="4" t="s">
        <v>6881</v>
      </c>
    </row>
    <row r="5097" spans="1:2" x14ac:dyDescent="0.3">
      <c r="A5097" s="4" t="s">
        <v>6882</v>
      </c>
      <c r="B5097" s="4" t="s">
        <v>6883</v>
      </c>
    </row>
    <row r="5098" spans="1:2" x14ac:dyDescent="0.3">
      <c r="A5098" s="4" t="s">
        <v>11227</v>
      </c>
      <c r="B5098" s="4" t="s">
        <v>11228</v>
      </c>
    </row>
    <row r="5099" spans="1:2" x14ac:dyDescent="0.3">
      <c r="A5099" s="4" t="s">
        <v>12703</v>
      </c>
      <c r="B5099" s="4" t="s">
        <v>12704</v>
      </c>
    </row>
    <row r="5100" spans="1:2" x14ac:dyDescent="0.3">
      <c r="A5100" s="4" t="s">
        <v>11229</v>
      </c>
      <c r="B5100" s="4" t="s">
        <v>11230</v>
      </c>
    </row>
    <row r="5101" spans="1:2" x14ac:dyDescent="0.3">
      <c r="A5101" s="4" t="s">
        <v>11231</v>
      </c>
      <c r="B5101" s="4" t="s">
        <v>11232</v>
      </c>
    </row>
    <row r="5102" spans="1:2" x14ac:dyDescent="0.3">
      <c r="A5102" s="4" t="s">
        <v>11233</v>
      </c>
      <c r="B5102" s="4" t="s">
        <v>8982</v>
      </c>
    </row>
    <row r="5103" spans="1:2" x14ac:dyDescent="0.3">
      <c r="A5103" s="4" t="s">
        <v>6884</v>
      </c>
      <c r="B5103" s="4" t="s">
        <v>6885</v>
      </c>
    </row>
    <row r="5104" spans="1:2" x14ac:dyDescent="0.3">
      <c r="A5104" s="4" t="s">
        <v>6886</v>
      </c>
      <c r="B5104" s="4" t="s">
        <v>6887</v>
      </c>
    </row>
    <row r="5105" spans="1:2" x14ac:dyDescent="0.3">
      <c r="A5105" s="4" t="s">
        <v>5960</v>
      </c>
      <c r="B5105" s="4" t="s">
        <v>11234</v>
      </c>
    </row>
    <row r="5106" spans="1:2" x14ac:dyDescent="0.3">
      <c r="A5106" s="4" t="s">
        <v>11235</v>
      </c>
      <c r="B5106" s="4" t="s">
        <v>11236</v>
      </c>
    </row>
    <row r="5107" spans="1:2" x14ac:dyDescent="0.3">
      <c r="A5107" s="4" t="s">
        <v>11237</v>
      </c>
      <c r="B5107" s="4" t="s">
        <v>11238</v>
      </c>
    </row>
    <row r="5108" spans="1:2" x14ac:dyDescent="0.3">
      <c r="A5108" s="4" t="s">
        <v>11239</v>
      </c>
      <c r="B5108" s="4" t="s">
        <v>11240</v>
      </c>
    </row>
    <row r="5109" spans="1:2" x14ac:dyDescent="0.3">
      <c r="A5109" s="4" t="s">
        <v>12705</v>
      </c>
      <c r="B5109" s="4" t="s">
        <v>12706</v>
      </c>
    </row>
    <row r="5110" spans="1:2" x14ac:dyDescent="0.3">
      <c r="A5110" s="4" t="s">
        <v>10596</v>
      </c>
      <c r="B5110" s="4" t="s">
        <v>12707</v>
      </c>
    </row>
    <row r="5111" spans="1:2" x14ac:dyDescent="0.3">
      <c r="A5111" s="4" t="s">
        <v>6889</v>
      </c>
      <c r="B5111" s="4" t="s">
        <v>6890</v>
      </c>
    </row>
    <row r="5112" spans="1:2" x14ac:dyDescent="0.3">
      <c r="A5112" s="4" t="s">
        <v>11241</v>
      </c>
      <c r="B5112" s="4" t="s">
        <v>11242</v>
      </c>
    </row>
    <row r="5113" spans="1:2" x14ac:dyDescent="0.3">
      <c r="A5113" s="4" t="s">
        <v>11243</v>
      </c>
      <c r="B5113" s="4" t="s">
        <v>11244</v>
      </c>
    </row>
    <row r="5114" spans="1:2" x14ac:dyDescent="0.3">
      <c r="A5114" s="4" t="s">
        <v>6891</v>
      </c>
      <c r="B5114" s="4" t="s">
        <v>6892</v>
      </c>
    </row>
    <row r="5115" spans="1:2" x14ac:dyDescent="0.3">
      <c r="A5115" s="4" t="s">
        <v>6893</v>
      </c>
      <c r="B5115" s="4" t="s">
        <v>6894</v>
      </c>
    </row>
    <row r="5116" spans="1:2" x14ac:dyDescent="0.3">
      <c r="A5116" s="4" t="s">
        <v>6895</v>
      </c>
      <c r="B5116" s="4" t="s">
        <v>6896</v>
      </c>
    </row>
    <row r="5117" spans="1:2" x14ac:dyDescent="0.3">
      <c r="A5117" s="4" t="s">
        <v>6897</v>
      </c>
      <c r="B5117" s="4" t="s">
        <v>6898</v>
      </c>
    </row>
    <row r="5118" spans="1:2" x14ac:dyDescent="0.3">
      <c r="A5118" s="4" t="s">
        <v>6899</v>
      </c>
      <c r="B5118" s="4" t="s">
        <v>6900</v>
      </c>
    </row>
    <row r="5119" spans="1:2" x14ac:dyDescent="0.3">
      <c r="A5119" s="4" t="s">
        <v>12708</v>
      </c>
      <c r="B5119" s="4" t="s">
        <v>12327</v>
      </c>
    </row>
    <row r="5120" spans="1:2" x14ac:dyDescent="0.3">
      <c r="A5120" s="4" t="s">
        <v>6901</v>
      </c>
      <c r="B5120" s="4" t="s">
        <v>11245</v>
      </c>
    </row>
    <row r="5121" spans="1:2" x14ac:dyDescent="0.3">
      <c r="A5121" s="4" t="s">
        <v>11246</v>
      </c>
      <c r="B5121" s="4" t="s">
        <v>11247</v>
      </c>
    </row>
    <row r="5122" spans="1:2" x14ac:dyDescent="0.3">
      <c r="A5122" s="4" t="s">
        <v>11248</v>
      </c>
      <c r="B5122" s="4" t="s">
        <v>11249</v>
      </c>
    </row>
    <row r="5123" spans="1:2" x14ac:dyDescent="0.3">
      <c r="A5123" s="4" t="s">
        <v>11250</v>
      </c>
      <c r="B5123" s="4" t="s">
        <v>11251</v>
      </c>
    </row>
    <row r="5124" spans="1:2" x14ac:dyDescent="0.3">
      <c r="A5124" s="4" t="s">
        <v>6903</v>
      </c>
      <c r="B5124" s="4" t="s">
        <v>6904</v>
      </c>
    </row>
    <row r="5125" spans="1:2" x14ac:dyDescent="0.3">
      <c r="A5125" s="4" t="s">
        <v>11252</v>
      </c>
      <c r="B5125" s="4" t="s">
        <v>11253</v>
      </c>
    </row>
    <row r="5126" spans="1:2" x14ac:dyDescent="0.3">
      <c r="A5126" s="4" t="s">
        <v>11254</v>
      </c>
      <c r="B5126" s="4" t="s">
        <v>2968</v>
      </c>
    </row>
    <row r="5127" spans="1:2" x14ac:dyDescent="0.3">
      <c r="A5127" s="4" t="s">
        <v>6905</v>
      </c>
      <c r="B5127" s="4" t="s">
        <v>6906</v>
      </c>
    </row>
    <row r="5128" spans="1:2" x14ac:dyDescent="0.3">
      <c r="A5128" s="4" t="s">
        <v>11255</v>
      </c>
      <c r="B5128" s="4" t="s">
        <v>11256</v>
      </c>
    </row>
    <row r="5129" spans="1:2" x14ac:dyDescent="0.3">
      <c r="A5129" s="4" t="s">
        <v>6907</v>
      </c>
      <c r="B5129" s="4" t="s">
        <v>6908</v>
      </c>
    </row>
    <row r="5130" spans="1:2" x14ac:dyDescent="0.3">
      <c r="A5130" s="4" t="s">
        <v>6909</v>
      </c>
      <c r="B5130" s="4" t="s">
        <v>6910</v>
      </c>
    </row>
    <row r="5131" spans="1:2" x14ac:dyDescent="0.3">
      <c r="A5131" s="4" t="s">
        <v>6911</v>
      </c>
      <c r="B5131" s="4" t="s">
        <v>6912</v>
      </c>
    </row>
    <row r="5132" spans="1:2" x14ac:dyDescent="0.3">
      <c r="A5132" s="4" t="s">
        <v>6913</v>
      </c>
      <c r="B5132" s="4" t="s">
        <v>6914</v>
      </c>
    </row>
    <row r="5133" spans="1:2" x14ac:dyDescent="0.3">
      <c r="A5133" s="4" t="s">
        <v>11257</v>
      </c>
      <c r="B5133" s="4" t="s">
        <v>11258</v>
      </c>
    </row>
    <row r="5134" spans="1:2" x14ac:dyDescent="0.3">
      <c r="A5134" s="4" t="s">
        <v>12709</v>
      </c>
      <c r="B5134" s="4" t="s">
        <v>12710</v>
      </c>
    </row>
    <row r="5135" spans="1:2" x14ac:dyDescent="0.3">
      <c r="A5135" s="4" t="s">
        <v>6915</v>
      </c>
      <c r="B5135" s="4" t="s">
        <v>6916</v>
      </c>
    </row>
    <row r="5136" spans="1:2" x14ac:dyDescent="0.3">
      <c r="A5136" s="4" t="s">
        <v>6917</v>
      </c>
      <c r="B5136" s="4" t="s">
        <v>6918</v>
      </c>
    </row>
    <row r="5137" spans="1:2" x14ac:dyDescent="0.3">
      <c r="A5137" s="4" t="s">
        <v>11259</v>
      </c>
      <c r="B5137" s="4" t="s">
        <v>11260</v>
      </c>
    </row>
    <row r="5138" spans="1:2" x14ac:dyDescent="0.3">
      <c r="A5138" s="4" t="s">
        <v>6919</v>
      </c>
      <c r="B5138" s="4" t="s">
        <v>6920</v>
      </c>
    </row>
    <row r="5139" spans="1:2" x14ac:dyDescent="0.3">
      <c r="A5139" s="4" t="s">
        <v>6921</v>
      </c>
      <c r="B5139" s="4" t="s">
        <v>6922</v>
      </c>
    </row>
    <row r="5140" spans="1:2" x14ac:dyDescent="0.3">
      <c r="A5140" s="4" t="s">
        <v>6923</v>
      </c>
      <c r="B5140" s="4" t="s">
        <v>6924</v>
      </c>
    </row>
    <row r="5141" spans="1:2" x14ac:dyDescent="0.3">
      <c r="A5141" s="4" t="s">
        <v>11261</v>
      </c>
      <c r="B5141" s="4" t="s">
        <v>8990</v>
      </c>
    </row>
    <row r="5142" spans="1:2" x14ac:dyDescent="0.3">
      <c r="A5142" s="4" t="s">
        <v>6925</v>
      </c>
      <c r="B5142" s="4" t="s">
        <v>6926</v>
      </c>
    </row>
    <row r="5143" spans="1:2" x14ac:dyDescent="0.3">
      <c r="A5143" s="4" t="s">
        <v>11262</v>
      </c>
      <c r="B5143" s="4" t="s">
        <v>11263</v>
      </c>
    </row>
    <row r="5144" spans="1:2" x14ac:dyDescent="0.3">
      <c r="A5144" s="4" t="s">
        <v>11264</v>
      </c>
      <c r="B5144" s="4" t="s">
        <v>11265</v>
      </c>
    </row>
    <row r="5145" spans="1:2" x14ac:dyDescent="0.3">
      <c r="A5145" s="4" t="s">
        <v>6927</v>
      </c>
      <c r="B5145" s="4" t="s">
        <v>6928</v>
      </c>
    </row>
    <row r="5146" spans="1:2" x14ac:dyDescent="0.3">
      <c r="A5146" s="4" t="s">
        <v>6929</v>
      </c>
      <c r="B5146" s="4" t="s">
        <v>6930</v>
      </c>
    </row>
    <row r="5147" spans="1:2" x14ac:dyDescent="0.3">
      <c r="A5147" s="4" t="s">
        <v>11266</v>
      </c>
      <c r="B5147" s="4" t="s">
        <v>11267</v>
      </c>
    </row>
    <row r="5148" spans="1:2" x14ac:dyDescent="0.3">
      <c r="A5148" s="4" t="s">
        <v>11268</v>
      </c>
      <c r="B5148" s="4" t="s">
        <v>11269</v>
      </c>
    </row>
    <row r="5149" spans="1:2" x14ac:dyDescent="0.3">
      <c r="A5149" s="4" t="s">
        <v>6931</v>
      </c>
      <c r="B5149" s="4" t="s">
        <v>6932</v>
      </c>
    </row>
    <row r="5150" spans="1:2" x14ac:dyDescent="0.3">
      <c r="A5150" s="4" t="s">
        <v>6933</v>
      </c>
      <c r="B5150" s="4" t="s">
        <v>6934</v>
      </c>
    </row>
    <row r="5151" spans="1:2" x14ac:dyDescent="0.3">
      <c r="A5151" s="4" t="s">
        <v>6935</v>
      </c>
      <c r="B5151" s="4" t="s">
        <v>6936</v>
      </c>
    </row>
    <row r="5152" spans="1:2" x14ac:dyDescent="0.3">
      <c r="A5152" s="4" t="s">
        <v>6937</v>
      </c>
      <c r="B5152" s="4" t="s">
        <v>6938</v>
      </c>
    </row>
    <row r="5153" spans="1:2" x14ac:dyDescent="0.3">
      <c r="A5153" s="4" t="s">
        <v>11270</v>
      </c>
      <c r="B5153" s="4" t="s">
        <v>11271</v>
      </c>
    </row>
    <row r="5154" spans="1:2" x14ac:dyDescent="0.3">
      <c r="A5154" s="4" t="s">
        <v>6939</v>
      </c>
      <c r="B5154" s="4" t="s">
        <v>6940</v>
      </c>
    </row>
    <row r="5155" spans="1:2" x14ac:dyDescent="0.3">
      <c r="A5155" s="4" t="s">
        <v>5754</v>
      </c>
      <c r="B5155" s="4" t="s">
        <v>11272</v>
      </c>
    </row>
    <row r="5156" spans="1:2" x14ac:dyDescent="0.3">
      <c r="A5156" s="4" t="s">
        <v>11273</v>
      </c>
      <c r="B5156" s="4" t="s">
        <v>11274</v>
      </c>
    </row>
    <row r="5157" spans="1:2" x14ac:dyDescent="0.3">
      <c r="A5157" s="4" t="s">
        <v>11275</v>
      </c>
      <c r="B5157" s="4" t="s">
        <v>11276</v>
      </c>
    </row>
    <row r="5158" spans="1:2" x14ac:dyDescent="0.3">
      <c r="A5158" s="4" t="s">
        <v>6941</v>
      </c>
      <c r="B5158" s="4" t="s">
        <v>6942</v>
      </c>
    </row>
    <row r="5159" spans="1:2" x14ac:dyDescent="0.3">
      <c r="A5159" s="4" t="s">
        <v>11277</v>
      </c>
      <c r="B5159" s="4" t="s">
        <v>11278</v>
      </c>
    </row>
    <row r="5160" spans="1:2" x14ac:dyDescent="0.3">
      <c r="A5160" s="4" t="s">
        <v>6943</v>
      </c>
      <c r="B5160" s="4" t="s">
        <v>6944</v>
      </c>
    </row>
    <row r="5161" spans="1:2" x14ac:dyDescent="0.3">
      <c r="A5161" s="4" t="s">
        <v>6945</v>
      </c>
      <c r="B5161" s="4" t="s">
        <v>6946</v>
      </c>
    </row>
    <row r="5162" spans="1:2" x14ac:dyDescent="0.3">
      <c r="A5162" s="4" t="s">
        <v>6947</v>
      </c>
      <c r="B5162" s="4" t="s">
        <v>6948</v>
      </c>
    </row>
    <row r="5163" spans="1:2" x14ac:dyDescent="0.3">
      <c r="A5163" s="4" t="s">
        <v>11279</v>
      </c>
      <c r="B5163" s="4" t="s">
        <v>11280</v>
      </c>
    </row>
    <row r="5164" spans="1:2" x14ac:dyDescent="0.3">
      <c r="A5164" s="4" t="s">
        <v>11281</v>
      </c>
      <c r="B5164" s="4" t="s">
        <v>11282</v>
      </c>
    </row>
    <row r="5165" spans="1:2" x14ac:dyDescent="0.3">
      <c r="A5165" s="4" t="s">
        <v>11283</v>
      </c>
      <c r="B5165" s="4" t="s">
        <v>11284</v>
      </c>
    </row>
    <row r="5166" spans="1:2" x14ac:dyDescent="0.3">
      <c r="A5166" s="4" t="s">
        <v>6386</v>
      </c>
      <c r="B5166" s="4" t="s">
        <v>11285</v>
      </c>
    </row>
    <row r="5167" spans="1:2" x14ac:dyDescent="0.3">
      <c r="A5167" s="4" t="s">
        <v>6949</v>
      </c>
      <c r="B5167" s="4" t="s">
        <v>6950</v>
      </c>
    </row>
    <row r="5168" spans="1:2" x14ac:dyDescent="0.3">
      <c r="A5168" s="4" t="s">
        <v>6951</v>
      </c>
      <c r="B5168" s="4" t="s">
        <v>6952</v>
      </c>
    </row>
    <row r="5169" spans="1:2" x14ac:dyDescent="0.3">
      <c r="A5169" s="4" t="s">
        <v>11286</v>
      </c>
      <c r="B5169" s="4" t="s">
        <v>11287</v>
      </c>
    </row>
    <row r="5170" spans="1:2" x14ac:dyDescent="0.3">
      <c r="A5170" s="4" t="s">
        <v>12711</v>
      </c>
      <c r="B5170" s="4" t="s">
        <v>12712</v>
      </c>
    </row>
    <row r="5171" spans="1:2" x14ac:dyDescent="0.3">
      <c r="A5171" s="4" t="s">
        <v>11288</v>
      </c>
      <c r="B5171" s="4" t="s">
        <v>8997</v>
      </c>
    </row>
    <row r="5172" spans="1:2" x14ac:dyDescent="0.3">
      <c r="A5172" s="4" t="s">
        <v>6953</v>
      </c>
      <c r="B5172" s="4" t="s">
        <v>6954</v>
      </c>
    </row>
    <row r="5173" spans="1:2" x14ac:dyDescent="0.3">
      <c r="A5173" s="4" t="s">
        <v>6955</v>
      </c>
      <c r="B5173" s="4" t="s">
        <v>6956</v>
      </c>
    </row>
    <row r="5174" spans="1:2" x14ac:dyDescent="0.3">
      <c r="A5174" s="4" t="s">
        <v>6957</v>
      </c>
      <c r="B5174" s="4" t="s">
        <v>6958</v>
      </c>
    </row>
    <row r="5175" spans="1:2" x14ac:dyDescent="0.3">
      <c r="A5175" s="4" t="s">
        <v>6959</v>
      </c>
      <c r="B5175" s="4" t="s">
        <v>6960</v>
      </c>
    </row>
    <row r="5176" spans="1:2" x14ac:dyDescent="0.3">
      <c r="A5176" s="4" t="s">
        <v>11289</v>
      </c>
      <c r="B5176" s="4" t="s">
        <v>11290</v>
      </c>
    </row>
    <row r="5177" spans="1:2" x14ac:dyDescent="0.3">
      <c r="A5177" s="4" t="s">
        <v>6961</v>
      </c>
      <c r="B5177" s="4" t="s">
        <v>6962</v>
      </c>
    </row>
    <row r="5178" spans="1:2" x14ac:dyDescent="0.3">
      <c r="A5178" s="4" t="s">
        <v>6963</v>
      </c>
      <c r="B5178" s="4" t="s">
        <v>6964</v>
      </c>
    </row>
    <row r="5179" spans="1:2" x14ac:dyDescent="0.3">
      <c r="A5179" s="4" t="s">
        <v>11291</v>
      </c>
      <c r="B5179" s="4" t="s">
        <v>11292</v>
      </c>
    </row>
    <row r="5180" spans="1:2" x14ac:dyDescent="0.3">
      <c r="A5180" s="4" t="s">
        <v>11293</v>
      </c>
      <c r="B5180" s="4" t="s">
        <v>3047</v>
      </c>
    </row>
    <row r="5181" spans="1:2" x14ac:dyDescent="0.3">
      <c r="A5181" s="4" t="s">
        <v>6966</v>
      </c>
      <c r="B5181" s="4" t="s">
        <v>6967</v>
      </c>
    </row>
    <row r="5182" spans="1:2" x14ac:dyDescent="0.3">
      <c r="A5182" s="4" t="s">
        <v>11294</v>
      </c>
      <c r="B5182" s="4" t="s">
        <v>11295</v>
      </c>
    </row>
    <row r="5183" spans="1:2" x14ac:dyDescent="0.3">
      <c r="A5183" s="4" t="s">
        <v>11296</v>
      </c>
      <c r="B5183" s="4" t="s">
        <v>11297</v>
      </c>
    </row>
    <row r="5184" spans="1:2" x14ac:dyDescent="0.3">
      <c r="A5184" s="4" t="s">
        <v>11298</v>
      </c>
      <c r="B5184" s="4" t="s">
        <v>11299</v>
      </c>
    </row>
    <row r="5185" spans="1:2" x14ac:dyDescent="0.3">
      <c r="A5185" s="4" t="s">
        <v>6968</v>
      </c>
      <c r="B5185" s="4" t="s">
        <v>6969</v>
      </c>
    </row>
    <row r="5186" spans="1:2" x14ac:dyDescent="0.3">
      <c r="A5186" s="4" t="s">
        <v>11300</v>
      </c>
      <c r="B5186" s="4" t="s">
        <v>11301</v>
      </c>
    </row>
    <row r="5187" spans="1:2" x14ac:dyDescent="0.3">
      <c r="A5187" s="4" t="s">
        <v>11302</v>
      </c>
      <c r="B5187" s="4" t="s">
        <v>11303</v>
      </c>
    </row>
    <row r="5188" spans="1:2" x14ac:dyDescent="0.3">
      <c r="A5188" s="4" t="s">
        <v>6970</v>
      </c>
      <c r="B5188" s="4" t="s">
        <v>6971</v>
      </c>
    </row>
    <row r="5189" spans="1:2" x14ac:dyDescent="0.3">
      <c r="A5189" s="4" t="s">
        <v>11304</v>
      </c>
      <c r="B5189" s="4" t="s">
        <v>11305</v>
      </c>
    </row>
    <row r="5190" spans="1:2" x14ac:dyDescent="0.3">
      <c r="A5190" s="4" t="s">
        <v>9464</v>
      </c>
      <c r="B5190" s="4" t="s">
        <v>12713</v>
      </c>
    </row>
    <row r="5191" spans="1:2" x14ac:dyDescent="0.3">
      <c r="A5191" s="4" t="s">
        <v>11306</v>
      </c>
      <c r="B5191" s="4" t="s">
        <v>11307</v>
      </c>
    </row>
    <row r="5192" spans="1:2" x14ac:dyDescent="0.3">
      <c r="A5192" s="4" t="s">
        <v>6972</v>
      </c>
      <c r="B5192" s="4" t="s">
        <v>6973</v>
      </c>
    </row>
    <row r="5193" spans="1:2" x14ac:dyDescent="0.3">
      <c r="A5193" s="4" t="s">
        <v>11308</v>
      </c>
      <c r="B5193" s="4" t="s">
        <v>11309</v>
      </c>
    </row>
    <row r="5194" spans="1:2" x14ac:dyDescent="0.3">
      <c r="A5194" s="4" t="s">
        <v>11310</v>
      </c>
      <c r="B5194" s="4" t="s">
        <v>11311</v>
      </c>
    </row>
    <row r="5195" spans="1:2" x14ac:dyDescent="0.3">
      <c r="A5195" s="4" t="s">
        <v>11312</v>
      </c>
      <c r="B5195" s="4" t="s">
        <v>11313</v>
      </c>
    </row>
    <row r="5196" spans="1:2" x14ac:dyDescent="0.3">
      <c r="A5196" s="4" t="s">
        <v>11314</v>
      </c>
      <c r="B5196" s="4" t="s">
        <v>9001</v>
      </c>
    </row>
    <row r="5197" spans="1:2" x14ac:dyDescent="0.3">
      <c r="A5197" s="4" t="s">
        <v>11315</v>
      </c>
      <c r="B5197" s="4" t="s">
        <v>11316</v>
      </c>
    </row>
    <row r="5198" spans="1:2" x14ac:dyDescent="0.3">
      <c r="A5198" s="4" t="s">
        <v>6974</v>
      </c>
      <c r="B5198" s="4" t="s">
        <v>6975</v>
      </c>
    </row>
    <row r="5199" spans="1:2" x14ac:dyDescent="0.3">
      <c r="A5199" s="4" t="s">
        <v>11317</v>
      </c>
      <c r="B5199" s="4" t="s">
        <v>9003</v>
      </c>
    </row>
    <row r="5200" spans="1:2" x14ac:dyDescent="0.3">
      <c r="A5200" s="4" t="s">
        <v>6976</v>
      </c>
      <c r="B5200" s="4" t="s">
        <v>6977</v>
      </c>
    </row>
    <row r="5201" spans="1:2" x14ac:dyDescent="0.3">
      <c r="A5201" s="4" t="s">
        <v>11318</v>
      </c>
      <c r="B5201" s="4" t="s">
        <v>11319</v>
      </c>
    </row>
    <row r="5202" spans="1:2" x14ac:dyDescent="0.3">
      <c r="A5202" s="4" t="s">
        <v>6978</v>
      </c>
      <c r="B5202" s="4" t="s">
        <v>6979</v>
      </c>
    </row>
    <row r="5203" spans="1:2" x14ac:dyDescent="0.3">
      <c r="A5203" s="4" t="s">
        <v>6980</v>
      </c>
      <c r="B5203" s="4" t="s">
        <v>6981</v>
      </c>
    </row>
    <row r="5204" spans="1:2" x14ac:dyDescent="0.3">
      <c r="A5204" s="4" t="s">
        <v>6982</v>
      </c>
      <c r="B5204" s="4" t="s">
        <v>6983</v>
      </c>
    </row>
    <row r="5205" spans="1:2" x14ac:dyDescent="0.3">
      <c r="A5205" s="4" t="s">
        <v>6984</v>
      </c>
      <c r="B5205" s="4" t="s">
        <v>6985</v>
      </c>
    </row>
    <row r="5206" spans="1:2" x14ac:dyDescent="0.3">
      <c r="A5206" s="4" t="s">
        <v>6986</v>
      </c>
      <c r="B5206" s="4" t="s">
        <v>6987</v>
      </c>
    </row>
    <row r="5207" spans="1:2" x14ac:dyDescent="0.3">
      <c r="A5207" s="4" t="s">
        <v>6988</v>
      </c>
      <c r="B5207" s="4" t="s">
        <v>6989</v>
      </c>
    </row>
    <row r="5208" spans="1:2" x14ac:dyDescent="0.3">
      <c r="A5208" s="4" t="s">
        <v>6990</v>
      </c>
      <c r="B5208" s="4" t="s">
        <v>6991</v>
      </c>
    </row>
    <row r="5209" spans="1:2" x14ac:dyDescent="0.3">
      <c r="A5209" s="4" t="s">
        <v>6992</v>
      </c>
      <c r="B5209" s="4" t="s">
        <v>6993</v>
      </c>
    </row>
    <row r="5210" spans="1:2" x14ac:dyDescent="0.3">
      <c r="A5210" s="4" t="s">
        <v>6994</v>
      </c>
      <c r="B5210" s="4" t="s">
        <v>6995</v>
      </c>
    </row>
    <row r="5211" spans="1:2" x14ac:dyDescent="0.3">
      <c r="A5211" s="4" t="s">
        <v>11320</v>
      </c>
      <c r="B5211" s="4" t="s">
        <v>11321</v>
      </c>
    </row>
    <row r="5212" spans="1:2" x14ac:dyDescent="0.3">
      <c r="A5212" s="4" t="s">
        <v>6997</v>
      </c>
      <c r="B5212" s="4" t="s">
        <v>6998</v>
      </c>
    </row>
    <row r="5213" spans="1:2" x14ac:dyDescent="0.3">
      <c r="A5213" s="4" t="s">
        <v>6999</v>
      </c>
      <c r="B5213" s="4" t="s">
        <v>7000</v>
      </c>
    </row>
    <row r="5214" spans="1:2" x14ac:dyDescent="0.3">
      <c r="A5214" s="4" t="s">
        <v>7001</v>
      </c>
      <c r="B5214" s="4" t="s">
        <v>7002</v>
      </c>
    </row>
    <row r="5215" spans="1:2" x14ac:dyDescent="0.3">
      <c r="A5215" s="4" t="s">
        <v>11322</v>
      </c>
      <c r="B5215" s="4" t="s">
        <v>11323</v>
      </c>
    </row>
    <row r="5216" spans="1:2" x14ac:dyDescent="0.3">
      <c r="A5216" s="4" t="s">
        <v>7003</v>
      </c>
      <c r="B5216" s="4" t="s">
        <v>7004</v>
      </c>
    </row>
    <row r="5217" spans="1:2" x14ac:dyDescent="0.3">
      <c r="A5217" s="4" t="s">
        <v>11324</v>
      </c>
      <c r="B5217" s="4" t="s">
        <v>11325</v>
      </c>
    </row>
    <row r="5218" spans="1:2" x14ac:dyDescent="0.3">
      <c r="A5218" s="4" t="s">
        <v>7006</v>
      </c>
      <c r="B5218" s="4" t="s">
        <v>7007</v>
      </c>
    </row>
    <row r="5219" spans="1:2" x14ac:dyDescent="0.3">
      <c r="A5219" s="4" t="s">
        <v>7359</v>
      </c>
      <c r="B5219" s="4" t="s">
        <v>12714</v>
      </c>
    </row>
    <row r="5220" spans="1:2" x14ac:dyDescent="0.3">
      <c r="A5220" s="4" t="s">
        <v>7356</v>
      </c>
      <c r="B5220" s="4" t="s">
        <v>11326</v>
      </c>
    </row>
    <row r="5221" spans="1:2" x14ac:dyDescent="0.3">
      <c r="A5221" s="4" t="s">
        <v>11327</v>
      </c>
      <c r="B5221" s="4" t="s">
        <v>11328</v>
      </c>
    </row>
    <row r="5222" spans="1:2" x14ac:dyDescent="0.3">
      <c r="A5222" s="4" t="s">
        <v>11329</v>
      </c>
      <c r="B5222" s="4" t="s">
        <v>11330</v>
      </c>
    </row>
    <row r="5223" spans="1:2" x14ac:dyDescent="0.3">
      <c r="A5223" s="4" t="s">
        <v>11331</v>
      </c>
      <c r="B5223" s="4" t="s">
        <v>11332</v>
      </c>
    </row>
    <row r="5224" spans="1:2" x14ac:dyDescent="0.3">
      <c r="A5224" s="4" t="s">
        <v>12715</v>
      </c>
      <c r="B5224" s="4" t="s">
        <v>12716</v>
      </c>
    </row>
    <row r="5225" spans="1:2" x14ac:dyDescent="0.3">
      <c r="A5225" s="4" t="s">
        <v>11333</v>
      </c>
      <c r="B5225" s="4" t="s">
        <v>11334</v>
      </c>
    </row>
    <row r="5226" spans="1:2" x14ac:dyDescent="0.3">
      <c r="A5226" s="4" t="s">
        <v>11335</v>
      </c>
      <c r="B5226" s="4" t="s">
        <v>9005</v>
      </c>
    </row>
    <row r="5227" spans="1:2" x14ac:dyDescent="0.3">
      <c r="A5227" s="4" t="s">
        <v>11336</v>
      </c>
      <c r="B5227" s="4" t="s">
        <v>11337</v>
      </c>
    </row>
    <row r="5228" spans="1:2" x14ac:dyDescent="0.3">
      <c r="A5228" s="4" t="s">
        <v>11338</v>
      </c>
      <c r="B5228" s="4" t="s">
        <v>11339</v>
      </c>
    </row>
    <row r="5229" spans="1:2" x14ac:dyDescent="0.3">
      <c r="A5229" s="4" t="s">
        <v>11340</v>
      </c>
      <c r="B5229" s="4" t="s">
        <v>11341</v>
      </c>
    </row>
    <row r="5230" spans="1:2" x14ac:dyDescent="0.3">
      <c r="A5230" s="4" t="s">
        <v>7008</v>
      </c>
      <c r="B5230" s="4" t="s">
        <v>7009</v>
      </c>
    </row>
    <row r="5231" spans="1:2" x14ac:dyDescent="0.3">
      <c r="A5231" s="4" t="s">
        <v>11342</v>
      </c>
      <c r="B5231" s="4" t="s">
        <v>11343</v>
      </c>
    </row>
    <row r="5232" spans="1:2" x14ac:dyDescent="0.3">
      <c r="A5232" s="4" t="s">
        <v>7010</v>
      </c>
      <c r="B5232" s="4" t="s">
        <v>7011</v>
      </c>
    </row>
    <row r="5233" spans="1:2" x14ac:dyDescent="0.3">
      <c r="A5233" s="4" t="s">
        <v>12717</v>
      </c>
      <c r="B5233" s="4" t="s">
        <v>12718</v>
      </c>
    </row>
    <row r="5234" spans="1:2" x14ac:dyDescent="0.3">
      <c r="A5234" s="4" t="s">
        <v>12719</v>
      </c>
      <c r="B5234" s="4" t="s">
        <v>12720</v>
      </c>
    </row>
    <row r="5235" spans="1:2" x14ac:dyDescent="0.3">
      <c r="A5235" s="4" t="s">
        <v>11344</v>
      </c>
      <c r="B5235" s="4" t="s">
        <v>9007</v>
      </c>
    </row>
    <row r="5236" spans="1:2" x14ac:dyDescent="0.3">
      <c r="A5236" s="4" t="s">
        <v>11345</v>
      </c>
      <c r="B5236" s="4" t="s">
        <v>11346</v>
      </c>
    </row>
    <row r="5237" spans="1:2" x14ac:dyDescent="0.3">
      <c r="A5237" s="4" t="s">
        <v>11347</v>
      </c>
      <c r="B5237" s="4" t="s">
        <v>11348</v>
      </c>
    </row>
    <row r="5238" spans="1:2" x14ac:dyDescent="0.3">
      <c r="A5238" s="4" t="s">
        <v>7012</v>
      </c>
      <c r="B5238" s="4" t="s">
        <v>7013</v>
      </c>
    </row>
    <row r="5239" spans="1:2" x14ac:dyDescent="0.3">
      <c r="A5239" s="4" t="s">
        <v>11349</v>
      </c>
      <c r="B5239" s="4" t="s">
        <v>11350</v>
      </c>
    </row>
    <row r="5240" spans="1:2" x14ac:dyDescent="0.3">
      <c r="A5240" s="4" t="s">
        <v>12721</v>
      </c>
      <c r="B5240" s="4" t="s">
        <v>12722</v>
      </c>
    </row>
    <row r="5241" spans="1:2" x14ac:dyDescent="0.3">
      <c r="A5241" s="4" t="s">
        <v>11351</v>
      </c>
      <c r="B5241" s="4" t="s">
        <v>11352</v>
      </c>
    </row>
    <row r="5242" spans="1:2" x14ac:dyDescent="0.3">
      <c r="A5242" s="4" t="s">
        <v>11353</v>
      </c>
      <c r="B5242" s="4" t="s">
        <v>11354</v>
      </c>
    </row>
    <row r="5243" spans="1:2" x14ac:dyDescent="0.3">
      <c r="A5243" s="4" t="s">
        <v>7014</v>
      </c>
      <c r="B5243" s="4" t="s">
        <v>7015</v>
      </c>
    </row>
    <row r="5244" spans="1:2" x14ac:dyDescent="0.3">
      <c r="A5244" s="4" t="s">
        <v>7016</v>
      </c>
      <c r="B5244" s="4" t="s">
        <v>7017</v>
      </c>
    </row>
    <row r="5245" spans="1:2" x14ac:dyDescent="0.3">
      <c r="A5245" s="4" t="s">
        <v>12723</v>
      </c>
      <c r="B5245" s="4" t="s">
        <v>12724</v>
      </c>
    </row>
    <row r="5246" spans="1:2" x14ac:dyDescent="0.3">
      <c r="A5246" s="4" t="s">
        <v>7018</v>
      </c>
      <c r="B5246" s="4" t="s">
        <v>7019</v>
      </c>
    </row>
    <row r="5247" spans="1:2" x14ac:dyDescent="0.3">
      <c r="A5247" s="4" t="s">
        <v>7020</v>
      </c>
      <c r="B5247" s="4" t="s">
        <v>7021</v>
      </c>
    </row>
    <row r="5248" spans="1:2" x14ac:dyDescent="0.3">
      <c r="A5248" s="4" t="s">
        <v>11355</v>
      </c>
      <c r="B5248" s="4" t="s">
        <v>9009</v>
      </c>
    </row>
    <row r="5249" spans="1:2" x14ac:dyDescent="0.3">
      <c r="A5249" s="4" t="s">
        <v>7022</v>
      </c>
      <c r="B5249" s="4" t="s">
        <v>7023</v>
      </c>
    </row>
    <row r="5250" spans="1:2" x14ac:dyDescent="0.3">
      <c r="A5250" s="4" t="s">
        <v>7024</v>
      </c>
      <c r="B5250" s="4" t="s">
        <v>7025</v>
      </c>
    </row>
    <row r="5251" spans="1:2" x14ac:dyDescent="0.3">
      <c r="A5251" s="4" t="s">
        <v>7026</v>
      </c>
      <c r="B5251" s="4" t="s">
        <v>7027</v>
      </c>
    </row>
    <row r="5252" spans="1:2" x14ac:dyDescent="0.3">
      <c r="A5252" s="4" t="s">
        <v>11356</v>
      </c>
      <c r="B5252" s="4" t="s">
        <v>12725</v>
      </c>
    </row>
    <row r="5253" spans="1:2" x14ac:dyDescent="0.3">
      <c r="A5253" s="4" t="s">
        <v>7028</v>
      </c>
      <c r="B5253" s="4" t="s">
        <v>7029</v>
      </c>
    </row>
    <row r="5254" spans="1:2" x14ac:dyDescent="0.3">
      <c r="A5254" s="4" t="s">
        <v>11357</v>
      </c>
      <c r="B5254" s="4" t="s">
        <v>11358</v>
      </c>
    </row>
    <row r="5255" spans="1:2" x14ac:dyDescent="0.3">
      <c r="A5255" s="4" t="s">
        <v>11359</v>
      </c>
      <c r="B5255" s="4" t="s">
        <v>11360</v>
      </c>
    </row>
    <row r="5256" spans="1:2" x14ac:dyDescent="0.3">
      <c r="A5256" s="4" t="s">
        <v>7030</v>
      </c>
      <c r="B5256" s="4" t="s">
        <v>7031</v>
      </c>
    </row>
    <row r="5257" spans="1:2" x14ac:dyDescent="0.3">
      <c r="A5257" s="4" t="s">
        <v>12726</v>
      </c>
      <c r="B5257" s="4" t="s">
        <v>12727</v>
      </c>
    </row>
    <row r="5258" spans="1:2" x14ac:dyDescent="0.3">
      <c r="A5258" s="4" t="s">
        <v>7032</v>
      </c>
      <c r="B5258" s="4" t="s">
        <v>7033</v>
      </c>
    </row>
    <row r="5259" spans="1:2" x14ac:dyDescent="0.3">
      <c r="A5259" s="4" t="s">
        <v>7035</v>
      </c>
      <c r="B5259" s="4" t="s">
        <v>7036</v>
      </c>
    </row>
    <row r="5260" spans="1:2" x14ac:dyDescent="0.3">
      <c r="A5260" s="4" t="s">
        <v>11361</v>
      </c>
      <c r="B5260" s="4" t="s">
        <v>9011</v>
      </c>
    </row>
    <row r="5261" spans="1:2" x14ac:dyDescent="0.3">
      <c r="A5261" s="4" t="s">
        <v>11362</v>
      </c>
      <c r="B5261" s="4" t="s">
        <v>11363</v>
      </c>
    </row>
    <row r="5262" spans="1:2" x14ac:dyDescent="0.3">
      <c r="A5262" s="4" t="s">
        <v>7037</v>
      </c>
      <c r="B5262" s="4" t="s">
        <v>7038</v>
      </c>
    </row>
    <row r="5263" spans="1:2" x14ac:dyDescent="0.3">
      <c r="A5263" s="4" t="s">
        <v>12728</v>
      </c>
      <c r="B5263" s="4" t="s">
        <v>9012</v>
      </c>
    </row>
    <row r="5264" spans="1:2" x14ac:dyDescent="0.3">
      <c r="A5264" s="4" t="s">
        <v>7039</v>
      </c>
      <c r="B5264" s="4" t="s">
        <v>7040</v>
      </c>
    </row>
    <row r="5265" spans="1:2" x14ac:dyDescent="0.3">
      <c r="A5265" s="4" t="s">
        <v>7041</v>
      </c>
      <c r="B5265" s="4" t="s">
        <v>7042</v>
      </c>
    </row>
    <row r="5266" spans="1:2" x14ac:dyDescent="0.3">
      <c r="A5266" s="4" t="s">
        <v>7043</v>
      </c>
      <c r="B5266" s="4" t="s">
        <v>7044</v>
      </c>
    </row>
    <row r="5267" spans="1:2" x14ac:dyDescent="0.3">
      <c r="A5267" s="4" t="s">
        <v>7045</v>
      </c>
      <c r="B5267" s="4" t="s">
        <v>7046</v>
      </c>
    </row>
    <row r="5268" spans="1:2" x14ac:dyDescent="0.3">
      <c r="A5268" s="4" t="s">
        <v>7047</v>
      </c>
      <c r="B5268" s="4" t="s">
        <v>7048</v>
      </c>
    </row>
    <row r="5269" spans="1:2" x14ac:dyDescent="0.3">
      <c r="A5269" s="4" t="s">
        <v>11364</v>
      </c>
      <c r="B5269" s="4" t="s">
        <v>11365</v>
      </c>
    </row>
    <row r="5270" spans="1:2" x14ac:dyDescent="0.3">
      <c r="A5270" s="4" t="s">
        <v>7049</v>
      </c>
      <c r="B5270" s="4" t="s">
        <v>7050</v>
      </c>
    </row>
    <row r="5271" spans="1:2" x14ac:dyDescent="0.3">
      <c r="A5271" s="4" t="s">
        <v>7051</v>
      </c>
      <c r="B5271" s="4" t="s">
        <v>7052</v>
      </c>
    </row>
    <row r="5272" spans="1:2" x14ac:dyDescent="0.3">
      <c r="A5272" s="4" t="s">
        <v>7053</v>
      </c>
      <c r="B5272" s="4" t="s">
        <v>7054</v>
      </c>
    </row>
    <row r="5273" spans="1:2" x14ac:dyDescent="0.3">
      <c r="A5273" s="4" t="s">
        <v>7055</v>
      </c>
      <c r="B5273" s="4" t="s">
        <v>7056</v>
      </c>
    </row>
    <row r="5274" spans="1:2" x14ac:dyDescent="0.3">
      <c r="A5274" s="4" t="s">
        <v>11366</v>
      </c>
      <c r="B5274" s="4" t="s">
        <v>11367</v>
      </c>
    </row>
    <row r="5275" spans="1:2" x14ac:dyDescent="0.3">
      <c r="A5275" s="4" t="s">
        <v>7057</v>
      </c>
      <c r="B5275" s="4" t="s">
        <v>7058</v>
      </c>
    </row>
    <row r="5276" spans="1:2" x14ac:dyDescent="0.3">
      <c r="A5276" s="4" t="s">
        <v>7060</v>
      </c>
      <c r="B5276" s="4" t="s">
        <v>7061</v>
      </c>
    </row>
    <row r="5277" spans="1:2" x14ac:dyDescent="0.3">
      <c r="A5277" s="4" t="s">
        <v>11368</v>
      </c>
      <c r="B5277" s="4" t="s">
        <v>9014</v>
      </c>
    </row>
    <row r="5278" spans="1:2" x14ac:dyDescent="0.3">
      <c r="A5278" s="4" t="s">
        <v>12729</v>
      </c>
      <c r="B5278" s="4" t="s">
        <v>12730</v>
      </c>
    </row>
    <row r="5279" spans="1:2" x14ac:dyDescent="0.3">
      <c r="A5279" s="4" t="s">
        <v>7062</v>
      </c>
      <c r="B5279" s="4" t="s">
        <v>7063</v>
      </c>
    </row>
    <row r="5280" spans="1:2" x14ac:dyDescent="0.3">
      <c r="A5280" s="4" t="s">
        <v>7064</v>
      </c>
      <c r="B5280" s="4" t="s">
        <v>7065</v>
      </c>
    </row>
    <row r="5281" spans="1:2" x14ac:dyDescent="0.3">
      <c r="A5281" s="4" t="s">
        <v>7066</v>
      </c>
      <c r="B5281" s="4" t="s">
        <v>7067</v>
      </c>
    </row>
    <row r="5282" spans="1:2" x14ac:dyDescent="0.3">
      <c r="A5282" s="4" t="s">
        <v>7068</v>
      </c>
      <c r="B5282" s="4" t="s">
        <v>7069</v>
      </c>
    </row>
    <row r="5283" spans="1:2" x14ac:dyDescent="0.3">
      <c r="A5283" s="4" t="s">
        <v>11369</v>
      </c>
      <c r="B5283" s="4" t="s">
        <v>11370</v>
      </c>
    </row>
    <row r="5284" spans="1:2" x14ac:dyDescent="0.3">
      <c r="A5284" s="4" t="s">
        <v>7070</v>
      </c>
      <c r="B5284" s="4" t="s">
        <v>7071</v>
      </c>
    </row>
    <row r="5285" spans="1:2" x14ac:dyDescent="0.3">
      <c r="A5285" s="4" t="s">
        <v>7072</v>
      </c>
      <c r="B5285" s="4" t="s">
        <v>7073</v>
      </c>
    </row>
    <row r="5286" spans="1:2" x14ac:dyDescent="0.3">
      <c r="A5286" s="4" t="s">
        <v>7074</v>
      </c>
      <c r="B5286" s="4" t="s">
        <v>7075</v>
      </c>
    </row>
    <row r="5287" spans="1:2" x14ac:dyDescent="0.3">
      <c r="A5287" s="4" t="s">
        <v>4934</v>
      </c>
      <c r="B5287" s="4" t="s">
        <v>12731</v>
      </c>
    </row>
    <row r="5288" spans="1:2" x14ac:dyDescent="0.3">
      <c r="A5288" s="4" t="s">
        <v>7076</v>
      </c>
      <c r="B5288" s="4" t="s">
        <v>7077</v>
      </c>
    </row>
    <row r="5289" spans="1:2" x14ac:dyDescent="0.3">
      <c r="A5289" s="4" t="s">
        <v>11372</v>
      </c>
      <c r="B5289" s="4" t="s">
        <v>11373</v>
      </c>
    </row>
    <row r="5290" spans="1:2" x14ac:dyDescent="0.3">
      <c r="A5290" s="4" t="s">
        <v>11374</v>
      </c>
      <c r="B5290" s="4" t="s">
        <v>11375</v>
      </c>
    </row>
    <row r="5291" spans="1:2" x14ac:dyDescent="0.3">
      <c r="A5291" s="4" t="s">
        <v>7078</v>
      </c>
      <c r="B5291" s="4" t="s">
        <v>7079</v>
      </c>
    </row>
    <row r="5292" spans="1:2" x14ac:dyDescent="0.3">
      <c r="A5292" s="4" t="s">
        <v>7080</v>
      </c>
      <c r="B5292" s="4" t="s">
        <v>7081</v>
      </c>
    </row>
    <row r="5293" spans="1:2" x14ac:dyDescent="0.3">
      <c r="A5293" s="4" t="s">
        <v>7082</v>
      </c>
      <c r="B5293" s="4" t="s">
        <v>7083</v>
      </c>
    </row>
    <row r="5294" spans="1:2" x14ac:dyDescent="0.3">
      <c r="A5294" s="4" t="s">
        <v>7084</v>
      </c>
      <c r="B5294" s="4" t="s">
        <v>7085</v>
      </c>
    </row>
    <row r="5295" spans="1:2" x14ac:dyDescent="0.3">
      <c r="A5295" s="4" t="s">
        <v>11376</v>
      </c>
      <c r="B5295" s="4" t="s">
        <v>11377</v>
      </c>
    </row>
    <row r="5296" spans="1:2" x14ac:dyDescent="0.3">
      <c r="A5296" s="4" t="s">
        <v>7086</v>
      </c>
      <c r="B5296" s="4" t="s">
        <v>11378</v>
      </c>
    </row>
    <row r="5297" spans="1:2" x14ac:dyDescent="0.3">
      <c r="A5297" s="4" t="s">
        <v>7091</v>
      </c>
      <c r="B5297" s="4" t="s">
        <v>11379</v>
      </c>
    </row>
    <row r="5298" spans="1:2" x14ac:dyDescent="0.3">
      <c r="A5298" s="4" t="s">
        <v>11380</v>
      </c>
      <c r="B5298" s="4" t="s">
        <v>11381</v>
      </c>
    </row>
    <row r="5299" spans="1:2" x14ac:dyDescent="0.3">
      <c r="A5299" s="4" t="s">
        <v>11382</v>
      </c>
      <c r="B5299" s="4" t="s">
        <v>11383</v>
      </c>
    </row>
    <row r="5300" spans="1:2" x14ac:dyDescent="0.3">
      <c r="A5300" s="4" t="s">
        <v>7087</v>
      </c>
      <c r="B5300" s="4" t="s">
        <v>7088</v>
      </c>
    </row>
    <row r="5301" spans="1:2" x14ac:dyDescent="0.3">
      <c r="A5301" s="4" t="s">
        <v>7089</v>
      </c>
      <c r="B5301" s="4" t="s">
        <v>7090</v>
      </c>
    </row>
    <row r="5302" spans="1:2" x14ac:dyDescent="0.3">
      <c r="A5302" s="4" t="s">
        <v>8542</v>
      </c>
      <c r="B5302" s="4" t="s">
        <v>8543</v>
      </c>
    </row>
    <row r="5303" spans="1:2" x14ac:dyDescent="0.3">
      <c r="A5303" s="4" t="s">
        <v>11384</v>
      </c>
      <c r="B5303" s="4" t="s">
        <v>11385</v>
      </c>
    </row>
    <row r="5304" spans="1:2" x14ac:dyDescent="0.3">
      <c r="A5304" s="4" t="s">
        <v>7092</v>
      </c>
      <c r="B5304" s="4" t="s">
        <v>7093</v>
      </c>
    </row>
    <row r="5305" spans="1:2" x14ac:dyDescent="0.3">
      <c r="A5305" s="4" t="s">
        <v>7094</v>
      </c>
      <c r="B5305" s="4" t="s">
        <v>7095</v>
      </c>
    </row>
    <row r="5306" spans="1:2" x14ac:dyDescent="0.3">
      <c r="A5306" s="4" t="s">
        <v>7096</v>
      </c>
      <c r="B5306" s="4" t="s">
        <v>7097</v>
      </c>
    </row>
    <row r="5307" spans="1:2" x14ac:dyDescent="0.3">
      <c r="A5307" s="4" t="s">
        <v>7098</v>
      </c>
      <c r="B5307" s="4" t="s">
        <v>7099</v>
      </c>
    </row>
    <row r="5308" spans="1:2" x14ac:dyDescent="0.3">
      <c r="A5308" s="4" t="s">
        <v>7100</v>
      </c>
      <c r="B5308" s="4" t="s">
        <v>11386</v>
      </c>
    </row>
    <row r="5309" spans="1:2" x14ac:dyDescent="0.3">
      <c r="A5309" s="4" t="s">
        <v>7101</v>
      </c>
      <c r="B5309" s="4" t="s">
        <v>7102</v>
      </c>
    </row>
    <row r="5310" spans="1:2" x14ac:dyDescent="0.3">
      <c r="A5310" s="4" t="s">
        <v>7103</v>
      </c>
      <c r="B5310" s="4" t="s">
        <v>7104</v>
      </c>
    </row>
    <row r="5311" spans="1:2" x14ac:dyDescent="0.3">
      <c r="A5311" s="4" t="s">
        <v>7105</v>
      </c>
      <c r="B5311" s="4" t="s">
        <v>7106</v>
      </c>
    </row>
    <row r="5312" spans="1:2" x14ac:dyDescent="0.3">
      <c r="A5312" s="4" t="s">
        <v>7107</v>
      </c>
      <c r="B5312" s="4" t="s">
        <v>7108</v>
      </c>
    </row>
    <row r="5313" spans="1:2" x14ac:dyDescent="0.3">
      <c r="A5313" s="4" t="s">
        <v>7109</v>
      </c>
      <c r="B5313" s="4" t="s">
        <v>7110</v>
      </c>
    </row>
    <row r="5314" spans="1:2" x14ac:dyDescent="0.3">
      <c r="A5314" s="4" t="s">
        <v>11387</v>
      </c>
      <c r="B5314" s="4" t="s">
        <v>11388</v>
      </c>
    </row>
    <row r="5315" spans="1:2" x14ac:dyDescent="0.3">
      <c r="A5315" s="4" t="s">
        <v>11389</v>
      </c>
      <c r="B5315" s="4" t="s">
        <v>11390</v>
      </c>
    </row>
    <row r="5316" spans="1:2" x14ac:dyDescent="0.3">
      <c r="A5316" s="4" t="s">
        <v>7111</v>
      </c>
      <c r="B5316" s="4" t="s">
        <v>7112</v>
      </c>
    </row>
    <row r="5317" spans="1:2" x14ac:dyDescent="0.3">
      <c r="A5317" s="4" t="s">
        <v>11391</v>
      </c>
      <c r="B5317" s="4" t="s">
        <v>11392</v>
      </c>
    </row>
    <row r="5318" spans="1:2" x14ac:dyDescent="0.3">
      <c r="A5318" s="4" t="s">
        <v>11393</v>
      </c>
      <c r="B5318" s="4" t="s">
        <v>11394</v>
      </c>
    </row>
    <row r="5319" spans="1:2" x14ac:dyDescent="0.3">
      <c r="A5319" s="4" t="s">
        <v>4301</v>
      </c>
      <c r="B5319" s="4" t="s">
        <v>11395</v>
      </c>
    </row>
    <row r="5320" spans="1:2" x14ac:dyDescent="0.3">
      <c r="A5320" s="4" t="s">
        <v>11396</v>
      </c>
      <c r="B5320" s="4" t="s">
        <v>11397</v>
      </c>
    </row>
    <row r="5321" spans="1:2" x14ac:dyDescent="0.3">
      <c r="A5321" s="4" t="s">
        <v>11398</v>
      </c>
      <c r="B5321" s="4" t="s">
        <v>11399</v>
      </c>
    </row>
    <row r="5322" spans="1:2" x14ac:dyDescent="0.3">
      <c r="A5322" s="4" t="s">
        <v>7113</v>
      </c>
      <c r="B5322" s="4" t="s">
        <v>7114</v>
      </c>
    </row>
    <row r="5323" spans="1:2" x14ac:dyDescent="0.3">
      <c r="A5323" s="4" t="s">
        <v>11400</v>
      </c>
      <c r="B5323" s="4" t="s">
        <v>11401</v>
      </c>
    </row>
    <row r="5324" spans="1:2" x14ac:dyDescent="0.3">
      <c r="A5324" s="4" t="s">
        <v>7115</v>
      </c>
      <c r="B5324" s="4" t="s">
        <v>7116</v>
      </c>
    </row>
    <row r="5325" spans="1:2" x14ac:dyDescent="0.3">
      <c r="A5325" s="4" t="s">
        <v>11402</v>
      </c>
      <c r="B5325" s="4" t="s">
        <v>11403</v>
      </c>
    </row>
    <row r="5326" spans="1:2" x14ac:dyDescent="0.3">
      <c r="A5326" s="4" t="s">
        <v>7117</v>
      </c>
      <c r="B5326" s="4" t="s">
        <v>7118</v>
      </c>
    </row>
    <row r="5327" spans="1:2" x14ac:dyDescent="0.3">
      <c r="A5327" s="4" t="s">
        <v>6002</v>
      </c>
      <c r="B5327" s="4" t="s">
        <v>11404</v>
      </c>
    </row>
    <row r="5328" spans="1:2" x14ac:dyDescent="0.3">
      <c r="A5328" s="4" t="s">
        <v>12732</v>
      </c>
      <c r="B5328" s="4" t="s">
        <v>12733</v>
      </c>
    </row>
    <row r="5329" spans="1:2" x14ac:dyDescent="0.3">
      <c r="A5329" s="4" t="s">
        <v>7119</v>
      </c>
      <c r="B5329" s="4" t="s">
        <v>7120</v>
      </c>
    </row>
    <row r="5330" spans="1:2" x14ac:dyDescent="0.3">
      <c r="A5330" s="4" t="s">
        <v>7121</v>
      </c>
      <c r="B5330" s="4" t="s">
        <v>7122</v>
      </c>
    </row>
    <row r="5331" spans="1:2" x14ac:dyDescent="0.3">
      <c r="A5331" s="4" t="s">
        <v>11405</v>
      </c>
      <c r="B5331" s="4" t="s">
        <v>11406</v>
      </c>
    </row>
    <row r="5332" spans="1:2" x14ac:dyDescent="0.3">
      <c r="A5332" s="4" t="s">
        <v>11407</v>
      </c>
      <c r="B5332" s="4" t="s">
        <v>11408</v>
      </c>
    </row>
    <row r="5333" spans="1:2" x14ac:dyDescent="0.3">
      <c r="A5333" s="4" t="s">
        <v>5858</v>
      </c>
      <c r="B5333" s="4" t="s">
        <v>7123</v>
      </c>
    </row>
    <row r="5334" spans="1:2" x14ac:dyDescent="0.3">
      <c r="A5334" s="4" t="s">
        <v>11409</v>
      </c>
      <c r="B5334" s="4" t="s">
        <v>11410</v>
      </c>
    </row>
    <row r="5335" spans="1:2" x14ac:dyDescent="0.3">
      <c r="A5335" s="4" t="s">
        <v>7124</v>
      </c>
      <c r="B5335" s="4" t="s">
        <v>7125</v>
      </c>
    </row>
    <row r="5336" spans="1:2" x14ac:dyDescent="0.3">
      <c r="A5336" s="4" t="s">
        <v>12734</v>
      </c>
      <c r="B5336" s="4" t="s">
        <v>12735</v>
      </c>
    </row>
    <row r="5337" spans="1:2" x14ac:dyDescent="0.3">
      <c r="A5337" s="4" t="s">
        <v>7126</v>
      </c>
      <c r="B5337" s="4" t="s">
        <v>7127</v>
      </c>
    </row>
    <row r="5338" spans="1:2" x14ac:dyDescent="0.3">
      <c r="A5338" s="4" t="s">
        <v>7128</v>
      </c>
      <c r="B5338" s="4" t="s">
        <v>7129</v>
      </c>
    </row>
    <row r="5339" spans="1:2" x14ac:dyDescent="0.3">
      <c r="A5339" s="4" t="s">
        <v>12736</v>
      </c>
      <c r="B5339" s="4" t="s">
        <v>12737</v>
      </c>
    </row>
    <row r="5340" spans="1:2" x14ac:dyDescent="0.3">
      <c r="A5340" s="4" t="s">
        <v>7130</v>
      </c>
      <c r="B5340" s="4" t="s">
        <v>7131</v>
      </c>
    </row>
    <row r="5341" spans="1:2" x14ac:dyDescent="0.3">
      <c r="A5341" s="4" t="s">
        <v>12738</v>
      </c>
      <c r="B5341" s="4" t="s">
        <v>12739</v>
      </c>
    </row>
    <row r="5342" spans="1:2" x14ac:dyDescent="0.3">
      <c r="A5342" s="4" t="s">
        <v>12740</v>
      </c>
      <c r="B5342" s="4" t="s">
        <v>12741</v>
      </c>
    </row>
    <row r="5343" spans="1:2" x14ac:dyDescent="0.3">
      <c r="A5343" s="4" t="s">
        <v>11411</v>
      </c>
      <c r="B5343" s="4" t="s">
        <v>11412</v>
      </c>
    </row>
    <row r="5344" spans="1:2" x14ac:dyDescent="0.3">
      <c r="A5344" s="4" t="s">
        <v>7132</v>
      </c>
      <c r="B5344" s="4" t="s">
        <v>7133</v>
      </c>
    </row>
    <row r="5345" spans="1:2" x14ac:dyDescent="0.3">
      <c r="A5345" s="4" t="s">
        <v>11413</v>
      </c>
      <c r="B5345" s="4" t="s">
        <v>11414</v>
      </c>
    </row>
    <row r="5346" spans="1:2" x14ac:dyDescent="0.3">
      <c r="A5346" s="4" t="s">
        <v>11415</v>
      </c>
      <c r="B5346" s="4" t="s">
        <v>11416</v>
      </c>
    </row>
    <row r="5347" spans="1:2" x14ac:dyDescent="0.3">
      <c r="A5347" s="4" t="s">
        <v>7134</v>
      </c>
      <c r="B5347" s="4" t="s">
        <v>7135</v>
      </c>
    </row>
    <row r="5348" spans="1:2" x14ac:dyDescent="0.3">
      <c r="A5348" s="4" t="s">
        <v>7136</v>
      </c>
      <c r="B5348" s="4" t="s">
        <v>7137</v>
      </c>
    </row>
    <row r="5349" spans="1:2" x14ac:dyDescent="0.3">
      <c r="A5349" s="4" t="s">
        <v>11417</v>
      </c>
      <c r="B5349" s="4" t="s">
        <v>11418</v>
      </c>
    </row>
    <row r="5350" spans="1:2" x14ac:dyDescent="0.3">
      <c r="A5350" s="4" t="s">
        <v>7138</v>
      </c>
      <c r="B5350" s="4" t="s">
        <v>7139</v>
      </c>
    </row>
    <row r="5351" spans="1:2" x14ac:dyDescent="0.3">
      <c r="A5351" s="4" t="s">
        <v>7140</v>
      </c>
      <c r="B5351" s="4" t="s">
        <v>7141</v>
      </c>
    </row>
    <row r="5352" spans="1:2" x14ac:dyDescent="0.3">
      <c r="A5352" s="4" t="s">
        <v>11419</v>
      </c>
      <c r="B5352" s="4" t="s">
        <v>11420</v>
      </c>
    </row>
    <row r="5353" spans="1:2" x14ac:dyDescent="0.3">
      <c r="A5353" s="4" t="s">
        <v>7142</v>
      </c>
      <c r="B5353" s="4" t="s">
        <v>7143</v>
      </c>
    </row>
    <row r="5354" spans="1:2" x14ac:dyDescent="0.3">
      <c r="A5354" s="4" t="s">
        <v>7144</v>
      </c>
      <c r="B5354" s="4" t="s">
        <v>7145</v>
      </c>
    </row>
    <row r="5355" spans="1:2" x14ac:dyDescent="0.3">
      <c r="A5355" s="4" t="s">
        <v>11421</v>
      </c>
      <c r="B5355" s="4" t="s">
        <v>11422</v>
      </c>
    </row>
    <row r="5356" spans="1:2" x14ac:dyDescent="0.3">
      <c r="A5356" s="4" t="s">
        <v>7146</v>
      </c>
      <c r="B5356" s="4" t="s">
        <v>7147</v>
      </c>
    </row>
    <row r="5357" spans="1:2" x14ac:dyDescent="0.3">
      <c r="A5357" s="4" t="s">
        <v>11423</v>
      </c>
      <c r="B5357" s="4" t="s">
        <v>11424</v>
      </c>
    </row>
    <row r="5358" spans="1:2" x14ac:dyDescent="0.3">
      <c r="A5358" s="4" t="s">
        <v>11425</v>
      </c>
      <c r="B5358" s="4" t="s">
        <v>11426</v>
      </c>
    </row>
    <row r="5359" spans="1:2" x14ac:dyDescent="0.3">
      <c r="A5359" s="4" t="s">
        <v>11427</v>
      </c>
      <c r="B5359" s="4" t="s">
        <v>11428</v>
      </c>
    </row>
    <row r="5360" spans="1:2" x14ac:dyDescent="0.3">
      <c r="A5360" s="4" t="s">
        <v>11429</v>
      </c>
      <c r="B5360" s="4" t="s">
        <v>11430</v>
      </c>
    </row>
    <row r="5361" spans="1:2" x14ac:dyDescent="0.3">
      <c r="A5361" s="4" t="s">
        <v>7148</v>
      </c>
      <c r="B5361" s="4" t="s">
        <v>7149</v>
      </c>
    </row>
    <row r="5362" spans="1:2" x14ac:dyDescent="0.3">
      <c r="A5362" s="4" t="s">
        <v>7150</v>
      </c>
      <c r="B5362" s="4" t="s">
        <v>7151</v>
      </c>
    </row>
    <row r="5363" spans="1:2" x14ac:dyDescent="0.3">
      <c r="A5363" s="4" t="s">
        <v>7152</v>
      </c>
      <c r="B5363" s="4" t="s">
        <v>7153</v>
      </c>
    </row>
    <row r="5364" spans="1:2" x14ac:dyDescent="0.3">
      <c r="A5364" s="4" t="s">
        <v>11431</v>
      </c>
      <c r="B5364" s="4" t="s">
        <v>11432</v>
      </c>
    </row>
    <row r="5365" spans="1:2" x14ac:dyDescent="0.3">
      <c r="A5365" s="4" t="s">
        <v>7154</v>
      </c>
      <c r="B5365" s="4" t="s">
        <v>7155</v>
      </c>
    </row>
    <row r="5366" spans="1:2" x14ac:dyDescent="0.3">
      <c r="A5366" s="4" t="s">
        <v>7156</v>
      </c>
      <c r="B5366" s="4" t="s">
        <v>7157</v>
      </c>
    </row>
    <row r="5367" spans="1:2" x14ac:dyDescent="0.3">
      <c r="A5367" s="4" t="s">
        <v>7158</v>
      </c>
      <c r="B5367" s="4" t="s">
        <v>7159</v>
      </c>
    </row>
    <row r="5368" spans="1:2" x14ac:dyDescent="0.3">
      <c r="A5368" s="4" t="s">
        <v>11433</v>
      </c>
      <c r="B5368" s="4" t="s">
        <v>11434</v>
      </c>
    </row>
    <row r="5369" spans="1:2" x14ac:dyDescent="0.3">
      <c r="A5369" s="4" t="s">
        <v>11435</v>
      </c>
      <c r="B5369" s="4" t="s">
        <v>11436</v>
      </c>
    </row>
    <row r="5370" spans="1:2" x14ac:dyDescent="0.3">
      <c r="A5370" s="4" t="s">
        <v>7160</v>
      </c>
      <c r="B5370" s="4" t="s">
        <v>7161</v>
      </c>
    </row>
    <row r="5371" spans="1:2" x14ac:dyDescent="0.3">
      <c r="A5371" s="4" t="s">
        <v>7162</v>
      </c>
      <c r="B5371" s="4" t="s">
        <v>7163</v>
      </c>
    </row>
    <row r="5372" spans="1:2" x14ac:dyDescent="0.3">
      <c r="A5372" s="4" t="s">
        <v>6996</v>
      </c>
      <c r="B5372" s="4" t="s">
        <v>12742</v>
      </c>
    </row>
    <row r="5373" spans="1:2" x14ac:dyDescent="0.3">
      <c r="A5373" s="4" t="s">
        <v>7164</v>
      </c>
      <c r="B5373" s="4" t="s">
        <v>7165</v>
      </c>
    </row>
    <row r="5374" spans="1:2" x14ac:dyDescent="0.3">
      <c r="A5374" s="4" t="s">
        <v>7166</v>
      </c>
      <c r="B5374" s="4" t="s">
        <v>7167</v>
      </c>
    </row>
    <row r="5375" spans="1:2" x14ac:dyDescent="0.3">
      <c r="A5375" s="4" t="s">
        <v>12743</v>
      </c>
      <c r="B5375" s="4" t="s">
        <v>12744</v>
      </c>
    </row>
    <row r="5376" spans="1:2" x14ac:dyDescent="0.3">
      <c r="A5376" s="4" t="s">
        <v>7168</v>
      </c>
      <c r="B5376" s="4" t="s">
        <v>11437</v>
      </c>
    </row>
    <row r="5377" spans="1:2" x14ac:dyDescent="0.3">
      <c r="A5377" s="4" t="s">
        <v>11438</v>
      </c>
      <c r="B5377" s="4" t="s">
        <v>11439</v>
      </c>
    </row>
    <row r="5378" spans="1:2" x14ac:dyDescent="0.3">
      <c r="A5378" s="4" t="s">
        <v>11440</v>
      </c>
      <c r="B5378" s="4" t="s">
        <v>11441</v>
      </c>
    </row>
    <row r="5379" spans="1:2" x14ac:dyDescent="0.3">
      <c r="A5379" s="4" t="s">
        <v>11442</v>
      </c>
      <c r="B5379" s="4" t="s">
        <v>11443</v>
      </c>
    </row>
    <row r="5380" spans="1:2" x14ac:dyDescent="0.3">
      <c r="A5380" s="4" t="s">
        <v>4278</v>
      </c>
      <c r="B5380" s="4" t="s">
        <v>11444</v>
      </c>
    </row>
    <row r="5381" spans="1:2" x14ac:dyDescent="0.3">
      <c r="A5381" s="4" t="s">
        <v>7169</v>
      </c>
      <c r="B5381" s="4" t="s">
        <v>7170</v>
      </c>
    </row>
    <row r="5382" spans="1:2" x14ac:dyDescent="0.3">
      <c r="A5382" s="4" t="s">
        <v>7171</v>
      </c>
      <c r="B5382" s="4" t="s">
        <v>7172</v>
      </c>
    </row>
    <row r="5383" spans="1:2" x14ac:dyDescent="0.3">
      <c r="A5383" s="4" t="s">
        <v>7173</v>
      </c>
      <c r="B5383" s="4" t="s">
        <v>7174</v>
      </c>
    </row>
    <row r="5384" spans="1:2" x14ac:dyDescent="0.3">
      <c r="A5384" s="4" t="s">
        <v>7175</v>
      </c>
      <c r="B5384" s="4" t="s">
        <v>7176</v>
      </c>
    </row>
    <row r="5385" spans="1:2" x14ac:dyDescent="0.3">
      <c r="A5385" s="4" t="s">
        <v>7177</v>
      </c>
      <c r="B5385" s="4" t="s">
        <v>7178</v>
      </c>
    </row>
    <row r="5386" spans="1:2" x14ac:dyDescent="0.3">
      <c r="A5386" s="4" t="s">
        <v>7179</v>
      </c>
      <c r="B5386" s="4" t="s">
        <v>7180</v>
      </c>
    </row>
    <row r="5387" spans="1:2" x14ac:dyDescent="0.3">
      <c r="A5387" s="4" t="s">
        <v>7181</v>
      </c>
      <c r="B5387" s="4" t="s">
        <v>7182</v>
      </c>
    </row>
    <row r="5388" spans="1:2" x14ac:dyDescent="0.3">
      <c r="A5388" s="4" t="s">
        <v>7183</v>
      </c>
      <c r="B5388" s="4" t="s">
        <v>7184</v>
      </c>
    </row>
    <row r="5389" spans="1:2" x14ac:dyDescent="0.3">
      <c r="A5389" s="4" t="s">
        <v>4847</v>
      </c>
      <c r="B5389" s="4" t="s">
        <v>11445</v>
      </c>
    </row>
    <row r="5390" spans="1:2" x14ac:dyDescent="0.3">
      <c r="A5390" s="4" t="s">
        <v>11446</v>
      </c>
      <c r="B5390" s="4" t="s">
        <v>11447</v>
      </c>
    </row>
    <row r="5391" spans="1:2" x14ac:dyDescent="0.3">
      <c r="A5391" s="4" t="s">
        <v>11448</v>
      </c>
      <c r="B5391" s="4" t="s">
        <v>9027</v>
      </c>
    </row>
    <row r="5392" spans="1:2" x14ac:dyDescent="0.3">
      <c r="A5392" s="4" t="s">
        <v>7185</v>
      </c>
      <c r="B5392" s="4" t="s">
        <v>7186</v>
      </c>
    </row>
    <row r="5393" spans="1:2" x14ac:dyDescent="0.3">
      <c r="A5393" s="4" t="s">
        <v>7187</v>
      </c>
      <c r="B5393" s="4" t="s">
        <v>7188</v>
      </c>
    </row>
    <row r="5394" spans="1:2" x14ac:dyDescent="0.3">
      <c r="A5394" s="4" t="s">
        <v>11449</v>
      </c>
      <c r="B5394" s="4" t="s">
        <v>11450</v>
      </c>
    </row>
    <row r="5395" spans="1:2" x14ac:dyDescent="0.3">
      <c r="A5395" s="4" t="s">
        <v>7189</v>
      </c>
      <c r="B5395" s="4" t="s">
        <v>7190</v>
      </c>
    </row>
    <row r="5396" spans="1:2" x14ac:dyDescent="0.3">
      <c r="A5396" s="4" t="s">
        <v>7191</v>
      </c>
      <c r="B5396" s="4" t="s">
        <v>7192</v>
      </c>
    </row>
    <row r="5397" spans="1:2" x14ac:dyDescent="0.3">
      <c r="A5397" s="4" t="s">
        <v>7194</v>
      </c>
      <c r="B5397" s="4" t="s">
        <v>7195</v>
      </c>
    </row>
    <row r="5398" spans="1:2" x14ac:dyDescent="0.3">
      <c r="A5398" s="4" t="s">
        <v>7196</v>
      </c>
      <c r="B5398" s="4" t="s">
        <v>7197</v>
      </c>
    </row>
    <row r="5399" spans="1:2" x14ac:dyDescent="0.3">
      <c r="A5399" s="4" t="s">
        <v>7198</v>
      </c>
      <c r="B5399" s="4" t="s">
        <v>7199</v>
      </c>
    </row>
    <row r="5400" spans="1:2" x14ac:dyDescent="0.3">
      <c r="A5400" s="4" t="s">
        <v>7200</v>
      </c>
      <c r="B5400" s="4" t="s">
        <v>7201</v>
      </c>
    </row>
    <row r="5401" spans="1:2" x14ac:dyDescent="0.3">
      <c r="A5401" s="4" t="s">
        <v>7202</v>
      </c>
      <c r="B5401" s="4" t="s">
        <v>7203</v>
      </c>
    </row>
    <row r="5402" spans="1:2" x14ac:dyDescent="0.3">
      <c r="A5402" s="4" t="s">
        <v>7210</v>
      </c>
      <c r="B5402" s="4" t="s">
        <v>11451</v>
      </c>
    </row>
    <row r="5403" spans="1:2" x14ac:dyDescent="0.3">
      <c r="A5403" s="4" t="s">
        <v>7204</v>
      </c>
      <c r="B5403" s="4" t="s">
        <v>7205</v>
      </c>
    </row>
    <row r="5404" spans="1:2" x14ac:dyDescent="0.3">
      <c r="A5404" s="4" t="s">
        <v>7206</v>
      </c>
      <c r="B5404" s="4" t="s">
        <v>7207</v>
      </c>
    </row>
    <row r="5405" spans="1:2" x14ac:dyDescent="0.3">
      <c r="A5405" s="4" t="s">
        <v>11452</v>
      </c>
      <c r="B5405" s="4" t="s">
        <v>11453</v>
      </c>
    </row>
    <row r="5406" spans="1:2" x14ac:dyDescent="0.3">
      <c r="A5406" s="4" t="s">
        <v>11454</v>
      </c>
      <c r="B5406" s="4" t="s">
        <v>11455</v>
      </c>
    </row>
    <row r="5407" spans="1:2" x14ac:dyDescent="0.3">
      <c r="A5407" s="4" t="s">
        <v>7208</v>
      </c>
      <c r="B5407" s="4" t="s">
        <v>7209</v>
      </c>
    </row>
    <row r="5408" spans="1:2" x14ac:dyDescent="0.3">
      <c r="A5408" s="4" t="s">
        <v>7211</v>
      </c>
      <c r="B5408" s="4" t="s">
        <v>7212</v>
      </c>
    </row>
    <row r="5409" spans="1:2" x14ac:dyDescent="0.3">
      <c r="A5409" s="4" t="s">
        <v>7213</v>
      </c>
      <c r="B5409" s="4" t="s">
        <v>7214</v>
      </c>
    </row>
    <row r="5410" spans="1:2" x14ac:dyDescent="0.3">
      <c r="A5410" s="4" t="s">
        <v>7216</v>
      </c>
      <c r="B5410" s="4" t="s">
        <v>7217</v>
      </c>
    </row>
    <row r="5411" spans="1:2" x14ac:dyDescent="0.3">
      <c r="A5411" s="4" t="s">
        <v>7218</v>
      </c>
      <c r="B5411" s="4" t="s">
        <v>7219</v>
      </c>
    </row>
    <row r="5412" spans="1:2" x14ac:dyDescent="0.3">
      <c r="A5412" s="4" t="s">
        <v>7220</v>
      </c>
      <c r="B5412" s="4" t="s">
        <v>7221</v>
      </c>
    </row>
    <row r="5413" spans="1:2" x14ac:dyDescent="0.3">
      <c r="A5413" s="4" t="s">
        <v>7222</v>
      </c>
      <c r="B5413" s="4" t="s">
        <v>7223</v>
      </c>
    </row>
    <row r="5414" spans="1:2" x14ac:dyDescent="0.3">
      <c r="A5414" s="4" t="s">
        <v>11456</v>
      </c>
      <c r="B5414" s="4" t="s">
        <v>11457</v>
      </c>
    </row>
    <row r="5415" spans="1:2" x14ac:dyDescent="0.3">
      <c r="A5415" s="4" t="s">
        <v>7224</v>
      </c>
      <c r="B5415" s="4" t="s">
        <v>7225</v>
      </c>
    </row>
    <row r="5416" spans="1:2" x14ac:dyDescent="0.3">
      <c r="A5416" s="4" t="s">
        <v>12745</v>
      </c>
      <c r="B5416" s="4" t="s">
        <v>12746</v>
      </c>
    </row>
    <row r="5417" spans="1:2" x14ac:dyDescent="0.3">
      <c r="A5417" s="4" t="s">
        <v>7226</v>
      </c>
      <c r="B5417" s="4" t="s">
        <v>7227</v>
      </c>
    </row>
    <row r="5418" spans="1:2" x14ac:dyDescent="0.3">
      <c r="A5418" s="4" t="s">
        <v>7228</v>
      </c>
      <c r="B5418" s="4" t="s">
        <v>7229</v>
      </c>
    </row>
    <row r="5419" spans="1:2" x14ac:dyDescent="0.3">
      <c r="A5419" s="4" t="s">
        <v>12747</v>
      </c>
      <c r="B5419" s="4" t="s">
        <v>12748</v>
      </c>
    </row>
    <row r="5420" spans="1:2" x14ac:dyDescent="0.3">
      <c r="A5420" s="4" t="s">
        <v>11458</v>
      </c>
      <c r="B5420" s="4" t="s">
        <v>11459</v>
      </c>
    </row>
    <row r="5421" spans="1:2" x14ac:dyDescent="0.3">
      <c r="A5421" s="4" t="s">
        <v>7230</v>
      </c>
      <c r="B5421" s="4" t="s">
        <v>7231</v>
      </c>
    </row>
    <row r="5422" spans="1:2" x14ac:dyDescent="0.3">
      <c r="A5422" s="4" t="s">
        <v>7232</v>
      </c>
      <c r="B5422" s="4" t="s">
        <v>7233</v>
      </c>
    </row>
    <row r="5423" spans="1:2" x14ac:dyDescent="0.3">
      <c r="A5423" s="4" t="s">
        <v>7234</v>
      </c>
      <c r="B5423" s="4" t="s">
        <v>7235</v>
      </c>
    </row>
    <row r="5424" spans="1:2" x14ac:dyDescent="0.3">
      <c r="A5424" s="4" t="s">
        <v>7964</v>
      </c>
      <c r="B5424" s="4" t="s">
        <v>11460</v>
      </c>
    </row>
    <row r="5425" spans="1:2" x14ac:dyDescent="0.3">
      <c r="A5425" s="4" t="s">
        <v>7236</v>
      </c>
      <c r="B5425" s="4" t="s">
        <v>11461</v>
      </c>
    </row>
    <row r="5426" spans="1:2" x14ac:dyDescent="0.3">
      <c r="A5426" s="4" t="s">
        <v>7237</v>
      </c>
      <c r="B5426" s="4" t="s">
        <v>7238</v>
      </c>
    </row>
    <row r="5427" spans="1:2" x14ac:dyDescent="0.3">
      <c r="A5427" s="4" t="s">
        <v>11462</v>
      </c>
      <c r="B5427" s="4" t="s">
        <v>11463</v>
      </c>
    </row>
    <row r="5428" spans="1:2" x14ac:dyDescent="0.3">
      <c r="A5428" s="4" t="s">
        <v>7239</v>
      </c>
      <c r="B5428" s="4" t="s">
        <v>7240</v>
      </c>
    </row>
    <row r="5429" spans="1:2" x14ac:dyDescent="0.3">
      <c r="A5429" s="4" t="s">
        <v>7241</v>
      </c>
      <c r="B5429" s="4" t="s">
        <v>7242</v>
      </c>
    </row>
    <row r="5430" spans="1:2" x14ac:dyDescent="0.3">
      <c r="A5430" s="4" t="s">
        <v>7243</v>
      </c>
      <c r="B5430" s="4" t="s">
        <v>7244</v>
      </c>
    </row>
    <row r="5431" spans="1:2" x14ac:dyDescent="0.3">
      <c r="A5431" s="4" t="s">
        <v>7245</v>
      </c>
      <c r="B5431" s="4" t="s">
        <v>7246</v>
      </c>
    </row>
    <row r="5432" spans="1:2" x14ac:dyDescent="0.3">
      <c r="A5432" s="4" t="s">
        <v>7247</v>
      </c>
      <c r="B5432" s="4" t="s">
        <v>7248</v>
      </c>
    </row>
    <row r="5433" spans="1:2" x14ac:dyDescent="0.3">
      <c r="A5433" s="4" t="s">
        <v>7249</v>
      </c>
      <c r="B5433" s="4" t="s">
        <v>7250</v>
      </c>
    </row>
    <row r="5434" spans="1:2" x14ac:dyDescent="0.3">
      <c r="A5434" s="4" t="s">
        <v>7251</v>
      </c>
      <c r="B5434" s="4" t="s">
        <v>7252</v>
      </c>
    </row>
    <row r="5435" spans="1:2" x14ac:dyDescent="0.3">
      <c r="A5435" s="4" t="s">
        <v>7253</v>
      </c>
      <c r="B5435" s="4" t="s">
        <v>7254</v>
      </c>
    </row>
    <row r="5436" spans="1:2" x14ac:dyDescent="0.3">
      <c r="A5436" s="4" t="s">
        <v>7255</v>
      </c>
      <c r="B5436" s="4" t="s">
        <v>7256</v>
      </c>
    </row>
    <row r="5437" spans="1:2" x14ac:dyDescent="0.3">
      <c r="A5437" s="4" t="s">
        <v>7257</v>
      </c>
      <c r="B5437" s="4" t="s">
        <v>7258</v>
      </c>
    </row>
    <row r="5438" spans="1:2" x14ac:dyDescent="0.3">
      <c r="A5438" s="4" t="s">
        <v>7259</v>
      </c>
      <c r="B5438" s="4" t="s">
        <v>7260</v>
      </c>
    </row>
    <row r="5439" spans="1:2" x14ac:dyDescent="0.3">
      <c r="A5439" s="4" t="s">
        <v>7261</v>
      </c>
      <c r="B5439" s="4" t="s">
        <v>7262</v>
      </c>
    </row>
    <row r="5440" spans="1:2" x14ac:dyDescent="0.3">
      <c r="A5440" s="4" t="s">
        <v>11464</v>
      </c>
      <c r="B5440" s="4" t="s">
        <v>11465</v>
      </c>
    </row>
    <row r="5441" spans="1:2" x14ac:dyDescent="0.3">
      <c r="A5441" s="4" t="s">
        <v>11466</v>
      </c>
      <c r="B5441" s="4" t="s">
        <v>11467</v>
      </c>
    </row>
    <row r="5442" spans="1:2" x14ac:dyDescent="0.3">
      <c r="A5442" s="4" t="s">
        <v>11468</v>
      </c>
      <c r="B5442" s="4" t="s">
        <v>11469</v>
      </c>
    </row>
    <row r="5443" spans="1:2" x14ac:dyDescent="0.3">
      <c r="A5443" s="4" t="s">
        <v>11470</v>
      </c>
      <c r="B5443" s="4" t="s">
        <v>11471</v>
      </c>
    </row>
    <row r="5444" spans="1:2" x14ac:dyDescent="0.3">
      <c r="A5444" s="4" t="s">
        <v>11472</v>
      </c>
      <c r="B5444" s="4" t="s">
        <v>11473</v>
      </c>
    </row>
    <row r="5445" spans="1:2" x14ac:dyDescent="0.3">
      <c r="A5445" s="4" t="s">
        <v>11474</v>
      </c>
      <c r="B5445" s="4" t="s">
        <v>11475</v>
      </c>
    </row>
    <row r="5446" spans="1:2" x14ac:dyDescent="0.3">
      <c r="A5446" s="4" t="s">
        <v>12749</v>
      </c>
      <c r="B5446" s="4" t="s">
        <v>12750</v>
      </c>
    </row>
    <row r="5447" spans="1:2" x14ac:dyDescent="0.3">
      <c r="A5447" s="4" t="s">
        <v>12751</v>
      </c>
      <c r="B5447" s="4" t="s">
        <v>12752</v>
      </c>
    </row>
    <row r="5448" spans="1:2" x14ac:dyDescent="0.3">
      <c r="A5448" s="4" t="s">
        <v>11476</v>
      </c>
      <c r="B5448" s="4" t="s">
        <v>11477</v>
      </c>
    </row>
    <row r="5449" spans="1:2" x14ac:dyDescent="0.3">
      <c r="A5449" s="4" t="s">
        <v>11478</v>
      </c>
      <c r="B5449" s="4" t="s">
        <v>11479</v>
      </c>
    </row>
    <row r="5450" spans="1:2" x14ac:dyDescent="0.3">
      <c r="A5450" s="4" t="s">
        <v>12753</v>
      </c>
      <c r="B5450" s="4" t="s">
        <v>12754</v>
      </c>
    </row>
    <row r="5451" spans="1:2" x14ac:dyDescent="0.3">
      <c r="A5451" s="4" t="s">
        <v>11480</v>
      </c>
      <c r="B5451" s="4" t="s">
        <v>11481</v>
      </c>
    </row>
    <row r="5452" spans="1:2" x14ac:dyDescent="0.3">
      <c r="A5452" s="4" t="s">
        <v>12755</v>
      </c>
      <c r="B5452" s="4" t="s">
        <v>12756</v>
      </c>
    </row>
    <row r="5453" spans="1:2" x14ac:dyDescent="0.3">
      <c r="A5453" s="4" t="s">
        <v>12757</v>
      </c>
      <c r="B5453" s="4" t="s">
        <v>12758</v>
      </c>
    </row>
    <row r="5454" spans="1:2" x14ac:dyDescent="0.3">
      <c r="A5454" s="4" t="s">
        <v>12759</v>
      </c>
      <c r="B5454" s="4" t="s">
        <v>12760</v>
      </c>
    </row>
    <row r="5455" spans="1:2" x14ac:dyDescent="0.3">
      <c r="A5455" s="4" t="s">
        <v>11482</v>
      </c>
      <c r="B5455" s="4" t="s">
        <v>11483</v>
      </c>
    </row>
    <row r="5456" spans="1:2" x14ac:dyDescent="0.3">
      <c r="A5456" s="4" t="s">
        <v>7263</v>
      </c>
      <c r="B5456" s="4" t="s">
        <v>7264</v>
      </c>
    </row>
    <row r="5457" spans="1:2" x14ac:dyDescent="0.3">
      <c r="A5457" s="4" t="s">
        <v>7265</v>
      </c>
      <c r="B5457" s="4" t="s">
        <v>7266</v>
      </c>
    </row>
    <row r="5458" spans="1:2" x14ac:dyDescent="0.3">
      <c r="A5458" s="4" t="s">
        <v>11484</v>
      </c>
      <c r="B5458" s="4" t="s">
        <v>11485</v>
      </c>
    </row>
    <row r="5459" spans="1:2" x14ac:dyDescent="0.3">
      <c r="A5459" s="4" t="s">
        <v>7267</v>
      </c>
      <c r="B5459" s="4" t="s">
        <v>7268</v>
      </c>
    </row>
    <row r="5460" spans="1:2" x14ac:dyDescent="0.3">
      <c r="A5460" s="4" t="s">
        <v>11486</v>
      </c>
      <c r="B5460" s="4" t="s">
        <v>11487</v>
      </c>
    </row>
    <row r="5461" spans="1:2" x14ac:dyDescent="0.3">
      <c r="A5461" s="4" t="s">
        <v>11488</v>
      </c>
      <c r="B5461" s="4" t="s">
        <v>11489</v>
      </c>
    </row>
    <row r="5462" spans="1:2" x14ac:dyDescent="0.3">
      <c r="A5462" s="4" t="s">
        <v>7269</v>
      </c>
      <c r="B5462" s="4" t="s">
        <v>7270</v>
      </c>
    </row>
    <row r="5463" spans="1:2" x14ac:dyDescent="0.3">
      <c r="A5463" s="4" t="s">
        <v>7271</v>
      </c>
      <c r="B5463" s="4" t="s">
        <v>7272</v>
      </c>
    </row>
    <row r="5464" spans="1:2" x14ac:dyDescent="0.3">
      <c r="A5464" s="4" t="s">
        <v>7273</v>
      </c>
      <c r="B5464" s="4" t="s">
        <v>7274</v>
      </c>
    </row>
    <row r="5465" spans="1:2" x14ac:dyDescent="0.3">
      <c r="A5465" s="4" t="s">
        <v>7275</v>
      </c>
      <c r="B5465" s="4" t="s">
        <v>7276</v>
      </c>
    </row>
    <row r="5466" spans="1:2" x14ac:dyDescent="0.3">
      <c r="A5466" s="4" t="s">
        <v>11490</v>
      </c>
      <c r="B5466" s="4" t="s">
        <v>11491</v>
      </c>
    </row>
    <row r="5467" spans="1:2" x14ac:dyDescent="0.3">
      <c r="A5467" s="4" t="s">
        <v>7277</v>
      </c>
      <c r="B5467" s="4" t="s">
        <v>7278</v>
      </c>
    </row>
    <row r="5468" spans="1:2" x14ac:dyDescent="0.3">
      <c r="A5468" s="4" t="s">
        <v>7279</v>
      </c>
      <c r="B5468" s="4" t="s">
        <v>7280</v>
      </c>
    </row>
    <row r="5469" spans="1:2" x14ac:dyDescent="0.3">
      <c r="A5469" s="4" t="s">
        <v>11492</v>
      </c>
      <c r="B5469" s="4" t="s">
        <v>11493</v>
      </c>
    </row>
    <row r="5470" spans="1:2" x14ac:dyDescent="0.3">
      <c r="A5470" s="4" t="s">
        <v>7282</v>
      </c>
      <c r="B5470" s="4" t="s">
        <v>7283</v>
      </c>
    </row>
    <row r="5471" spans="1:2" x14ac:dyDescent="0.3">
      <c r="A5471" s="4" t="s">
        <v>11494</v>
      </c>
      <c r="B5471" s="4" t="s">
        <v>11495</v>
      </c>
    </row>
    <row r="5472" spans="1:2" x14ac:dyDescent="0.3">
      <c r="A5472" s="4" t="s">
        <v>7439</v>
      </c>
      <c r="B5472" s="4" t="s">
        <v>11496</v>
      </c>
    </row>
    <row r="5473" spans="1:2" x14ac:dyDescent="0.3">
      <c r="A5473" s="4" t="s">
        <v>7284</v>
      </c>
      <c r="B5473" s="4" t="s">
        <v>7285</v>
      </c>
    </row>
    <row r="5474" spans="1:2" x14ac:dyDescent="0.3">
      <c r="A5474" s="4" t="s">
        <v>7286</v>
      </c>
      <c r="B5474" s="4" t="s">
        <v>7287</v>
      </c>
    </row>
    <row r="5475" spans="1:2" x14ac:dyDescent="0.3">
      <c r="A5475" s="4" t="s">
        <v>7288</v>
      </c>
      <c r="B5475" s="4" t="s">
        <v>7289</v>
      </c>
    </row>
    <row r="5476" spans="1:2" x14ac:dyDescent="0.3">
      <c r="A5476" s="4" t="s">
        <v>7290</v>
      </c>
      <c r="B5476" s="4" t="s">
        <v>7291</v>
      </c>
    </row>
    <row r="5477" spans="1:2" x14ac:dyDescent="0.3">
      <c r="A5477" s="4" t="s">
        <v>11497</v>
      </c>
      <c r="B5477" s="4" t="s">
        <v>11498</v>
      </c>
    </row>
    <row r="5478" spans="1:2" x14ac:dyDescent="0.3">
      <c r="A5478" s="4" t="s">
        <v>11499</v>
      </c>
      <c r="B5478" s="4" t="s">
        <v>11500</v>
      </c>
    </row>
    <row r="5479" spans="1:2" x14ac:dyDescent="0.3">
      <c r="A5479" s="4" t="s">
        <v>7292</v>
      </c>
      <c r="B5479" s="4" t="s">
        <v>7293</v>
      </c>
    </row>
    <row r="5480" spans="1:2" x14ac:dyDescent="0.3">
      <c r="A5480" s="4" t="s">
        <v>7294</v>
      </c>
      <c r="B5480" s="4" t="s">
        <v>7295</v>
      </c>
    </row>
    <row r="5481" spans="1:2" x14ac:dyDescent="0.3">
      <c r="A5481" s="4" t="s">
        <v>12761</v>
      </c>
      <c r="B5481" s="4" t="s">
        <v>12762</v>
      </c>
    </row>
    <row r="5482" spans="1:2" x14ac:dyDescent="0.3">
      <c r="A5482" s="4" t="s">
        <v>11501</v>
      </c>
      <c r="B5482" s="4" t="s">
        <v>11502</v>
      </c>
    </row>
    <row r="5483" spans="1:2" x14ac:dyDescent="0.3">
      <c r="A5483" s="4" t="s">
        <v>11503</v>
      </c>
      <c r="B5483" s="4" t="s">
        <v>11504</v>
      </c>
    </row>
    <row r="5484" spans="1:2" x14ac:dyDescent="0.3">
      <c r="A5484" s="4" t="s">
        <v>7296</v>
      </c>
      <c r="B5484" s="4" t="s">
        <v>7297</v>
      </c>
    </row>
    <row r="5485" spans="1:2" x14ac:dyDescent="0.3">
      <c r="A5485" s="4" t="s">
        <v>7298</v>
      </c>
      <c r="B5485" s="4" t="s">
        <v>7299</v>
      </c>
    </row>
    <row r="5486" spans="1:2" x14ac:dyDescent="0.3">
      <c r="A5486" s="4" t="s">
        <v>7300</v>
      </c>
      <c r="B5486" s="4" t="s">
        <v>7301</v>
      </c>
    </row>
    <row r="5487" spans="1:2" x14ac:dyDescent="0.3">
      <c r="A5487" s="4" t="s">
        <v>11505</v>
      </c>
      <c r="B5487" s="4" t="s">
        <v>3265</v>
      </c>
    </row>
    <row r="5488" spans="1:2" x14ac:dyDescent="0.3">
      <c r="A5488" s="4" t="s">
        <v>7302</v>
      </c>
      <c r="B5488" s="4" t="s">
        <v>7303</v>
      </c>
    </row>
    <row r="5489" spans="1:2" x14ac:dyDescent="0.3">
      <c r="A5489" s="4" t="s">
        <v>11506</v>
      </c>
      <c r="B5489" s="4" t="s">
        <v>11507</v>
      </c>
    </row>
    <row r="5490" spans="1:2" x14ac:dyDescent="0.3">
      <c r="A5490" s="4" t="s">
        <v>7304</v>
      </c>
      <c r="B5490" s="4" t="s">
        <v>7305</v>
      </c>
    </row>
    <row r="5491" spans="1:2" x14ac:dyDescent="0.3">
      <c r="A5491" s="4" t="s">
        <v>7306</v>
      </c>
      <c r="B5491" s="4" t="s">
        <v>7307</v>
      </c>
    </row>
    <row r="5492" spans="1:2" x14ac:dyDescent="0.3">
      <c r="A5492" s="4" t="s">
        <v>7308</v>
      </c>
      <c r="B5492" s="4" t="s">
        <v>7309</v>
      </c>
    </row>
    <row r="5493" spans="1:2" x14ac:dyDescent="0.3">
      <c r="A5493" s="4" t="s">
        <v>7310</v>
      </c>
      <c r="B5493" s="4" t="s">
        <v>7311</v>
      </c>
    </row>
    <row r="5494" spans="1:2" x14ac:dyDescent="0.3">
      <c r="A5494" s="4" t="s">
        <v>11508</v>
      </c>
      <c r="B5494" s="4" t="s">
        <v>11509</v>
      </c>
    </row>
    <row r="5495" spans="1:2" x14ac:dyDescent="0.3">
      <c r="A5495" s="4" t="s">
        <v>7313</v>
      </c>
      <c r="B5495" s="4" t="s">
        <v>7314</v>
      </c>
    </row>
    <row r="5496" spans="1:2" x14ac:dyDescent="0.3">
      <c r="A5496" s="4" t="s">
        <v>7315</v>
      </c>
      <c r="B5496" s="4" t="s">
        <v>7316</v>
      </c>
    </row>
    <row r="5497" spans="1:2" x14ac:dyDescent="0.3">
      <c r="A5497" s="4" t="s">
        <v>11510</v>
      </c>
      <c r="B5497" s="4" t="s">
        <v>11511</v>
      </c>
    </row>
    <row r="5498" spans="1:2" x14ac:dyDescent="0.3">
      <c r="A5498" s="4" t="s">
        <v>11512</v>
      </c>
      <c r="B5498" s="4" t="s">
        <v>11513</v>
      </c>
    </row>
    <row r="5499" spans="1:2" x14ac:dyDescent="0.3">
      <c r="A5499" s="4" t="s">
        <v>7318</v>
      </c>
      <c r="B5499" s="4" t="s">
        <v>7319</v>
      </c>
    </row>
    <row r="5500" spans="1:2" x14ac:dyDescent="0.3">
      <c r="A5500" s="4" t="s">
        <v>6622</v>
      </c>
      <c r="B5500" s="4" t="s">
        <v>11514</v>
      </c>
    </row>
    <row r="5501" spans="1:2" x14ac:dyDescent="0.3">
      <c r="A5501" s="4" t="s">
        <v>11515</v>
      </c>
      <c r="B5501" s="4" t="s">
        <v>11516</v>
      </c>
    </row>
    <row r="5502" spans="1:2" x14ac:dyDescent="0.3">
      <c r="A5502" s="4" t="s">
        <v>7320</v>
      </c>
      <c r="B5502" s="4" t="s">
        <v>7321</v>
      </c>
    </row>
    <row r="5503" spans="1:2" x14ac:dyDescent="0.3">
      <c r="A5503" s="4" t="s">
        <v>11517</v>
      </c>
      <c r="B5503" s="4" t="s">
        <v>11518</v>
      </c>
    </row>
    <row r="5504" spans="1:2" x14ac:dyDescent="0.3">
      <c r="A5504" s="4" t="s">
        <v>11519</v>
      </c>
      <c r="B5504" s="4" t="s">
        <v>11520</v>
      </c>
    </row>
    <row r="5505" spans="1:2" x14ac:dyDescent="0.3">
      <c r="A5505" s="4" t="s">
        <v>7323</v>
      </c>
      <c r="B5505" s="4" t="s">
        <v>7324</v>
      </c>
    </row>
    <row r="5506" spans="1:2" x14ac:dyDescent="0.3">
      <c r="A5506" s="4" t="s">
        <v>11521</v>
      </c>
      <c r="B5506" s="4" t="s">
        <v>11522</v>
      </c>
    </row>
    <row r="5507" spans="1:2" x14ac:dyDescent="0.3">
      <c r="A5507" s="4" t="s">
        <v>11523</v>
      </c>
      <c r="B5507" s="4" t="s">
        <v>11524</v>
      </c>
    </row>
    <row r="5508" spans="1:2" x14ac:dyDescent="0.3">
      <c r="A5508" s="4" t="s">
        <v>7326</v>
      </c>
      <c r="B5508" s="4" t="s">
        <v>7327</v>
      </c>
    </row>
    <row r="5509" spans="1:2" x14ac:dyDescent="0.3">
      <c r="A5509" s="4" t="s">
        <v>12763</v>
      </c>
      <c r="B5509" s="4" t="s">
        <v>12764</v>
      </c>
    </row>
    <row r="5510" spans="1:2" x14ac:dyDescent="0.3">
      <c r="A5510" s="4" t="s">
        <v>7329</v>
      </c>
      <c r="B5510" s="4" t="s">
        <v>7330</v>
      </c>
    </row>
    <row r="5511" spans="1:2" x14ac:dyDescent="0.3">
      <c r="A5511" s="4" t="s">
        <v>11525</v>
      </c>
      <c r="B5511" s="4" t="s">
        <v>11526</v>
      </c>
    </row>
    <row r="5512" spans="1:2" x14ac:dyDescent="0.3">
      <c r="A5512" s="4" t="s">
        <v>11527</v>
      </c>
      <c r="B5512" s="4" t="s">
        <v>11528</v>
      </c>
    </row>
    <row r="5513" spans="1:2" x14ac:dyDescent="0.3">
      <c r="A5513" s="4" t="s">
        <v>7331</v>
      </c>
      <c r="B5513" s="4" t="s">
        <v>7332</v>
      </c>
    </row>
    <row r="5514" spans="1:2" x14ac:dyDescent="0.3">
      <c r="A5514" s="4" t="s">
        <v>7333</v>
      </c>
      <c r="B5514" s="4" t="s">
        <v>7334</v>
      </c>
    </row>
    <row r="5515" spans="1:2" x14ac:dyDescent="0.3">
      <c r="A5515" s="4" t="s">
        <v>11529</v>
      </c>
      <c r="B5515" s="4" t="s">
        <v>11530</v>
      </c>
    </row>
    <row r="5516" spans="1:2" x14ac:dyDescent="0.3">
      <c r="A5516" s="4" t="s">
        <v>11531</v>
      </c>
      <c r="B5516" s="4" t="s">
        <v>11532</v>
      </c>
    </row>
    <row r="5517" spans="1:2" x14ac:dyDescent="0.3">
      <c r="A5517" s="4" t="s">
        <v>11533</v>
      </c>
      <c r="B5517" s="4" t="s">
        <v>11534</v>
      </c>
    </row>
    <row r="5518" spans="1:2" x14ac:dyDescent="0.3">
      <c r="A5518" s="4" t="s">
        <v>7336</v>
      </c>
      <c r="B5518" s="4" t="s">
        <v>7337</v>
      </c>
    </row>
    <row r="5519" spans="1:2" x14ac:dyDescent="0.3">
      <c r="A5519" s="4" t="s">
        <v>7338</v>
      </c>
      <c r="B5519" s="4" t="s">
        <v>7339</v>
      </c>
    </row>
    <row r="5520" spans="1:2" x14ac:dyDescent="0.3">
      <c r="A5520" s="4" t="s">
        <v>7340</v>
      </c>
      <c r="B5520" s="4" t="s">
        <v>7341</v>
      </c>
    </row>
    <row r="5521" spans="1:2" x14ac:dyDescent="0.3">
      <c r="A5521" s="4" t="s">
        <v>12765</v>
      </c>
      <c r="B5521" s="4" t="s">
        <v>12766</v>
      </c>
    </row>
    <row r="5522" spans="1:2" x14ac:dyDescent="0.3">
      <c r="A5522" s="4" t="s">
        <v>12767</v>
      </c>
      <c r="B5522" s="4" t="s">
        <v>12768</v>
      </c>
    </row>
    <row r="5523" spans="1:2" x14ac:dyDescent="0.3">
      <c r="A5523" s="4" t="s">
        <v>11535</v>
      </c>
      <c r="B5523" s="4" t="s">
        <v>11536</v>
      </c>
    </row>
    <row r="5524" spans="1:2" x14ac:dyDescent="0.3">
      <c r="A5524" s="4" t="s">
        <v>7342</v>
      </c>
      <c r="B5524" s="4" t="s">
        <v>7343</v>
      </c>
    </row>
    <row r="5525" spans="1:2" x14ac:dyDescent="0.3">
      <c r="A5525" s="4" t="s">
        <v>7344</v>
      </c>
      <c r="B5525" s="4" t="s">
        <v>7345</v>
      </c>
    </row>
    <row r="5526" spans="1:2" x14ac:dyDescent="0.3">
      <c r="A5526" s="4" t="s">
        <v>7346</v>
      </c>
      <c r="B5526" s="4" t="s">
        <v>7347</v>
      </c>
    </row>
    <row r="5527" spans="1:2" x14ac:dyDescent="0.3">
      <c r="A5527" s="4" t="s">
        <v>7348</v>
      </c>
      <c r="B5527" s="4" t="s">
        <v>7349</v>
      </c>
    </row>
    <row r="5528" spans="1:2" x14ac:dyDescent="0.3">
      <c r="A5528" s="4" t="s">
        <v>12769</v>
      </c>
      <c r="B5528" s="4" t="s">
        <v>12770</v>
      </c>
    </row>
    <row r="5529" spans="1:2" x14ac:dyDescent="0.3">
      <c r="A5529" s="4" t="s">
        <v>12771</v>
      </c>
      <c r="B5529" s="4" t="s">
        <v>12772</v>
      </c>
    </row>
    <row r="5530" spans="1:2" x14ac:dyDescent="0.3">
      <c r="A5530" s="4" t="s">
        <v>7350</v>
      </c>
      <c r="B5530" s="4" t="s">
        <v>7351</v>
      </c>
    </row>
    <row r="5531" spans="1:2" x14ac:dyDescent="0.3">
      <c r="A5531" s="4" t="s">
        <v>11537</v>
      </c>
      <c r="B5531" s="4" t="s">
        <v>9041</v>
      </c>
    </row>
    <row r="5532" spans="1:2" x14ac:dyDescent="0.3">
      <c r="A5532" s="4" t="s">
        <v>11538</v>
      </c>
      <c r="B5532" s="4" t="s">
        <v>11539</v>
      </c>
    </row>
    <row r="5533" spans="1:2" x14ac:dyDescent="0.3">
      <c r="A5533" s="4" t="s">
        <v>11540</v>
      </c>
      <c r="B5533" s="4" t="s">
        <v>11541</v>
      </c>
    </row>
    <row r="5534" spans="1:2" x14ac:dyDescent="0.3">
      <c r="A5534" s="4" t="s">
        <v>11542</v>
      </c>
      <c r="B5534" s="4" t="s">
        <v>11543</v>
      </c>
    </row>
    <row r="5535" spans="1:2" x14ac:dyDescent="0.3">
      <c r="A5535" s="4" t="s">
        <v>11544</v>
      </c>
      <c r="B5535" s="4" t="s">
        <v>11545</v>
      </c>
    </row>
    <row r="5536" spans="1:2" x14ac:dyDescent="0.3">
      <c r="A5536" s="4" t="s">
        <v>11546</v>
      </c>
      <c r="B5536" s="4" t="s">
        <v>11547</v>
      </c>
    </row>
    <row r="5537" spans="1:2" x14ac:dyDescent="0.3">
      <c r="A5537" s="4" t="s">
        <v>7352</v>
      </c>
      <c r="B5537" s="4" t="s">
        <v>7353</v>
      </c>
    </row>
    <row r="5538" spans="1:2" x14ac:dyDescent="0.3">
      <c r="A5538" s="4" t="s">
        <v>7354</v>
      </c>
      <c r="B5538" s="4" t="s">
        <v>7355</v>
      </c>
    </row>
    <row r="5539" spans="1:2" x14ac:dyDescent="0.3">
      <c r="A5539" s="4" t="s">
        <v>11548</v>
      </c>
      <c r="B5539" s="4" t="s">
        <v>11549</v>
      </c>
    </row>
    <row r="5540" spans="1:2" x14ac:dyDescent="0.3">
      <c r="A5540" s="4" t="s">
        <v>12773</v>
      </c>
      <c r="B5540" s="4" t="s">
        <v>12774</v>
      </c>
    </row>
    <row r="5541" spans="1:2" x14ac:dyDescent="0.3">
      <c r="A5541" s="4" t="s">
        <v>11550</v>
      </c>
      <c r="B5541" s="4" t="s">
        <v>11551</v>
      </c>
    </row>
    <row r="5542" spans="1:2" x14ac:dyDescent="0.3">
      <c r="A5542" s="4" t="s">
        <v>11552</v>
      </c>
      <c r="B5542" s="4" t="s">
        <v>11553</v>
      </c>
    </row>
    <row r="5543" spans="1:2" x14ac:dyDescent="0.3">
      <c r="A5543" s="4" t="s">
        <v>7357</v>
      </c>
      <c r="B5543" s="4" t="s">
        <v>7358</v>
      </c>
    </row>
    <row r="5544" spans="1:2" x14ac:dyDescent="0.3">
      <c r="A5544" s="4" t="s">
        <v>11554</v>
      </c>
      <c r="B5544" s="4" t="s">
        <v>11555</v>
      </c>
    </row>
    <row r="5545" spans="1:2" x14ac:dyDescent="0.3">
      <c r="A5545" s="4" t="s">
        <v>11557</v>
      </c>
      <c r="B5545" s="4" t="s">
        <v>11558</v>
      </c>
    </row>
    <row r="5546" spans="1:2" x14ac:dyDescent="0.3">
      <c r="A5546" s="4" t="s">
        <v>11559</v>
      </c>
      <c r="B5546" s="4" t="s">
        <v>11560</v>
      </c>
    </row>
    <row r="5547" spans="1:2" x14ac:dyDescent="0.3">
      <c r="A5547" s="4" t="s">
        <v>7360</v>
      </c>
      <c r="B5547" s="4" t="s">
        <v>7361</v>
      </c>
    </row>
    <row r="5548" spans="1:2" x14ac:dyDescent="0.3">
      <c r="A5548" s="4" t="s">
        <v>11561</v>
      </c>
      <c r="B5548" s="4" t="s">
        <v>11562</v>
      </c>
    </row>
    <row r="5549" spans="1:2" x14ac:dyDescent="0.3">
      <c r="A5549" s="4" t="s">
        <v>12775</v>
      </c>
      <c r="B5549" s="4" t="s">
        <v>12776</v>
      </c>
    </row>
    <row r="5550" spans="1:2" x14ac:dyDescent="0.3">
      <c r="A5550" s="4" t="s">
        <v>11563</v>
      </c>
      <c r="B5550" s="4" t="s">
        <v>11564</v>
      </c>
    </row>
    <row r="5551" spans="1:2" x14ac:dyDescent="0.3">
      <c r="A5551" s="4" t="s">
        <v>11565</v>
      </c>
      <c r="B5551" s="4" t="s">
        <v>11566</v>
      </c>
    </row>
    <row r="5552" spans="1:2" x14ac:dyDescent="0.3">
      <c r="A5552" s="4" t="s">
        <v>11567</v>
      </c>
      <c r="B5552" s="4" t="s">
        <v>11568</v>
      </c>
    </row>
    <row r="5553" spans="1:2" x14ac:dyDescent="0.3">
      <c r="A5553" s="4" t="s">
        <v>7362</v>
      </c>
      <c r="B5553" s="4" t="s">
        <v>7363</v>
      </c>
    </row>
    <row r="5554" spans="1:2" x14ac:dyDescent="0.3">
      <c r="A5554" s="4" t="s">
        <v>11569</v>
      </c>
      <c r="B5554" s="4" t="s">
        <v>11570</v>
      </c>
    </row>
    <row r="5555" spans="1:2" x14ac:dyDescent="0.3">
      <c r="A5555" s="4" t="s">
        <v>11571</v>
      </c>
      <c r="B5555" s="4" t="s">
        <v>11572</v>
      </c>
    </row>
    <row r="5556" spans="1:2" x14ac:dyDescent="0.3">
      <c r="A5556" s="4" t="s">
        <v>7364</v>
      </c>
      <c r="B5556" s="4" t="s">
        <v>7365</v>
      </c>
    </row>
    <row r="5557" spans="1:2" x14ac:dyDescent="0.3">
      <c r="A5557" s="4" t="s">
        <v>7366</v>
      </c>
      <c r="B5557" s="4" t="s">
        <v>7367</v>
      </c>
    </row>
    <row r="5558" spans="1:2" x14ac:dyDescent="0.3">
      <c r="A5558" s="4" t="s">
        <v>11573</v>
      </c>
      <c r="B5558" s="4" t="s">
        <v>11574</v>
      </c>
    </row>
    <row r="5559" spans="1:2" x14ac:dyDescent="0.3">
      <c r="A5559" s="4" t="s">
        <v>11575</v>
      </c>
      <c r="B5559" s="4" t="s">
        <v>9047</v>
      </c>
    </row>
    <row r="5560" spans="1:2" x14ac:dyDescent="0.3">
      <c r="A5560" s="4" t="s">
        <v>11576</v>
      </c>
      <c r="B5560" s="4" t="s">
        <v>11577</v>
      </c>
    </row>
    <row r="5561" spans="1:2" x14ac:dyDescent="0.3">
      <c r="A5561" s="4" t="s">
        <v>7368</v>
      </c>
      <c r="B5561" s="4" t="s">
        <v>7369</v>
      </c>
    </row>
    <row r="5562" spans="1:2" x14ac:dyDescent="0.3">
      <c r="A5562" s="4" t="s">
        <v>11578</v>
      </c>
      <c r="B5562" s="4" t="s">
        <v>11579</v>
      </c>
    </row>
    <row r="5563" spans="1:2" x14ac:dyDescent="0.3">
      <c r="A5563" s="4" t="s">
        <v>7370</v>
      </c>
      <c r="B5563" s="4" t="s">
        <v>7371</v>
      </c>
    </row>
    <row r="5564" spans="1:2" x14ac:dyDescent="0.3">
      <c r="A5564" s="4" t="s">
        <v>7372</v>
      </c>
      <c r="B5564" s="4" t="s">
        <v>7373</v>
      </c>
    </row>
    <row r="5565" spans="1:2" x14ac:dyDescent="0.3">
      <c r="A5565" s="4" t="s">
        <v>11580</v>
      </c>
      <c r="B5565" s="4" t="s">
        <v>11581</v>
      </c>
    </row>
    <row r="5566" spans="1:2" x14ac:dyDescent="0.3">
      <c r="A5566" s="4" t="s">
        <v>11582</v>
      </c>
      <c r="B5566" s="4" t="s">
        <v>11583</v>
      </c>
    </row>
    <row r="5567" spans="1:2" x14ac:dyDescent="0.3">
      <c r="A5567" s="4" t="s">
        <v>7374</v>
      </c>
      <c r="B5567" s="4" t="s">
        <v>7375</v>
      </c>
    </row>
    <row r="5568" spans="1:2" x14ac:dyDescent="0.3">
      <c r="A5568" s="4" t="s">
        <v>11584</v>
      </c>
      <c r="B5568" s="4" t="s">
        <v>11585</v>
      </c>
    </row>
    <row r="5569" spans="1:2" x14ac:dyDescent="0.3">
      <c r="A5569" s="4" t="s">
        <v>12777</v>
      </c>
      <c r="B5569" s="4" t="s">
        <v>12778</v>
      </c>
    </row>
    <row r="5570" spans="1:2" x14ac:dyDescent="0.3">
      <c r="A5570" s="4" t="s">
        <v>11586</v>
      </c>
      <c r="B5570" s="4" t="s">
        <v>11587</v>
      </c>
    </row>
    <row r="5571" spans="1:2" x14ac:dyDescent="0.3">
      <c r="A5571" s="4" t="s">
        <v>7376</v>
      </c>
      <c r="B5571" s="4" t="s">
        <v>7377</v>
      </c>
    </row>
    <row r="5572" spans="1:2" x14ac:dyDescent="0.3">
      <c r="A5572" s="4" t="s">
        <v>11588</v>
      </c>
      <c r="B5572" s="4" t="s">
        <v>11589</v>
      </c>
    </row>
    <row r="5573" spans="1:2" x14ac:dyDescent="0.3">
      <c r="A5573" s="4" t="s">
        <v>7378</v>
      </c>
      <c r="B5573" s="4" t="s">
        <v>7379</v>
      </c>
    </row>
    <row r="5574" spans="1:2" x14ac:dyDescent="0.3">
      <c r="A5574" s="4" t="s">
        <v>11590</v>
      </c>
      <c r="B5574" s="4" t="s">
        <v>11591</v>
      </c>
    </row>
    <row r="5575" spans="1:2" x14ac:dyDescent="0.3">
      <c r="A5575" s="4" t="s">
        <v>7380</v>
      </c>
      <c r="B5575" s="4" t="s">
        <v>7381</v>
      </c>
    </row>
    <row r="5576" spans="1:2" x14ac:dyDescent="0.3">
      <c r="A5576" s="4" t="s">
        <v>7382</v>
      </c>
      <c r="B5576" s="4" t="s">
        <v>7383</v>
      </c>
    </row>
    <row r="5577" spans="1:2" x14ac:dyDescent="0.3">
      <c r="A5577" s="4" t="s">
        <v>7384</v>
      </c>
      <c r="B5577" s="4" t="s">
        <v>7385</v>
      </c>
    </row>
    <row r="5578" spans="1:2" x14ac:dyDescent="0.3">
      <c r="A5578" s="4" t="s">
        <v>6046</v>
      </c>
      <c r="B5578" s="4" t="s">
        <v>11592</v>
      </c>
    </row>
    <row r="5579" spans="1:2" x14ac:dyDescent="0.3">
      <c r="A5579" s="4" t="s">
        <v>7386</v>
      </c>
      <c r="B5579" s="4" t="s">
        <v>7387</v>
      </c>
    </row>
    <row r="5580" spans="1:2" x14ac:dyDescent="0.3">
      <c r="A5580" s="4" t="s">
        <v>7388</v>
      </c>
      <c r="B5580" s="4" t="s">
        <v>7389</v>
      </c>
    </row>
    <row r="5581" spans="1:2" x14ac:dyDescent="0.3">
      <c r="A5581" s="4" t="s">
        <v>7390</v>
      </c>
      <c r="B5581" s="4" t="s">
        <v>7391</v>
      </c>
    </row>
    <row r="5582" spans="1:2" x14ac:dyDescent="0.3">
      <c r="A5582" s="4" t="s">
        <v>7392</v>
      </c>
      <c r="B5582" s="4" t="s">
        <v>7393</v>
      </c>
    </row>
    <row r="5583" spans="1:2" x14ac:dyDescent="0.3">
      <c r="A5583" s="4" t="s">
        <v>7394</v>
      </c>
      <c r="B5583" s="4" t="s">
        <v>7395</v>
      </c>
    </row>
    <row r="5584" spans="1:2" x14ac:dyDescent="0.3">
      <c r="A5584" s="4" t="s">
        <v>7396</v>
      </c>
      <c r="B5584" s="4" t="s">
        <v>7397</v>
      </c>
    </row>
    <row r="5585" spans="1:2" x14ac:dyDescent="0.3">
      <c r="A5585" s="4" t="s">
        <v>7398</v>
      </c>
      <c r="B5585" s="4" t="s">
        <v>7399</v>
      </c>
    </row>
    <row r="5586" spans="1:2" x14ac:dyDescent="0.3">
      <c r="A5586" s="4" t="s">
        <v>11593</v>
      </c>
      <c r="B5586" s="4" t="s">
        <v>11594</v>
      </c>
    </row>
    <row r="5587" spans="1:2" x14ac:dyDescent="0.3">
      <c r="A5587" s="4" t="s">
        <v>11595</v>
      </c>
      <c r="B5587" s="4" t="s">
        <v>7400</v>
      </c>
    </row>
    <row r="5588" spans="1:2" x14ac:dyDescent="0.3">
      <c r="A5588" s="4" t="s">
        <v>7401</v>
      </c>
      <c r="B5588" s="4" t="s">
        <v>7402</v>
      </c>
    </row>
    <row r="5589" spans="1:2" x14ac:dyDescent="0.3">
      <c r="A5589" s="4" t="s">
        <v>7403</v>
      </c>
      <c r="B5589" s="4" t="s">
        <v>7404</v>
      </c>
    </row>
    <row r="5590" spans="1:2" x14ac:dyDescent="0.3">
      <c r="A5590" s="4" t="s">
        <v>7405</v>
      </c>
      <c r="B5590" s="4" t="s">
        <v>7406</v>
      </c>
    </row>
    <row r="5591" spans="1:2" x14ac:dyDescent="0.3">
      <c r="A5591" s="4" t="s">
        <v>7407</v>
      </c>
      <c r="B5591" s="4" t="s">
        <v>7408</v>
      </c>
    </row>
    <row r="5592" spans="1:2" x14ac:dyDescent="0.3">
      <c r="A5592" s="4" t="s">
        <v>7409</v>
      </c>
      <c r="B5592" s="4" t="s">
        <v>7410</v>
      </c>
    </row>
    <row r="5593" spans="1:2" x14ac:dyDescent="0.3">
      <c r="A5593" s="4" t="s">
        <v>11596</v>
      </c>
      <c r="B5593" s="4" t="s">
        <v>11597</v>
      </c>
    </row>
    <row r="5594" spans="1:2" x14ac:dyDescent="0.3">
      <c r="A5594" s="4" t="s">
        <v>7412</v>
      </c>
      <c r="B5594" s="4" t="s">
        <v>7413</v>
      </c>
    </row>
    <row r="5595" spans="1:2" x14ac:dyDescent="0.3">
      <c r="A5595" s="4" t="s">
        <v>7414</v>
      </c>
      <c r="B5595" s="4" t="s">
        <v>7415</v>
      </c>
    </row>
    <row r="5596" spans="1:2" x14ac:dyDescent="0.3">
      <c r="A5596" s="4" t="s">
        <v>11598</v>
      </c>
      <c r="B5596" s="4" t="s">
        <v>11599</v>
      </c>
    </row>
    <row r="5597" spans="1:2" x14ac:dyDescent="0.3">
      <c r="A5597" s="4" t="s">
        <v>11600</v>
      </c>
      <c r="B5597" s="4" t="s">
        <v>11601</v>
      </c>
    </row>
    <row r="5598" spans="1:2" x14ac:dyDescent="0.3">
      <c r="A5598" s="4" t="s">
        <v>11602</v>
      </c>
      <c r="B5598" s="4" t="s">
        <v>11603</v>
      </c>
    </row>
    <row r="5599" spans="1:2" x14ac:dyDescent="0.3">
      <c r="A5599" s="4" t="s">
        <v>11604</v>
      </c>
      <c r="B5599" s="4" t="s">
        <v>11605</v>
      </c>
    </row>
    <row r="5600" spans="1:2" x14ac:dyDescent="0.3">
      <c r="A5600" s="4" t="s">
        <v>11606</v>
      </c>
      <c r="B5600" s="4" t="s">
        <v>11607</v>
      </c>
    </row>
    <row r="5601" spans="1:2" x14ac:dyDescent="0.3">
      <c r="A5601" s="4" t="s">
        <v>12779</v>
      </c>
      <c r="B5601" s="4" t="s">
        <v>12780</v>
      </c>
    </row>
    <row r="5602" spans="1:2" x14ac:dyDescent="0.3">
      <c r="A5602" s="4" t="s">
        <v>7417</v>
      </c>
      <c r="B5602" s="4" t="s">
        <v>7418</v>
      </c>
    </row>
    <row r="5603" spans="1:2" x14ac:dyDescent="0.3">
      <c r="A5603" s="4" t="s">
        <v>7419</v>
      </c>
      <c r="B5603" s="4" t="s">
        <v>7420</v>
      </c>
    </row>
    <row r="5604" spans="1:2" x14ac:dyDescent="0.3">
      <c r="A5604" s="4" t="s">
        <v>7421</v>
      </c>
      <c r="B5604" s="4" t="s">
        <v>7422</v>
      </c>
    </row>
    <row r="5605" spans="1:2" x14ac:dyDescent="0.3">
      <c r="A5605" s="4" t="s">
        <v>12781</v>
      </c>
      <c r="B5605" s="4" t="s">
        <v>12782</v>
      </c>
    </row>
    <row r="5606" spans="1:2" x14ac:dyDescent="0.3">
      <c r="A5606" s="4" t="s">
        <v>7423</v>
      </c>
      <c r="B5606" s="4" t="s">
        <v>7424</v>
      </c>
    </row>
    <row r="5607" spans="1:2" x14ac:dyDescent="0.3">
      <c r="A5607" s="4" t="s">
        <v>7425</v>
      </c>
      <c r="B5607" s="4" t="s">
        <v>7426</v>
      </c>
    </row>
    <row r="5608" spans="1:2" x14ac:dyDescent="0.3">
      <c r="A5608" s="4" t="s">
        <v>12783</v>
      </c>
      <c r="B5608" s="4" t="s">
        <v>12784</v>
      </c>
    </row>
    <row r="5609" spans="1:2" x14ac:dyDescent="0.3">
      <c r="A5609" s="4" t="s">
        <v>11608</v>
      </c>
      <c r="B5609" s="4" t="s">
        <v>11609</v>
      </c>
    </row>
    <row r="5610" spans="1:2" x14ac:dyDescent="0.3">
      <c r="A5610" s="4" t="s">
        <v>7427</v>
      </c>
      <c r="B5610" s="4" t="s">
        <v>7428</v>
      </c>
    </row>
    <row r="5611" spans="1:2" x14ac:dyDescent="0.3">
      <c r="A5611" s="4" t="s">
        <v>11610</v>
      </c>
      <c r="B5611" s="4" t="s">
        <v>11611</v>
      </c>
    </row>
    <row r="5612" spans="1:2" x14ac:dyDescent="0.3">
      <c r="A5612" s="4" t="s">
        <v>7429</v>
      </c>
      <c r="B5612" s="4" t="s">
        <v>7430</v>
      </c>
    </row>
    <row r="5613" spans="1:2" x14ac:dyDescent="0.3">
      <c r="A5613" s="4" t="s">
        <v>12785</v>
      </c>
      <c r="B5613" s="4" t="s">
        <v>12786</v>
      </c>
    </row>
    <row r="5614" spans="1:2" x14ac:dyDescent="0.3">
      <c r="A5614" s="4" t="s">
        <v>7431</v>
      </c>
      <c r="B5614" s="4" t="s">
        <v>7432</v>
      </c>
    </row>
    <row r="5615" spans="1:2" x14ac:dyDescent="0.3">
      <c r="A5615" s="4" t="s">
        <v>12787</v>
      </c>
      <c r="B5615" s="4" t="s">
        <v>12788</v>
      </c>
    </row>
    <row r="5616" spans="1:2" x14ac:dyDescent="0.3">
      <c r="A5616" s="4" t="s">
        <v>11612</v>
      </c>
      <c r="B5616" s="4" t="s">
        <v>11613</v>
      </c>
    </row>
    <row r="5617" spans="1:2" x14ac:dyDescent="0.3">
      <c r="A5617" s="4" t="s">
        <v>7433</v>
      </c>
      <c r="B5617" s="4" t="s">
        <v>7434</v>
      </c>
    </row>
    <row r="5618" spans="1:2" x14ac:dyDescent="0.3">
      <c r="A5618" s="4" t="s">
        <v>7435</v>
      </c>
      <c r="B5618" s="4" t="s">
        <v>7436</v>
      </c>
    </row>
    <row r="5619" spans="1:2" x14ac:dyDescent="0.3">
      <c r="A5619" s="4" t="s">
        <v>11614</v>
      </c>
      <c r="B5619" s="4" t="s">
        <v>11615</v>
      </c>
    </row>
    <row r="5620" spans="1:2" x14ac:dyDescent="0.3">
      <c r="A5620" s="4" t="s">
        <v>11616</v>
      </c>
      <c r="B5620" s="4" t="s">
        <v>11617</v>
      </c>
    </row>
    <row r="5621" spans="1:2" x14ac:dyDescent="0.3">
      <c r="A5621" s="4" t="s">
        <v>11618</v>
      </c>
      <c r="B5621" s="4" t="s">
        <v>11619</v>
      </c>
    </row>
    <row r="5622" spans="1:2" x14ac:dyDescent="0.3">
      <c r="A5622" s="4" t="s">
        <v>7437</v>
      </c>
      <c r="B5622" s="4" t="s">
        <v>7438</v>
      </c>
    </row>
    <row r="5623" spans="1:2" x14ac:dyDescent="0.3">
      <c r="A5623" s="4" t="s">
        <v>11620</v>
      </c>
      <c r="B5623" s="4" t="s">
        <v>11621</v>
      </c>
    </row>
    <row r="5624" spans="1:2" x14ac:dyDescent="0.3">
      <c r="A5624" s="4" t="s">
        <v>7440</v>
      </c>
      <c r="B5624" s="4" t="s">
        <v>7441</v>
      </c>
    </row>
    <row r="5625" spans="1:2" x14ac:dyDescent="0.3">
      <c r="A5625" s="4" t="s">
        <v>7442</v>
      </c>
      <c r="B5625" s="4" t="s">
        <v>7443</v>
      </c>
    </row>
    <row r="5626" spans="1:2" x14ac:dyDescent="0.3">
      <c r="A5626" s="4" t="s">
        <v>11622</v>
      </c>
      <c r="B5626" s="4" t="s">
        <v>11623</v>
      </c>
    </row>
    <row r="5627" spans="1:2" x14ac:dyDescent="0.3">
      <c r="A5627" s="4" t="s">
        <v>11624</v>
      </c>
      <c r="B5627" s="4" t="s">
        <v>11625</v>
      </c>
    </row>
    <row r="5628" spans="1:2" x14ac:dyDescent="0.3">
      <c r="A5628" s="4" t="s">
        <v>12789</v>
      </c>
      <c r="B5628" s="4" t="s">
        <v>12790</v>
      </c>
    </row>
    <row r="5629" spans="1:2" x14ac:dyDescent="0.3">
      <c r="A5629" s="4" t="s">
        <v>11626</v>
      </c>
      <c r="B5629" s="4" t="s">
        <v>11627</v>
      </c>
    </row>
    <row r="5630" spans="1:2" x14ac:dyDescent="0.3">
      <c r="A5630" s="4" t="s">
        <v>11628</v>
      </c>
      <c r="B5630" s="4" t="s">
        <v>11629</v>
      </c>
    </row>
    <row r="5631" spans="1:2" x14ac:dyDescent="0.3">
      <c r="A5631" s="4" t="s">
        <v>11630</v>
      </c>
      <c r="B5631" s="4" t="s">
        <v>11631</v>
      </c>
    </row>
    <row r="5632" spans="1:2" x14ac:dyDescent="0.3">
      <c r="A5632" s="4" t="s">
        <v>7444</v>
      </c>
      <c r="B5632" s="4" t="s">
        <v>7445</v>
      </c>
    </row>
    <row r="5633" spans="1:2" x14ac:dyDescent="0.3">
      <c r="A5633" s="4" t="s">
        <v>12791</v>
      </c>
      <c r="B5633" s="4" t="s">
        <v>12792</v>
      </c>
    </row>
    <row r="5634" spans="1:2" x14ac:dyDescent="0.3">
      <c r="A5634" s="4" t="s">
        <v>12793</v>
      </c>
      <c r="B5634" s="4" t="s">
        <v>12794</v>
      </c>
    </row>
    <row r="5635" spans="1:2" x14ac:dyDescent="0.3">
      <c r="A5635" s="4" t="s">
        <v>11632</v>
      </c>
      <c r="B5635" s="4" t="s">
        <v>11633</v>
      </c>
    </row>
    <row r="5636" spans="1:2" x14ac:dyDescent="0.3">
      <c r="A5636" s="4" t="s">
        <v>7446</v>
      </c>
      <c r="B5636" s="4" t="s">
        <v>7447</v>
      </c>
    </row>
    <row r="5637" spans="1:2" x14ac:dyDescent="0.3">
      <c r="A5637" s="4" t="s">
        <v>7448</v>
      </c>
      <c r="B5637" s="4" t="s">
        <v>7449</v>
      </c>
    </row>
    <row r="5638" spans="1:2" x14ac:dyDescent="0.3">
      <c r="A5638" s="4" t="s">
        <v>11634</v>
      </c>
      <c r="B5638" s="4" t="s">
        <v>11635</v>
      </c>
    </row>
    <row r="5639" spans="1:2" x14ac:dyDescent="0.3">
      <c r="A5639" s="4" t="s">
        <v>7451</v>
      </c>
      <c r="B5639" s="4" t="s">
        <v>7452</v>
      </c>
    </row>
    <row r="5640" spans="1:2" x14ac:dyDescent="0.3">
      <c r="A5640" s="4" t="s">
        <v>7453</v>
      </c>
      <c r="B5640" s="4" t="s">
        <v>7454</v>
      </c>
    </row>
    <row r="5641" spans="1:2" x14ac:dyDescent="0.3">
      <c r="A5641" s="4" t="s">
        <v>7455</v>
      </c>
      <c r="B5641" s="4" t="s">
        <v>7456</v>
      </c>
    </row>
    <row r="5642" spans="1:2" x14ac:dyDescent="0.3">
      <c r="A5642" s="4" t="s">
        <v>7457</v>
      </c>
      <c r="B5642" s="4" t="s">
        <v>7458</v>
      </c>
    </row>
    <row r="5643" spans="1:2" x14ac:dyDescent="0.3">
      <c r="A5643" s="4" t="s">
        <v>11637</v>
      </c>
      <c r="B5643" s="4" t="s">
        <v>11638</v>
      </c>
    </row>
    <row r="5644" spans="1:2" x14ac:dyDescent="0.3">
      <c r="A5644" s="4" t="s">
        <v>7460</v>
      </c>
      <c r="B5644" s="4" t="s">
        <v>7461</v>
      </c>
    </row>
    <row r="5645" spans="1:2" x14ac:dyDescent="0.3">
      <c r="A5645" s="4" t="s">
        <v>7462</v>
      </c>
      <c r="B5645" s="4" t="s">
        <v>7463</v>
      </c>
    </row>
    <row r="5646" spans="1:2" x14ac:dyDescent="0.3">
      <c r="A5646" s="4" t="s">
        <v>7059</v>
      </c>
      <c r="B5646" s="4" t="s">
        <v>11639</v>
      </c>
    </row>
    <row r="5647" spans="1:2" x14ac:dyDescent="0.3">
      <c r="A5647" s="4" t="s">
        <v>11640</v>
      </c>
      <c r="B5647" s="4" t="s">
        <v>9060</v>
      </c>
    </row>
    <row r="5648" spans="1:2" x14ac:dyDescent="0.3">
      <c r="A5648" s="4" t="s">
        <v>7464</v>
      </c>
      <c r="B5648" s="4" t="s">
        <v>7465</v>
      </c>
    </row>
    <row r="5649" spans="1:2" x14ac:dyDescent="0.3">
      <c r="A5649" s="4" t="s">
        <v>7466</v>
      </c>
      <c r="B5649" s="4" t="s">
        <v>7467</v>
      </c>
    </row>
    <row r="5650" spans="1:2" x14ac:dyDescent="0.3">
      <c r="A5650" s="4" t="s">
        <v>12795</v>
      </c>
      <c r="B5650" s="4" t="s">
        <v>12796</v>
      </c>
    </row>
    <row r="5651" spans="1:2" x14ac:dyDescent="0.3">
      <c r="A5651" s="4" t="s">
        <v>7468</v>
      </c>
      <c r="B5651" s="4" t="s">
        <v>7469</v>
      </c>
    </row>
    <row r="5652" spans="1:2" x14ac:dyDescent="0.3">
      <c r="A5652" s="4" t="s">
        <v>7470</v>
      </c>
      <c r="B5652" s="4" t="s">
        <v>7471</v>
      </c>
    </row>
    <row r="5653" spans="1:2" x14ac:dyDescent="0.3">
      <c r="A5653" s="4" t="s">
        <v>7475</v>
      </c>
      <c r="B5653" s="4" t="s">
        <v>7476</v>
      </c>
    </row>
    <row r="5654" spans="1:2" x14ac:dyDescent="0.3">
      <c r="A5654" s="4" t="s">
        <v>7459</v>
      </c>
      <c r="B5654" s="4" t="s">
        <v>11641</v>
      </c>
    </row>
    <row r="5655" spans="1:2" x14ac:dyDescent="0.3">
      <c r="A5655" s="4" t="s">
        <v>7477</v>
      </c>
      <c r="B5655" s="4" t="s">
        <v>7478</v>
      </c>
    </row>
    <row r="5656" spans="1:2" x14ac:dyDescent="0.3">
      <c r="A5656" s="4" t="s">
        <v>11642</v>
      </c>
      <c r="B5656" s="4" t="s">
        <v>11643</v>
      </c>
    </row>
    <row r="5657" spans="1:2" x14ac:dyDescent="0.3">
      <c r="A5657" s="4" t="s">
        <v>11644</v>
      </c>
      <c r="B5657" s="4" t="s">
        <v>9063</v>
      </c>
    </row>
    <row r="5658" spans="1:2" x14ac:dyDescent="0.3">
      <c r="A5658" s="4" t="s">
        <v>7479</v>
      </c>
      <c r="B5658" s="4" t="s">
        <v>7480</v>
      </c>
    </row>
    <row r="5659" spans="1:2" x14ac:dyDescent="0.3">
      <c r="A5659" s="4" t="s">
        <v>11645</v>
      </c>
      <c r="B5659" s="4" t="s">
        <v>11646</v>
      </c>
    </row>
    <row r="5660" spans="1:2" x14ac:dyDescent="0.3">
      <c r="A5660" s="4" t="s">
        <v>11647</v>
      </c>
      <c r="B5660" s="4" t="s">
        <v>11648</v>
      </c>
    </row>
    <row r="5661" spans="1:2" x14ac:dyDescent="0.3">
      <c r="A5661" s="4" t="s">
        <v>11649</v>
      </c>
      <c r="B5661" s="4" t="s">
        <v>11650</v>
      </c>
    </row>
    <row r="5662" spans="1:2" x14ac:dyDescent="0.3">
      <c r="A5662" s="4" t="s">
        <v>7481</v>
      </c>
      <c r="B5662" s="4" t="s">
        <v>7482</v>
      </c>
    </row>
    <row r="5663" spans="1:2" x14ac:dyDescent="0.3">
      <c r="A5663" s="4" t="s">
        <v>7450</v>
      </c>
      <c r="B5663" s="4" t="s">
        <v>11651</v>
      </c>
    </row>
    <row r="5664" spans="1:2" x14ac:dyDescent="0.3">
      <c r="A5664" s="4" t="s">
        <v>11652</v>
      </c>
      <c r="B5664" s="4" t="s">
        <v>11653</v>
      </c>
    </row>
    <row r="5665" spans="1:2" x14ac:dyDescent="0.3">
      <c r="A5665" s="4" t="s">
        <v>11654</v>
      </c>
      <c r="B5665" s="4" t="s">
        <v>11655</v>
      </c>
    </row>
    <row r="5666" spans="1:2" x14ac:dyDescent="0.3">
      <c r="A5666" s="4" t="s">
        <v>11656</v>
      </c>
      <c r="B5666" s="4" t="s">
        <v>11657</v>
      </c>
    </row>
    <row r="5667" spans="1:2" x14ac:dyDescent="0.3">
      <c r="A5667" s="4" t="s">
        <v>7485</v>
      </c>
      <c r="B5667" s="4" t="s">
        <v>7486</v>
      </c>
    </row>
    <row r="5668" spans="1:2" x14ac:dyDescent="0.3">
      <c r="A5668" s="4" t="s">
        <v>7487</v>
      </c>
      <c r="B5668" s="4" t="s">
        <v>7488</v>
      </c>
    </row>
    <row r="5669" spans="1:2" x14ac:dyDescent="0.3">
      <c r="A5669" s="4" t="s">
        <v>11658</v>
      </c>
      <c r="B5669" s="4" t="s">
        <v>11659</v>
      </c>
    </row>
    <row r="5670" spans="1:2" x14ac:dyDescent="0.3">
      <c r="A5670" s="4" t="s">
        <v>7489</v>
      </c>
      <c r="B5670" s="4" t="s">
        <v>7490</v>
      </c>
    </row>
    <row r="5671" spans="1:2" x14ac:dyDescent="0.3">
      <c r="A5671" s="4" t="s">
        <v>11660</v>
      </c>
      <c r="B5671" s="4" t="s">
        <v>11661</v>
      </c>
    </row>
    <row r="5672" spans="1:2" x14ac:dyDescent="0.3">
      <c r="A5672" s="4" t="s">
        <v>7491</v>
      </c>
      <c r="B5672" s="4" t="s">
        <v>7492</v>
      </c>
    </row>
    <row r="5673" spans="1:2" x14ac:dyDescent="0.3">
      <c r="A5673" s="4" t="s">
        <v>7493</v>
      </c>
      <c r="B5673" s="4" t="s">
        <v>7494</v>
      </c>
    </row>
    <row r="5674" spans="1:2" x14ac:dyDescent="0.3">
      <c r="A5674" s="4" t="s">
        <v>11662</v>
      </c>
      <c r="B5674" s="4" t="s">
        <v>11663</v>
      </c>
    </row>
    <row r="5675" spans="1:2" x14ac:dyDescent="0.3">
      <c r="A5675" s="4" t="s">
        <v>11664</v>
      </c>
      <c r="B5675" s="4" t="s">
        <v>11665</v>
      </c>
    </row>
    <row r="5676" spans="1:2" x14ac:dyDescent="0.3">
      <c r="A5676" s="4" t="s">
        <v>11666</v>
      </c>
      <c r="B5676" s="4" t="s">
        <v>11667</v>
      </c>
    </row>
    <row r="5677" spans="1:2" x14ac:dyDescent="0.3">
      <c r="A5677" s="4" t="s">
        <v>7495</v>
      </c>
      <c r="B5677" s="4" t="s">
        <v>7496</v>
      </c>
    </row>
    <row r="5678" spans="1:2" x14ac:dyDescent="0.3">
      <c r="A5678" s="4" t="s">
        <v>7497</v>
      </c>
      <c r="B5678" s="4" t="s">
        <v>7498</v>
      </c>
    </row>
    <row r="5679" spans="1:2" x14ac:dyDescent="0.3">
      <c r="A5679" s="4" t="s">
        <v>7499</v>
      </c>
      <c r="B5679" s="4" t="s">
        <v>7500</v>
      </c>
    </row>
    <row r="5680" spans="1:2" x14ac:dyDescent="0.3">
      <c r="A5680" s="4" t="s">
        <v>7501</v>
      </c>
      <c r="B5680" s="4" t="s">
        <v>7502</v>
      </c>
    </row>
    <row r="5681" spans="1:2" x14ac:dyDescent="0.3">
      <c r="A5681" s="4" t="s">
        <v>11668</v>
      </c>
      <c r="B5681" s="4" t="s">
        <v>3492</v>
      </c>
    </row>
    <row r="5682" spans="1:2" x14ac:dyDescent="0.3">
      <c r="A5682" s="4" t="s">
        <v>7503</v>
      </c>
      <c r="B5682" s="4" t="s">
        <v>7504</v>
      </c>
    </row>
    <row r="5683" spans="1:2" x14ac:dyDescent="0.3">
      <c r="A5683" s="4" t="s">
        <v>12797</v>
      </c>
      <c r="B5683" s="4" t="s">
        <v>12798</v>
      </c>
    </row>
    <row r="5684" spans="1:2" x14ac:dyDescent="0.3">
      <c r="A5684" s="4" t="s">
        <v>7506</v>
      </c>
      <c r="B5684" s="4" t="s">
        <v>7507</v>
      </c>
    </row>
    <row r="5685" spans="1:2" x14ac:dyDescent="0.3">
      <c r="A5685" s="4" t="s">
        <v>11670</v>
      </c>
      <c r="B5685" s="4" t="s">
        <v>11671</v>
      </c>
    </row>
    <row r="5686" spans="1:2" x14ac:dyDescent="0.3">
      <c r="A5686" s="4" t="s">
        <v>7508</v>
      </c>
      <c r="B5686" s="4" t="s">
        <v>7509</v>
      </c>
    </row>
    <row r="5687" spans="1:2" x14ac:dyDescent="0.3">
      <c r="A5687" s="4" t="s">
        <v>7510</v>
      </c>
      <c r="B5687" s="4" t="s">
        <v>7511</v>
      </c>
    </row>
    <row r="5688" spans="1:2" x14ac:dyDescent="0.3">
      <c r="A5688" s="4" t="s">
        <v>7512</v>
      </c>
      <c r="B5688" s="4" t="s">
        <v>7513</v>
      </c>
    </row>
    <row r="5689" spans="1:2" x14ac:dyDescent="0.3">
      <c r="A5689" s="4" t="s">
        <v>11672</v>
      </c>
      <c r="B5689" s="4" t="s">
        <v>11673</v>
      </c>
    </row>
    <row r="5690" spans="1:2" x14ac:dyDescent="0.3">
      <c r="A5690" s="4" t="s">
        <v>11674</v>
      </c>
      <c r="B5690" s="4" t="s">
        <v>11675</v>
      </c>
    </row>
    <row r="5691" spans="1:2" x14ac:dyDescent="0.3">
      <c r="A5691" s="4" t="s">
        <v>7514</v>
      </c>
      <c r="B5691" s="4" t="s">
        <v>7515</v>
      </c>
    </row>
    <row r="5692" spans="1:2" x14ac:dyDescent="0.3">
      <c r="A5692" s="4" t="s">
        <v>7516</v>
      </c>
      <c r="B5692" s="4" t="s">
        <v>7517</v>
      </c>
    </row>
    <row r="5693" spans="1:2" x14ac:dyDescent="0.3">
      <c r="A5693" s="4" t="s">
        <v>11676</v>
      </c>
      <c r="B5693" s="4" t="s">
        <v>11677</v>
      </c>
    </row>
    <row r="5694" spans="1:2" x14ac:dyDescent="0.3">
      <c r="A5694" s="4" t="s">
        <v>7518</v>
      </c>
      <c r="B5694" s="4" t="s">
        <v>7519</v>
      </c>
    </row>
    <row r="5695" spans="1:2" x14ac:dyDescent="0.3">
      <c r="A5695" s="4" t="s">
        <v>11678</v>
      </c>
      <c r="B5695" s="4" t="s">
        <v>11679</v>
      </c>
    </row>
    <row r="5696" spans="1:2" x14ac:dyDescent="0.3">
      <c r="A5696" s="4" t="s">
        <v>7520</v>
      </c>
      <c r="B5696" s="4" t="s">
        <v>7521</v>
      </c>
    </row>
    <row r="5697" spans="1:2" x14ac:dyDescent="0.3">
      <c r="A5697" s="4" t="s">
        <v>11680</v>
      </c>
      <c r="B5697" s="4" t="s">
        <v>11681</v>
      </c>
    </row>
    <row r="5698" spans="1:2" x14ac:dyDescent="0.3">
      <c r="A5698" s="4" t="s">
        <v>11682</v>
      </c>
      <c r="B5698" s="4" t="s">
        <v>11683</v>
      </c>
    </row>
    <row r="5699" spans="1:2" x14ac:dyDescent="0.3">
      <c r="A5699" s="4" t="s">
        <v>11684</v>
      </c>
      <c r="B5699" s="4" t="s">
        <v>11685</v>
      </c>
    </row>
    <row r="5700" spans="1:2" x14ac:dyDescent="0.3">
      <c r="A5700" s="4" t="s">
        <v>12799</v>
      </c>
      <c r="B5700" s="4" t="s">
        <v>12800</v>
      </c>
    </row>
    <row r="5701" spans="1:2" x14ac:dyDescent="0.3">
      <c r="A5701" s="4" t="s">
        <v>7523</v>
      </c>
      <c r="B5701" s="4" t="s">
        <v>7524</v>
      </c>
    </row>
    <row r="5702" spans="1:2" x14ac:dyDescent="0.3">
      <c r="A5702" s="4" t="s">
        <v>11686</v>
      </c>
      <c r="B5702" s="4" t="s">
        <v>11687</v>
      </c>
    </row>
    <row r="5703" spans="1:2" x14ac:dyDescent="0.3">
      <c r="A5703" s="4" t="s">
        <v>11688</v>
      </c>
      <c r="B5703" s="4" t="s">
        <v>11689</v>
      </c>
    </row>
    <row r="5704" spans="1:2" x14ac:dyDescent="0.3">
      <c r="A5704" s="4" t="s">
        <v>7525</v>
      </c>
      <c r="B5704" s="4" t="s">
        <v>7526</v>
      </c>
    </row>
    <row r="5705" spans="1:2" x14ac:dyDescent="0.3">
      <c r="A5705" s="4" t="s">
        <v>12801</v>
      </c>
      <c r="B5705" s="4" t="s">
        <v>12802</v>
      </c>
    </row>
    <row r="5706" spans="1:2" x14ac:dyDescent="0.3">
      <c r="A5706" s="4" t="s">
        <v>7527</v>
      </c>
      <c r="B5706" s="4" t="s">
        <v>7528</v>
      </c>
    </row>
    <row r="5707" spans="1:2" x14ac:dyDescent="0.3">
      <c r="A5707" s="4" t="s">
        <v>7529</v>
      </c>
      <c r="B5707" s="4" t="s">
        <v>7530</v>
      </c>
    </row>
    <row r="5708" spans="1:2" x14ac:dyDescent="0.3">
      <c r="A5708" s="4" t="s">
        <v>11690</v>
      </c>
      <c r="B5708" s="4" t="s">
        <v>11691</v>
      </c>
    </row>
    <row r="5709" spans="1:2" x14ac:dyDescent="0.3">
      <c r="A5709" s="4" t="s">
        <v>12803</v>
      </c>
      <c r="B5709" s="4" t="s">
        <v>12804</v>
      </c>
    </row>
    <row r="5710" spans="1:2" x14ac:dyDescent="0.3">
      <c r="A5710" s="4" t="s">
        <v>6888</v>
      </c>
      <c r="B5710" s="4" t="s">
        <v>11692</v>
      </c>
    </row>
    <row r="5711" spans="1:2" x14ac:dyDescent="0.3">
      <c r="A5711" s="4" t="s">
        <v>11693</v>
      </c>
      <c r="B5711" s="4" t="s">
        <v>11694</v>
      </c>
    </row>
    <row r="5712" spans="1:2" x14ac:dyDescent="0.3">
      <c r="A5712" s="4" t="s">
        <v>11695</v>
      </c>
      <c r="B5712" s="4" t="s">
        <v>11696</v>
      </c>
    </row>
    <row r="5713" spans="1:2" x14ac:dyDescent="0.3">
      <c r="A5713" s="4" t="s">
        <v>7531</v>
      </c>
      <c r="B5713" s="4" t="s">
        <v>7532</v>
      </c>
    </row>
    <row r="5714" spans="1:2" x14ac:dyDescent="0.3">
      <c r="A5714" s="4" t="s">
        <v>11697</v>
      </c>
      <c r="B5714" s="4" t="s">
        <v>11698</v>
      </c>
    </row>
    <row r="5715" spans="1:2" x14ac:dyDescent="0.3">
      <c r="A5715" s="4" t="s">
        <v>7533</v>
      </c>
      <c r="B5715" s="4" t="s">
        <v>7534</v>
      </c>
    </row>
    <row r="5716" spans="1:2" x14ac:dyDescent="0.3">
      <c r="A5716" s="4" t="s">
        <v>7535</v>
      </c>
      <c r="B5716" s="4" t="s">
        <v>7536</v>
      </c>
    </row>
    <row r="5717" spans="1:2" x14ac:dyDescent="0.3">
      <c r="A5717" s="4" t="s">
        <v>7537</v>
      </c>
      <c r="B5717" s="4" t="s">
        <v>7538</v>
      </c>
    </row>
    <row r="5718" spans="1:2" x14ac:dyDescent="0.3">
      <c r="A5718" s="4" t="s">
        <v>7539</v>
      </c>
      <c r="B5718" s="4" t="s">
        <v>7540</v>
      </c>
    </row>
    <row r="5719" spans="1:2" x14ac:dyDescent="0.3">
      <c r="A5719" s="4" t="s">
        <v>7541</v>
      </c>
      <c r="B5719" s="4" t="s">
        <v>7542</v>
      </c>
    </row>
    <row r="5720" spans="1:2" x14ac:dyDescent="0.3">
      <c r="A5720" s="4" t="s">
        <v>7543</v>
      </c>
      <c r="B5720" s="4" t="s">
        <v>7544</v>
      </c>
    </row>
    <row r="5721" spans="1:2" x14ac:dyDescent="0.3">
      <c r="A5721" s="4" t="s">
        <v>11699</v>
      </c>
      <c r="B5721" s="4" t="s">
        <v>11700</v>
      </c>
    </row>
    <row r="5722" spans="1:2" x14ac:dyDescent="0.3">
      <c r="A5722" s="4" t="s">
        <v>11701</v>
      </c>
      <c r="B5722" s="4" t="s">
        <v>11702</v>
      </c>
    </row>
    <row r="5723" spans="1:2" x14ac:dyDescent="0.3">
      <c r="A5723" s="4" t="s">
        <v>11703</v>
      </c>
      <c r="B5723" s="4" t="s">
        <v>9071</v>
      </c>
    </row>
    <row r="5724" spans="1:2" x14ac:dyDescent="0.3">
      <c r="A5724" s="4" t="s">
        <v>11704</v>
      </c>
      <c r="B5724" s="4" t="s">
        <v>11705</v>
      </c>
    </row>
    <row r="5725" spans="1:2" x14ac:dyDescent="0.3">
      <c r="A5725" s="4" t="s">
        <v>7545</v>
      </c>
      <c r="B5725" s="4" t="s">
        <v>7546</v>
      </c>
    </row>
    <row r="5726" spans="1:2" x14ac:dyDescent="0.3">
      <c r="A5726" s="4" t="s">
        <v>12805</v>
      </c>
      <c r="B5726" s="4" t="s">
        <v>12806</v>
      </c>
    </row>
    <row r="5727" spans="1:2" x14ac:dyDescent="0.3">
      <c r="A5727" s="4" t="s">
        <v>7547</v>
      </c>
      <c r="B5727" s="4" t="s">
        <v>7548</v>
      </c>
    </row>
    <row r="5728" spans="1:2" x14ac:dyDescent="0.3">
      <c r="A5728" s="4" t="s">
        <v>7549</v>
      </c>
      <c r="B5728" s="4" t="s">
        <v>7550</v>
      </c>
    </row>
    <row r="5729" spans="1:2" x14ac:dyDescent="0.3">
      <c r="A5729" s="4" t="s">
        <v>11706</v>
      </c>
      <c r="B5729" s="4" t="s">
        <v>11707</v>
      </c>
    </row>
    <row r="5730" spans="1:2" x14ac:dyDescent="0.3">
      <c r="A5730" s="4" t="s">
        <v>7551</v>
      </c>
      <c r="B5730" s="4" t="s">
        <v>7552</v>
      </c>
    </row>
    <row r="5731" spans="1:2" x14ac:dyDescent="0.3">
      <c r="A5731" s="4" t="s">
        <v>7553</v>
      </c>
      <c r="B5731" s="4" t="s">
        <v>7554</v>
      </c>
    </row>
    <row r="5732" spans="1:2" x14ac:dyDescent="0.3">
      <c r="A5732" s="4" t="s">
        <v>7555</v>
      </c>
      <c r="B5732" s="4" t="s">
        <v>7556</v>
      </c>
    </row>
    <row r="5733" spans="1:2" x14ac:dyDescent="0.3">
      <c r="A5733" s="4" t="s">
        <v>7557</v>
      </c>
      <c r="B5733" s="4" t="s">
        <v>7558</v>
      </c>
    </row>
    <row r="5734" spans="1:2" x14ac:dyDescent="0.3">
      <c r="A5734" s="4" t="s">
        <v>7560</v>
      </c>
      <c r="B5734" s="4" t="s">
        <v>7561</v>
      </c>
    </row>
    <row r="5735" spans="1:2" x14ac:dyDescent="0.3">
      <c r="A5735" s="4" t="s">
        <v>7559</v>
      </c>
      <c r="B5735" s="4" t="s">
        <v>11708</v>
      </c>
    </row>
    <row r="5736" spans="1:2" x14ac:dyDescent="0.3">
      <c r="A5736" s="4" t="s">
        <v>7562</v>
      </c>
      <c r="B5736" s="4" t="s">
        <v>7563</v>
      </c>
    </row>
    <row r="5737" spans="1:2" x14ac:dyDescent="0.3">
      <c r="A5737" s="4" t="s">
        <v>7565</v>
      </c>
      <c r="B5737" s="4" t="s">
        <v>7566</v>
      </c>
    </row>
    <row r="5738" spans="1:2" x14ac:dyDescent="0.3">
      <c r="A5738" s="4" t="s">
        <v>7567</v>
      </c>
      <c r="B5738" s="4" t="s">
        <v>7568</v>
      </c>
    </row>
    <row r="5739" spans="1:2" x14ac:dyDescent="0.3">
      <c r="A5739" s="4" t="s">
        <v>7569</v>
      </c>
      <c r="B5739" s="4" t="s">
        <v>7570</v>
      </c>
    </row>
    <row r="5740" spans="1:2" x14ac:dyDescent="0.3">
      <c r="A5740" s="4" t="s">
        <v>7571</v>
      </c>
      <c r="B5740" s="4" t="s">
        <v>7572</v>
      </c>
    </row>
    <row r="5741" spans="1:2" x14ac:dyDescent="0.3">
      <c r="A5741" s="4" t="s">
        <v>7573</v>
      </c>
      <c r="B5741" s="4" t="s">
        <v>7574</v>
      </c>
    </row>
    <row r="5742" spans="1:2" x14ac:dyDescent="0.3">
      <c r="A5742" s="4" t="s">
        <v>7575</v>
      </c>
      <c r="B5742" s="4" t="s">
        <v>7576</v>
      </c>
    </row>
    <row r="5743" spans="1:2" x14ac:dyDescent="0.3">
      <c r="A5743" s="4" t="s">
        <v>7578</v>
      </c>
      <c r="B5743" s="4" t="s">
        <v>7579</v>
      </c>
    </row>
    <row r="5744" spans="1:2" x14ac:dyDescent="0.3">
      <c r="A5744" s="4" t="s">
        <v>7580</v>
      </c>
      <c r="B5744" s="4" t="s">
        <v>7581</v>
      </c>
    </row>
    <row r="5745" spans="1:2" x14ac:dyDescent="0.3">
      <c r="A5745" s="4" t="s">
        <v>12807</v>
      </c>
      <c r="B5745" s="4" t="s">
        <v>3551</v>
      </c>
    </row>
    <row r="5746" spans="1:2" x14ac:dyDescent="0.3">
      <c r="A5746" s="4" t="s">
        <v>7582</v>
      </c>
      <c r="B5746" s="4" t="s">
        <v>7583</v>
      </c>
    </row>
    <row r="5747" spans="1:2" x14ac:dyDescent="0.3">
      <c r="A5747" s="4" t="s">
        <v>11709</v>
      </c>
      <c r="B5747" s="4" t="s">
        <v>11710</v>
      </c>
    </row>
    <row r="5748" spans="1:2" x14ac:dyDescent="0.3">
      <c r="A5748" s="4" t="s">
        <v>7584</v>
      </c>
      <c r="B5748" s="4" t="s">
        <v>7585</v>
      </c>
    </row>
    <row r="5749" spans="1:2" x14ac:dyDescent="0.3">
      <c r="A5749" s="4" t="s">
        <v>11711</v>
      </c>
      <c r="B5749" s="4" t="s">
        <v>11712</v>
      </c>
    </row>
    <row r="5750" spans="1:2" x14ac:dyDescent="0.3">
      <c r="A5750" s="4" t="s">
        <v>11713</v>
      </c>
      <c r="B5750" s="4" t="s">
        <v>11714</v>
      </c>
    </row>
    <row r="5751" spans="1:2" x14ac:dyDescent="0.3">
      <c r="A5751" s="4" t="s">
        <v>7586</v>
      </c>
      <c r="B5751" s="4" t="s">
        <v>7587</v>
      </c>
    </row>
    <row r="5752" spans="1:2" x14ac:dyDescent="0.3">
      <c r="A5752" s="4" t="s">
        <v>11715</v>
      </c>
      <c r="B5752" s="4" t="s">
        <v>11716</v>
      </c>
    </row>
    <row r="5753" spans="1:2" x14ac:dyDescent="0.3">
      <c r="A5753" s="4" t="s">
        <v>11717</v>
      </c>
      <c r="B5753" s="4" t="s">
        <v>7589</v>
      </c>
    </row>
    <row r="5754" spans="1:2" x14ac:dyDescent="0.3">
      <c r="A5754" s="4" t="s">
        <v>7588</v>
      </c>
      <c r="B5754" s="4" t="s">
        <v>11718</v>
      </c>
    </row>
    <row r="5755" spans="1:2" x14ac:dyDescent="0.3">
      <c r="A5755" s="4" t="s">
        <v>7590</v>
      </c>
      <c r="B5755" s="4" t="s">
        <v>7591</v>
      </c>
    </row>
    <row r="5756" spans="1:2" x14ac:dyDescent="0.3">
      <c r="A5756" s="4" t="s">
        <v>11719</v>
      </c>
      <c r="B5756" s="4" t="s">
        <v>11720</v>
      </c>
    </row>
    <row r="5757" spans="1:2" x14ac:dyDescent="0.3">
      <c r="A5757" s="4" t="s">
        <v>7592</v>
      </c>
      <c r="B5757" s="4" t="s">
        <v>7593</v>
      </c>
    </row>
    <row r="5758" spans="1:2" x14ac:dyDescent="0.3">
      <c r="A5758" s="4" t="s">
        <v>11721</v>
      </c>
      <c r="B5758" s="4" t="s">
        <v>11722</v>
      </c>
    </row>
    <row r="5759" spans="1:2" x14ac:dyDescent="0.3">
      <c r="A5759" s="4" t="s">
        <v>7594</v>
      </c>
      <c r="B5759" s="4" t="s">
        <v>7595</v>
      </c>
    </row>
    <row r="5760" spans="1:2" x14ac:dyDescent="0.3">
      <c r="A5760" s="4" t="s">
        <v>11723</v>
      </c>
      <c r="B5760" s="4" t="s">
        <v>11724</v>
      </c>
    </row>
    <row r="5761" spans="1:2" x14ac:dyDescent="0.3">
      <c r="A5761" s="4" t="s">
        <v>7596</v>
      </c>
      <c r="B5761" s="4" t="s">
        <v>7597</v>
      </c>
    </row>
    <row r="5762" spans="1:2" x14ac:dyDescent="0.3">
      <c r="A5762" s="4" t="s">
        <v>7598</v>
      </c>
      <c r="B5762" s="4" t="s">
        <v>7599</v>
      </c>
    </row>
    <row r="5763" spans="1:2" x14ac:dyDescent="0.3">
      <c r="A5763" s="4" t="s">
        <v>7600</v>
      </c>
      <c r="B5763" s="4" t="s">
        <v>7601</v>
      </c>
    </row>
    <row r="5764" spans="1:2" x14ac:dyDescent="0.3">
      <c r="A5764" s="4" t="s">
        <v>7602</v>
      </c>
      <c r="B5764" s="4" t="s">
        <v>7603</v>
      </c>
    </row>
    <row r="5765" spans="1:2" x14ac:dyDescent="0.3">
      <c r="A5765" s="4" t="s">
        <v>7604</v>
      </c>
      <c r="B5765" s="4" t="s">
        <v>7605</v>
      </c>
    </row>
    <row r="5766" spans="1:2" x14ac:dyDescent="0.3">
      <c r="A5766" s="4" t="s">
        <v>11725</v>
      </c>
      <c r="B5766" s="4" t="s">
        <v>9079</v>
      </c>
    </row>
    <row r="5767" spans="1:2" x14ac:dyDescent="0.3">
      <c r="A5767" s="4" t="s">
        <v>12808</v>
      </c>
      <c r="B5767" s="4" t="s">
        <v>12809</v>
      </c>
    </row>
    <row r="5768" spans="1:2" x14ac:dyDescent="0.3">
      <c r="A5768" s="4" t="s">
        <v>11726</v>
      </c>
      <c r="B5768" s="4" t="s">
        <v>3568</v>
      </c>
    </row>
    <row r="5769" spans="1:2" x14ac:dyDescent="0.3">
      <c r="A5769" s="4" t="s">
        <v>11727</v>
      </c>
      <c r="B5769" s="4" t="s">
        <v>11728</v>
      </c>
    </row>
    <row r="5770" spans="1:2" x14ac:dyDescent="0.3">
      <c r="A5770" s="4" t="s">
        <v>7606</v>
      </c>
      <c r="B5770" s="4" t="s">
        <v>7607</v>
      </c>
    </row>
    <row r="5771" spans="1:2" x14ac:dyDescent="0.3">
      <c r="A5771" s="4" t="s">
        <v>7608</v>
      </c>
      <c r="B5771" s="4" t="s">
        <v>7609</v>
      </c>
    </row>
    <row r="5772" spans="1:2" x14ac:dyDescent="0.3">
      <c r="A5772" s="4" t="s">
        <v>7610</v>
      </c>
      <c r="B5772" s="4" t="s">
        <v>7611</v>
      </c>
    </row>
    <row r="5773" spans="1:2" x14ac:dyDescent="0.3">
      <c r="A5773" s="4" t="s">
        <v>7612</v>
      </c>
      <c r="B5773" s="4" t="s">
        <v>9081</v>
      </c>
    </row>
    <row r="5774" spans="1:2" x14ac:dyDescent="0.3">
      <c r="A5774" s="4" t="s">
        <v>11729</v>
      </c>
      <c r="B5774" s="4" t="s">
        <v>9083</v>
      </c>
    </row>
    <row r="5775" spans="1:2" x14ac:dyDescent="0.3">
      <c r="A5775" s="4" t="s">
        <v>7613</v>
      </c>
      <c r="B5775" s="4" t="s">
        <v>7614</v>
      </c>
    </row>
    <row r="5776" spans="1:2" x14ac:dyDescent="0.3">
      <c r="A5776" s="4" t="s">
        <v>7615</v>
      </c>
      <c r="B5776" s="4" t="s">
        <v>7616</v>
      </c>
    </row>
    <row r="5777" spans="1:2" x14ac:dyDescent="0.3">
      <c r="A5777" s="4" t="s">
        <v>7617</v>
      </c>
      <c r="B5777" s="4" t="s">
        <v>7618</v>
      </c>
    </row>
    <row r="5778" spans="1:2" x14ac:dyDescent="0.3">
      <c r="A5778" s="4" t="s">
        <v>7619</v>
      </c>
      <c r="B5778" s="4" t="s">
        <v>7620</v>
      </c>
    </row>
    <row r="5779" spans="1:2" x14ac:dyDescent="0.3">
      <c r="A5779" s="4" t="s">
        <v>7621</v>
      </c>
      <c r="B5779" s="4" t="s">
        <v>7622</v>
      </c>
    </row>
    <row r="5780" spans="1:2" x14ac:dyDescent="0.3">
      <c r="A5780" s="4" t="s">
        <v>7623</v>
      </c>
      <c r="B5780" s="4" t="s">
        <v>7624</v>
      </c>
    </row>
    <row r="5781" spans="1:2" x14ac:dyDescent="0.3">
      <c r="A5781" s="4" t="s">
        <v>11730</v>
      </c>
      <c r="B5781" s="4" t="s">
        <v>11731</v>
      </c>
    </row>
    <row r="5782" spans="1:2" x14ac:dyDescent="0.3">
      <c r="A5782" s="4" t="s">
        <v>11732</v>
      </c>
      <c r="B5782" s="4" t="s">
        <v>11733</v>
      </c>
    </row>
    <row r="5783" spans="1:2" x14ac:dyDescent="0.3">
      <c r="A5783" s="4" t="s">
        <v>11734</v>
      </c>
      <c r="B5783" s="4" t="s">
        <v>11735</v>
      </c>
    </row>
    <row r="5784" spans="1:2" x14ac:dyDescent="0.3">
      <c r="A5784" s="4" t="s">
        <v>11736</v>
      </c>
      <c r="B5784" s="4" t="s">
        <v>11737</v>
      </c>
    </row>
    <row r="5785" spans="1:2" x14ac:dyDescent="0.3">
      <c r="A5785" s="4" t="s">
        <v>11738</v>
      </c>
      <c r="B5785" s="4" t="s">
        <v>9084</v>
      </c>
    </row>
    <row r="5786" spans="1:2" x14ac:dyDescent="0.3">
      <c r="A5786" s="4" t="s">
        <v>7625</v>
      </c>
      <c r="B5786" s="4" t="s">
        <v>7626</v>
      </c>
    </row>
    <row r="5787" spans="1:2" x14ac:dyDescent="0.3">
      <c r="A5787" s="4" t="s">
        <v>11739</v>
      </c>
      <c r="B5787" s="4" t="s">
        <v>9086</v>
      </c>
    </row>
    <row r="5788" spans="1:2" x14ac:dyDescent="0.3">
      <c r="A5788" s="4" t="s">
        <v>11740</v>
      </c>
      <c r="B5788" s="4" t="s">
        <v>11741</v>
      </c>
    </row>
    <row r="5789" spans="1:2" x14ac:dyDescent="0.3">
      <c r="A5789" s="4" t="s">
        <v>11742</v>
      </c>
      <c r="B5789" s="4" t="s">
        <v>11743</v>
      </c>
    </row>
    <row r="5790" spans="1:2" x14ac:dyDescent="0.3">
      <c r="A5790" s="4" t="s">
        <v>7627</v>
      </c>
      <c r="B5790" s="4" t="s">
        <v>7628</v>
      </c>
    </row>
    <row r="5791" spans="1:2" x14ac:dyDescent="0.3">
      <c r="A5791" s="4" t="s">
        <v>7629</v>
      </c>
      <c r="B5791" s="4" t="s">
        <v>7630</v>
      </c>
    </row>
    <row r="5792" spans="1:2" x14ac:dyDescent="0.3">
      <c r="A5792" s="4" t="s">
        <v>7632</v>
      </c>
      <c r="B5792" s="4" t="s">
        <v>7633</v>
      </c>
    </row>
    <row r="5793" spans="1:2" x14ac:dyDescent="0.3">
      <c r="A5793" s="4" t="s">
        <v>11744</v>
      </c>
      <c r="B5793" s="4" t="s">
        <v>11745</v>
      </c>
    </row>
    <row r="5794" spans="1:2" x14ac:dyDescent="0.3">
      <c r="A5794" s="4" t="s">
        <v>11746</v>
      </c>
      <c r="B5794" s="4" t="s">
        <v>11747</v>
      </c>
    </row>
    <row r="5795" spans="1:2" x14ac:dyDescent="0.3">
      <c r="A5795" s="4" t="s">
        <v>11748</v>
      </c>
      <c r="B5795" s="4" t="s">
        <v>11749</v>
      </c>
    </row>
    <row r="5796" spans="1:2" x14ac:dyDescent="0.3">
      <c r="A5796" s="4" t="s">
        <v>11750</v>
      </c>
      <c r="B5796" s="4" t="s">
        <v>11751</v>
      </c>
    </row>
    <row r="5797" spans="1:2" x14ac:dyDescent="0.3">
      <c r="A5797" s="4" t="s">
        <v>12810</v>
      </c>
      <c r="B5797" s="4" t="s">
        <v>12357</v>
      </c>
    </row>
    <row r="5798" spans="1:2" x14ac:dyDescent="0.3">
      <c r="A5798" s="4" t="s">
        <v>11752</v>
      </c>
      <c r="B5798" s="4" t="s">
        <v>9090</v>
      </c>
    </row>
    <row r="5799" spans="1:2" x14ac:dyDescent="0.3">
      <c r="A5799" s="4" t="s">
        <v>11753</v>
      </c>
      <c r="B5799" s="4" t="s">
        <v>11754</v>
      </c>
    </row>
    <row r="5800" spans="1:2" x14ac:dyDescent="0.3">
      <c r="A5800" s="4" t="s">
        <v>11755</v>
      </c>
      <c r="B5800" s="4" t="s">
        <v>11756</v>
      </c>
    </row>
    <row r="5801" spans="1:2" x14ac:dyDescent="0.3">
      <c r="A5801" s="4" t="s">
        <v>11757</v>
      </c>
      <c r="B5801" s="4" t="s">
        <v>11758</v>
      </c>
    </row>
    <row r="5802" spans="1:2" x14ac:dyDescent="0.3">
      <c r="A5802" s="4" t="s">
        <v>7635</v>
      </c>
      <c r="B5802" s="4" t="s">
        <v>7636</v>
      </c>
    </row>
    <row r="5803" spans="1:2" x14ac:dyDescent="0.3">
      <c r="A5803" s="4" t="s">
        <v>11759</v>
      </c>
      <c r="B5803" s="4" t="s">
        <v>11760</v>
      </c>
    </row>
    <row r="5804" spans="1:2" x14ac:dyDescent="0.3">
      <c r="A5804" s="4" t="s">
        <v>11761</v>
      </c>
      <c r="B5804" s="4" t="s">
        <v>11762</v>
      </c>
    </row>
    <row r="5805" spans="1:2" x14ac:dyDescent="0.3">
      <c r="A5805" s="4" t="s">
        <v>11763</v>
      </c>
      <c r="B5805" s="4" t="s">
        <v>11764</v>
      </c>
    </row>
    <row r="5806" spans="1:2" x14ac:dyDescent="0.3">
      <c r="A5806" s="4" t="s">
        <v>11765</v>
      </c>
      <c r="B5806" s="4" t="s">
        <v>11766</v>
      </c>
    </row>
    <row r="5807" spans="1:2" x14ac:dyDescent="0.3">
      <c r="A5807" s="4" t="s">
        <v>7637</v>
      </c>
      <c r="B5807" s="4" t="s">
        <v>7638</v>
      </c>
    </row>
    <row r="5808" spans="1:2" x14ac:dyDescent="0.3">
      <c r="A5808" s="4" t="s">
        <v>11767</v>
      </c>
      <c r="B5808" s="4" t="s">
        <v>11768</v>
      </c>
    </row>
    <row r="5809" spans="1:2" x14ac:dyDescent="0.3">
      <c r="A5809" s="4" t="s">
        <v>12811</v>
      </c>
      <c r="B5809" s="4" t="s">
        <v>12812</v>
      </c>
    </row>
    <row r="5810" spans="1:2" x14ac:dyDescent="0.3">
      <c r="A5810" s="4" t="s">
        <v>7639</v>
      </c>
      <c r="B5810" s="4" t="s">
        <v>7640</v>
      </c>
    </row>
    <row r="5811" spans="1:2" x14ac:dyDescent="0.3">
      <c r="A5811" s="4" t="s">
        <v>11769</v>
      </c>
      <c r="B5811" s="4" t="s">
        <v>11770</v>
      </c>
    </row>
    <row r="5812" spans="1:2" x14ac:dyDescent="0.3">
      <c r="A5812" s="4" t="s">
        <v>11771</v>
      </c>
      <c r="B5812" s="4" t="s">
        <v>3602</v>
      </c>
    </row>
    <row r="5813" spans="1:2" x14ac:dyDescent="0.3">
      <c r="A5813" s="4" t="s">
        <v>11772</v>
      </c>
      <c r="B5813" s="4" t="s">
        <v>11773</v>
      </c>
    </row>
    <row r="5814" spans="1:2" x14ac:dyDescent="0.3">
      <c r="A5814" s="4" t="s">
        <v>7641</v>
      </c>
      <c r="B5814" s="4" t="s">
        <v>7642</v>
      </c>
    </row>
    <row r="5815" spans="1:2" x14ac:dyDescent="0.3">
      <c r="A5815" s="4" t="s">
        <v>8121</v>
      </c>
      <c r="B5815" s="4" t="s">
        <v>11774</v>
      </c>
    </row>
    <row r="5816" spans="1:2" x14ac:dyDescent="0.3">
      <c r="A5816" s="4" t="s">
        <v>7643</v>
      </c>
      <c r="B5816" s="4" t="s">
        <v>7644</v>
      </c>
    </row>
    <row r="5817" spans="1:2" x14ac:dyDescent="0.3">
      <c r="A5817" s="4" t="s">
        <v>7645</v>
      </c>
      <c r="B5817" s="4" t="s">
        <v>7646</v>
      </c>
    </row>
    <row r="5818" spans="1:2" x14ac:dyDescent="0.3">
      <c r="A5818" s="4" t="s">
        <v>7647</v>
      </c>
      <c r="B5818" s="4" t="s">
        <v>7648</v>
      </c>
    </row>
    <row r="5819" spans="1:2" x14ac:dyDescent="0.3">
      <c r="A5819" s="4" t="s">
        <v>11775</v>
      </c>
      <c r="B5819" s="4" t="s">
        <v>11776</v>
      </c>
    </row>
    <row r="5820" spans="1:2" x14ac:dyDescent="0.3">
      <c r="A5820" s="4" t="s">
        <v>7649</v>
      </c>
      <c r="B5820" s="4" t="s">
        <v>7650</v>
      </c>
    </row>
    <row r="5821" spans="1:2" x14ac:dyDescent="0.3">
      <c r="A5821" s="4" t="s">
        <v>11777</v>
      </c>
      <c r="B5821" s="4" t="s">
        <v>11778</v>
      </c>
    </row>
    <row r="5822" spans="1:2" x14ac:dyDescent="0.3">
      <c r="A5822" s="4" t="s">
        <v>7651</v>
      </c>
      <c r="B5822" s="4" t="s">
        <v>7652</v>
      </c>
    </row>
    <row r="5823" spans="1:2" x14ac:dyDescent="0.3">
      <c r="A5823" s="4" t="s">
        <v>7653</v>
      </c>
      <c r="B5823" s="4" t="s">
        <v>7654</v>
      </c>
    </row>
    <row r="5824" spans="1:2" x14ac:dyDescent="0.3">
      <c r="A5824" s="4" t="s">
        <v>7655</v>
      </c>
      <c r="B5824" s="4" t="s">
        <v>7656</v>
      </c>
    </row>
    <row r="5825" spans="1:2" x14ac:dyDescent="0.3">
      <c r="A5825" s="4" t="s">
        <v>7657</v>
      </c>
      <c r="B5825" s="4" t="s">
        <v>7658</v>
      </c>
    </row>
    <row r="5826" spans="1:2" x14ac:dyDescent="0.3">
      <c r="A5826" s="4" t="s">
        <v>7659</v>
      </c>
      <c r="B5826" s="4" t="s">
        <v>7660</v>
      </c>
    </row>
    <row r="5827" spans="1:2" x14ac:dyDescent="0.3">
      <c r="A5827" s="4" t="s">
        <v>7661</v>
      </c>
      <c r="B5827" s="4" t="s">
        <v>7662</v>
      </c>
    </row>
    <row r="5828" spans="1:2" x14ac:dyDescent="0.3">
      <c r="A5828" s="4" t="s">
        <v>7663</v>
      </c>
      <c r="B5828" s="4" t="s">
        <v>12813</v>
      </c>
    </row>
    <row r="5829" spans="1:2" x14ac:dyDescent="0.3">
      <c r="A5829" s="4" t="s">
        <v>11779</v>
      </c>
      <c r="B5829" s="4" t="s">
        <v>9095</v>
      </c>
    </row>
    <row r="5830" spans="1:2" x14ac:dyDescent="0.3">
      <c r="A5830" s="4" t="s">
        <v>11780</v>
      </c>
      <c r="B5830" s="4" t="s">
        <v>11781</v>
      </c>
    </row>
    <row r="5831" spans="1:2" x14ac:dyDescent="0.3">
      <c r="A5831" s="4" t="s">
        <v>7664</v>
      </c>
      <c r="B5831" s="4" t="s">
        <v>7665</v>
      </c>
    </row>
    <row r="5832" spans="1:2" x14ac:dyDescent="0.3">
      <c r="A5832" s="4" t="s">
        <v>11782</v>
      </c>
      <c r="B5832" s="4" t="s">
        <v>11783</v>
      </c>
    </row>
    <row r="5833" spans="1:2" x14ac:dyDescent="0.3">
      <c r="A5833" s="4" t="s">
        <v>7666</v>
      </c>
      <c r="B5833" s="4" t="s">
        <v>7667</v>
      </c>
    </row>
    <row r="5834" spans="1:2" x14ac:dyDescent="0.3">
      <c r="A5834" s="4" t="s">
        <v>7668</v>
      </c>
      <c r="B5834" s="4" t="s">
        <v>7669</v>
      </c>
    </row>
    <row r="5835" spans="1:2" x14ac:dyDescent="0.3">
      <c r="A5835" s="4" t="s">
        <v>7670</v>
      </c>
      <c r="B5835" s="4" t="s">
        <v>7671</v>
      </c>
    </row>
    <row r="5836" spans="1:2" x14ac:dyDescent="0.3">
      <c r="A5836" s="4" t="s">
        <v>7672</v>
      </c>
      <c r="B5836" s="4" t="s">
        <v>7673</v>
      </c>
    </row>
    <row r="5837" spans="1:2" x14ac:dyDescent="0.3">
      <c r="A5837" s="4" t="s">
        <v>7674</v>
      </c>
      <c r="B5837" s="4" t="s">
        <v>7675</v>
      </c>
    </row>
    <row r="5838" spans="1:2" x14ac:dyDescent="0.3">
      <c r="A5838" s="4" t="s">
        <v>11784</v>
      </c>
      <c r="B5838" s="4" t="s">
        <v>11785</v>
      </c>
    </row>
    <row r="5839" spans="1:2" x14ac:dyDescent="0.3">
      <c r="A5839" s="4" t="s">
        <v>11786</v>
      </c>
      <c r="B5839" s="4" t="s">
        <v>11787</v>
      </c>
    </row>
    <row r="5840" spans="1:2" x14ac:dyDescent="0.3">
      <c r="A5840" s="4" t="s">
        <v>11788</v>
      </c>
      <c r="B5840" s="4" t="s">
        <v>11789</v>
      </c>
    </row>
    <row r="5841" spans="1:2" x14ac:dyDescent="0.3">
      <c r="A5841" s="4" t="s">
        <v>11790</v>
      </c>
      <c r="B5841" s="4" t="s">
        <v>9098</v>
      </c>
    </row>
    <row r="5842" spans="1:2" x14ac:dyDescent="0.3">
      <c r="A5842" s="4" t="s">
        <v>11791</v>
      </c>
      <c r="B5842" s="4" t="s">
        <v>9100</v>
      </c>
    </row>
    <row r="5843" spans="1:2" x14ac:dyDescent="0.3">
      <c r="A5843" s="4" t="s">
        <v>11792</v>
      </c>
      <c r="B5843" s="4" t="s">
        <v>11793</v>
      </c>
    </row>
    <row r="5844" spans="1:2" x14ac:dyDescent="0.3">
      <c r="A5844" s="4" t="s">
        <v>7676</v>
      </c>
      <c r="B5844" s="4" t="s">
        <v>7677</v>
      </c>
    </row>
    <row r="5845" spans="1:2" x14ac:dyDescent="0.3">
      <c r="A5845" s="4" t="s">
        <v>11794</v>
      </c>
      <c r="B5845" s="4" t="s">
        <v>9102</v>
      </c>
    </row>
    <row r="5846" spans="1:2" x14ac:dyDescent="0.3">
      <c r="A5846" s="4" t="s">
        <v>12814</v>
      </c>
      <c r="B5846" s="4" t="s">
        <v>12815</v>
      </c>
    </row>
    <row r="5847" spans="1:2" x14ac:dyDescent="0.3">
      <c r="A5847" s="4" t="s">
        <v>7678</v>
      </c>
      <c r="B5847" s="4" t="s">
        <v>7679</v>
      </c>
    </row>
    <row r="5848" spans="1:2" x14ac:dyDescent="0.3">
      <c r="A5848" s="4" t="s">
        <v>11795</v>
      </c>
      <c r="B5848" s="4" t="s">
        <v>11796</v>
      </c>
    </row>
    <row r="5849" spans="1:2" x14ac:dyDescent="0.3">
      <c r="A5849" s="4" t="s">
        <v>7680</v>
      </c>
      <c r="B5849" s="4" t="s">
        <v>7681</v>
      </c>
    </row>
    <row r="5850" spans="1:2" x14ac:dyDescent="0.3">
      <c r="A5850" s="4" t="s">
        <v>11797</v>
      </c>
      <c r="B5850" s="4" t="s">
        <v>11798</v>
      </c>
    </row>
    <row r="5851" spans="1:2" x14ac:dyDescent="0.3">
      <c r="A5851" s="4" t="s">
        <v>7682</v>
      </c>
      <c r="B5851" s="4" t="s">
        <v>7683</v>
      </c>
    </row>
    <row r="5852" spans="1:2" x14ac:dyDescent="0.3">
      <c r="A5852" s="4" t="s">
        <v>7684</v>
      </c>
      <c r="B5852" s="4" t="s">
        <v>7685</v>
      </c>
    </row>
    <row r="5853" spans="1:2" x14ac:dyDescent="0.3">
      <c r="A5853" s="4" t="s">
        <v>12816</v>
      </c>
      <c r="B5853" s="4" t="s">
        <v>12817</v>
      </c>
    </row>
    <row r="5854" spans="1:2" x14ac:dyDescent="0.3">
      <c r="A5854" s="4" t="s">
        <v>11799</v>
      </c>
      <c r="B5854" s="4" t="s">
        <v>11800</v>
      </c>
    </row>
    <row r="5855" spans="1:2" x14ac:dyDescent="0.3">
      <c r="A5855" s="4" t="s">
        <v>11801</v>
      </c>
      <c r="B5855" s="4" t="s">
        <v>11802</v>
      </c>
    </row>
    <row r="5856" spans="1:2" x14ac:dyDescent="0.3">
      <c r="A5856" s="4" t="s">
        <v>7686</v>
      </c>
      <c r="B5856" s="4" t="s">
        <v>7687</v>
      </c>
    </row>
    <row r="5857" spans="1:2" x14ac:dyDescent="0.3">
      <c r="A5857" s="4" t="s">
        <v>7688</v>
      </c>
      <c r="B5857" s="4" t="s">
        <v>7689</v>
      </c>
    </row>
    <row r="5858" spans="1:2" x14ac:dyDescent="0.3">
      <c r="A5858" s="4" t="s">
        <v>7690</v>
      </c>
      <c r="B5858" s="4" t="s">
        <v>7691</v>
      </c>
    </row>
    <row r="5859" spans="1:2" x14ac:dyDescent="0.3">
      <c r="A5859" s="4" t="s">
        <v>7692</v>
      </c>
      <c r="B5859" s="4" t="s">
        <v>7693</v>
      </c>
    </row>
    <row r="5860" spans="1:2" x14ac:dyDescent="0.3">
      <c r="A5860" s="4" t="s">
        <v>7694</v>
      </c>
      <c r="B5860" s="4" t="s">
        <v>7695</v>
      </c>
    </row>
    <row r="5861" spans="1:2" x14ac:dyDescent="0.3">
      <c r="A5861" s="4" t="s">
        <v>6215</v>
      </c>
      <c r="B5861" s="4" t="s">
        <v>11803</v>
      </c>
    </row>
    <row r="5862" spans="1:2" x14ac:dyDescent="0.3">
      <c r="A5862" s="4" t="s">
        <v>11804</v>
      </c>
      <c r="B5862" s="4" t="s">
        <v>11805</v>
      </c>
    </row>
    <row r="5863" spans="1:2" x14ac:dyDescent="0.3">
      <c r="A5863" s="4" t="s">
        <v>12818</v>
      </c>
      <c r="B5863" s="4" t="s">
        <v>9229</v>
      </c>
    </row>
    <row r="5864" spans="1:2" x14ac:dyDescent="0.3">
      <c r="A5864" s="4" t="s">
        <v>11806</v>
      </c>
      <c r="B5864" s="4" t="s">
        <v>11807</v>
      </c>
    </row>
    <row r="5865" spans="1:2" x14ac:dyDescent="0.3">
      <c r="A5865" s="4" t="s">
        <v>11808</v>
      </c>
      <c r="B5865" s="4" t="s">
        <v>11809</v>
      </c>
    </row>
    <row r="5866" spans="1:2" x14ac:dyDescent="0.3">
      <c r="A5866" s="4" t="s">
        <v>11810</v>
      </c>
      <c r="B5866" s="4" t="s">
        <v>11811</v>
      </c>
    </row>
    <row r="5867" spans="1:2" x14ac:dyDescent="0.3">
      <c r="A5867" s="4" t="s">
        <v>11812</v>
      </c>
      <c r="B5867" s="4" t="s">
        <v>11813</v>
      </c>
    </row>
    <row r="5868" spans="1:2" x14ac:dyDescent="0.3">
      <c r="A5868" s="4" t="s">
        <v>11814</v>
      </c>
      <c r="B5868" s="4" t="s">
        <v>11815</v>
      </c>
    </row>
    <row r="5869" spans="1:2" x14ac:dyDescent="0.3">
      <c r="A5869" s="4" t="s">
        <v>11816</v>
      </c>
      <c r="B5869" s="4" t="s">
        <v>11817</v>
      </c>
    </row>
    <row r="5870" spans="1:2" x14ac:dyDescent="0.3">
      <c r="A5870" s="4" t="s">
        <v>11818</v>
      </c>
      <c r="B5870" s="4" t="s">
        <v>11819</v>
      </c>
    </row>
    <row r="5871" spans="1:2" x14ac:dyDescent="0.3">
      <c r="A5871" s="4" t="s">
        <v>11820</v>
      </c>
      <c r="B5871" s="4" t="s">
        <v>11821</v>
      </c>
    </row>
    <row r="5872" spans="1:2" x14ac:dyDescent="0.3">
      <c r="A5872" s="4" t="s">
        <v>7696</v>
      </c>
      <c r="B5872" s="4" t="s">
        <v>7697</v>
      </c>
    </row>
    <row r="5873" spans="1:2" x14ac:dyDescent="0.3">
      <c r="A5873" s="4" t="s">
        <v>11822</v>
      </c>
      <c r="B5873" s="4" t="s">
        <v>11823</v>
      </c>
    </row>
    <row r="5874" spans="1:2" x14ac:dyDescent="0.3">
      <c r="A5874" s="4" t="s">
        <v>7698</v>
      </c>
      <c r="B5874" s="4" t="s">
        <v>7699</v>
      </c>
    </row>
    <row r="5875" spans="1:2" x14ac:dyDescent="0.3">
      <c r="A5875" s="4" t="s">
        <v>11824</v>
      </c>
      <c r="B5875" s="4" t="s">
        <v>11825</v>
      </c>
    </row>
    <row r="5876" spans="1:2" x14ac:dyDescent="0.3">
      <c r="A5876" s="4" t="s">
        <v>7700</v>
      </c>
      <c r="B5876" s="4" t="s">
        <v>7701</v>
      </c>
    </row>
    <row r="5877" spans="1:2" x14ac:dyDescent="0.3">
      <c r="A5877" s="4" t="s">
        <v>4823</v>
      </c>
      <c r="B5877" s="4" t="s">
        <v>11826</v>
      </c>
    </row>
    <row r="5878" spans="1:2" x14ac:dyDescent="0.3">
      <c r="A5878" s="4" t="s">
        <v>11827</v>
      </c>
      <c r="B5878" s="4" t="s">
        <v>11828</v>
      </c>
    </row>
    <row r="5879" spans="1:2" x14ac:dyDescent="0.3">
      <c r="A5879" s="4" t="s">
        <v>7702</v>
      </c>
      <c r="B5879" s="4" t="s">
        <v>7703</v>
      </c>
    </row>
    <row r="5880" spans="1:2" x14ac:dyDescent="0.3">
      <c r="A5880" s="4" t="s">
        <v>7704</v>
      </c>
      <c r="B5880" s="4" t="s">
        <v>7705</v>
      </c>
    </row>
    <row r="5881" spans="1:2" x14ac:dyDescent="0.3">
      <c r="A5881" s="4" t="s">
        <v>7706</v>
      </c>
      <c r="B5881" s="4" t="s">
        <v>7707</v>
      </c>
    </row>
    <row r="5882" spans="1:2" x14ac:dyDescent="0.3">
      <c r="A5882" s="4" t="s">
        <v>11829</v>
      </c>
      <c r="B5882" s="4" t="s">
        <v>11830</v>
      </c>
    </row>
    <row r="5883" spans="1:2" x14ac:dyDescent="0.3">
      <c r="A5883" s="4" t="s">
        <v>7708</v>
      </c>
      <c r="B5883" s="4" t="s">
        <v>7709</v>
      </c>
    </row>
    <row r="5884" spans="1:2" x14ac:dyDescent="0.3">
      <c r="A5884" s="4" t="s">
        <v>7710</v>
      </c>
      <c r="B5884" s="4" t="s">
        <v>7711</v>
      </c>
    </row>
    <row r="5885" spans="1:2" x14ac:dyDescent="0.3">
      <c r="A5885" s="4" t="s">
        <v>12819</v>
      </c>
      <c r="B5885" s="4" t="s">
        <v>12820</v>
      </c>
    </row>
    <row r="5886" spans="1:2" x14ac:dyDescent="0.3">
      <c r="A5886" s="4" t="s">
        <v>7712</v>
      </c>
      <c r="B5886" s="4" t="s">
        <v>7713</v>
      </c>
    </row>
    <row r="5887" spans="1:2" x14ac:dyDescent="0.3">
      <c r="A5887" s="4" t="s">
        <v>11831</v>
      </c>
      <c r="B5887" s="4" t="s">
        <v>9235</v>
      </c>
    </row>
    <row r="5888" spans="1:2" x14ac:dyDescent="0.3">
      <c r="A5888" s="4" t="s">
        <v>7714</v>
      </c>
      <c r="B5888" s="4" t="s">
        <v>7715</v>
      </c>
    </row>
    <row r="5889" spans="1:2" x14ac:dyDescent="0.3">
      <c r="A5889" s="4" t="s">
        <v>7716</v>
      </c>
      <c r="B5889" s="4" t="s">
        <v>7717</v>
      </c>
    </row>
    <row r="5890" spans="1:2" x14ac:dyDescent="0.3">
      <c r="A5890" s="4" t="s">
        <v>12821</v>
      </c>
      <c r="B5890" s="4" t="s">
        <v>12822</v>
      </c>
    </row>
    <row r="5891" spans="1:2" x14ac:dyDescent="0.3">
      <c r="A5891" s="4" t="s">
        <v>7718</v>
      </c>
      <c r="B5891" s="4" t="s">
        <v>11832</v>
      </c>
    </row>
    <row r="5892" spans="1:2" x14ac:dyDescent="0.3">
      <c r="A5892" s="4" t="s">
        <v>7719</v>
      </c>
      <c r="B5892" s="4" t="s">
        <v>7720</v>
      </c>
    </row>
    <row r="5893" spans="1:2" x14ac:dyDescent="0.3">
      <c r="A5893" s="4" t="s">
        <v>11833</v>
      </c>
      <c r="B5893" s="4" t="s">
        <v>11834</v>
      </c>
    </row>
    <row r="5894" spans="1:2" x14ac:dyDescent="0.3">
      <c r="A5894" s="4" t="s">
        <v>11835</v>
      </c>
      <c r="B5894" s="4" t="s">
        <v>11836</v>
      </c>
    </row>
    <row r="5895" spans="1:2" x14ac:dyDescent="0.3">
      <c r="A5895" s="4" t="s">
        <v>7721</v>
      </c>
      <c r="B5895" s="4" t="s">
        <v>7722</v>
      </c>
    </row>
    <row r="5896" spans="1:2" x14ac:dyDescent="0.3">
      <c r="A5896" s="4" t="s">
        <v>7723</v>
      </c>
      <c r="B5896" s="4" t="s">
        <v>7724</v>
      </c>
    </row>
    <row r="5897" spans="1:2" x14ac:dyDescent="0.3">
      <c r="A5897" s="4" t="s">
        <v>7725</v>
      </c>
      <c r="B5897" s="4" t="s">
        <v>7726</v>
      </c>
    </row>
    <row r="5898" spans="1:2" x14ac:dyDescent="0.3">
      <c r="A5898" s="4" t="s">
        <v>7727</v>
      </c>
      <c r="B5898" s="4" t="s">
        <v>7728</v>
      </c>
    </row>
    <row r="5899" spans="1:2" x14ac:dyDescent="0.3">
      <c r="A5899" s="4" t="s">
        <v>7729</v>
      </c>
      <c r="B5899" s="4" t="s">
        <v>7730</v>
      </c>
    </row>
    <row r="5900" spans="1:2" x14ac:dyDescent="0.3">
      <c r="A5900" s="4" t="s">
        <v>11837</v>
      </c>
      <c r="B5900" s="4" t="s">
        <v>11838</v>
      </c>
    </row>
    <row r="5901" spans="1:2" x14ac:dyDescent="0.3">
      <c r="A5901" s="4" t="s">
        <v>7731</v>
      </c>
      <c r="B5901" s="4" t="s">
        <v>7732</v>
      </c>
    </row>
    <row r="5902" spans="1:2" x14ac:dyDescent="0.3">
      <c r="A5902" s="4" t="s">
        <v>11839</v>
      </c>
      <c r="B5902" s="4" t="s">
        <v>11840</v>
      </c>
    </row>
    <row r="5903" spans="1:2" x14ac:dyDescent="0.3">
      <c r="A5903" s="4" t="s">
        <v>11841</v>
      </c>
      <c r="B5903" s="4" t="s">
        <v>11842</v>
      </c>
    </row>
    <row r="5904" spans="1:2" x14ac:dyDescent="0.3">
      <c r="A5904" s="4" t="s">
        <v>7733</v>
      </c>
      <c r="B5904" s="4" t="s">
        <v>7734</v>
      </c>
    </row>
    <row r="5905" spans="1:2" x14ac:dyDescent="0.3">
      <c r="A5905" s="4" t="s">
        <v>7735</v>
      </c>
      <c r="B5905" s="4" t="s">
        <v>7736</v>
      </c>
    </row>
    <row r="5906" spans="1:2" x14ac:dyDescent="0.3">
      <c r="A5906" s="4" t="s">
        <v>7737</v>
      </c>
      <c r="B5906" s="4" t="s">
        <v>7738</v>
      </c>
    </row>
    <row r="5907" spans="1:2" x14ac:dyDescent="0.3">
      <c r="A5907" s="4" t="s">
        <v>7739</v>
      </c>
      <c r="B5907" s="4" t="s">
        <v>7740</v>
      </c>
    </row>
    <row r="5908" spans="1:2" x14ac:dyDescent="0.3">
      <c r="A5908" s="4" t="s">
        <v>11843</v>
      </c>
      <c r="B5908" s="4" t="s">
        <v>11844</v>
      </c>
    </row>
    <row r="5909" spans="1:2" x14ac:dyDescent="0.3">
      <c r="A5909" s="4" t="s">
        <v>11845</v>
      </c>
      <c r="B5909" s="4" t="s">
        <v>11846</v>
      </c>
    </row>
    <row r="5910" spans="1:2" x14ac:dyDescent="0.3">
      <c r="A5910" s="4" t="s">
        <v>12823</v>
      </c>
      <c r="B5910" s="4" t="s">
        <v>12824</v>
      </c>
    </row>
    <row r="5911" spans="1:2" x14ac:dyDescent="0.3">
      <c r="A5911" s="4" t="s">
        <v>7742</v>
      </c>
      <c r="B5911" s="4" t="s">
        <v>7743</v>
      </c>
    </row>
    <row r="5912" spans="1:2" x14ac:dyDescent="0.3">
      <c r="A5912" s="4" t="s">
        <v>7744</v>
      </c>
      <c r="B5912" s="4" t="s">
        <v>7745</v>
      </c>
    </row>
    <row r="5913" spans="1:2" x14ac:dyDescent="0.3">
      <c r="A5913" s="4" t="s">
        <v>7746</v>
      </c>
      <c r="B5913" s="4" t="s">
        <v>7747</v>
      </c>
    </row>
    <row r="5914" spans="1:2" x14ac:dyDescent="0.3">
      <c r="A5914" s="4" t="s">
        <v>7748</v>
      </c>
      <c r="B5914" s="4" t="s">
        <v>7749</v>
      </c>
    </row>
    <row r="5915" spans="1:2" x14ac:dyDescent="0.3">
      <c r="A5915" s="4" t="s">
        <v>7786</v>
      </c>
      <c r="B5915" s="4" t="s">
        <v>11847</v>
      </c>
    </row>
    <row r="5916" spans="1:2" x14ac:dyDescent="0.3">
      <c r="A5916" s="4" t="s">
        <v>11848</v>
      </c>
      <c r="B5916" s="4" t="s">
        <v>11849</v>
      </c>
    </row>
    <row r="5917" spans="1:2" x14ac:dyDescent="0.3">
      <c r="A5917" s="4" t="s">
        <v>7750</v>
      </c>
      <c r="B5917" s="4" t="s">
        <v>7751</v>
      </c>
    </row>
    <row r="5918" spans="1:2" x14ac:dyDescent="0.3">
      <c r="A5918" s="4" t="s">
        <v>11850</v>
      </c>
      <c r="B5918" s="4" t="s">
        <v>11851</v>
      </c>
    </row>
    <row r="5919" spans="1:2" x14ac:dyDescent="0.3">
      <c r="A5919" s="4" t="s">
        <v>11852</v>
      </c>
      <c r="B5919" s="4" t="s">
        <v>11853</v>
      </c>
    </row>
    <row r="5920" spans="1:2" x14ac:dyDescent="0.3">
      <c r="A5920" s="4" t="s">
        <v>11854</v>
      </c>
      <c r="B5920" s="4" t="s">
        <v>11855</v>
      </c>
    </row>
    <row r="5921" spans="1:2" x14ac:dyDescent="0.3">
      <c r="A5921" s="4" t="s">
        <v>7752</v>
      </c>
      <c r="B5921" s="4" t="s">
        <v>7753</v>
      </c>
    </row>
    <row r="5922" spans="1:2" x14ac:dyDescent="0.3">
      <c r="A5922" s="4" t="s">
        <v>7754</v>
      </c>
      <c r="B5922" s="4" t="s">
        <v>7755</v>
      </c>
    </row>
    <row r="5923" spans="1:2" x14ac:dyDescent="0.3">
      <c r="A5923" s="4" t="s">
        <v>7756</v>
      </c>
      <c r="B5923" s="4" t="s">
        <v>7757</v>
      </c>
    </row>
    <row r="5924" spans="1:2" x14ac:dyDescent="0.3">
      <c r="A5924" s="4" t="s">
        <v>12825</v>
      </c>
      <c r="B5924" s="4" t="s">
        <v>12826</v>
      </c>
    </row>
    <row r="5925" spans="1:2" x14ac:dyDescent="0.3">
      <c r="A5925" s="4" t="s">
        <v>7758</v>
      </c>
      <c r="B5925" s="4" t="s">
        <v>7759</v>
      </c>
    </row>
    <row r="5926" spans="1:2" x14ac:dyDescent="0.3">
      <c r="A5926" s="4" t="s">
        <v>7828</v>
      </c>
      <c r="B5926" s="4" t="s">
        <v>11856</v>
      </c>
    </row>
    <row r="5927" spans="1:2" x14ac:dyDescent="0.3">
      <c r="A5927" s="4" t="s">
        <v>7760</v>
      </c>
      <c r="B5927" s="4" t="s">
        <v>7761</v>
      </c>
    </row>
    <row r="5928" spans="1:2" x14ac:dyDescent="0.3">
      <c r="A5928" s="4" t="s">
        <v>7762</v>
      </c>
      <c r="B5928" s="4" t="s">
        <v>7763</v>
      </c>
    </row>
    <row r="5929" spans="1:2" x14ac:dyDescent="0.3">
      <c r="A5929" s="4" t="s">
        <v>7764</v>
      </c>
      <c r="B5929" s="4" t="s">
        <v>7765</v>
      </c>
    </row>
    <row r="5930" spans="1:2" x14ac:dyDescent="0.3">
      <c r="A5930" s="4" t="s">
        <v>7766</v>
      </c>
      <c r="B5930" s="4" t="s">
        <v>7767</v>
      </c>
    </row>
    <row r="5931" spans="1:2" x14ac:dyDescent="0.3">
      <c r="A5931" s="4" t="s">
        <v>7768</v>
      </c>
      <c r="B5931" s="4" t="s">
        <v>7769</v>
      </c>
    </row>
    <row r="5932" spans="1:2" x14ac:dyDescent="0.3">
      <c r="A5932" s="4" t="s">
        <v>11857</v>
      </c>
      <c r="B5932" s="4" t="s">
        <v>11858</v>
      </c>
    </row>
    <row r="5933" spans="1:2" x14ac:dyDescent="0.3">
      <c r="A5933" s="4" t="s">
        <v>11859</v>
      </c>
      <c r="B5933" s="4" t="s">
        <v>11860</v>
      </c>
    </row>
    <row r="5934" spans="1:2" x14ac:dyDescent="0.3">
      <c r="A5934" s="4" t="s">
        <v>7770</v>
      </c>
      <c r="B5934" s="4" t="s">
        <v>7771</v>
      </c>
    </row>
    <row r="5935" spans="1:2" x14ac:dyDescent="0.3">
      <c r="A5935" s="4" t="s">
        <v>7772</v>
      </c>
      <c r="B5935" s="4" t="s">
        <v>7773</v>
      </c>
    </row>
    <row r="5936" spans="1:2" x14ac:dyDescent="0.3">
      <c r="A5936" s="4" t="s">
        <v>12827</v>
      </c>
      <c r="B5936" s="4" t="s">
        <v>12828</v>
      </c>
    </row>
    <row r="5937" spans="1:2" x14ac:dyDescent="0.3">
      <c r="A5937" s="4" t="s">
        <v>7774</v>
      </c>
      <c r="B5937" s="4" t="s">
        <v>7775</v>
      </c>
    </row>
    <row r="5938" spans="1:2" x14ac:dyDescent="0.3">
      <c r="A5938" s="4" t="s">
        <v>7776</v>
      </c>
      <c r="B5938" s="4" t="s">
        <v>7777</v>
      </c>
    </row>
    <row r="5939" spans="1:2" x14ac:dyDescent="0.3">
      <c r="A5939" s="4" t="s">
        <v>7778</v>
      </c>
      <c r="B5939" s="4" t="s">
        <v>7779</v>
      </c>
    </row>
    <row r="5940" spans="1:2" x14ac:dyDescent="0.3">
      <c r="A5940" s="4" t="s">
        <v>7780</v>
      </c>
      <c r="B5940" s="4" t="s">
        <v>7781</v>
      </c>
    </row>
    <row r="5941" spans="1:2" x14ac:dyDescent="0.3">
      <c r="A5941" s="4" t="s">
        <v>11861</v>
      </c>
      <c r="B5941" s="4" t="s">
        <v>11862</v>
      </c>
    </row>
    <row r="5942" spans="1:2" x14ac:dyDescent="0.3">
      <c r="A5942" s="4" t="s">
        <v>11863</v>
      </c>
      <c r="B5942" s="4" t="s">
        <v>7783</v>
      </c>
    </row>
    <row r="5943" spans="1:2" x14ac:dyDescent="0.3">
      <c r="A5943" s="4" t="s">
        <v>6478</v>
      </c>
      <c r="B5943" s="4" t="s">
        <v>11864</v>
      </c>
    </row>
    <row r="5944" spans="1:2" x14ac:dyDescent="0.3">
      <c r="A5944" s="4" t="s">
        <v>7784</v>
      </c>
      <c r="B5944" s="4" t="s">
        <v>7785</v>
      </c>
    </row>
    <row r="5945" spans="1:2" x14ac:dyDescent="0.3">
      <c r="A5945" s="4" t="s">
        <v>11865</v>
      </c>
      <c r="B5945" s="4" t="s">
        <v>11866</v>
      </c>
    </row>
    <row r="5946" spans="1:2" x14ac:dyDescent="0.3">
      <c r="A5946" s="4" t="s">
        <v>7787</v>
      </c>
      <c r="B5946" s="4" t="s">
        <v>7788</v>
      </c>
    </row>
    <row r="5947" spans="1:2" x14ac:dyDescent="0.3">
      <c r="A5947" s="4" t="s">
        <v>7789</v>
      </c>
      <c r="B5947" s="4" t="s">
        <v>7790</v>
      </c>
    </row>
    <row r="5948" spans="1:2" x14ac:dyDescent="0.3">
      <c r="A5948" s="4" t="s">
        <v>11867</v>
      </c>
      <c r="B5948" s="4" t="s">
        <v>11868</v>
      </c>
    </row>
    <row r="5949" spans="1:2" x14ac:dyDescent="0.3">
      <c r="A5949" s="4" t="s">
        <v>7791</v>
      </c>
      <c r="B5949" s="4" t="s">
        <v>7792</v>
      </c>
    </row>
    <row r="5950" spans="1:2" x14ac:dyDescent="0.3">
      <c r="A5950" s="4" t="s">
        <v>11869</v>
      </c>
      <c r="B5950" s="4" t="s">
        <v>11870</v>
      </c>
    </row>
    <row r="5951" spans="1:2" x14ac:dyDescent="0.3">
      <c r="A5951" s="4" t="s">
        <v>7793</v>
      </c>
      <c r="B5951" s="4" t="s">
        <v>7794</v>
      </c>
    </row>
    <row r="5952" spans="1:2" x14ac:dyDescent="0.3">
      <c r="A5952" s="4" t="s">
        <v>11871</v>
      </c>
      <c r="B5952" s="4" t="s">
        <v>11872</v>
      </c>
    </row>
    <row r="5953" spans="1:2" x14ac:dyDescent="0.3">
      <c r="A5953" s="4" t="s">
        <v>11873</v>
      </c>
      <c r="B5953" s="4" t="s">
        <v>3710</v>
      </c>
    </row>
    <row r="5954" spans="1:2" x14ac:dyDescent="0.3">
      <c r="A5954" s="4" t="s">
        <v>7795</v>
      </c>
      <c r="B5954" s="4" t="s">
        <v>7796</v>
      </c>
    </row>
    <row r="5955" spans="1:2" x14ac:dyDescent="0.3">
      <c r="A5955" s="4" t="s">
        <v>7797</v>
      </c>
      <c r="B5955" s="4" t="s">
        <v>7798</v>
      </c>
    </row>
    <row r="5956" spans="1:2" x14ac:dyDescent="0.3">
      <c r="A5956" s="4" t="s">
        <v>7799</v>
      </c>
      <c r="B5956" s="4" t="s">
        <v>7800</v>
      </c>
    </row>
    <row r="5957" spans="1:2" x14ac:dyDescent="0.3">
      <c r="A5957" s="4" t="s">
        <v>11874</v>
      </c>
      <c r="B5957" s="4" t="s">
        <v>11875</v>
      </c>
    </row>
    <row r="5958" spans="1:2" x14ac:dyDescent="0.3">
      <c r="A5958" s="4" t="s">
        <v>7801</v>
      </c>
      <c r="B5958" s="4" t="s">
        <v>7802</v>
      </c>
    </row>
    <row r="5959" spans="1:2" x14ac:dyDescent="0.3">
      <c r="A5959" s="4" t="s">
        <v>7803</v>
      </c>
      <c r="B5959" s="4" t="s">
        <v>7804</v>
      </c>
    </row>
    <row r="5960" spans="1:2" x14ac:dyDescent="0.3">
      <c r="A5960" s="4" t="s">
        <v>6685</v>
      </c>
      <c r="B5960" s="4" t="s">
        <v>11876</v>
      </c>
    </row>
    <row r="5961" spans="1:2" x14ac:dyDescent="0.3">
      <c r="A5961" s="4" t="s">
        <v>7806</v>
      </c>
      <c r="B5961" s="4" t="s">
        <v>7807</v>
      </c>
    </row>
    <row r="5962" spans="1:2" x14ac:dyDescent="0.3">
      <c r="A5962" s="4" t="s">
        <v>7808</v>
      </c>
      <c r="B5962" s="4" t="s">
        <v>7809</v>
      </c>
    </row>
    <row r="5963" spans="1:2" x14ac:dyDescent="0.3">
      <c r="A5963" s="4" t="s">
        <v>7810</v>
      </c>
      <c r="B5963" s="4" t="s">
        <v>7811</v>
      </c>
    </row>
    <row r="5964" spans="1:2" x14ac:dyDescent="0.3">
      <c r="A5964" s="4" t="s">
        <v>7812</v>
      </c>
      <c r="B5964" s="4" t="s">
        <v>7813</v>
      </c>
    </row>
    <row r="5965" spans="1:2" x14ac:dyDescent="0.3">
      <c r="A5965" s="4" t="s">
        <v>7815</v>
      </c>
      <c r="B5965" s="4" t="s">
        <v>7816</v>
      </c>
    </row>
    <row r="5966" spans="1:2" x14ac:dyDescent="0.3">
      <c r="A5966" s="4" t="s">
        <v>11877</v>
      </c>
      <c r="B5966" s="4" t="s">
        <v>11878</v>
      </c>
    </row>
    <row r="5967" spans="1:2" x14ac:dyDescent="0.3">
      <c r="A5967" s="4" t="s">
        <v>7818</v>
      </c>
      <c r="B5967" s="4" t="s">
        <v>7819</v>
      </c>
    </row>
    <row r="5968" spans="1:2" x14ac:dyDescent="0.3">
      <c r="A5968" s="4" t="s">
        <v>11879</v>
      </c>
      <c r="B5968" s="4" t="s">
        <v>11880</v>
      </c>
    </row>
    <row r="5969" spans="1:2" x14ac:dyDescent="0.3">
      <c r="A5969" s="4" t="s">
        <v>7820</v>
      </c>
      <c r="B5969" s="4" t="s">
        <v>7821</v>
      </c>
    </row>
    <row r="5970" spans="1:2" x14ac:dyDescent="0.3">
      <c r="A5970" s="4" t="s">
        <v>11881</v>
      </c>
      <c r="B5970" s="4" t="s">
        <v>11882</v>
      </c>
    </row>
    <row r="5971" spans="1:2" x14ac:dyDescent="0.3">
      <c r="A5971" s="4" t="s">
        <v>7822</v>
      </c>
      <c r="B5971" s="4" t="s">
        <v>7823</v>
      </c>
    </row>
    <row r="5972" spans="1:2" x14ac:dyDescent="0.3">
      <c r="A5972" s="4" t="s">
        <v>11883</v>
      </c>
      <c r="B5972" s="4" t="s">
        <v>11884</v>
      </c>
    </row>
    <row r="5973" spans="1:2" x14ac:dyDescent="0.3">
      <c r="A5973" s="4" t="s">
        <v>11885</v>
      </c>
      <c r="B5973" s="4" t="s">
        <v>11886</v>
      </c>
    </row>
    <row r="5974" spans="1:2" x14ac:dyDescent="0.3">
      <c r="A5974" s="4" t="s">
        <v>7824</v>
      </c>
      <c r="B5974" s="4" t="s">
        <v>7825</v>
      </c>
    </row>
    <row r="5975" spans="1:2" x14ac:dyDescent="0.3">
      <c r="A5975" s="4" t="s">
        <v>11887</v>
      </c>
      <c r="B5975" s="4" t="s">
        <v>11888</v>
      </c>
    </row>
    <row r="5976" spans="1:2" x14ac:dyDescent="0.3">
      <c r="A5976" s="4" t="s">
        <v>11889</v>
      </c>
      <c r="B5976" s="4" t="s">
        <v>11890</v>
      </c>
    </row>
    <row r="5977" spans="1:2" x14ac:dyDescent="0.3">
      <c r="A5977" s="4" t="s">
        <v>12829</v>
      </c>
      <c r="B5977" s="4" t="s">
        <v>12830</v>
      </c>
    </row>
    <row r="5978" spans="1:2" x14ac:dyDescent="0.3">
      <c r="A5978" s="4" t="s">
        <v>12831</v>
      </c>
      <c r="B5978" s="4" t="s">
        <v>12832</v>
      </c>
    </row>
    <row r="5979" spans="1:2" x14ac:dyDescent="0.3">
      <c r="A5979" s="4" t="s">
        <v>11891</v>
      </c>
      <c r="B5979" s="4" t="s">
        <v>11892</v>
      </c>
    </row>
    <row r="5980" spans="1:2" x14ac:dyDescent="0.3">
      <c r="A5980" s="4" t="s">
        <v>11893</v>
      </c>
      <c r="B5980" s="4" t="s">
        <v>11894</v>
      </c>
    </row>
    <row r="5981" spans="1:2" x14ac:dyDescent="0.3">
      <c r="A5981" s="4" t="s">
        <v>7826</v>
      </c>
      <c r="B5981" s="4" t="s">
        <v>7827</v>
      </c>
    </row>
    <row r="5982" spans="1:2" x14ac:dyDescent="0.3">
      <c r="A5982" s="4" t="s">
        <v>11895</v>
      </c>
      <c r="B5982" s="4" t="s">
        <v>11896</v>
      </c>
    </row>
    <row r="5983" spans="1:2" x14ac:dyDescent="0.3">
      <c r="A5983" s="4" t="s">
        <v>7829</v>
      </c>
      <c r="B5983" s="4" t="s">
        <v>7830</v>
      </c>
    </row>
    <row r="5984" spans="1:2" x14ac:dyDescent="0.3">
      <c r="A5984" s="4" t="s">
        <v>7831</v>
      </c>
      <c r="B5984" s="4" t="s">
        <v>7832</v>
      </c>
    </row>
    <row r="5985" spans="1:2" x14ac:dyDescent="0.3">
      <c r="A5985" s="4" t="s">
        <v>7833</v>
      </c>
      <c r="B5985" s="4" t="s">
        <v>7834</v>
      </c>
    </row>
    <row r="5986" spans="1:2" x14ac:dyDescent="0.3">
      <c r="A5986" s="4" t="s">
        <v>7835</v>
      </c>
      <c r="B5986" s="4" t="s">
        <v>7836</v>
      </c>
    </row>
    <row r="5987" spans="1:2" x14ac:dyDescent="0.3">
      <c r="A5987" s="4" t="s">
        <v>7837</v>
      </c>
      <c r="B5987" s="4" t="s">
        <v>7838</v>
      </c>
    </row>
    <row r="5988" spans="1:2" x14ac:dyDescent="0.3">
      <c r="A5988" s="4" t="s">
        <v>7839</v>
      </c>
      <c r="B5988" s="4" t="s">
        <v>7840</v>
      </c>
    </row>
    <row r="5989" spans="1:2" x14ac:dyDescent="0.3">
      <c r="A5989" s="4" t="s">
        <v>7842</v>
      </c>
      <c r="B5989" s="4" t="s">
        <v>7843</v>
      </c>
    </row>
    <row r="5990" spans="1:2" x14ac:dyDescent="0.3">
      <c r="A5990" s="4" t="s">
        <v>7844</v>
      </c>
      <c r="B5990" s="4" t="s">
        <v>7845</v>
      </c>
    </row>
    <row r="5991" spans="1:2" x14ac:dyDescent="0.3">
      <c r="A5991" s="4" t="s">
        <v>7846</v>
      </c>
      <c r="B5991" s="4" t="s">
        <v>7847</v>
      </c>
    </row>
    <row r="5992" spans="1:2" x14ac:dyDescent="0.3">
      <c r="A5992" s="4" t="s">
        <v>7848</v>
      </c>
      <c r="B5992" s="4" t="s">
        <v>7849</v>
      </c>
    </row>
    <row r="5993" spans="1:2" x14ac:dyDescent="0.3">
      <c r="A5993" s="4" t="s">
        <v>7850</v>
      </c>
      <c r="B5993" s="4" t="s">
        <v>7851</v>
      </c>
    </row>
    <row r="5994" spans="1:2" x14ac:dyDescent="0.3">
      <c r="A5994" s="4" t="s">
        <v>11897</v>
      </c>
      <c r="B5994" s="4" t="s">
        <v>11898</v>
      </c>
    </row>
    <row r="5995" spans="1:2" x14ac:dyDescent="0.3">
      <c r="A5995" s="4" t="s">
        <v>11899</v>
      </c>
      <c r="B5995" s="4" t="s">
        <v>11900</v>
      </c>
    </row>
    <row r="5996" spans="1:2" x14ac:dyDescent="0.3">
      <c r="A5996" s="4" t="s">
        <v>7852</v>
      </c>
      <c r="B5996" s="4" t="s">
        <v>7853</v>
      </c>
    </row>
    <row r="5997" spans="1:2" x14ac:dyDescent="0.3">
      <c r="A5997" s="4" t="s">
        <v>7854</v>
      </c>
      <c r="B5997" s="4" t="s">
        <v>7855</v>
      </c>
    </row>
    <row r="5998" spans="1:2" x14ac:dyDescent="0.3">
      <c r="A5998" s="4" t="s">
        <v>7856</v>
      </c>
      <c r="B5998" s="4" t="s">
        <v>7857</v>
      </c>
    </row>
    <row r="5999" spans="1:2" x14ac:dyDescent="0.3">
      <c r="A5999" s="4" t="s">
        <v>7858</v>
      </c>
      <c r="B5999" s="4" t="s">
        <v>7859</v>
      </c>
    </row>
    <row r="6000" spans="1:2" x14ac:dyDescent="0.3">
      <c r="A6000" s="4" t="s">
        <v>7860</v>
      </c>
      <c r="B6000" s="4" t="s">
        <v>7861</v>
      </c>
    </row>
    <row r="6001" spans="1:2" x14ac:dyDescent="0.3">
      <c r="A6001" s="4" t="s">
        <v>7862</v>
      </c>
      <c r="B6001" s="4" t="s">
        <v>7863</v>
      </c>
    </row>
    <row r="6002" spans="1:2" x14ac:dyDescent="0.3">
      <c r="A6002" s="4" t="s">
        <v>7864</v>
      </c>
      <c r="B6002" s="4" t="s">
        <v>7865</v>
      </c>
    </row>
    <row r="6003" spans="1:2" x14ac:dyDescent="0.3">
      <c r="A6003" s="4" t="s">
        <v>7866</v>
      </c>
      <c r="B6003" s="4" t="s">
        <v>7867</v>
      </c>
    </row>
    <row r="6004" spans="1:2" x14ac:dyDescent="0.3">
      <c r="A6004" s="4" t="s">
        <v>7868</v>
      </c>
      <c r="B6004" s="4" t="s">
        <v>7869</v>
      </c>
    </row>
    <row r="6005" spans="1:2" x14ac:dyDescent="0.3">
      <c r="A6005" s="4" t="s">
        <v>7870</v>
      </c>
      <c r="B6005" s="4" t="s">
        <v>7871</v>
      </c>
    </row>
    <row r="6006" spans="1:2" x14ac:dyDescent="0.3">
      <c r="A6006" s="4" t="s">
        <v>11901</v>
      </c>
      <c r="B6006" s="4" t="s">
        <v>11902</v>
      </c>
    </row>
    <row r="6007" spans="1:2" x14ac:dyDescent="0.3">
      <c r="A6007" s="4" t="s">
        <v>7872</v>
      </c>
      <c r="B6007" s="4" t="s">
        <v>7873</v>
      </c>
    </row>
    <row r="6008" spans="1:2" x14ac:dyDescent="0.3">
      <c r="A6008" s="4" t="s">
        <v>7874</v>
      </c>
      <c r="B6008" s="4" t="s">
        <v>7875</v>
      </c>
    </row>
    <row r="6009" spans="1:2" x14ac:dyDescent="0.3">
      <c r="A6009" s="4" t="s">
        <v>11903</v>
      </c>
      <c r="B6009" s="4" t="s">
        <v>11904</v>
      </c>
    </row>
    <row r="6010" spans="1:2" x14ac:dyDescent="0.3">
      <c r="A6010" s="4" t="s">
        <v>7876</v>
      </c>
      <c r="B6010" s="4" t="s">
        <v>7877</v>
      </c>
    </row>
    <row r="6011" spans="1:2" x14ac:dyDescent="0.3">
      <c r="A6011" s="4" t="s">
        <v>7878</v>
      </c>
      <c r="B6011" s="4" t="s">
        <v>7879</v>
      </c>
    </row>
    <row r="6012" spans="1:2" x14ac:dyDescent="0.3">
      <c r="A6012" s="4" t="s">
        <v>7880</v>
      </c>
      <c r="B6012" s="4" t="s">
        <v>7881</v>
      </c>
    </row>
    <row r="6013" spans="1:2" x14ac:dyDescent="0.3">
      <c r="A6013" s="4" t="s">
        <v>11905</v>
      </c>
      <c r="B6013" s="4" t="s">
        <v>11906</v>
      </c>
    </row>
    <row r="6014" spans="1:2" x14ac:dyDescent="0.3">
      <c r="A6014" s="4" t="s">
        <v>11907</v>
      </c>
      <c r="B6014" s="4" t="s">
        <v>11908</v>
      </c>
    </row>
    <row r="6015" spans="1:2" x14ac:dyDescent="0.3">
      <c r="A6015" s="4" t="s">
        <v>11909</v>
      </c>
      <c r="B6015" s="4" t="s">
        <v>11910</v>
      </c>
    </row>
    <row r="6016" spans="1:2" x14ac:dyDescent="0.3">
      <c r="A6016" s="4" t="s">
        <v>11911</v>
      </c>
      <c r="B6016" s="4" t="s">
        <v>11912</v>
      </c>
    </row>
    <row r="6017" spans="1:2" x14ac:dyDescent="0.3">
      <c r="A6017" s="4" t="s">
        <v>11913</v>
      </c>
      <c r="B6017" s="4" t="s">
        <v>11914</v>
      </c>
    </row>
    <row r="6018" spans="1:2" x14ac:dyDescent="0.3">
      <c r="A6018" s="4" t="s">
        <v>11915</v>
      </c>
      <c r="B6018" s="4" t="s">
        <v>11916</v>
      </c>
    </row>
    <row r="6019" spans="1:2" x14ac:dyDescent="0.3">
      <c r="A6019" s="4" t="s">
        <v>11917</v>
      </c>
      <c r="B6019" s="4" t="s">
        <v>11918</v>
      </c>
    </row>
    <row r="6020" spans="1:2" x14ac:dyDescent="0.3">
      <c r="A6020" s="4" t="s">
        <v>7882</v>
      </c>
      <c r="B6020" s="4" t="s">
        <v>7883</v>
      </c>
    </row>
    <row r="6021" spans="1:2" x14ac:dyDescent="0.3">
      <c r="A6021" s="4" t="s">
        <v>7884</v>
      </c>
      <c r="B6021" s="4" t="s">
        <v>7885</v>
      </c>
    </row>
    <row r="6022" spans="1:2" x14ac:dyDescent="0.3">
      <c r="A6022" s="4" t="s">
        <v>12833</v>
      </c>
      <c r="B6022" s="4" t="s">
        <v>3820</v>
      </c>
    </row>
    <row r="6023" spans="1:2" x14ac:dyDescent="0.3">
      <c r="A6023" s="4" t="s">
        <v>7886</v>
      </c>
      <c r="B6023" s="4" t="s">
        <v>7887</v>
      </c>
    </row>
    <row r="6024" spans="1:2" x14ac:dyDescent="0.3">
      <c r="A6024" s="4" t="s">
        <v>7888</v>
      </c>
      <c r="B6024" s="4" t="s">
        <v>7889</v>
      </c>
    </row>
    <row r="6025" spans="1:2" x14ac:dyDescent="0.3">
      <c r="A6025" s="4" t="s">
        <v>7890</v>
      </c>
      <c r="B6025" s="4" t="s">
        <v>7891</v>
      </c>
    </row>
    <row r="6026" spans="1:2" x14ac:dyDescent="0.3">
      <c r="A6026" s="4" t="s">
        <v>11919</v>
      </c>
      <c r="B6026" s="4" t="s">
        <v>11920</v>
      </c>
    </row>
    <row r="6027" spans="1:2" x14ac:dyDescent="0.3">
      <c r="A6027" s="4" t="s">
        <v>11921</v>
      </c>
      <c r="B6027" s="4" t="s">
        <v>11922</v>
      </c>
    </row>
    <row r="6028" spans="1:2" x14ac:dyDescent="0.3">
      <c r="A6028" s="4" t="s">
        <v>11923</v>
      </c>
      <c r="B6028" s="4" t="s">
        <v>11924</v>
      </c>
    </row>
    <row r="6029" spans="1:2" x14ac:dyDescent="0.3">
      <c r="A6029" s="4" t="s">
        <v>11925</v>
      </c>
      <c r="B6029" s="4" t="s">
        <v>11926</v>
      </c>
    </row>
    <row r="6030" spans="1:2" x14ac:dyDescent="0.3">
      <c r="A6030" s="4" t="s">
        <v>7893</v>
      </c>
      <c r="B6030" s="4" t="s">
        <v>7894</v>
      </c>
    </row>
    <row r="6031" spans="1:2" x14ac:dyDescent="0.3">
      <c r="A6031" s="4" t="s">
        <v>11927</v>
      </c>
      <c r="B6031" s="4" t="s">
        <v>11928</v>
      </c>
    </row>
    <row r="6032" spans="1:2" x14ac:dyDescent="0.3">
      <c r="A6032" s="4" t="s">
        <v>11929</v>
      </c>
      <c r="B6032" s="4" t="s">
        <v>11930</v>
      </c>
    </row>
    <row r="6033" spans="1:2" x14ac:dyDescent="0.3">
      <c r="A6033" s="4" t="s">
        <v>7895</v>
      </c>
      <c r="B6033" s="4" t="s">
        <v>7896</v>
      </c>
    </row>
    <row r="6034" spans="1:2" x14ac:dyDescent="0.3">
      <c r="A6034" s="4" t="s">
        <v>11931</v>
      </c>
      <c r="B6034" s="4" t="s">
        <v>11932</v>
      </c>
    </row>
    <row r="6035" spans="1:2" x14ac:dyDescent="0.3">
      <c r="A6035" s="4" t="s">
        <v>7897</v>
      </c>
      <c r="B6035" s="4" t="s">
        <v>7898</v>
      </c>
    </row>
    <row r="6036" spans="1:2" x14ac:dyDescent="0.3">
      <c r="A6036" s="4" t="s">
        <v>7899</v>
      </c>
      <c r="B6036" s="4" t="s">
        <v>7900</v>
      </c>
    </row>
    <row r="6037" spans="1:2" x14ac:dyDescent="0.3">
      <c r="A6037" s="4" t="s">
        <v>7901</v>
      </c>
      <c r="B6037" s="4" t="s">
        <v>7902</v>
      </c>
    </row>
    <row r="6038" spans="1:2" x14ac:dyDescent="0.3">
      <c r="A6038" s="4" t="s">
        <v>7903</v>
      </c>
      <c r="B6038" s="4" t="s">
        <v>7904</v>
      </c>
    </row>
    <row r="6039" spans="1:2" x14ac:dyDescent="0.3">
      <c r="A6039" s="4" t="s">
        <v>7905</v>
      </c>
      <c r="B6039" s="4" t="s">
        <v>7906</v>
      </c>
    </row>
    <row r="6040" spans="1:2" x14ac:dyDescent="0.3">
      <c r="A6040" s="4" t="s">
        <v>11933</v>
      </c>
      <c r="B6040" s="4" t="s">
        <v>11934</v>
      </c>
    </row>
    <row r="6041" spans="1:2" x14ac:dyDescent="0.3">
      <c r="A6041" s="4" t="s">
        <v>11935</v>
      </c>
      <c r="B6041" s="4" t="s">
        <v>11936</v>
      </c>
    </row>
    <row r="6042" spans="1:2" x14ac:dyDescent="0.3">
      <c r="A6042" s="4" t="s">
        <v>7907</v>
      </c>
      <c r="B6042" s="4" t="s">
        <v>7908</v>
      </c>
    </row>
    <row r="6043" spans="1:2" x14ac:dyDescent="0.3">
      <c r="A6043" s="4" t="s">
        <v>12834</v>
      </c>
      <c r="B6043" s="4" t="s">
        <v>12835</v>
      </c>
    </row>
    <row r="6044" spans="1:2" x14ac:dyDescent="0.3">
      <c r="A6044" s="4" t="s">
        <v>7909</v>
      </c>
      <c r="B6044" s="4" t="s">
        <v>7910</v>
      </c>
    </row>
    <row r="6045" spans="1:2" x14ac:dyDescent="0.3">
      <c r="A6045" s="4" t="s">
        <v>7911</v>
      </c>
      <c r="B6045" s="4" t="s">
        <v>7912</v>
      </c>
    </row>
    <row r="6046" spans="1:2" x14ac:dyDescent="0.3">
      <c r="A6046" s="4" t="s">
        <v>11937</v>
      </c>
      <c r="B6046" s="4" t="s">
        <v>3865</v>
      </c>
    </row>
    <row r="6047" spans="1:2" x14ac:dyDescent="0.3">
      <c r="A6047" s="4" t="s">
        <v>7913</v>
      </c>
      <c r="B6047" s="4" t="s">
        <v>7914</v>
      </c>
    </row>
    <row r="6048" spans="1:2" x14ac:dyDescent="0.3">
      <c r="A6048" s="4" t="s">
        <v>7915</v>
      </c>
      <c r="B6048" s="4" t="s">
        <v>7916</v>
      </c>
    </row>
    <row r="6049" spans="1:2" x14ac:dyDescent="0.3">
      <c r="A6049" s="4" t="s">
        <v>7917</v>
      </c>
      <c r="B6049" s="4" t="s">
        <v>7918</v>
      </c>
    </row>
    <row r="6050" spans="1:2" x14ac:dyDescent="0.3">
      <c r="A6050" s="4" t="s">
        <v>7919</v>
      </c>
      <c r="B6050" s="4" t="s">
        <v>7920</v>
      </c>
    </row>
    <row r="6051" spans="1:2" x14ac:dyDescent="0.3">
      <c r="A6051" s="4" t="s">
        <v>11938</v>
      </c>
      <c r="B6051" s="4" t="s">
        <v>11939</v>
      </c>
    </row>
    <row r="6052" spans="1:2" x14ac:dyDescent="0.3">
      <c r="A6052" s="4" t="s">
        <v>11940</v>
      </c>
      <c r="B6052" s="4" t="s">
        <v>11941</v>
      </c>
    </row>
    <row r="6053" spans="1:2" x14ac:dyDescent="0.3">
      <c r="A6053" s="4" t="s">
        <v>12836</v>
      </c>
      <c r="B6053" s="4" t="s">
        <v>12837</v>
      </c>
    </row>
    <row r="6054" spans="1:2" x14ac:dyDescent="0.3">
      <c r="A6054" s="4" t="s">
        <v>7921</v>
      </c>
      <c r="B6054" s="4" t="s">
        <v>7922</v>
      </c>
    </row>
    <row r="6055" spans="1:2" x14ac:dyDescent="0.3">
      <c r="A6055" s="4" t="s">
        <v>7923</v>
      </c>
      <c r="B6055" s="4" t="s">
        <v>7924</v>
      </c>
    </row>
    <row r="6056" spans="1:2" x14ac:dyDescent="0.3">
      <c r="A6056" s="4" t="s">
        <v>7925</v>
      </c>
      <c r="B6056" s="4" t="s">
        <v>7926</v>
      </c>
    </row>
    <row r="6057" spans="1:2" x14ac:dyDescent="0.3">
      <c r="A6057" s="4" t="s">
        <v>7927</v>
      </c>
      <c r="B6057" s="4" t="s">
        <v>7928</v>
      </c>
    </row>
    <row r="6058" spans="1:2" x14ac:dyDescent="0.3">
      <c r="A6058" s="4" t="s">
        <v>12838</v>
      </c>
      <c r="B6058" s="4" t="s">
        <v>12839</v>
      </c>
    </row>
    <row r="6059" spans="1:2" x14ac:dyDescent="0.3">
      <c r="A6059" s="4" t="s">
        <v>7930</v>
      </c>
      <c r="B6059" s="4" t="s">
        <v>7931</v>
      </c>
    </row>
    <row r="6060" spans="1:2" x14ac:dyDescent="0.3">
      <c r="A6060" s="4" t="s">
        <v>7934</v>
      </c>
      <c r="B6060" s="4" t="s">
        <v>11942</v>
      </c>
    </row>
    <row r="6061" spans="1:2" x14ac:dyDescent="0.3">
      <c r="A6061" s="4" t="s">
        <v>11943</v>
      </c>
      <c r="B6061" s="4" t="s">
        <v>11944</v>
      </c>
    </row>
    <row r="6062" spans="1:2" x14ac:dyDescent="0.3">
      <c r="A6062" s="4" t="s">
        <v>7932</v>
      </c>
      <c r="B6062" s="4" t="s">
        <v>7933</v>
      </c>
    </row>
    <row r="6063" spans="1:2" x14ac:dyDescent="0.3">
      <c r="A6063" s="4" t="s">
        <v>7929</v>
      </c>
      <c r="B6063" s="4" t="s">
        <v>11945</v>
      </c>
    </row>
    <row r="6064" spans="1:2" x14ac:dyDescent="0.3">
      <c r="A6064" s="4" t="s">
        <v>7935</v>
      </c>
      <c r="B6064" s="4" t="s">
        <v>7936</v>
      </c>
    </row>
    <row r="6065" spans="1:2" x14ac:dyDescent="0.3">
      <c r="A6065" s="4" t="s">
        <v>7937</v>
      </c>
      <c r="B6065" s="4" t="s">
        <v>7938</v>
      </c>
    </row>
    <row r="6066" spans="1:2" x14ac:dyDescent="0.3">
      <c r="A6066" s="4" t="s">
        <v>7939</v>
      </c>
      <c r="B6066" s="4" t="s">
        <v>7940</v>
      </c>
    </row>
    <row r="6067" spans="1:2" x14ac:dyDescent="0.3">
      <c r="A6067" s="4" t="s">
        <v>7941</v>
      </c>
      <c r="B6067" s="4" t="s">
        <v>11946</v>
      </c>
    </row>
    <row r="6068" spans="1:2" x14ac:dyDescent="0.3">
      <c r="A6068" s="4" t="s">
        <v>7942</v>
      </c>
      <c r="B6068" s="4" t="s">
        <v>7943</v>
      </c>
    </row>
    <row r="6069" spans="1:2" x14ac:dyDescent="0.3">
      <c r="A6069" s="4" t="s">
        <v>7944</v>
      </c>
      <c r="B6069" s="4" t="s">
        <v>7945</v>
      </c>
    </row>
    <row r="6070" spans="1:2" x14ac:dyDescent="0.3">
      <c r="A6070" s="4" t="s">
        <v>11947</v>
      </c>
      <c r="B6070" s="4" t="s">
        <v>11948</v>
      </c>
    </row>
    <row r="6071" spans="1:2" x14ac:dyDescent="0.3">
      <c r="A6071" s="4" t="s">
        <v>11949</v>
      </c>
      <c r="B6071" s="4" t="s">
        <v>11950</v>
      </c>
    </row>
    <row r="6072" spans="1:2" x14ac:dyDescent="0.3">
      <c r="A6072" s="4" t="s">
        <v>7946</v>
      </c>
      <c r="B6072" s="4" t="s">
        <v>7947</v>
      </c>
    </row>
    <row r="6073" spans="1:2" x14ac:dyDescent="0.3">
      <c r="A6073" s="4" t="s">
        <v>7948</v>
      </c>
      <c r="B6073" s="4" t="s">
        <v>7949</v>
      </c>
    </row>
    <row r="6074" spans="1:2" x14ac:dyDescent="0.3">
      <c r="A6074" s="4" t="s">
        <v>7950</v>
      </c>
      <c r="B6074" s="4" t="s">
        <v>7951</v>
      </c>
    </row>
    <row r="6075" spans="1:2" x14ac:dyDescent="0.3">
      <c r="A6075" s="4" t="s">
        <v>11951</v>
      </c>
      <c r="B6075" s="4" t="s">
        <v>11952</v>
      </c>
    </row>
    <row r="6076" spans="1:2" x14ac:dyDescent="0.3">
      <c r="A6076" s="4" t="s">
        <v>7952</v>
      </c>
      <c r="B6076" s="4" t="s">
        <v>7953</v>
      </c>
    </row>
    <row r="6077" spans="1:2" x14ac:dyDescent="0.3">
      <c r="A6077" s="4" t="s">
        <v>7954</v>
      </c>
      <c r="B6077" s="4" t="s">
        <v>7955</v>
      </c>
    </row>
    <row r="6078" spans="1:2" x14ac:dyDescent="0.3">
      <c r="A6078" s="4" t="s">
        <v>11953</v>
      </c>
      <c r="B6078" s="4" t="s">
        <v>11954</v>
      </c>
    </row>
    <row r="6079" spans="1:2" x14ac:dyDescent="0.3">
      <c r="A6079" s="4" t="s">
        <v>7956</v>
      </c>
      <c r="B6079" s="4" t="s">
        <v>7957</v>
      </c>
    </row>
    <row r="6080" spans="1:2" x14ac:dyDescent="0.3">
      <c r="A6080" s="4" t="s">
        <v>7958</v>
      </c>
      <c r="B6080" s="4" t="s">
        <v>7959</v>
      </c>
    </row>
    <row r="6081" spans="1:2" x14ac:dyDescent="0.3">
      <c r="A6081" s="4" t="s">
        <v>11955</v>
      </c>
      <c r="B6081" s="4" t="s">
        <v>11956</v>
      </c>
    </row>
    <row r="6082" spans="1:2" x14ac:dyDescent="0.3">
      <c r="A6082" s="4" t="s">
        <v>11957</v>
      </c>
      <c r="B6082" s="4" t="s">
        <v>11958</v>
      </c>
    </row>
    <row r="6083" spans="1:2" x14ac:dyDescent="0.3">
      <c r="A6083" s="4" t="s">
        <v>11959</v>
      </c>
      <c r="B6083" s="4" t="s">
        <v>11960</v>
      </c>
    </row>
    <row r="6084" spans="1:2" x14ac:dyDescent="0.3">
      <c r="A6084" s="4" t="s">
        <v>7960</v>
      </c>
      <c r="B6084" s="4" t="s">
        <v>7961</v>
      </c>
    </row>
    <row r="6085" spans="1:2" x14ac:dyDescent="0.3">
      <c r="A6085" s="4" t="s">
        <v>7962</v>
      </c>
      <c r="B6085" s="4" t="s">
        <v>7963</v>
      </c>
    </row>
    <row r="6086" spans="1:2" x14ac:dyDescent="0.3">
      <c r="A6086" s="4" t="s">
        <v>11961</v>
      </c>
      <c r="B6086" s="4" t="s">
        <v>3884</v>
      </c>
    </row>
    <row r="6087" spans="1:2" x14ac:dyDescent="0.3">
      <c r="A6087" s="4" t="s">
        <v>7965</v>
      </c>
      <c r="B6087" s="4" t="s">
        <v>7966</v>
      </c>
    </row>
    <row r="6088" spans="1:2" x14ac:dyDescent="0.3">
      <c r="A6088" s="4" t="s">
        <v>7967</v>
      </c>
      <c r="B6088" s="4" t="s">
        <v>7968</v>
      </c>
    </row>
    <row r="6089" spans="1:2" x14ac:dyDescent="0.3">
      <c r="A6089" s="4" t="s">
        <v>7969</v>
      </c>
      <c r="B6089" s="4" t="s">
        <v>7970</v>
      </c>
    </row>
    <row r="6090" spans="1:2" x14ac:dyDescent="0.3">
      <c r="A6090" s="4" t="s">
        <v>11962</v>
      </c>
      <c r="B6090" s="4" t="s">
        <v>11963</v>
      </c>
    </row>
    <row r="6091" spans="1:2" x14ac:dyDescent="0.3">
      <c r="A6091" s="4" t="s">
        <v>11964</v>
      </c>
      <c r="B6091" s="4" t="s">
        <v>11965</v>
      </c>
    </row>
    <row r="6092" spans="1:2" x14ac:dyDescent="0.3">
      <c r="A6092" s="4" t="s">
        <v>11966</v>
      </c>
      <c r="B6092" s="4" t="s">
        <v>11967</v>
      </c>
    </row>
    <row r="6093" spans="1:2" x14ac:dyDescent="0.3">
      <c r="A6093" s="4" t="s">
        <v>11968</v>
      </c>
      <c r="B6093" s="4" t="s">
        <v>11969</v>
      </c>
    </row>
    <row r="6094" spans="1:2" x14ac:dyDescent="0.3">
      <c r="A6094" s="4" t="s">
        <v>11970</v>
      </c>
      <c r="B6094" s="4" t="s">
        <v>11971</v>
      </c>
    </row>
    <row r="6095" spans="1:2" x14ac:dyDescent="0.3">
      <c r="A6095" s="4" t="s">
        <v>7971</v>
      </c>
      <c r="B6095" s="4" t="s">
        <v>7972</v>
      </c>
    </row>
    <row r="6096" spans="1:2" x14ac:dyDescent="0.3">
      <c r="A6096" s="4" t="s">
        <v>11972</v>
      </c>
      <c r="B6096" s="4" t="s">
        <v>11973</v>
      </c>
    </row>
    <row r="6097" spans="1:2" x14ac:dyDescent="0.3">
      <c r="A6097" s="4" t="s">
        <v>11974</v>
      </c>
      <c r="B6097" s="4" t="s">
        <v>7974</v>
      </c>
    </row>
    <row r="6098" spans="1:2" x14ac:dyDescent="0.3">
      <c r="A6098" s="4" t="s">
        <v>7975</v>
      </c>
      <c r="B6098" s="4" t="s">
        <v>7976</v>
      </c>
    </row>
    <row r="6099" spans="1:2" x14ac:dyDescent="0.3">
      <c r="A6099" s="4" t="s">
        <v>7977</v>
      </c>
      <c r="B6099" s="4" t="s">
        <v>7978</v>
      </c>
    </row>
    <row r="6100" spans="1:2" x14ac:dyDescent="0.3">
      <c r="A6100" s="4" t="s">
        <v>12840</v>
      </c>
      <c r="B6100" s="4" t="s">
        <v>12841</v>
      </c>
    </row>
    <row r="6101" spans="1:2" x14ac:dyDescent="0.3">
      <c r="A6101" s="4" t="s">
        <v>7973</v>
      </c>
      <c r="B6101" s="4" t="s">
        <v>11975</v>
      </c>
    </row>
    <row r="6102" spans="1:2" x14ac:dyDescent="0.3">
      <c r="A6102" s="4" t="s">
        <v>7979</v>
      </c>
      <c r="B6102" s="4" t="s">
        <v>7980</v>
      </c>
    </row>
    <row r="6103" spans="1:2" x14ac:dyDescent="0.3">
      <c r="A6103" s="4" t="s">
        <v>7981</v>
      </c>
      <c r="B6103" s="4" t="s">
        <v>7982</v>
      </c>
    </row>
    <row r="6104" spans="1:2" x14ac:dyDescent="0.3">
      <c r="A6104" s="4" t="s">
        <v>7983</v>
      </c>
      <c r="B6104" s="4" t="s">
        <v>7984</v>
      </c>
    </row>
    <row r="6105" spans="1:2" x14ac:dyDescent="0.3">
      <c r="A6105" s="4" t="s">
        <v>11976</v>
      </c>
      <c r="B6105" s="4" t="s">
        <v>11977</v>
      </c>
    </row>
    <row r="6106" spans="1:2" x14ac:dyDescent="0.3">
      <c r="A6106" s="4" t="s">
        <v>11978</v>
      </c>
      <c r="B6106" s="4" t="s">
        <v>11979</v>
      </c>
    </row>
    <row r="6107" spans="1:2" x14ac:dyDescent="0.3">
      <c r="A6107" s="4" t="s">
        <v>7985</v>
      </c>
      <c r="B6107" s="4" t="s">
        <v>7986</v>
      </c>
    </row>
    <row r="6108" spans="1:2" x14ac:dyDescent="0.3">
      <c r="A6108" s="4" t="s">
        <v>7988</v>
      </c>
      <c r="B6108" s="4" t="s">
        <v>7989</v>
      </c>
    </row>
    <row r="6109" spans="1:2" x14ac:dyDescent="0.3">
      <c r="A6109" s="4" t="s">
        <v>7990</v>
      </c>
      <c r="B6109" s="4" t="s">
        <v>7991</v>
      </c>
    </row>
    <row r="6110" spans="1:2" x14ac:dyDescent="0.3">
      <c r="A6110" s="4" t="s">
        <v>7993</v>
      </c>
      <c r="B6110" s="4" t="s">
        <v>7994</v>
      </c>
    </row>
    <row r="6111" spans="1:2" x14ac:dyDescent="0.3">
      <c r="A6111" s="4" t="s">
        <v>7995</v>
      </c>
      <c r="B6111" s="4" t="s">
        <v>7996</v>
      </c>
    </row>
    <row r="6112" spans="1:2" x14ac:dyDescent="0.3">
      <c r="A6112" s="4" t="s">
        <v>7997</v>
      </c>
      <c r="B6112" s="4" t="s">
        <v>7998</v>
      </c>
    </row>
    <row r="6113" spans="1:2" x14ac:dyDescent="0.3">
      <c r="A6113" s="4" t="s">
        <v>7999</v>
      </c>
      <c r="B6113" s="4" t="s">
        <v>8000</v>
      </c>
    </row>
    <row r="6114" spans="1:2" x14ac:dyDescent="0.3">
      <c r="A6114" s="4" t="s">
        <v>8001</v>
      </c>
      <c r="B6114" s="4" t="s">
        <v>8002</v>
      </c>
    </row>
    <row r="6115" spans="1:2" x14ac:dyDescent="0.3">
      <c r="A6115" s="4" t="s">
        <v>8003</v>
      </c>
      <c r="B6115" s="4" t="s">
        <v>8004</v>
      </c>
    </row>
    <row r="6116" spans="1:2" x14ac:dyDescent="0.3">
      <c r="A6116" s="4" t="s">
        <v>11980</v>
      </c>
      <c r="B6116" s="4" t="s">
        <v>11981</v>
      </c>
    </row>
    <row r="6117" spans="1:2" x14ac:dyDescent="0.3">
      <c r="A6117" s="4" t="s">
        <v>8005</v>
      </c>
      <c r="B6117" s="4" t="s">
        <v>8006</v>
      </c>
    </row>
    <row r="6118" spans="1:2" x14ac:dyDescent="0.3">
      <c r="A6118" s="4" t="s">
        <v>8007</v>
      </c>
      <c r="B6118" s="4" t="s">
        <v>8008</v>
      </c>
    </row>
    <row r="6119" spans="1:2" x14ac:dyDescent="0.3">
      <c r="A6119" s="4" t="s">
        <v>8010</v>
      </c>
      <c r="B6119" s="4" t="s">
        <v>8011</v>
      </c>
    </row>
    <row r="6120" spans="1:2" x14ac:dyDescent="0.3">
      <c r="A6120" s="4" t="s">
        <v>8012</v>
      </c>
      <c r="B6120" s="4" t="s">
        <v>8013</v>
      </c>
    </row>
    <row r="6121" spans="1:2" x14ac:dyDescent="0.3">
      <c r="A6121" s="4" t="s">
        <v>11982</v>
      </c>
      <c r="B6121" s="4" t="s">
        <v>11983</v>
      </c>
    </row>
    <row r="6122" spans="1:2" x14ac:dyDescent="0.3">
      <c r="A6122" s="4" t="s">
        <v>8014</v>
      </c>
      <c r="B6122" s="4" t="s">
        <v>8015</v>
      </c>
    </row>
    <row r="6123" spans="1:2" x14ac:dyDescent="0.3">
      <c r="A6123" s="4" t="s">
        <v>11984</v>
      </c>
      <c r="B6123" s="4" t="s">
        <v>11985</v>
      </c>
    </row>
    <row r="6124" spans="1:2" x14ac:dyDescent="0.3">
      <c r="A6124" s="4" t="s">
        <v>11986</v>
      </c>
      <c r="B6124" s="4" t="s">
        <v>11987</v>
      </c>
    </row>
    <row r="6125" spans="1:2" x14ac:dyDescent="0.3">
      <c r="A6125" s="4" t="s">
        <v>8016</v>
      </c>
      <c r="B6125" s="4" t="s">
        <v>8017</v>
      </c>
    </row>
    <row r="6126" spans="1:2" x14ac:dyDescent="0.3">
      <c r="A6126" s="4" t="s">
        <v>8018</v>
      </c>
      <c r="B6126" s="4" t="s">
        <v>8019</v>
      </c>
    </row>
    <row r="6127" spans="1:2" x14ac:dyDescent="0.3">
      <c r="A6127" s="4" t="s">
        <v>11988</v>
      </c>
      <c r="B6127" s="4" t="s">
        <v>11989</v>
      </c>
    </row>
    <row r="6128" spans="1:2" x14ac:dyDescent="0.3">
      <c r="A6128" s="4" t="s">
        <v>8021</v>
      </c>
      <c r="B6128" s="4" t="s">
        <v>8022</v>
      </c>
    </row>
    <row r="6129" spans="1:2" x14ac:dyDescent="0.3">
      <c r="A6129" s="4" t="s">
        <v>8023</v>
      </c>
      <c r="B6129" s="4" t="s">
        <v>8024</v>
      </c>
    </row>
    <row r="6130" spans="1:2" x14ac:dyDescent="0.3">
      <c r="A6130" s="4" t="s">
        <v>8025</v>
      </c>
      <c r="B6130" s="4" t="s">
        <v>8026</v>
      </c>
    </row>
    <row r="6131" spans="1:2" x14ac:dyDescent="0.3">
      <c r="A6131" s="4" t="s">
        <v>8027</v>
      </c>
      <c r="B6131" s="4" t="s">
        <v>8028</v>
      </c>
    </row>
    <row r="6132" spans="1:2" x14ac:dyDescent="0.3">
      <c r="A6132" s="4" t="s">
        <v>8029</v>
      </c>
      <c r="B6132" s="4" t="s">
        <v>8030</v>
      </c>
    </row>
    <row r="6133" spans="1:2" x14ac:dyDescent="0.3">
      <c r="A6133" s="4" t="s">
        <v>8031</v>
      </c>
      <c r="B6133" s="4" t="s">
        <v>8032</v>
      </c>
    </row>
    <row r="6134" spans="1:2" x14ac:dyDescent="0.3">
      <c r="A6134" s="4" t="s">
        <v>8033</v>
      </c>
      <c r="B6134" s="4" t="s">
        <v>8034</v>
      </c>
    </row>
    <row r="6135" spans="1:2" x14ac:dyDescent="0.3">
      <c r="A6135" s="4" t="s">
        <v>11990</v>
      </c>
      <c r="B6135" s="4" t="s">
        <v>11991</v>
      </c>
    </row>
    <row r="6136" spans="1:2" x14ac:dyDescent="0.3">
      <c r="A6136" s="4" t="s">
        <v>8035</v>
      </c>
      <c r="B6136" s="4" t="s">
        <v>8036</v>
      </c>
    </row>
    <row r="6137" spans="1:2" x14ac:dyDescent="0.3">
      <c r="A6137" s="4" t="s">
        <v>8037</v>
      </c>
      <c r="B6137" s="4" t="s">
        <v>8038</v>
      </c>
    </row>
    <row r="6138" spans="1:2" x14ac:dyDescent="0.3">
      <c r="A6138" s="4" t="s">
        <v>8039</v>
      </c>
      <c r="B6138" s="4" t="s">
        <v>8040</v>
      </c>
    </row>
    <row r="6139" spans="1:2" x14ac:dyDescent="0.3">
      <c r="A6139" s="4" t="s">
        <v>8042</v>
      </c>
      <c r="B6139" s="4" t="s">
        <v>8043</v>
      </c>
    </row>
    <row r="6140" spans="1:2" x14ac:dyDescent="0.3">
      <c r="A6140" s="4" t="s">
        <v>11992</v>
      </c>
      <c r="B6140" s="4" t="s">
        <v>9117</v>
      </c>
    </row>
    <row r="6141" spans="1:2" x14ac:dyDescent="0.3">
      <c r="A6141" s="4" t="s">
        <v>8044</v>
      </c>
      <c r="B6141" s="4" t="s">
        <v>8045</v>
      </c>
    </row>
    <row r="6142" spans="1:2" x14ac:dyDescent="0.3">
      <c r="A6142" s="4" t="s">
        <v>8046</v>
      </c>
      <c r="B6142" s="4" t="s">
        <v>8047</v>
      </c>
    </row>
    <row r="6143" spans="1:2" x14ac:dyDescent="0.3">
      <c r="A6143" s="4" t="s">
        <v>11993</v>
      </c>
      <c r="B6143" s="4" t="s">
        <v>11994</v>
      </c>
    </row>
    <row r="6144" spans="1:2" x14ac:dyDescent="0.3">
      <c r="A6144" s="4" t="s">
        <v>8048</v>
      </c>
      <c r="B6144" s="4" t="s">
        <v>8049</v>
      </c>
    </row>
    <row r="6145" spans="1:2" x14ac:dyDescent="0.3">
      <c r="A6145" s="4" t="s">
        <v>8050</v>
      </c>
      <c r="B6145" s="4" t="s">
        <v>8051</v>
      </c>
    </row>
    <row r="6146" spans="1:2" x14ac:dyDescent="0.3">
      <c r="A6146" s="4" t="s">
        <v>8052</v>
      </c>
      <c r="B6146" s="4" t="s">
        <v>8053</v>
      </c>
    </row>
    <row r="6147" spans="1:2" x14ac:dyDescent="0.3">
      <c r="A6147" s="4" t="s">
        <v>8054</v>
      </c>
      <c r="B6147" s="4" t="s">
        <v>8055</v>
      </c>
    </row>
    <row r="6148" spans="1:2" x14ac:dyDescent="0.3">
      <c r="A6148" s="4" t="s">
        <v>8056</v>
      </c>
      <c r="B6148" s="4" t="s">
        <v>8057</v>
      </c>
    </row>
    <row r="6149" spans="1:2" x14ac:dyDescent="0.3">
      <c r="A6149" s="4" t="s">
        <v>11995</v>
      </c>
      <c r="B6149" s="4" t="s">
        <v>11996</v>
      </c>
    </row>
    <row r="6150" spans="1:2" x14ac:dyDescent="0.3">
      <c r="A6150" s="4" t="s">
        <v>8058</v>
      </c>
      <c r="B6150" s="4" t="s">
        <v>8059</v>
      </c>
    </row>
    <row r="6151" spans="1:2" x14ac:dyDescent="0.3">
      <c r="A6151" s="4" t="s">
        <v>11997</v>
      </c>
      <c r="B6151" s="4" t="s">
        <v>11998</v>
      </c>
    </row>
    <row r="6152" spans="1:2" x14ac:dyDescent="0.3">
      <c r="A6152" s="4" t="s">
        <v>11999</v>
      </c>
      <c r="B6152" s="4" t="s">
        <v>12000</v>
      </c>
    </row>
    <row r="6153" spans="1:2" x14ac:dyDescent="0.3">
      <c r="A6153" s="4" t="s">
        <v>8060</v>
      </c>
      <c r="B6153" s="4" t="s">
        <v>8061</v>
      </c>
    </row>
    <row r="6154" spans="1:2" x14ac:dyDescent="0.3">
      <c r="A6154" s="4" t="s">
        <v>8062</v>
      </c>
      <c r="B6154" s="4" t="s">
        <v>8063</v>
      </c>
    </row>
    <row r="6155" spans="1:2" x14ac:dyDescent="0.3">
      <c r="A6155" s="4" t="s">
        <v>8064</v>
      </c>
      <c r="B6155" s="4" t="s">
        <v>8065</v>
      </c>
    </row>
    <row r="6156" spans="1:2" x14ac:dyDescent="0.3">
      <c r="A6156" s="4" t="s">
        <v>8066</v>
      </c>
      <c r="B6156" s="4" t="s">
        <v>8067</v>
      </c>
    </row>
    <row r="6157" spans="1:2" x14ac:dyDescent="0.3">
      <c r="A6157" s="4" t="s">
        <v>12001</v>
      </c>
      <c r="B6157" s="4" t="s">
        <v>12002</v>
      </c>
    </row>
    <row r="6158" spans="1:2" x14ac:dyDescent="0.3">
      <c r="A6158" s="4" t="s">
        <v>12842</v>
      </c>
      <c r="B6158" s="4" t="s">
        <v>12843</v>
      </c>
    </row>
    <row r="6159" spans="1:2" x14ac:dyDescent="0.3">
      <c r="A6159" s="4" t="s">
        <v>12003</v>
      </c>
      <c r="B6159" s="4" t="s">
        <v>12004</v>
      </c>
    </row>
    <row r="6160" spans="1:2" x14ac:dyDescent="0.3">
      <c r="A6160" s="4" t="s">
        <v>12005</v>
      </c>
      <c r="B6160" s="4" t="s">
        <v>12006</v>
      </c>
    </row>
    <row r="6161" spans="1:2" x14ac:dyDescent="0.3">
      <c r="A6161" s="4" t="s">
        <v>8068</v>
      </c>
      <c r="B6161" s="4" t="s">
        <v>8069</v>
      </c>
    </row>
    <row r="6162" spans="1:2" x14ac:dyDescent="0.3">
      <c r="A6162" s="4" t="s">
        <v>12844</v>
      </c>
      <c r="B6162" s="4" t="s">
        <v>12845</v>
      </c>
    </row>
    <row r="6163" spans="1:2" x14ac:dyDescent="0.3">
      <c r="A6163" s="4" t="s">
        <v>8070</v>
      </c>
      <c r="B6163" s="4" t="s">
        <v>8071</v>
      </c>
    </row>
    <row r="6164" spans="1:2" x14ac:dyDescent="0.3">
      <c r="A6164" s="4" t="s">
        <v>8072</v>
      </c>
      <c r="B6164" s="4" t="s">
        <v>8073</v>
      </c>
    </row>
    <row r="6165" spans="1:2" x14ac:dyDescent="0.3">
      <c r="A6165" s="4" t="s">
        <v>12007</v>
      </c>
      <c r="B6165" s="4" t="s">
        <v>12008</v>
      </c>
    </row>
    <row r="6166" spans="1:2" x14ac:dyDescent="0.3">
      <c r="A6166" s="4" t="s">
        <v>12009</v>
      </c>
      <c r="B6166" s="4" t="s">
        <v>12010</v>
      </c>
    </row>
    <row r="6167" spans="1:2" x14ac:dyDescent="0.3">
      <c r="A6167" s="4" t="s">
        <v>12011</v>
      </c>
      <c r="B6167" s="4" t="s">
        <v>12012</v>
      </c>
    </row>
    <row r="6168" spans="1:2" x14ac:dyDescent="0.3">
      <c r="A6168" s="4" t="s">
        <v>8074</v>
      </c>
      <c r="B6168" s="4" t="s">
        <v>8075</v>
      </c>
    </row>
    <row r="6169" spans="1:2" x14ac:dyDescent="0.3">
      <c r="A6169" s="4" t="s">
        <v>12013</v>
      </c>
      <c r="B6169" s="4" t="s">
        <v>12014</v>
      </c>
    </row>
    <row r="6170" spans="1:2" x14ac:dyDescent="0.3">
      <c r="A6170" s="4" t="s">
        <v>8076</v>
      </c>
      <c r="B6170" s="4" t="s">
        <v>8077</v>
      </c>
    </row>
    <row r="6171" spans="1:2" x14ac:dyDescent="0.3">
      <c r="A6171" s="4" t="s">
        <v>8078</v>
      </c>
      <c r="B6171" s="4" t="s">
        <v>8079</v>
      </c>
    </row>
    <row r="6172" spans="1:2" x14ac:dyDescent="0.3">
      <c r="A6172" s="4" t="s">
        <v>8080</v>
      </c>
      <c r="B6172" s="4" t="s">
        <v>8081</v>
      </c>
    </row>
    <row r="6173" spans="1:2" x14ac:dyDescent="0.3">
      <c r="A6173" s="4" t="s">
        <v>8082</v>
      </c>
      <c r="B6173" s="4" t="s">
        <v>8083</v>
      </c>
    </row>
    <row r="6174" spans="1:2" x14ac:dyDescent="0.3">
      <c r="A6174" s="4" t="s">
        <v>8084</v>
      </c>
      <c r="B6174" s="4" t="s">
        <v>8085</v>
      </c>
    </row>
    <row r="6175" spans="1:2" x14ac:dyDescent="0.3">
      <c r="A6175" s="4" t="s">
        <v>12015</v>
      </c>
      <c r="B6175" s="4" t="s">
        <v>12016</v>
      </c>
    </row>
    <row r="6176" spans="1:2" x14ac:dyDescent="0.3">
      <c r="A6176" s="4" t="s">
        <v>8086</v>
      </c>
      <c r="B6176" s="4" t="s">
        <v>8087</v>
      </c>
    </row>
    <row r="6177" spans="1:2" x14ac:dyDescent="0.3">
      <c r="A6177" s="4" t="s">
        <v>8088</v>
      </c>
      <c r="B6177" s="4" t="s">
        <v>8089</v>
      </c>
    </row>
    <row r="6178" spans="1:2" x14ac:dyDescent="0.3">
      <c r="A6178" s="4" t="s">
        <v>12017</v>
      </c>
      <c r="B6178" s="4" t="s">
        <v>12018</v>
      </c>
    </row>
    <row r="6179" spans="1:2" x14ac:dyDescent="0.3">
      <c r="A6179" s="4" t="s">
        <v>8091</v>
      </c>
      <c r="B6179" s="4" t="s">
        <v>8092</v>
      </c>
    </row>
    <row r="6180" spans="1:2" x14ac:dyDescent="0.3">
      <c r="A6180" s="4" t="s">
        <v>12019</v>
      </c>
      <c r="B6180" s="4" t="s">
        <v>12020</v>
      </c>
    </row>
    <row r="6181" spans="1:2" x14ac:dyDescent="0.3">
      <c r="A6181" s="4" t="s">
        <v>12021</v>
      </c>
      <c r="B6181" s="4" t="s">
        <v>3969</v>
      </c>
    </row>
    <row r="6182" spans="1:2" x14ac:dyDescent="0.3">
      <c r="A6182" s="4" t="s">
        <v>8093</v>
      </c>
      <c r="B6182" s="4" t="s">
        <v>8094</v>
      </c>
    </row>
    <row r="6183" spans="1:2" x14ac:dyDescent="0.3">
      <c r="A6183" s="4" t="s">
        <v>12022</v>
      </c>
      <c r="B6183" s="4" t="s">
        <v>12023</v>
      </c>
    </row>
    <row r="6184" spans="1:2" x14ac:dyDescent="0.3">
      <c r="A6184" s="4" t="s">
        <v>12024</v>
      </c>
      <c r="B6184" s="4" t="s">
        <v>12025</v>
      </c>
    </row>
    <row r="6185" spans="1:2" x14ac:dyDescent="0.3">
      <c r="A6185" s="4" t="s">
        <v>8095</v>
      </c>
      <c r="B6185" s="4" t="s">
        <v>8096</v>
      </c>
    </row>
    <row r="6186" spans="1:2" x14ac:dyDescent="0.3">
      <c r="A6186" s="4" t="s">
        <v>8097</v>
      </c>
      <c r="B6186" s="4" t="s">
        <v>8098</v>
      </c>
    </row>
    <row r="6187" spans="1:2" x14ac:dyDescent="0.3">
      <c r="A6187" s="4" t="s">
        <v>8099</v>
      </c>
      <c r="B6187" s="4" t="s">
        <v>8100</v>
      </c>
    </row>
    <row r="6188" spans="1:2" x14ac:dyDescent="0.3">
      <c r="A6188" s="4" t="s">
        <v>8101</v>
      </c>
      <c r="B6188" s="4" t="s">
        <v>8102</v>
      </c>
    </row>
    <row r="6189" spans="1:2" x14ac:dyDescent="0.3">
      <c r="A6189" s="4" t="s">
        <v>7317</v>
      </c>
      <c r="B6189" s="4" t="s">
        <v>12026</v>
      </c>
    </row>
    <row r="6190" spans="1:2" x14ac:dyDescent="0.3">
      <c r="A6190" s="4" t="s">
        <v>12027</v>
      </c>
      <c r="B6190" s="4" t="s">
        <v>12028</v>
      </c>
    </row>
    <row r="6191" spans="1:2" x14ac:dyDescent="0.3">
      <c r="A6191" s="4" t="s">
        <v>8103</v>
      </c>
      <c r="B6191" s="4" t="s">
        <v>8104</v>
      </c>
    </row>
    <row r="6192" spans="1:2" x14ac:dyDescent="0.3">
      <c r="A6192" s="4" t="s">
        <v>8105</v>
      </c>
      <c r="B6192" s="4" t="s">
        <v>8106</v>
      </c>
    </row>
    <row r="6193" spans="1:2" x14ac:dyDescent="0.3">
      <c r="A6193" s="4" t="s">
        <v>12029</v>
      </c>
      <c r="B6193" s="4" t="s">
        <v>12030</v>
      </c>
    </row>
    <row r="6194" spans="1:2" x14ac:dyDescent="0.3">
      <c r="A6194" s="4" t="s">
        <v>8107</v>
      </c>
      <c r="B6194" s="4" t="s">
        <v>8108</v>
      </c>
    </row>
    <row r="6195" spans="1:2" x14ac:dyDescent="0.3">
      <c r="A6195" s="4" t="s">
        <v>8109</v>
      </c>
      <c r="B6195" s="4" t="s">
        <v>8110</v>
      </c>
    </row>
    <row r="6196" spans="1:2" x14ac:dyDescent="0.3">
      <c r="A6196" s="4" t="s">
        <v>8111</v>
      </c>
      <c r="B6196" s="4" t="s">
        <v>8112</v>
      </c>
    </row>
    <row r="6197" spans="1:2" x14ac:dyDescent="0.3">
      <c r="A6197" s="4" t="s">
        <v>8113</v>
      </c>
      <c r="B6197" s="4" t="s">
        <v>8114</v>
      </c>
    </row>
    <row r="6198" spans="1:2" x14ac:dyDescent="0.3">
      <c r="A6198" s="4" t="s">
        <v>8115</v>
      </c>
      <c r="B6198" s="4" t="s">
        <v>8116</v>
      </c>
    </row>
    <row r="6199" spans="1:2" x14ac:dyDescent="0.3">
      <c r="A6199" s="4" t="s">
        <v>8117</v>
      </c>
      <c r="B6199" s="4" t="s">
        <v>8118</v>
      </c>
    </row>
    <row r="6200" spans="1:2" x14ac:dyDescent="0.3">
      <c r="A6200" s="4" t="s">
        <v>12846</v>
      </c>
      <c r="B6200" s="4" t="s">
        <v>12847</v>
      </c>
    </row>
    <row r="6201" spans="1:2" x14ac:dyDescent="0.3">
      <c r="A6201" s="4" t="s">
        <v>12031</v>
      </c>
      <c r="B6201" s="4" t="s">
        <v>12032</v>
      </c>
    </row>
    <row r="6202" spans="1:2" x14ac:dyDescent="0.3">
      <c r="A6202" s="4" t="s">
        <v>12033</v>
      </c>
      <c r="B6202" s="4" t="s">
        <v>12034</v>
      </c>
    </row>
    <row r="6203" spans="1:2" x14ac:dyDescent="0.3">
      <c r="A6203" s="4" t="s">
        <v>8119</v>
      </c>
      <c r="B6203" s="4" t="s">
        <v>8120</v>
      </c>
    </row>
    <row r="6204" spans="1:2" x14ac:dyDescent="0.3">
      <c r="A6204" s="4" t="s">
        <v>12035</v>
      </c>
      <c r="B6204" s="4" t="s">
        <v>12036</v>
      </c>
    </row>
    <row r="6205" spans="1:2" x14ac:dyDescent="0.3">
      <c r="A6205" s="4" t="s">
        <v>12037</v>
      </c>
      <c r="B6205" s="4" t="s">
        <v>12038</v>
      </c>
    </row>
    <row r="6206" spans="1:2" x14ac:dyDescent="0.3">
      <c r="A6206" s="4" t="s">
        <v>12039</v>
      </c>
      <c r="B6206" s="4" t="s">
        <v>12040</v>
      </c>
    </row>
    <row r="6207" spans="1:2" x14ac:dyDescent="0.3">
      <c r="A6207" s="4" t="s">
        <v>12041</v>
      </c>
      <c r="B6207" s="4" t="s">
        <v>12042</v>
      </c>
    </row>
    <row r="6208" spans="1:2" x14ac:dyDescent="0.3">
      <c r="A6208" s="4" t="s">
        <v>12043</v>
      </c>
      <c r="B6208" s="4" t="s">
        <v>12044</v>
      </c>
    </row>
    <row r="6209" spans="1:2" x14ac:dyDescent="0.3">
      <c r="A6209" s="4" t="s">
        <v>12045</v>
      </c>
      <c r="B6209" s="4" t="s">
        <v>12046</v>
      </c>
    </row>
    <row r="6210" spans="1:2" x14ac:dyDescent="0.3">
      <c r="A6210" s="4" t="s">
        <v>12047</v>
      </c>
      <c r="B6210" s="4" t="s">
        <v>8122</v>
      </c>
    </row>
    <row r="6211" spans="1:2" x14ac:dyDescent="0.3">
      <c r="A6211" s="4" t="s">
        <v>8123</v>
      </c>
      <c r="B6211" s="4" t="s">
        <v>8124</v>
      </c>
    </row>
    <row r="6212" spans="1:2" x14ac:dyDescent="0.3">
      <c r="A6212" s="4" t="s">
        <v>12048</v>
      </c>
      <c r="B6212" s="4" t="s">
        <v>12049</v>
      </c>
    </row>
    <row r="6213" spans="1:2" x14ac:dyDescent="0.3">
      <c r="A6213" s="4" t="s">
        <v>8125</v>
      </c>
      <c r="B6213" s="4" t="s">
        <v>8126</v>
      </c>
    </row>
    <row r="6214" spans="1:2" x14ac:dyDescent="0.3">
      <c r="A6214" s="4" t="s">
        <v>12050</v>
      </c>
      <c r="B6214" s="4" t="s">
        <v>12051</v>
      </c>
    </row>
    <row r="6215" spans="1:2" x14ac:dyDescent="0.3">
      <c r="A6215" s="4" t="s">
        <v>8127</v>
      </c>
      <c r="B6215" s="4" t="s">
        <v>8128</v>
      </c>
    </row>
    <row r="6216" spans="1:2" x14ac:dyDescent="0.3">
      <c r="A6216" s="4" t="s">
        <v>12052</v>
      </c>
      <c r="B6216" s="4" t="s">
        <v>12053</v>
      </c>
    </row>
    <row r="6217" spans="1:2" x14ac:dyDescent="0.3">
      <c r="A6217" s="4" t="s">
        <v>8130</v>
      </c>
      <c r="B6217" s="4" t="s">
        <v>8131</v>
      </c>
    </row>
    <row r="6218" spans="1:2" x14ac:dyDescent="0.3">
      <c r="A6218" s="4" t="s">
        <v>5124</v>
      </c>
      <c r="B6218" s="4" t="s">
        <v>12848</v>
      </c>
    </row>
    <row r="6219" spans="1:2" x14ac:dyDescent="0.3">
      <c r="A6219" s="4" t="s">
        <v>7483</v>
      </c>
      <c r="B6219" s="4" t="s">
        <v>12054</v>
      </c>
    </row>
    <row r="6220" spans="1:2" x14ac:dyDescent="0.3">
      <c r="A6220" s="4" t="s">
        <v>8133</v>
      </c>
      <c r="B6220" s="4" t="s">
        <v>8134</v>
      </c>
    </row>
    <row r="6221" spans="1:2" x14ac:dyDescent="0.3">
      <c r="A6221" s="4" t="s">
        <v>12055</v>
      </c>
      <c r="B6221" s="4" t="s">
        <v>12056</v>
      </c>
    </row>
    <row r="6222" spans="1:2" x14ac:dyDescent="0.3">
      <c r="A6222" s="4" t="s">
        <v>8132</v>
      </c>
      <c r="B6222" s="4" t="s">
        <v>12057</v>
      </c>
    </row>
    <row r="6223" spans="1:2" x14ac:dyDescent="0.3">
      <c r="A6223" s="4" t="s">
        <v>12058</v>
      </c>
      <c r="B6223" s="4" t="s">
        <v>12059</v>
      </c>
    </row>
    <row r="6224" spans="1:2" x14ac:dyDescent="0.3">
      <c r="A6224" s="4" t="s">
        <v>12060</v>
      </c>
      <c r="B6224" s="4" t="s">
        <v>12061</v>
      </c>
    </row>
    <row r="6225" spans="1:2" x14ac:dyDescent="0.3">
      <c r="A6225" s="4" t="s">
        <v>8135</v>
      </c>
      <c r="B6225" s="4" t="s">
        <v>8136</v>
      </c>
    </row>
    <row r="6226" spans="1:2" x14ac:dyDescent="0.3">
      <c r="A6226" s="4" t="s">
        <v>8137</v>
      </c>
      <c r="B6226" s="4" t="s">
        <v>8138</v>
      </c>
    </row>
    <row r="6227" spans="1:2" x14ac:dyDescent="0.3">
      <c r="A6227" s="4" t="s">
        <v>8139</v>
      </c>
      <c r="B6227" s="4" t="s">
        <v>8140</v>
      </c>
    </row>
    <row r="6228" spans="1:2" x14ac:dyDescent="0.3">
      <c r="A6228" s="4" t="s">
        <v>8141</v>
      </c>
      <c r="B6228" s="4" t="s">
        <v>8142</v>
      </c>
    </row>
    <row r="6229" spans="1:2" x14ac:dyDescent="0.3">
      <c r="A6229" s="4" t="s">
        <v>8143</v>
      </c>
      <c r="B6229" s="4" t="s">
        <v>8144</v>
      </c>
    </row>
    <row r="6230" spans="1:2" x14ac:dyDescent="0.3">
      <c r="A6230" s="4" t="s">
        <v>8145</v>
      </c>
      <c r="B6230" s="4" t="s">
        <v>8146</v>
      </c>
    </row>
    <row r="6231" spans="1:2" x14ac:dyDescent="0.3">
      <c r="A6231" s="4" t="s">
        <v>12062</v>
      </c>
      <c r="B6231" s="4" t="s">
        <v>12063</v>
      </c>
    </row>
    <row r="6232" spans="1:2" x14ac:dyDescent="0.3">
      <c r="A6232" s="4" t="s">
        <v>8147</v>
      </c>
      <c r="B6232" s="4" t="s">
        <v>12064</v>
      </c>
    </row>
    <row r="6233" spans="1:2" x14ac:dyDescent="0.3">
      <c r="A6233" s="4" t="s">
        <v>8148</v>
      </c>
      <c r="B6233" s="4" t="s">
        <v>8149</v>
      </c>
    </row>
    <row r="6234" spans="1:2" x14ac:dyDescent="0.3">
      <c r="A6234" s="4" t="s">
        <v>12065</v>
      </c>
      <c r="B6234" s="4" t="s">
        <v>12066</v>
      </c>
    </row>
    <row r="6235" spans="1:2" x14ac:dyDescent="0.3">
      <c r="A6235" s="4" t="s">
        <v>8150</v>
      </c>
      <c r="B6235" s="4" t="s">
        <v>8151</v>
      </c>
    </row>
    <row r="6236" spans="1:2" x14ac:dyDescent="0.3">
      <c r="A6236" s="4" t="s">
        <v>8152</v>
      </c>
      <c r="B6236" s="4" t="s">
        <v>8153</v>
      </c>
    </row>
    <row r="6237" spans="1:2" x14ac:dyDescent="0.3">
      <c r="A6237" s="4" t="s">
        <v>8154</v>
      </c>
      <c r="B6237" s="4" t="s">
        <v>8155</v>
      </c>
    </row>
    <row r="6238" spans="1:2" x14ac:dyDescent="0.3">
      <c r="A6238" s="4" t="s">
        <v>8156</v>
      </c>
      <c r="B6238" s="4" t="s">
        <v>8157</v>
      </c>
    </row>
    <row r="6239" spans="1:2" x14ac:dyDescent="0.3">
      <c r="A6239" s="4" t="s">
        <v>8158</v>
      </c>
      <c r="B6239" s="4" t="s">
        <v>8159</v>
      </c>
    </row>
    <row r="6240" spans="1:2" x14ac:dyDescent="0.3">
      <c r="A6240" s="4" t="s">
        <v>8160</v>
      </c>
      <c r="B6240" s="4" t="s">
        <v>8161</v>
      </c>
    </row>
    <row r="6241" spans="1:2" x14ac:dyDescent="0.3">
      <c r="A6241" s="4" t="s">
        <v>8162</v>
      </c>
      <c r="B6241" s="4" t="s">
        <v>8163</v>
      </c>
    </row>
    <row r="6242" spans="1:2" x14ac:dyDescent="0.3">
      <c r="A6242" s="4" t="s">
        <v>8164</v>
      </c>
      <c r="B6242" s="4" t="s">
        <v>8165</v>
      </c>
    </row>
    <row r="6243" spans="1:2" x14ac:dyDescent="0.3">
      <c r="A6243" s="4" t="s">
        <v>8166</v>
      </c>
      <c r="B6243" s="4" t="s">
        <v>8167</v>
      </c>
    </row>
    <row r="6244" spans="1:2" x14ac:dyDescent="0.3">
      <c r="A6244" s="4" t="s">
        <v>8168</v>
      </c>
      <c r="B6244" s="4" t="s">
        <v>8169</v>
      </c>
    </row>
    <row r="6245" spans="1:2" x14ac:dyDescent="0.3">
      <c r="A6245" s="4" t="s">
        <v>8170</v>
      </c>
      <c r="B6245" s="4" t="s">
        <v>8171</v>
      </c>
    </row>
    <row r="6246" spans="1:2" x14ac:dyDescent="0.3">
      <c r="A6246" s="4" t="s">
        <v>8179</v>
      </c>
      <c r="B6246" s="4" t="s">
        <v>9128</v>
      </c>
    </row>
    <row r="6247" spans="1:2" x14ac:dyDescent="0.3">
      <c r="A6247" s="4" t="s">
        <v>8172</v>
      </c>
      <c r="B6247" s="4" t="s">
        <v>12067</v>
      </c>
    </row>
    <row r="6248" spans="1:2" x14ac:dyDescent="0.3">
      <c r="A6248" s="4" t="s">
        <v>12068</v>
      </c>
      <c r="B6248" s="4" t="s">
        <v>12069</v>
      </c>
    </row>
    <row r="6249" spans="1:2" x14ac:dyDescent="0.3">
      <c r="A6249" s="4" t="s">
        <v>8173</v>
      </c>
      <c r="B6249" s="4" t="s">
        <v>8174</v>
      </c>
    </row>
    <row r="6250" spans="1:2" x14ac:dyDescent="0.3">
      <c r="A6250" s="4" t="s">
        <v>8175</v>
      </c>
      <c r="B6250" s="4" t="s">
        <v>8176</v>
      </c>
    </row>
    <row r="6251" spans="1:2" x14ac:dyDescent="0.3">
      <c r="A6251" s="4" t="s">
        <v>8177</v>
      </c>
      <c r="B6251" s="4" t="s">
        <v>8178</v>
      </c>
    </row>
    <row r="6252" spans="1:2" x14ac:dyDescent="0.3">
      <c r="A6252" s="4" t="s">
        <v>8180</v>
      </c>
      <c r="B6252" s="4" t="s">
        <v>8181</v>
      </c>
    </row>
    <row r="6253" spans="1:2" x14ac:dyDescent="0.3">
      <c r="A6253" s="4" t="s">
        <v>8182</v>
      </c>
      <c r="B6253" s="4" t="s">
        <v>8183</v>
      </c>
    </row>
    <row r="6254" spans="1:2" x14ac:dyDescent="0.3">
      <c r="A6254" s="4" t="s">
        <v>8184</v>
      </c>
      <c r="B6254" s="4" t="s">
        <v>8185</v>
      </c>
    </row>
    <row r="6255" spans="1:2" x14ac:dyDescent="0.3">
      <c r="A6255" s="4" t="s">
        <v>8186</v>
      </c>
      <c r="B6255" s="4" t="s">
        <v>8187</v>
      </c>
    </row>
    <row r="6256" spans="1:2" x14ac:dyDescent="0.3">
      <c r="A6256" s="4" t="s">
        <v>8188</v>
      </c>
      <c r="B6256" s="4" t="s">
        <v>8189</v>
      </c>
    </row>
    <row r="6257" spans="1:2" x14ac:dyDescent="0.3">
      <c r="A6257" s="4" t="s">
        <v>8190</v>
      </c>
      <c r="B6257" s="4" t="s">
        <v>8191</v>
      </c>
    </row>
    <row r="6258" spans="1:2" x14ac:dyDescent="0.3">
      <c r="A6258" s="4" t="s">
        <v>8192</v>
      </c>
      <c r="B6258" s="4" t="s">
        <v>8193</v>
      </c>
    </row>
    <row r="6259" spans="1:2" x14ac:dyDescent="0.3">
      <c r="A6259" s="4" t="s">
        <v>8195</v>
      </c>
      <c r="B6259" s="4" t="s">
        <v>8196</v>
      </c>
    </row>
    <row r="6260" spans="1:2" x14ac:dyDescent="0.3">
      <c r="A6260" s="4" t="s">
        <v>8197</v>
      </c>
      <c r="B6260" s="4" t="s">
        <v>8198</v>
      </c>
    </row>
    <row r="6261" spans="1:2" x14ac:dyDescent="0.3">
      <c r="A6261" s="4" t="s">
        <v>8199</v>
      </c>
      <c r="B6261" s="4" t="s">
        <v>8200</v>
      </c>
    </row>
    <row r="6262" spans="1:2" x14ac:dyDescent="0.3">
      <c r="A6262" s="4" t="s">
        <v>8202</v>
      </c>
      <c r="B6262" s="4" t="s">
        <v>8203</v>
      </c>
    </row>
    <row r="6263" spans="1:2" x14ac:dyDescent="0.3">
      <c r="A6263" s="4" t="s">
        <v>8204</v>
      </c>
      <c r="B6263" s="4" t="s">
        <v>12070</v>
      </c>
    </row>
    <row r="6264" spans="1:2" x14ac:dyDescent="0.3">
      <c r="A6264" s="4" t="s">
        <v>8201</v>
      </c>
      <c r="B6264" s="4" t="s">
        <v>12849</v>
      </c>
    </row>
    <row r="6265" spans="1:2" x14ac:dyDescent="0.3">
      <c r="A6265" s="4" t="s">
        <v>8205</v>
      </c>
      <c r="B6265" s="4" t="s">
        <v>8206</v>
      </c>
    </row>
    <row r="6266" spans="1:2" x14ac:dyDescent="0.3">
      <c r="A6266" s="4" t="s">
        <v>8207</v>
      </c>
      <c r="B6266" s="4" t="s">
        <v>8208</v>
      </c>
    </row>
    <row r="6267" spans="1:2" x14ac:dyDescent="0.3">
      <c r="A6267" s="4" t="s">
        <v>8209</v>
      </c>
      <c r="B6267" s="4" t="s">
        <v>8210</v>
      </c>
    </row>
    <row r="6268" spans="1:2" x14ac:dyDescent="0.3">
      <c r="A6268" s="4" t="s">
        <v>8211</v>
      </c>
      <c r="B6268" s="4" t="s">
        <v>8212</v>
      </c>
    </row>
    <row r="6269" spans="1:2" x14ac:dyDescent="0.3">
      <c r="A6269" s="4" t="s">
        <v>8213</v>
      </c>
      <c r="B6269" s="4" t="s">
        <v>8214</v>
      </c>
    </row>
    <row r="6270" spans="1:2" x14ac:dyDescent="0.3">
      <c r="A6270" s="4" t="s">
        <v>8215</v>
      </c>
      <c r="B6270" s="4" t="s">
        <v>8216</v>
      </c>
    </row>
    <row r="6271" spans="1:2" x14ac:dyDescent="0.3">
      <c r="A6271" s="4" t="s">
        <v>12071</v>
      </c>
      <c r="B6271" s="4" t="s">
        <v>12072</v>
      </c>
    </row>
    <row r="6272" spans="1:2" x14ac:dyDescent="0.3">
      <c r="A6272" s="4" t="s">
        <v>8217</v>
      </c>
      <c r="B6272" s="4" t="s">
        <v>8218</v>
      </c>
    </row>
    <row r="6273" spans="1:2" x14ac:dyDescent="0.3">
      <c r="A6273" s="4" t="s">
        <v>12073</v>
      </c>
      <c r="B6273" s="4" t="s">
        <v>12074</v>
      </c>
    </row>
    <row r="6274" spans="1:2" x14ac:dyDescent="0.3">
      <c r="A6274" s="4" t="s">
        <v>8219</v>
      </c>
      <c r="B6274" s="4" t="s">
        <v>8220</v>
      </c>
    </row>
    <row r="6275" spans="1:2" x14ac:dyDescent="0.3">
      <c r="A6275" s="4" t="s">
        <v>8221</v>
      </c>
      <c r="B6275" s="4" t="s">
        <v>8222</v>
      </c>
    </row>
    <row r="6276" spans="1:2" x14ac:dyDescent="0.3">
      <c r="A6276" s="4" t="s">
        <v>8223</v>
      </c>
      <c r="B6276" s="4" t="s">
        <v>8224</v>
      </c>
    </row>
    <row r="6277" spans="1:2" x14ac:dyDescent="0.3">
      <c r="A6277" s="4" t="s">
        <v>8225</v>
      </c>
      <c r="B6277" s="4" t="s">
        <v>8226</v>
      </c>
    </row>
    <row r="6278" spans="1:2" x14ac:dyDescent="0.3">
      <c r="A6278" s="4" t="s">
        <v>8227</v>
      </c>
      <c r="B6278" s="4" t="s">
        <v>8228</v>
      </c>
    </row>
    <row r="6279" spans="1:2" x14ac:dyDescent="0.3">
      <c r="A6279" s="4" t="s">
        <v>8194</v>
      </c>
      <c r="B6279" s="4" t="s">
        <v>12075</v>
      </c>
    </row>
    <row r="6280" spans="1:2" x14ac:dyDescent="0.3">
      <c r="A6280" s="4" t="s">
        <v>8229</v>
      </c>
      <c r="B6280" s="4" t="s">
        <v>8230</v>
      </c>
    </row>
    <row r="6281" spans="1:2" x14ac:dyDescent="0.3">
      <c r="A6281" s="4" t="s">
        <v>8231</v>
      </c>
      <c r="B6281" s="4" t="s">
        <v>8232</v>
      </c>
    </row>
    <row r="6282" spans="1:2" x14ac:dyDescent="0.3">
      <c r="A6282" s="4" t="s">
        <v>8233</v>
      </c>
      <c r="B6282" s="4" t="s">
        <v>8234</v>
      </c>
    </row>
    <row r="6283" spans="1:2" x14ac:dyDescent="0.3">
      <c r="A6283" s="4" t="s">
        <v>8235</v>
      </c>
      <c r="B6283" s="4" t="s">
        <v>8236</v>
      </c>
    </row>
    <row r="6284" spans="1:2" x14ac:dyDescent="0.3">
      <c r="A6284" s="4" t="s">
        <v>8238</v>
      </c>
      <c r="B6284" s="4" t="s">
        <v>8239</v>
      </c>
    </row>
    <row r="6285" spans="1:2" x14ac:dyDescent="0.3">
      <c r="A6285" s="4" t="s">
        <v>8240</v>
      </c>
      <c r="B6285" s="4" t="s">
        <v>8241</v>
      </c>
    </row>
    <row r="6286" spans="1:2" x14ac:dyDescent="0.3">
      <c r="A6286" s="4" t="s">
        <v>8237</v>
      </c>
      <c r="B6286" s="4" t="s">
        <v>12076</v>
      </c>
    </row>
    <row r="6287" spans="1:2" x14ac:dyDescent="0.3">
      <c r="A6287" s="4" t="s">
        <v>8242</v>
      </c>
      <c r="B6287" s="4" t="s">
        <v>8243</v>
      </c>
    </row>
    <row r="6288" spans="1:2" x14ac:dyDescent="0.3">
      <c r="A6288" s="4" t="s">
        <v>8244</v>
      </c>
      <c r="B6288" s="4" t="s">
        <v>8245</v>
      </c>
    </row>
    <row r="6289" spans="1:2" x14ac:dyDescent="0.3">
      <c r="A6289" s="4" t="s">
        <v>8246</v>
      </c>
      <c r="B6289" s="4" t="s">
        <v>8247</v>
      </c>
    </row>
    <row r="6290" spans="1:2" x14ac:dyDescent="0.3">
      <c r="A6290" s="4" t="s">
        <v>8248</v>
      </c>
      <c r="B6290" s="4" t="s">
        <v>8249</v>
      </c>
    </row>
    <row r="6291" spans="1:2" x14ac:dyDescent="0.3">
      <c r="A6291" s="4" t="s">
        <v>8250</v>
      </c>
      <c r="B6291" s="4" t="s">
        <v>8251</v>
      </c>
    </row>
    <row r="6292" spans="1:2" x14ac:dyDescent="0.3">
      <c r="A6292" s="4" t="s">
        <v>8252</v>
      </c>
      <c r="B6292" s="4" t="s">
        <v>8253</v>
      </c>
    </row>
    <row r="6293" spans="1:2" x14ac:dyDescent="0.3">
      <c r="A6293" s="4" t="s">
        <v>8254</v>
      </c>
      <c r="B6293" s="4" t="s">
        <v>8255</v>
      </c>
    </row>
    <row r="6294" spans="1:2" x14ac:dyDescent="0.3">
      <c r="A6294" s="4" t="s">
        <v>8256</v>
      </c>
      <c r="B6294" s="4" t="s">
        <v>8257</v>
      </c>
    </row>
    <row r="6295" spans="1:2" x14ac:dyDescent="0.3">
      <c r="A6295" s="4" t="s">
        <v>12077</v>
      </c>
      <c r="B6295" s="4" t="s">
        <v>12078</v>
      </c>
    </row>
    <row r="6296" spans="1:2" x14ac:dyDescent="0.3">
      <c r="A6296" s="4" t="s">
        <v>12079</v>
      </c>
      <c r="B6296" s="4" t="s">
        <v>12080</v>
      </c>
    </row>
    <row r="6297" spans="1:2" x14ac:dyDescent="0.3">
      <c r="A6297" s="4" t="s">
        <v>8259</v>
      </c>
      <c r="B6297" s="4" t="s">
        <v>8260</v>
      </c>
    </row>
    <row r="6298" spans="1:2" x14ac:dyDescent="0.3">
      <c r="A6298" s="4" t="s">
        <v>8261</v>
      </c>
      <c r="B6298" s="4" t="s">
        <v>8262</v>
      </c>
    </row>
    <row r="6299" spans="1:2" x14ac:dyDescent="0.3">
      <c r="A6299" s="4" t="s">
        <v>8263</v>
      </c>
      <c r="B6299" s="4" t="s">
        <v>8264</v>
      </c>
    </row>
    <row r="6300" spans="1:2" x14ac:dyDescent="0.3">
      <c r="A6300" s="4" t="s">
        <v>8265</v>
      </c>
      <c r="B6300" s="4" t="s">
        <v>8266</v>
      </c>
    </row>
    <row r="6301" spans="1:2" x14ac:dyDescent="0.3">
      <c r="A6301" s="4" t="s">
        <v>8267</v>
      </c>
      <c r="B6301" s="4" t="s">
        <v>8268</v>
      </c>
    </row>
    <row r="6302" spans="1:2" x14ac:dyDescent="0.3">
      <c r="A6302" s="4" t="s">
        <v>8270</v>
      </c>
      <c r="B6302" s="4" t="s">
        <v>8271</v>
      </c>
    </row>
    <row r="6303" spans="1:2" x14ac:dyDescent="0.3">
      <c r="A6303" s="4" t="s">
        <v>8272</v>
      </c>
      <c r="B6303" s="4" t="s">
        <v>8273</v>
      </c>
    </row>
    <row r="6304" spans="1:2" x14ac:dyDescent="0.3">
      <c r="A6304" s="4" t="s">
        <v>8274</v>
      </c>
      <c r="B6304" s="4" t="s">
        <v>8275</v>
      </c>
    </row>
    <row r="6305" spans="1:2" x14ac:dyDescent="0.3">
      <c r="A6305" s="4" t="s">
        <v>12850</v>
      </c>
      <c r="B6305" s="4" t="s">
        <v>12851</v>
      </c>
    </row>
    <row r="6306" spans="1:2" x14ac:dyDescent="0.3">
      <c r="A6306" s="4" t="s">
        <v>8276</v>
      </c>
      <c r="B6306" s="4" t="s">
        <v>8277</v>
      </c>
    </row>
    <row r="6307" spans="1:2" x14ac:dyDescent="0.3">
      <c r="A6307" s="4" t="s">
        <v>12852</v>
      </c>
      <c r="B6307" s="4" t="s">
        <v>12853</v>
      </c>
    </row>
    <row r="6308" spans="1:2" x14ac:dyDescent="0.3">
      <c r="A6308" s="4" t="s">
        <v>8279</v>
      </c>
      <c r="B6308" s="4" t="s">
        <v>8280</v>
      </c>
    </row>
    <row r="6309" spans="1:2" x14ac:dyDescent="0.3">
      <c r="A6309" s="4" t="s">
        <v>8281</v>
      </c>
      <c r="B6309" s="4" t="s">
        <v>8282</v>
      </c>
    </row>
    <row r="6310" spans="1:2" x14ac:dyDescent="0.3">
      <c r="A6310" s="4" t="s">
        <v>8283</v>
      </c>
      <c r="B6310" s="4" t="s">
        <v>8284</v>
      </c>
    </row>
    <row r="6311" spans="1:2" x14ac:dyDescent="0.3">
      <c r="A6311" s="4" t="s">
        <v>8379</v>
      </c>
      <c r="B6311" s="4" t="s">
        <v>12081</v>
      </c>
    </row>
    <row r="6312" spans="1:2" x14ac:dyDescent="0.3">
      <c r="A6312" s="4" t="s">
        <v>8285</v>
      </c>
      <c r="B6312" s="4" t="s">
        <v>8286</v>
      </c>
    </row>
    <row r="6313" spans="1:2" x14ac:dyDescent="0.3">
      <c r="A6313" s="4" t="s">
        <v>8287</v>
      </c>
      <c r="B6313" s="4" t="s">
        <v>8288</v>
      </c>
    </row>
    <row r="6314" spans="1:2" x14ac:dyDescent="0.3">
      <c r="A6314" s="4" t="s">
        <v>12854</v>
      </c>
      <c r="B6314" s="4" t="s">
        <v>12855</v>
      </c>
    </row>
    <row r="6315" spans="1:2" x14ac:dyDescent="0.3">
      <c r="A6315" s="4" t="s">
        <v>8289</v>
      </c>
      <c r="B6315" s="4" t="s">
        <v>8290</v>
      </c>
    </row>
    <row r="6316" spans="1:2" x14ac:dyDescent="0.3">
      <c r="A6316" s="4" t="s">
        <v>8291</v>
      </c>
      <c r="B6316" s="4" t="s">
        <v>8292</v>
      </c>
    </row>
    <row r="6317" spans="1:2" x14ac:dyDescent="0.3">
      <c r="A6317" s="4" t="s">
        <v>8293</v>
      </c>
      <c r="B6317" s="4" t="s">
        <v>8294</v>
      </c>
    </row>
    <row r="6318" spans="1:2" x14ac:dyDescent="0.3">
      <c r="A6318" s="4" t="s">
        <v>8295</v>
      </c>
      <c r="B6318" s="4" t="s">
        <v>8296</v>
      </c>
    </row>
    <row r="6319" spans="1:2" x14ac:dyDescent="0.3">
      <c r="A6319" s="4" t="s">
        <v>8297</v>
      </c>
      <c r="B6319" s="4" t="s">
        <v>8298</v>
      </c>
    </row>
    <row r="6320" spans="1:2" x14ac:dyDescent="0.3">
      <c r="A6320" s="4" t="s">
        <v>8299</v>
      </c>
      <c r="B6320" s="4" t="s">
        <v>8300</v>
      </c>
    </row>
    <row r="6321" spans="1:2" x14ac:dyDescent="0.3">
      <c r="A6321" s="4" t="s">
        <v>12856</v>
      </c>
      <c r="B6321" s="4" t="s">
        <v>12857</v>
      </c>
    </row>
    <row r="6322" spans="1:2" x14ac:dyDescent="0.3">
      <c r="A6322" s="4" t="s">
        <v>8301</v>
      </c>
      <c r="B6322" s="4" t="s">
        <v>8302</v>
      </c>
    </row>
    <row r="6323" spans="1:2" x14ac:dyDescent="0.3">
      <c r="A6323" s="4" t="s">
        <v>12858</v>
      </c>
      <c r="B6323" s="4" t="s">
        <v>12859</v>
      </c>
    </row>
    <row r="6324" spans="1:2" x14ac:dyDescent="0.3">
      <c r="A6324" s="4" t="s">
        <v>8304</v>
      </c>
      <c r="B6324" s="4" t="s">
        <v>12082</v>
      </c>
    </row>
    <row r="6325" spans="1:2" x14ac:dyDescent="0.3">
      <c r="A6325" s="4" t="s">
        <v>8303</v>
      </c>
      <c r="B6325" s="4" t="s">
        <v>12860</v>
      </c>
    </row>
    <row r="6326" spans="1:2" x14ac:dyDescent="0.3">
      <c r="A6326" s="4" t="s">
        <v>12861</v>
      </c>
      <c r="B6326" s="4" t="s">
        <v>12862</v>
      </c>
    </row>
    <row r="6327" spans="1:2" x14ac:dyDescent="0.3">
      <c r="A6327" s="4" t="s">
        <v>12083</v>
      </c>
      <c r="B6327" s="4" t="s">
        <v>12084</v>
      </c>
    </row>
    <row r="6328" spans="1:2" x14ac:dyDescent="0.3">
      <c r="A6328" s="4" t="s">
        <v>8305</v>
      </c>
      <c r="B6328" s="4" t="s">
        <v>8306</v>
      </c>
    </row>
    <row r="6329" spans="1:2" x14ac:dyDescent="0.3">
      <c r="A6329" s="4" t="s">
        <v>8307</v>
      </c>
      <c r="B6329" s="4" t="s">
        <v>8308</v>
      </c>
    </row>
    <row r="6330" spans="1:2" x14ac:dyDescent="0.3">
      <c r="A6330" s="4" t="s">
        <v>8309</v>
      </c>
      <c r="B6330" s="4" t="s">
        <v>8310</v>
      </c>
    </row>
    <row r="6331" spans="1:2" x14ac:dyDescent="0.3">
      <c r="A6331" s="4" t="s">
        <v>8311</v>
      </c>
      <c r="B6331" s="4" t="s">
        <v>8312</v>
      </c>
    </row>
    <row r="6332" spans="1:2" x14ac:dyDescent="0.3">
      <c r="A6332" s="4" t="s">
        <v>8313</v>
      </c>
      <c r="B6332" s="4" t="s">
        <v>8314</v>
      </c>
    </row>
    <row r="6333" spans="1:2" x14ac:dyDescent="0.3">
      <c r="A6333" s="4" t="s">
        <v>8315</v>
      </c>
      <c r="B6333" s="4" t="s">
        <v>8316</v>
      </c>
    </row>
    <row r="6334" spans="1:2" x14ac:dyDescent="0.3">
      <c r="A6334" s="4" t="s">
        <v>12085</v>
      </c>
      <c r="B6334" s="4" t="s">
        <v>12086</v>
      </c>
    </row>
    <row r="6335" spans="1:2" x14ac:dyDescent="0.3">
      <c r="A6335" s="4" t="s">
        <v>8317</v>
      </c>
      <c r="B6335" s="4" t="s">
        <v>8318</v>
      </c>
    </row>
    <row r="6336" spans="1:2" x14ac:dyDescent="0.3">
      <c r="A6336" s="4" t="s">
        <v>12087</v>
      </c>
      <c r="B6336" s="4" t="s">
        <v>12088</v>
      </c>
    </row>
    <row r="6337" spans="1:2" x14ac:dyDescent="0.3">
      <c r="A6337" s="4" t="s">
        <v>12089</v>
      </c>
      <c r="B6337" s="4" t="s">
        <v>12090</v>
      </c>
    </row>
    <row r="6338" spans="1:2" x14ac:dyDescent="0.3">
      <c r="A6338" s="4" t="s">
        <v>8319</v>
      </c>
      <c r="B6338" s="4" t="s">
        <v>8320</v>
      </c>
    </row>
    <row r="6339" spans="1:2" x14ac:dyDescent="0.3">
      <c r="A6339" s="4" t="s">
        <v>12091</v>
      </c>
      <c r="B6339" s="4" t="s">
        <v>12092</v>
      </c>
    </row>
    <row r="6340" spans="1:2" x14ac:dyDescent="0.3">
      <c r="A6340" s="4" t="s">
        <v>12863</v>
      </c>
      <c r="B6340" s="4" t="s">
        <v>12864</v>
      </c>
    </row>
    <row r="6341" spans="1:2" x14ac:dyDescent="0.3">
      <c r="A6341" s="4" t="s">
        <v>8321</v>
      </c>
      <c r="B6341" s="4" t="s">
        <v>8322</v>
      </c>
    </row>
    <row r="6342" spans="1:2" x14ac:dyDescent="0.3">
      <c r="A6342" s="4" t="s">
        <v>8323</v>
      </c>
      <c r="B6342" s="4" t="s">
        <v>8324</v>
      </c>
    </row>
    <row r="6343" spans="1:2" x14ac:dyDescent="0.3">
      <c r="A6343" s="4" t="s">
        <v>8325</v>
      </c>
      <c r="B6343" s="4" t="s">
        <v>8326</v>
      </c>
    </row>
    <row r="6344" spans="1:2" x14ac:dyDescent="0.3">
      <c r="A6344" s="4" t="s">
        <v>8327</v>
      </c>
      <c r="B6344" s="4" t="s">
        <v>8328</v>
      </c>
    </row>
    <row r="6345" spans="1:2" x14ac:dyDescent="0.3">
      <c r="A6345" s="4" t="s">
        <v>8329</v>
      </c>
      <c r="B6345" s="4" t="s">
        <v>8330</v>
      </c>
    </row>
    <row r="6346" spans="1:2" x14ac:dyDescent="0.3">
      <c r="A6346" s="4" t="s">
        <v>8331</v>
      </c>
      <c r="B6346" s="4" t="s">
        <v>8332</v>
      </c>
    </row>
    <row r="6347" spans="1:2" x14ac:dyDescent="0.3">
      <c r="A6347" s="4" t="s">
        <v>8333</v>
      </c>
      <c r="B6347" s="4" t="s">
        <v>8334</v>
      </c>
    </row>
    <row r="6348" spans="1:2" x14ac:dyDescent="0.3">
      <c r="A6348" s="4" t="s">
        <v>8335</v>
      </c>
      <c r="B6348" s="4" t="s">
        <v>8336</v>
      </c>
    </row>
    <row r="6349" spans="1:2" x14ac:dyDescent="0.3">
      <c r="A6349" s="4" t="s">
        <v>8337</v>
      </c>
      <c r="B6349" s="4" t="s">
        <v>8338</v>
      </c>
    </row>
    <row r="6350" spans="1:2" x14ac:dyDescent="0.3">
      <c r="A6350" s="4" t="s">
        <v>12865</v>
      </c>
      <c r="B6350" s="4" t="s">
        <v>12866</v>
      </c>
    </row>
    <row r="6351" spans="1:2" x14ac:dyDescent="0.3">
      <c r="A6351" s="4" t="s">
        <v>8278</v>
      </c>
      <c r="B6351" s="4" t="s">
        <v>12093</v>
      </c>
    </row>
    <row r="6352" spans="1:2" x14ac:dyDescent="0.3">
      <c r="A6352" s="4" t="s">
        <v>8339</v>
      </c>
      <c r="B6352" s="4" t="s">
        <v>8340</v>
      </c>
    </row>
    <row r="6353" spans="1:2" x14ac:dyDescent="0.3">
      <c r="A6353" s="4" t="s">
        <v>12094</v>
      </c>
      <c r="B6353" s="4" t="s">
        <v>12095</v>
      </c>
    </row>
    <row r="6354" spans="1:2" x14ac:dyDescent="0.3">
      <c r="A6354" s="4" t="s">
        <v>8341</v>
      </c>
      <c r="B6354" s="4" t="s">
        <v>8342</v>
      </c>
    </row>
    <row r="6355" spans="1:2" x14ac:dyDescent="0.3">
      <c r="A6355" s="4" t="s">
        <v>8343</v>
      </c>
      <c r="B6355" s="4" t="s">
        <v>8344</v>
      </c>
    </row>
    <row r="6356" spans="1:2" x14ac:dyDescent="0.3">
      <c r="A6356" s="4" t="s">
        <v>8345</v>
      </c>
      <c r="B6356" s="4" t="s">
        <v>8346</v>
      </c>
    </row>
    <row r="6357" spans="1:2" x14ac:dyDescent="0.3">
      <c r="A6357" s="4" t="s">
        <v>8548</v>
      </c>
      <c r="B6357" s="4" t="s">
        <v>8549</v>
      </c>
    </row>
    <row r="6358" spans="1:2" x14ac:dyDescent="0.3">
      <c r="A6358" s="4" t="s">
        <v>8347</v>
      </c>
      <c r="B6358" s="4" t="s">
        <v>8348</v>
      </c>
    </row>
    <row r="6359" spans="1:2" x14ac:dyDescent="0.3">
      <c r="A6359" s="4" t="s">
        <v>12096</v>
      </c>
      <c r="B6359" s="4" t="s">
        <v>12097</v>
      </c>
    </row>
    <row r="6360" spans="1:2" x14ac:dyDescent="0.3">
      <c r="A6360" s="4" t="s">
        <v>8349</v>
      </c>
      <c r="B6360" s="4" t="s">
        <v>8350</v>
      </c>
    </row>
    <row r="6361" spans="1:2" x14ac:dyDescent="0.3">
      <c r="A6361" s="4" t="s">
        <v>12098</v>
      </c>
      <c r="B6361" s="4" t="s">
        <v>12099</v>
      </c>
    </row>
    <row r="6362" spans="1:2" x14ac:dyDescent="0.3">
      <c r="A6362" s="4" t="s">
        <v>8351</v>
      </c>
      <c r="B6362" s="4" t="s">
        <v>8352</v>
      </c>
    </row>
    <row r="6363" spans="1:2" x14ac:dyDescent="0.3">
      <c r="A6363" s="4" t="s">
        <v>8353</v>
      </c>
      <c r="B6363" s="4" t="s">
        <v>8354</v>
      </c>
    </row>
    <row r="6364" spans="1:2" x14ac:dyDescent="0.3">
      <c r="A6364" s="4" t="s">
        <v>8355</v>
      </c>
      <c r="B6364" s="4" t="s">
        <v>8356</v>
      </c>
    </row>
    <row r="6365" spans="1:2" x14ac:dyDescent="0.3">
      <c r="A6365" s="4" t="s">
        <v>8357</v>
      </c>
      <c r="B6365" s="4" t="s">
        <v>8358</v>
      </c>
    </row>
    <row r="6366" spans="1:2" x14ac:dyDescent="0.3">
      <c r="A6366" s="4" t="s">
        <v>8359</v>
      </c>
      <c r="B6366" s="4" t="s">
        <v>12100</v>
      </c>
    </row>
    <row r="6367" spans="1:2" x14ac:dyDescent="0.3">
      <c r="A6367" s="4" t="s">
        <v>8360</v>
      </c>
      <c r="B6367" s="4" t="s">
        <v>8361</v>
      </c>
    </row>
    <row r="6368" spans="1:2" x14ac:dyDescent="0.3">
      <c r="A6368" s="4" t="s">
        <v>12867</v>
      </c>
      <c r="B6368" s="4" t="s">
        <v>12868</v>
      </c>
    </row>
    <row r="6369" spans="1:2" x14ac:dyDescent="0.3">
      <c r="A6369" s="4" t="s">
        <v>8362</v>
      </c>
      <c r="B6369" s="4" t="s">
        <v>8363</v>
      </c>
    </row>
    <row r="6370" spans="1:2" x14ac:dyDescent="0.3">
      <c r="A6370" s="4" t="s">
        <v>12869</v>
      </c>
      <c r="B6370" s="4" t="s">
        <v>12870</v>
      </c>
    </row>
    <row r="6371" spans="1:2" x14ac:dyDescent="0.3">
      <c r="A6371" s="4" t="s">
        <v>8364</v>
      </c>
      <c r="B6371" s="4" t="s">
        <v>8365</v>
      </c>
    </row>
    <row r="6372" spans="1:2" x14ac:dyDescent="0.3">
      <c r="A6372" s="4" t="s">
        <v>8269</v>
      </c>
      <c r="B6372" s="4" t="s">
        <v>12101</v>
      </c>
    </row>
    <row r="6373" spans="1:2" x14ac:dyDescent="0.3">
      <c r="A6373" s="4" t="s">
        <v>8366</v>
      </c>
      <c r="B6373" s="4" t="s">
        <v>8367</v>
      </c>
    </row>
    <row r="6374" spans="1:2" x14ac:dyDescent="0.3">
      <c r="A6374" s="4" t="s">
        <v>8368</v>
      </c>
      <c r="B6374" s="4" t="s">
        <v>8369</v>
      </c>
    </row>
    <row r="6375" spans="1:2" x14ac:dyDescent="0.3">
      <c r="A6375" s="4" t="s">
        <v>12871</v>
      </c>
      <c r="B6375" s="4" t="s">
        <v>12872</v>
      </c>
    </row>
    <row r="6376" spans="1:2" x14ac:dyDescent="0.3">
      <c r="A6376" s="4" t="s">
        <v>8371</v>
      </c>
      <c r="B6376" s="4" t="s">
        <v>12873</v>
      </c>
    </row>
    <row r="6377" spans="1:2" x14ac:dyDescent="0.3">
      <c r="A6377" s="4" t="s">
        <v>8372</v>
      </c>
      <c r="B6377" s="4" t="s">
        <v>8373</v>
      </c>
    </row>
    <row r="6378" spans="1:2" x14ac:dyDescent="0.3">
      <c r="A6378" s="4" t="s">
        <v>8375</v>
      </c>
      <c r="B6378" s="4" t="s">
        <v>8376</v>
      </c>
    </row>
    <row r="6379" spans="1:2" x14ac:dyDescent="0.3">
      <c r="A6379" s="4" t="s">
        <v>8377</v>
      </c>
      <c r="B6379" s="4" t="s">
        <v>8378</v>
      </c>
    </row>
    <row r="6380" spans="1:2" x14ac:dyDescent="0.3">
      <c r="A6380" s="4" t="s">
        <v>8374</v>
      </c>
      <c r="B6380" s="4" t="s">
        <v>12874</v>
      </c>
    </row>
    <row r="6381" spans="1:2" x14ac:dyDescent="0.3">
      <c r="A6381" s="4" t="s">
        <v>8258</v>
      </c>
      <c r="B6381" s="4" t="s">
        <v>8380</v>
      </c>
    </row>
    <row r="6382" spans="1:2" x14ac:dyDescent="0.3">
      <c r="A6382" s="4" t="s">
        <v>8381</v>
      </c>
      <c r="B6382" s="4" t="s">
        <v>8382</v>
      </c>
    </row>
    <row r="6383" spans="1:2" x14ac:dyDescent="0.3">
      <c r="A6383" s="4" t="s">
        <v>8383</v>
      </c>
      <c r="B6383" s="4" t="s">
        <v>8384</v>
      </c>
    </row>
    <row r="6384" spans="1:2" x14ac:dyDescent="0.3">
      <c r="A6384" s="4" t="s">
        <v>8385</v>
      </c>
      <c r="B6384" s="4" t="s">
        <v>8386</v>
      </c>
    </row>
    <row r="6385" spans="1:2" x14ac:dyDescent="0.3">
      <c r="A6385" s="4" t="s">
        <v>8387</v>
      </c>
      <c r="B6385" s="4" t="s">
        <v>8388</v>
      </c>
    </row>
    <row r="6386" spans="1:2" x14ac:dyDescent="0.3">
      <c r="A6386" s="4" t="s">
        <v>12875</v>
      </c>
      <c r="B6386" s="4" t="s">
        <v>12876</v>
      </c>
    </row>
    <row r="6387" spans="1:2" x14ac:dyDescent="0.3">
      <c r="A6387" s="4" t="s">
        <v>8389</v>
      </c>
      <c r="B6387" s="4" t="s">
        <v>8390</v>
      </c>
    </row>
    <row r="6388" spans="1:2" x14ac:dyDescent="0.3">
      <c r="A6388" s="4" t="s">
        <v>8391</v>
      </c>
      <c r="B6388" s="4" t="s">
        <v>8392</v>
      </c>
    </row>
    <row r="6389" spans="1:2" x14ac:dyDescent="0.3">
      <c r="A6389" s="4" t="s">
        <v>8393</v>
      </c>
      <c r="B6389" s="4" t="s">
        <v>8394</v>
      </c>
    </row>
    <row r="6390" spans="1:2" x14ac:dyDescent="0.3">
      <c r="A6390" s="4" t="s">
        <v>8370</v>
      </c>
      <c r="B6390" s="4" t="s">
        <v>12102</v>
      </c>
    </row>
    <row r="6391" spans="1:2" x14ac:dyDescent="0.3">
      <c r="A6391" s="4" t="s">
        <v>8395</v>
      </c>
      <c r="B6391" s="4" t="s">
        <v>8396</v>
      </c>
    </row>
    <row r="6392" spans="1:2" x14ac:dyDescent="0.3">
      <c r="A6392" s="4" t="s">
        <v>12877</v>
      </c>
      <c r="B6392" s="4" t="s">
        <v>12878</v>
      </c>
    </row>
    <row r="6393" spans="1:2" x14ac:dyDescent="0.3">
      <c r="A6393" s="4" t="s">
        <v>8397</v>
      </c>
      <c r="B6393" s="4" t="s">
        <v>8398</v>
      </c>
    </row>
    <row r="6394" spans="1:2" x14ac:dyDescent="0.3">
      <c r="A6394" s="4" t="s">
        <v>8399</v>
      </c>
      <c r="B6394" s="4" t="s">
        <v>8400</v>
      </c>
    </row>
    <row r="6395" spans="1:2" x14ac:dyDescent="0.3">
      <c r="A6395" s="4" t="s">
        <v>8401</v>
      </c>
      <c r="B6395" s="4" t="s">
        <v>8402</v>
      </c>
    </row>
    <row r="6396" spans="1:2" x14ac:dyDescent="0.3">
      <c r="A6396" s="4" t="s">
        <v>8403</v>
      </c>
      <c r="B6396" s="4" t="s">
        <v>8404</v>
      </c>
    </row>
    <row r="6397" spans="1:2" x14ac:dyDescent="0.3">
      <c r="A6397" s="4" t="s">
        <v>8406</v>
      </c>
      <c r="B6397" s="4" t="s">
        <v>8407</v>
      </c>
    </row>
    <row r="6398" spans="1:2" x14ac:dyDescent="0.3">
      <c r="A6398" s="4" t="s">
        <v>12103</v>
      </c>
      <c r="B6398" s="4" t="s">
        <v>12104</v>
      </c>
    </row>
    <row r="6399" spans="1:2" x14ac:dyDescent="0.3">
      <c r="A6399" s="4" t="s">
        <v>8408</v>
      </c>
      <c r="B6399" s="4" t="s">
        <v>8409</v>
      </c>
    </row>
    <row r="6400" spans="1:2" x14ac:dyDescent="0.3">
      <c r="A6400" s="4" t="s">
        <v>8410</v>
      </c>
      <c r="B6400" s="4" t="s">
        <v>8411</v>
      </c>
    </row>
    <row r="6401" spans="1:2" x14ac:dyDescent="0.3">
      <c r="A6401" s="4" t="s">
        <v>8412</v>
      </c>
      <c r="B6401" s="4" t="s">
        <v>8413</v>
      </c>
    </row>
    <row r="6402" spans="1:2" x14ac:dyDescent="0.3">
      <c r="A6402" s="4" t="s">
        <v>8414</v>
      </c>
      <c r="B6402" s="4" t="s">
        <v>8415</v>
      </c>
    </row>
    <row r="6403" spans="1:2" x14ac:dyDescent="0.3">
      <c r="A6403" s="4" t="s">
        <v>8416</v>
      </c>
      <c r="B6403" s="4" t="s">
        <v>8417</v>
      </c>
    </row>
    <row r="6404" spans="1:2" x14ac:dyDescent="0.3">
      <c r="A6404" s="4" t="s">
        <v>8418</v>
      </c>
      <c r="B6404" s="4" t="s">
        <v>8419</v>
      </c>
    </row>
    <row r="6405" spans="1:2" x14ac:dyDescent="0.3">
      <c r="A6405" s="4" t="s">
        <v>12105</v>
      </c>
      <c r="B6405" s="4" t="s">
        <v>12106</v>
      </c>
    </row>
    <row r="6406" spans="1:2" x14ac:dyDescent="0.3">
      <c r="A6406" s="4" t="s">
        <v>5169</v>
      </c>
      <c r="B6406" s="4" t="s">
        <v>5170</v>
      </c>
    </row>
    <row r="6407" spans="1:2" x14ac:dyDescent="0.3">
      <c r="A6407" s="4" t="s">
        <v>8420</v>
      </c>
      <c r="B6407" s="4" t="s">
        <v>8421</v>
      </c>
    </row>
    <row r="6408" spans="1:2" x14ac:dyDescent="0.3">
      <c r="A6408" s="4" t="s">
        <v>8422</v>
      </c>
      <c r="B6408" s="4" t="s">
        <v>8423</v>
      </c>
    </row>
    <row r="6409" spans="1:2" x14ac:dyDescent="0.3">
      <c r="A6409" s="4" t="s">
        <v>8424</v>
      </c>
      <c r="B6409" s="4" t="s">
        <v>8425</v>
      </c>
    </row>
    <row r="6410" spans="1:2" x14ac:dyDescent="0.3">
      <c r="A6410" s="4" t="s">
        <v>8426</v>
      </c>
      <c r="B6410" s="4" t="s">
        <v>8427</v>
      </c>
    </row>
    <row r="6411" spans="1:2" x14ac:dyDescent="0.3">
      <c r="A6411" s="4" t="s">
        <v>8428</v>
      </c>
      <c r="B6411" s="4" t="s">
        <v>8429</v>
      </c>
    </row>
    <row r="6412" spans="1:2" x14ac:dyDescent="0.3">
      <c r="A6412" s="4" t="s">
        <v>12107</v>
      </c>
      <c r="B6412" s="4" t="s">
        <v>12108</v>
      </c>
    </row>
    <row r="6413" spans="1:2" x14ac:dyDescent="0.3">
      <c r="A6413" s="4" t="s">
        <v>12109</v>
      </c>
      <c r="B6413" s="4" t="s">
        <v>12110</v>
      </c>
    </row>
    <row r="6414" spans="1:2" x14ac:dyDescent="0.3">
      <c r="A6414" s="4" t="s">
        <v>8430</v>
      </c>
      <c r="B6414" s="4" t="s">
        <v>8431</v>
      </c>
    </row>
    <row r="6415" spans="1:2" x14ac:dyDescent="0.3">
      <c r="A6415" s="4" t="s">
        <v>12111</v>
      </c>
      <c r="B6415" s="4" t="s">
        <v>12112</v>
      </c>
    </row>
    <row r="6416" spans="1:2" x14ac:dyDescent="0.3">
      <c r="A6416" s="4" t="s">
        <v>8432</v>
      </c>
      <c r="B6416" s="4" t="s">
        <v>8433</v>
      </c>
    </row>
    <row r="6417" spans="1:2" x14ac:dyDescent="0.3">
      <c r="A6417" s="4" t="s">
        <v>12113</v>
      </c>
      <c r="B6417" s="4" t="s">
        <v>12114</v>
      </c>
    </row>
    <row r="6418" spans="1:2" x14ac:dyDescent="0.3">
      <c r="A6418" s="4" t="s">
        <v>8434</v>
      </c>
      <c r="B6418" s="4" t="s">
        <v>8435</v>
      </c>
    </row>
    <row r="6419" spans="1:2" x14ac:dyDescent="0.3">
      <c r="A6419" s="4" t="s">
        <v>8436</v>
      </c>
      <c r="B6419" s="4" t="s">
        <v>8437</v>
      </c>
    </row>
    <row r="6420" spans="1:2" x14ac:dyDescent="0.3">
      <c r="A6420" s="4" t="s">
        <v>8438</v>
      </c>
      <c r="B6420" s="4" t="s">
        <v>8439</v>
      </c>
    </row>
    <row r="6421" spans="1:2" x14ac:dyDescent="0.3">
      <c r="A6421" s="4" t="s">
        <v>8440</v>
      </c>
      <c r="B6421" s="4" t="s">
        <v>8441</v>
      </c>
    </row>
    <row r="6422" spans="1:2" x14ac:dyDescent="0.3">
      <c r="A6422" s="4" t="s">
        <v>8442</v>
      </c>
      <c r="B6422" s="4" t="s">
        <v>8443</v>
      </c>
    </row>
    <row r="6423" spans="1:2" x14ac:dyDescent="0.3">
      <c r="A6423" s="4" t="s">
        <v>12115</v>
      </c>
      <c r="B6423" s="4" t="s">
        <v>12116</v>
      </c>
    </row>
    <row r="6424" spans="1:2" x14ac:dyDescent="0.3">
      <c r="A6424" s="4" t="s">
        <v>8444</v>
      </c>
      <c r="B6424" s="4" t="s">
        <v>8445</v>
      </c>
    </row>
    <row r="6425" spans="1:2" x14ac:dyDescent="0.3">
      <c r="A6425" s="4" t="s">
        <v>8446</v>
      </c>
      <c r="B6425" s="4" t="s">
        <v>8447</v>
      </c>
    </row>
    <row r="6426" spans="1:2" x14ac:dyDescent="0.3">
      <c r="A6426" s="4" t="s">
        <v>8448</v>
      </c>
      <c r="B6426" s="4" t="s">
        <v>8449</v>
      </c>
    </row>
    <row r="6427" spans="1:2" x14ac:dyDescent="0.3">
      <c r="A6427" s="4" t="s">
        <v>8450</v>
      </c>
      <c r="B6427" s="4" t="s">
        <v>8451</v>
      </c>
    </row>
    <row r="6428" spans="1:2" x14ac:dyDescent="0.3">
      <c r="A6428" s="4" t="s">
        <v>8452</v>
      </c>
      <c r="B6428" s="4" t="s">
        <v>8453</v>
      </c>
    </row>
    <row r="6429" spans="1:2" x14ac:dyDescent="0.3">
      <c r="A6429" s="4" t="s">
        <v>8454</v>
      </c>
      <c r="B6429" s="4" t="s">
        <v>8455</v>
      </c>
    </row>
    <row r="6430" spans="1:2" x14ac:dyDescent="0.3">
      <c r="A6430" s="4" t="s">
        <v>8405</v>
      </c>
      <c r="B6430" s="4" t="s">
        <v>12117</v>
      </c>
    </row>
    <row r="6431" spans="1:2" x14ac:dyDescent="0.3">
      <c r="A6431" s="4" t="s">
        <v>8456</v>
      </c>
      <c r="B6431" s="4" t="s">
        <v>8457</v>
      </c>
    </row>
    <row r="6432" spans="1:2" x14ac:dyDescent="0.3">
      <c r="A6432" s="4" t="s">
        <v>8494</v>
      </c>
      <c r="B6432" s="4" t="s">
        <v>12118</v>
      </c>
    </row>
    <row r="6433" spans="1:2" x14ac:dyDescent="0.3">
      <c r="A6433" s="4" t="s">
        <v>8458</v>
      </c>
      <c r="B6433" s="4" t="s">
        <v>8459</v>
      </c>
    </row>
    <row r="6434" spans="1:2" x14ac:dyDescent="0.3">
      <c r="A6434" s="4" t="s">
        <v>12119</v>
      </c>
      <c r="B6434" s="4" t="s">
        <v>12120</v>
      </c>
    </row>
    <row r="6435" spans="1:2" x14ac:dyDescent="0.3">
      <c r="A6435" s="4" t="s">
        <v>8460</v>
      </c>
      <c r="B6435" s="4" t="s">
        <v>8461</v>
      </c>
    </row>
    <row r="6436" spans="1:2" x14ac:dyDescent="0.3">
      <c r="A6436" s="4" t="s">
        <v>12121</v>
      </c>
      <c r="B6436" s="4" t="s">
        <v>12122</v>
      </c>
    </row>
    <row r="6437" spans="1:2" x14ac:dyDescent="0.3">
      <c r="A6437" s="4" t="s">
        <v>12123</v>
      </c>
      <c r="B6437" s="4" t="s">
        <v>12124</v>
      </c>
    </row>
    <row r="6438" spans="1:2" x14ac:dyDescent="0.3">
      <c r="A6438" s="4" t="s">
        <v>8462</v>
      </c>
      <c r="B6438" s="4" t="s">
        <v>8463</v>
      </c>
    </row>
    <row r="6439" spans="1:2" x14ac:dyDescent="0.3">
      <c r="A6439" s="4" t="s">
        <v>12125</v>
      </c>
      <c r="B6439" s="4" t="s">
        <v>12126</v>
      </c>
    </row>
    <row r="6440" spans="1:2" x14ac:dyDescent="0.3">
      <c r="A6440" s="4" t="s">
        <v>12127</v>
      </c>
      <c r="B6440" s="4" t="s">
        <v>12128</v>
      </c>
    </row>
    <row r="6441" spans="1:2" x14ac:dyDescent="0.3">
      <c r="A6441" s="4" t="s">
        <v>8464</v>
      </c>
      <c r="B6441" s="4" t="s">
        <v>8465</v>
      </c>
    </row>
    <row r="6442" spans="1:2" x14ac:dyDescent="0.3">
      <c r="A6442" s="4" t="s">
        <v>8466</v>
      </c>
      <c r="B6442" s="4" t="s">
        <v>8467</v>
      </c>
    </row>
    <row r="6443" spans="1:2" x14ac:dyDescent="0.3">
      <c r="A6443" s="4" t="s">
        <v>8468</v>
      </c>
      <c r="B6443" s="4" t="s">
        <v>8469</v>
      </c>
    </row>
    <row r="6444" spans="1:2" x14ac:dyDescent="0.3">
      <c r="A6444" s="4" t="s">
        <v>8470</v>
      </c>
      <c r="B6444" s="4" t="s">
        <v>8471</v>
      </c>
    </row>
    <row r="6445" spans="1:2" x14ac:dyDescent="0.3">
      <c r="A6445" s="4" t="s">
        <v>12129</v>
      </c>
      <c r="B6445" s="4" t="s">
        <v>12130</v>
      </c>
    </row>
    <row r="6446" spans="1:2" x14ac:dyDescent="0.3">
      <c r="A6446" s="4" t="s">
        <v>12131</v>
      </c>
      <c r="B6446" s="4" t="s">
        <v>12132</v>
      </c>
    </row>
    <row r="6447" spans="1:2" x14ac:dyDescent="0.3">
      <c r="A6447" s="4" t="s">
        <v>12133</v>
      </c>
      <c r="B6447" s="4" t="s">
        <v>12134</v>
      </c>
    </row>
    <row r="6448" spans="1:2" x14ac:dyDescent="0.3">
      <c r="A6448" s="4" t="s">
        <v>8472</v>
      </c>
      <c r="B6448" s="4" t="s">
        <v>8473</v>
      </c>
    </row>
    <row r="6449" spans="1:2" x14ac:dyDescent="0.3">
      <c r="A6449" s="4" t="s">
        <v>8474</v>
      </c>
      <c r="B6449" s="4" t="s">
        <v>8475</v>
      </c>
    </row>
    <row r="6450" spans="1:2" x14ac:dyDescent="0.3">
      <c r="A6450" s="4" t="s">
        <v>12135</v>
      </c>
      <c r="B6450" s="4" t="s">
        <v>12136</v>
      </c>
    </row>
    <row r="6451" spans="1:2" x14ac:dyDescent="0.3">
      <c r="A6451" s="4" t="s">
        <v>8476</v>
      </c>
      <c r="B6451" s="4" t="s">
        <v>8477</v>
      </c>
    </row>
    <row r="6452" spans="1:2" x14ac:dyDescent="0.3">
      <c r="A6452" s="4" t="s">
        <v>8478</v>
      </c>
      <c r="B6452" s="4" t="s">
        <v>8479</v>
      </c>
    </row>
    <row r="6453" spans="1:2" x14ac:dyDescent="0.3">
      <c r="A6453" s="4" t="s">
        <v>8480</v>
      </c>
      <c r="B6453" s="4" t="s">
        <v>8481</v>
      </c>
    </row>
    <row r="6454" spans="1:2" x14ac:dyDescent="0.3">
      <c r="A6454" s="4" t="s">
        <v>8482</v>
      </c>
      <c r="B6454" s="4" t="s">
        <v>8483</v>
      </c>
    </row>
    <row r="6455" spans="1:2" x14ac:dyDescent="0.3">
      <c r="A6455" s="4" t="s">
        <v>8484</v>
      </c>
      <c r="B6455" s="4" t="s">
        <v>8485</v>
      </c>
    </row>
    <row r="6456" spans="1:2" x14ac:dyDescent="0.3">
      <c r="A6456" s="4" t="s">
        <v>8486</v>
      </c>
      <c r="B6456" s="4" t="s">
        <v>8487</v>
      </c>
    </row>
    <row r="6457" spans="1:2" x14ac:dyDescent="0.3">
      <c r="A6457" s="4" t="s">
        <v>12137</v>
      </c>
      <c r="B6457" s="4" t="s">
        <v>12138</v>
      </c>
    </row>
    <row r="6458" spans="1:2" x14ac:dyDescent="0.3">
      <c r="A6458" s="4" t="s">
        <v>8488</v>
      </c>
      <c r="B6458" s="4" t="s">
        <v>8489</v>
      </c>
    </row>
    <row r="6459" spans="1:2" x14ac:dyDescent="0.3">
      <c r="A6459" s="4" t="s">
        <v>8490</v>
      </c>
      <c r="B6459" s="4" t="s">
        <v>8491</v>
      </c>
    </row>
    <row r="6460" spans="1:2" x14ac:dyDescent="0.3">
      <c r="A6460" s="4" t="s">
        <v>8492</v>
      </c>
      <c r="B6460" s="4" t="s">
        <v>8493</v>
      </c>
    </row>
    <row r="6461" spans="1:2" x14ac:dyDescent="0.3">
      <c r="A6461" s="4" t="s">
        <v>8520</v>
      </c>
      <c r="B6461" s="4" t="s">
        <v>12139</v>
      </c>
    </row>
    <row r="6462" spans="1:2" x14ac:dyDescent="0.3">
      <c r="A6462" s="4" t="s">
        <v>12140</v>
      </c>
      <c r="B6462" s="4" t="s">
        <v>12141</v>
      </c>
    </row>
    <row r="6463" spans="1:2" x14ac:dyDescent="0.3">
      <c r="A6463" s="4" t="s">
        <v>8496</v>
      </c>
      <c r="B6463" s="4" t="s">
        <v>8497</v>
      </c>
    </row>
    <row r="6464" spans="1:2" x14ac:dyDescent="0.3">
      <c r="A6464" s="4" t="s">
        <v>8499</v>
      </c>
      <c r="B6464" s="4" t="s">
        <v>8500</v>
      </c>
    </row>
    <row r="6465" spans="1:2" x14ac:dyDescent="0.3">
      <c r="A6465" s="4" t="s">
        <v>8501</v>
      </c>
      <c r="B6465" s="4" t="s">
        <v>8502</v>
      </c>
    </row>
    <row r="6466" spans="1:2" x14ac:dyDescent="0.3">
      <c r="A6466" s="4" t="s">
        <v>8503</v>
      </c>
      <c r="B6466" s="4" t="s">
        <v>8504</v>
      </c>
    </row>
    <row r="6467" spans="1:2" x14ac:dyDescent="0.3">
      <c r="A6467" s="4" t="s">
        <v>12142</v>
      </c>
      <c r="B6467" s="4" t="s">
        <v>12143</v>
      </c>
    </row>
    <row r="6468" spans="1:2" x14ac:dyDescent="0.3">
      <c r="A6468" s="4" t="s">
        <v>12144</v>
      </c>
      <c r="B6468" s="4" t="s">
        <v>12145</v>
      </c>
    </row>
    <row r="6469" spans="1:2" x14ac:dyDescent="0.3">
      <c r="A6469" s="4" t="s">
        <v>12879</v>
      </c>
      <c r="B6469" s="4" t="s">
        <v>12880</v>
      </c>
    </row>
    <row r="6470" spans="1:2" x14ac:dyDescent="0.3">
      <c r="A6470" s="4" t="s">
        <v>12881</v>
      </c>
      <c r="B6470" s="4" t="s">
        <v>12882</v>
      </c>
    </row>
    <row r="6471" spans="1:2" x14ac:dyDescent="0.3">
      <c r="A6471" s="4" t="s">
        <v>8505</v>
      </c>
      <c r="B6471" s="4" t="s">
        <v>8506</v>
      </c>
    </row>
    <row r="6472" spans="1:2" x14ac:dyDescent="0.3">
      <c r="A6472" s="4" t="s">
        <v>8507</v>
      </c>
      <c r="B6472" s="4" t="s">
        <v>8508</v>
      </c>
    </row>
    <row r="6473" spans="1:2" x14ac:dyDescent="0.3">
      <c r="A6473" s="4" t="s">
        <v>12146</v>
      </c>
      <c r="B6473" s="4" t="s">
        <v>12147</v>
      </c>
    </row>
    <row r="6474" spans="1:2" x14ac:dyDescent="0.3">
      <c r="A6474" s="4" t="s">
        <v>8509</v>
      </c>
      <c r="B6474" s="4" t="s">
        <v>8510</v>
      </c>
    </row>
    <row r="6475" spans="1:2" x14ac:dyDescent="0.3">
      <c r="A6475" s="4" t="s">
        <v>12148</v>
      </c>
      <c r="B6475" s="4" t="s">
        <v>12149</v>
      </c>
    </row>
    <row r="6476" spans="1:2" x14ac:dyDescent="0.3">
      <c r="A6476" s="4" t="s">
        <v>12150</v>
      </c>
      <c r="B6476" s="4" t="s">
        <v>12151</v>
      </c>
    </row>
    <row r="6477" spans="1:2" x14ac:dyDescent="0.3">
      <c r="A6477" s="4" t="s">
        <v>12152</v>
      </c>
      <c r="B6477" s="4" t="s">
        <v>12153</v>
      </c>
    </row>
    <row r="6478" spans="1:2" x14ac:dyDescent="0.3">
      <c r="A6478" s="4" t="s">
        <v>12154</v>
      </c>
      <c r="B6478" s="4" t="s">
        <v>12155</v>
      </c>
    </row>
    <row r="6479" spans="1:2" x14ac:dyDescent="0.3">
      <c r="A6479" s="4" t="s">
        <v>12156</v>
      </c>
      <c r="B6479" s="4" t="s">
        <v>12157</v>
      </c>
    </row>
    <row r="6480" spans="1:2" x14ac:dyDescent="0.3">
      <c r="A6480" s="4" t="s">
        <v>8512</v>
      </c>
      <c r="B6480" s="4" t="s">
        <v>8513</v>
      </c>
    </row>
    <row r="6481" spans="1:2" x14ac:dyDescent="0.3">
      <c r="A6481" s="4" t="s">
        <v>8514</v>
      </c>
      <c r="B6481" s="4" t="s">
        <v>8515</v>
      </c>
    </row>
    <row r="6482" spans="1:2" x14ac:dyDescent="0.3">
      <c r="A6482" s="4" t="s">
        <v>8516</v>
      </c>
      <c r="B6482" s="4" t="s">
        <v>8517</v>
      </c>
    </row>
    <row r="6483" spans="1:2" x14ac:dyDescent="0.3">
      <c r="A6483" s="4" t="s">
        <v>12883</v>
      </c>
      <c r="B6483" s="4" t="s">
        <v>12884</v>
      </c>
    </row>
    <row r="6484" spans="1:2" x14ac:dyDescent="0.3">
      <c r="A6484" s="4" t="s">
        <v>12158</v>
      </c>
      <c r="B6484" s="4" t="s">
        <v>12159</v>
      </c>
    </row>
    <row r="6485" spans="1:2" x14ac:dyDescent="0.3">
      <c r="A6485" s="4" t="s">
        <v>12885</v>
      </c>
      <c r="B6485" s="4" t="s">
        <v>12886</v>
      </c>
    </row>
    <row r="6486" spans="1:2" x14ac:dyDescent="0.3">
      <c r="A6486" s="4" t="s">
        <v>8564</v>
      </c>
      <c r="B6486" s="4" t="s">
        <v>12160</v>
      </c>
    </row>
    <row r="6487" spans="1:2" x14ac:dyDescent="0.3">
      <c r="A6487" s="4" t="s">
        <v>8518</v>
      </c>
      <c r="B6487" s="4" t="s">
        <v>8519</v>
      </c>
    </row>
    <row r="6488" spans="1:2" x14ac:dyDescent="0.3">
      <c r="A6488" s="4" t="s">
        <v>12161</v>
      </c>
      <c r="B6488" s="4" t="s">
        <v>12162</v>
      </c>
    </row>
    <row r="6489" spans="1:2" x14ac:dyDescent="0.3">
      <c r="A6489" s="4" t="s">
        <v>12163</v>
      </c>
      <c r="B6489" s="4" t="s">
        <v>12164</v>
      </c>
    </row>
    <row r="6490" spans="1:2" x14ac:dyDescent="0.3">
      <c r="A6490" s="4" t="s">
        <v>12165</v>
      </c>
      <c r="B6490" s="4" t="s">
        <v>12166</v>
      </c>
    </row>
    <row r="6491" spans="1:2" x14ac:dyDescent="0.3">
      <c r="A6491" s="4" t="s">
        <v>8521</v>
      </c>
      <c r="B6491" s="4" t="s">
        <v>8522</v>
      </c>
    </row>
    <row r="6492" spans="1:2" x14ac:dyDescent="0.3">
      <c r="A6492" s="4" t="s">
        <v>8523</v>
      </c>
      <c r="B6492" s="4" t="s">
        <v>8524</v>
      </c>
    </row>
    <row r="6493" spans="1:2" x14ac:dyDescent="0.3">
      <c r="A6493" s="4" t="s">
        <v>12167</v>
      </c>
      <c r="B6493" s="4" t="s">
        <v>12168</v>
      </c>
    </row>
    <row r="6494" spans="1:2" x14ac:dyDescent="0.3">
      <c r="A6494" s="4" t="s">
        <v>12887</v>
      </c>
      <c r="B6494" s="4" t="s">
        <v>12888</v>
      </c>
    </row>
    <row r="6495" spans="1:2" x14ac:dyDescent="0.3">
      <c r="A6495" s="4" t="s">
        <v>8525</v>
      </c>
      <c r="B6495" s="4" t="s">
        <v>8526</v>
      </c>
    </row>
    <row r="6496" spans="1:2" x14ac:dyDescent="0.3">
      <c r="A6496" s="4" t="s">
        <v>8498</v>
      </c>
      <c r="B6496" s="4" t="s">
        <v>12169</v>
      </c>
    </row>
    <row r="6497" spans="1:2" x14ac:dyDescent="0.3">
      <c r="A6497" s="4" t="s">
        <v>8527</v>
      </c>
      <c r="B6497" s="4" t="s">
        <v>12889</v>
      </c>
    </row>
    <row r="6498" spans="1:2" x14ac:dyDescent="0.3">
      <c r="A6498" s="4" t="s">
        <v>12170</v>
      </c>
      <c r="B6498" s="4" t="s">
        <v>12171</v>
      </c>
    </row>
    <row r="6499" spans="1:2" x14ac:dyDescent="0.3">
      <c r="A6499" s="4" t="s">
        <v>12172</v>
      </c>
      <c r="B6499" s="4" t="s">
        <v>12173</v>
      </c>
    </row>
    <row r="6500" spans="1:2" x14ac:dyDescent="0.3">
      <c r="A6500" s="4" t="s">
        <v>12174</v>
      </c>
      <c r="B6500" s="4" t="s">
        <v>12175</v>
      </c>
    </row>
    <row r="6501" spans="1:2" x14ac:dyDescent="0.3">
      <c r="A6501" s="4" t="s">
        <v>12176</v>
      </c>
      <c r="B6501" s="4" t="s">
        <v>12177</v>
      </c>
    </row>
    <row r="6502" spans="1:2" x14ac:dyDescent="0.3">
      <c r="A6502" s="4" t="s">
        <v>12178</v>
      </c>
      <c r="B6502" s="4" t="s">
        <v>12179</v>
      </c>
    </row>
    <row r="6503" spans="1:2" x14ac:dyDescent="0.3">
      <c r="A6503" s="4" t="s">
        <v>12890</v>
      </c>
      <c r="B6503" s="4" t="s">
        <v>12891</v>
      </c>
    </row>
    <row r="6504" spans="1:2" x14ac:dyDescent="0.3">
      <c r="A6504" s="4" t="s">
        <v>12180</v>
      </c>
      <c r="B6504" s="4" t="s">
        <v>12181</v>
      </c>
    </row>
    <row r="6505" spans="1:2" x14ac:dyDescent="0.3">
      <c r="A6505" s="4" t="s">
        <v>12182</v>
      </c>
      <c r="B6505" s="4" t="s">
        <v>12183</v>
      </c>
    </row>
    <row r="6506" spans="1:2" x14ac:dyDescent="0.3">
      <c r="A6506" s="4" t="s">
        <v>12184</v>
      </c>
      <c r="B6506" s="4" t="s">
        <v>12185</v>
      </c>
    </row>
    <row r="6507" spans="1:2" x14ac:dyDescent="0.3">
      <c r="A6507" s="4" t="s">
        <v>12186</v>
      </c>
      <c r="B6507" s="4" t="s">
        <v>12187</v>
      </c>
    </row>
    <row r="6508" spans="1:2" x14ac:dyDescent="0.3">
      <c r="A6508" s="4" t="s">
        <v>12892</v>
      </c>
      <c r="B6508" s="4" t="s">
        <v>12893</v>
      </c>
    </row>
    <row r="6509" spans="1:2" x14ac:dyDescent="0.3">
      <c r="A6509" s="4" t="s">
        <v>12894</v>
      </c>
      <c r="B6509" s="4" t="s">
        <v>12895</v>
      </c>
    </row>
    <row r="6510" spans="1:2" x14ac:dyDescent="0.3">
      <c r="A6510" s="4" t="s">
        <v>12896</v>
      </c>
      <c r="B6510" s="4" t="s">
        <v>12897</v>
      </c>
    </row>
    <row r="6511" spans="1:2" x14ac:dyDescent="0.3">
      <c r="A6511" s="4" t="s">
        <v>8528</v>
      </c>
      <c r="B6511" s="4" t="s">
        <v>8529</v>
      </c>
    </row>
    <row r="6512" spans="1:2" x14ac:dyDescent="0.3">
      <c r="A6512" s="4" t="s">
        <v>12188</v>
      </c>
      <c r="B6512" s="4" t="s">
        <v>12189</v>
      </c>
    </row>
    <row r="6513" spans="1:2" x14ac:dyDescent="0.3">
      <c r="A6513" s="4" t="s">
        <v>12190</v>
      </c>
      <c r="B6513" s="4" t="s">
        <v>12191</v>
      </c>
    </row>
    <row r="6514" spans="1:2" x14ac:dyDescent="0.3">
      <c r="A6514" s="4" t="s">
        <v>12192</v>
      </c>
      <c r="B6514" s="4" t="s">
        <v>12898</v>
      </c>
    </row>
    <row r="6515" spans="1:2" x14ac:dyDescent="0.3">
      <c r="A6515" s="4" t="s">
        <v>8530</v>
      </c>
      <c r="B6515" s="4" t="s">
        <v>8531</v>
      </c>
    </row>
    <row r="6516" spans="1:2" x14ac:dyDescent="0.3">
      <c r="A6516" s="4" t="s">
        <v>8532</v>
      </c>
      <c r="B6516" s="4" t="s">
        <v>8533</v>
      </c>
    </row>
    <row r="6517" spans="1:2" x14ac:dyDescent="0.3">
      <c r="A6517" s="4" t="s">
        <v>8495</v>
      </c>
      <c r="B6517" s="4" t="s">
        <v>12193</v>
      </c>
    </row>
    <row r="6518" spans="1:2" x14ac:dyDescent="0.3">
      <c r="A6518" s="4" t="s">
        <v>8534</v>
      </c>
      <c r="B6518" s="4" t="s">
        <v>8535</v>
      </c>
    </row>
    <row r="6519" spans="1:2" x14ac:dyDescent="0.3">
      <c r="A6519" s="4" t="s">
        <v>12899</v>
      </c>
      <c r="B6519" s="4" t="s">
        <v>12900</v>
      </c>
    </row>
    <row r="6520" spans="1:2" x14ac:dyDescent="0.3">
      <c r="A6520" s="4" t="s">
        <v>12194</v>
      </c>
      <c r="B6520" s="4" t="s">
        <v>12195</v>
      </c>
    </row>
    <row r="6521" spans="1:2" x14ac:dyDescent="0.3">
      <c r="A6521" s="4" t="s">
        <v>12196</v>
      </c>
      <c r="B6521" s="4" t="s">
        <v>12197</v>
      </c>
    </row>
    <row r="6522" spans="1:2" x14ac:dyDescent="0.3">
      <c r="A6522" s="4" t="s">
        <v>12198</v>
      </c>
      <c r="B6522" s="4" t="s">
        <v>12199</v>
      </c>
    </row>
    <row r="6523" spans="1:2" x14ac:dyDescent="0.3">
      <c r="A6523" s="4" t="s">
        <v>12200</v>
      </c>
      <c r="B6523" s="4" t="s">
        <v>12201</v>
      </c>
    </row>
    <row r="6524" spans="1:2" x14ac:dyDescent="0.3">
      <c r="A6524" s="4" t="s">
        <v>8536</v>
      </c>
      <c r="B6524" s="4" t="s">
        <v>8537</v>
      </c>
    </row>
    <row r="6525" spans="1:2" x14ac:dyDescent="0.3">
      <c r="A6525" s="4" t="s">
        <v>12202</v>
      </c>
      <c r="B6525" s="4" t="s">
        <v>12203</v>
      </c>
    </row>
    <row r="6526" spans="1:2" x14ac:dyDescent="0.3">
      <c r="A6526" s="4" t="s">
        <v>12204</v>
      </c>
      <c r="B6526" s="4" t="s">
        <v>12205</v>
      </c>
    </row>
    <row r="6527" spans="1:2" x14ac:dyDescent="0.3">
      <c r="A6527" s="4" t="s">
        <v>8538</v>
      </c>
      <c r="B6527" s="4" t="s">
        <v>8539</v>
      </c>
    </row>
    <row r="6528" spans="1:2" x14ac:dyDescent="0.3">
      <c r="A6528" s="4" t="s">
        <v>12206</v>
      </c>
      <c r="B6528" s="4" t="s">
        <v>12207</v>
      </c>
    </row>
    <row r="6529" spans="1:2" x14ac:dyDescent="0.3">
      <c r="A6529" s="4" t="s">
        <v>8540</v>
      </c>
      <c r="B6529" s="4" t="s">
        <v>8541</v>
      </c>
    </row>
    <row r="6530" spans="1:2" x14ac:dyDescent="0.3">
      <c r="A6530" s="4" t="s">
        <v>12208</v>
      </c>
      <c r="B6530" s="4" t="s">
        <v>12209</v>
      </c>
    </row>
    <row r="6531" spans="1:2" x14ac:dyDescent="0.3">
      <c r="A6531" s="4" t="s">
        <v>8544</v>
      </c>
      <c r="B6531" s="4" t="s">
        <v>8545</v>
      </c>
    </row>
    <row r="6532" spans="1:2" x14ac:dyDescent="0.3">
      <c r="A6532" s="4" t="s">
        <v>8546</v>
      </c>
      <c r="B6532" s="4" t="s">
        <v>8547</v>
      </c>
    </row>
    <row r="6533" spans="1:2" x14ac:dyDescent="0.3">
      <c r="A6533" s="4" t="s">
        <v>12210</v>
      </c>
      <c r="B6533" s="4" t="s">
        <v>12211</v>
      </c>
    </row>
    <row r="6534" spans="1:2" x14ac:dyDescent="0.3">
      <c r="A6534" s="4" t="s">
        <v>12901</v>
      </c>
      <c r="B6534" s="4" t="s">
        <v>12902</v>
      </c>
    </row>
    <row r="6535" spans="1:2" x14ac:dyDescent="0.3">
      <c r="A6535" s="4" t="s">
        <v>12903</v>
      </c>
      <c r="B6535" s="4" t="s">
        <v>12904</v>
      </c>
    </row>
    <row r="6536" spans="1:2" x14ac:dyDescent="0.3">
      <c r="A6536" s="4" t="s">
        <v>12212</v>
      </c>
      <c r="B6536" s="4" t="s">
        <v>12213</v>
      </c>
    </row>
    <row r="6537" spans="1:2" x14ac:dyDescent="0.3">
      <c r="A6537" s="4" t="s">
        <v>8550</v>
      </c>
      <c r="B6537" s="4" t="s">
        <v>8551</v>
      </c>
    </row>
    <row r="6538" spans="1:2" x14ac:dyDescent="0.3">
      <c r="A6538" s="4" t="s">
        <v>12905</v>
      </c>
      <c r="B6538" s="4" t="s">
        <v>12906</v>
      </c>
    </row>
    <row r="6539" spans="1:2" x14ac:dyDescent="0.3">
      <c r="A6539" s="4" t="s">
        <v>8552</v>
      </c>
      <c r="B6539" s="4" t="s">
        <v>8553</v>
      </c>
    </row>
    <row r="6540" spans="1:2" x14ac:dyDescent="0.3">
      <c r="A6540" s="4" t="s">
        <v>8554</v>
      </c>
      <c r="B6540" s="4" t="s">
        <v>8555</v>
      </c>
    </row>
    <row r="6541" spans="1:2" x14ac:dyDescent="0.3">
      <c r="A6541" s="4" t="s">
        <v>12214</v>
      </c>
      <c r="B6541" s="4" t="s">
        <v>12215</v>
      </c>
    </row>
    <row r="6542" spans="1:2" x14ac:dyDescent="0.3">
      <c r="A6542" s="4" t="s">
        <v>12216</v>
      </c>
      <c r="B6542" s="4" t="s">
        <v>12217</v>
      </c>
    </row>
    <row r="6543" spans="1:2" x14ac:dyDescent="0.3">
      <c r="A6543" s="4" t="s">
        <v>12218</v>
      </c>
      <c r="B6543" s="4" t="s">
        <v>12219</v>
      </c>
    </row>
    <row r="6544" spans="1:2" x14ac:dyDescent="0.3">
      <c r="A6544" s="4" t="s">
        <v>12907</v>
      </c>
      <c r="B6544" s="4" t="s">
        <v>12908</v>
      </c>
    </row>
    <row r="6545" spans="1:2" x14ac:dyDescent="0.3">
      <c r="A6545" s="4" t="s">
        <v>8556</v>
      </c>
      <c r="B6545" s="4" t="s">
        <v>8557</v>
      </c>
    </row>
    <row r="6546" spans="1:2" x14ac:dyDescent="0.3">
      <c r="A6546" s="4" t="s">
        <v>12220</v>
      </c>
      <c r="B6546" s="4" t="s">
        <v>12221</v>
      </c>
    </row>
    <row r="6547" spans="1:2" x14ac:dyDescent="0.3">
      <c r="A6547" s="4" t="s">
        <v>12222</v>
      </c>
      <c r="B6547" s="4" t="s">
        <v>12223</v>
      </c>
    </row>
    <row r="6548" spans="1:2" x14ac:dyDescent="0.3">
      <c r="A6548" s="4" t="s">
        <v>12224</v>
      </c>
      <c r="B6548" s="4" t="s">
        <v>12225</v>
      </c>
    </row>
    <row r="6549" spans="1:2" x14ac:dyDescent="0.3">
      <c r="A6549" s="4" t="s">
        <v>12909</v>
      </c>
      <c r="B6549" s="4" t="s">
        <v>12910</v>
      </c>
    </row>
    <row r="6550" spans="1:2" x14ac:dyDescent="0.3">
      <c r="A6550" s="4" t="s">
        <v>12911</v>
      </c>
      <c r="B6550" s="4" t="s">
        <v>12912</v>
      </c>
    </row>
    <row r="6551" spans="1:2" x14ac:dyDescent="0.3">
      <c r="A6551" s="4" t="s">
        <v>12913</v>
      </c>
      <c r="B6551" s="4" t="s">
        <v>12914</v>
      </c>
    </row>
    <row r="6552" spans="1:2" x14ac:dyDescent="0.3">
      <c r="A6552" s="4" t="s">
        <v>12915</v>
      </c>
      <c r="B6552" s="4" t="s">
        <v>12916</v>
      </c>
    </row>
    <row r="6553" spans="1:2" x14ac:dyDescent="0.3">
      <c r="A6553" s="4" t="s">
        <v>8558</v>
      </c>
      <c r="B6553" s="4" t="s">
        <v>8559</v>
      </c>
    </row>
    <row r="6554" spans="1:2" x14ac:dyDescent="0.3">
      <c r="A6554" s="4" t="s">
        <v>8560</v>
      </c>
      <c r="B6554" s="4" t="s">
        <v>8561</v>
      </c>
    </row>
    <row r="6555" spans="1:2" x14ac:dyDescent="0.3">
      <c r="A6555" s="4" t="s">
        <v>8562</v>
      </c>
      <c r="B6555" s="4" t="s">
        <v>8563</v>
      </c>
    </row>
    <row r="6556" spans="1:2" x14ac:dyDescent="0.3">
      <c r="A6556" s="4" t="s">
        <v>8565</v>
      </c>
      <c r="B6556" s="4" t="s">
        <v>8566</v>
      </c>
    </row>
    <row r="6557" spans="1:2" x14ac:dyDescent="0.3">
      <c r="A6557" s="4" t="s">
        <v>8567</v>
      </c>
      <c r="B6557" s="4" t="s">
        <v>8568</v>
      </c>
    </row>
    <row r="6558" spans="1:2" x14ac:dyDescent="0.3">
      <c r="A6558" s="4" t="s">
        <v>8511</v>
      </c>
      <c r="B6558" s="4" t="s">
        <v>12226</v>
      </c>
    </row>
    <row r="6559" spans="1:2" x14ac:dyDescent="0.3">
      <c r="A6559" s="4" t="s">
        <v>8569</v>
      </c>
      <c r="B6559" s="4" t="s">
        <v>8570</v>
      </c>
    </row>
    <row r="6560" spans="1:2" x14ac:dyDescent="0.3">
      <c r="A6560" s="4" t="s">
        <v>12917</v>
      </c>
      <c r="B6560" s="4" t="s">
        <v>12918</v>
      </c>
    </row>
    <row r="6561" spans="1:2" x14ac:dyDescent="0.3">
      <c r="A6561" s="4" t="s">
        <v>12227</v>
      </c>
      <c r="B6561" s="4" t="s">
        <v>12228</v>
      </c>
    </row>
    <row r="6562" spans="1:2" x14ac:dyDescent="0.3">
      <c r="A6562" s="4" t="s">
        <v>12229</v>
      </c>
      <c r="B6562" s="4" t="s">
        <v>12230</v>
      </c>
    </row>
    <row r="6563" spans="1:2" x14ac:dyDescent="0.3">
      <c r="A6563" s="4" t="s">
        <v>8571</v>
      </c>
      <c r="B6563" s="4" t="s">
        <v>8572</v>
      </c>
    </row>
    <row r="6564" spans="1:2" x14ac:dyDescent="0.3">
      <c r="A6564" s="4" t="s">
        <v>12919</v>
      </c>
      <c r="B6564" s="4" t="s">
        <v>12920</v>
      </c>
    </row>
    <row r="6565" spans="1:2" x14ac:dyDescent="0.3">
      <c r="A6565" s="4" t="s">
        <v>8573</v>
      </c>
      <c r="B6565" s="4" t="s">
        <v>8574</v>
      </c>
    </row>
    <row r="6566" spans="1:2" x14ac:dyDescent="0.3">
      <c r="B6566" s="4"/>
    </row>
    <row r="6567" spans="1:2" x14ac:dyDescent="0.3">
      <c r="B6567" s="4"/>
    </row>
    <row r="6568" spans="1:2" x14ac:dyDescent="0.3">
      <c r="B6568" s="4"/>
    </row>
    <row r="6569" spans="1:2" x14ac:dyDescent="0.3">
      <c r="B6569" s="4"/>
    </row>
    <row r="6570" spans="1:2" x14ac:dyDescent="0.3">
      <c r="B6570" s="4"/>
    </row>
    <row r="6571" spans="1:2" x14ac:dyDescent="0.3">
      <c r="B6571" s="4"/>
    </row>
    <row r="6572" spans="1:2" x14ac:dyDescent="0.3">
      <c r="B6572" s="4"/>
    </row>
    <row r="6573" spans="1:2" x14ac:dyDescent="0.3">
      <c r="B6573" s="4"/>
    </row>
    <row r="6574" spans="1:2" x14ac:dyDescent="0.3">
      <c r="B6574" s="4"/>
    </row>
    <row r="6575" spans="1:2" x14ac:dyDescent="0.3">
      <c r="B6575" s="4"/>
    </row>
    <row r="6576" spans="1:2" x14ac:dyDescent="0.3">
      <c r="B6576" s="4"/>
    </row>
    <row r="6577" spans="2:2" x14ac:dyDescent="0.3">
      <c r="B6577" s="4"/>
    </row>
    <row r="6578" spans="2:2" x14ac:dyDescent="0.3">
      <c r="B6578" s="4"/>
    </row>
    <row r="6579" spans="2:2" x14ac:dyDescent="0.3">
      <c r="B6579" s="4"/>
    </row>
    <row r="6580" spans="2:2" x14ac:dyDescent="0.3">
      <c r="B6580" s="4"/>
    </row>
    <row r="6581" spans="2:2" x14ac:dyDescent="0.3">
      <c r="B6581" s="4"/>
    </row>
    <row r="6582" spans="2:2" x14ac:dyDescent="0.3">
      <c r="B6582" s="4"/>
    </row>
    <row r="6583" spans="2:2" x14ac:dyDescent="0.3">
      <c r="B6583" s="4"/>
    </row>
    <row r="6584" spans="2:2" x14ac:dyDescent="0.3">
      <c r="B6584" s="4"/>
    </row>
    <row r="6585" spans="2:2" x14ac:dyDescent="0.3">
      <c r="B6585" s="4"/>
    </row>
    <row r="6586" spans="2:2" x14ac:dyDescent="0.3">
      <c r="B6586" s="4"/>
    </row>
    <row r="6587" spans="2:2" x14ac:dyDescent="0.3">
      <c r="B6587" s="4"/>
    </row>
    <row r="6588" spans="2:2" x14ac:dyDescent="0.3">
      <c r="B6588" s="4"/>
    </row>
    <row r="6589" spans="2:2" x14ac:dyDescent="0.3">
      <c r="B6589" s="4"/>
    </row>
    <row r="6590" spans="2:2" x14ac:dyDescent="0.3">
      <c r="B6590" s="4"/>
    </row>
    <row r="6591" spans="2:2" x14ac:dyDescent="0.3">
      <c r="B6591" s="4"/>
    </row>
    <row r="6592" spans="2:2" x14ac:dyDescent="0.3">
      <c r="B6592" s="4"/>
    </row>
    <row r="6593" spans="2:2" x14ac:dyDescent="0.3">
      <c r="B6593" s="4"/>
    </row>
    <row r="6594" spans="2:2" x14ac:dyDescent="0.3">
      <c r="B6594" s="4"/>
    </row>
    <row r="6595" spans="2:2" x14ac:dyDescent="0.3">
      <c r="B6595" s="4"/>
    </row>
    <row r="6596" spans="2:2" x14ac:dyDescent="0.3">
      <c r="B6596" s="4"/>
    </row>
    <row r="6597" spans="2:2" x14ac:dyDescent="0.3">
      <c r="B6597" s="4"/>
    </row>
    <row r="6598" spans="2:2" x14ac:dyDescent="0.3">
      <c r="B6598" s="4"/>
    </row>
    <row r="6599" spans="2:2" x14ac:dyDescent="0.3">
      <c r="B6599" s="4"/>
    </row>
    <row r="6600" spans="2:2" x14ac:dyDescent="0.3">
      <c r="B6600" s="4"/>
    </row>
    <row r="6601" spans="2:2" x14ac:dyDescent="0.3">
      <c r="B6601" s="4"/>
    </row>
    <row r="6602" spans="2:2" x14ac:dyDescent="0.3">
      <c r="B6602" s="4"/>
    </row>
    <row r="6603" spans="2:2" x14ac:dyDescent="0.3">
      <c r="B6603" s="4"/>
    </row>
    <row r="6604" spans="2:2" x14ac:dyDescent="0.3">
      <c r="B6604" s="4"/>
    </row>
    <row r="6605" spans="2:2" x14ac:dyDescent="0.3">
      <c r="B6605" s="4"/>
    </row>
    <row r="6606" spans="2:2" x14ac:dyDescent="0.3">
      <c r="B6606" s="4"/>
    </row>
    <row r="6607" spans="2:2" x14ac:dyDescent="0.3">
      <c r="B6607" s="4"/>
    </row>
    <row r="6608" spans="2:2" x14ac:dyDescent="0.3">
      <c r="B6608" s="4"/>
    </row>
    <row r="6609" spans="2:2" x14ac:dyDescent="0.3">
      <c r="B6609" s="4"/>
    </row>
    <row r="6610" spans="2:2" x14ac:dyDescent="0.3">
      <c r="B6610" s="4"/>
    </row>
    <row r="6611" spans="2:2" x14ac:dyDescent="0.3">
      <c r="B6611" s="4"/>
    </row>
    <row r="6612" spans="2:2" x14ac:dyDescent="0.3">
      <c r="B6612" s="4"/>
    </row>
    <row r="6613" spans="2:2" x14ac:dyDescent="0.3">
      <c r="B6613" s="4"/>
    </row>
    <row r="6614" spans="2:2" x14ac:dyDescent="0.3">
      <c r="B6614" s="4"/>
    </row>
    <row r="6615" spans="2:2" x14ac:dyDescent="0.3">
      <c r="B6615" s="4"/>
    </row>
    <row r="6616" spans="2:2" x14ac:dyDescent="0.3">
      <c r="B6616" s="4"/>
    </row>
    <row r="6617" spans="2:2" x14ac:dyDescent="0.3">
      <c r="B6617" s="4"/>
    </row>
    <row r="6618" spans="2:2" x14ac:dyDescent="0.3">
      <c r="B6618" s="4"/>
    </row>
    <row r="6619" spans="2:2" x14ac:dyDescent="0.3">
      <c r="B6619" s="4"/>
    </row>
    <row r="6620" spans="2:2" x14ac:dyDescent="0.3">
      <c r="B6620" s="4"/>
    </row>
    <row r="6621" spans="2:2" x14ac:dyDescent="0.3">
      <c r="B6621" s="4"/>
    </row>
    <row r="6622" spans="2:2" x14ac:dyDescent="0.3">
      <c r="B6622" s="4"/>
    </row>
    <row r="6623" spans="2:2" x14ac:dyDescent="0.3">
      <c r="B6623" s="4"/>
    </row>
    <row r="6624" spans="2:2" x14ac:dyDescent="0.3">
      <c r="B6624" s="4"/>
    </row>
    <row r="6625" spans="2:2" x14ac:dyDescent="0.3">
      <c r="B6625" s="4"/>
    </row>
    <row r="6626" spans="2:2" x14ac:dyDescent="0.3">
      <c r="B6626" s="4"/>
    </row>
    <row r="6627" spans="2:2" x14ac:dyDescent="0.3">
      <c r="B6627" s="4"/>
    </row>
    <row r="6628" spans="2:2" x14ac:dyDescent="0.3">
      <c r="B6628" s="4"/>
    </row>
    <row r="6629" spans="2:2" x14ac:dyDescent="0.3">
      <c r="B6629" s="4"/>
    </row>
    <row r="6630" spans="2:2" x14ac:dyDescent="0.3">
      <c r="B6630" s="4"/>
    </row>
    <row r="6631" spans="2:2" x14ac:dyDescent="0.3">
      <c r="B6631" s="4"/>
    </row>
    <row r="6632" spans="2:2" x14ac:dyDescent="0.3">
      <c r="B6632" s="4"/>
    </row>
    <row r="6633" spans="2:2" x14ac:dyDescent="0.3">
      <c r="B6633" s="4"/>
    </row>
    <row r="6634" spans="2:2" x14ac:dyDescent="0.3">
      <c r="B6634" s="4"/>
    </row>
    <row r="6635" spans="2:2" x14ac:dyDescent="0.3">
      <c r="B6635" s="4"/>
    </row>
    <row r="6636" spans="2:2" x14ac:dyDescent="0.3">
      <c r="B6636" s="4"/>
    </row>
    <row r="6637" spans="2:2" x14ac:dyDescent="0.3">
      <c r="B6637" s="4"/>
    </row>
    <row r="6638" spans="2:2" x14ac:dyDescent="0.3">
      <c r="B6638" s="4"/>
    </row>
    <row r="6639" spans="2:2" x14ac:dyDescent="0.3">
      <c r="B6639" s="4"/>
    </row>
    <row r="6640" spans="2:2" x14ac:dyDescent="0.3">
      <c r="B6640" s="4"/>
    </row>
    <row r="6641" spans="2:2" x14ac:dyDescent="0.3">
      <c r="B6641" s="4"/>
    </row>
    <row r="6642" spans="2:2" x14ac:dyDescent="0.3">
      <c r="B6642" s="4"/>
    </row>
    <row r="6643" spans="2:2" x14ac:dyDescent="0.3">
      <c r="B6643" s="4"/>
    </row>
    <row r="6644" spans="2:2" x14ac:dyDescent="0.3">
      <c r="B6644" s="4"/>
    </row>
    <row r="6645" spans="2:2" x14ac:dyDescent="0.3">
      <c r="B6645" s="4"/>
    </row>
    <row r="6646" spans="2:2" x14ac:dyDescent="0.3">
      <c r="B6646" s="4"/>
    </row>
    <row r="6647" spans="2:2" x14ac:dyDescent="0.3">
      <c r="B6647" s="4"/>
    </row>
    <row r="6648" spans="2:2" x14ac:dyDescent="0.3">
      <c r="B6648" s="4"/>
    </row>
    <row r="6649" spans="2:2" x14ac:dyDescent="0.3">
      <c r="B6649" s="4"/>
    </row>
    <row r="6650" spans="2:2" x14ac:dyDescent="0.3">
      <c r="B6650" s="4"/>
    </row>
    <row r="6651" spans="2:2" x14ac:dyDescent="0.3">
      <c r="B6651" s="4"/>
    </row>
    <row r="6652" spans="2:2" x14ac:dyDescent="0.3">
      <c r="B6652" s="4"/>
    </row>
    <row r="6653" spans="2:2" x14ac:dyDescent="0.3">
      <c r="B6653" s="4"/>
    </row>
    <row r="6654" spans="2:2" x14ac:dyDescent="0.3">
      <c r="B6654" s="4"/>
    </row>
    <row r="6655" spans="2:2" x14ac:dyDescent="0.3">
      <c r="B6655" s="4"/>
    </row>
    <row r="6656" spans="2:2" x14ac:dyDescent="0.3">
      <c r="B6656" s="4"/>
    </row>
    <row r="6657" spans="2:2" x14ac:dyDescent="0.3">
      <c r="B6657" s="4"/>
    </row>
    <row r="6658" spans="2:2" x14ac:dyDescent="0.3">
      <c r="B6658" s="4"/>
    </row>
    <row r="6659" spans="2:2" x14ac:dyDescent="0.3">
      <c r="B6659" s="4"/>
    </row>
    <row r="6660" spans="2:2" x14ac:dyDescent="0.3">
      <c r="B6660" s="4"/>
    </row>
    <row r="6661" spans="2:2" x14ac:dyDescent="0.3">
      <c r="B6661" s="4"/>
    </row>
    <row r="6662" spans="2:2" x14ac:dyDescent="0.3">
      <c r="B6662" s="4"/>
    </row>
    <row r="6663" spans="2:2" x14ac:dyDescent="0.3">
      <c r="B6663" s="4"/>
    </row>
    <row r="6664" spans="2:2" x14ac:dyDescent="0.3">
      <c r="B6664" s="4"/>
    </row>
    <row r="6665" spans="2:2" x14ac:dyDescent="0.3">
      <c r="B6665" s="4"/>
    </row>
    <row r="6666" spans="2:2" x14ac:dyDescent="0.3">
      <c r="B6666" s="4"/>
    </row>
    <row r="6667" spans="2:2" x14ac:dyDescent="0.3">
      <c r="B6667" s="4"/>
    </row>
    <row r="6668" spans="2:2" x14ac:dyDescent="0.3">
      <c r="B6668" s="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5</vt:i4>
      </vt:variant>
    </vt:vector>
  </HeadingPairs>
  <TitlesOfParts>
    <vt:vector size="8" baseType="lpstr">
      <vt:lpstr>graph</vt:lpstr>
      <vt:lpstr>raw</vt:lpstr>
      <vt:lpstr>code</vt:lpstr>
      <vt:lpstr>code!excelcode_klat_1</vt:lpstr>
      <vt:lpstr>code!excelcode_klat_2</vt:lpstr>
      <vt:lpstr>code!excelcode_klat_3</vt:lpstr>
      <vt:lpstr>code!excelcode_klat_4</vt:lpstr>
      <vt:lpstr>code!excelcode_klat_5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infomax</cp:lastModifiedBy>
  <dcterms:created xsi:type="dcterms:W3CDTF">2020-02-07T07:37:06Z</dcterms:created>
  <dcterms:modified xsi:type="dcterms:W3CDTF">2023-01-25T02:23:08Z</dcterms:modified>
</cp:coreProperties>
</file>