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480" yWindow="15" windowWidth="12345" windowHeight="5625"/>
  </bookViews>
  <sheets>
    <sheet name="재무제표비교" sheetId="1" r:id="rId1"/>
    <sheet name="업종분류" sheetId="2" r:id="rId2"/>
  </sheets>
  <calcPr calcId="145621"/>
</workbook>
</file>

<file path=xl/calcChain.xml><?xml version="1.0" encoding="utf-8"?>
<calcChain xmlns="http://schemas.openxmlformats.org/spreadsheetml/2006/main">
  <c r="C6" i="1" l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L8" i="1"/>
  <c r="L7" i="1" s="1"/>
  <c r="Q5" i="1"/>
  <c r="P3" i="1" l="1"/>
  <c r="AC6" i="1"/>
  <c r="P7" i="1"/>
  <c r="U7" i="1"/>
  <c r="V7" i="1"/>
  <c r="W7" i="1"/>
  <c r="T7" i="1"/>
  <c r="Y7" i="1"/>
  <c r="Z7" i="1"/>
  <c r="AA7" i="1"/>
  <c r="X7" i="1"/>
  <c r="N7" i="1"/>
  <c r="O7" i="1"/>
  <c r="M7" i="1"/>
  <c r="Q7" i="1"/>
  <c r="R7" i="1"/>
  <c r="S7" i="1"/>
  <c r="AA4" i="1" l="1"/>
  <c r="W4" i="1"/>
  <c r="S4" i="1"/>
  <c r="O4" i="1"/>
  <c r="Z4" i="1"/>
  <c r="V4" i="1"/>
  <c r="R4" i="1"/>
  <c r="N4" i="1"/>
  <c r="Y4" i="1"/>
  <c r="U4" i="1"/>
  <c r="Q4" i="1"/>
  <c r="X4" i="1"/>
  <c r="T4" i="1"/>
  <c r="P4" i="1"/>
  <c r="M4" i="1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N28" i="2" s="1"/>
  <c r="AL29" i="2"/>
  <c r="AN29" i="2" s="1"/>
  <c r="AL30" i="2"/>
  <c r="AL31" i="2"/>
  <c r="AN31" i="2" s="1"/>
  <c r="AL32" i="2"/>
  <c r="AN32" i="2" s="1"/>
  <c r="AL33" i="2"/>
  <c r="AN33" i="2" s="1"/>
  <c r="AL34" i="2"/>
  <c r="AL35" i="2"/>
  <c r="AN35" i="2" s="1"/>
  <c r="AL36" i="2"/>
  <c r="AN36" i="2" s="1"/>
  <c r="AL37" i="2"/>
  <c r="AN37" i="2" s="1"/>
  <c r="AL38" i="2"/>
  <c r="AL39" i="2"/>
  <c r="AN39" i="2" s="1"/>
  <c r="AL40" i="2"/>
  <c r="AN40" i="2" s="1"/>
  <c r="AL41" i="2"/>
  <c r="AN41" i="2" s="1"/>
  <c r="AL42" i="2"/>
  <c r="AL43" i="2"/>
  <c r="AN43" i="2" s="1"/>
  <c r="AL44" i="2"/>
  <c r="AN44" i="2" s="1"/>
  <c r="AL45" i="2"/>
  <c r="AN45" i="2" s="1"/>
  <c r="AL46" i="2"/>
  <c r="AL47" i="2"/>
  <c r="AN47" i="2" s="1"/>
  <c r="AL48" i="2"/>
  <c r="AN48" i="2" s="1"/>
  <c r="AL49" i="2"/>
  <c r="AN49" i="2" s="1"/>
  <c r="AL50" i="2"/>
  <c r="AL51" i="2"/>
  <c r="AN51" i="2" s="1"/>
  <c r="AL52" i="2"/>
  <c r="AN52" i="2" s="1"/>
  <c r="AL53" i="2"/>
  <c r="AN53" i="2" s="1"/>
  <c r="AL54" i="2"/>
  <c r="AL55" i="2"/>
  <c r="AN55" i="2" s="1"/>
  <c r="AL56" i="2"/>
  <c r="AN56" i="2" s="1"/>
  <c r="AL57" i="2"/>
  <c r="AN57" i="2" s="1"/>
  <c r="AL58" i="2"/>
  <c r="AL59" i="2"/>
  <c r="AN59" i="2" s="1"/>
  <c r="AL60" i="2"/>
  <c r="AN60" i="2" s="1"/>
  <c r="AL61" i="2"/>
  <c r="AN61" i="2" s="1"/>
  <c r="AL62" i="2"/>
  <c r="AL63" i="2"/>
  <c r="AN63" i="2" s="1"/>
  <c r="AL64" i="2"/>
  <c r="AN64" i="2" s="1"/>
  <c r="AL65" i="2"/>
  <c r="AN65" i="2" s="1"/>
  <c r="AL66" i="2"/>
  <c r="AL67" i="2"/>
  <c r="AN67" i="2" s="1"/>
  <c r="AL68" i="2"/>
  <c r="AN68" i="2" s="1"/>
  <c r="AL69" i="2"/>
  <c r="AN69" i="2" s="1"/>
  <c r="AL70" i="2"/>
  <c r="AL71" i="2"/>
  <c r="AN71" i="2" s="1"/>
  <c r="AL72" i="2"/>
  <c r="AN72" i="2" s="1"/>
  <c r="AL73" i="2"/>
  <c r="AN73" i="2" s="1"/>
  <c r="AL74" i="2"/>
  <c r="AL75" i="2"/>
  <c r="AN75" i="2" s="1"/>
  <c r="AL76" i="2"/>
  <c r="AN76" i="2" s="1"/>
  <c r="AL77" i="2"/>
  <c r="AN77" i="2" s="1"/>
  <c r="AL78" i="2"/>
  <c r="AL79" i="2"/>
  <c r="AN79" i="2" s="1"/>
  <c r="AL80" i="2"/>
  <c r="AN80" i="2" s="1"/>
  <c r="AL81" i="2"/>
  <c r="AN81" i="2" s="1"/>
  <c r="AL82" i="2"/>
  <c r="AL83" i="2"/>
  <c r="AN83" i="2" s="1"/>
  <c r="AL84" i="2"/>
  <c r="AN84" i="2" s="1"/>
  <c r="AL85" i="2"/>
  <c r="AN85" i="2" s="1"/>
  <c r="AL86" i="2"/>
  <c r="AL87" i="2"/>
  <c r="AN87" i="2" s="1"/>
  <c r="AL88" i="2"/>
  <c r="AN88" i="2" s="1"/>
  <c r="AL89" i="2"/>
  <c r="AN89" i="2" s="1"/>
  <c r="AL90" i="2"/>
  <c r="AL91" i="2"/>
  <c r="AN91" i="2" s="1"/>
  <c r="AL92" i="2"/>
  <c r="AN92" i="2" s="1"/>
  <c r="AL93" i="2"/>
  <c r="AN93" i="2" s="1"/>
  <c r="AL94" i="2"/>
  <c r="AL95" i="2"/>
  <c r="AN95" i="2" s="1"/>
  <c r="AL96" i="2"/>
  <c r="AN96" i="2" s="1"/>
  <c r="AL97" i="2"/>
  <c r="AN97" i="2" s="1"/>
  <c r="AL98" i="2"/>
  <c r="AL99" i="2"/>
  <c r="AN99" i="2" s="1"/>
  <c r="AL100" i="2"/>
  <c r="AN100" i="2" s="1"/>
  <c r="AL101" i="2"/>
  <c r="AN101" i="2" s="1"/>
  <c r="AL102" i="2"/>
  <c r="AL103" i="2"/>
  <c r="AN103" i="2" s="1"/>
  <c r="AL104" i="2"/>
  <c r="AN104" i="2" s="1"/>
  <c r="AL105" i="2"/>
  <c r="AN105" i="2" s="1"/>
  <c r="AL106" i="2"/>
  <c r="AL107" i="2"/>
  <c r="AN107" i="2" s="1"/>
  <c r="AL108" i="2"/>
  <c r="AN108" i="2" s="1"/>
  <c r="AL109" i="2"/>
  <c r="AN109" i="2" s="1"/>
  <c r="AL110" i="2"/>
  <c r="AL111" i="2"/>
  <c r="AN111" i="2" s="1"/>
  <c r="AL112" i="2"/>
  <c r="AN112" i="2" s="1"/>
  <c r="AL113" i="2"/>
  <c r="AN113" i="2" s="1"/>
  <c r="AL114" i="2"/>
  <c r="AL115" i="2"/>
  <c r="AN115" i="2" s="1"/>
  <c r="AL116" i="2"/>
  <c r="AN116" i="2" s="1"/>
  <c r="AL117" i="2"/>
  <c r="AN117" i="2" s="1"/>
  <c r="AL118" i="2"/>
  <c r="AL119" i="2"/>
  <c r="AN119" i="2" s="1"/>
  <c r="AL120" i="2"/>
  <c r="AN120" i="2" s="1"/>
  <c r="AL121" i="2"/>
  <c r="AN121" i="2" s="1"/>
  <c r="AL122" i="2"/>
  <c r="AL123" i="2"/>
  <c r="AN123" i="2" s="1"/>
  <c r="AL124" i="2"/>
  <c r="AN124" i="2" s="1"/>
  <c r="AL125" i="2"/>
  <c r="AN125" i="2" s="1"/>
  <c r="AL126" i="2"/>
  <c r="AL127" i="2"/>
  <c r="AN127" i="2" s="1"/>
  <c r="AL128" i="2"/>
  <c r="AN128" i="2" s="1"/>
  <c r="AL129" i="2"/>
  <c r="AN129" i="2" s="1"/>
  <c r="AL130" i="2"/>
  <c r="AL131" i="2"/>
  <c r="AN131" i="2" s="1"/>
  <c r="AL132" i="2"/>
  <c r="AN132" i="2" s="1"/>
  <c r="AL133" i="2"/>
  <c r="AN133" i="2" s="1"/>
  <c r="AL134" i="2"/>
  <c r="AL135" i="2"/>
  <c r="AN135" i="2" s="1"/>
  <c r="AL136" i="2"/>
  <c r="AN136" i="2" s="1"/>
  <c r="AL137" i="2"/>
  <c r="AN137" i="2" s="1"/>
  <c r="AL138" i="2"/>
  <c r="AL139" i="2"/>
  <c r="AN139" i="2" s="1"/>
  <c r="AL140" i="2"/>
  <c r="AN140" i="2" s="1"/>
  <c r="AL141" i="2"/>
  <c r="AN141" i="2" s="1"/>
  <c r="AL142" i="2"/>
  <c r="AL143" i="2"/>
  <c r="AN143" i="2" s="1"/>
  <c r="AL144" i="2"/>
  <c r="AN144" i="2" s="1"/>
  <c r="AL145" i="2"/>
  <c r="AN145" i="2" s="1"/>
  <c r="AL146" i="2"/>
  <c r="AL147" i="2"/>
  <c r="AN147" i="2" s="1"/>
  <c r="AL148" i="2"/>
  <c r="AN148" i="2" s="1"/>
  <c r="AL149" i="2"/>
  <c r="AN149" i="2" s="1"/>
  <c r="AL150" i="2"/>
  <c r="AL151" i="2"/>
  <c r="AN151" i="2" s="1"/>
  <c r="AL152" i="2"/>
  <c r="AN152" i="2" s="1"/>
  <c r="AL153" i="2"/>
  <c r="AN153" i="2" s="1"/>
  <c r="AL154" i="2"/>
  <c r="AL155" i="2"/>
  <c r="AN155" i="2" s="1"/>
  <c r="AL156" i="2"/>
  <c r="AN156" i="2" s="1"/>
  <c r="AL157" i="2"/>
  <c r="AN157" i="2" s="1"/>
  <c r="AL158" i="2"/>
  <c r="AL159" i="2"/>
  <c r="AL160" i="2"/>
  <c r="AN160" i="2" s="1"/>
  <c r="AL161" i="2"/>
  <c r="AN161" i="2" s="1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M338" i="2" s="1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M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H86" i="2" s="1"/>
  <c r="AF87" i="2"/>
  <c r="AH87" i="2" s="1"/>
  <c r="AF88" i="2"/>
  <c r="AF89" i="2"/>
  <c r="AF90" i="2"/>
  <c r="AF91" i="2"/>
  <c r="AF92" i="2"/>
  <c r="AF93" i="2"/>
  <c r="AF94" i="2"/>
  <c r="AH94" i="2" s="1"/>
  <c r="AF95" i="2"/>
  <c r="AH95" i="2" s="1"/>
  <c r="AF96" i="2"/>
  <c r="AF97" i="2"/>
  <c r="AF98" i="2"/>
  <c r="AF99" i="2"/>
  <c r="AF100" i="2"/>
  <c r="AF101" i="2"/>
  <c r="AF102" i="2"/>
  <c r="AH102" i="2" s="1"/>
  <c r="AF103" i="2"/>
  <c r="AH103" i="2" s="1"/>
  <c r="AF104" i="2"/>
  <c r="AF105" i="2"/>
  <c r="AF106" i="2"/>
  <c r="AF107" i="2"/>
  <c r="AF108" i="2"/>
  <c r="AF109" i="2"/>
  <c r="AF110" i="2"/>
  <c r="AH110" i="2" s="1"/>
  <c r="AF111" i="2"/>
  <c r="AH111" i="2" s="1"/>
  <c r="AF112" i="2"/>
  <c r="AF113" i="2"/>
  <c r="AF114" i="2"/>
  <c r="AF115" i="2"/>
  <c r="AF116" i="2"/>
  <c r="AF117" i="2"/>
  <c r="AF118" i="2"/>
  <c r="AH118" i="2" s="1"/>
  <c r="AF119" i="2"/>
  <c r="AH119" i="2" s="1"/>
  <c r="AF120" i="2"/>
  <c r="AF121" i="2"/>
  <c r="AF122" i="2"/>
  <c r="AF123" i="2"/>
  <c r="AF124" i="2"/>
  <c r="AF125" i="2"/>
  <c r="AF126" i="2"/>
  <c r="AH126" i="2" s="1"/>
  <c r="AF127" i="2"/>
  <c r="AH127" i="2" s="1"/>
  <c r="AF128" i="2"/>
  <c r="AF129" i="2"/>
  <c r="AF130" i="2"/>
  <c r="AF131" i="2"/>
  <c r="AF132" i="2"/>
  <c r="AF133" i="2"/>
  <c r="AF134" i="2"/>
  <c r="AH134" i="2" s="1"/>
  <c r="AF135" i="2"/>
  <c r="AH135" i="2" s="1"/>
  <c r="AF136" i="2"/>
  <c r="AF137" i="2"/>
  <c r="AF138" i="2"/>
  <c r="AF139" i="2"/>
  <c r="AF140" i="2"/>
  <c r="AF141" i="2"/>
  <c r="AF142" i="2"/>
  <c r="AH142" i="2" s="1"/>
  <c r="AF143" i="2"/>
  <c r="AH143" i="2" s="1"/>
  <c r="AF144" i="2"/>
  <c r="AF145" i="2"/>
  <c r="AF146" i="2"/>
  <c r="AF147" i="2"/>
  <c r="AF148" i="2"/>
  <c r="AF149" i="2"/>
  <c r="AF150" i="2"/>
  <c r="AH150" i="2" s="1"/>
  <c r="AF151" i="2"/>
  <c r="AH151" i="2" s="1"/>
  <c r="AF152" i="2"/>
  <c r="AF153" i="2"/>
  <c r="AF154" i="2"/>
  <c r="AF155" i="2"/>
  <c r="AF156" i="2"/>
  <c r="AF157" i="2"/>
  <c r="AF158" i="2"/>
  <c r="AH158" i="2" s="1"/>
  <c r="AF159" i="2"/>
  <c r="AH159" i="2" s="1"/>
  <c r="AF160" i="2"/>
  <c r="AF161" i="2"/>
  <c r="AF162" i="2"/>
  <c r="AF163" i="2"/>
  <c r="AF164" i="2"/>
  <c r="AF165" i="2"/>
  <c r="AF166" i="2"/>
  <c r="AH166" i="2" s="1"/>
  <c r="AF167" i="2"/>
  <c r="AH167" i="2" s="1"/>
  <c r="AF168" i="2"/>
  <c r="AF169" i="2"/>
  <c r="AF170" i="2"/>
  <c r="AF171" i="2"/>
  <c r="AF172" i="2"/>
  <c r="AF173" i="2"/>
  <c r="AF174" i="2"/>
  <c r="AH174" i="2" s="1"/>
  <c r="AF175" i="2"/>
  <c r="AH175" i="2" s="1"/>
  <c r="AF176" i="2"/>
  <c r="AF177" i="2"/>
  <c r="AF178" i="2"/>
  <c r="AF179" i="2"/>
  <c r="AF180" i="2"/>
  <c r="AF181" i="2"/>
  <c r="AF182" i="2"/>
  <c r="AH182" i="2" s="1"/>
  <c r="AF183" i="2"/>
  <c r="AH183" i="2" s="1"/>
  <c r="AF184" i="2"/>
  <c r="AF185" i="2"/>
  <c r="AF186" i="2"/>
  <c r="AF187" i="2"/>
  <c r="AF188" i="2"/>
  <c r="AF189" i="2"/>
  <c r="AF190" i="2"/>
  <c r="AH190" i="2" s="1"/>
  <c r="AF191" i="2"/>
  <c r="AH191" i="2" s="1"/>
  <c r="AF192" i="2"/>
  <c r="AF193" i="2"/>
  <c r="AF194" i="2"/>
  <c r="AF195" i="2"/>
  <c r="AF196" i="2"/>
  <c r="AF197" i="2"/>
  <c r="AF198" i="2"/>
  <c r="AH198" i="2" s="1"/>
  <c r="AF199" i="2"/>
  <c r="AH199" i="2" s="1"/>
  <c r="AF200" i="2"/>
  <c r="AF201" i="2"/>
  <c r="AF202" i="2"/>
  <c r="AF203" i="2"/>
  <c r="AF204" i="2"/>
  <c r="AF205" i="2"/>
  <c r="AF206" i="2"/>
  <c r="AH206" i="2" s="1"/>
  <c r="AF207" i="2"/>
  <c r="AH207" i="2" s="1"/>
  <c r="AF208" i="2"/>
  <c r="AF209" i="2"/>
  <c r="AF210" i="2"/>
  <c r="AF211" i="2"/>
  <c r="AF212" i="2"/>
  <c r="AF213" i="2"/>
  <c r="AF214" i="2"/>
  <c r="AH214" i="2" s="1"/>
  <c r="AF215" i="2"/>
  <c r="AH215" i="2" s="1"/>
  <c r="AF216" i="2"/>
  <c r="AF217" i="2"/>
  <c r="AF218" i="2"/>
  <c r="AF219" i="2"/>
  <c r="AF220" i="2"/>
  <c r="AF221" i="2"/>
  <c r="AF222" i="2"/>
  <c r="AH222" i="2" s="1"/>
  <c r="AF223" i="2"/>
  <c r="AH223" i="2" s="1"/>
  <c r="AF224" i="2"/>
  <c r="AF225" i="2"/>
  <c r="AF226" i="2"/>
  <c r="AF227" i="2"/>
  <c r="AF228" i="2"/>
  <c r="AF229" i="2"/>
  <c r="AF230" i="2"/>
  <c r="AH230" i="2" s="1"/>
  <c r="AF231" i="2"/>
  <c r="AH231" i="2" s="1"/>
  <c r="AF232" i="2"/>
  <c r="AF233" i="2"/>
  <c r="AF234" i="2"/>
  <c r="AF235" i="2"/>
  <c r="AF236" i="2"/>
  <c r="AF237" i="2"/>
  <c r="AF238" i="2"/>
  <c r="AH238" i="2" s="1"/>
  <c r="AF239" i="2"/>
  <c r="AH239" i="2" s="1"/>
  <c r="AF240" i="2"/>
  <c r="AF241" i="2"/>
  <c r="AF242" i="2"/>
  <c r="AF243" i="2"/>
  <c r="AF244" i="2"/>
  <c r="AF245" i="2"/>
  <c r="AF246" i="2"/>
  <c r="AH246" i="2" s="1"/>
  <c r="AF247" i="2"/>
  <c r="AH247" i="2" s="1"/>
  <c r="AF248" i="2"/>
  <c r="AF249" i="2"/>
  <c r="AF250" i="2"/>
  <c r="AF251" i="2"/>
  <c r="AF252" i="2"/>
  <c r="AF253" i="2"/>
  <c r="AF254" i="2"/>
  <c r="AH254" i="2" s="1"/>
  <c r="AF255" i="2"/>
  <c r="AH255" i="2" s="1"/>
  <c r="AF256" i="2"/>
  <c r="AF257" i="2"/>
  <c r="AF258" i="2"/>
  <c r="AF259" i="2"/>
  <c r="AF260" i="2"/>
  <c r="AF261" i="2"/>
  <c r="AF262" i="2"/>
  <c r="AH262" i="2" s="1"/>
  <c r="AF263" i="2"/>
  <c r="AH263" i="2" s="1"/>
  <c r="AF264" i="2"/>
  <c r="AF265" i="2"/>
  <c r="AF266" i="2"/>
  <c r="AF267" i="2"/>
  <c r="AF268" i="2"/>
  <c r="AF269" i="2"/>
  <c r="AF270" i="2"/>
  <c r="AH270" i="2" s="1"/>
  <c r="AF271" i="2"/>
  <c r="AH271" i="2" s="1"/>
  <c r="AF272" i="2"/>
  <c r="AF273" i="2"/>
  <c r="AF274" i="2"/>
  <c r="AF275" i="2"/>
  <c r="AF276" i="2"/>
  <c r="AF277" i="2"/>
  <c r="AF278" i="2"/>
  <c r="AH278" i="2" s="1"/>
  <c r="AF279" i="2"/>
  <c r="AH279" i="2" s="1"/>
  <c r="AF280" i="2"/>
  <c r="AF281" i="2"/>
  <c r="AF282" i="2"/>
  <c r="AF283" i="2"/>
  <c r="AF284" i="2"/>
  <c r="AF285" i="2"/>
  <c r="AF286" i="2"/>
  <c r="AH286" i="2" s="1"/>
  <c r="AF287" i="2"/>
  <c r="AH287" i="2" s="1"/>
  <c r="AF288" i="2"/>
  <c r="AF289" i="2"/>
  <c r="AF290" i="2"/>
  <c r="AF291" i="2"/>
  <c r="AF292" i="2"/>
  <c r="AF293" i="2"/>
  <c r="AF294" i="2"/>
  <c r="AH294" i="2" s="1"/>
  <c r="AF295" i="2"/>
  <c r="AH295" i="2" s="1"/>
  <c r="AF296" i="2"/>
  <c r="AF297" i="2"/>
  <c r="AF298" i="2"/>
  <c r="AF299" i="2"/>
  <c r="AF300" i="2"/>
  <c r="AF301" i="2"/>
  <c r="AF302" i="2"/>
  <c r="AH302" i="2" s="1"/>
  <c r="AF303" i="2"/>
  <c r="AH303" i="2" s="1"/>
  <c r="AF304" i="2"/>
  <c r="AF305" i="2"/>
  <c r="AF306" i="2"/>
  <c r="AF307" i="2"/>
  <c r="AF308" i="2"/>
  <c r="AF309" i="2"/>
  <c r="AF310" i="2"/>
  <c r="AH310" i="2" s="1"/>
  <c r="AF311" i="2"/>
  <c r="AH311" i="2" s="1"/>
  <c r="AF312" i="2"/>
  <c r="AF313" i="2"/>
  <c r="AF314" i="2"/>
  <c r="AF315" i="2"/>
  <c r="AF316" i="2"/>
  <c r="AF317" i="2"/>
  <c r="AF318" i="2"/>
  <c r="AF319" i="2"/>
  <c r="AF320" i="2"/>
  <c r="AF321" i="2"/>
  <c r="AF322" i="2"/>
  <c r="AH322" i="2" s="1"/>
  <c r="AF323" i="2"/>
  <c r="AF324" i="2"/>
  <c r="AF325" i="2"/>
  <c r="AF326" i="2"/>
  <c r="AH326" i="2" s="1"/>
  <c r="AF327" i="2"/>
  <c r="AH327" i="2" s="1"/>
  <c r="AF328" i="2"/>
  <c r="AF329" i="2"/>
  <c r="AF330" i="2"/>
  <c r="AF331" i="2"/>
  <c r="AF332" i="2"/>
  <c r="AF333" i="2"/>
  <c r="AF334" i="2"/>
  <c r="AF335" i="2"/>
  <c r="AF336" i="2"/>
  <c r="AF337" i="2"/>
  <c r="AF338" i="2"/>
  <c r="AH338" i="2" s="1"/>
  <c r="AF339" i="2"/>
  <c r="AF340" i="2"/>
  <c r="AF341" i="2"/>
  <c r="AF342" i="2"/>
  <c r="AH342" i="2" s="1"/>
  <c r="AF343" i="2"/>
  <c r="AH343" i="2" s="1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AA55" i="2" s="1"/>
  <c r="Z56" i="2"/>
  <c r="Z57" i="2"/>
  <c r="Z58" i="2"/>
  <c r="Z59" i="2"/>
  <c r="AA59" i="2" s="1"/>
  <c r="Z60" i="2"/>
  <c r="Z61" i="2"/>
  <c r="Z62" i="2"/>
  <c r="Z63" i="2"/>
  <c r="AA63" i="2" s="1"/>
  <c r="Z64" i="2"/>
  <c r="Z65" i="2"/>
  <c r="Z66" i="2"/>
  <c r="Z67" i="2"/>
  <c r="AA67" i="2" s="1"/>
  <c r="Z68" i="2"/>
  <c r="Z69" i="2"/>
  <c r="Z70" i="2"/>
  <c r="Z71" i="2"/>
  <c r="AA71" i="2" s="1"/>
  <c r="Z72" i="2"/>
  <c r="Z73" i="2"/>
  <c r="Z74" i="2"/>
  <c r="Z75" i="2"/>
  <c r="AA75" i="2" s="1"/>
  <c r="Z76" i="2"/>
  <c r="Z77" i="2"/>
  <c r="Z78" i="2"/>
  <c r="Z79" i="2"/>
  <c r="Z80" i="2"/>
  <c r="Z81" i="2"/>
  <c r="Z82" i="2"/>
  <c r="Z83" i="2"/>
  <c r="AA83" i="2" s="1"/>
  <c r="Z84" i="2"/>
  <c r="Z85" i="2"/>
  <c r="Z86" i="2"/>
  <c r="Z87" i="2"/>
  <c r="AA87" i="2" s="1"/>
  <c r="Z88" i="2"/>
  <c r="Z89" i="2"/>
  <c r="Z90" i="2"/>
  <c r="Z91" i="2"/>
  <c r="Z92" i="2"/>
  <c r="Z93" i="2"/>
  <c r="Z94" i="2"/>
  <c r="Z95" i="2"/>
  <c r="AA95" i="2" s="1"/>
  <c r="Z96" i="2"/>
  <c r="Z97" i="2"/>
  <c r="Z98" i="2"/>
  <c r="Z99" i="2"/>
  <c r="AA99" i="2" s="1"/>
  <c r="Z100" i="2"/>
  <c r="Z101" i="2"/>
  <c r="Z102" i="2"/>
  <c r="Z103" i="2"/>
  <c r="AA103" i="2" s="1"/>
  <c r="Z104" i="2"/>
  <c r="Z105" i="2"/>
  <c r="Z106" i="2"/>
  <c r="Z107" i="2"/>
  <c r="AA107" i="2" s="1"/>
  <c r="Z108" i="2"/>
  <c r="Z109" i="2"/>
  <c r="Z110" i="2"/>
  <c r="Z111" i="2"/>
  <c r="Z112" i="2"/>
  <c r="Z113" i="2"/>
  <c r="Z114" i="2"/>
  <c r="Z115" i="2"/>
  <c r="AA115" i="2" s="1"/>
  <c r="Z116" i="2"/>
  <c r="Z117" i="2"/>
  <c r="Z118" i="2"/>
  <c r="Z119" i="2"/>
  <c r="AA119" i="2" s="1"/>
  <c r="Z120" i="2"/>
  <c r="Z121" i="2"/>
  <c r="Z122" i="2"/>
  <c r="Z123" i="2"/>
  <c r="Z124" i="2"/>
  <c r="Z125" i="2"/>
  <c r="Z126" i="2"/>
  <c r="Z127" i="2"/>
  <c r="AA127" i="2" s="1"/>
  <c r="Z128" i="2"/>
  <c r="Z129" i="2"/>
  <c r="Z130" i="2"/>
  <c r="Z131" i="2"/>
  <c r="AA131" i="2" s="1"/>
  <c r="Z132" i="2"/>
  <c r="Z133" i="2"/>
  <c r="Z134" i="2"/>
  <c r="Z135" i="2"/>
  <c r="AA135" i="2" s="1"/>
  <c r="Z136" i="2"/>
  <c r="Z137" i="2"/>
  <c r="Z138" i="2"/>
  <c r="Z139" i="2"/>
  <c r="AA139" i="2" s="1"/>
  <c r="Z140" i="2"/>
  <c r="Z141" i="2"/>
  <c r="Z142" i="2"/>
  <c r="Z143" i="2"/>
  <c r="Z144" i="2"/>
  <c r="Z145" i="2"/>
  <c r="Z146" i="2"/>
  <c r="Z147" i="2"/>
  <c r="AA147" i="2" s="1"/>
  <c r="Z148" i="2"/>
  <c r="Z149" i="2"/>
  <c r="Z150" i="2"/>
  <c r="Z151" i="2"/>
  <c r="AA151" i="2" s="1"/>
  <c r="Z152" i="2"/>
  <c r="Z153" i="2"/>
  <c r="Z154" i="2"/>
  <c r="Z155" i="2"/>
  <c r="Z156" i="2"/>
  <c r="Z157" i="2"/>
  <c r="Z158" i="2"/>
  <c r="Z159" i="2"/>
  <c r="AA159" i="2" s="1"/>
  <c r="Z160" i="2"/>
  <c r="Z161" i="2"/>
  <c r="Z162" i="2"/>
  <c r="Z163" i="2"/>
  <c r="AA163" i="2" s="1"/>
  <c r="Z164" i="2"/>
  <c r="AA164" i="2" s="1"/>
  <c r="Z165" i="2"/>
  <c r="Z166" i="2"/>
  <c r="Z167" i="2"/>
  <c r="AA167" i="2" s="1"/>
  <c r="Z168" i="2"/>
  <c r="Z169" i="2"/>
  <c r="Z170" i="2"/>
  <c r="Z171" i="2"/>
  <c r="AA171" i="2" s="1"/>
  <c r="Z172" i="2"/>
  <c r="Z173" i="2"/>
  <c r="Z174" i="2"/>
  <c r="Z175" i="2"/>
  <c r="AA175" i="2" s="1"/>
  <c r="Z176" i="2"/>
  <c r="Z177" i="2"/>
  <c r="Z178" i="2"/>
  <c r="Z179" i="2"/>
  <c r="AA179" i="2" s="1"/>
  <c r="Z180" i="2"/>
  <c r="Z181" i="2"/>
  <c r="Z182" i="2"/>
  <c r="Z183" i="2"/>
  <c r="AA183" i="2" s="1"/>
  <c r="Z184" i="2"/>
  <c r="Z185" i="2"/>
  <c r="Z186" i="2"/>
  <c r="Z187" i="2"/>
  <c r="AA187" i="2" s="1"/>
  <c r="Z188" i="2"/>
  <c r="Z189" i="2"/>
  <c r="Z190" i="2"/>
  <c r="Z191" i="2"/>
  <c r="AA191" i="2" s="1"/>
  <c r="Z192" i="2"/>
  <c r="Z193" i="2"/>
  <c r="Z194" i="2"/>
  <c r="Z195" i="2"/>
  <c r="AA195" i="2" s="1"/>
  <c r="Z196" i="2"/>
  <c r="Z197" i="2"/>
  <c r="Z198" i="2"/>
  <c r="Z199" i="2"/>
  <c r="AA199" i="2" s="1"/>
  <c r="Z200" i="2"/>
  <c r="Z201" i="2"/>
  <c r="Z202" i="2"/>
  <c r="Z203" i="2"/>
  <c r="AA203" i="2" s="1"/>
  <c r="Z204" i="2"/>
  <c r="Z205" i="2"/>
  <c r="Z206" i="2"/>
  <c r="Z207" i="2"/>
  <c r="AA207" i="2" s="1"/>
  <c r="Z208" i="2"/>
  <c r="Z209" i="2"/>
  <c r="Z210" i="2"/>
  <c r="Z211" i="2"/>
  <c r="AA211" i="2" s="1"/>
  <c r="Z212" i="2"/>
  <c r="Z213" i="2"/>
  <c r="Z214" i="2"/>
  <c r="Z215" i="2"/>
  <c r="AA215" i="2" s="1"/>
  <c r="Z216" i="2"/>
  <c r="Z217" i="2"/>
  <c r="Z218" i="2"/>
  <c r="Z219" i="2"/>
  <c r="AA219" i="2" s="1"/>
  <c r="Z220" i="2"/>
  <c r="Z221" i="2"/>
  <c r="Z222" i="2"/>
  <c r="Z223" i="2"/>
  <c r="AA223" i="2" s="1"/>
  <c r="Z224" i="2"/>
  <c r="Z225" i="2"/>
  <c r="Z226" i="2"/>
  <c r="Z227" i="2"/>
  <c r="AA227" i="2" s="1"/>
  <c r="Z228" i="2"/>
  <c r="Z229" i="2"/>
  <c r="Z230" i="2"/>
  <c r="Z231" i="2"/>
  <c r="AA231" i="2" s="1"/>
  <c r="Z232" i="2"/>
  <c r="Z233" i="2"/>
  <c r="Z234" i="2"/>
  <c r="Z235" i="2"/>
  <c r="AA235" i="2" s="1"/>
  <c r="Z236" i="2"/>
  <c r="Z237" i="2"/>
  <c r="Z238" i="2"/>
  <c r="Z239" i="2"/>
  <c r="AA239" i="2" s="1"/>
  <c r="Z240" i="2"/>
  <c r="Z241" i="2"/>
  <c r="Z242" i="2"/>
  <c r="Z243" i="2"/>
  <c r="AA243" i="2" s="1"/>
  <c r="Z244" i="2"/>
  <c r="Z245" i="2"/>
  <c r="Z246" i="2"/>
  <c r="Z247" i="2"/>
  <c r="AA247" i="2" s="1"/>
  <c r="Z248" i="2"/>
  <c r="Z249" i="2"/>
  <c r="Z250" i="2"/>
  <c r="Z251" i="2"/>
  <c r="AA251" i="2" s="1"/>
  <c r="Z252" i="2"/>
  <c r="Z253" i="2"/>
  <c r="Z254" i="2"/>
  <c r="Z255" i="2"/>
  <c r="AA255" i="2" s="1"/>
  <c r="Z256" i="2"/>
  <c r="Z257" i="2"/>
  <c r="Z258" i="2"/>
  <c r="Z259" i="2"/>
  <c r="AA259" i="2" s="1"/>
  <c r="Z260" i="2"/>
  <c r="Z261" i="2"/>
  <c r="Z262" i="2"/>
  <c r="Z263" i="2"/>
  <c r="AA263" i="2" s="1"/>
  <c r="Z264" i="2"/>
  <c r="Z265" i="2"/>
  <c r="Z266" i="2"/>
  <c r="Z267" i="2"/>
  <c r="AA267" i="2" s="1"/>
  <c r="Z268" i="2"/>
  <c r="Z269" i="2"/>
  <c r="Z270" i="2"/>
  <c r="Z271" i="2"/>
  <c r="AA271" i="2" s="1"/>
  <c r="Z272" i="2"/>
  <c r="Z273" i="2"/>
  <c r="Z274" i="2"/>
  <c r="Z275" i="2"/>
  <c r="AA275" i="2" s="1"/>
  <c r="Z276" i="2"/>
  <c r="Z277" i="2"/>
  <c r="Z278" i="2"/>
  <c r="Z279" i="2"/>
  <c r="AA279" i="2" s="1"/>
  <c r="Z280" i="2"/>
  <c r="Z281" i="2"/>
  <c r="Z282" i="2"/>
  <c r="Z283" i="2"/>
  <c r="AA283" i="2" s="1"/>
  <c r="Z284" i="2"/>
  <c r="Z285" i="2"/>
  <c r="Z286" i="2"/>
  <c r="Z287" i="2"/>
  <c r="AA287" i="2" s="1"/>
  <c r="Z288" i="2"/>
  <c r="Z289" i="2"/>
  <c r="Z290" i="2"/>
  <c r="Z291" i="2"/>
  <c r="AA291" i="2" s="1"/>
  <c r="Z292" i="2"/>
  <c r="Z293" i="2"/>
  <c r="Z294" i="2"/>
  <c r="Z295" i="2"/>
  <c r="AA295" i="2" s="1"/>
  <c r="Z296" i="2"/>
  <c r="Z297" i="2"/>
  <c r="Z298" i="2"/>
  <c r="Z299" i="2"/>
  <c r="AA299" i="2" s="1"/>
  <c r="Z300" i="2"/>
  <c r="Z301" i="2"/>
  <c r="Z302" i="2"/>
  <c r="AA302" i="2" s="1"/>
  <c r="Z303" i="2"/>
  <c r="AA303" i="2" s="1"/>
  <c r="Z304" i="2"/>
  <c r="Z305" i="2"/>
  <c r="Z306" i="2"/>
  <c r="Z307" i="2"/>
  <c r="AA307" i="2" s="1"/>
  <c r="Z308" i="2"/>
  <c r="Z309" i="2"/>
  <c r="Z310" i="2"/>
  <c r="Z311" i="2"/>
  <c r="AA311" i="2" s="1"/>
  <c r="Z312" i="2"/>
  <c r="Z313" i="2"/>
  <c r="Z314" i="2"/>
  <c r="Z315" i="2"/>
  <c r="AA315" i="2" s="1"/>
  <c r="Z316" i="2"/>
  <c r="Z317" i="2"/>
  <c r="Z318" i="2"/>
  <c r="AA318" i="2" s="1"/>
  <c r="Z319" i="2"/>
  <c r="AA319" i="2" s="1"/>
  <c r="Z320" i="2"/>
  <c r="Z321" i="2"/>
  <c r="Z322" i="2"/>
  <c r="Z323" i="2"/>
  <c r="AA323" i="2" s="1"/>
  <c r="Z324" i="2"/>
  <c r="Z325" i="2"/>
  <c r="Z326" i="2"/>
  <c r="Z327" i="2"/>
  <c r="AA327" i="2" s="1"/>
  <c r="Z328" i="2"/>
  <c r="Z329" i="2"/>
  <c r="Z330" i="2"/>
  <c r="Z331" i="2"/>
  <c r="Z332" i="2"/>
  <c r="Z333" i="2"/>
  <c r="Z334" i="2"/>
  <c r="AA334" i="2" s="1"/>
  <c r="Z335" i="2"/>
  <c r="AA335" i="2" s="1"/>
  <c r="Z336" i="2"/>
  <c r="Z337" i="2"/>
  <c r="Z338" i="2"/>
  <c r="Z339" i="2"/>
  <c r="AA339" i="2" s="1"/>
  <c r="Z340" i="2"/>
  <c r="Z341" i="2"/>
  <c r="Z342" i="2"/>
  <c r="Z343" i="2"/>
  <c r="AA343" i="2" s="1"/>
  <c r="Z344" i="2"/>
  <c r="Z345" i="2"/>
  <c r="Z346" i="2"/>
  <c r="Z347" i="2"/>
  <c r="AA347" i="2" s="1"/>
  <c r="Z348" i="2"/>
  <c r="Z349" i="2"/>
  <c r="Z350" i="2"/>
  <c r="AA350" i="2" s="1"/>
  <c r="Z351" i="2"/>
  <c r="Z352" i="2"/>
  <c r="Z353" i="2"/>
  <c r="Z354" i="2"/>
  <c r="AA354" i="2" s="1"/>
  <c r="Z355" i="2"/>
  <c r="AA355" i="2" s="1"/>
  <c r="Z356" i="2"/>
  <c r="Z357" i="2"/>
  <c r="Z358" i="2"/>
  <c r="AA358" i="2" s="1"/>
  <c r="Z359" i="2"/>
  <c r="Z360" i="2"/>
  <c r="Z361" i="2"/>
  <c r="Z362" i="2"/>
  <c r="AA362" i="2" s="1"/>
  <c r="Z363" i="2"/>
  <c r="AA363" i="2" s="1"/>
  <c r="Z364" i="2"/>
  <c r="Z365" i="2"/>
  <c r="Z366" i="2"/>
  <c r="Z367" i="2"/>
  <c r="Z368" i="2"/>
  <c r="Z369" i="2"/>
  <c r="Z370" i="2"/>
  <c r="Z371" i="2"/>
  <c r="AA371" i="2" s="1"/>
  <c r="Z372" i="2"/>
  <c r="Z373" i="2"/>
  <c r="Z374" i="2"/>
  <c r="AA374" i="2" s="1"/>
  <c r="Z375" i="2"/>
  <c r="Z376" i="2"/>
  <c r="Z377" i="2"/>
  <c r="Z378" i="2"/>
  <c r="Z379" i="2"/>
  <c r="AA379" i="2" s="1"/>
  <c r="Z380" i="2"/>
  <c r="Z381" i="2"/>
  <c r="Z382" i="2"/>
  <c r="AA382" i="2" s="1"/>
  <c r="Z383" i="2"/>
  <c r="Z384" i="2"/>
  <c r="Z385" i="2"/>
  <c r="AA385" i="2" s="1"/>
  <c r="Z386" i="2"/>
  <c r="Z387" i="2"/>
  <c r="AA387" i="2" s="1"/>
  <c r="Z388" i="2"/>
  <c r="Z389" i="2"/>
  <c r="Z390" i="2"/>
  <c r="Z391" i="2"/>
  <c r="AA391" i="2" s="1"/>
  <c r="Z392" i="2"/>
  <c r="Z393" i="2"/>
  <c r="Z394" i="2"/>
  <c r="Z395" i="2"/>
  <c r="AA395" i="2" s="1"/>
  <c r="Z396" i="2"/>
  <c r="Z397" i="2"/>
  <c r="Z398" i="2"/>
  <c r="AA398" i="2" s="1"/>
  <c r="Z399" i="2"/>
  <c r="AA399" i="2" s="1"/>
  <c r="Z400" i="2"/>
  <c r="Z401" i="2"/>
  <c r="Z402" i="2"/>
  <c r="Z403" i="2"/>
  <c r="Z404" i="2"/>
  <c r="Z405" i="2"/>
  <c r="Z406" i="2"/>
  <c r="AA406" i="2" s="1"/>
  <c r="Z407" i="2"/>
  <c r="AA407" i="2" s="1"/>
  <c r="Z408" i="2"/>
  <c r="Z409" i="2"/>
  <c r="Z410" i="2"/>
  <c r="Z411" i="2"/>
  <c r="AA411" i="2" s="1"/>
  <c r="Z412" i="2"/>
  <c r="Z413" i="2"/>
  <c r="Z414" i="2"/>
  <c r="AA414" i="2" s="1"/>
  <c r="Z415" i="2"/>
  <c r="AA415" i="2" s="1"/>
  <c r="Z416" i="2"/>
  <c r="Z417" i="2"/>
  <c r="Z418" i="2"/>
  <c r="Z419" i="2"/>
  <c r="AA419" i="2" s="1"/>
  <c r="Z420" i="2"/>
  <c r="Z421" i="2"/>
  <c r="Z422" i="2"/>
  <c r="AA422" i="2" s="1"/>
  <c r="Z423" i="2"/>
  <c r="AA423" i="2" s="1"/>
  <c r="Z424" i="2"/>
  <c r="Z425" i="2"/>
  <c r="Z426" i="2"/>
  <c r="Z427" i="2"/>
  <c r="AA427" i="2" s="1"/>
  <c r="Z428" i="2"/>
  <c r="Z429" i="2"/>
  <c r="Z430" i="2"/>
  <c r="AA430" i="2" s="1"/>
  <c r="Z431" i="2"/>
  <c r="AA431" i="2" s="1"/>
  <c r="Z432" i="2"/>
  <c r="Z433" i="2"/>
  <c r="Z434" i="2"/>
  <c r="Z435" i="2"/>
  <c r="AA435" i="2" s="1"/>
  <c r="Z436" i="2"/>
  <c r="Z437" i="2"/>
  <c r="Z438" i="2"/>
  <c r="AA438" i="2" s="1"/>
  <c r="Z439" i="2"/>
  <c r="AA439" i="2" s="1"/>
  <c r="Z440" i="2"/>
  <c r="Z441" i="2"/>
  <c r="Z442" i="2"/>
  <c r="Z443" i="2"/>
  <c r="AA443" i="2" s="1"/>
  <c r="Z444" i="2"/>
  <c r="Z445" i="2"/>
  <c r="Z446" i="2"/>
  <c r="Z447" i="2"/>
  <c r="AA447" i="2" s="1"/>
  <c r="Z448" i="2"/>
  <c r="Z449" i="2"/>
  <c r="Z450" i="2"/>
  <c r="Z451" i="2"/>
  <c r="AA451" i="2" s="1"/>
  <c r="Z452" i="2"/>
  <c r="Z453" i="2"/>
  <c r="Z454" i="2"/>
  <c r="Z455" i="2"/>
  <c r="Z456" i="2"/>
  <c r="Z457" i="2"/>
  <c r="Z458" i="2"/>
  <c r="Z459" i="2"/>
  <c r="AA459" i="2" s="1"/>
  <c r="Z460" i="2"/>
  <c r="Z461" i="2"/>
  <c r="Z462" i="2"/>
  <c r="Z463" i="2"/>
  <c r="AA463" i="2" s="1"/>
  <c r="Z464" i="2"/>
  <c r="Z465" i="2"/>
  <c r="Z466" i="2"/>
  <c r="Z467" i="2"/>
  <c r="AA467" i="2" s="1"/>
  <c r="Z468" i="2"/>
  <c r="Z469" i="2"/>
  <c r="Z470" i="2"/>
  <c r="Z471" i="2"/>
  <c r="Z472" i="2"/>
  <c r="Z473" i="2"/>
  <c r="Z474" i="2"/>
  <c r="Z475" i="2"/>
  <c r="AA475" i="2" s="1"/>
  <c r="Z476" i="2"/>
  <c r="Z477" i="2"/>
  <c r="Z478" i="2"/>
  <c r="Z479" i="2"/>
  <c r="AA479" i="2" s="1"/>
  <c r="Z480" i="2"/>
  <c r="Z481" i="2"/>
  <c r="Z482" i="2"/>
  <c r="Z483" i="2"/>
  <c r="AA483" i="2" s="1"/>
  <c r="Z484" i="2"/>
  <c r="Z485" i="2"/>
  <c r="Z486" i="2"/>
  <c r="Z487" i="2"/>
  <c r="Z488" i="2"/>
  <c r="Z489" i="2"/>
  <c r="Z490" i="2"/>
  <c r="Z491" i="2"/>
  <c r="AA491" i="2" s="1"/>
  <c r="Z492" i="2"/>
  <c r="Z493" i="2"/>
  <c r="Z494" i="2"/>
  <c r="Z495" i="2"/>
  <c r="AA495" i="2" s="1"/>
  <c r="Z496" i="2"/>
  <c r="Z497" i="2"/>
  <c r="Z498" i="2"/>
  <c r="Z499" i="2"/>
  <c r="Z500" i="2"/>
  <c r="Z501" i="2"/>
  <c r="Z502" i="2"/>
  <c r="Z503" i="2"/>
  <c r="AA503" i="2" s="1"/>
  <c r="Z504" i="2"/>
  <c r="Z505" i="2"/>
  <c r="Z506" i="2"/>
  <c r="Z507" i="2"/>
  <c r="AA507" i="2" s="1"/>
  <c r="Z508" i="2"/>
  <c r="Z509" i="2"/>
  <c r="Z510" i="2"/>
  <c r="Z511" i="2"/>
  <c r="AA511" i="2" s="1"/>
  <c r="Z512" i="2"/>
  <c r="Z513" i="2"/>
  <c r="Z514" i="2"/>
  <c r="Z515" i="2"/>
  <c r="Z516" i="2"/>
  <c r="Z517" i="2"/>
  <c r="Z518" i="2"/>
  <c r="Z519" i="2"/>
  <c r="AA519" i="2" s="1"/>
  <c r="Z520" i="2"/>
  <c r="Z521" i="2"/>
  <c r="Z522" i="2"/>
  <c r="Z523" i="2"/>
  <c r="AA523" i="2" s="1"/>
  <c r="Z524" i="2"/>
  <c r="Z525" i="2"/>
  <c r="Z6" i="2"/>
  <c r="AA54" i="2"/>
  <c r="AA58" i="2"/>
  <c r="AA62" i="2"/>
  <c r="AA66" i="2"/>
  <c r="AA70" i="2"/>
  <c r="AA78" i="2"/>
  <c r="AA79" i="2"/>
  <c r="AA86" i="2"/>
  <c r="AA91" i="2"/>
  <c r="AA94" i="2"/>
  <c r="AA102" i="2"/>
  <c r="AA110" i="2"/>
  <c r="AA111" i="2"/>
  <c r="AA118" i="2"/>
  <c r="AA123" i="2"/>
  <c r="AA126" i="2"/>
  <c r="AA134" i="2"/>
  <c r="AA142" i="2"/>
  <c r="AA143" i="2"/>
  <c r="AA150" i="2"/>
  <c r="AA155" i="2"/>
  <c r="AA158" i="2"/>
  <c r="AA166" i="2"/>
  <c r="AA170" i="2"/>
  <c r="AA174" i="2"/>
  <c r="AA178" i="2"/>
  <c r="AA182" i="2"/>
  <c r="AA186" i="2"/>
  <c r="AA190" i="2"/>
  <c r="AA194" i="2"/>
  <c r="AA198" i="2"/>
  <c r="AA202" i="2"/>
  <c r="AA206" i="2"/>
  <c r="AA210" i="2"/>
  <c r="AA214" i="2"/>
  <c r="AA218" i="2"/>
  <c r="AA222" i="2"/>
  <c r="AA226" i="2"/>
  <c r="AA230" i="2"/>
  <c r="AA234" i="2"/>
  <c r="AA238" i="2"/>
  <c r="AA242" i="2"/>
  <c r="AA246" i="2"/>
  <c r="AA250" i="2"/>
  <c r="AA254" i="2"/>
  <c r="AA258" i="2"/>
  <c r="AA262" i="2"/>
  <c r="AA266" i="2"/>
  <c r="AA269" i="2"/>
  <c r="AA274" i="2"/>
  <c r="AA281" i="2"/>
  <c r="AA282" i="2"/>
  <c r="AA286" i="2"/>
  <c r="AA290" i="2"/>
  <c r="AA294" i="2"/>
  <c r="AA298" i="2"/>
  <c r="AA306" i="2"/>
  <c r="AA310" i="2"/>
  <c r="AA314" i="2"/>
  <c r="AA321" i="2"/>
  <c r="AA326" i="2"/>
  <c r="AA333" i="2"/>
  <c r="AA342" i="2"/>
  <c r="AA370" i="2"/>
  <c r="AA390" i="2"/>
  <c r="AA409" i="2"/>
  <c r="AA493" i="2"/>
  <c r="AM32" i="2"/>
  <c r="AM30" i="2"/>
  <c r="AM28" i="2"/>
  <c r="AM31" i="2"/>
  <c r="AO26" i="2"/>
  <c r="AC10" i="2"/>
  <c r="AH24" i="2"/>
  <c r="AA50" i="2"/>
  <c r="AN14" i="2"/>
  <c r="AD48" i="2"/>
  <c r="AJ24" i="2"/>
  <c r="AB27" i="2"/>
  <c r="AO14" i="2"/>
  <c r="AQ26" i="2"/>
  <c r="AQ14" i="2"/>
  <c r="AA34" i="2"/>
  <c r="AH71" i="2"/>
  <c r="AM23" i="2"/>
  <c r="AA51" i="2"/>
  <c r="AD10" i="2"/>
  <c r="AM21" i="2"/>
  <c r="AE10" i="2"/>
  <c r="AE48" i="2"/>
  <c r="AC48" i="2"/>
  <c r="AN26" i="2"/>
  <c r="AP26" i="2"/>
  <c r="AC27" i="2"/>
  <c r="AK24" i="2"/>
  <c r="AA10" i="2"/>
  <c r="AA6" i="2"/>
  <c r="AA30" i="2"/>
  <c r="AB10" i="2"/>
  <c r="AE27" i="2"/>
  <c r="AD27" i="2"/>
  <c r="AP14" i="2"/>
  <c r="AG11" i="2"/>
  <c r="AB48" i="2"/>
  <c r="AI24" i="2"/>
  <c r="AH78" i="2"/>
  <c r="AG10" i="2"/>
  <c r="AG29" i="2"/>
  <c r="AA39" i="2"/>
  <c r="AA32" i="2"/>
  <c r="AA12" i="2"/>
  <c r="AA7" i="2"/>
  <c r="AI19" i="2"/>
  <c r="AI16" i="2"/>
  <c r="AB28" i="2"/>
  <c r="AK17" i="2"/>
  <c r="AA38" i="2"/>
  <c r="AG32" i="2"/>
  <c r="AH19" i="2"/>
  <c r="AC42" i="2"/>
  <c r="AI14" i="2"/>
  <c r="AG17" i="2"/>
  <c r="AA21" i="2"/>
  <c r="AK14" i="2"/>
  <c r="AM11" i="2"/>
  <c r="AK16" i="2"/>
  <c r="AE28" i="2"/>
  <c r="AI17" i="2"/>
  <c r="AM8" i="2"/>
  <c r="AG23" i="2"/>
  <c r="AH62" i="2"/>
  <c r="AB42" i="2"/>
  <c r="AB49" i="2"/>
  <c r="AJ17" i="2"/>
  <c r="AK19" i="2"/>
  <c r="AD42" i="2"/>
  <c r="AG19" i="2"/>
  <c r="AD49" i="2"/>
  <c r="AC49" i="2"/>
  <c r="AI9" i="2"/>
  <c r="AC28" i="2"/>
  <c r="AA26" i="2"/>
  <c r="AD28" i="2"/>
  <c r="AE49" i="2"/>
  <c r="AJ16" i="2"/>
  <c r="AG21" i="2"/>
  <c r="AH9" i="2"/>
  <c r="AG8" i="2"/>
  <c r="AJ19" i="2"/>
  <c r="AE42" i="2"/>
  <c r="AJ14" i="2"/>
  <c r="AH16" i="2"/>
  <c r="AK9" i="2"/>
  <c r="AG22" i="2"/>
  <c r="AH17" i="2"/>
  <c r="AJ9" i="2"/>
  <c r="AM20" i="2"/>
  <c r="AM22" i="2"/>
  <c r="AH54" i="2"/>
  <c r="AM15" i="2"/>
  <c r="AH14" i="2"/>
  <c r="AN17" i="2"/>
  <c r="AP24" i="2"/>
  <c r="AP17" i="2"/>
  <c r="AC15" i="2"/>
  <c r="AB31" i="2"/>
  <c r="AI29" i="2"/>
  <c r="AD40" i="2"/>
  <c r="AP11" i="2"/>
  <c r="AE45" i="2"/>
  <c r="AJ12" i="2"/>
  <c r="AE43" i="2"/>
  <c r="AE50" i="2"/>
  <c r="AB15" i="2"/>
  <c r="AD53" i="2"/>
  <c r="AE46" i="2"/>
  <c r="AB29" i="2"/>
  <c r="AD18" i="2"/>
  <c r="AD11" i="2"/>
  <c r="AB45" i="2"/>
  <c r="AP21" i="2"/>
  <c r="AC45" i="2"/>
  <c r="AC12" i="2"/>
  <c r="AN6" i="2"/>
  <c r="AD26" i="2"/>
  <c r="AC40" i="2"/>
  <c r="AQ23" i="2"/>
  <c r="AH22" i="2"/>
  <c r="AO15" i="2"/>
  <c r="AD21" i="2"/>
  <c r="AD32" i="2"/>
  <c r="AQ27" i="2"/>
  <c r="AJ32" i="2"/>
  <c r="AQ18" i="2"/>
  <c r="AE12" i="2"/>
  <c r="AH46" i="2"/>
  <c r="AD13" i="2"/>
  <c r="AE38" i="2"/>
  <c r="AC13" i="2"/>
  <c r="AI22" i="2"/>
  <c r="AD45" i="2"/>
  <c r="AP15" i="2"/>
  <c r="AQ11" i="2"/>
  <c r="AQ17" i="2"/>
  <c r="AD31" i="2"/>
  <c r="AO19" i="2"/>
  <c r="AB11" i="2"/>
  <c r="AC50" i="2"/>
  <c r="AC46" i="2"/>
  <c r="AQ10" i="2"/>
  <c r="AD12" i="2"/>
  <c r="AD52" i="2"/>
  <c r="AQ6" i="2"/>
  <c r="AQ20" i="2"/>
  <c r="AD34" i="2"/>
  <c r="AC18" i="2"/>
  <c r="AD50" i="2"/>
  <c r="AA23" i="2"/>
  <c r="AH63" i="2"/>
  <c r="AQ15" i="2"/>
  <c r="AJ22" i="2"/>
  <c r="AK29" i="2"/>
  <c r="AP13" i="2"/>
  <c r="AE13" i="2"/>
  <c r="AH29" i="2"/>
  <c r="AO21" i="2"/>
  <c r="AP20" i="2"/>
  <c r="AQ19" i="2"/>
  <c r="AC11" i="2"/>
  <c r="AO6" i="2"/>
  <c r="AK12" i="2"/>
  <c r="AK32" i="2"/>
  <c r="AK22" i="2"/>
  <c r="AB38" i="2"/>
  <c r="AB21" i="2"/>
  <c r="AC29" i="2"/>
  <c r="AO17" i="2"/>
  <c r="AC43" i="2"/>
  <c r="AB32" i="2"/>
  <c r="AO20" i="2"/>
  <c r="AP18" i="2"/>
  <c r="AE18" i="2"/>
  <c r="AI32" i="2"/>
  <c r="AE31" i="2"/>
  <c r="AC52" i="2"/>
  <c r="AC53" i="2"/>
  <c r="AN13" i="2"/>
  <c r="AD46" i="2"/>
  <c r="AB43" i="2"/>
  <c r="AC32" i="2"/>
  <c r="AB46" i="2"/>
  <c r="AC26" i="2"/>
  <c r="AC24" i="2"/>
  <c r="AB12" i="2"/>
  <c r="AD15" i="2"/>
  <c r="AJ29" i="2"/>
  <c r="AP19" i="2"/>
  <c r="AB52" i="2"/>
  <c r="AQ13" i="2"/>
  <c r="AP27" i="2"/>
  <c r="AN15" i="2"/>
  <c r="AH39" i="2"/>
  <c r="AN18" i="2"/>
  <c r="AN10" i="2"/>
  <c r="AC30" i="2"/>
  <c r="AB30" i="2"/>
  <c r="AN20" i="2"/>
  <c r="AD16" i="2"/>
  <c r="AB24" i="2"/>
  <c r="AO10" i="2"/>
  <c r="AE30" i="2"/>
  <c r="AB50" i="2"/>
  <c r="AI12" i="2"/>
  <c r="AE26" i="2"/>
  <c r="AB13" i="2"/>
  <c r="AE40" i="2"/>
  <c r="AO13" i="2"/>
  <c r="AO27" i="2"/>
  <c r="AE32" i="2"/>
  <c r="AN27" i="2"/>
  <c r="AD43" i="2"/>
  <c r="AN23" i="2"/>
  <c r="AC31" i="2"/>
  <c r="AB18" i="2"/>
  <c r="AB34" i="2"/>
  <c r="AC38" i="2"/>
  <c r="AE52" i="2"/>
  <c r="AN24" i="2"/>
  <c r="AC34" i="2"/>
  <c r="AQ21" i="2"/>
  <c r="AN21" i="2"/>
  <c r="AE53" i="2"/>
  <c r="AB16" i="2"/>
  <c r="AC16" i="2"/>
  <c r="AP6" i="2"/>
  <c r="AE29" i="2"/>
  <c r="AD30" i="2"/>
  <c r="AD38" i="2"/>
  <c r="AO18" i="2"/>
  <c r="AP10" i="2"/>
  <c r="AO12" i="2"/>
  <c r="AE24" i="2"/>
  <c r="AC21" i="2"/>
  <c r="AE21" i="2"/>
  <c r="AO24" i="2"/>
  <c r="AH12" i="2"/>
  <c r="AD24" i="2"/>
  <c r="AQ24" i="2"/>
  <c r="AE11" i="2"/>
  <c r="AN19" i="2"/>
  <c r="AG31" i="2"/>
  <c r="AE34" i="2"/>
  <c r="AD29" i="2"/>
  <c r="AE16" i="2"/>
  <c r="AO11" i="2"/>
  <c r="AH32" i="2"/>
  <c r="AE15" i="2"/>
  <c r="AN11" i="2"/>
  <c r="AO23" i="2"/>
  <c r="AB53" i="2"/>
  <c r="AH47" i="2"/>
  <c r="AB40" i="2"/>
  <c r="AB26" i="2"/>
  <c r="AP23" i="2"/>
  <c r="AN12" i="2"/>
  <c r="AP12" i="2"/>
  <c r="AQ12" i="2"/>
  <c r="AH28" i="2"/>
  <c r="AN9" i="2"/>
  <c r="AB37" i="2"/>
  <c r="AD47" i="2"/>
  <c r="AJ28" i="2"/>
  <c r="AP22" i="2"/>
  <c r="AP9" i="2"/>
  <c r="AG16" i="2"/>
  <c r="AG20" i="2"/>
  <c r="AP16" i="2"/>
  <c r="AM10" i="2"/>
  <c r="AO22" i="2"/>
  <c r="AH25" i="2"/>
  <c r="AK25" i="2"/>
  <c r="AO8" i="2"/>
  <c r="AH20" i="2"/>
  <c r="AJ27" i="2"/>
  <c r="AP8" i="2"/>
  <c r="AN22" i="2"/>
  <c r="AH7" i="2"/>
  <c r="AK7" i="2"/>
  <c r="AN8" i="2"/>
  <c r="AM27" i="2"/>
  <c r="AN16" i="2"/>
  <c r="AK20" i="2"/>
  <c r="AC6" i="2"/>
  <c r="AI10" i="2"/>
  <c r="AQ9" i="2"/>
  <c r="AN25" i="2"/>
  <c r="AQ8" i="2"/>
  <c r="AE6" i="2"/>
  <c r="AA42" i="2"/>
  <c r="AI25" i="2"/>
  <c r="AI20" i="2"/>
  <c r="AA25" i="2"/>
  <c r="AG30" i="2"/>
  <c r="AO25" i="2"/>
  <c r="AI28" i="2"/>
  <c r="AH10" i="2"/>
  <c r="AB47" i="2"/>
  <c r="AJ7" i="2"/>
  <c r="AH11" i="2"/>
  <c r="AQ25" i="2"/>
  <c r="AK28" i="2"/>
  <c r="AC33" i="2"/>
  <c r="AH38" i="2"/>
  <c r="AP25" i="2"/>
  <c r="AQ16" i="2"/>
  <c r="AA24" i="2"/>
  <c r="AO9" i="2"/>
  <c r="AB6" i="2"/>
  <c r="AI7" i="2"/>
  <c r="AK27" i="2"/>
  <c r="AG7" i="2"/>
  <c r="AJ10" i="2"/>
  <c r="AJ20" i="2"/>
  <c r="AC47" i="2"/>
  <c r="AA43" i="2"/>
  <c r="AJ18" i="2"/>
  <c r="AD33" i="2"/>
  <c r="AE37" i="2"/>
  <c r="AA41" i="2"/>
  <c r="AO16" i="2"/>
  <c r="AE47" i="2"/>
  <c r="AK10" i="2"/>
  <c r="AK18" i="2"/>
  <c r="AH27" i="2"/>
  <c r="AI18" i="2"/>
  <c r="AM24" i="2"/>
  <c r="AK11" i="2"/>
  <c r="AE33" i="2"/>
  <c r="AB33" i="2"/>
  <c r="AM18" i="2"/>
  <c r="AD37" i="2"/>
  <c r="AA40" i="2"/>
  <c r="AA15" i="2"/>
  <c r="AQ22" i="2"/>
  <c r="AI27" i="2"/>
  <c r="AJ11" i="2"/>
  <c r="AD6" i="2"/>
  <c r="AC37" i="2"/>
  <c r="AJ25" i="2"/>
  <c r="AH18" i="2"/>
  <c r="AI11" i="2"/>
  <c r="AG14" i="2"/>
  <c r="AH55" i="2"/>
  <c r="AG9" i="2"/>
  <c r="AG26" i="2"/>
  <c r="AD51" i="2"/>
  <c r="AC44" i="2"/>
  <c r="AE39" i="2"/>
  <c r="AI8" i="2"/>
  <c r="AD36" i="2"/>
  <c r="AD44" i="2"/>
  <c r="AC7" i="2"/>
  <c r="AH23" i="2"/>
  <c r="AJ23" i="2"/>
  <c r="AM25" i="2"/>
  <c r="AB22" i="2"/>
  <c r="AK8" i="2"/>
  <c r="AM9" i="2"/>
  <c r="AB39" i="2"/>
  <c r="AA52" i="2"/>
  <c r="AE7" i="2"/>
  <c r="AB36" i="2"/>
  <c r="AI23" i="2"/>
  <c r="AB51" i="2"/>
  <c r="AD35" i="2"/>
  <c r="AA46" i="2"/>
  <c r="AM7" i="2"/>
  <c r="AA35" i="2"/>
  <c r="AE36" i="2"/>
  <c r="AC22" i="2"/>
  <c r="AC35" i="2"/>
  <c r="AM16" i="2"/>
  <c r="AG24" i="2"/>
  <c r="AK23" i="2"/>
  <c r="AD7" i="2"/>
  <c r="AB7" i="2"/>
  <c r="AH8" i="2"/>
  <c r="AA11" i="2"/>
  <c r="AA16" i="2"/>
  <c r="AJ8" i="2"/>
  <c r="AC39" i="2"/>
  <c r="AE44" i="2"/>
  <c r="AB35" i="2"/>
  <c r="AD22" i="2"/>
  <c r="AE35" i="2"/>
  <c r="AA17" i="2"/>
  <c r="AA49" i="2"/>
  <c r="AC36" i="2"/>
  <c r="AA44" i="2"/>
  <c r="AC51" i="2"/>
  <c r="AM6" i="2"/>
  <c r="AB44" i="2"/>
  <c r="AD39" i="2"/>
  <c r="AG12" i="2"/>
  <c r="AG6" i="2"/>
  <c r="AA53" i="2"/>
  <c r="AE51" i="2"/>
  <c r="AE22" i="2"/>
  <c r="AG25" i="2"/>
  <c r="AG28" i="2"/>
  <c r="AA29" i="2"/>
  <c r="AB25" i="2"/>
  <c r="AD17" i="2"/>
  <c r="AA33" i="2"/>
  <c r="AC14" i="2"/>
  <c r="AE41" i="2"/>
  <c r="AP7" i="2"/>
  <c r="AA45" i="2"/>
  <c r="AN7" i="2"/>
  <c r="AG18" i="2"/>
  <c r="AC20" i="2"/>
  <c r="AA8" i="2"/>
  <c r="AG15" i="2"/>
  <c r="AK13" i="2"/>
  <c r="AM13" i="2"/>
  <c r="AG13" i="2"/>
  <c r="AJ13" i="2"/>
  <c r="AH13" i="2"/>
  <c r="AM26" i="2"/>
  <c r="AA20" i="2"/>
  <c r="AA9" i="2"/>
  <c r="AA22" i="2"/>
  <c r="AD25" i="2"/>
  <c r="AH26" i="2"/>
  <c r="AC41" i="2"/>
  <c r="AM12" i="2"/>
  <c r="AH79" i="2"/>
  <c r="AK21" i="2"/>
  <c r="AI21" i="2"/>
  <c r="AO7" i="2"/>
  <c r="AI26" i="2"/>
  <c r="AA19" i="2"/>
  <c r="AA27" i="2"/>
  <c r="AD41" i="2"/>
  <c r="AE14" i="2"/>
  <c r="AQ7" i="2"/>
  <c r="AB41" i="2"/>
  <c r="AI13" i="2"/>
  <c r="AD14" i="2"/>
  <c r="AM19" i="2"/>
  <c r="AA37" i="2"/>
  <c r="AM17" i="2"/>
  <c r="AA18" i="2"/>
  <c r="AH21" i="2"/>
  <c r="AB17" i="2"/>
  <c r="AB20" i="2"/>
  <c r="AE25" i="2"/>
  <c r="AC17" i="2"/>
  <c r="AA36" i="2"/>
  <c r="AE17" i="2"/>
  <c r="AD20" i="2"/>
  <c r="AB14" i="2"/>
  <c r="AG27" i="2"/>
  <c r="AJ21" i="2"/>
  <c r="AK26" i="2"/>
  <c r="AE20" i="2"/>
  <c r="AC25" i="2"/>
  <c r="AJ26" i="2"/>
  <c r="AM14" i="2"/>
  <c r="AA13" i="2"/>
  <c r="AJ31" i="2"/>
  <c r="AI6" i="2"/>
  <c r="AJ6" i="2"/>
  <c r="AD19" i="2"/>
  <c r="AI30" i="2"/>
  <c r="AI31" i="2"/>
  <c r="AC9" i="2"/>
  <c r="AH70" i="2"/>
  <c r="AB8" i="2"/>
  <c r="AA28" i="2"/>
  <c r="AA48" i="2"/>
  <c r="AE9" i="2"/>
  <c r="AA14" i="2"/>
  <c r="AE19" i="2"/>
  <c r="AH6" i="2"/>
  <c r="AA47" i="2"/>
  <c r="AB19" i="2"/>
  <c r="AD23" i="2"/>
  <c r="AC23" i="2"/>
  <c r="AE23" i="2"/>
  <c r="AH15" i="2"/>
  <c r="AB9" i="2"/>
  <c r="AB23" i="2"/>
  <c r="AK31" i="2"/>
  <c r="AA31" i="2"/>
  <c r="AK30" i="2"/>
  <c r="AH30" i="2"/>
  <c r="AD9" i="2"/>
  <c r="AC8" i="2"/>
  <c r="AJ15" i="2"/>
  <c r="AK15" i="2"/>
  <c r="AC19" i="2"/>
  <c r="AH31" i="2"/>
  <c r="AE8" i="2"/>
  <c r="AI15" i="2"/>
  <c r="AK6" i="2"/>
  <c r="AD8" i="2"/>
  <c r="AJ30" i="2"/>
  <c r="M8" i="1"/>
  <c r="AM29" i="2" l="1"/>
  <c r="AM524" i="2"/>
  <c r="AO524" i="2"/>
  <c r="AP524" i="2"/>
  <c r="AQ524" i="2"/>
  <c r="AN524" i="2"/>
  <c r="AM520" i="2"/>
  <c r="AO520" i="2"/>
  <c r="AP520" i="2"/>
  <c r="AQ520" i="2"/>
  <c r="AN520" i="2"/>
  <c r="AM516" i="2"/>
  <c r="AO516" i="2"/>
  <c r="AP516" i="2"/>
  <c r="AQ516" i="2"/>
  <c r="AN516" i="2"/>
  <c r="AM512" i="2"/>
  <c r="AP512" i="2"/>
  <c r="AO512" i="2"/>
  <c r="AQ512" i="2"/>
  <c r="AN512" i="2"/>
  <c r="AM508" i="2"/>
  <c r="AP508" i="2"/>
  <c r="AO508" i="2"/>
  <c r="AN508" i="2"/>
  <c r="AQ508" i="2"/>
  <c r="AM504" i="2"/>
  <c r="AP504" i="2"/>
  <c r="AO504" i="2"/>
  <c r="AQ504" i="2"/>
  <c r="AN504" i="2"/>
  <c r="AM500" i="2"/>
  <c r="AP500" i="2"/>
  <c r="AO500" i="2"/>
  <c r="AN500" i="2"/>
  <c r="AQ500" i="2"/>
  <c r="AM496" i="2"/>
  <c r="AP496" i="2"/>
  <c r="AO496" i="2"/>
  <c r="AQ496" i="2"/>
  <c r="AN496" i="2"/>
  <c r="AM492" i="2"/>
  <c r="AP492" i="2"/>
  <c r="AO492" i="2"/>
  <c r="AN492" i="2"/>
  <c r="AQ492" i="2"/>
  <c r="AM488" i="2"/>
  <c r="AP488" i="2"/>
  <c r="AO488" i="2"/>
  <c r="AQ488" i="2"/>
  <c r="AN488" i="2"/>
  <c r="AM484" i="2"/>
  <c r="AP484" i="2"/>
  <c r="AO484" i="2"/>
  <c r="AN484" i="2"/>
  <c r="AQ484" i="2"/>
  <c r="AQ481" i="2"/>
  <c r="AO481" i="2"/>
  <c r="AP481" i="2"/>
  <c r="AN481" i="2"/>
  <c r="AM477" i="2"/>
  <c r="AQ477" i="2"/>
  <c r="AO477" i="2"/>
  <c r="AP477" i="2"/>
  <c r="AN477" i="2"/>
  <c r="AM473" i="2"/>
  <c r="AQ473" i="2"/>
  <c r="AO473" i="2"/>
  <c r="AP473" i="2"/>
  <c r="AN473" i="2"/>
  <c r="AM469" i="2"/>
  <c r="AQ469" i="2"/>
  <c r="AO469" i="2"/>
  <c r="AP469" i="2"/>
  <c r="AN469" i="2"/>
  <c r="AM465" i="2"/>
  <c r="AQ465" i="2"/>
  <c r="AO465" i="2"/>
  <c r="AP465" i="2"/>
  <c r="AN465" i="2"/>
  <c r="AM461" i="2"/>
  <c r="AQ461" i="2"/>
  <c r="AO461" i="2"/>
  <c r="AP461" i="2"/>
  <c r="AN461" i="2"/>
  <c r="AM457" i="2"/>
  <c r="AQ457" i="2"/>
  <c r="AO457" i="2"/>
  <c r="AP457" i="2"/>
  <c r="AN457" i="2"/>
  <c r="AM453" i="2"/>
  <c r="AQ453" i="2"/>
  <c r="AO453" i="2"/>
  <c r="AP453" i="2"/>
  <c r="AN453" i="2"/>
  <c r="AM449" i="2"/>
  <c r="AP449" i="2"/>
  <c r="AQ449" i="2"/>
  <c r="AO449" i="2"/>
  <c r="AN449" i="2"/>
  <c r="AM445" i="2"/>
  <c r="AP445" i="2"/>
  <c r="AQ445" i="2"/>
  <c r="AO445" i="2"/>
  <c r="AN445" i="2"/>
  <c r="AM441" i="2"/>
  <c r="AP441" i="2"/>
  <c r="AQ441" i="2"/>
  <c r="AO441" i="2"/>
  <c r="AN441" i="2"/>
  <c r="AM437" i="2"/>
  <c r="AP437" i="2"/>
  <c r="AQ437" i="2"/>
  <c r="AO437" i="2"/>
  <c r="AN437" i="2"/>
  <c r="AM433" i="2"/>
  <c r="AP433" i="2"/>
  <c r="AQ433" i="2"/>
  <c r="AO433" i="2"/>
  <c r="AN433" i="2"/>
  <c r="AM429" i="2"/>
  <c r="AP429" i="2"/>
  <c r="AQ429" i="2"/>
  <c r="AO429" i="2"/>
  <c r="AN429" i="2"/>
  <c r="AM425" i="2"/>
  <c r="AP425" i="2"/>
  <c r="AQ425" i="2"/>
  <c r="AO425" i="2"/>
  <c r="AN425" i="2"/>
  <c r="AM421" i="2"/>
  <c r="AP421" i="2"/>
  <c r="AQ421" i="2"/>
  <c r="AO421" i="2"/>
  <c r="AN421" i="2"/>
  <c r="AM417" i="2"/>
  <c r="AQ417" i="2"/>
  <c r="AO417" i="2"/>
  <c r="AP417" i="2"/>
  <c r="AN417" i="2"/>
  <c r="AM413" i="2"/>
  <c r="AQ413" i="2"/>
  <c r="AP413" i="2"/>
  <c r="AO413" i="2"/>
  <c r="AN413" i="2"/>
  <c r="AM409" i="2"/>
  <c r="AQ409" i="2"/>
  <c r="AO409" i="2"/>
  <c r="AP409" i="2"/>
  <c r="AN409" i="2"/>
  <c r="AM405" i="2"/>
  <c r="AQ405" i="2"/>
  <c r="AO405" i="2"/>
  <c r="AP405" i="2"/>
  <c r="AN405" i="2"/>
  <c r="AM401" i="2"/>
  <c r="AQ401" i="2"/>
  <c r="AO401" i="2"/>
  <c r="AP401" i="2"/>
  <c r="AN401" i="2"/>
  <c r="AM397" i="2"/>
  <c r="AQ397" i="2"/>
  <c r="AP397" i="2"/>
  <c r="AO397" i="2"/>
  <c r="AN397" i="2"/>
  <c r="AM393" i="2"/>
  <c r="AQ393" i="2"/>
  <c r="AO393" i="2"/>
  <c r="AP393" i="2"/>
  <c r="AN393" i="2"/>
  <c r="AM389" i="2"/>
  <c r="AQ389" i="2"/>
  <c r="AO389" i="2"/>
  <c r="AP389" i="2"/>
  <c r="AN389" i="2"/>
  <c r="AM385" i="2"/>
  <c r="AQ385" i="2"/>
  <c r="AO385" i="2"/>
  <c r="AP385" i="2"/>
  <c r="AN385" i="2"/>
  <c r="AM381" i="2"/>
  <c r="AQ381" i="2"/>
  <c r="AP381" i="2"/>
  <c r="AO381" i="2"/>
  <c r="AN381" i="2"/>
  <c r="AM377" i="2"/>
  <c r="AQ377" i="2"/>
  <c r="AO377" i="2"/>
  <c r="AP377" i="2"/>
  <c r="AN377" i="2"/>
  <c r="AM373" i="2"/>
  <c r="AQ373" i="2"/>
  <c r="AO373" i="2"/>
  <c r="AP373" i="2"/>
  <c r="AN373" i="2"/>
  <c r="AM369" i="2"/>
  <c r="AQ369" i="2"/>
  <c r="AO369" i="2"/>
  <c r="AP369" i="2"/>
  <c r="AN369" i="2"/>
  <c r="AM365" i="2"/>
  <c r="AQ365" i="2"/>
  <c r="AP365" i="2"/>
  <c r="AO365" i="2"/>
  <c r="AN365" i="2"/>
  <c r="AM361" i="2"/>
  <c r="AQ361" i="2"/>
  <c r="AO361" i="2"/>
  <c r="AP361" i="2"/>
  <c r="AN361" i="2"/>
  <c r="AM357" i="2"/>
  <c r="AQ357" i="2"/>
  <c r="AO357" i="2"/>
  <c r="AP357" i="2"/>
  <c r="AN357" i="2"/>
  <c r="AM353" i="2"/>
  <c r="AQ353" i="2"/>
  <c r="AO353" i="2"/>
  <c r="AP353" i="2"/>
  <c r="AN353" i="2"/>
  <c r="AM349" i="2"/>
  <c r="AQ349" i="2"/>
  <c r="AP349" i="2"/>
  <c r="AO349" i="2"/>
  <c r="AN349" i="2"/>
  <c r="AM345" i="2"/>
  <c r="AQ345" i="2"/>
  <c r="AO345" i="2"/>
  <c r="AP345" i="2"/>
  <c r="AN345" i="2"/>
  <c r="AM341" i="2"/>
  <c r="AQ341" i="2"/>
  <c r="AO341" i="2"/>
  <c r="AP341" i="2"/>
  <c r="AN341" i="2"/>
  <c r="AQ338" i="2"/>
  <c r="AO338" i="2"/>
  <c r="AP338" i="2"/>
  <c r="AN338" i="2"/>
  <c r="AM334" i="2"/>
  <c r="AO334" i="2"/>
  <c r="AP334" i="2"/>
  <c r="AQ334" i="2"/>
  <c r="AN334" i="2"/>
  <c r="AM330" i="2"/>
  <c r="AO330" i="2"/>
  <c r="AP330" i="2"/>
  <c r="AQ330" i="2"/>
  <c r="AN330" i="2"/>
  <c r="AM326" i="2"/>
  <c r="AO326" i="2"/>
  <c r="AP326" i="2"/>
  <c r="AQ326" i="2"/>
  <c r="AN326" i="2"/>
  <c r="AM322" i="2"/>
  <c r="AO322" i="2"/>
  <c r="AP322" i="2"/>
  <c r="AQ322" i="2"/>
  <c r="AN322" i="2"/>
  <c r="AM318" i="2"/>
  <c r="AO318" i="2"/>
  <c r="AP318" i="2"/>
  <c r="AQ318" i="2"/>
  <c r="AN318" i="2"/>
  <c r="AM314" i="2"/>
  <c r="AO314" i="2"/>
  <c r="AP314" i="2"/>
  <c r="AQ314" i="2"/>
  <c r="AN314" i="2"/>
  <c r="AM310" i="2"/>
  <c r="AO310" i="2"/>
  <c r="AP310" i="2"/>
  <c r="AQ310" i="2"/>
  <c r="AN310" i="2"/>
  <c r="AM306" i="2"/>
  <c r="AO306" i="2"/>
  <c r="AP306" i="2"/>
  <c r="AQ306" i="2"/>
  <c r="AN306" i="2"/>
  <c r="AM302" i="2"/>
  <c r="AO302" i="2"/>
  <c r="AP302" i="2"/>
  <c r="AQ302" i="2"/>
  <c r="AN302" i="2"/>
  <c r="AM298" i="2"/>
  <c r="AO298" i="2"/>
  <c r="AP298" i="2"/>
  <c r="AQ298" i="2"/>
  <c r="AN298" i="2"/>
  <c r="AM294" i="2"/>
  <c r="AO294" i="2"/>
  <c r="AP294" i="2"/>
  <c r="AQ294" i="2"/>
  <c r="AN294" i="2"/>
  <c r="AM290" i="2"/>
  <c r="AO290" i="2"/>
  <c r="AP290" i="2"/>
  <c r="AQ290" i="2"/>
  <c r="AN290" i="2"/>
  <c r="AM286" i="2"/>
  <c r="AO286" i="2"/>
  <c r="AP286" i="2"/>
  <c r="AQ286" i="2"/>
  <c r="AN286" i="2"/>
  <c r="AM282" i="2"/>
  <c r="AO282" i="2"/>
  <c r="AP282" i="2"/>
  <c r="AQ282" i="2"/>
  <c r="AN282" i="2"/>
  <c r="AM278" i="2"/>
  <c r="AO278" i="2"/>
  <c r="AP278" i="2"/>
  <c r="AQ278" i="2"/>
  <c r="AN278" i="2"/>
  <c r="AM274" i="2"/>
  <c r="AO274" i="2"/>
  <c r="AP274" i="2"/>
  <c r="AQ274" i="2"/>
  <c r="AN274" i="2"/>
  <c r="AM270" i="2"/>
  <c r="AO270" i="2"/>
  <c r="AP270" i="2"/>
  <c r="AQ270" i="2"/>
  <c r="AN270" i="2"/>
  <c r="AM266" i="2"/>
  <c r="AO266" i="2"/>
  <c r="AP266" i="2"/>
  <c r="AQ266" i="2"/>
  <c r="AN266" i="2"/>
  <c r="AM262" i="2"/>
  <c r="AO262" i="2"/>
  <c r="AP262" i="2"/>
  <c r="AQ262" i="2"/>
  <c r="AN262" i="2"/>
  <c r="AM258" i="2"/>
  <c r="AO258" i="2"/>
  <c r="AP258" i="2"/>
  <c r="AQ258" i="2"/>
  <c r="AN258" i="2"/>
  <c r="AM254" i="2"/>
  <c r="AO254" i="2"/>
  <c r="AP254" i="2"/>
  <c r="AQ254" i="2"/>
  <c r="AN254" i="2"/>
  <c r="AM250" i="2"/>
  <c r="AO250" i="2"/>
  <c r="AP250" i="2"/>
  <c r="AQ250" i="2"/>
  <c r="AN250" i="2"/>
  <c r="AM246" i="2"/>
  <c r="AO246" i="2"/>
  <c r="AP246" i="2"/>
  <c r="AQ246" i="2"/>
  <c r="AN246" i="2"/>
  <c r="AM242" i="2"/>
  <c r="AQ242" i="2"/>
  <c r="AP242" i="2"/>
  <c r="AO242" i="2"/>
  <c r="AN242" i="2"/>
  <c r="AM238" i="2"/>
  <c r="AQ238" i="2"/>
  <c r="AO238" i="2"/>
  <c r="AP238" i="2"/>
  <c r="AN238" i="2"/>
  <c r="AM234" i="2"/>
  <c r="AQ234" i="2"/>
  <c r="AO234" i="2"/>
  <c r="AP234" i="2"/>
  <c r="AN234" i="2"/>
  <c r="AM230" i="2"/>
  <c r="AQ230" i="2"/>
  <c r="AO230" i="2"/>
  <c r="AP230" i="2"/>
  <c r="AN230" i="2"/>
  <c r="AM226" i="2"/>
  <c r="AQ226" i="2"/>
  <c r="AO226" i="2"/>
  <c r="AP226" i="2"/>
  <c r="AN226" i="2"/>
  <c r="AM222" i="2"/>
  <c r="AP222" i="2"/>
  <c r="AQ222" i="2"/>
  <c r="AO222" i="2"/>
  <c r="AN222" i="2"/>
  <c r="AM218" i="2"/>
  <c r="AP218" i="2"/>
  <c r="AQ218" i="2"/>
  <c r="AO218" i="2"/>
  <c r="AN218" i="2"/>
  <c r="AM214" i="2"/>
  <c r="AP214" i="2"/>
  <c r="AQ214" i="2"/>
  <c r="AO214" i="2"/>
  <c r="AN214" i="2"/>
  <c r="AM210" i="2"/>
  <c r="AP210" i="2"/>
  <c r="AQ210" i="2"/>
  <c r="AO210" i="2"/>
  <c r="AN210" i="2"/>
  <c r="AM206" i="2"/>
  <c r="AP206" i="2"/>
  <c r="AQ206" i="2"/>
  <c r="AO206" i="2"/>
  <c r="AN206" i="2"/>
  <c r="AM202" i="2"/>
  <c r="AP202" i="2"/>
  <c r="AQ202" i="2"/>
  <c r="AO202" i="2"/>
  <c r="AN202" i="2"/>
  <c r="AM198" i="2"/>
  <c r="AP198" i="2"/>
  <c r="AQ198" i="2"/>
  <c r="AO198" i="2"/>
  <c r="AN198" i="2"/>
  <c r="AM194" i="2"/>
  <c r="AO194" i="2"/>
  <c r="AP194" i="2"/>
  <c r="AQ194" i="2"/>
  <c r="AN194" i="2"/>
  <c r="AM190" i="2"/>
  <c r="AO190" i="2"/>
  <c r="AP190" i="2"/>
  <c r="AQ190" i="2"/>
  <c r="AN190" i="2"/>
  <c r="AM186" i="2"/>
  <c r="AO186" i="2"/>
  <c r="AP186" i="2"/>
  <c r="AQ186" i="2"/>
  <c r="AN186" i="2"/>
  <c r="AM182" i="2"/>
  <c r="AO182" i="2"/>
  <c r="AP182" i="2"/>
  <c r="AQ182" i="2"/>
  <c r="AN182" i="2"/>
  <c r="AM178" i="2"/>
  <c r="AO178" i="2"/>
  <c r="AP178" i="2"/>
  <c r="AQ178" i="2"/>
  <c r="AN178" i="2"/>
  <c r="AM174" i="2"/>
  <c r="AO174" i="2"/>
  <c r="AP174" i="2"/>
  <c r="AQ174" i="2"/>
  <c r="AN174" i="2"/>
  <c r="AM170" i="2"/>
  <c r="AO170" i="2"/>
  <c r="AP170" i="2"/>
  <c r="AQ170" i="2"/>
  <c r="AN170" i="2"/>
  <c r="AM166" i="2"/>
  <c r="AO166" i="2"/>
  <c r="AP166" i="2"/>
  <c r="AQ166" i="2"/>
  <c r="AN166" i="2"/>
  <c r="AM523" i="2"/>
  <c r="AO523" i="2"/>
  <c r="AN523" i="2"/>
  <c r="AP523" i="2"/>
  <c r="AQ523" i="2"/>
  <c r="AM519" i="2"/>
  <c r="AO519" i="2"/>
  <c r="AN519" i="2"/>
  <c r="AP519" i="2"/>
  <c r="AQ519" i="2"/>
  <c r="AM515" i="2"/>
  <c r="AO515" i="2"/>
  <c r="AN515" i="2"/>
  <c r="AP515" i="2"/>
  <c r="AQ515" i="2"/>
  <c r="AM511" i="2"/>
  <c r="AO511" i="2"/>
  <c r="AQ511" i="2"/>
  <c r="AN511" i="2"/>
  <c r="AP511" i="2"/>
  <c r="AM507" i="2"/>
  <c r="AO507" i="2"/>
  <c r="AQ507" i="2"/>
  <c r="AP507" i="2"/>
  <c r="AN507" i="2"/>
  <c r="AM503" i="2"/>
  <c r="AO503" i="2"/>
  <c r="AQ503" i="2"/>
  <c r="AN503" i="2"/>
  <c r="AP503" i="2"/>
  <c r="AM499" i="2"/>
  <c r="AO499" i="2"/>
  <c r="AQ499" i="2"/>
  <c r="AP499" i="2"/>
  <c r="AN499" i="2"/>
  <c r="AM495" i="2"/>
  <c r="AO495" i="2"/>
  <c r="AQ495" i="2"/>
  <c r="AN495" i="2"/>
  <c r="AP495" i="2"/>
  <c r="AM491" i="2"/>
  <c r="AO491" i="2"/>
  <c r="AQ491" i="2"/>
  <c r="AP491" i="2"/>
  <c r="AN491" i="2"/>
  <c r="AM487" i="2"/>
  <c r="AO487" i="2"/>
  <c r="AQ487" i="2"/>
  <c r="AN487" i="2"/>
  <c r="AP487" i="2"/>
  <c r="AM483" i="2"/>
  <c r="AO483" i="2"/>
  <c r="AQ483" i="2"/>
  <c r="AP483" i="2"/>
  <c r="AN483" i="2"/>
  <c r="AM480" i="2"/>
  <c r="AP480" i="2"/>
  <c r="AO480" i="2"/>
  <c r="AQ480" i="2"/>
  <c r="AN480" i="2"/>
  <c r="AM476" i="2"/>
  <c r="AP476" i="2"/>
  <c r="AO476" i="2"/>
  <c r="AN476" i="2"/>
  <c r="AQ476" i="2"/>
  <c r="AM472" i="2"/>
  <c r="AP472" i="2"/>
  <c r="AO472" i="2"/>
  <c r="AQ472" i="2"/>
  <c r="AN472" i="2"/>
  <c r="AM468" i="2"/>
  <c r="AP468" i="2"/>
  <c r="AQ468" i="2"/>
  <c r="AO468" i="2"/>
  <c r="AN468" i="2"/>
  <c r="AM464" i="2"/>
  <c r="AP464" i="2"/>
  <c r="AQ464" i="2"/>
  <c r="AO464" i="2"/>
  <c r="AN464" i="2"/>
  <c r="AM460" i="2"/>
  <c r="AP460" i="2"/>
  <c r="AQ460" i="2"/>
  <c r="AO460" i="2"/>
  <c r="AN460" i="2"/>
  <c r="AM456" i="2"/>
  <c r="AP456" i="2"/>
  <c r="AQ456" i="2"/>
  <c r="AN456" i="2"/>
  <c r="AO456" i="2"/>
  <c r="AM452" i="2"/>
  <c r="AP452" i="2"/>
  <c r="AQ452" i="2"/>
  <c r="AO452" i="2"/>
  <c r="AN452" i="2"/>
  <c r="AM448" i="2"/>
  <c r="AO448" i="2"/>
  <c r="AP448" i="2"/>
  <c r="AQ448" i="2"/>
  <c r="AN448" i="2"/>
  <c r="AM444" i="2"/>
  <c r="AO444" i="2"/>
  <c r="AP444" i="2"/>
  <c r="AQ444" i="2"/>
  <c r="AN444" i="2"/>
  <c r="AM440" i="2"/>
  <c r="AO440" i="2"/>
  <c r="AP440" i="2"/>
  <c r="AQ440" i="2"/>
  <c r="AN440" i="2"/>
  <c r="AM436" i="2"/>
  <c r="AO436" i="2"/>
  <c r="AP436" i="2"/>
  <c r="AQ436" i="2"/>
  <c r="AN436" i="2"/>
  <c r="AM432" i="2"/>
  <c r="AO432" i="2"/>
  <c r="AP432" i="2"/>
  <c r="AQ432" i="2"/>
  <c r="AN432" i="2"/>
  <c r="AM428" i="2"/>
  <c r="AO428" i="2"/>
  <c r="AP428" i="2"/>
  <c r="AQ428" i="2"/>
  <c r="AN428" i="2"/>
  <c r="AM424" i="2"/>
  <c r="AO424" i="2"/>
  <c r="AP424" i="2"/>
  <c r="AQ424" i="2"/>
  <c r="AN424" i="2"/>
  <c r="AM420" i="2"/>
  <c r="AO420" i="2"/>
  <c r="AP420" i="2"/>
  <c r="AQ420" i="2"/>
  <c r="AN420" i="2"/>
  <c r="AM416" i="2"/>
  <c r="AP416" i="2"/>
  <c r="AO416" i="2"/>
  <c r="AQ416" i="2"/>
  <c r="AN416" i="2"/>
  <c r="AM412" i="2"/>
  <c r="AP412" i="2"/>
  <c r="AO412" i="2"/>
  <c r="AQ412" i="2"/>
  <c r="AN412" i="2"/>
  <c r="AM408" i="2"/>
  <c r="AP408" i="2"/>
  <c r="AO408" i="2"/>
  <c r="AQ408" i="2"/>
  <c r="AN408" i="2"/>
  <c r="AM404" i="2"/>
  <c r="AP404" i="2"/>
  <c r="AQ404" i="2"/>
  <c r="AO404" i="2"/>
  <c r="AN404" i="2"/>
  <c r="AM400" i="2"/>
  <c r="AP400" i="2"/>
  <c r="AO400" i="2"/>
  <c r="AQ400" i="2"/>
  <c r="AN400" i="2"/>
  <c r="AM396" i="2"/>
  <c r="AP396" i="2"/>
  <c r="AO396" i="2"/>
  <c r="AQ396" i="2"/>
  <c r="AN396" i="2"/>
  <c r="AM392" i="2"/>
  <c r="AP392" i="2"/>
  <c r="AO392" i="2"/>
  <c r="AQ392" i="2"/>
  <c r="AN392" i="2"/>
  <c r="AM388" i="2"/>
  <c r="AP388" i="2"/>
  <c r="AQ388" i="2"/>
  <c r="AO388" i="2"/>
  <c r="AN388" i="2"/>
  <c r="AM384" i="2"/>
  <c r="AP384" i="2"/>
  <c r="AO384" i="2"/>
  <c r="AQ384" i="2"/>
  <c r="AN384" i="2"/>
  <c r="AM380" i="2"/>
  <c r="AP380" i="2"/>
  <c r="AO380" i="2"/>
  <c r="AQ380" i="2"/>
  <c r="AN380" i="2"/>
  <c r="AM376" i="2"/>
  <c r="AP376" i="2"/>
  <c r="AO376" i="2"/>
  <c r="AQ376" i="2"/>
  <c r="AN376" i="2"/>
  <c r="AM372" i="2"/>
  <c r="AP372" i="2"/>
  <c r="AQ372" i="2"/>
  <c r="AO372" i="2"/>
  <c r="AN372" i="2"/>
  <c r="AM368" i="2"/>
  <c r="AP368" i="2"/>
  <c r="AO368" i="2"/>
  <c r="AQ368" i="2"/>
  <c r="AN368" i="2"/>
  <c r="AM364" i="2"/>
  <c r="AP364" i="2"/>
  <c r="AO364" i="2"/>
  <c r="AQ364" i="2"/>
  <c r="AN364" i="2"/>
  <c r="AM360" i="2"/>
  <c r="AP360" i="2"/>
  <c r="AO360" i="2"/>
  <c r="AQ360" i="2"/>
  <c r="AN360" i="2"/>
  <c r="AM356" i="2"/>
  <c r="AP356" i="2"/>
  <c r="AQ356" i="2"/>
  <c r="AO356" i="2"/>
  <c r="AN356" i="2"/>
  <c r="AM352" i="2"/>
  <c r="AP352" i="2"/>
  <c r="AO352" i="2"/>
  <c r="AQ352" i="2"/>
  <c r="AN352" i="2"/>
  <c r="AM348" i="2"/>
  <c r="AP348" i="2"/>
  <c r="AO348" i="2"/>
  <c r="AQ348" i="2"/>
  <c r="AN348" i="2"/>
  <c r="AM344" i="2"/>
  <c r="AP344" i="2"/>
  <c r="AO344" i="2"/>
  <c r="AQ344" i="2"/>
  <c r="AN344" i="2"/>
  <c r="AM340" i="2"/>
  <c r="AP340" i="2"/>
  <c r="AQ340" i="2"/>
  <c r="AO340" i="2"/>
  <c r="AN340" i="2"/>
  <c r="AM337" i="2"/>
  <c r="AQ337" i="2"/>
  <c r="AO337" i="2"/>
  <c r="AP337" i="2"/>
  <c r="AN337" i="2"/>
  <c r="AM333" i="2"/>
  <c r="AO333" i="2"/>
  <c r="AP333" i="2"/>
  <c r="AQ333" i="2"/>
  <c r="AN333" i="2"/>
  <c r="AM329" i="2"/>
  <c r="AO329" i="2"/>
  <c r="AP329" i="2"/>
  <c r="AQ329" i="2"/>
  <c r="AN329" i="2"/>
  <c r="AM325" i="2"/>
  <c r="AO325" i="2"/>
  <c r="AP325" i="2"/>
  <c r="AQ325" i="2"/>
  <c r="AN325" i="2"/>
  <c r="AM321" i="2"/>
  <c r="AO321" i="2"/>
  <c r="AP321" i="2"/>
  <c r="AQ321" i="2"/>
  <c r="AN321" i="2"/>
  <c r="AM317" i="2"/>
  <c r="AO317" i="2"/>
  <c r="AP317" i="2"/>
  <c r="AQ317" i="2"/>
  <c r="AN317" i="2"/>
  <c r="AM313" i="2"/>
  <c r="AO313" i="2"/>
  <c r="AP313" i="2"/>
  <c r="AQ313" i="2"/>
  <c r="AN313" i="2"/>
  <c r="AM309" i="2"/>
  <c r="AO309" i="2"/>
  <c r="AP309" i="2"/>
  <c r="AQ309" i="2"/>
  <c r="AN309" i="2"/>
  <c r="AM305" i="2"/>
  <c r="AO305" i="2"/>
  <c r="AP305" i="2"/>
  <c r="AQ305" i="2"/>
  <c r="AN305" i="2"/>
  <c r="AM301" i="2"/>
  <c r="AO301" i="2"/>
  <c r="AP301" i="2"/>
  <c r="AQ301" i="2"/>
  <c r="AN301" i="2"/>
  <c r="AM297" i="2"/>
  <c r="AO297" i="2"/>
  <c r="AP297" i="2"/>
  <c r="AQ297" i="2"/>
  <c r="AN297" i="2"/>
  <c r="AM293" i="2"/>
  <c r="AO293" i="2"/>
  <c r="AP293" i="2"/>
  <c r="AQ293" i="2"/>
  <c r="AN293" i="2"/>
  <c r="AM289" i="2"/>
  <c r="AO289" i="2"/>
  <c r="AP289" i="2"/>
  <c r="AQ289" i="2"/>
  <c r="AN289" i="2"/>
  <c r="AM285" i="2"/>
  <c r="AO285" i="2"/>
  <c r="AP285" i="2"/>
  <c r="AQ285" i="2"/>
  <c r="AN285" i="2"/>
  <c r="AM281" i="2"/>
  <c r="AO281" i="2"/>
  <c r="AP281" i="2"/>
  <c r="AQ281" i="2"/>
  <c r="AN281" i="2"/>
  <c r="AM277" i="2"/>
  <c r="AO277" i="2"/>
  <c r="AP277" i="2"/>
  <c r="AQ277" i="2"/>
  <c r="AN277" i="2"/>
  <c r="AM273" i="2"/>
  <c r="AO273" i="2"/>
  <c r="AP273" i="2"/>
  <c r="AQ273" i="2"/>
  <c r="AN273" i="2"/>
  <c r="AM269" i="2"/>
  <c r="AO269" i="2"/>
  <c r="AP269" i="2"/>
  <c r="AQ269" i="2"/>
  <c r="AN269" i="2"/>
  <c r="AM265" i="2"/>
  <c r="AO265" i="2"/>
  <c r="AP265" i="2"/>
  <c r="AQ265" i="2"/>
  <c r="AN265" i="2"/>
  <c r="AM261" i="2"/>
  <c r="AO261" i="2"/>
  <c r="AP261" i="2"/>
  <c r="AQ261" i="2"/>
  <c r="AN261" i="2"/>
  <c r="AM257" i="2"/>
  <c r="AO257" i="2"/>
  <c r="AP257" i="2"/>
  <c r="AQ257" i="2"/>
  <c r="AN257" i="2"/>
  <c r="AM253" i="2"/>
  <c r="AO253" i="2"/>
  <c r="AP253" i="2"/>
  <c r="AQ253" i="2"/>
  <c r="AN253" i="2"/>
  <c r="AM249" i="2"/>
  <c r="AO249" i="2"/>
  <c r="AP249" i="2"/>
  <c r="AQ249" i="2"/>
  <c r="AN249" i="2"/>
  <c r="AM245" i="2"/>
  <c r="AP245" i="2"/>
  <c r="AO245" i="2"/>
  <c r="AQ245" i="2"/>
  <c r="AN245" i="2"/>
  <c r="AM241" i="2"/>
  <c r="AP241" i="2"/>
  <c r="AO241" i="2"/>
  <c r="AQ241" i="2"/>
  <c r="AN241" i="2"/>
  <c r="AM237" i="2"/>
  <c r="AP237" i="2"/>
  <c r="AO237" i="2"/>
  <c r="AQ237" i="2"/>
  <c r="AN237" i="2"/>
  <c r="AM233" i="2"/>
  <c r="AP233" i="2"/>
  <c r="AQ233" i="2"/>
  <c r="AO233" i="2"/>
  <c r="AN233" i="2"/>
  <c r="AM229" i="2"/>
  <c r="AP229" i="2"/>
  <c r="AO229" i="2"/>
  <c r="AQ229" i="2"/>
  <c r="AN229" i="2"/>
  <c r="AM225" i="2"/>
  <c r="AQ225" i="2"/>
  <c r="AP225" i="2"/>
  <c r="AO225" i="2"/>
  <c r="AN225" i="2"/>
  <c r="AM522" i="2"/>
  <c r="AQ522" i="2"/>
  <c r="AN522" i="2"/>
  <c r="AO522" i="2"/>
  <c r="AP522" i="2"/>
  <c r="AM518" i="2"/>
  <c r="AQ518" i="2"/>
  <c r="AN518" i="2"/>
  <c r="AO518" i="2"/>
  <c r="AP518" i="2"/>
  <c r="AM514" i="2"/>
  <c r="AP514" i="2"/>
  <c r="AQ514" i="2"/>
  <c r="AN514" i="2"/>
  <c r="AO514" i="2"/>
  <c r="AM510" i="2"/>
  <c r="AP510" i="2"/>
  <c r="AN510" i="2"/>
  <c r="AO510" i="2"/>
  <c r="AQ510" i="2"/>
  <c r="AM506" i="2"/>
  <c r="AP506" i="2"/>
  <c r="AQ506" i="2"/>
  <c r="AN506" i="2"/>
  <c r="AO506" i="2"/>
  <c r="AM502" i="2"/>
  <c r="AP502" i="2"/>
  <c r="AN502" i="2"/>
  <c r="AO502" i="2"/>
  <c r="AQ502" i="2"/>
  <c r="AM498" i="2"/>
  <c r="AP498" i="2"/>
  <c r="AQ498" i="2"/>
  <c r="AN498" i="2"/>
  <c r="AO498" i="2"/>
  <c r="AM494" i="2"/>
  <c r="AP494" i="2"/>
  <c r="AN494" i="2"/>
  <c r="AO494" i="2"/>
  <c r="AQ494" i="2"/>
  <c r="AM490" i="2"/>
  <c r="AP490" i="2"/>
  <c r="AQ490" i="2"/>
  <c r="AN490" i="2"/>
  <c r="AO490" i="2"/>
  <c r="AM486" i="2"/>
  <c r="AP486" i="2"/>
  <c r="AN486" i="2"/>
  <c r="AO486" i="2"/>
  <c r="AQ486" i="2"/>
  <c r="AM482" i="2"/>
  <c r="AP482" i="2"/>
  <c r="AQ482" i="2"/>
  <c r="AN482" i="2"/>
  <c r="AO482" i="2"/>
  <c r="AM479" i="2"/>
  <c r="AO479" i="2"/>
  <c r="AQ479" i="2"/>
  <c r="AN479" i="2"/>
  <c r="AP479" i="2"/>
  <c r="AM475" i="2"/>
  <c r="AO475" i="2"/>
  <c r="AQ475" i="2"/>
  <c r="AP475" i="2"/>
  <c r="AN475" i="2"/>
  <c r="AM471" i="2"/>
  <c r="AO471" i="2"/>
  <c r="AQ471" i="2"/>
  <c r="AN471" i="2"/>
  <c r="AP471" i="2"/>
  <c r="AM467" i="2"/>
  <c r="AO467" i="2"/>
  <c r="AP467" i="2"/>
  <c r="AQ467" i="2"/>
  <c r="AN467" i="2"/>
  <c r="AM463" i="2"/>
  <c r="AO463" i="2"/>
  <c r="AP463" i="2"/>
  <c r="AQ463" i="2"/>
  <c r="AN463" i="2"/>
  <c r="AM459" i="2"/>
  <c r="AO459" i="2"/>
  <c r="AP459" i="2"/>
  <c r="AQ459" i="2"/>
  <c r="AN459" i="2"/>
  <c r="AM455" i="2"/>
  <c r="AO455" i="2"/>
  <c r="AP455" i="2"/>
  <c r="AQ455" i="2"/>
  <c r="AN455" i="2"/>
  <c r="AM451" i="2"/>
  <c r="AO451" i="2"/>
  <c r="AP451" i="2"/>
  <c r="AQ451" i="2"/>
  <c r="AN451" i="2"/>
  <c r="AM447" i="2"/>
  <c r="AO447" i="2"/>
  <c r="AP447" i="2"/>
  <c r="AQ447" i="2"/>
  <c r="AN447" i="2"/>
  <c r="AM443" i="2"/>
  <c r="AO443" i="2"/>
  <c r="AP443" i="2"/>
  <c r="AQ443" i="2"/>
  <c r="AN443" i="2"/>
  <c r="AM439" i="2"/>
  <c r="AO439" i="2"/>
  <c r="AP439" i="2"/>
  <c r="AQ439" i="2"/>
  <c r="AN439" i="2"/>
  <c r="AM435" i="2"/>
  <c r="AO435" i="2"/>
  <c r="AP435" i="2"/>
  <c r="AQ435" i="2"/>
  <c r="AN435" i="2"/>
  <c r="AM431" i="2"/>
  <c r="AO431" i="2"/>
  <c r="AP431" i="2"/>
  <c r="AQ431" i="2"/>
  <c r="AN431" i="2"/>
  <c r="AM427" i="2"/>
  <c r="AO427" i="2"/>
  <c r="AP427" i="2"/>
  <c r="AQ427" i="2"/>
  <c r="AN427" i="2"/>
  <c r="AM423" i="2"/>
  <c r="AO423" i="2"/>
  <c r="AP423" i="2"/>
  <c r="AQ423" i="2"/>
  <c r="AN423" i="2"/>
  <c r="AM419" i="2"/>
  <c r="AO419" i="2"/>
  <c r="AP419" i="2"/>
  <c r="AQ419" i="2"/>
  <c r="AN419" i="2"/>
  <c r="AM415" i="2"/>
  <c r="AO415" i="2"/>
  <c r="AP415" i="2"/>
  <c r="AQ415" i="2"/>
  <c r="AN415" i="2"/>
  <c r="AM411" i="2"/>
  <c r="AO411" i="2"/>
  <c r="AQ411" i="2"/>
  <c r="AP411" i="2"/>
  <c r="AN411" i="2"/>
  <c r="AM407" i="2"/>
  <c r="AO407" i="2"/>
  <c r="AP407" i="2"/>
  <c r="AQ407" i="2"/>
  <c r="AN407" i="2"/>
  <c r="AM403" i="2"/>
  <c r="AO403" i="2"/>
  <c r="AP403" i="2"/>
  <c r="AQ403" i="2"/>
  <c r="AN403" i="2"/>
  <c r="AM399" i="2"/>
  <c r="AO399" i="2"/>
  <c r="AP399" i="2"/>
  <c r="AQ399" i="2"/>
  <c r="AN399" i="2"/>
  <c r="AM395" i="2"/>
  <c r="AO395" i="2"/>
  <c r="AQ395" i="2"/>
  <c r="AP395" i="2"/>
  <c r="AN395" i="2"/>
  <c r="AM391" i="2"/>
  <c r="AO391" i="2"/>
  <c r="AP391" i="2"/>
  <c r="AQ391" i="2"/>
  <c r="AN391" i="2"/>
  <c r="AM387" i="2"/>
  <c r="AO387" i="2"/>
  <c r="AP387" i="2"/>
  <c r="AQ387" i="2"/>
  <c r="AN387" i="2"/>
  <c r="AM383" i="2"/>
  <c r="AO383" i="2"/>
  <c r="AP383" i="2"/>
  <c r="AQ383" i="2"/>
  <c r="AN383" i="2"/>
  <c r="AM379" i="2"/>
  <c r="AO379" i="2"/>
  <c r="AQ379" i="2"/>
  <c r="AP379" i="2"/>
  <c r="AN379" i="2"/>
  <c r="AM375" i="2"/>
  <c r="AO375" i="2"/>
  <c r="AP375" i="2"/>
  <c r="AQ375" i="2"/>
  <c r="AN375" i="2"/>
  <c r="AM371" i="2"/>
  <c r="AO371" i="2"/>
  <c r="AP371" i="2"/>
  <c r="AQ371" i="2"/>
  <c r="AN371" i="2"/>
  <c r="AM367" i="2"/>
  <c r="AO367" i="2"/>
  <c r="AP367" i="2"/>
  <c r="AQ367" i="2"/>
  <c r="AN367" i="2"/>
  <c r="AM363" i="2"/>
  <c r="AO363" i="2"/>
  <c r="AQ363" i="2"/>
  <c r="AP363" i="2"/>
  <c r="AN363" i="2"/>
  <c r="AM359" i="2"/>
  <c r="AO359" i="2"/>
  <c r="AP359" i="2"/>
  <c r="AQ359" i="2"/>
  <c r="AN359" i="2"/>
  <c r="AM355" i="2"/>
  <c r="AO355" i="2"/>
  <c r="AP355" i="2"/>
  <c r="AQ355" i="2"/>
  <c r="AN355" i="2"/>
  <c r="AM351" i="2"/>
  <c r="AO351" i="2"/>
  <c r="AP351" i="2"/>
  <c r="AQ351" i="2"/>
  <c r="AN351" i="2"/>
  <c r="AM347" i="2"/>
  <c r="AO347" i="2"/>
  <c r="AQ347" i="2"/>
  <c r="AP347" i="2"/>
  <c r="AN347" i="2"/>
  <c r="AM343" i="2"/>
  <c r="AO343" i="2"/>
  <c r="AP343" i="2"/>
  <c r="AQ343" i="2"/>
  <c r="AN343" i="2"/>
  <c r="AM339" i="2"/>
  <c r="AO339" i="2"/>
  <c r="AP339" i="2"/>
  <c r="AQ339" i="2"/>
  <c r="AN339" i="2"/>
  <c r="AM336" i="2"/>
  <c r="AQ336" i="2"/>
  <c r="AO336" i="2"/>
  <c r="AP336" i="2"/>
  <c r="AN336" i="2"/>
  <c r="AM332" i="2"/>
  <c r="AQ332" i="2"/>
  <c r="AO332" i="2"/>
  <c r="AP332" i="2"/>
  <c r="AN332" i="2"/>
  <c r="AM328" i="2"/>
  <c r="AQ328" i="2"/>
  <c r="AO328" i="2"/>
  <c r="AP328" i="2"/>
  <c r="AN328" i="2"/>
  <c r="AM324" i="2"/>
  <c r="AQ324" i="2"/>
  <c r="AO324" i="2"/>
  <c r="AP324" i="2"/>
  <c r="AN324" i="2"/>
  <c r="AM320" i="2"/>
  <c r="AQ320" i="2"/>
  <c r="AO320" i="2"/>
  <c r="AP320" i="2"/>
  <c r="AN320" i="2"/>
  <c r="AM316" i="2"/>
  <c r="AQ316" i="2"/>
  <c r="AO316" i="2"/>
  <c r="AP316" i="2"/>
  <c r="AN316" i="2"/>
  <c r="AM312" i="2"/>
  <c r="AQ312" i="2"/>
  <c r="AO312" i="2"/>
  <c r="AP312" i="2"/>
  <c r="AN312" i="2"/>
  <c r="AM308" i="2"/>
  <c r="AQ308" i="2"/>
  <c r="AO308" i="2"/>
  <c r="AP308" i="2"/>
  <c r="AN308" i="2"/>
  <c r="AM304" i="2"/>
  <c r="AQ304" i="2"/>
  <c r="AO304" i="2"/>
  <c r="AP304" i="2"/>
  <c r="AN304" i="2"/>
  <c r="AM300" i="2"/>
  <c r="AQ300" i="2"/>
  <c r="AO300" i="2"/>
  <c r="AP300" i="2"/>
  <c r="AN300" i="2"/>
  <c r="AM296" i="2"/>
  <c r="AQ296" i="2"/>
  <c r="AO296" i="2"/>
  <c r="AP296" i="2"/>
  <c r="AN296" i="2"/>
  <c r="AM292" i="2"/>
  <c r="AQ292" i="2"/>
  <c r="AO292" i="2"/>
  <c r="AP292" i="2"/>
  <c r="AN292" i="2"/>
  <c r="AM288" i="2"/>
  <c r="AQ288" i="2"/>
  <c r="AO288" i="2"/>
  <c r="AP288" i="2"/>
  <c r="AN288" i="2"/>
  <c r="AM284" i="2"/>
  <c r="AQ284" i="2"/>
  <c r="AO284" i="2"/>
  <c r="AP284" i="2"/>
  <c r="AN284" i="2"/>
  <c r="AM280" i="2"/>
  <c r="AQ280" i="2"/>
  <c r="AO280" i="2"/>
  <c r="AP280" i="2"/>
  <c r="AN280" i="2"/>
  <c r="AM276" i="2"/>
  <c r="AQ276" i="2"/>
  <c r="AO276" i="2"/>
  <c r="AP276" i="2"/>
  <c r="AN276" i="2"/>
  <c r="AM272" i="2"/>
  <c r="AQ272" i="2"/>
  <c r="AO272" i="2"/>
  <c r="AP272" i="2"/>
  <c r="AN272" i="2"/>
  <c r="AM268" i="2"/>
  <c r="AQ268" i="2"/>
  <c r="AO268" i="2"/>
  <c r="AP268" i="2"/>
  <c r="AN268" i="2"/>
  <c r="AM264" i="2"/>
  <c r="AQ264" i="2"/>
  <c r="AO264" i="2"/>
  <c r="AP264" i="2"/>
  <c r="AN264" i="2"/>
  <c r="AM260" i="2"/>
  <c r="AQ260" i="2"/>
  <c r="AO260" i="2"/>
  <c r="AP260" i="2"/>
  <c r="AN260" i="2"/>
  <c r="AM256" i="2"/>
  <c r="AQ256" i="2"/>
  <c r="AO256" i="2"/>
  <c r="AP256" i="2"/>
  <c r="AN256" i="2"/>
  <c r="AM252" i="2"/>
  <c r="AQ252" i="2"/>
  <c r="AO252" i="2"/>
  <c r="AP252" i="2"/>
  <c r="AN252" i="2"/>
  <c r="AM248" i="2"/>
  <c r="AQ248" i="2"/>
  <c r="AO248" i="2"/>
  <c r="AP248" i="2"/>
  <c r="AN248" i="2"/>
  <c r="AM244" i="2"/>
  <c r="AO244" i="2"/>
  <c r="AP244" i="2"/>
  <c r="AQ244" i="2"/>
  <c r="AN244" i="2"/>
  <c r="AM240" i="2"/>
  <c r="AO240" i="2"/>
  <c r="AQ240" i="2"/>
  <c r="AP240" i="2"/>
  <c r="AN240" i="2"/>
  <c r="AM236" i="2"/>
  <c r="AO236" i="2"/>
  <c r="AP236" i="2"/>
  <c r="AQ236" i="2"/>
  <c r="AN236" i="2"/>
  <c r="AM232" i="2"/>
  <c r="AO232" i="2"/>
  <c r="AP232" i="2"/>
  <c r="AQ232" i="2"/>
  <c r="AN232" i="2"/>
  <c r="AM228" i="2"/>
  <c r="AO228" i="2"/>
  <c r="AP228" i="2"/>
  <c r="AQ228" i="2"/>
  <c r="AN228" i="2"/>
  <c r="AM224" i="2"/>
  <c r="AP224" i="2"/>
  <c r="AO224" i="2"/>
  <c r="AQ224" i="2"/>
  <c r="AN224" i="2"/>
  <c r="AM220" i="2"/>
  <c r="AP220" i="2"/>
  <c r="AO220" i="2"/>
  <c r="AQ220" i="2"/>
  <c r="AN220" i="2"/>
  <c r="AM216" i="2"/>
  <c r="AP216" i="2"/>
  <c r="AO216" i="2"/>
  <c r="AQ216" i="2"/>
  <c r="AN216" i="2"/>
  <c r="AM212" i="2"/>
  <c r="AP212" i="2"/>
  <c r="AO212" i="2"/>
  <c r="AQ212" i="2"/>
  <c r="AN212" i="2"/>
  <c r="AM208" i="2"/>
  <c r="AP208" i="2"/>
  <c r="AO208" i="2"/>
  <c r="AQ208" i="2"/>
  <c r="AN208" i="2"/>
  <c r="AM204" i="2"/>
  <c r="AP204" i="2"/>
  <c r="AO204" i="2"/>
  <c r="AQ204" i="2"/>
  <c r="AN204" i="2"/>
  <c r="AM200" i="2"/>
  <c r="AP200" i="2"/>
  <c r="AO200" i="2"/>
  <c r="AQ200" i="2"/>
  <c r="AN200" i="2"/>
  <c r="AM196" i="2"/>
  <c r="AP196" i="2"/>
  <c r="AO196" i="2"/>
  <c r="AQ196" i="2"/>
  <c r="AN196" i="2"/>
  <c r="AM192" i="2"/>
  <c r="AP192" i="2"/>
  <c r="AQ192" i="2"/>
  <c r="AO192" i="2"/>
  <c r="AN192" i="2"/>
  <c r="AM188" i="2"/>
  <c r="AP188" i="2"/>
  <c r="AQ188" i="2"/>
  <c r="AO188" i="2"/>
  <c r="AN188" i="2"/>
  <c r="AM184" i="2"/>
  <c r="AP184" i="2"/>
  <c r="AQ184" i="2"/>
  <c r="AO184" i="2"/>
  <c r="AN184" i="2"/>
  <c r="AM180" i="2"/>
  <c r="AP180" i="2"/>
  <c r="AQ180" i="2"/>
  <c r="AO180" i="2"/>
  <c r="AN180" i="2"/>
  <c r="AM176" i="2"/>
  <c r="AP176" i="2"/>
  <c r="AQ176" i="2"/>
  <c r="AO176" i="2"/>
  <c r="AN176" i="2"/>
  <c r="AM172" i="2"/>
  <c r="AP172" i="2"/>
  <c r="AQ172" i="2"/>
  <c r="AO172" i="2"/>
  <c r="AN172" i="2"/>
  <c r="AM168" i="2"/>
  <c r="AP168" i="2"/>
  <c r="AQ168" i="2"/>
  <c r="AO168" i="2"/>
  <c r="AN168" i="2"/>
  <c r="AM525" i="2"/>
  <c r="AP525" i="2"/>
  <c r="AQ525" i="2"/>
  <c r="AO525" i="2"/>
  <c r="AN525" i="2"/>
  <c r="AM521" i="2"/>
  <c r="AP521" i="2"/>
  <c r="AQ521" i="2"/>
  <c r="AO521" i="2"/>
  <c r="AN521" i="2"/>
  <c r="AM517" i="2"/>
  <c r="AP517" i="2"/>
  <c r="AQ517" i="2"/>
  <c r="AO517" i="2"/>
  <c r="AN517" i="2"/>
  <c r="AM513" i="2"/>
  <c r="AQ513" i="2"/>
  <c r="AO513" i="2"/>
  <c r="AP513" i="2"/>
  <c r="AN513" i="2"/>
  <c r="AM509" i="2"/>
  <c r="AQ509" i="2"/>
  <c r="AO509" i="2"/>
  <c r="AP509" i="2"/>
  <c r="AN509" i="2"/>
  <c r="AM505" i="2"/>
  <c r="AQ505" i="2"/>
  <c r="AO505" i="2"/>
  <c r="AP505" i="2"/>
  <c r="AN505" i="2"/>
  <c r="AM501" i="2"/>
  <c r="AQ501" i="2"/>
  <c r="AO501" i="2"/>
  <c r="AP501" i="2"/>
  <c r="AN501" i="2"/>
  <c r="AM497" i="2"/>
  <c r="AQ497" i="2"/>
  <c r="AO497" i="2"/>
  <c r="AP497" i="2"/>
  <c r="AN497" i="2"/>
  <c r="AM493" i="2"/>
  <c r="AQ493" i="2"/>
  <c r="AO493" i="2"/>
  <c r="AP493" i="2"/>
  <c r="AN493" i="2"/>
  <c r="AM489" i="2"/>
  <c r="AQ489" i="2"/>
  <c r="AO489" i="2"/>
  <c r="AP489" i="2"/>
  <c r="AN489" i="2"/>
  <c r="AM485" i="2"/>
  <c r="AQ485" i="2"/>
  <c r="AO485" i="2"/>
  <c r="AP485" i="2"/>
  <c r="AN485" i="2"/>
  <c r="AM478" i="2"/>
  <c r="AP478" i="2"/>
  <c r="AN478" i="2"/>
  <c r="AO478" i="2"/>
  <c r="AQ478" i="2"/>
  <c r="AM474" i="2"/>
  <c r="AP474" i="2"/>
  <c r="AQ474" i="2"/>
  <c r="AN474" i="2"/>
  <c r="AO474" i="2"/>
  <c r="AM470" i="2"/>
  <c r="AO470" i="2"/>
  <c r="AP470" i="2"/>
  <c r="AN470" i="2"/>
  <c r="AQ470" i="2"/>
  <c r="AM466" i="2"/>
  <c r="AO466" i="2"/>
  <c r="AP466" i="2"/>
  <c r="AN466" i="2"/>
  <c r="AQ466" i="2"/>
  <c r="AM462" i="2"/>
  <c r="AO462" i="2"/>
  <c r="AP462" i="2"/>
  <c r="AQ462" i="2"/>
  <c r="AN462" i="2"/>
  <c r="AM458" i="2"/>
  <c r="AO458" i="2"/>
  <c r="AP458" i="2"/>
  <c r="AN458" i="2"/>
  <c r="AQ458" i="2"/>
  <c r="AM454" i="2"/>
  <c r="AO454" i="2"/>
  <c r="AP454" i="2"/>
  <c r="AN454" i="2"/>
  <c r="AQ454" i="2"/>
  <c r="AM450" i="2"/>
  <c r="AQ450" i="2"/>
  <c r="AO450" i="2"/>
  <c r="AP450" i="2"/>
  <c r="AN450" i="2"/>
  <c r="AM446" i="2"/>
  <c r="AQ446" i="2"/>
  <c r="AO446" i="2"/>
  <c r="AP446" i="2"/>
  <c r="AN446" i="2"/>
  <c r="AM442" i="2"/>
  <c r="AQ442" i="2"/>
  <c r="AO442" i="2"/>
  <c r="AP442" i="2"/>
  <c r="AN442" i="2"/>
  <c r="AM438" i="2"/>
  <c r="AQ438" i="2"/>
  <c r="AO438" i="2"/>
  <c r="AP438" i="2"/>
  <c r="AN438" i="2"/>
  <c r="AM434" i="2"/>
  <c r="AQ434" i="2"/>
  <c r="AO434" i="2"/>
  <c r="AP434" i="2"/>
  <c r="AN434" i="2"/>
  <c r="AM430" i="2"/>
  <c r="AQ430" i="2"/>
  <c r="AO430" i="2"/>
  <c r="AP430" i="2"/>
  <c r="AN430" i="2"/>
  <c r="AM426" i="2"/>
  <c r="AQ426" i="2"/>
  <c r="AO426" i="2"/>
  <c r="AP426" i="2"/>
  <c r="AN426" i="2"/>
  <c r="AM422" i="2"/>
  <c r="AQ422" i="2"/>
  <c r="AO422" i="2"/>
  <c r="AP422" i="2"/>
  <c r="AN422" i="2"/>
  <c r="AM418" i="2"/>
  <c r="AQ418" i="2"/>
  <c r="AO418" i="2"/>
  <c r="AP418" i="2"/>
  <c r="AN418" i="2"/>
  <c r="AM414" i="2"/>
  <c r="AO414" i="2"/>
  <c r="AP414" i="2"/>
  <c r="AQ414" i="2"/>
  <c r="AN414" i="2"/>
  <c r="AM410" i="2"/>
  <c r="AO410" i="2"/>
  <c r="AP410" i="2"/>
  <c r="AQ410" i="2"/>
  <c r="AN410" i="2"/>
  <c r="AM406" i="2"/>
  <c r="AP406" i="2"/>
  <c r="AQ406" i="2"/>
  <c r="AO406" i="2"/>
  <c r="AN406" i="2"/>
  <c r="AM402" i="2"/>
  <c r="AQ402" i="2"/>
  <c r="AO402" i="2"/>
  <c r="AP402" i="2"/>
  <c r="AN402" i="2"/>
  <c r="AM398" i="2"/>
  <c r="AO398" i="2"/>
  <c r="AP398" i="2"/>
  <c r="AQ398" i="2"/>
  <c r="AN398" i="2"/>
  <c r="AM394" i="2"/>
  <c r="AO394" i="2"/>
  <c r="AP394" i="2"/>
  <c r="AQ394" i="2"/>
  <c r="AN394" i="2"/>
  <c r="AM390" i="2"/>
  <c r="AP390" i="2"/>
  <c r="AQ390" i="2"/>
  <c r="AO390" i="2"/>
  <c r="AN390" i="2"/>
  <c r="AM386" i="2"/>
  <c r="AQ386" i="2"/>
  <c r="AO386" i="2"/>
  <c r="AP386" i="2"/>
  <c r="AN386" i="2"/>
  <c r="AM382" i="2"/>
  <c r="AO382" i="2"/>
  <c r="AP382" i="2"/>
  <c r="AQ382" i="2"/>
  <c r="AN382" i="2"/>
  <c r="AM378" i="2"/>
  <c r="AO378" i="2"/>
  <c r="AP378" i="2"/>
  <c r="AQ378" i="2"/>
  <c r="AN378" i="2"/>
  <c r="AM374" i="2"/>
  <c r="AP374" i="2"/>
  <c r="AQ374" i="2"/>
  <c r="AO374" i="2"/>
  <c r="AN374" i="2"/>
  <c r="AM370" i="2"/>
  <c r="AQ370" i="2"/>
  <c r="AO370" i="2"/>
  <c r="AP370" i="2"/>
  <c r="AN370" i="2"/>
  <c r="AM366" i="2"/>
  <c r="AO366" i="2"/>
  <c r="AP366" i="2"/>
  <c r="AQ366" i="2"/>
  <c r="AN366" i="2"/>
  <c r="AM362" i="2"/>
  <c r="AO362" i="2"/>
  <c r="AP362" i="2"/>
  <c r="AQ362" i="2"/>
  <c r="AN362" i="2"/>
  <c r="AM358" i="2"/>
  <c r="AP358" i="2"/>
  <c r="AQ358" i="2"/>
  <c r="AO358" i="2"/>
  <c r="AN358" i="2"/>
  <c r="AM354" i="2"/>
  <c r="AQ354" i="2"/>
  <c r="AO354" i="2"/>
  <c r="AP354" i="2"/>
  <c r="AN354" i="2"/>
  <c r="AM350" i="2"/>
  <c r="AO350" i="2"/>
  <c r="AP350" i="2"/>
  <c r="AQ350" i="2"/>
  <c r="AN350" i="2"/>
  <c r="AM346" i="2"/>
  <c r="AO346" i="2"/>
  <c r="AP346" i="2"/>
  <c r="AQ346" i="2"/>
  <c r="AN346" i="2"/>
  <c r="AM342" i="2"/>
  <c r="AP342" i="2"/>
  <c r="AQ342" i="2"/>
  <c r="AO342" i="2"/>
  <c r="AN342" i="2"/>
  <c r="AM335" i="2"/>
  <c r="AP335" i="2"/>
  <c r="AQ335" i="2"/>
  <c r="AO335" i="2"/>
  <c r="AN335" i="2"/>
  <c r="AM331" i="2"/>
  <c r="AP331" i="2"/>
  <c r="AQ331" i="2"/>
  <c r="AO331" i="2"/>
  <c r="AN331" i="2"/>
  <c r="AM327" i="2"/>
  <c r="AP327" i="2"/>
  <c r="AQ327" i="2"/>
  <c r="AO327" i="2"/>
  <c r="AN327" i="2"/>
  <c r="AM323" i="2"/>
  <c r="AP323" i="2"/>
  <c r="AQ323" i="2"/>
  <c r="AO323" i="2"/>
  <c r="AN323" i="2"/>
  <c r="AM319" i="2"/>
  <c r="AP319" i="2"/>
  <c r="AQ319" i="2"/>
  <c r="AO319" i="2"/>
  <c r="AN319" i="2"/>
  <c r="AM315" i="2"/>
  <c r="AP315" i="2"/>
  <c r="AQ315" i="2"/>
  <c r="AO315" i="2"/>
  <c r="AN315" i="2"/>
  <c r="AM311" i="2"/>
  <c r="AP311" i="2"/>
  <c r="AQ311" i="2"/>
  <c r="AO311" i="2"/>
  <c r="AN311" i="2"/>
  <c r="AM307" i="2"/>
  <c r="AP307" i="2"/>
  <c r="AQ307" i="2"/>
  <c r="AO307" i="2"/>
  <c r="AN307" i="2"/>
  <c r="AM303" i="2"/>
  <c r="AP303" i="2"/>
  <c r="AQ303" i="2"/>
  <c r="AO303" i="2"/>
  <c r="AN303" i="2"/>
  <c r="AM299" i="2"/>
  <c r="AP299" i="2"/>
  <c r="AQ299" i="2"/>
  <c r="AO299" i="2"/>
  <c r="AN299" i="2"/>
  <c r="AM295" i="2"/>
  <c r="AP295" i="2"/>
  <c r="AQ295" i="2"/>
  <c r="AO295" i="2"/>
  <c r="AN295" i="2"/>
  <c r="AM291" i="2"/>
  <c r="AP291" i="2"/>
  <c r="AQ291" i="2"/>
  <c r="AO291" i="2"/>
  <c r="AN291" i="2"/>
  <c r="AM287" i="2"/>
  <c r="AP287" i="2"/>
  <c r="AQ287" i="2"/>
  <c r="AO287" i="2"/>
  <c r="AN287" i="2"/>
  <c r="AM283" i="2"/>
  <c r="AP283" i="2"/>
  <c r="AQ283" i="2"/>
  <c r="AO283" i="2"/>
  <c r="AN283" i="2"/>
  <c r="AM279" i="2"/>
  <c r="AP279" i="2"/>
  <c r="AQ279" i="2"/>
  <c r="AO279" i="2"/>
  <c r="AN279" i="2"/>
  <c r="AM275" i="2"/>
  <c r="AP275" i="2"/>
  <c r="AQ275" i="2"/>
  <c r="AO275" i="2"/>
  <c r="AN275" i="2"/>
  <c r="AM271" i="2"/>
  <c r="AP271" i="2"/>
  <c r="AQ271" i="2"/>
  <c r="AO271" i="2"/>
  <c r="AN271" i="2"/>
  <c r="AM267" i="2"/>
  <c r="AP267" i="2"/>
  <c r="AQ267" i="2"/>
  <c r="AO267" i="2"/>
  <c r="AN267" i="2"/>
  <c r="AM263" i="2"/>
  <c r="AP263" i="2"/>
  <c r="AQ263" i="2"/>
  <c r="AO263" i="2"/>
  <c r="AN263" i="2"/>
  <c r="AM259" i="2"/>
  <c r="AP259" i="2"/>
  <c r="AQ259" i="2"/>
  <c r="AO259" i="2"/>
  <c r="AN259" i="2"/>
  <c r="AM255" i="2"/>
  <c r="AP255" i="2"/>
  <c r="AQ255" i="2"/>
  <c r="AO255" i="2"/>
  <c r="AN255" i="2"/>
  <c r="AM251" i="2"/>
  <c r="AP251" i="2"/>
  <c r="AQ251" i="2"/>
  <c r="AO251" i="2"/>
  <c r="AN251" i="2"/>
  <c r="AM247" i="2"/>
  <c r="AP247" i="2"/>
  <c r="AQ247" i="2"/>
  <c r="AO247" i="2"/>
  <c r="AN247" i="2"/>
  <c r="AM243" i="2"/>
  <c r="AO243" i="2"/>
  <c r="AP243" i="2"/>
  <c r="AQ243" i="2"/>
  <c r="AN243" i="2"/>
  <c r="AM239" i="2"/>
  <c r="AO239" i="2"/>
  <c r="AP239" i="2"/>
  <c r="AQ239" i="2"/>
  <c r="AN239" i="2"/>
  <c r="AM235" i="2"/>
  <c r="AP235" i="2"/>
  <c r="AQ235" i="2"/>
  <c r="AO235" i="2"/>
  <c r="AN235" i="2"/>
  <c r="AM231" i="2"/>
  <c r="AQ231" i="2"/>
  <c r="AO231" i="2"/>
  <c r="AP231" i="2"/>
  <c r="AN231" i="2"/>
  <c r="AM227" i="2"/>
  <c r="AO227" i="2"/>
  <c r="AP227" i="2"/>
  <c r="AQ227" i="2"/>
  <c r="AN227" i="2"/>
  <c r="AM223" i="2"/>
  <c r="AO223" i="2"/>
  <c r="AQ223" i="2"/>
  <c r="AP223" i="2"/>
  <c r="AN223" i="2"/>
  <c r="AO163" i="2"/>
  <c r="AP163" i="2"/>
  <c r="AQ163" i="2"/>
  <c r="AN163" i="2"/>
  <c r="AM163" i="2"/>
  <c r="AM159" i="2"/>
  <c r="AO159" i="2"/>
  <c r="AP159" i="2"/>
  <c r="AQ159" i="2"/>
  <c r="AN159" i="2"/>
  <c r="AM221" i="2"/>
  <c r="AQ221" i="2"/>
  <c r="AO221" i="2"/>
  <c r="AP221" i="2"/>
  <c r="AM217" i="2"/>
  <c r="AQ217" i="2"/>
  <c r="AO217" i="2"/>
  <c r="AP217" i="2"/>
  <c r="AM213" i="2"/>
  <c r="AQ213" i="2"/>
  <c r="AO213" i="2"/>
  <c r="AP213" i="2"/>
  <c r="AM209" i="2"/>
  <c r="AQ209" i="2"/>
  <c r="AO209" i="2"/>
  <c r="AP209" i="2"/>
  <c r="AM205" i="2"/>
  <c r="AQ205" i="2"/>
  <c r="AO205" i="2"/>
  <c r="AP205" i="2"/>
  <c r="AM201" i="2"/>
  <c r="AQ201" i="2"/>
  <c r="AO201" i="2"/>
  <c r="AP201" i="2"/>
  <c r="AM197" i="2"/>
  <c r="AQ197" i="2"/>
  <c r="AO197" i="2"/>
  <c r="AP197" i="2"/>
  <c r="AM193" i="2"/>
  <c r="AQ193" i="2"/>
  <c r="AO193" i="2"/>
  <c r="AP193" i="2"/>
  <c r="AM189" i="2"/>
  <c r="AQ189" i="2"/>
  <c r="AO189" i="2"/>
  <c r="AP189" i="2"/>
  <c r="AM185" i="2"/>
  <c r="AQ185" i="2"/>
  <c r="AO185" i="2"/>
  <c r="AP185" i="2"/>
  <c r="AM181" i="2"/>
  <c r="AQ181" i="2"/>
  <c r="AO181" i="2"/>
  <c r="AP181" i="2"/>
  <c r="AM177" i="2"/>
  <c r="AQ177" i="2"/>
  <c r="AO177" i="2"/>
  <c r="AP177" i="2"/>
  <c r="AM173" i="2"/>
  <c r="AQ173" i="2"/>
  <c r="AO173" i="2"/>
  <c r="AP173" i="2"/>
  <c r="AM169" i="2"/>
  <c r="AQ169" i="2"/>
  <c r="AO169" i="2"/>
  <c r="AP169" i="2"/>
  <c r="AM165" i="2"/>
  <c r="AQ165" i="2"/>
  <c r="AO165" i="2"/>
  <c r="AP165" i="2"/>
  <c r="AM162" i="2"/>
  <c r="AO162" i="2"/>
  <c r="AP162" i="2"/>
  <c r="AQ162" i="2"/>
  <c r="AM158" i="2"/>
  <c r="AO158" i="2"/>
  <c r="AP158" i="2"/>
  <c r="AQ158" i="2"/>
  <c r="AM154" i="2"/>
  <c r="AO154" i="2"/>
  <c r="AP154" i="2"/>
  <c r="AQ154" i="2"/>
  <c r="AM150" i="2"/>
  <c r="AO150" i="2"/>
  <c r="AP150" i="2"/>
  <c r="AQ150" i="2"/>
  <c r="AM146" i="2"/>
  <c r="AO146" i="2"/>
  <c r="AP146" i="2"/>
  <c r="AQ146" i="2"/>
  <c r="AM142" i="2"/>
  <c r="AO142" i="2"/>
  <c r="AP142" i="2"/>
  <c r="AQ142" i="2"/>
  <c r="AM138" i="2"/>
  <c r="AQ138" i="2"/>
  <c r="AO138" i="2"/>
  <c r="AP138" i="2"/>
  <c r="AM134" i="2"/>
  <c r="AQ134" i="2"/>
  <c r="AO134" i="2"/>
  <c r="AP134" i="2"/>
  <c r="AM130" i="2"/>
  <c r="AQ130" i="2"/>
  <c r="AO130" i="2"/>
  <c r="AP130" i="2"/>
  <c r="AM126" i="2"/>
  <c r="AQ126" i="2"/>
  <c r="AO126" i="2"/>
  <c r="AP126" i="2"/>
  <c r="AM122" i="2"/>
  <c r="AQ122" i="2"/>
  <c r="AO122" i="2"/>
  <c r="AP122" i="2"/>
  <c r="AM118" i="2"/>
  <c r="AQ118" i="2"/>
  <c r="AO118" i="2"/>
  <c r="AP118" i="2"/>
  <c r="AM114" i="2"/>
  <c r="AQ114" i="2"/>
  <c r="AO114" i="2"/>
  <c r="AP114" i="2"/>
  <c r="AM110" i="2"/>
  <c r="AQ110" i="2"/>
  <c r="AO110" i="2"/>
  <c r="AP110" i="2"/>
  <c r="AM106" i="2"/>
  <c r="AQ106" i="2"/>
  <c r="AO106" i="2"/>
  <c r="AP106" i="2"/>
  <c r="AM102" i="2"/>
  <c r="AQ102" i="2"/>
  <c r="AO102" i="2"/>
  <c r="AP102" i="2"/>
  <c r="AM98" i="2"/>
  <c r="AQ98" i="2"/>
  <c r="AO98" i="2"/>
  <c r="AP98" i="2"/>
  <c r="AM94" i="2"/>
  <c r="AQ94" i="2"/>
  <c r="AO94" i="2"/>
  <c r="AP94" i="2"/>
  <c r="AM90" i="2"/>
  <c r="AQ90" i="2"/>
  <c r="AO90" i="2"/>
  <c r="AP90" i="2"/>
  <c r="AM86" i="2"/>
  <c r="AQ86" i="2"/>
  <c r="AO86" i="2"/>
  <c r="AP86" i="2"/>
  <c r="AM82" i="2"/>
  <c r="AQ82" i="2"/>
  <c r="AO82" i="2"/>
  <c r="AP82" i="2"/>
  <c r="AM78" i="2"/>
  <c r="AQ78" i="2"/>
  <c r="AO78" i="2"/>
  <c r="AP78" i="2"/>
  <c r="AM74" i="2"/>
  <c r="AQ74" i="2"/>
  <c r="AO74" i="2"/>
  <c r="AP74" i="2"/>
  <c r="AM70" i="2"/>
  <c r="AQ70" i="2"/>
  <c r="AO70" i="2"/>
  <c r="AP70" i="2"/>
  <c r="AM66" i="2"/>
  <c r="AQ66" i="2"/>
  <c r="AO66" i="2"/>
  <c r="AP66" i="2"/>
  <c r="AM62" i="2"/>
  <c r="AQ62" i="2"/>
  <c r="AO62" i="2"/>
  <c r="AP62" i="2"/>
  <c r="AM58" i="2"/>
  <c r="AQ58" i="2"/>
  <c r="AO58" i="2"/>
  <c r="AP58" i="2"/>
  <c r="AM54" i="2"/>
  <c r="AQ54" i="2"/>
  <c r="AO54" i="2"/>
  <c r="AP54" i="2"/>
  <c r="AM50" i="2"/>
  <c r="AQ50" i="2"/>
  <c r="AO50" i="2"/>
  <c r="AP50" i="2"/>
  <c r="AM46" i="2"/>
  <c r="AQ46" i="2"/>
  <c r="AO46" i="2"/>
  <c r="AP46" i="2"/>
  <c r="AM42" i="2"/>
  <c r="AQ42" i="2"/>
  <c r="AO42" i="2"/>
  <c r="AP42" i="2"/>
  <c r="AM38" i="2"/>
  <c r="AQ38" i="2"/>
  <c r="AO38" i="2"/>
  <c r="AP38" i="2"/>
  <c r="AM34" i="2"/>
  <c r="AQ34" i="2"/>
  <c r="AO34" i="2"/>
  <c r="AP34" i="2"/>
  <c r="AQ30" i="2"/>
  <c r="AO30" i="2"/>
  <c r="AP30" i="2"/>
  <c r="AN221" i="2"/>
  <c r="AN217" i="2"/>
  <c r="AN213" i="2"/>
  <c r="AN209" i="2"/>
  <c r="AN205" i="2"/>
  <c r="AN201" i="2"/>
  <c r="AN197" i="2"/>
  <c r="AN193" i="2"/>
  <c r="AN189" i="2"/>
  <c r="AN185" i="2"/>
  <c r="AN181" i="2"/>
  <c r="AN177" i="2"/>
  <c r="AN173" i="2"/>
  <c r="AN169" i="2"/>
  <c r="AN165" i="2"/>
  <c r="AM164" i="2"/>
  <c r="AP164" i="2"/>
  <c r="AQ164" i="2"/>
  <c r="AO164" i="2"/>
  <c r="AM161" i="2"/>
  <c r="AQ161" i="2"/>
  <c r="AO161" i="2"/>
  <c r="AP161" i="2"/>
  <c r="AM157" i="2"/>
  <c r="AQ157" i="2"/>
  <c r="AO157" i="2"/>
  <c r="AP157" i="2"/>
  <c r="AM153" i="2"/>
  <c r="AQ153" i="2"/>
  <c r="AO153" i="2"/>
  <c r="AP153" i="2"/>
  <c r="AM149" i="2"/>
  <c r="AQ149" i="2"/>
  <c r="AO149" i="2"/>
  <c r="AP149" i="2"/>
  <c r="AM145" i="2"/>
  <c r="AQ145" i="2"/>
  <c r="AO145" i="2"/>
  <c r="AP145" i="2"/>
  <c r="AM141" i="2"/>
  <c r="AO141" i="2"/>
  <c r="AQ141" i="2"/>
  <c r="AP141" i="2"/>
  <c r="AM137" i="2"/>
  <c r="AP137" i="2"/>
  <c r="AO137" i="2"/>
  <c r="AQ137" i="2"/>
  <c r="AM133" i="2"/>
  <c r="AP133" i="2"/>
  <c r="AO133" i="2"/>
  <c r="AQ133" i="2"/>
  <c r="AM129" i="2"/>
  <c r="AP129" i="2"/>
  <c r="AO129" i="2"/>
  <c r="AQ129" i="2"/>
  <c r="AM125" i="2"/>
  <c r="AP125" i="2"/>
  <c r="AO125" i="2"/>
  <c r="AQ125" i="2"/>
  <c r="AM121" i="2"/>
  <c r="AP121" i="2"/>
  <c r="AO121" i="2"/>
  <c r="AQ121" i="2"/>
  <c r="AM117" i="2"/>
  <c r="AP117" i="2"/>
  <c r="AO117" i="2"/>
  <c r="AQ117" i="2"/>
  <c r="AM113" i="2"/>
  <c r="AP113" i="2"/>
  <c r="AO113" i="2"/>
  <c r="AQ113" i="2"/>
  <c r="AM109" i="2"/>
  <c r="AP109" i="2"/>
  <c r="AO109" i="2"/>
  <c r="AQ109" i="2"/>
  <c r="AM105" i="2"/>
  <c r="AP105" i="2"/>
  <c r="AO105" i="2"/>
  <c r="AQ105" i="2"/>
  <c r="AM101" i="2"/>
  <c r="AP101" i="2"/>
  <c r="AQ101" i="2"/>
  <c r="AO101" i="2"/>
  <c r="AM97" i="2"/>
  <c r="AP97" i="2"/>
  <c r="AQ97" i="2"/>
  <c r="AO97" i="2"/>
  <c r="AM93" i="2"/>
  <c r="AP93" i="2"/>
  <c r="AQ93" i="2"/>
  <c r="AO93" i="2"/>
  <c r="AM89" i="2"/>
  <c r="AP89" i="2"/>
  <c r="AQ89" i="2"/>
  <c r="AO89" i="2"/>
  <c r="AM85" i="2"/>
  <c r="AP85" i="2"/>
  <c r="AQ85" i="2"/>
  <c r="AO85" i="2"/>
  <c r="AM81" i="2"/>
  <c r="AP81" i="2"/>
  <c r="AQ81" i="2"/>
  <c r="AO81" i="2"/>
  <c r="AM77" i="2"/>
  <c r="AP77" i="2"/>
  <c r="AQ77" i="2"/>
  <c r="AO77" i="2"/>
  <c r="AM73" i="2"/>
  <c r="AP73" i="2"/>
  <c r="AQ73" i="2"/>
  <c r="AO73" i="2"/>
  <c r="AM69" i="2"/>
  <c r="AP69" i="2"/>
  <c r="AQ69" i="2"/>
  <c r="AO69" i="2"/>
  <c r="AM65" i="2"/>
  <c r="AP65" i="2"/>
  <c r="AQ65" i="2"/>
  <c r="AO65" i="2"/>
  <c r="AM61" i="2"/>
  <c r="AP61" i="2"/>
  <c r="AQ61" i="2"/>
  <c r="AO61" i="2"/>
  <c r="AM57" i="2"/>
  <c r="AP57" i="2"/>
  <c r="AQ57" i="2"/>
  <c r="AO57" i="2"/>
  <c r="AM53" i="2"/>
  <c r="AP53" i="2"/>
  <c r="AQ53" i="2"/>
  <c r="AO53" i="2"/>
  <c r="AM49" i="2"/>
  <c r="AP49" i="2"/>
  <c r="AQ49" i="2"/>
  <c r="AO49" i="2"/>
  <c r="AM45" i="2"/>
  <c r="AP45" i="2"/>
  <c r="AQ45" i="2"/>
  <c r="AO45" i="2"/>
  <c r="AM41" i="2"/>
  <c r="AP41" i="2"/>
  <c r="AQ41" i="2"/>
  <c r="AO41" i="2"/>
  <c r="AM37" i="2"/>
  <c r="AP37" i="2"/>
  <c r="AQ37" i="2"/>
  <c r="AO37" i="2"/>
  <c r="AM33" i="2"/>
  <c r="AP33" i="2"/>
  <c r="AQ33" i="2"/>
  <c r="AO33" i="2"/>
  <c r="AP29" i="2"/>
  <c r="AQ29" i="2"/>
  <c r="AO29" i="2"/>
  <c r="AN164" i="2"/>
  <c r="AM219" i="2"/>
  <c r="AO219" i="2"/>
  <c r="AQ219" i="2"/>
  <c r="AP219" i="2"/>
  <c r="AM215" i="2"/>
  <c r="AO215" i="2"/>
  <c r="AQ215" i="2"/>
  <c r="AP215" i="2"/>
  <c r="AM211" i="2"/>
  <c r="AO211" i="2"/>
  <c r="AQ211" i="2"/>
  <c r="AP211" i="2"/>
  <c r="AM207" i="2"/>
  <c r="AO207" i="2"/>
  <c r="AQ207" i="2"/>
  <c r="AP207" i="2"/>
  <c r="AM203" i="2"/>
  <c r="AO203" i="2"/>
  <c r="AQ203" i="2"/>
  <c r="AP203" i="2"/>
  <c r="AM199" i="2"/>
  <c r="AO199" i="2"/>
  <c r="AQ199" i="2"/>
  <c r="AP199" i="2"/>
  <c r="AM195" i="2"/>
  <c r="AO195" i="2"/>
  <c r="AQ195" i="2"/>
  <c r="AP195" i="2"/>
  <c r="AM191" i="2"/>
  <c r="AO191" i="2"/>
  <c r="AP191" i="2"/>
  <c r="AQ191" i="2"/>
  <c r="AM187" i="2"/>
  <c r="AO187" i="2"/>
  <c r="AP187" i="2"/>
  <c r="AQ187" i="2"/>
  <c r="AM183" i="2"/>
  <c r="AO183" i="2"/>
  <c r="AP183" i="2"/>
  <c r="AQ183" i="2"/>
  <c r="AM179" i="2"/>
  <c r="AO179" i="2"/>
  <c r="AP179" i="2"/>
  <c r="AQ179" i="2"/>
  <c r="AM175" i="2"/>
  <c r="AO175" i="2"/>
  <c r="AP175" i="2"/>
  <c r="AQ175" i="2"/>
  <c r="AM171" i="2"/>
  <c r="AO171" i="2"/>
  <c r="AP171" i="2"/>
  <c r="AQ171" i="2"/>
  <c r="AM167" i="2"/>
  <c r="AO167" i="2"/>
  <c r="AP167" i="2"/>
  <c r="AQ167" i="2"/>
  <c r="AM160" i="2"/>
  <c r="AP160" i="2"/>
  <c r="AQ160" i="2"/>
  <c r="AO160" i="2"/>
  <c r="AM156" i="2"/>
  <c r="AP156" i="2"/>
  <c r="AQ156" i="2"/>
  <c r="AO156" i="2"/>
  <c r="AM152" i="2"/>
  <c r="AP152" i="2"/>
  <c r="AQ152" i="2"/>
  <c r="AO152" i="2"/>
  <c r="AM148" i="2"/>
  <c r="AP148" i="2"/>
  <c r="AQ148" i="2"/>
  <c r="AO148" i="2"/>
  <c r="AM144" i="2"/>
  <c r="AP144" i="2"/>
  <c r="AQ144" i="2"/>
  <c r="AO144" i="2"/>
  <c r="AM140" i="2"/>
  <c r="AO140" i="2"/>
  <c r="AQ140" i="2"/>
  <c r="AP140" i="2"/>
  <c r="AM136" i="2"/>
  <c r="AO136" i="2"/>
  <c r="AQ136" i="2"/>
  <c r="AP136" i="2"/>
  <c r="AM132" i="2"/>
  <c r="AO132" i="2"/>
  <c r="AQ132" i="2"/>
  <c r="AP132" i="2"/>
  <c r="AM128" i="2"/>
  <c r="AO128" i="2"/>
  <c r="AQ128" i="2"/>
  <c r="AP128" i="2"/>
  <c r="AM124" i="2"/>
  <c r="AO124" i="2"/>
  <c r="AQ124" i="2"/>
  <c r="AP124" i="2"/>
  <c r="AM120" i="2"/>
  <c r="AO120" i="2"/>
  <c r="AQ120" i="2"/>
  <c r="AP120" i="2"/>
  <c r="AM116" i="2"/>
  <c r="AO116" i="2"/>
  <c r="AQ116" i="2"/>
  <c r="AP116" i="2"/>
  <c r="AM112" i="2"/>
  <c r="AO112" i="2"/>
  <c r="AQ112" i="2"/>
  <c r="AP112" i="2"/>
  <c r="AM108" i="2"/>
  <c r="AO108" i="2"/>
  <c r="AQ108" i="2"/>
  <c r="AP108" i="2"/>
  <c r="AM104" i="2"/>
  <c r="AO104" i="2"/>
  <c r="AP104" i="2"/>
  <c r="AQ104" i="2"/>
  <c r="AM100" i="2"/>
  <c r="AO100" i="2"/>
  <c r="AP100" i="2"/>
  <c r="AQ100" i="2"/>
  <c r="AM96" i="2"/>
  <c r="AO96" i="2"/>
  <c r="AP96" i="2"/>
  <c r="AQ96" i="2"/>
  <c r="AM92" i="2"/>
  <c r="AO92" i="2"/>
  <c r="AP92" i="2"/>
  <c r="AQ92" i="2"/>
  <c r="AM88" i="2"/>
  <c r="AO88" i="2"/>
  <c r="AP88" i="2"/>
  <c r="AQ88" i="2"/>
  <c r="AM84" i="2"/>
  <c r="AO84" i="2"/>
  <c r="AP84" i="2"/>
  <c r="AQ84" i="2"/>
  <c r="AM80" i="2"/>
  <c r="AO80" i="2"/>
  <c r="AP80" i="2"/>
  <c r="AQ80" i="2"/>
  <c r="AM76" i="2"/>
  <c r="AO76" i="2"/>
  <c r="AP76" i="2"/>
  <c r="AQ76" i="2"/>
  <c r="AM72" i="2"/>
  <c r="AO72" i="2"/>
  <c r="AP72" i="2"/>
  <c r="AQ72" i="2"/>
  <c r="AM68" i="2"/>
  <c r="AO68" i="2"/>
  <c r="AP68" i="2"/>
  <c r="AQ68" i="2"/>
  <c r="AM64" i="2"/>
  <c r="AO64" i="2"/>
  <c r="AP64" i="2"/>
  <c r="AQ64" i="2"/>
  <c r="AM60" i="2"/>
  <c r="AO60" i="2"/>
  <c r="AP60" i="2"/>
  <c r="AQ60" i="2"/>
  <c r="AM56" i="2"/>
  <c r="AO56" i="2"/>
  <c r="AP56" i="2"/>
  <c r="AQ56" i="2"/>
  <c r="AM52" i="2"/>
  <c r="AO52" i="2"/>
  <c r="AP52" i="2"/>
  <c r="AQ52" i="2"/>
  <c r="AM48" i="2"/>
  <c r="AO48" i="2"/>
  <c r="AP48" i="2"/>
  <c r="AQ48" i="2"/>
  <c r="AM44" i="2"/>
  <c r="AO44" i="2"/>
  <c r="AP44" i="2"/>
  <c r="AQ44" i="2"/>
  <c r="AM40" i="2"/>
  <c r="AO40" i="2"/>
  <c r="AP40" i="2"/>
  <c r="AQ40" i="2"/>
  <c r="AM36" i="2"/>
  <c r="AO36" i="2"/>
  <c r="AP36" i="2"/>
  <c r="AQ36" i="2"/>
  <c r="AO32" i="2"/>
  <c r="AP32" i="2"/>
  <c r="AQ32" i="2"/>
  <c r="AO28" i="2"/>
  <c r="AP28" i="2"/>
  <c r="AQ28" i="2"/>
  <c r="AN219" i="2"/>
  <c r="AN215" i="2"/>
  <c r="AN211" i="2"/>
  <c r="AN207" i="2"/>
  <c r="AN203" i="2"/>
  <c r="AN199" i="2"/>
  <c r="AN195" i="2"/>
  <c r="AN191" i="2"/>
  <c r="AN187" i="2"/>
  <c r="AN183" i="2"/>
  <c r="AN179" i="2"/>
  <c r="AN175" i="2"/>
  <c r="AN171" i="2"/>
  <c r="AN167" i="2"/>
  <c r="AM155" i="2"/>
  <c r="AO155" i="2"/>
  <c r="AP155" i="2"/>
  <c r="AQ155" i="2"/>
  <c r="AM151" i="2"/>
  <c r="AO151" i="2"/>
  <c r="AP151" i="2"/>
  <c r="AQ151" i="2"/>
  <c r="AM147" i="2"/>
  <c r="AO147" i="2"/>
  <c r="AP147" i="2"/>
  <c r="AQ147" i="2"/>
  <c r="AM143" i="2"/>
  <c r="AO143" i="2"/>
  <c r="AP143" i="2"/>
  <c r="AQ143" i="2"/>
  <c r="AM139" i="2"/>
  <c r="AP139" i="2"/>
  <c r="AQ139" i="2"/>
  <c r="AO139" i="2"/>
  <c r="AM135" i="2"/>
  <c r="AP135" i="2"/>
  <c r="AQ135" i="2"/>
  <c r="AO135" i="2"/>
  <c r="AM131" i="2"/>
  <c r="AP131" i="2"/>
  <c r="AQ131" i="2"/>
  <c r="AO131" i="2"/>
  <c r="AM127" i="2"/>
  <c r="AP127" i="2"/>
  <c r="AQ127" i="2"/>
  <c r="AO127" i="2"/>
  <c r="AM123" i="2"/>
  <c r="AP123" i="2"/>
  <c r="AQ123" i="2"/>
  <c r="AO123" i="2"/>
  <c r="AM119" i="2"/>
  <c r="AP119" i="2"/>
  <c r="AQ119" i="2"/>
  <c r="AO119" i="2"/>
  <c r="AM115" i="2"/>
  <c r="AP115" i="2"/>
  <c r="AQ115" i="2"/>
  <c r="AO115" i="2"/>
  <c r="AM111" i="2"/>
  <c r="AP111" i="2"/>
  <c r="AQ111" i="2"/>
  <c r="AO111" i="2"/>
  <c r="AM107" i="2"/>
  <c r="AP107" i="2"/>
  <c r="AQ107" i="2"/>
  <c r="AO107" i="2"/>
  <c r="AM103" i="2"/>
  <c r="AO103" i="2"/>
  <c r="AP103" i="2"/>
  <c r="AQ103" i="2"/>
  <c r="AM99" i="2"/>
  <c r="AO99" i="2"/>
  <c r="AP99" i="2"/>
  <c r="AQ99" i="2"/>
  <c r="AM95" i="2"/>
  <c r="AO95" i="2"/>
  <c r="AP95" i="2"/>
  <c r="AQ95" i="2"/>
  <c r="AM91" i="2"/>
  <c r="AO91" i="2"/>
  <c r="AP91" i="2"/>
  <c r="AQ91" i="2"/>
  <c r="AM87" i="2"/>
  <c r="AO87" i="2"/>
  <c r="AP87" i="2"/>
  <c r="AQ87" i="2"/>
  <c r="AM83" i="2"/>
  <c r="AO83" i="2"/>
  <c r="AP83" i="2"/>
  <c r="AQ83" i="2"/>
  <c r="AM79" i="2"/>
  <c r="AO79" i="2"/>
  <c r="AP79" i="2"/>
  <c r="AQ79" i="2"/>
  <c r="AM75" i="2"/>
  <c r="AO75" i="2"/>
  <c r="AP75" i="2"/>
  <c r="AQ75" i="2"/>
  <c r="AM71" i="2"/>
  <c r="AO71" i="2"/>
  <c r="AP71" i="2"/>
  <c r="AQ71" i="2"/>
  <c r="AM67" i="2"/>
  <c r="AO67" i="2"/>
  <c r="AP67" i="2"/>
  <c r="AQ67" i="2"/>
  <c r="AM63" i="2"/>
  <c r="AO63" i="2"/>
  <c r="AP63" i="2"/>
  <c r="AQ63" i="2"/>
  <c r="AM59" i="2"/>
  <c r="AO59" i="2"/>
  <c r="AP59" i="2"/>
  <c r="AQ59" i="2"/>
  <c r="AM55" i="2"/>
  <c r="AO55" i="2"/>
  <c r="AP55" i="2"/>
  <c r="AQ55" i="2"/>
  <c r="AM51" i="2"/>
  <c r="AO51" i="2"/>
  <c r="AP51" i="2"/>
  <c r="AQ51" i="2"/>
  <c r="AM47" i="2"/>
  <c r="AO47" i="2"/>
  <c r="AP47" i="2"/>
  <c r="AQ47" i="2"/>
  <c r="AM43" i="2"/>
  <c r="AO43" i="2"/>
  <c r="AP43" i="2"/>
  <c r="AQ43" i="2"/>
  <c r="AM39" i="2"/>
  <c r="AO39" i="2"/>
  <c r="AP39" i="2"/>
  <c r="AQ39" i="2"/>
  <c r="AM35" i="2"/>
  <c r="AO35" i="2"/>
  <c r="AP35" i="2"/>
  <c r="AQ35" i="2"/>
  <c r="AO31" i="2"/>
  <c r="AP31" i="2"/>
  <c r="AQ31" i="2"/>
  <c r="AN162" i="2"/>
  <c r="AN158" i="2"/>
  <c r="AN154" i="2"/>
  <c r="AN150" i="2"/>
  <c r="AN146" i="2"/>
  <c r="AN142" i="2"/>
  <c r="AN138" i="2"/>
  <c r="AN134" i="2"/>
  <c r="AN130" i="2"/>
  <c r="AN126" i="2"/>
  <c r="AN122" i="2"/>
  <c r="AN118" i="2"/>
  <c r="AN114" i="2"/>
  <c r="AN110" i="2"/>
  <c r="AN106" i="2"/>
  <c r="AN102" i="2"/>
  <c r="AN98" i="2"/>
  <c r="AN94" i="2"/>
  <c r="AN90" i="2"/>
  <c r="AN86" i="2"/>
  <c r="AN82" i="2"/>
  <c r="AN78" i="2"/>
  <c r="AN74" i="2"/>
  <c r="AN70" i="2"/>
  <c r="AN66" i="2"/>
  <c r="AN62" i="2"/>
  <c r="AN58" i="2"/>
  <c r="AN54" i="2"/>
  <c r="AN50" i="2"/>
  <c r="AN46" i="2"/>
  <c r="AN42" i="2"/>
  <c r="AN38" i="2"/>
  <c r="AN34" i="2"/>
  <c r="AN30" i="2"/>
  <c r="AA522" i="2"/>
  <c r="AE522" i="2"/>
  <c r="AD522" i="2"/>
  <c r="AC522" i="2"/>
  <c r="AB522" i="2"/>
  <c r="AA518" i="2"/>
  <c r="AE518" i="2"/>
  <c r="AD518" i="2"/>
  <c r="AC518" i="2"/>
  <c r="AB518" i="2"/>
  <c r="AA506" i="2"/>
  <c r="AE506" i="2"/>
  <c r="AD506" i="2"/>
  <c r="AC506" i="2"/>
  <c r="AB506" i="2"/>
  <c r="AA498" i="2"/>
  <c r="AE498" i="2"/>
  <c r="AD498" i="2"/>
  <c r="AB498" i="2"/>
  <c r="AC498" i="2"/>
  <c r="AA490" i="2"/>
  <c r="AE490" i="2"/>
  <c r="AD490" i="2"/>
  <c r="AC490" i="2"/>
  <c r="AB490" i="2"/>
  <c r="AA482" i="2"/>
  <c r="AE482" i="2"/>
  <c r="AD482" i="2"/>
  <c r="AB482" i="2"/>
  <c r="AC482" i="2"/>
  <c r="AA474" i="2"/>
  <c r="AE474" i="2"/>
  <c r="AD474" i="2"/>
  <c r="AC474" i="2"/>
  <c r="AB474" i="2"/>
  <c r="AA466" i="2"/>
  <c r="AE466" i="2"/>
  <c r="AD466" i="2"/>
  <c r="AB466" i="2"/>
  <c r="AC466" i="2"/>
  <c r="AA458" i="2"/>
  <c r="AE458" i="2"/>
  <c r="AD458" i="2"/>
  <c r="AC458" i="2"/>
  <c r="AB458" i="2"/>
  <c r="AA450" i="2"/>
  <c r="AE450" i="2"/>
  <c r="AD450" i="2"/>
  <c r="AB450" i="2"/>
  <c r="AC450" i="2"/>
  <c r="AE442" i="2"/>
  <c r="AD442" i="2"/>
  <c r="AC442" i="2"/>
  <c r="AB442" i="2"/>
  <c r="AE434" i="2"/>
  <c r="AD434" i="2"/>
  <c r="AB434" i="2"/>
  <c r="AC434" i="2"/>
  <c r="AE426" i="2"/>
  <c r="AD426" i="2"/>
  <c r="AC426" i="2"/>
  <c r="AB426" i="2"/>
  <c r="AE418" i="2"/>
  <c r="AD418" i="2"/>
  <c r="AB418" i="2"/>
  <c r="AC418" i="2"/>
  <c r="AE414" i="2"/>
  <c r="AD414" i="2"/>
  <c r="AC414" i="2"/>
  <c r="AB414" i="2"/>
  <c r="AE406" i="2"/>
  <c r="AD406" i="2"/>
  <c r="AC406" i="2"/>
  <c r="AB406" i="2"/>
  <c r="AE394" i="2"/>
  <c r="AD394" i="2"/>
  <c r="AC394" i="2"/>
  <c r="AB394" i="2"/>
  <c r="AE386" i="2"/>
  <c r="AD386" i="2"/>
  <c r="AB386" i="2"/>
  <c r="AC386" i="2"/>
  <c r="AE378" i="2"/>
  <c r="AD378" i="2"/>
  <c r="AC378" i="2"/>
  <c r="AB378" i="2"/>
  <c r="AE370" i="2"/>
  <c r="AD370" i="2"/>
  <c r="AC370" i="2"/>
  <c r="AB370" i="2"/>
  <c r="AE366" i="2"/>
  <c r="AD366" i="2"/>
  <c r="AC366" i="2"/>
  <c r="AB366" i="2"/>
  <c r="AE358" i="2"/>
  <c r="AD358" i="2"/>
  <c r="AC358" i="2"/>
  <c r="AB358" i="2"/>
  <c r="AE350" i="2"/>
  <c r="AD350" i="2"/>
  <c r="AC350" i="2"/>
  <c r="AB350" i="2"/>
  <c r="AE342" i="2"/>
  <c r="AD342" i="2"/>
  <c r="AC342" i="2"/>
  <c r="AB342" i="2"/>
  <c r="AE334" i="2"/>
  <c r="AD334" i="2"/>
  <c r="AC334" i="2"/>
  <c r="AB334" i="2"/>
  <c r="AE330" i="2"/>
  <c r="AD330" i="2"/>
  <c r="AC330" i="2"/>
  <c r="AB330" i="2"/>
  <c r="AE322" i="2"/>
  <c r="AD322" i="2"/>
  <c r="AC322" i="2"/>
  <c r="AB322" i="2"/>
  <c r="AE314" i="2"/>
  <c r="AD314" i="2"/>
  <c r="AC314" i="2"/>
  <c r="AB314" i="2"/>
  <c r="AE306" i="2"/>
  <c r="AD306" i="2"/>
  <c r="AB306" i="2"/>
  <c r="AC306" i="2"/>
  <c r="AE298" i="2"/>
  <c r="AD298" i="2"/>
  <c r="AC298" i="2"/>
  <c r="AB298" i="2"/>
  <c r="AE290" i="2"/>
  <c r="AD290" i="2"/>
  <c r="AC290" i="2"/>
  <c r="AB290" i="2"/>
  <c r="AE282" i="2"/>
  <c r="AD282" i="2"/>
  <c r="AC282" i="2"/>
  <c r="AB282" i="2"/>
  <c r="AE274" i="2"/>
  <c r="AD274" i="2"/>
  <c r="AC274" i="2"/>
  <c r="AB274" i="2"/>
  <c r="AE266" i="2"/>
  <c r="AD266" i="2"/>
  <c r="AC266" i="2"/>
  <c r="AB266" i="2"/>
  <c r="AE258" i="2"/>
  <c r="AD258" i="2"/>
  <c r="AC258" i="2"/>
  <c r="AB258" i="2"/>
  <c r="AE250" i="2"/>
  <c r="AD250" i="2"/>
  <c r="AB250" i="2"/>
  <c r="AC250" i="2"/>
  <c r="AE242" i="2"/>
  <c r="AD242" i="2"/>
  <c r="AC242" i="2"/>
  <c r="AB242" i="2"/>
  <c r="AE234" i="2"/>
  <c r="AD234" i="2"/>
  <c r="AC234" i="2"/>
  <c r="AB234" i="2"/>
  <c r="AE226" i="2"/>
  <c r="AD226" i="2"/>
  <c r="AC226" i="2"/>
  <c r="AB226" i="2"/>
  <c r="AE218" i="2"/>
  <c r="AD218" i="2"/>
  <c r="AC218" i="2"/>
  <c r="AB218" i="2"/>
  <c r="AE210" i="2"/>
  <c r="AD210" i="2"/>
  <c r="AC210" i="2"/>
  <c r="AB210" i="2"/>
  <c r="AE202" i="2"/>
  <c r="AD202" i="2"/>
  <c r="AC202" i="2"/>
  <c r="AB202" i="2"/>
  <c r="AE198" i="2"/>
  <c r="AD198" i="2"/>
  <c r="AC198" i="2"/>
  <c r="AB198" i="2"/>
  <c r="AE194" i="2"/>
  <c r="AD194" i="2"/>
  <c r="AC194" i="2"/>
  <c r="AB194" i="2"/>
  <c r="AE190" i="2"/>
  <c r="AD190" i="2"/>
  <c r="AC190" i="2"/>
  <c r="AB190" i="2"/>
  <c r="AE182" i="2"/>
  <c r="AD182" i="2"/>
  <c r="AC182" i="2"/>
  <c r="AB182" i="2"/>
  <c r="AE178" i="2"/>
  <c r="AD178" i="2"/>
  <c r="AC178" i="2"/>
  <c r="AB178" i="2"/>
  <c r="AE174" i="2"/>
  <c r="AD174" i="2"/>
  <c r="AC174" i="2"/>
  <c r="AB174" i="2"/>
  <c r="AE170" i="2"/>
  <c r="AD170" i="2"/>
  <c r="AC170" i="2"/>
  <c r="AB170" i="2"/>
  <c r="AE166" i="2"/>
  <c r="AC166" i="2"/>
  <c r="AD166" i="2"/>
  <c r="AB166" i="2"/>
  <c r="AE162" i="2"/>
  <c r="AD162" i="2"/>
  <c r="AC162" i="2"/>
  <c r="AB162" i="2"/>
  <c r="AE158" i="2"/>
  <c r="AD158" i="2"/>
  <c r="AC158" i="2"/>
  <c r="AB158" i="2"/>
  <c r="AE154" i="2"/>
  <c r="AD154" i="2"/>
  <c r="AC154" i="2"/>
  <c r="AB154" i="2"/>
  <c r="AE150" i="2"/>
  <c r="AC150" i="2"/>
  <c r="AD150" i="2"/>
  <c r="AB150" i="2"/>
  <c r="AE146" i="2"/>
  <c r="AD146" i="2"/>
  <c r="AC146" i="2"/>
  <c r="AB146" i="2"/>
  <c r="AE142" i="2"/>
  <c r="AD142" i="2"/>
  <c r="AC142" i="2"/>
  <c r="AB142" i="2"/>
  <c r="AE138" i="2"/>
  <c r="AD138" i="2"/>
  <c r="AC138" i="2"/>
  <c r="AB138" i="2"/>
  <c r="AE134" i="2"/>
  <c r="AD134" i="2"/>
  <c r="AC134" i="2"/>
  <c r="AB134" i="2"/>
  <c r="AE130" i="2"/>
  <c r="AD130" i="2"/>
  <c r="AC130" i="2"/>
  <c r="AB130" i="2"/>
  <c r="AE126" i="2"/>
  <c r="AD126" i="2"/>
  <c r="AC126" i="2"/>
  <c r="AB126" i="2"/>
  <c r="AE122" i="2"/>
  <c r="AD122" i="2"/>
  <c r="AC122" i="2"/>
  <c r="AB122" i="2"/>
  <c r="AE118" i="2"/>
  <c r="AD118" i="2"/>
  <c r="AC118" i="2"/>
  <c r="AB118" i="2"/>
  <c r="AE114" i="2"/>
  <c r="AD114" i="2"/>
  <c r="AC114" i="2"/>
  <c r="AB114" i="2"/>
  <c r="AE110" i="2"/>
  <c r="AD110" i="2"/>
  <c r="AC110" i="2"/>
  <c r="AB110" i="2"/>
  <c r="AE106" i="2"/>
  <c r="AD106" i="2"/>
  <c r="AC106" i="2"/>
  <c r="AB106" i="2"/>
  <c r="AE102" i="2"/>
  <c r="AD102" i="2"/>
  <c r="AC102" i="2"/>
  <c r="AB102" i="2"/>
  <c r="AE98" i="2"/>
  <c r="AD98" i="2"/>
  <c r="AC98" i="2"/>
  <c r="AB98" i="2"/>
  <c r="AE94" i="2"/>
  <c r="AD94" i="2"/>
  <c r="AC94" i="2"/>
  <c r="AB94" i="2"/>
  <c r="AE90" i="2"/>
  <c r="AD90" i="2"/>
  <c r="AC90" i="2"/>
  <c r="AB90" i="2"/>
  <c r="AE86" i="2"/>
  <c r="AD86" i="2"/>
  <c r="AC86" i="2"/>
  <c r="AB86" i="2"/>
  <c r="AE82" i="2"/>
  <c r="AD82" i="2"/>
  <c r="AC82" i="2"/>
  <c r="AB82" i="2"/>
  <c r="AE78" i="2"/>
  <c r="AD78" i="2"/>
  <c r="AC78" i="2"/>
  <c r="AB78" i="2"/>
  <c r="AE74" i="2"/>
  <c r="AD74" i="2"/>
  <c r="AC74" i="2"/>
  <c r="AB74" i="2"/>
  <c r="AE70" i="2"/>
  <c r="AD70" i="2"/>
  <c r="AC70" i="2"/>
  <c r="AB70" i="2"/>
  <c r="AE66" i="2"/>
  <c r="AD66" i="2"/>
  <c r="AC66" i="2"/>
  <c r="AB66" i="2"/>
  <c r="AE62" i="2"/>
  <c r="AD62" i="2"/>
  <c r="AC62" i="2"/>
  <c r="AB62" i="2"/>
  <c r="AE58" i="2"/>
  <c r="AD58" i="2"/>
  <c r="AC58" i="2"/>
  <c r="AB58" i="2"/>
  <c r="AE54" i="2"/>
  <c r="AD54" i="2"/>
  <c r="AC54" i="2"/>
  <c r="AB54" i="2"/>
  <c r="AA514" i="2"/>
  <c r="AE514" i="2"/>
  <c r="AD514" i="2"/>
  <c r="AB514" i="2"/>
  <c r="AC514" i="2"/>
  <c r="AA510" i="2"/>
  <c r="AE510" i="2"/>
  <c r="AD510" i="2"/>
  <c r="AC510" i="2"/>
  <c r="AB510" i="2"/>
  <c r="AA502" i="2"/>
  <c r="AE502" i="2"/>
  <c r="AD502" i="2"/>
  <c r="AC502" i="2"/>
  <c r="AB502" i="2"/>
  <c r="AA494" i="2"/>
  <c r="AE494" i="2"/>
  <c r="AD494" i="2"/>
  <c r="AC494" i="2"/>
  <c r="AB494" i="2"/>
  <c r="AA486" i="2"/>
  <c r="AE486" i="2"/>
  <c r="AD486" i="2"/>
  <c r="AC486" i="2"/>
  <c r="AB486" i="2"/>
  <c r="AA478" i="2"/>
  <c r="AE478" i="2"/>
  <c r="AD478" i="2"/>
  <c r="AC478" i="2"/>
  <c r="AB478" i="2"/>
  <c r="AA470" i="2"/>
  <c r="AE470" i="2"/>
  <c r="AD470" i="2"/>
  <c r="AC470" i="2"/>
  <c r="AB470" i="2"/>
  <c r="AA462" i="2"/>
  <c r="AE462" i="2"/>
  <c r="AD462" i="2"/>
  <c r="AC462" i="2"/>
  <c r="AB462" i="2"/>
  <c r="AA454" i="2"/>
  <c r="AE454" i="2"/>
  <c r="AD454" i="2"/>
  <c r="AC454" i="2"/>
  <c r="AB454" i="2"/>
  <c r="AA446" i="2"/>
  <c r="AE446" i="2"/>
  <c r="AD446" i="2"/>
  <c r="AC446" i="2"/>
  <c r="AB446" i="2"/>
  <c r="AE438" i="2"/>
  <c r="AD438" i="2"/>
  <c r="AC438" i="2"/>
  <c r="AB438" i="2"/>
  <c r="AE430" i="2"/>
  <c r="AD430" i="2"/>
  <c r="AC430" i="2"/>
  <c r="AB430" i="2"/>
  <c r="AE422" i="2"/>
  <c r="AD422" i="2"/>
  <c r="AC422" i="2"/>
  <c r="AB422" i="2"/>
  <c r="AE410" i="2"/>
  <c r="AD410" i="2"/>
  <c r="AC410" i="2"/>
  <c r="AB410" i="2"/>
  <c r="AE402" i="2"/>
  <c r="AD402" i="2"/>
  <c r="AB402" i="2"/>
  <c r="AC402" i="2"/>
  <c r="AE398" i="2"/>
  <c r="AD398" i="2"/>
  <c r="AC398" i="2"/>
  <c r="AB398" i="2"/>
  <c r="AE390" i="2"/>
  <c r="AD390" i="2"/>
  <c r="AC390" i="2"/>
  <c r="AB390" i="2"/>
  <c r="AD382" i="2"/>
  <c r="AE382" i="2"/>
  <c r="AC382" i="2"/>
  <c r="AB382" i="2"/>
  <c r="AE374" i="2"/>
  <c r="AD374" i="2"/>
  <c r="AC374" i="2"/>
  <c r="AB374" i="2"/>
  <c r="AE362" i="2"/>
  <c r="AD362" i="2"/>
  <c r="AC362" i="2"/>
  <c r="AB362" i="2"/>
  <c r="AE354" i="2"/>
  <c r="AD354" i="2"/>
  <c r="AC354" i="2"/>
  <c r="AB354" i="2"/>
  <c r="AE346" i="2"/>
  <c r="AD346" i="2"/>
  <c r="AC346" i="2"/>
  <c r="AB346" i="2"/>
  <c r="AE338" i="2"/>
  <c r="AD338" i="2"/>
  <c r="AC338" i="2"/>
  <c r="AB338" i="2"/>
  <c r="AE326" i="2"/>
  <c r="AD326" i="2"/>
  <c r="AC326" i="2"/>
  <c r="AB326" i="2"/>
  <c r="AE318" i="2"/>
  <c r="AD318" i="2"/>
  <c r="AC318" i="2"/>
  <c r="AB318" i="2"/>
  <c r="AE310" i="2"/>
  <c r="AD310" i="2"/>
  <c r="AC310" i="2"/>
  <c r="AB310" i="2"/>
  <c r="AE302" i="2"/>
  <c r="AD302" i="2"/>
  <c r="AC302" i="2"/>
  <c r="AB302" i="2"/>
  <c r="AE294" i="2"/>
  <c r="AD294" i="2"/>
  <c r="AC294" i="2"/>
  <c r="AB294" i="2"/>
  <c r="AE286" i="2"/>
  <c r="AD286" i="2"/>
  <c r="AC286" i="2"/>
  <c r="AB286" i="2"/>
  <c r="AE278" i="2"/>
  <c r="AD278" i="2"/>
  <c r="AC278" i="2"/>
  <c r="AB278" i="2"/>
  <c r="AE270" i="2"/>
  <c r="AD270" i="2"/>
  <c r="AC270" i="2"/>
  <c r="AB270" i="2"/>
  <c r="AE262" i="2"/>
  <c r="AC262" i="2"/>
  <c r="AD262" i="2"/>
  <c r="AB262" i="2"/>
  <c r="AE254" i="2"/>
  <c r="AD254" i="2"/>
  <c r="AC254" i="2"/>
  <c r="AB254" i="2"/>
  <c r="AE246" i="2"/>
  <c r="AD246" i="2"/>
  <c r="AC246" i="2"/>
  <c r="AB246" i="2"/>
  <c r="AE238" i="2"/>
  <c r="AD238" i="2"/>
  <c r="AC238" i="2"/>
  <c r="AB238" i="2"/>
  <c r="AE230" i="2"/>
  <c r="AC230" i="2"/>
  <c r="AD230" i="2"/>
  <c r="AB230" i="2"/>
  <c r="AE222" i="2"/>
  <c r="AD222" i="2"/>
  <c r="AC222" i="2"/>
  <c r="AB222" i="2"/>
  <c r="AE214" i="2"/>
  <c r="AC214" i="2"/>
  <c r="AD214" i="2"/>
  <c r="AB214" i="2"/>
  <c r="AE206" i="2"/>
  <c r="AD206" i="2"/>
  <c r="AC206" i="2"/>
  <c r="AB206" i="2"/>
  <c r="AE186" i="2"/>
  <c r="AD186" i="2"/>
  <c r="AB186" i="2"/>
  <c r="AC186" i="2"/>
  <c r="AA442" i="2"/>
  <c r="AA434" i="2"/>
  <c r="AA426" i="2"/>
  <c r="AA418" i="2"/>
  <c r="AA410" i="2"/>
  <c r="AA402" i="2"/>
  <c r="AA394" i="2"/>
  <c r="AA386" i="2"/>
  <c r="AA378" i="2"/>
  <c r="AA366" i="2"/>
  <c r="AA346" i="2"/>
  <c r="AA338" i="2"/>
  <c r="AA330" i="2"/>
  <c r="AA322" i="2"/>
  <c r="AA278" i="2"/>
  <c r="AA270" i="2"/>
  <c r="AA162" i="2"/>
  <c r="AA154" i="2"/>
  <c r="AA146" i="2"/>
  <c r="AA138" i="2"/>
  <c r="AA130" i="2"/>
  <c r="AA122" i="2"/>
  <c r="AA114" i="2"/>
  <c r="AA106" i="2"/>
  <c r="AA98" i="2"/>
  <c r="AA90" i="2"/>
  <c r="AA82" i="2"/>
  <c r="AA74" i="2"/>
  <c r="AA525" i="2"/>
  <c r="AE525" i="2"/>
  <c r="AD525" i="2"/>
  <c r="AB525" i="2"/>
  <c r="AC525" i="2"/>
  <c r="AA521" i="2"/>
  <c r="AD521" i="2"/>
  <c r="AE521" i="2"/>
  <c r="AC521" i="2"/>
  <c r="AB521" i="2"/>
  <c r="AA517" i="2"/>
  <c r="AE517" i="2"/>
  <c r="AD517" i="2"/>
  <c r="AC517" i="2"/>
  <c r="AB517" i="2"/>
  <c r="AA513" i="2"/>
  <c r="AE513" i="2"/>
  <c r="AD513" i="2"/>
  <c r="AB513" i="2"/>
  <c r="AC513" i="2"/>
  <c r="AA509" i="2"/>
  <c r="AE509" i="2"/>
  <c r="AD509" i="2"/>
  <c r="AB509" i="2"/>
  <c r="AC509" i="2"/>
  <c r="AA505" i="2"/>
  <c r="AD505" i="2"/>
  <c r="AE505" i="2"/>
  <c r="AC505" i="2"/>
  <c r="AB505" i="2"/>
  <c r="AA501" i="2"/>
  <c r="AE501" i="2"/>
  <c r="AD501" i="2"/>
  <c r="AC501" i="2"/>
  <c r="AB501" i="2"/>
  <c r="AA497" i="2"/>
  <c r="AE497" i="2"/>
  <c r="AD497" i="2"/>
  <c r="AB497" i="2"/>
  <c r="AC497" i="2"/>
  <c r="AE493" i="2"/>
  <c r="AD493" i="2"/>
  <c r="AB493" i="2"/>
  <c r="AC493" i="2"/>
  <c r="AA489" i="2"/>
  <c r="AE489" i="2"/>
  <c r="AD489" i="2"/>
  <c r="AC489" i="2"/>
  <c r="AB489" i="2"/>
  <c r="AA485" i="2"/>
  <c r="AE485" i="2"/>
  <c r="AD485" i="2"/>
  <c r="AC485" i="2"/>
  <c r="AB485" i="2"/>
  <c r="AA481" i="2"/>
  <c r="AE481" i="2"/>
  <c r="AD481" i="2"/>
  <c r="AB481" i="2"/>
  <c r="AC481" i="2"/>
  <c r="AA477" i="2"/>
  <c r="AE477" i="2"/>
  <c r="AD477" i="2"/>
  <c r="AB477" i="2"/>
  <c r="AC477" i="2"/>
  <c r="AA473" i="2"/>
  <c r="AD473" i="2"/>
  <c r="AE473" i="2"/>
  <c r="AC473" i="2"/>
  <c r="AB473" i="2"/>
  <c r="AA469" i="2"/>
  <c r="AE469" i="2"/>
  <c r="AD469" i="2"/>
  <c r="AC469" i="2"/>
  <c r="AB469" i="2"/>
  <c r="AA465" i="2"/>
  <c r="AE465" i="2"/>
  <c r="AD465" i="2"/>
  <c r="AB465" i="2"/>
  <c r="AC465" i="2"/>
  <c r="AA461" i="2"/>
  <c r="AE461" i="2"/>
  <c r="AD461" i="2"/>
  <c r="AB461" i="2"/>
  <c r="AC461" i="2"/>
  <c r="AA457" i="2"/>
  <c r="AE457" i="2"/>
  <c r="AD457" i="2"/>
  <c r="AC457" i="2"/>
  <c r="AB457" i="2"/>
  <c r="AA453" i="2"/>
  <c r="AE453" i="2"/>
  <c r="AD453" i="2"/>
  <c r="AC453" i="2"/>
  <c r="AB453" i="2"/>
  <c r="AA449" i="2"/>
  <c r="AE449" i="2"/>
  <c r="AD449" i="2"/>
  <c r="AB449" i="2"/>
  <c r="AC449" i="2"/>
  <c r="AA445" i="2"/>
  <c r="AE445" i="2"/>
  <c r="AD445" i="2"/>
  <c r="AB445" i="2"/>
  <c r="AC445" i="2"/>
  <c r="AA441" i="2"/>
  <c r="AD441" i="2"/>
  <c r="AE441" i="2"/>
  <c r="AC441" i="2"/>
  <c r="AB441" i="2"/>
  <c r="AA437" i="2"/>
  <c r="AE437" i="2"/>
  <c r="AD437" i="2"/>
  <c r="AC437" i="2"/>
  <c r="AB437" i="2"/>
  <c r="AA433" i="2"/>
  <c r="AE433" i="2"/>
  <c r="AD433" i="2"/>
  <c r="AB433" i="2"/>
  <c r="AC433" i="2"/>
  <c r="AA429" i="2"/>
  <c r="AE429" i="2"/>
  <c r="AD429" i="2"/>
  <c r="AB429" i="2"/>
  <c r="AC429" i="2"/>
  <c r="AA425" i="2"/>
  <c r="AE425" i="2"/>
  <c r="AD425" i="2"/>
  <c r="AC425" i="2"/>
  <c r="AB425" i="2"/>
  <c r="AA421" i="2"/>
  <c r="AE421" i="2"/>
  <c r="AD421" i="2"/>
  <c r="AC421" i="2"/>
  <c r="AB421" i="2"/>
  <c r="AA417" i="2"/>
  <c r="AE417" i="2"/>
  <c r="AD417" i="2"/>
  <c r="AB417" i="2"/>
  <c r="AC417" i="2"/>
  <c r="AA413" i="2"/>
  <c r="AE413" i="2"/>
  <c r="AD413" i="2"/>
  <c r="AB413" i="2"/>
  <c r="AC413" i="2"/>
  <c r="AD409" i="2"/>
  <c r="AE409" i="2"/>
  <c r="AC409" i="2"/>
  <c r="AB409" i="2"/>
  <c r="AA405" i="2"/>
  <c r="AE405" i="2"/>
  <c r="AD405" i="2"/>
  <c r="AC405" i="2"/>
  <c r="AB405" i="2"/>
  <c r="AA401" i="2"/>
  <c r="AE401" i="2"/>
  <c r="AD401" i="2"/>
  <c r="AB401" i="2"/>
  <c r="AC401" i="2"/>
  <c r="AA397" i="2"/>
  <c r="AE397" i="2"/>
  <c r="AD397" i="2"/>
  <c r="AB397" i="2"/>
  <c r="AC397" i="2"/>
  <c r="AA393" i="2"/>
  <c r="AE393" i="2"/>
  <c r="AD393" i="2"/>
  <c r="AC393" i="2"/>
  <c r="AB393" i="2"/>
  <c r="AA389" i="2"/>
  <c r="AE389" i="2"/>
  <c r="AD389" i="2"/>
  <c r="AC389" i="2"/>
  <c r="AB389" i="2"/>
  <c r="AE385" i="2"/>
  <c r="AD385" i="2"/>
  <c r="AB385" i="2"/>
  <c r="AC385" i="2"/>
  <c r="AA381" i="2"/>
  <c r="AE381" i="2"/>
  <c r="AD381" i="2"/>
  <c r="AB381" i="2"/>
  <c r="AC381" i="2"/>
  <c r="AA377" i="2"/>
  <c r="AE377" i="2"/>
  <c r="AD377" i="2"/>
  <c r="AC377" i="2"/>
  <c r="AB377" i="2"/>
  <c r="AA373" i="2"/>
  <c r="AE373" i="2"/>
  <c r="AD373" i="2"/>
  <c r="AC373" i="2"/>
  <c r="AB373" i="2"/>
  <c r="AA369" i="2"/>
  <c r="AE369" i="2"/>
  <c r="AD369" i="2"/>
  <c r="AC369" i="2"/>
  <c r="AB369" i="2"/>
  <c r="AA365" i="2"/>
  <c r="AE365" i="2"/>
  <c r="AD365" i="2"/>
  <c r="AC365" i="2"/>
  <c r="AB365" i="2"/>
  <c r="AA361" i="2"/>
  <c r="AE361" i="2"/>
  <c r="AD361" i="2"/>
  <c r="AC361" i="2"/>
  <c r="AB361" i="2"/>
  <c r="AA357" i="2"/>
  <c r="AE357" i="2"/>
  <c r="AD357" i="2"/>
  <c r="AC357" i="2"/>
  <c r="AB357" i="2"/>
  <c r="AA353" i="2"/>
  <c r="AE353" i="2"/>
  <c r="AD353" i="2"/>
  <c r="AC353" i="2"/>
  <c r="AB353" i="2"/>
  <c r="AA349" i="2"/>
  <c r="AE349" i="2"/>
  <c r="AD349" i="2"/>
  <c r="AC349" i="2"/>
  <c r="AB349" i="2"/>
  <c r="AA345" i="2"/>
  <c r="AE345" i="2"/>
  <c r="AD345" i="2"/>
  <c r="AC345" i="2"/>
  <c r="AB345" i="2"/>
  <c r="AA341" i="2"/>
  <c r="AE341" i="2"/>
  <c r="AD341" i="2"/>
  <c r="AC341" i="2"/>
  <c r="AB341" i="2"/>
  <c r="AA337" i="2"/>
  <c r="AE337" i="2"/>
  <c r="AD337" i="2"/>
  <c r="AC337" i="2"/>
  <c r="AB337" i="2"/>
  <c r="AE333" i="2"/>
  <c r="AD333" i="2"/>
  <c r="AC333" i="2"/>
  <c r="AB333" i="2"/>
  <c r="AA329" i="2"/>
  <c r="AE329" i="2"/>
  <c r="AD329" i="2"/>
  <c r="AC329" i="2"/>
  <c r="AB329" i="2"/>
  <c r="AA325" i="2"/>
  <c r="AE325" i="2"/>
  <c r="AD325" i="2"/>
  <c r="AC325" i="2"/>
  <c r="AB325" i="2"/>
  <c r="AE321" i="2"/>
  <c r="AD321" i="2"/>
  <c r="AC321" i="2"/>
  <c r="AB321" i="2"/>
  <c r="AA317" i="2"/>
  <c r="AE317" i="2"/>
  <c r="AD317" i="2"/>
  <c r="AC317" i="2"/>
  <c r="AB317" i="2"/>
  <c r="AA313" i="2"/>
  <c r="AE313" i="2"/>
  <c r="AD313" i="2"/>
  <c r="AC313" i="2"/>
  <c r="AB313" i="2"/>
  <c r="AA309" i="2"/>
  <c r="AE309" i="2"/>
  <c r="AD309" i="2"/>
  <c r="AC309" i="2"/>
  <c r="AB309" i="2"/>
  <c r="AA305" i="2"/>
  <c r="AE305" i="2"/>
  <c r="AD305" i="2"/>
  <c r="AC305" i="2"/>
  <c r="AB305" i="2"/>
  <c r="AA301" i="2"/>
  <c r="AE301" i="2"/>
  <c r="AD301" i="2"/>
  <c r="AC301" i="2"/>
  <c r="AB301" i="2"/>
  <c r="AA297" i="2"/>
  <c r="AE297" i="2"/>
  <c r="AD297" i="2"/>
  <c r="AC297" i="2"/>
  <c r="AB297" i="2"/>
  <c r="AA293" i="2"/>
  <c r="AE293" i="2"/>
  <c r="AD293" i="2"/>
  <c r="AC293" i="2"/>
  <c r="AB293" i="2"/>
  <c r="AA289" i="2"/>
  <c r="AE289" i="2"/>
  <c r="AD289" i="2"/>
  <c r="AC289" i="2"/>
  <c r="AB289" i="2"/>
  <c r="AA285" i="2"/>
  <c r="AE285" i="2"/>
  <c r="AD285" i="2"/>
  <c r="AC285" i="2"/>
  <c r="AB285" i="2"/>
  <c r="AE281" i="2"/>
  <c r="AD281" i="2"/>
  <c r="AC281" i="2"/>
  <c r="AB281" i="2"/>
  <c r="AA277" i="2"/>
  <c r="AE277" i="2"/>
  <c r="AD277" i="2"/>
  <c r="AC277" i="2"/>
  <c r="AB277" i="2"/>
  <c r="AA273" i="2"/>
  <c r="AE273" i="2"/>
  <c r="AD273" i="2"/>
  <c r="AC273" i="2"/>
  <c r="AB273" i="2"/>
  <c r="AE269" i="2"/>
  <c r="AD269" i="2"/>
  <c r="AC269" i="2"/>
  <c r="AB269" i="2"/>
  <c r="AA265" i="2"/>
  <c r="AE265" i="2"/>
  <c r="AD265" i="2"/>
  <c r="AC265" i="2"/>
  <c r="AB265" i="2"/>
  <c r="AA261" i="2"/>
  <c r="AE261" i="2"/>
  <c r="AD261" i="2"/>
  <c r="AC261" i="2"/>
  <c r="AB261" i="2"/>
  <c r="AA257" i="2"/>
  <c r="AE257" i="2"/>
  <c r="AD257" i="2"/>
  <c r="AC257" i="2"/>
  <c r="AB257" i="2"/>
  <c r="AA253" i="2"/>
  <c r="AE253" i="2"/>
  <c r="AD253" i="2"/>
  <c r="AC253" i="2"/>
  <c r="AB253" i="2"/>
  <c r="AA249" i="2"/>
  <c r="AE249" i="2"/>
  <c r="AD249" i="2"/>
  <c r="AC249" i="2"/>
  <c r="AB249" i="2"/>
  <c r="AA245" i="2"/>
  <c r="AD245" i="2"/>
  <c r="AE245" i="2"/>
  <c r="AC245" i="2"/>
  <c r="AB245" i="2"/>
  <c r="AA241" i="2"/>
  <c r="AE241" i="2"/>
  <c r="AD241" i="2"/>
  <c r="AC241" i="2"/>
  <c r="AB241" i="2"/>
  <c r="AA237" i="2"/>
  <c r="AE237" i="2"/>
  <c r="AD237" i="2"/>
  <c r="AC237" i="2"/>
  <c r="AB237" i="2"/>
  <c r="AA233" i="2"/>
  <c r="AE233" i="2"/>
  <c r="AD233" i="2"/>
  <c r="AC233" i="2"/>
  <c r="AB233" i="2"/>
  <c r="AA229" i="2"/>
  <c r="AE229" i="2"/>
  <c r="AD229" i="2"/>
  <c r="AC229" i="2"/>
  <c r="AB229" i="2"/>
  <c r="AA225" i="2"/>
  <c r="AE225" i="2"/>
  <c r="AD225" i="2"/>
  <c r="AC225" i="2"/>
  <c r="AB225" i="2"/>
  <c r="AA221" i="2"/>
  <c r="AE221" i="2"/>
  <c r="AD221" i="2"/>
  <c r="AC221" i="2"/>
  <c r="AB221" i="2"/>
  <c r="AA217" i="2"/>
  <c r="AE217" i="2"/>
  <c r="AD217" i="2"/>
  <c r="AC217" i="2"/>
  <c r="AB217" i="2"/>
  <c r="AA213" i="2"/>
  <c r="AD213" i="2"/>
  <c r="AE213" i="2"/>
  <c r="AC213" i="2"/>
  <c r="AB213" i="2"/>
  <c r="AA209" i="2"/>
  <c r="AE209" i="2"/>
  <c r="AD209" i="2"/>
  <c r="AC209" i="2"/>
  <c r="AB209" i="2"/>
  <c r="AA205" i="2"/>
  <c r="AE205" i="2"/>
  <c r="AD205" i="2"/>
  <c r="AC205" i="2"/>
  <c r="AB205" i="2"/>
  <c r="AA201" i="2"/>
  <c r="AE201" i="2"/>
  <c r="AD201" i="2"/>
  <c r="AC201" i="2"/>
  <c r="AB201" i="2"/>
  <c r="AA197" i="2"/>
  <c r="AE197" i="2"/>
  <c r="AD197" i="2"/>
  <c r="AC197" i="2"/>
  <c r="AB197" i="2"/>
  <c r="AA193" i="2"/>
  <c r="AE193" i="2"/>
  <c r="AD193" i="2"/>
  <c r="AC193" i="2"/>
  <c r="AB193" i="2"/>
  <c r="AA189" i="2"/>
  <c r="AE189" i="2"/>
  <c r="AD189" i="2"/>
  <c r="AC189" i="2"/>
  <c r="AB189" i="2"/>
  <c r="AA185" i="2"/>
  <c r="AE185" i="2"/>
  <c r="AD185" i="2"/>
  <c r="AC185" i="2"/>
  <c r="AB185" i="2"/>
  <c r="AA181" i="2"/>
  <c r="AD181" i="2"/>
  <c r="AE181" i="2"/>
  <c r="AC181" i="2"/>
  <c r="AB181" i="2"/>
  <c r="AA177" i="2"/>
  <c r="AE177" i="2"/>
  <c r="AD177" i="2"/>
  <c r="AC177" i="2"/>
  <c r="AB177" i="2"/>
  <c r="AA173" i="2"/>
  <c r="AE173" i="2"/>
  <c r="AD173" i="2"/>
  <c r="AC173" i="2"/>
  <c r="AB173" i="2"/>
  <c r="AA169" i="2"/>
  <c r="AE169" i="2"/>
  <c r="AD169" i="2"/>
  <c r="AC169" i="2"/>
  <c r="AB169" i="2"/>
  <c r="AA165" i="2"/>
  <c r="AE165" i="2"/>
  <c r="AD165" i="2"/>
  <c r="AC165" i="2"/>
  <c r="AB165" i="2"/>
  <c r="AA161" i="2"/>
  <c r="AE161" i="2"/>
  <c r="AD161" i="2"/>
  <c r="AC161" i="2"/>
  <c r="AB161" i="2"/>
  <c r="AA157" i="2"/>
  <c r="AE157" i="2"/>
  <c r="AD157" i="2"/>
  <c r="AC157" i="2"/>
  <c r="AB157" i="2"/>
  <c r="AA153" i="2"/>
  <c r="AE153" i="2"/>
  <c r="AD153" i="2"/>
  <c r="AC153" i="2"/>
  <c r="AB153" i="2"/>
  <c r="AA149" i="2"/>
  <c r="AD149" i="2"/>
  <c r="AE149" i="2"/>
  <c r="AC149" i="2"/>
  <c r="AB149" i="2"/>
  <c r="AA145" i="2"/>
  <c r="AE145" i="2"/>
  <c r="AD145" i="2"/>
  <c r="AC145" i="2"/>
  <c r="AB145" i="2"/>
  <c r="AA141" i="2"/>
  <c r="AE141" i="2"/>
  <c r="AD141" i="2"/>
  <c r="AC141" i="2"/>
  <c r="AB141" i="2"/>
  <c r="AA137" i="2"/>
  <c r="AE137" i="2"/>
  <c r="AD137" i="2"/>
  <c r="AC137" i="2"/>
  <c r="AB137" i="2"/>
  <c r="AA133" i="2"/>
  <c r="AE133" i="2"/>
  <c r="AD133" i="2"/>
  <c r="AC133" i="2"/>
  <c r="AB133" i="2"/>
  <c r="AA129" i="2"/>
  <c r="AE129" i="2"/>
  <c r="AD129" i="2"/>
  <c r="AC129" i="2"/>
  <c r="AB129" i="2"/>
  <c r="AA125" i="2"/>
  <c r="AE125" i="2"/>
  <c r="AD125" i="2"/>
  <c r="AC125" i="2"/>
  <c r="AB125" i="2"/>
  <c r="AA121" i="2"/>
  <c r="AE121" i="2"/>
  <c r="AD121" i="2"/>
  <c r="AC121" i="2"/>
  <c r="AB121" i="2"/>
  <c r="AA117" i="2"/>
  <c r="AE117" i="2"/>
  <c r="AD117" i="2"/>
  <c r="AC117" i="2"/>
  <c r="AB117" i="2"/>
  <c r="AA113" i="2"/>
  <c r="AE113" i="2"/>
  <c r="AD113" i="2"/>
  <c r="AC113" i="2"/>
  <c r="AB113" i="2"/>
  <c r="AA109" i="2"/>
  <c r="AE109" i="2"/>
  <c r="AD109" i="2"/>
  <c r="AC109" i="2"/>
  <c r="AB109" i="2"/>
  <c r="AA105" i="2"/>
  <c r="AE105" i="2"/>
  <c r="AC105" i="2"/>
  <c r="AD105" i="2"/>
  <c r="AB105" i="2"/>
  <c r="AA101" i="2"/>
  <c r="AE101" i="2"/>
  <c r="AD101" i="2"/>
  <c r="AC101" i="2"/>
  <c r="AB101" i="2"/>
  <c r="AA97" i="2"/>
  <c r="AE97" i="2"/>
  <c r="AD97" i="2"/>
  <c r="AC97" i="2"/>
  <c r="AB97" i="2"/>
  <c r="AA93" i="2"/>
  <c r="AE93" i="2"/>
  <c r="AD93" i="2"/>
  <c r="AC93" i="2"/>
  <c r="AB93" i="2"/>
  <c r="AA89" i="2"/>
  <c r="AE89" i="2"/>
  <c r="AD89" i="2"/>
  <c r="AC89" i="2"/>
  <c r="AB89" i="2"/>
  <c r="AA85" i="2"/>
  <c r="AE85" i="2"/>
  <c r="AD85" i="2"/>
  <c r="AC85" i="2"/>
  <c r="AB85" i="2"/>
  <c r="AA81" i="2"/>
  <c r="AE81" i="2"/>
  <c r="AD81" i="2"/>
  <c r="AC81" i="2"/>
  <c r="AB81" i="2"/>
  <c r="AA77" i="2"/>
  <c r="AE77" i="2"/>
  <c r="AD77" i="2"/>
  <c r="AC77" i="2"/>
  <c r="AB77" i="2"/>
  <c r="AA73" i="2"/>
  <c r="AE73" i="2"/>
  <c r="AC73" i="2"/>
  <c r="AD73" i="2"/>
  <c r="AB73" i="2"/>
  <c r="AA69" i="2"/>
  <c r="AE69" i="2"/>
  <c r="AD69" i="2"/>
  <c r="AC69" i="2"/>
  <c r="AB69" i="2"/>
  <c r="AA65" i="2"/>
  <c r="AE65" i="2"/>
  <c r="AD65" i="2"/>
  <c r="AC65" i="2"/>
  <c r="AB65" i="2"/>
  <c r="AA61" i="2"/>
  <c r="AE61" i="2"/>
  <c r="AD61" i="2"/>
  <c r="AC61" i="2"/>
  <c r="AB61" i="2"/>
  <c r="AA57" i="2"/>
  <c r="AE57" i="2"/>
  <c r="AD57" i="2"/>
  <c r="AC57" i="2"/>
  <c r="AB57" i="2"/>
  <c r="AA524" i="2"/>
  <c r="AE524" i="2"/>
  <c r="AB524" i="2"/>
  <c r="AD524" i="2"/>
  <c r="AC524" i="2"/>
  <c r="AA520" i="2"/>
  <c r="AE520" i="2"/>
  <c r="AD520" i="2"/>
  <c r="AB520" i="2"/>
  <c r="AC520" i="2"/>
  <c r="AA516" i="2"/>
  <c r="AE516" i="2"/>
  <c r="AD516" i="2"/>
  <c r="AC516" i="2"/>
  <c r="AB516" i="2"/>
  <c r="AA512" i="2"/>
  <c r="AE512" i="2"/>
  <c r="AD512" i="2"/>
  <c r="AB512" i="2"/>
  <c r="AC512" i="2"/>
  <c r="AA508" i="2"/>
  <c r="AE508" i="2"/>
  <c r="AB508" i="2"/>
  <c r="AC508" i="2"/>
  <c r="AD508" i="2"/>
  <c r="AA504" i="2"/>
  <c r="AE504" i="2"/>
  <c r="AD504" i="2"/>
  <c r="AB504" i="2"/>
  <c r="AC504" i="2"/>
  <c r="AA500" i="2"/>
  <c r="AE500" i="2"/>
  <c r="AD500" i="2"/>
  <c r="AC500" i="2"/>
  <c r="AB500" i="2"/>
  <c r="AA496" i="2"/>
  <c r="AE496" i="2"/>
  <c r="AD496" i="2"/>
  <c r="AB496" i="2"/>
  <c r="AC496" i="2"/>
  <c r="AA492" i="2"/>
  <c r="AE492" i="2"/>
  <c r="AD492" i="2"/>
  <c r="AB492" i="2"/>
  <c r="AC492" i="2"/>
  <c r="AA488" i="2"/>
  <c r="AE488" i="2"/>
  <c r="AD488" i="2"/>
  <c r="AB488" i="2"/>
  <c r="AC488" i="2"/>
  <c r="AA484" i="2"/>
  <c r="AE484" i="2"/>
  <c r="AD484" i="2"/>
  <c r="AC484" i="2"/>
  <c r="AB484" i="2"/>
  <c r="AA480" i="2"/>
  <c r="AE480" i="2"/>
  <c r="AD480" i="2"/>
  <c r="AB480" i="2"/>
  <c r="AC480" i="2"/>
  <c r="AA476" i="2"/>
  <c r="AE476" i="2"/>
  <c r="AD476" i="2"/>
  <c r="AB476" i="2"/>
  <c r="AC476" i="2"/>
  <c r="AA472" i="2"/>
  <c r="AE472" i="2"/>
  <c r="AD472" i="2"/>
  <c r="AB472" i="2"/>
  <c r="AC472" i="2"/>
  <c r="AA468" i="2"/>
  <c r="AE468" i="2"/>
  <c r="AD468" i="2"/>
  <c r="AC468" i="2"/>
  <c r="AB468" i="2"/>
  <c r="AA464" i="2"/>
  <c r="AE464" i="2"/>
  <c r="AD464" i="2"/>
  <c r="AB464" i="2"/>
  <c r="AC464" i="2"/>
  <c r="AA460" i="2"/>
  <c r="AE460" i="2"/>
  <c r="AD460" i="2"/>
  <c r="AB460" i="2"/>
  <c r="AC460" i="2"/>
  <c r="AA456" i="2"/>
  <c r="AE456" i="2"/>
  <c r="AD456" i="2"/>
  <c r="AB456" i="2"/>
  <c r="AC456" i="2"/>
  <c r="AA452" i="2"/>
  <c r="AE452" i="2"/>
  <c r="AD452" i="2"/>
  <c r="AC452" i="2"/>
  <c r="AB452" i="2"/>
  <c r="AA448" i="2"/>
  <c r="AE448" i="2"/>
  <c r="AD448" i="2"/>
  <c r="AB448" i="2"/>
  <c r="AC448" i="2"/>
  <c r="AA444" i="2"/>
  <c r="AE444" i="2"/>
  <c r="AD444" i="2"/>
  <c r="AB444" i="2"/>
  <c r="AC444" i="2"/>
  <c r="AA440" i="2"/>
  <c r="AE440" i="2"/>
  <c r="AD440" i="2"/>
  <c r="AB440" i="2"/>
  <c r="AC440" i="2"/>
  <c r="AA436" i="2"/>
  <c r="AE436" i="2"/>
  <c r="AD436" i="2"/>
  <c r="AC436" i="2"/>
  <c r="AB436" i="2"/>
  <c r="AA432" i="2"/>
  <c r="AE432" i="2"/>
  <c r="AD432" i="2"/>
  <c r="AB432" i="2"/>
  <c r="AC432" i="2"/>
  <c r="AA428" i="2"/>
  <c r="AE428" i="2"/>
  <c r="AD428" i="2"/>
  <c r="AB428" i="2"/>
  <c r="AC428" i="2"/>
  <c r="AA424" i="2"/>
  <c r="AE424" i="2"/>
  <c r="AD424" i="2"/>
  <c r="AB424" i="2"/>
  <c r="AC424" i="2"/>
  <c r="AA420" i="2"/>
  <c r="AE420" i="2"/>
  <c r="AD420" i="2"/>
  <c r="AC420" i="2"/>
  <c r="AB420" i="2"/>
  <c r="AA416" i="2"/>
  <c r="AE416" i="2"/>
  <c r="AD416" i="2"/>
  <c r="AB416" i="2"/>
  <c r="AC416" i="2"/>
  <c r="AA412" i="2"/>
  <c r="AE412" i="2"/>
  <c r="AD412" i="2"/>
  <c r="AB412" i="2"/>
  <c r="AC412" i="2"/>
  <c r="AA408" i="2"/>
  <c r="AE408" i="2"/>
  <c r="AD408" i="2"/>
  <c r="AB408" i="2"/>
  <c r="AC408" i="2"/>
  <c r="AA404" i="2"/>
  <c r="AE404" i="2"/>
  <c r="AD404" i="2"/>
  <c r="AC404" i="2"/>
  <c r="AB404" i="2"/>
  <c r="AA400" i="2"/>
  <c r="AE400" i="2"/>
  <c r="AD400" i="2"/>
  <c r="AB400" i="2"/>
  <c r="AC400" i="2"/>
  <c r="AA396" i="2"/>
  <c r="AE396" i="2"/>
  <c r="AD396" i="2"/>
  <c r="AB396" i="2"/>
  <c r="AC396" i="2"/>
  <c r="AA392" i="2"/>
  <c r="AE392" i="2"/>
  <c r="AD392" i="2"/>
  <c r="AB392" i="2"/>
  <c r="AC392" i="2"/>
  <c r="AA388" i="2"/>
  <c r="AE388" i="2"/>
  <c r="AD388" i="2"/>
  <c r="AC388" i="2"/>
  <c r="AB388" i="2"/>
  <c r="AA384" i="2"/>
  <c r="AE384" i="2"/>
  <c r="AD384" i="2"/>
  <c r="AB384" i="2"/>
  <c r="AC384" i="2"/>
  <c r="AA380" i="2"/>
  <c r="AE380" i="2"/>
  <c r="AD380" i="2"/>
  <c r="AB380" i="2"/>
  <c r="AC380" i="2"/>
  <c r="AA376" i="2"/>
  <c r="AE376" i="2"/>
  <c r="AD376" i="2"/>
  <c r="AB376" i="2"/>
  <c r="AC376" i="2"/>
  <c r="AA372" i="2"/>
  <c r="AE372" i="2"/>
  <c r="AD372" i="2"/>
  <c r="AB372" i="2"/>
  <c r="AC372" i="2"/>
  <c r="AA368" i="2"/>
  <c r="AE368" i="2"/>
  <c r="AD368" i="2"/>
  <c r="AB368" i="2"/>
  <c r="AC368" i="2"/>
  <c r="AA364" i="2"/>
  <c r="AE364" i="2"/>
  <c r="AD364" i="2"/>
  <c r="AB364" i="2"/>
  <c r="AC364" i="2"/>
  <c r="AA360" i="2"/>
  <c r="AE360" i="2"/>
  <c r="AD360" i="2"/>
  <c r="AB360" i="2"/>
  <c r="AC360" i="2"/>
  <c r="AA356" i="2"/>
  <c r="AE356" i="2"/>
  <c r="AD356" i="2"/>
  <c r="AB356" i="2"/>
  <c r="AC356" i="2"/>
  <c r="AA352" i="2"/>
  <c r="AE352" i="2"/>
  <c r="AD352" i="2"/>
  <c r="AB352" i="2"/>
  <c r="AC352" i="2"/>
  <c r="AA348" i="2"/>
  <c r="AE348" i="2"/>
  <c r="AD348" i="2"/>
  <c r="AB348" i="2"/>
  <c r="AC348" i="2"/>
  <c r="AA344" i="2"/>
  <c r="AE344" i="2"/>
  <c r="AD344" i="2"/>
  <c r="AB344" i="2"/>
  <c r="AC344" i="2"/>
  <c r="AA340" i="2"/>
  <c r="AE340" i="2"/>
  <c r="AD340" i="2"/>
  <c r="AB340" i="2"/>
  <c r="AC340" i="2"/>
  <c r="AA336" i="2"/>
  <c r="AE336" i="2"/>
  <c r="AD336" i="2"/>
  <c r="AB336" i="2"/>
  <c r="AC336" i="2"/>
  <c r="AA332" i="2"/>
  <c r="AE332" i="2"/>
  <c r="AD332" i="2"/>
  <c r="AB332" i="2"/>
  <c r="AC332" i="2"/>
  <c r="AA328" i="2"/>
  <c r="AE328" i="2"/>
  <c r="AD328" i="2"/>
  <c r="AC328" i="2"/>
  <c r="AB328" i="2"/>
  <c r="AA324" i="2"/>
  <c r="AE324" i="2"/>
  <c r="AD324" i="2"/>
  <c r="AB324" i="2"/>
  <c r="AC324" i="2"/>
  <c r="AA320" i="2"/>
  <c r="AE320" i="2"/>
  <c r="AD320" i="2"/>
  <c r="AC320" i="2"/>
  <c r="AB320" i="2"/>
  <c r="AA316" i="2"/>
  <c r="AE316" i="2"/>
  <c r="AD316" i="2"/>
  <c r="AB316" i="2"/>
  <c r="AC316" i="2"/>
  <c r="AA312" i="2"/>
  <c r="AE312" i="2"/>
  <c r="AD312" i="2"/>
  <c r="AC312" i="2"/>
  <c r="AB312" i="2"/>
  <c r="AA308" i="2"/>
  <c r="AE308" i="2"/>
  <c r="AD308" i="2"/>
  <c r="AC308" i="2"/>
  <c r="AB308" i="2"/>
  <c r="AA304" i="2"/>
  <c r="AE304" i="2"/>
  <c r="AD304" i="2"/>
  <c r="AC304" i="2"/>
  <c r="AB304" i="2"/>
  <c r="AA300" i="2"/>
  <c r="AE300" i="2"/>
  <c r="AD300" i="2"/>
  <c r="AB300" i="2"/>
  <c r="AC300" i="2"/>
  <c r="AA296" i="2"/>
  <c r="AE296" i="2"/>
  <c r="AD296" i="2"/>
  <c r="AC296" i="2"/>
  <c r="AB296" i="2"/>
  <c r="AA292" i="2"/>
  <c r="AE292" i="2"/>
  <c r="AD292" i="2"/>
  <c r="AB292" i="2"/>
  <c r="AC292" i="2"/>
  <c r="AA288" i="2"/>
  <c r="AE288" i="2"/>
  <c r="AD288" i="2"/>
  <c r="AC288" i="2"/>
  <c r="AB288" i="2"/>
  <c r="AA284" i="2"/>
  <c r="AE284" i="2"/>
  <c r="AD284" i="2"/>
  <c r="AB284" i="2"/>
  <c r="AC284" i="2"/>
  <c r="AA280" i="2"/>
  <c r="AE280" i="2"/>
  <c r="AD280" i="2"/>
  <c r="AC280" i="2"/>
  <c r="AB280" i="2"/>
  <c r="AA276" i="2"/>
  <c r="AE276" i="2"/>
  <c r="AD276" i="2"/>
  <c r="AC276" i="2"/>
  <c r="AB276" i="2"/>
  <c r="AA272" i="2"/>
  <c r="AE272" i="2"/>
  <c r="AC272" i="2"/>
  <c r="AD272" i="2"/>
  <c r="AB272" i="2"/>
  <c r="AA268" i="2"/>
  <c r="AE268" i="2"/>
  <c r="AD268" i="2"/>
  <c r="AC268" i="2"/>
  <c r="AB268" i="2"/>
  <c r="AA264" i="2"/>
  <c r="AE264" i="2"/>
  <c r="AD264" i="2"/>
  <c r="AC264" i="2"/>
  <c r="AB264" i="2"/>
  <c r="AA260" i="2"/>
  <c r="AE260" i="2"/>
  <c r="AD260" i="2"/>
  <c r="AB260" i="2"/>
  <c r="AC260" i="2"/>
  <c r="AA256" i="2"/>
  <c r="AE256" i="2"/>
  <c r="AD256" i="2"/>
  <c r="AC256" i="2"/>
  <c r="AB256" i="2"/>
  <c r="AA252" i="2"/>
  <c r="AE252" i="2"/>
  <c r="AD252" i="2"/>
  <c r="AC252" i="2"/>
  <c r="AB252" i="2"/>
  <c r="AA248" i="2"/>
  <c r="AE248" i="2"/>
  <c r="AD248" i="2"/>
  <c r="AC248" i="2"/>
  <c r="AB248" i="2"/>
  <c r="AA244" i="2"/>
  <c r="AE244" i="2"/>
  <c r="AD244" i="2"/>
  <c r="AB244" i="2"/>
  <c r="AC244" i="2"/>
  <c r="AA240" i="2"/>
  <c r="AE240" i="2"/>
  <c r="AC240" i="2"/>
  <c r="AD240" i="2"/>
  <c r="AB240" i="2"/>
  <c r="AA236" i="2"/>
  <c r="AE236" i="2"/>
  <c r="AD236" i="2"/>
  <c r="AC236" i="2"/>
  <c r="AB236" i="2"/>
  <c r="AA232" i="2"/>
  <c r="AE232" i="2"/>
  <c r="AD232" i="2"/>
  <c r="AC232" i="2"/>
  <c r="AB232" i="2"/>
  <c r="AA228" i="2"/>
  <c r="AE228" i="2"/>
  <c r="AD228" i="2"/>
  <c r="AB228" i="2"/>
  <c r="AC228" i="2"/>
  <c r="AA224" i="2"/>
  <c r="AE224" i="2"/>
  <c r="AD224" i="2"/>
  <c r="AC224" i="2"/>
  <c r="AB224" i="2"/>
  <c r="AA220" i="2"/>
  <c r="AE220" i="2"/>
  <c r="AD220" i="2"/>
  <c r="AC220" i="2"/>
  <c r="AB220" i="2"/>
  <c r="AA216" i="2"/>
  <c r="AE216" i="2"/>
  <c r="AD216" i="2"/>
  <c r="AC216" i="2"/>
  <c r="AB216" i="2"/>
  <c r="AA212" i="2"/>
  <c r="AE212" i="2"/>
  <c r="AD212" i="2"/>
  <c r="AC212" i="2"/>
  <c r="AB212" i="2"/>
  <c r="AA208" i="2"/>
  <c r="AE208" i="2"/>
  <c r="AC208" i="2"/>
  <c r="AD208" i="2"/>
  <c r="AB208" i="2"/>
  <c r="AA204" i="2"/>
  <c r="AE204" i="2"/>
  <c r="AD204" i="2"/>
  <c r="AC204" i="2"/>
  <c r="AB204" i="2"/>
  <c r="AA200" i="2"/>
  <c r="AE200" i="2"/>
  <c r="AD200" i="2"/>
  <c r="AC200" i="2"/>
  <c r="AB200" i="2"/>
  <c r="AA196" i="2"/>
  <c r="AE196" i="2"/>
  <c r="AD196" i="2"/>
  <c r="AB196" i="2"/>
  <c r="AC196" i="2"/>
  <c r="AA192" i="2"/>
  <c r="AE192" i="2"/>
  <c r="AC192" i="2"/>
  <c r="AD192" i="2"/>
  <c r="AB192" i="2"/>
  <c r="AA188" i="2"/>
  <c r="AE188" i="2"/>
  <c r="AD188" i="2"/>
  <c r="AC188" i="2"/>
  <c r="AB188" i="2"/>
  <c r="AA184" i="2"/>
  <c r="AE184" i="2"/>
  <c r="AD184" i="2"/>
  <c r="AC184" i="2"/>
  <c r="AB184" i="2"/>
  <c r="AA180" i="2"/>
  <c r="AE180" i="2"/>
  <c r="AD180" i="2"/>
  <c r="AB180" i="2"/>
  <c r="AC180" i="2"/>
  <c r="AA176" i="2"/>
  <c r="AE176" i="2"/>
  <c r="AD176" i="2"/>
  <c r="AC176" i="2"/>
  <c r="AB176" i="2"/>
  <c r="AA172" i="2"/>
  <c r="AE172" i="2"/>
  <c r="AD172" i="2"/>
  <c r="AC172" i="2"/>
  <c r="AB172" i="2"/>
  <c r="AA168" i="2"/>
  <c r="AE168" i="2"/>
  <c r="AD168" i="2"/>
  <c r="AC168" i="2"/>
  <c r="AB168" i="2"/>
  <c r="AE164" i="2"/>
  <c r="AD164" i="2"/>
  <c r="AB164" i="2"/>
  <c r="AC164" i="2"/>
  <c r="AA160" i="2"/>
  <c r="AE160" i="2"/>
  <c r="AD160" i="2"/>
  <c r="AC160" i="2"/>
  <c r="AB160" i="2"/>
  <c r="AA156" i="2"/>
  <c r="AE156" i="2"/>
  <c r="AD156" i="2"/>
  <c r="AC156" i="2"/>
  <c r="AB156" i="2"/>
  <c r="AA152" i="2"/>
  <c r="AE152" i="2"/>
  <c r="AD152" i="2"/>
  <c r="AC152" i="2"/>
  <c r="AB152" i="2"/>
  <c r="AA148" i="2"/>
  <c r="AE148" i="2"/>
  <c r="AD148" i="2"/>
  <c r="AC148" i="2"/>
  <c r="AB148" i="2"/>
  <c r="AA144" i="2"/>
  <c r="AE144" i="2"/>
  <c r="AD144" i="2"/>
  <c r="AC144" i="2"/>
  <c r="AB144" i="2"/>
  <c r="AA140" i="2"/>
  <c r="AE140" i="2"/>
  <c r="AD140" i="2"/>
  <c r="AC140" i="2"/>
  <c r="AB140" i="2"/>
  <c r="AA136" i="2"/>
  <c r="AE136" i="2"/>
  <c r="AD136" i="2"/>
  <c r="AC136" i="2"/>
  <c r="AB136" i="2"/>
  <c r="AA132" i="2"/>
  <c r="AE132" i="2"/>
  <c r="AD132" i="2"/>
  <c r="AB132" i="2"/>
  <c r="AC132" i="2"/>
  <c r="AA128" i="2"/>
  <c r="AE128" i="2"/>
  <c r="AD128" i="2"/>
  <c r="AC128" i="2"/>
  <c r="AB128" i="2"/>
  <c r="AA124" i="2"/>
  <c r="AE124" i="2"/>
  <c r="AD124" i="2"/>
  <c r="AC124" i="2"/>
  <c r="AB124" i="2"/>
  <c r="AA120" i="2"/>
  <c r="AE120" i="2"/>
  <c r="AD120" i="2"/>
  <c r="AC120" i="2"/>
  <c r="AB120" i="2"/>
  <c r="AA116" i="2"/>
  <c r="AE116" i="2"/>
  <c r="AD116" i="2"/>
  <c r="AC116" i="2"/>
  <c r="AB116" i="2"/>
  <c r="AA112" i="2"/>
  <c r="AE112" i="2"/>
  <c r="AD112" i="2"/>
  <c r="AC112" i="2"/>
  <c r="AB112" i="2"/>
  <c r="AA108" i="2"/>
  <c r="AE108" i="2"/>
  <c r="AD108" i="2"/>
  <c r="AC108" i="2"/>
  <c r="AB108" i="2"/>
  <c r="AA104" i="2"/>
  <c r="AE104" i="2"/>
  <c r="AD104" i="2"/>
  <c r="AC104" i="2"/>
  <c r="AB104" i="2"/>
  <c r="AA100" i="2"/>
  <c r="AE100" i="2"/>
  <c r="AD100" i="2"/>
  <c r="AB100" i="2"/>
  <c r="AC100" i="2"/>
  <c r="AA96" i="2"/>
  <c r="AE96" i="2"/>
  <c r="AD96" i="2"/>
  <c r="AC96" i="2"/>
  <c r="AB96" i="2"/>
  <c r="AA92" i="2"/>
  <c r="AE92" i="2"/>
  <c r="AD92" i="2"/>
  <c r="AC92" i="2"/>
  <c r="AB92" i="2"/>
  <c r="AA88" i="2"/>
  <c r="AE88" i="2"/>
  <c r="AD88" i="2"/>
  <c r="AC88" i="2"/>
  <c r="AB88" i="2"/>
  <c r="AA84" i="2"/>
  <c r="AE84" i="2"/>
  <c r="AD84" i="2"/>
  <c r="AC84" i="2"/>
  <c r="AB84" i="2"/>
  <c r="AA80" i="2"/>
  <c r="AE80" i="2"/>
  <c r="AD80" i="2"/>
  <c r="AC80" i="2"/>
  <c r="AB80" i="2"/>
  <c r="AA76" i="2"/>
  <c r="AE76" i="2"/>
  <c r="AD76" i="2"/>
  <c r="AC76" i="2"/>
  <c r="AB76" i="2"/>
  <c r="AA72" i="2"/>
  <c r="AE72" i="2"/>
  <c r="AD72" i="2"/>
  <c r="AC72" i="2"/>
  <c r="AB72" i="2"/>
  <c r="AA68" i="2"/>
  <c r="AE68" i="2"/>
  <c r="AD68" i="2"/>
  <c r="AC68" i="2"/>
  <c r="AB68" i="2"/>
  <c r="AA64" i="2"/>
  <c r="AE64" i="2"/>
  <c r="AD64" i="2"/>
  <c r="AC64" i="2"/>
  <c r="AB64" i="2"/>
  <c r="AA60" i="2"/>
  <c r="AE60" i="2"/>
  <c r="AD60" i="2"/>
  <c r="AC60" i="2"/>
  <c r="AB60" i="2"/>
  <c r="AA56" i="2"/>
  <c r="AE56" i="2"/>
  <c r="AD56" i="2"/>
  <c r="AC56" i="2"/>
  <c r="AB56" i="2"/>
  <c r="AE523" i="2"/>
  <c r="AC523" i="2"/>
  <c r="AD523" i="2"/>
  <c r="AB523" i="2"/>
  <c r="AE519" i="2"/>
  <c r="AC519" i="2"/>
  <c r="AD519" i="2"/>
  <c r="AB519" i="2"/>
  <c r="AA515" i="2"/>
  <c r="AE515" i="2"/>
  <c r="AD515" i="2"/>
  <c r="AC515" i="2"/>
  <c r="AB515" i="2"/>
  <c r="AE511" i="2"/>
  <c r="AC511" i="2"/>
  <c r="AD511" i="2"/>
  <c r="AB511" i="2"/>
  <c r="AE507" i="2"/>
  <c r="AC507" i="2"/>
  <c r="AD507" i="2"/>
  <c r="AB507" i="2"/>
  <c r="AE503" i="2"/>
  <c r="AC503" i="2"/>
  <c r="AD503" i="2"/>
  <c r="AB503" i="2"/>
  <c r="AA499" i="2"/>
  <c r="AE499" i="2"/>
  <c r="AD499" i="2"/>
  <c r="AC499" i="2"/>
  <c r="AB499" i="2"/>
  <c r="AE495" i="2"/>
  <c r="AC495" i="2"/>
  <c r="AD495" i="2"/>
  <c r="AB495" i="2"/>
  <c r="AE491" i="2"/>
  <c r="AC491" i="2"/>
  <c r="AD491" i="2"/>
  <c r="AB491" i="2"/>
  <c r="AA487" i="2"/>
  <c r="AE487" i="2"/>
  <c r="AD487" i="2"/>
  <c r="AC487" i="2"/>
  <c r="AB487" i="2"/>
  <c r="AE483" i="2"/>
  <c r="AD483" i="2"/>
  <c r="AC483" i="2"/>
  <c r="AB483" i="2"/>
  <c r="AE479" i="2"/>
  <c r="AC479" i="2"/>
  <c r="AD479" i="2"/>
  <c r="AB479" i="2"/>
  <c r="AE475" i="2"/>
  <c r="AC475" i="2"/>
  <c r="AD475" i="2"/>
  <c r="AB475" i="2"/>
  <c r="AA471" i="2"/>
  <c r="AE471" i="2"/>
  <c r="AD471" i="2"/>
  <c r="AC471" i="2"/>
  <c r="AB471" i="2"/>
  <c r="AE467" i="2"/>
  <c r="AD467" i="2"/>
  <c r="AC467" i="2"/>
  <c r="AB467" i="2"/>
  <c r="AE463" i="2"/>
  <c r="AC463" i="2"/>
  <c r="AD463" i="2"/>
  <c r="AB463" i="2"/>
  <c r="AE459" i="2"/>
  <c r="AC459" i="2"/>
  <c r="AD459" i="2"/>
  <c r="AB459" i="2"/>
  <c r="AA455" i="2"/>
  <c r="AE455" i="2"/>
  <c r="AD455" i="2"/>
  <c r="AC455" i="2"/>
  <c r="AB455" i="2"/>
  <c r="AE451" i="2"/>
  <c r="AD451" i="2"/>
  <c r="AC451" i="2"/>
  <c r="AB451" i="2"/>
  <c r="AE447" i="2"/>
  <c r="AC447" i="2"/>
  <c r="AD447" i="2"/>
  <c r="AB447" i="2"/>
  <c r="AE443" i="2"/>
  <c r="AC443" i="2"/>
  <c r="AD443" i="2"/>
  <c r="AB443" i="2"/>
  <c r="AE439" i="2"/>
  <c r="AD439" i="2"/>
  <c r="AC439" i="2"/>
  <c r="AB439" i="2"/>
  <c r="AE435" i="2"/>
  <c r="AD435" i="2"/>
  <c r="AC435" i="2"/>
  <c r="AB435" i="2"/>
  <c r="AE431" i="2"/>
  <c r="AC431" i="2"/>
  <c r="AD431" i="2"/>
  <c r="AB431" i="2"/>
  <c r="AE427" i="2"/>
  <c r="AC427" i="2"/>
  <c r="AD427" i="2"/>
  <c r="AB427" i="2"/>
  <c r="AE423" i="2"/>
  <c r="AD423" i="2"/>
  <c r="AC423" i="2"/>
  <c r="AB423" i="2"/>
  <c r="AE419" i="2"/>
  <c r="AD419" i="2"/>
  <c r="AC419" i="2"/>
  <c r="AB419" i="2"/>
  <c r="AE415" i="2"/>
  <c r="AC415" i="2"/>
  <c r="AD415" i="2"/>
  <c r="AB415" i="2"/>
  <c r="AE411" i="2"/>
  <c r="AC411" i="2"/>
  <c r="AD411" i="2"/>
  <c r="AB411" i="2"/>
  <c r="AE407" i="2"/>
  <c r="AD407" i="2"/>
  <c r="AC407" i="2"/>
  <c r="AB407" i="2"/>
  <c r="AA403" i="2"/>
  <c r="AE403" i="2"/>
  <c r="AD403" i="2"/>
  <c r="AC403" i="2"/>
  <c r="AB403" i="2"/>
  <c r="AE399" i="2"/>
  <c r="AC399" i="2"/>
  <c r="AD399" i="2"/>
  <c r="AB399" i="2"/>
  <c r="AE395" i="2"/>
  <c r="AC395" i="2"/>
  <c r="AD395" i="2"/>
  <c r="AB395" i="2"/>
  <c r="AE391" i="2"/>
  <c r="AD391" i="2"/>
  <c r="AC391" i="2"/>
  <c r="AB391" i="2"/>
  <c r="AE387" i="2"/>
  <c r="AD387" i="2"/>
  <c r="AC387" i="2"/>
  <c r="AB387" i="2"/>
  <c r="AA383" i="2"/>
  <c r="AE383" i="2"/>
  <c r="AC383" i="2"/>
  <c r="AD383" i="2"/>
  <c r="AB383" i="2"/>
  <c r="AE379" i="2"/>
  <c r="AD379" i="2"/>
  <c r="AC379" i="2"/>
  <c r="AB379" i="2"/>
  <c r="AA375" i="2"/>
  <c r="AE375" i="2"/>
  <c r="AC375" i="2"/>
  <c r="AD375" i="2"/>
  <c r="AB375" i="2"/>
  <c r="AE371" i="2"/>
  <c r="AD371" i="2"/>
  <c r="AC371" i="2"/>
  <c r="AB371" i="2"/>
  <c r="AA367" i="2"/>
  <c r="AE367" i="2"/>
  <c r="AC367" i="2"/>
  <c r="AD367" i="2"/>
  <c r="AB367" i="2"/>
  <c r="AE363" i="2"/>
  <c r="AD363" i="2"/>
  <c r="AC363" i="2"/>
  <c r="AB363" i="2"/>
  <c r="AA359" i="2"/>
  <c r="AE359" i="2"/>
  <c r="AC359" i="2"/>
  <c r="AD359" i="2"/>
  <c r="AB359" i="2"/>
  <c r="AE355" i="2"/>
  <c r="AD355" i="2"/>
  <c r="AC355" i="2"/>
  <c r="AB355" i="2"/>
  <c r="AA351" i="2"/>
  <c r="AE351" i="2"/>
  <c r="AC351" i="2"/>
  <c r="AD351" i="2"/>
  <c r="AB351" i="2"/>
  <c r="AE347" i="2"/>
  <c r="AD347" i="2"/>
  <c r="AC347" i="2"/>
  <c r="AB347" i="2"/>
  <c r="AE343" i="2"/>
  <c r="AC343" i="2"/>
  <c r="AD343" i="2"/>
  <c r="AB343" i="2"/>
  <c r="AE339" i="2"/>
  <c r="AD339" i="2"/>
  <c r="AC339" i="2"/>
  <c r="AB339" i="2"/>
  <c r="AE335" i="2"/>
  <c r="AC335" i="2"/>
  <c r="AD335" i="2"/>
  <c r="AB335" i="2"/>
  <c r="AA331" i="2"/>
  <c r="AE331" i="2"/>
  <c r="AD331" i="2"/>
  <c r="AC331" i="2"/>
  <c r="AB331" i="2"/>
  <c r="AE327" i="2"/>
  <c r="AD327" i="2"/>
  <c r="AC327" i="2"/>
  <c r="AB327" i="2"/>
  <c r="AE323" i="2"/>
  <c r="AD323" i="2"/>
  <c r="AC323" i="2"/>
  <c r="AB323" i="2"/>
  <c r="AE319" i="2"/>
  <c r="AD319" i="2"/>
  <c r="AC319" i="2"/>
  <c r="AB319" i="2"/>
  <c r="AE315" i="2"/>
  <c r="AD315" i="2"/>
  <c r="AC315" i="2"/>
  <c r="AB315" i="2"/>
  <c r="AE311" i="2"/>
  <c r="AD311" i="2"/>
  <c r="AC311" i="2"/>
  <c r="AB311" i="2"/>
  <c r="AE307" i="2"/>
  <c r="AD307" i="2"/>
  <c r="AC307" i="2"/>
  <c r="AB307" i="2"/>
  <c r="AE303" i="2"/>
  <c r="AD303" i="2"/>
  <c r="AC303" i="2"/>
  <c r="AB303" i="2"/>
  <c r="AE299" i="2"/>
  <c r="AD299" i="2"/>
  <c r="AC299" i="2"/>
  <c r="AB299" i="2"/>
  <c r="AE295" i="2"/>
  <c r="AD295" i="2"/>
  <c r="AC295" i="2"/>
  <c r="AB295" i="2"/>
  <c r="AE291" i="2"/>
  <c r="AD291" i="2"/>
  <c r="AC291" i="2"/>
  <c r="AB291" i="2"/>
  <c r="AE287" i="2"/>
  <c r="AD287" i="2"/>
  <c r="AC287" i="2"/>
  <c r="AB287" i="2"/>
  <c r="AE283" i="2"/>
  <c r="AC283" i="2"/>
  <c r="AD283" i="2"/>
  <c r="AB283" i="2"/>
  <c r="AE279" i="2"/>
  <c r="AD279" i="2"/>
  <c r="AC279" i="2"/>
  <c r="AB279" i="2"/>
  <c r="AE275" i="2"/>
  <c r="AD275" i="2"/>
  <c r="AC275" i="2"/>
  <c r="AB275" i="2"/>
  <c r="AE271" i="2"/>
  <c r="AD271" i="2"/>
  <c r="AC271" i="2"/>
  <c r="AB271" i="2"/>
  <c r="AE267" i="2"/>
  <c r="AD267" i="2"/>
  <c r="AC267" i="2"/>
  <c r="AB267" i="2"/>
  <c r="AE263" i="2"/>
  <c r="AD263" i="2"/>
  <c r="AC263" i="2"/>
  <c r="AB263" i="2"/>
  <c r="AE259" i="2"/>
  <c r="AD259" i="2"/>
  <c r="AC259" i="2"/>
  <c r="AB259" i="2"/>
  <c r="AE255" i="2"/>
  <c r="AD255" i="2"/>
  <c r="AC255" i="2"/>
  <c r="AB255" i="2"/>
  <c r="AE251" i="2"/>
  <c r="AC251" i="2"/>
  <c r="AD251" i="2"/>
  <c r="AB251" i="2"/>
  <c r="AE247" i="2"/>
  <c r="AD247" i="2"/>
  <c r="AC247" i="2"/>
  <c r="AB247" i="2"/>
  <c r="AE243" i="2"/>
  <c r="AD243" i="2"/>
  <c r="AC243" i="2"/>
  <c r="AB243" i="2"/>
  <c r="AE239" i="2"/>
  <c r="AD239" i="2"/>
  <c r="AC239" i="2"/>
  <c r="AB239" i="2"/>
  <c r="AE235" i="2"/>
  <c r="AD235" i="2"/>
  <c r="AC235" i="2"/>
  <c r="AB235" i="2"/>
  <c r="AE231" i="2"/>
  <c r="AD231" i="2"/>
  <c r="AC231" i="2"/>
  <c r="AB231" i="2"/>
  <c r="AE227" i="2"/>
  <c r="AD227" i="2"/>
  <c r="AC227" i="2"/>
  <c r="AB227" i="2"/>
  <c r="AE223" i="2"/>
  <c r="AD223" i="2"/>
  <c r="AC223" i="2"/>
  <c r="AB223" i="2"/>
  <c r="AE219" i="2"/>
  <c r="AD219" i="2"/>
  <c r="AC219" i="2"/>
  <c r="AB219" i="2"/>
  <c r="AE215" i="2"/>
  <c r="AD215" i="2"/>
  <c r="AC215" i="2"/>
  <c r="AB215" i="2"/>
  <c r="AE211" i="2"/>
  <c r="AD211" i="2"/>
  <c r="AC211" i="2"/>
  <c r="AB211" i="2"/>
  <c r="AE207" i="2"/>
  <c r="AD207" i="2"/>
  <c r="AC207" i="2"/>
  <c r="AB207" i="2"/>
  <c r="AE203" i="2"/>
  <c r="AD203" i="2"/>
  <c r="AC203" i="2"/>
  <c r="AB203" i="2"/>
  <c r="AE199" i="2"/>
  <c r="AD199" i="2"/>
  <c r="AC199" i="2"/>
  <c r="AB199" i="2"/>
  <c r="AE195" i="2"/>
  <c r="AD195" i="2"/>
  <c r="AC195" i="2"/>
  <c r="AB195" i="2"/>
  <c r="AE191" i="2"/>
  <c r="AD191" i="2"/>
  <c r="AC191" i="2"/>
  <c r="AB191" i="2"/>
  <c r="AE187" i="2"/>
  <c r="AC187" i="2"/>
  <c r="AD187" i="2"/>
  <c r="AB187" i="2"/>
  <c r="AE183" i="2"/>
  <c r="AD183" i="2"/>
  <c r="AC183" i="2"/>
  <c r="AB183" i="2"/>
  <c r="AE179" i="2"/>
  <c r="AD179" i="2"/>
  <c r="AC179" i="2"/>
  <c r="AB179" i="2"/>
  <c r="AE175" i="2"/>
  <c r="AD175" i="2"/>
  <c r="AC175" i="2"/>
  <c r="AB175" i="2"/>
  <c r="AE171" i="2"/>
  <c r="AC171" i="2"/>
  <c r="AD171" i="2"/>
  <c r="AB171" i="2"/>
  <c r="AE167" i="2"/>
  <c r="AD167" i="2"/>
  <c r="AC167" i="2"/>
  <c r="AB167" i="2"/>
  <c r="AE163" i="2"/>
  <c r="AD163" i="2"/>
  <c r="AC163" i="2"/>
  <c r="AB163" i="2"/>
  <c r="AE159" i="2"/>
  <c r="AD159" i="2"/>
  <c r="AC159" i="2"/>
  <c r="AB159" i="2"/>
  <c r="AE155" i="2"/>
  <c r="AD155" i="2"/>
  <c r="AC155" i="2"/>
  <c r="AB155" i="2"/>
  <c r="AE151" i="2"/>
  <c r="AD151" i="2"/>
  <c r="AC151" i="2"/>
  <c r="AB151" i="2"/>
  <c r="AE147" i="2"/>
  <c r="AD147" i="2"/>
  <c r="AC147" i="2"/>
  <c r="AB147" i="2"/>
  <c r="AE143" i="2"/>
  <c r="AD143" i="2"/>
  <c r="AC143" i="2"/>
  <c r="AB143" i="2"/>
  <c r="AE139" i="2"/>
  <c r="AD139" i="2"/>
  <c r="AC139" i="2"/>
  <c r="AB139" i="2"/>
  <c r="AE135" i="2"/>
  <c r="AD135" i="2"/>
  <c r="AC135" i="2"/>
  <c r="AB135" i="2"/>
  <c r="AE131" i="2"/>
  <c r="AD131" i="2"/>
  <c r="AC131" i="2"/>
  <c r="AB131" i="2"/>
  <c r="AE127" i="2"/>
  <c r="AD127" i="2"/>
  <c r="AC127" i="2"/>
  <c r="AB127" i="2"/>
  <c r="AE123" i="2"/>
  <c r="AD123" i="2"/>
  <c r="AC123" i="2"/>
  <c r="AB123" i="2"/>
  <c r="AE119" i="2"/>
  <c r="AD119" i="2"/>
  <c r="AB119" i="2"/>
  <c r="AC119" i="2"/>
  <c r="AE115" i="2"/>
  <c r="AD115" i="2"/>
  <c r="AB115" i="2"/>
  <c r="AC115" i="2"/>
  <c r="AE111" i="2"/>
  <c r="AD111" i="2"/>
  <c r="AB111" i="2"/>
  <c r="AC111" i="2"/>
  <c r="AE107" i="2"/>
  <c r="AD107" i="2"/>
  <c r="AC107" i="2"/>
  <c r="AB107" i="2"/>
  <c r="AE103" i="2"/>
  <c r="AD103" i="2"/>
  <c r="AB103" i="2"/>
  <c r="AC103" i="2"/>
  <c r="AE99" i="2"/>
  <c r="AD99" i="2"/>
  <c r="AB99" i="2"/>
  <c r="AC99" i="2"/>
  <c r="AE95" i="2"/>
  <c r="AD95" i="2"/>
  <c r="AB95" i="2"/>
  <c r="AC95" i="2"/>
  <c r="AE91" i="2"/>
  <c r="AD91" i="2"/>
  <c r="AC91" i="2"/>
  <c r="AB91" i="2"/>
  <c r="AE87" i="2"/>
  <c r="AD87" i="2"/>
  <c r="AB87" i="2"/>
  <c r="AC87" i="2"/>
  <c r="AE83" i="2"/>
  <c r="AD83" i="2"/>
  <c r="AB83" i="2"/>
  <c r="AC83" i="2"/>
  <c r="AE79" i="2"/>
  <c r="AD79" i="2"/>
  <c r="AB79" i="2"/>
  <c r="AC79" i="2"/>
  <c r="AE75" i="2"/>
  <c r="AD75" i="2"/>
  <c r="AC75" i="2"/>
  <c r="AB75" i="2"/>
  <c r="AE71" i="2"/>
  <c r="AD71" i="2"/>
  <c r="AB71" i="2"/>
  <c r="AC71" i="2"/>
  <c r="AE67" i="2"/>
  <c r="AD67" i="2"/>
  <c r="AB67" i="2"/>
  <c r="AC67" i="2"/>
  <c r="AE63" i="2"/>
  <c r="AD63" i="2"/>
  <c r="AB63" i="2"/>
  <c r="AC63" i="2"/>
  <c r="AE59" i="2"/>
  <c r="AD59" i="2"/>
  <c r="AC59" i="2"/>
  <c r="AB59" i="2"/>
  <c r="AE55" i="2"/>
  <c r="AD55" i="2"/>
  <c r="AB55" i="2"/>
  <c r="AC55" i="2"/>
  <c r="AG524" i="2"/>
  <c r="AK524" i="2"/>
  <c r="AJ524" i="2"/>
  <c r="AG520" i="2"/>
  <c r="AK520" i="2"/>
  <c r="AJ520" i="2"/>
  <c r="AG516" i="2"/>
  <c r="AK516" i="2"/>
  <c r="AJ516" i="2"/>
  <c r="AG512" i="2"/>
  <c r="AK512" i="2"/>
  <c r="AJ512" i="2"/>
  <c r="AG508" i="2"/>
  <c r="AK508" i="2"/>
  <c r="AJ508" i="2"/>
  <c r="AG504" i="2"/>
  <c r="AK504" i="2"/>
  <c r="AJ504" i="2"/>
  <c r="AG500" i="2"/>
  <c r="AK500" i="2"/>
  <c r="AJ500" i="2"/>
  <c r="AG496" i="2"/>
  <c r="AK496" i="2"/>
  <c r="AJ496" i="2"/>
  <c r="AG492" i="2"/>
  <c r="AK492" i="2"/>
  <c r="AJ492" i="2"/>
  <c r="AG488" i="2"/>
  <c r="AK488" i="2"/>
  <c r="AJ488" i="2"/>
  <c r="AG484" i="2"/>
  <c r="AK484" i="2"/>
  <c r="AJ484" i="2"/>
  <c r="AG480" i="2"/>
  <c r="AK480" i="2"/>
  <c r="AJ480" i="2"/>
  <c r="AG476" i="2"/>
  <c r="AK476" i="2"/>
  <c r="AJ476" i="2"/>
  <c r="AG472" i="2"/>
  <c r="AK472" i="2"/>
  <c r="AJ472" i="2"/>
  <c r="AI472" i="2"/>
  <c r="AG468" i="2"/>
  <c r="AK468" i="2"/>
  <c r="AJ468" i="2"/>
  <c r="AI468" i="2"/>
  <c r="AG464" i="2"/>
  <c r="AK464" i="2"/>
  <c r="AJ464" i="2"/>
  <c r="AI464" i="2"/>
  <c r="AG460" i="2"/>
  <c r="AK460" i="2"/>
  <c r="AJ460" i="2"/>
  <c r="AI460" i="2"/>
  <c r="AG456" i="2"/>
  <c r="AK456" i="2"/>
  <c r="AJ456" i="2"/>
  <c r="AI456" i="2"/>
  <c r="AG452" i="2"/>
  <c r="AK452" i="2"/>
  <c r="AJ452" i="2"/>
  <c r="AI452" i="2"/>
  <c r="AG448" i="2"/>
  <c r="AK448" i="2"/>
  <c r="AJ448" i="2"/>
  <c r="AI448" i="2"/>
  <c r="AG444" i="2"/>
  <c r="AK444" i="2"/>
  <c r="AJ444" i="2"/>
  <c r="AI444" i="2"/>
  <c r="AG440" i="2"/>
  <c r="AK440" i="2"/>
  <c r="AJ440" i="2"/>
  <c r="AI440" i="2"/>
  <c r="AG436" i="2"/>
  <c r="AK436" i="2"/>
  <c r="AJ436" i="2"/>
  <c r="AI436" i="2"/>
  <c r="AG432" i="2"/>
  <c r="AK432" i="2"/>
  <c r="AJ432" i="2"/>
  <c r="AI432" i="2"/>
  <c r="AG428" i="2"/>
  <c r="AK428" i="2"/>
  <c r="AJ428" i="2"/>
  <c r="AI428" i="2"/>
  <c r="AG424" i="2"/>
  <c r="AK424" i="2"/>
  <c r="AJ424" i="2"/>
  <c r="AI424" i="2"/>
  <c r="AG420" i="2"/>
  <c r="AK420" i="2"/>
  <c r="AJ420" i="2"/>
  <c r="AI420" i="2"/>
  <c r="AG416" i="2"/>
  <c r="AK416" i="2"/>
  <c r="AJ416" i="2"/>
  <c r="AI416" i="2"/>
  <c r="AG412" i="2"/>
  <c r="AK412" i="2"/>
  <c r="AJ412" i="2"/>
  <c r="AI412" i="2"/>
  <c r="AG408" i="2"/>
  <c r="AK408" i="2"/>
  <c r="AJ408" i="2"/>
  <c r="AI408" i="2"/>
  <c r="AG404" i="2"/>
  <c r="AK404" i="2"/>
  <c r="AJ404" i="2"/>
  <c r="AI404" i="2"/>
  <c r="AG400" i="2"/>
  <c r="AK400" i="2"/>
  <c r="AJ400" i="2"/>
  <c r="AI400" i="2"/>
  <c r="AG396" i="2"/>
  <c r="AK396" i="2"/>
  <c r="AJ396" i="2"/>
  <c r="AI396" i="2"/>
  <c r="AG392" i="2"/>
  <c r="AK392" i="2"/>
  <c r="AJ392" i="2"/>
  <c r="AI392" i="2"/>
  <c r="AG388" i="2"/>
  <c r="AK388" i="2"/>
  <c r="AJ388" i="2"/>
  <c r="AI388" i="2"/>
  <c r="AG384" i="2"/>
  <c r="AK384" i="2"/>
  <c r="AJ384" i="2"/>
  <c r="AI384" i="2"/>
  <c r="AG380" i="2"/>
  <c r="AK380" i="2"/>
  <c r="AJ380" i="2"/>
  <c r="AI380" i="2"/>
  <c r="AG376" i="2"/>
  <c r="AK376" i="2"/>
  <c r="AJ376" i="2"/>
  <c r="AI376" i="2"/>
  <c r="AG372" i="2"/>
  <c r="AK372" i="2"/>
  <c r="AJ372" i="2"/>
  <c r="AI372" i="2"/>
  <c r="AG368" i="2"/>
  <c r="AK368" i="2"/>
  <c r="AJ368" i="2"/>
  <c r="AI368" i="2"/>
  <c r="AG364" i="2"/>
  <c r="AK364" i="2"/>
  <c r="AJ364" i="2"/>
  <c r="AI364" i="2"/>
  <c r="AG360" i="2"/>
  <c r="AK360" i="2"/>
  <c r="AJ360" i="2"/>
  <c r="AI360" i="2"/>
  <c r="AG356" i="2"/>
  <c r="AK356" i="2"/>
  <c r="AJ356" i="2"/>
  <c r="AI356" i="2"/>
  <c r="AG352" i="2"/>
  <c r="AK352" i="2"/>
  <c r="AJ352" i="2"/>
  <c r="AI352" i="2"/>
  <c r="AG348" i="2"/>
  <c r="AK348" i="2"/>
  <c r="AJ348" i="2"/>
  <c r="AI348" i="2"/>
  <c r="AG344" i="2"/>
  <c r="AK344" i="2"/>
  <c r="AJ344" i="2"/>
  <c r="AI344" i="2"/>
  <c r="AG340" i="2"/>
  <c r="AK340" i="2"/>
  <c r="AJ340" i="2"/>
  <c r="AI340" i="2"/>
  <c r="AG336" i="2"/>
  <c r="AK336" i="2"/>
  <c r="AJ336" i="2"/>
  <c r="AI336" i="2"/>
  <c r="AG332" i="2"/>
  <c r="AK332" i="2"/>
  <c r="AJ332" i="2"/>
  <c r="AI332" i="2"/>
  <c r="AG328" i="2"/>
  <c r="AK328" i="2"/>
  <c r="AJ328" i="2"/>
  <c r="AI328" i="2"/>
  <c r="AG324" i="2"/>
  <c r="AK324" i="2"/>
  <c r="AJ324" i="2"/>
  <c r="AI324" i="2"/>
  <c r="AG320" i="2"/>
  <c r="AK320" i="2"/>
  <c r="AJ320" i="2"/>
  <c r="AI320" i="2"/>
  <c r="AG316" i="2"/>
  <c r="AK316" i="2"/>
  <c r="AJ316" i="2"/>
  <c r="AI316" i="2"/>
  <c r="AG312" i="2"/>
  <c r="AK312" i="2"/>
  <c r="AJ312" i="2"/>
  <c r="AI312" i="2"/>
  <c r="AG308" i="2"/>
  <c r="AK308" i="2"/>
  <c r="AJ308" i="2"/>
  <c r="AI308" i="2"/>
  <c r="AH308" i="2"/>
  <c r="AG304" i="2"/>
  <c r="AK304" i="2"/>
  <c r="AJ304" i="2"/>
  <c r="AI304" i="2"/>
  <c r="AH304" i="2"/>
  <c r="AG300" i="2"/>
  <c r="AK300" i="2"/>
  <c r="AJ300" i="2"/>
  <c r="AI300" i="2"/>
  <c r="AH300" i="2"/>
  <c r="AG296" i="2"/>
  <c r="AK296" i="2"/>
  <c r="AJ296" i="2"/>
  <c r="AI296" i="2"/>
  <c r="AH296" i="2"/>
  <c r="AG292" i="2"/>
  <c r="AK292" i="2"/>
  <c r="AJ292" i="2"/>
  <c r="AI292" i="2"/>
  <c r="AH292" i="2"/>
  <c r="AG288" i="2"/>
  <c r="AK288" i="2"/>
  <c r="AJ288" i="2"/>
  <c r="AI288" i="2"/>
  <c r="AH288" i="2"/>
  <c r="AG284" i="2"/>
  <c r="AK284" i="2"/>
  <c r="AJ284" i="2"/>
  <c r="AI284" i="2"/>
  <c r="AH284" i="2"/>
  <c r="AG280" i="2"/>
  <c r="AK280" i="2"/>
  <c r="AJ280" i="2"/>
  <c r="AI280" i="2"/>
  <c r="AH280" i="2"/>
  <c r="AG276" i="2"/>
  <c r="AK276" i="2"/>
  <c r="AJ276" i="2"/>
  <c r="AI276" i="2"/>
  <c r="AH276" i="2"/>
  <c r="AG272" i="2"/>
  <c r="AK272" i="2"/>
  <c r="AJ272" i="2"/>
  <c r="AI272" i="2"/>
  <c r="AH272" i="2"/>
  <c r="AG268" i="2"/>
  <c r="AK268" i="2"/>
  <c r="AJ268" i="2"/>
  <c r="AI268" i="2"/>
  <c r="AH268" i="2"/>
  <c r="AG264" i="2"/>
  <c r="AK264" i="2"/>
  <c r="AJ264" i="2"/>
  <c r="AI264" i="2"/>
  <c r="AH264" i="2"/>
  <c r="AG260" i="2"/>
  <c r="AK260" i="2"/>
  <c r="AJ260" i="2"/>
  <c r="AI260" i="2"/>
  <c r="AH260" i="2"/>
  <c r="AG256" i="2"/>
  <c r="AK256" i="2"/>
  <c r="AJ256" i="2"/>
  <c r="AI256" i="2"/>
  <c r="AH256" i="2"/>
  <c r="AG252" i="2"/>
  <c r="AK252" i="2"/>
  <c r="AJ252" i="2"/>
  <c r="AI252" i="2"/>
  <c r="AH252" i="2"/>
  <c r="AG248" i="2"/>
  <c r="AK248" i="2"/>
  <c r="AJ248" i="2"/>
  <c r="AI248" i="2"/>
  <c r="AH248" i="2"/>
  <c r="AG244" i="2"/>
  <c r="AK244" i="2"/>
  <c r="AJ244" i="2"/>
  <c r="AI244" i="2"/>
  <c r="AH244" i="2"/>
  <c r="AG240" i="2"/>
  <c r="AK240" i="2"/>
  <c r="AJ240" i="2"/>
  <c r="AI240" i="2"/>
  <c r="AH240" i="2"/>
  <c r="AG236" i="2"/>
  <c r="AK236" i="2"/>
  <c r="AJ236" i="2"/>
  <c r="AI236" i="2"/>
  <c r="AH236" i="2"/>
  <c r="AG232" i="2"/>
  <c r="AK232" i="2"/>
  <c r="AJ232" i="2"/>
  <c r="AI232" i="2"/>
  <c r="AH232" i="2"/>
  <c r="AG228" i="2"/>
  <c r="AK228" i="2"/>
  <c r="AJ228" i="2"/>
  <c r="AI228" i="2"/>
  <c r="AH228" i="2"/>
  <c r="AG224" i="2"/>
  <c r="AK224" i="2"/>
  <c r="AJ224" i="2"/>
  <c r="AI224" i="2"/>
  <c r="AH224" i="2"/>
  <c r="AG220" i="2"/>
  <c r="AK220" i="2"/>
  <c r="AJ220" i="2"/>
  <c r="AI220" i="2"/>
  <c r="AH220" i="2"/>
  <c r="AG216" i="2"/>
  <c r="AK216" i="2"/>
  <c r="AJ216" i="2"/>
  <c r="AI216" i="2"/>
  <c r="AH216" i="2"/>
  <c r="AG212" i="2"/>
  <c r="AK212" i="2"/>
  <c r="AI212" i="2"/>
  <c r="AJ212" i="2"/>
  <c r="AH212" i="2"/>
  <c r="AG208" i="2"/>
  <c r="AK208" i="2"/>
  <c r="AI208" i="2"/>
  <c r="AJ208" i="2"/>
  <c r="AH208" i="2"/>
  <c r="AG204" i="2"/>
  <c r="AK204" i="2"/>
  <c r="AJ204" i="2"/>
  <c r="AI204" i="2"/>
  <c r="AH204" i="2"/>
  <c r="AG200" i="2"/>
  <c r="AK200" i="2"/>
  <c r="AJ200" i="2"/>
  <c r="AI200" i="2"/>
  <c r="AH200" i="2"/>
  <c r="AG196" i="2"/>
  <c r="AK196" i="2"/>
  <c r="AI196" i="2"/>
  <c r="AJ196" i="2"/>
  <c r="AH196" i="2"/>
  <c r="AG192" i="2"/>
  <c r="AK192" i="2"/>
  <c r="AI192" i="2"/>
  <c r="AJ192" i="2"/>
  <c r="AH192" i="2"/>
  <c r="AG188" i="2"/>
  <c r="AK188" i="2"/>
  <c r="AJ188" i="2"/>
  <c r="AI188" i="2"/>
  <c r="AH188" i="2"/>
  <c r="AG184" i="2"/>
  <c r="AK184" i="2"/>
  <c r="AJ184" i="2"/>
  <c r="AI184" i="2"/>
  <c r="AH184" i="2"/>
  <c r="AG180" i="2"/>
  <c r="AK180" i="2"/>
  <c r="AJ180" i="2"/>
  <c r="AI180" i="2"/>
  <c r="AH180" i="2"/>
  <c r="AG176" i="2"/>
  <c r="AK176" i="2"/>
  <c r="AJ176" i="2"/>
  <c r="AI176" i="2"/>
  <c r="AH176" i="2"/>
  <c r="AG172" i="2"/>
  <c r="AK172" i="2"/>
  <c r="AI172" i="2"/>
  <c r="AJ172" i="2"/>
  <c r="AH172" i="2"/>
  <c r="AG168" i="2"/>
  <c r="AK168" i="2"/>
  <c r="AJ168" i="2"/>
  <c r="AI168" i="2"/>
  <c r="AH168" i="2"/>
  <c r="AG164" i="2"/>
  <c r="AK164" i="2"/>
  <c r="AI164" i="2"/>
  <c r="AJ164" i="2"/>
  <c r="AH164" i="2"/>
  <c r="AG160" i="2"/>
  <c r="AK160" i="2"/>
  <c r="AJ160" i="2"/>
  <c r="AI160" i="2"/>
  <c r="AH160" i="2"/>
  <c r="AG156" i="2"/>
  <c r="AK156" i="2"/>
  <c r="AJ156" i="2"/>
  <c r="AI156" i="2"/>
  <c r="AH156" i="2"/>
  <c r="AG152" i="2"/>
  <c r="AK152" i="2"/>
  <c r="AJ152" i="2"/>
  <c r="AI152" i="2"/>
  <c r="AH152" i="2"/>
  <c r="AG148" i="2"/>
  <c r="AK148" i="2"/>
  <c r="AJ148" i="2"/>
  <c r="AI148" i="2"/>
  <c r="AH148" i="2"/>
  <c r="AG144" i="2"/>
  <c r="AK144" i="2"/>
  <c r="AJ144" i="2"/>
  <c r="AI144" i="2"/>
  <c r="AH144" i="2"/>
  <c r="AG140" i="2"/>
  <c r="AK140" i="2"/>
  <c r="AJ140" i="2"/>
  <c r="AI140" i="2"/>
  <c r="AH140" i="2"/>
  <c r="AG136" i="2"/>
  <c r="AK136" i="2"/>
  <c r="AJ136" i="2"/>
  <c r="AI136" i="2"/>
  <c r="AH136" i="2"/>
  <c r="AG132" i="2"/>
  <c r="AK132" i="2"/>
  <c r="AJ132" i="2"/>
  <c r="AI132" i="2"/>
  <c r="AH132" i="2"/>
  <c r="AG128" i="2"/>
  <c r="AK128" i="2"/>
  <c r="AJ128" i="2"/>
  <c r="AI128" i="2"/>
  <c r="AH128" i="2"/>
  <c r="AG124" i="2"/>
  <c r="AK124" i="2"/>
  <c r="AJ124" i="2"/>
  <c r="AI124" i="2"/>
  <c r="AH124" i="2"/>
  <c r="AG120" i="2"/>
  <c r="AK120" i="2"/>
  <c r="AJ120" i="2"/>
  <c r="AI120" i="2"/>
  <c r="AH120" i="2"/>
  <c r="AG116" i="2"/>
  <c r="AK116" i="2"/>
  <c r="AJ116" i="2"/>
  <c r="AI116" i="2"/>
  <c r="AH116" i="2"/>
  <c r="AG112" i="2"/>
  <c r="AK112" i="2"/>
  <c r="AJ112" i="2"/>
  <c r="AI112" i="2"/>
  <c r="AH112" i="2"/>
  <c r="AG108" i="2"/>
  <c r="AK108" i="2"/>
  <c r="AJ108" i="2"/>
  <c r="AI108" i="2"/>
  <c r="AH108" i="2"/>
  <c r="AG104" i="2"/>
  <c r="AK104" i="2"/>
  <c r="AJ104" i="2"/>
  <c r="AI104" i="2"/>
  <c r="AH104" i="2"/>
  <c r="AG100" i="2"/>
  <c r="AK100" i="2"/>
  <c r="AJ100" i="2"/>
  <c r="AI100" i="2"/>
  <c r="AH100" i="2"/>
  <c r="AG96" i="2"/>
  <c r="AK96" i="2"/>
  <c r="AJ96" i="2"/>
  <c r="AI96" i="2"/>
  <c r="AH96" i="2"/>
  <c r="AG92" i="2"/>
  <c r="AK92" i="2"/>
  <c r="AJ92" i="2"/>
  <c r="AI92" i="2"/>
  <c r="AH92" i="2"/>
  <c r="AG88" i="2"/>
  <c r="AK88" i="2"/>
  <c r="AJ88" i="2"/>
  <c r="AI88" i="2"/>
  <c r="AH88" i="2"/>
  <c r="AG84" i="2"/>
  <c r="AK84" i="2"/>
  <c r="AJ84" i="2"/>
  <c r="AI84" i="2"/>
  <c r="AH84" i="2"/>
  <c r="AH524" i="2"/>
  <c r="AH520" i="2"/>
  <c r="AH516" i="2"/>
  <c r="AH512" i="2"/>
  <c r="AH508" i="2"/>
  <c r="AH504" i="2"/>
  <c r="AH500" i="2"/>
  <c r="AH496" i="2"/>
  <c r="AH492" i="2"/>
  <c r="AH488" i="2"/>
  <c r="AH484" i="2"/>
  <c r="AH480" i="2"/>
  <c r="AH476" i="2"/>
  <c r="AH472" i="2"/>
  <c r="AH468" i="2"/>
  <c r="AH464" i="2"/>
  <c r="AH460" i="2"/>
  <c r="AH456" i="2"/>
  <c r="AH452" i="2"/>
  <c r="AH448" i="2"/>
  <c r="AH444" i="2"/>
  <c r="AH440" i="2"/>
  <c r="AH436" i="2"/>
  <c r="AH432" i="2"/>
  <c r="AH428" i="2"/>
  <c r="AH424" i="2"/>
  <c r="AH420" i="2"/>
  <c r="AH416" i="2"/>
  <c r="AH412" i="2"/>
  <c r="AH408" i="2"/>
  <c r="AH404" i="2"/>
  <c r="AH400" i="2"/>
  <c r="AH396" i="2"/>
  <c r="AH392" i="2"/>
  <c r="AH388" i="2"/>
  <c r="AH384" i="2"/>
  <c r="AH380" i="2"/>
  <c r="AH376" i="2"/>
  <c r="AH372" i="2"/>
  <c r="AH368" i="2"/>
  <c r="AH364" i="2"/>
  <c r="AH360" i="2"/>
  <c r="AH356" i="2"/>
  <c r="AH352" i="2"/>
  <c r="AH348" i="2"/>
  <c r="AH332" i="2"/>
  <c r="AH316" i="2"/>
  <c r="AI524" i="2"/>
  <c r="AI516" i="2"/>
  <c r="AI508" i="2"/>
  <c r="AI500" i="2"/>
  <c r="AI492" i="2"/>
  <c r="AI484" i="2"/>
  <c r="AI476" i="2"/>
  <c r="AG523" i="2"/>
  <c r="AK523" i="2"/>
  <c r="AJ523" i="2"/>
  <c r="AG519" i="2"/>
  <c r="AK519" i="2"/>
  <c r="AJ519" i="2"/>
  <c r="AG515" i="2"/>
  <c r="AK515" i="2"/>
  <c r="AJ515" i="2"/>
  <c r="AG511" i="2"/>
  <c r="AK511" i="2"/>
  <c r="AJ511" i="2"/>
  <c r="AG507" i="2"/>
  <c r="AK507" i="2"/>
  <c r="AJ507" i="2"/>
  <c r="AG503" i="2"/>
  <c r="AK503" i="2"/>
  <c r="AJ503" i="2"/>
  <c r="AG499" i="2"/>
  <c r="AK499" i="2"/>
  <c r="AJ499" i="2"/>
  <c r="AG495" i="2"/>
  <c r="AK495" i="2"/>
  <c r="AJ495" i="2"/>
  <c r="AG491" i="2"/>
  <c r="AK491" i="2"/>
  <c r="AJ491" i="2"/>
  <c r="AG487" i="2"/>
  <c r="AK487" i="2"/>
  <c r="AJ487" i="2"/>
  <c r="AG483" i="2"/>
  <c r="AK483" i="2"/>
  <c r="AJ483" i="2"/>
  <c r="AG479" i="2"/>
  <c r="AK479" i="2"/>
  <c r="AJ479" i="2"/>
  <c r="AG475" i="2"/>
  <c r="AK475" i="2"/>
  <c r="AJ475" i="2"/>
  <c r="AG471" i="2"/>
  <c r="AK471" i="2"/>
  <c r="AJ471" i="2"/>
  <c r="AG467" i="2"/>
  <c r="AK467" i="2"/>
  <c r="AJ467" i="2"/>
  <c r="AG463" i="2"/>
  <c r="AK463" i="2"/>
  <c r="AJ463" i="2"/>
  <c r="AI463" i="2"/>
  <c r="AG459" i="2"/>
  <c r="AK459" i="2"/>
  <c r="AJ459" i="2"/>
  <c r="AI459" i="2"/>
  <c r="AG455" i="2"/>
  <c r="AK455" i="2"/>
  <c r="AJ455" i="2"/>
  <c r="AI455" i="2"/>
  <c r="AG451" i="2"/>
  <c r="AK451" i="2"/>
  <c r="AJ451" i="2"/>
  <c r="AI451" i="2"/>
  <c r="AG447" i="2"/>
  <c r="AK447" i="2"/>
  <c r="AJ447" i="2"/>
  <c r="AI447" i="2"/>
  <c r="AG443" i="2"/>
  <c r="AK443" i="2"/>
  <c r="AJ443" i="2"/>
  <c r="AI443" i="2"/>
  <c r="AG439" i="2"/>
  <c r="AK439" i="2"/>
  <c r="AJ439" i="2"/>
  <c r="AI439" i="2"/>
  <c r="AG435" i="2"/>
  <c r="AK435" i="2"/>
  <c r="AJ435" i="2"/>
  <c r="AI435" i="2"/>
  <c r="AG431" i="2"/>
  <c r="AK431" i="2"/>
  <c r="AJ431" i="2"/>
  <c r="AI431" i="2"/>
  <c r="AG427" i="2"/>
  <c r="AK427" i="2"/>
  <c r="AJ427" i="2"/>
  <c r="AI427" i="2"/>
  <c r="AG423" i="2"/>
  <c r="AK423" i="2"/>
  <c r="AJ423" i="2"/>
  <c r="AI423" i="2"/>
  <c r="AG419" i="2"/>
  <c r="AK419" i="2"/>
  <c r="AJ419" i="2"/>
  <c r="AI419" i="2"/>
  <c r="AG415" i="2"/>
  <c r="AK415" i="2"/>
  <c r="AJ415" i="2"/>
  <c r="AI415" i="2"/>
  <c r="AG411" i="2"/>
  <c r="AK411" i="2"/>
  <c r="AJ411" i="2"/>
  <c r="AI411" i="2"/>
  <c r="AG407" i="2"/>
  <c r="AK407" i="2"/>
  <c r="AJ407" i="2"/>
  <c r="AI407" i="2"/>
  <c r="AG403" i="2"/>
  <c r="AK403" i="2"/>
  <c r="AJ403" i="2"/>
  <c r="AI403" i="2"/>
  <c r="AG399" i="2"/>
  <c r="AK399" i="2"/>
  <c r="AJ399" i="2"/>
  <c r="AI399" i="2"/>
  <c r="AG395" i="2"/>
  <c r="AK395" i="2"/>
  <c r="AJ395" i="2"/>
  <c r="AI395" i="2"/>
  <c r="AG391" i="2"/>
  <c r="AK391" i="2"/>
  <c r="AJ391" i="2"/>
  <c r="AI391" i="2"/>
  <c r="AG387" i="2"/>
  <c r="AK387" i="2"/>
  <c r="AJ387" i="2"/>
  <c r="AI387" i="2"/>
  <c r="AG383" i="2"/>
  <c r="AK383" i="2"/>
  <c r="AJ383" i="2"/>
  <c r="AI383" i="2"/>
  <c r="AG379" i="2"/>
  <c r="AK379" i="2"/>
  <c r="AJ379" i="2"/>
  <c r="AI379" i="2"/>
  <c r="AG375" i="2"/>
  <c r="AK375" i="2"/>
  <c r="AJ375" i="2"/>
  <c r="AI375" i="2"/>
  <c r="AG371" i="2"/>
  <c r="AK371" i="2"/>
  <c r="AJ371" i="2"/>
  <c r="AI371" i="2"/>
  <c r="AG367" i="2"/>
  <c r="AK367" i="2"/>
  <c r="AJ367" i="2"/>
  <c r="AI367" i="2"/>
  <c r="AG363" i="2"/>
  <c r="AK363" i="2"/>
  <c r="AJ363" i="2"/>
  <c r="AI363" i="2"/>
  <c r="AG359" i="2"/>
  <c r="AK359" i="2"/>
  <c r="AJ359" i="2"/>
  <c r="AI359" i="2"/>
  <c r="AG355" i="2"/>
  <c r="AK355" i="2"/>
  <c r="AJ355" i="2"/>
  <c r="AI355" i="2"/>
  <c r="AG351" i="2"/>
  <c r="AK351" i="2"/>
  <c r="AJ351" i="2"/>
  <c r="AI351" i="2"/>
  <c r="AG347" i="2"/>
  <c r="AK347" i="2"/>
  <c r="AJ347" i="2"/>
  <c r="AI347" i="2"/>
  <c r="AG343" i="2"/>
  <c r="AK343" i="2"/>
  <c r="AJ343" i="2"/>
  <c r="AI343" i="2"/>
  <c r="AG339" i="2"/>
  <c r="AK339" i="2"/>
  <c r="AJ339" i="2"/>
  <c r="AI339" i="2"/>
  <c r="AG335" i="2"/>
  <c r="AK335" i="2"/>
  <c r="AJ335" i="2"/>
  <c r="AI335" i="2"/>
  <c r="AG331" i="2"/>
  <c r="AK331" i="2"/>
  <c r="AJ331" i="2"/>
  <c r="AI331" i="2"/>
  <c r="AG327" i="2"/>
  <c r="AK327" i="2"/>
  <c r="AJ327" i="2"/>
  <c r="AI327" i="2"/>
  <c r="AG323" i="2"/>
  <c r="AK323" i="2"/>
  <c r="AJ323" i="2"/>
  <c r="AI323" i="2"/>
  <c r="AG319" i="2"/>
  <c r="AK319" i="2"/>
  <c r="AJ319" i="2"/>
  <c r="AI319" i="2"/>
  <c r="AG315" i="2"/>
  <c r="AK315" i="2"/>
  <c r="AJ315" i="2"/>
  <c r="AI315" i="2"/>
  <c r="AG311" i="2"/>
  <c r="AK311" i="2"/>
  <c r="AJ311" i="2"/>
  <c r="AI311" i="2"/>
  <c r="AG307" i="2"/>
  <c r="AK307" i="2"/>
  <c r="AJ307" i="2"/>
  <c r="AI307" i="2"/>
  <c r="AG303" i="2"/>
  <c r="AK303" i="2"/>
  <c r="AJ303" i="2"/>
  <c r="AI303" i="2"/>
  <c r="AG299" i="2"/>
  <c r="AK299" i="2"/>
  <c r="AJ299" i="2"/>
  <c r="AI299" i="2"/>
  <c r="AG295" i="2"/>
  <c r="AK295" i="2"/>
  <c r="AJ295" i="2"/>
  <c r="AI295" i="2"/>
  <c r="AG291" i="2"/>
  <c r="AK291" i="2"/>
  <c r="AJ291" i="2"/>
  <c r="AI291" i="2"/>
  <c r="AG287" i="2"/>
  <c r="AK287" i="2"/>
  <c r="AJ287" i="2"/>
  <c r="AI287" i="2"/>
  <c r="AG283" i="2"/>
  <c r="AK283" i="2"/>
  <c r="AJ283" i="2"/>
  <c r="AI283" i="2"/>
  <c r="AG279" i="2"/>
  <c r="AK279" i="2"/>
  <c r="AJ279" i="2"/>
  <c r="AI279" i="2"/>
  <c r="AG275" i="2"/>
  <c r="AK275" i="2"/>
  <c r="AJ275" i="2"/>
  <c r="AI275" i="2"/>
  <c r="AG271" i="2"/>
  <c r="AK271" i="2"/>
  <c r="AJ271" i="2"/>
  <c r="AI271" i="2"/>
  <c r="AG267" i="2"/>
  <c r="AK267" i="2"/>
  <c r="AJ267" i="2"/>
  <c r="AI267" i="2"/>
  <c r="AG263" i="2"/>
  <c r="AK263" i="2"/>
  <c r="AJ263" i="2"/>
  <c r="AI263" i="2"/>
  <c r="AG259" i="2"/>
  <c r="AK259" i="2"/>
  <c r="AJ259" i="2"/>
  <c r="AI259" i="2"/>
  <c r="AG255" i="2"/>
  <c r="AK255" i="2"/>
  <c r="AJ255" i="2"/>
  <c r="AI255" i="2"/>
  <c r="AG251" i="2"/>
  <c r="AK251" i="2"/>
  <c r="AJ251" i="2"/>
  <c r="AI251" i="2"/>
  <c r="AG247" i="2"/>
  <c r="AK247" i="2"/>
  <c r="AJ247" i="2"/>
  <c r="AI247" i="2"/>
  <c r="AG243" i="2"/>
  <c r="AK243" i="2"/>
  <c r="AJ243" i="2"/>
  <c r="AI243" i="2"/>
  <c r="AG239" i="2"/>
  <c r="AK239" i="2"/>
  <c r="AJ239" i="2"/>
  <c r="AI239" i="2"/>
  <c r="AG235" i="2"/>
  <c r="AK235" i="2"/>
  <c r="AJ235" i="2"/>
  <c r="AI235" i="2"/>
  <c r="AG231" i="2"/>
  <c r="AK231" i="2"/>
  <c r="AJ231" i="2"/>
  <c r="AI231" i="2"/>
  <c r="AG227" i="2"/>
  <c r="AK227" i="2"/>
  <c r="AJ227" i="2"/>
  <c r="AI227" i="2"/>
  <c r="AG223" i="2"/>
  <c r="AK223" i="2"/>
  <c r="AJ223" i="2"/>
  <c r="AI223" i="2"/>
  <c r="AG219" i="2"/>
  <c r="AK219" i="2"/>
  <c r="AJ219" i="2"/>
  <c r="AI219" i="2"/>
  <c r="AG215" i="2"/>
  <c r="AK215" i="2"/>
  <c r="AJ215" i="2"/>
  <c r="AI215" i="2"/>
  <c r="AG211" i="2"/>
  <c r="AK211" i="2"/>
  <c r="AJ211" i="2"/>
  <c r="AI211" i="2"/>
  <c r="AG207" i="2"/>
  <c r="AK207" i="2"/>
  <c r="AJ207" i="2"/>
  <c r="AI207" i="2"/>
  <c r="AG203" i="2"/>
  <c r="AK203" i="2"/>
  <c r="AJ203" i="2"/>
  <c r="AI203" i="2"/>
  <c r="AG199" i="2"/>
  <c r="AK199" i="2"/>
  <c r="AJ199" i="2"/>
  <c r="AI199" i="2"/>
  <c r="AG195" i="2"/>
  <c r="AK195" i="2"/>
  <c r="AJ195" i="2"/>
  <c r="AI195" i="2"/>
  <c r="AG191" i="2"/>
  <c r="AK191" i="2"/>
  <c r="AJ191" i="2"/>
  <c r="AI191" i="2"/>
  <c r="AG187" i="2"/>
  <c r="AK187" i="2"/>
  <c r="AJ187" i="2"/>
  <c r="AI187" i="2"/>
  <c r="AG183" i="2"/>
  <c r="AK183" i="2"/>
  <c r="AJ183" i="2"/>
  <c r="AI183" i="2"/>
  <c r="AG179" i="2"/>
  <c r="AK179" i="2"/>
  <c r="AJ179" i="2"/>
  <c r="AI179" i="2"/>
  <c r="AG175" i="2"/>
  <c r="AK175" i="2"/>
  <c r="AJ175" i="2"/>
  <c r="AI175" i="2"/>
  <c r="AG171" i="2"/>
  <c r="AK171" i="2"/>
  <c r="AJ171" i="2"/>
  <c r="AI171" i="2"/>
  <c r="AG167" i="2"/>
  <c r="AK167" i="2"/>
  <c r="AJ167" i="2"/>
  <c r="AI167" i="2"/>
  <c r="AG163" i="2"/>
  <c r="AK163" i="2"/>
  <c r="AJ163" i="2"/>
  <c r="AI163" i="2"/>
  <c r="AG159" i="2"/>
  <c r="AK159" i="2"/>
  <c r="AJ159" i="2"/>
  <c r="AI159" i="2"/>
  <c r="AG155" i="2"/>
  <c r="AK155" i="2"/>
  <c r="AJ155" i="2"/>
  <c r="AI155" i="2"/>
  <c r="AG151" i="2"/>
  <c r="AK151" i="2"/>
  <c r="AJ151" i="2"/>
  <c r="AI151" i="2"/>
  <c r="AG147" i="2"/>
  <c r="AK147" i="2"/>
  <c r="AJ147" i="2"/>
  <c r="AI147" i="2"/>
  <c r="AG143" i="2"/>
  <c r="AK143" i="2"/>
  <c r="AJ143" i="2"/>
  <c r="AI143" i="2"/>
  <c r="AG139" i="2"/>
  <c r="AK139" i="2"/>
  <c r="AJ139" i="2"/>
  <c r="AI139" i="2"/>
  <c r="AG135" i="2"/>
  <c r="AK135" i="2"/>
  <c r="AJ135" i="2"/>
  <c r="AI135" i="2"/>
  <c r="AG131" i="2"/>
  <c r="AK131" i="2"/>
  <c r="AJ131" i="2"/>
  <c r="AI131" i="2"/>
  <c r="AG127" i="2"/>
  <c r="AK127" i="2"/>
  <c r="AJ127" i="2"/>
  <c r="AI127" i="2"/>
  <c r="AG123" i="2"/>
  <c r="AK123" i="2"/>
  <c r="AJ123" i="2"/>
  <c r="AI123" i="2"/>
  <c r="AG119" i="2"/>
  <c r="AK119" i="2"/>
  <c r="AJ119" i="2"/>
  <c r="AI119" i="2"/>
  <c r="AG115" i="2"/>
  <c r="AK115" i="2"/>
  <c r="AJ115" i="2"/>
  <c r="AI115" i="2"/>
  <c r="AG111" i="2"/>
  <c r="AK111" i="2"/>
  <c r="AJ111" i="2"/>
  <c r="AI111" i="2"/>
  <c r="AG107" i="2"/>
  <c r="AK107" i="2"/>
  <c r="AJ107" i="2"/>
  <c r="AI107" i="2"/>
  <c r="AG103" i="2"/>
  <c r="AK103" i="2"/>
  <c r="AJ103" i="2"/>
  <c r="AI103" i="2"/>
  <c r="AG99" i="2"/>
  <c r="AK99" i="2"/>
  <c r="AJ99" i="2"/>
  <c r="AI99" i="2"/>
  <c r="AG95" i="2"/>
  <c r="AK95" i="2"/>
  <c r="AJ95" i="2"/>
  <c r="AI95" i="2"/>
  <c r="AG91" i="2"/>
  <c r="AK91" i="2"/>
  <c r="AJ91" i="2"/>
  <c r="AI91" i="2"/>
  <c r="AG87" i="2"/>
  <c r="AK87" i="2"/>
  <c r="AJ87" i="2"/>
  <c r="AI87" i="2"/>
  <c r="AH523" i="2"/>
  <c r="AH519" i="2"/>
  <c r="AH515" i="2"/>
  <c r="AH511" i="2"/>
  <c r="AH507" i="2"/>
  <c r="AH503" i="2"/>
  <c r="AH499" i="2"/>
  <c r="AH495" i="2"/>
  <c r="AH491" i="2"/>
  <c r="AH487" i="2"/>
  <c r="AH483" i="2"/>
  <c r="AH479" i="2"/>
  <c r="AH475" i="2"/>
  <c r="AH471" i="2"/>
  <c r="AH467" i="2"/>
  <c r="AH463" i="2"/>
  <c r="AH459" i="2"/>
  <c r="AH455" i="2"/>
  <c r="AH451" i="2"/>
  <c r="AH447" i="2"/>
  <c r="AH443" i="2"/>
  <c r="AH439" i="2"/>
  <c r="AH435" i="2"/>
  <c r="AH431" i="2"/>
  <c r="AH427" i="2"/>
  <c r="AH423" i="2"/>
  <c r="AH419" i="2"/>
  <c r="AH415" i="2"/>
  <c r="AH411" i="2"/>
  <c r="AH407" i="2"/>
  <c r="AH403" i="2"/>
  <c r="AH399" i="2"/>
  <c r="AH395" i="2"/>
  <c r="AH391" i="2"/>
  <c r="AH387" i="2"/>
  <c r="AH383" i="2"/>
  <c r="AH379" i="2"/>
  <c r="AH375" i="2"/>
  <c r="AH371" i="2"/>
  <c r="AH367" i="2"/>
  <c r="AH363" i="2"/>
  <c r="AH359" i="2"/>
  <c r="AH355" i="2"/>
  <c r="AH351" i="2"/>
  <c r="AH347" i="2"/>
  <c r="AH336" i="2"/>
  <c r="AH331" i="2"/>
  <c r="AH320" i="2"/>
  <c r="AH315" i="2"/>
  <c r="AI523" i="2"/>
  <c r="AI515" i="2"/>
  <c r="AI507" i="2"/>
  <c r="AI499" i="2"/>
  <c r="AI491" i="2"/>
  <c r="AI483" i="2"/>
  <c r="AI475" i="2"/>
  <c r="AG522" i="2"/>
  <c r="AK522" i="2"/>
  <c r="AJ522" i="2"/>
  <c r="AI522" i="2"/>
  <c r="AG518" i="2"/>
  <c r="AK518" i="2"/>
  <c r="AJ518" i="2"/>
  <c r="AI518" i="2"/>
  <c r="AG514" i="2"/>
  <c r="AK514" i="2"/>
  <c r="AJ514" i="2"/>
  <c r="AI514" i="2"/>
  <c r="AG510" i="2"/>
  <c r="AK510" i="2"/>
  <c r="AJ510" i="2"/>
  <c r="AI510" i="2"/>
  <c r="AG506" i="2"/>
  <c r="AK506" i="2"/>
  <c r="AJ506" i="2"/>
  <c r="AI506" i="2"/>
  <c r="AG502" i="2"/>
  <c r="AK502" i="2"/>
  <c r="AJ502" i="2"/>
  <c r="AI502" i="2"/>
  <c r="AG498" i="2"/>
  <c r="AK498" i="2"/>
  <c r="AJ498" i="2"/>
  <c r="AI498" i="2"/>
  <c r="AG494" i="2"/>
  <c r="AK494" i="2"/>
  <c r="AJ494" i="2"/>
  <c r="AI494" i="2"/>
  <c r="AG490" i="2"/>
  <c r="AK490" i="2"/>
  <c r="AJ490" i="2"/>
  <c r="AI490" i="2"/>
  <c r="AG486" i="2"/>
  <c r="AK486" i="2"/>
  <c r="AJ486" i="2"/>
  <c r="AI486" i="2"/>
  <c r="AG482" i="2"/>
  <c r="AK482" i="2"/>
  <c r="AJ482" i="2"/>
  <c r="AI482" i="2"/>
  <c r="AG478" i="2"/>
  <c r="AK478" i="2"/>
  <c r="AJ478" i="2"/>
  <c r="AI478" i="2"/>
  <c r="AG474" i="2"/>
  <c r="AK474" i="2"/>
  <c r="AJ474" i="2"/>
  <c r="AI474" i="2"/>
  <c r="AG470" i="2"/>
  <c r="AK470" i="2"/>
  <c r="AJ470" i="2"/>
  <c r="AI470" i="2"/>
  <c r="AG466" i="2"/>
  <c r="AK466" i="2"/>
  <c r="AJ466" i="2"/>
  <c r="AI466" i="2"/>
  <c r="AG462" i="2"/>
  <c r="AK462" i="2"/>
  <c r="AJ462" i="2"/>
  <c r="AI462" i="2"/>
  <c r="AG458" i="2"/>
  <c r="AK458" i="2"/>
  <c r="AJ458" i="2"/>
  <c r="AI458" i="2"/>
  <c r="AG454" i="2"/>
  <c r="AK454" i="2"/>
  <c r="AJ454" i="2"/>
  <c r="AI454" i="2"/>
  <c r="AG450" i="2"/>
  <c r="AK450" i="2"/>
  <c r="AJ450" i="2"/>
  <c r="AI450" i="2"/>
  <c r="AG446" i="2"/>
  <c r="AK446" i="2"/>
  <c r="AJ446" i="2"/>
  <c r="AI446" i="2"/>
  <c r="AG442" i="2"/>
  <c r="AK442" i="2"/>
  <c r="AJ442" i="2"/>
  <c r="AI442" i="2"/>
  <c r="AG438" i="2"/>
  <c r="AK438" i="2"/>
  <c r="AJ438" i="2"/>
  <c r="AI438" i="2"/>
  <c r="AG434" i="2"/>
  <c r="AK434" i="2"/>
  <c r="AJ434" i="2"/>
  <c r="AI434" i="2"/>
  <c r="AG430" i="2"/>
  <c r="AK430" i="2"/>
  <c r="AJ430" i="2"/>
  <c r="AI430" i="2"/>
  <c r="AG426" i="2"/>
  <c r="AK426" i="2"/>
  <c r="AJ426" i="2"/>
  <c r="AI426" i="2"/>
  <c r="AG422" i="2"/>
  <c r="AK422" i="2"/>
  <c r="AJ422" i="2"/>
  <c r="AI422" i="2"/>
  <c r="AG418" i="2"/>
  <c r="AK418" i="2"/>
  <c r="AJ418" i="2"/>
  <c r="AI418" i="2"/>
  <c r="AG414" i="2"/>
  <c r="AK414" i="2"/>
  <c r="AJ414" i="2"/>
  <c r="AI414" i="2"/>
  <c r="AG410" i="2"/>
  <c r="AK410" i="2"/>
  <c r="AJ410" i="2"/>
  <c r="AI410" i="2"/>
  <c r="AG406" i="2"/>
  <c r="AK406" i="2"/>
  <c r="AJ406" i="2"/>
  <c r="AI406" i="2"/>
  <c r="AG402" i="2"/>
  <c r="AK402" i="2"/>
  <c r="AJ402" i="2"/>
  <c r="AI402" i="2"/>
  <c r="AG398" i="2"/>
  <c r="AK398" i="2"/>
  <c r="AJ398" i="2"/>
  <c r="AI398" i="2"/>
  <c r="AG394" i="2"/>
  <c r="AK394" i="2"/>
  <c r="AJ394" i="2"/>
  <c r="AI394" i="2"/>
  <c r="AG390" i="2"/>
  <c r="AK390" i="2"/>
  <c r="AJ390" i="2"/>
  <c r="AI390" i="2"/>
  <c r="AG386" i="2"/>
  <c r="AK386" i="2"/>
  <c r="AJ386" i="2"/>
  <c r="AI386" i="2"/>
  <c r="AG382" i="2"/>
  <c r="AK382" i="2"/>
  <c r="AJ382" i="2"/>
  <c r="AI382" i="2"/>
  <c r="AG378" i="2"/>
  <c r="AK378" i="2"/>
  <c r="AJ378" i="2"/>
  <c r="AI378" i="2"/>
  <c r="AG374" i="2"/>
  <c r="AK374" i="2"/>
  <c r="AJ374" i="2"/>
  <c r="AI374" i="2"/>
  <c r="AG370" i="2"/>
  <c r="AK370" i="2"/>
  <c r="AJ370" i="2"/>
  <c r="AI370" i="2"/>
  <c r="AG366" i="2"/>
  <c r="AK366" i="2"/>
  <c r="AJ366" i="2"/>
  <c r="AI366" i="2"/>
  <c r="AG362" i="2"/>
  <c r="AK362" i="2"/>
  <c r="AJ362" i="2"/>
  <c r="AI362" i="2"/>
  <c r="AG358" i="2"/>
  <c r="AK358" i="2"/>
  <c r="AJ358" i="2"/>
  <c r="AI358" i="2"/>
  <c r="AG354" i="2"/>
  <c r="AK354" i="2"/>
  <c r="AJ354" i="2"/>
  <c r="AI354" i="2"/>
  <c r="AG350" i="2"/>
  <c r="AK350" i="2"/>
  <c r="AJ350" i="2"/>
  <c r="AI350" i="2"/>
  <c r="AG346" i="2"/>
  <c r="AK346" i="2"/>
  <c r="AJ346" i="2"/>
  <c r="AI346" i="2"/>
  <c r="AG342" i="2"/>
  <c r="AK342" i="2"/>
  <c r="AJ342" i="2"/>
  <c r="AI342" i="2"/>
  <c r="AG338" i="2"/>
  <c r="AK338" i="2"/>
  <c r="AJ338" i="2"/>
  <c r="AI338" i="2"/>
  <c r="AG334" i="2"/>
  <c r="AK334" i="2"/>
  <c r="AJ334" i="2"/>
  <c r="AI334" i="2"/>
  <c r="AG330" i="2"/>
  <c r="AK330" i="2"/>
  <c r="AJ330" i="2"/>
  <c r="AI330" i="2"/>
  <c r="AG326" i="2"/>
  <c r="AK326" i="2"/>
  <c r="AJ326" i="2"/>
  <c r="AI326" i="2"/>
  <c r="AG322" i="2"/>
  <c r="AK322" i="2"/>
  <c r="AJ322" i="2"/>
  <c r="AI322" i="2"/>
  <c r="AG318" i="2"/>
  <c r="AK318" i="2"/>
  <c r="AJ318" i="2"/>
  <c r="AI318" i="2"/>
  <c r="AG314" i="2"/>
  <c r="AK314" i="2"/>
  <c r="AJ314" i="2"/>
  <c r="AI314" i="2"/>
  <c r="AG310" i="2"/>
  <c r="AK310" i="2"/>
  <c r="AJ310" i="2"/>
  <c r="AI310" i="2"/>
  <c r="AG306" i="2"/>
  <c r="AK306" i="2"/>
  <c r="AJ306" i="2"/>
  <c r="AI306" i="2"/>
  <c r="AG302" i="2"/>
  <c r="AK302" i="2"/>
  <c r="AJ302" i="2"/>
  <c r="AI302" i="2"/>
  <c r="AG298" i="2"/>
  <c r="AK298" i="2"/>
  <c r="AJ298" i="2"/>
  <c r="AI298" i="2"/>
  <c r="AG294" i="2"/>
  <c r="AK294" i="2"/>
  <c r="AJ294" i="2"/>
  <c r="AI294" i="2"/>
  <c r="AG290" i="2"/>
  <c r="AK290" i="2"/>
  <c r="AJ290" i="2"/>
  <c r="AI290" i="2"/>
  <c r="AG286" i="2"/>
  <c r="AK286" i="2"/>
  <c r="AJ286" i="2"/>
  <c r="AI286" i="2"/>
  <c r="AG282" i="2"/>
  <c r="AK282" i="2"/>
  <c r="AJ282" i="2"/>
  <c r="AI282" i="2"/>
  <c r="AG278" i="2"/>
  <c r="AK278" i="2"/>
  <c r="AJ278" i="2"/>
  <c r="AI278" i="2"/>
  <c r="AG274" i="2"/>
  <c r="AK274" i="2"/>
  <c r="AJ274" i="2"/>
  <c r="AI274" i="2"/>
  <c r="AG270" i="2"/>
  <c r="AK270" i="2"/>
  <c r="AJ270" i="2"/>
  <c r="AI270" i="2"/>
  <c r="AG266" i="2"/>
  <c r="AK266" i="2"/>
  <c r="AJ266" i="2"/>
  <c r="AI266" i="2"/>
  <c r="AG262" i="2"/>
  <c r="AK262" i="2"/>
  <c r="AJ262" i="2"/>
  <c r="AI262" i="2"/>
  <c r="AG258" i="2"/>
  <c r="AK258" i="2"/>
  <c r="AJ258" i="2"/>
  <c r="AI258" i="2"/>
  <c r="AG254" i="2"/>
  <c r="AK254" i="2"/>
  <c r="AJ254" i="2"/>
  <c r="AI254" i="2"/>
  <c r="AG250" i="2"/>
  <c r="AK250" i="2"/>
  <c r="AJ250" i="2"/>
  <c r="AI250" i="2"/>
  <c r="AG246" i="2"/>
  <c r="AK246" i="2"/>
  <c r="AJ246" i="2"/>
  <c r="AI246" i="2"/>
  <c r="AG242" i="2"/>
  <c r="AK242" i="2"/>
  <c r="AJ242" i="2"/>
  <c r="AI242" i="2"/>
  <c r="AG238" i="2"/>
  <c r="AK238" i="2"/>
  <c r="AJ238" i="2"/>
  <c r="AI238" i="2"/>
  <c r="AG234" i="2"/>
  <c r="AK234" i="2"/>
  <c r="AJ234" i="2"/>
  <c r="AI234" i="2"/>
  <c r="AG230" i="2"/>
  <c r="AK230" i="2"/>
  <c r="AJ230" i="2"/>
  <c r="AI230" i="2"/>
  <c r="AG226" i="2"/>
  <c r="AK226" i="2"/>
  <c r="AJ226" i="2"/>
  <c r="AI226" i="2"/>
  <c r="AG222" i="2"/>
  <c r="AK222" i="2"/>
  <c r="AJ222" i="2"/>
  <c r="AI222" i="2"/>
  <c r="AG218" i="2"/>
  <c r="AK218" i="2"/>
  <c r="AJ218" i="2"/>
  <c r="AI218" i="2"/>
  <c r="AG214" i="2"/>
  <c r="AK214" i="2"/>
  <c r="AJ214" i="2"/>
  <c r="AI214" i="2"/>
  <c r="AG210" i="2"/>
  <c r="AK210" i="2"/>
  <c r="AJ210" i="2"/>
  <c r="AI210" i="2"/>
  <c r="AG206" i="2"/>
  <c r="AK206" i="2"/>
  <c r="AJ206" i="2"/>
  <c r="AI206" i="2"/>
  <c r="AG202" i="2"/>
  <c r="AK202" i="2"/>
  <c r="AJ202" i="2"/>
  <c r="AI202" i="2"/>
  <c r="AG198" i="2"/>
  <c r="AK198" i="2"/>
  <c r="AJ198" i="2"/>
  <c r="AI198" i="2"/>
  <c r="AG194" i="2"/>
  <c r="AK194" i="2"/>
  <c r="AJ194" i="2"/>
  <c r="AI194" i="2"/>
  <c r="AG190" i="2"/>
  <c r="AK190" i="2"/>
  <c r="AJ190" i="2"/>
  <c r="AI190" i="2"/>
  <c r="AG186" i="2"/>
  <c r="AK186" i="2"/>
  <c r="AJ186" i="2"/>
  <c r="AI186" i="2"/>
  <c r="AG182" i="2"/>
  <c r="AK182" i="2"/>
  <c r="AJ182" i="2"/>
  <c r="AI182" i="2"/>
  <c r="AG178" i="2"/>
  <c r="AK178" i="2"/>
  <c r="AJ178" i="2"/>
  <c r="AI178" i="2"/>
  <c r="AG174" i="2"/>
  <c r="AK174" i="2"/>
  <c r="AJ174" i="2"/>
  <c r="AI174" i="2"/>
  <c r="AG170" i="2"/>
  <c r="AK170" i="2"/>
  <c r="AJ170" i="2"/>
  <c r="AI170" i="2"/>
  <c r="AG166" i="2"/>
  <c r="AK166" i="2"/>
  <c r="AJ166" i="2"/>
  <c r="AI166" i="2"/>
  <c r="AG162" i="2"/>
  <c r="AK162" i="2"/>
  <c r="AJ162" i="2"/>
  <c r="AI162" i="2"/>
  <c r="AG158" i="2"/>
  <c r="AK158" i="2"/>
  <c r="AJ158" i="2"/>
  <c r="AI158" i="2"/>
  <c r="AG154" i="2"/>
  <c r="AK154" i="2"/>
  <c r="AJ154" i="2"/>
  <c r="AI154" i="2"/>
  <c r="AG150" i="2"/>
  <c r="AK150" i="2"/>
  <c r="AJ150" i="2"/>
  <c r="AI150" i="2"/>
  <c r="AG146" i="2"/>
  <c r="AK146" i="2"/>
  <c r="AJ146" i="2"/>
  <c r="AI146" i="2"/>
  <c r="AG142" i="2"/>
  <c r="AK142" i="2"/>
  <c r="AJ142" i="2"/>
  <c r="AI142" i="2"/>
  <c r="AG138" i="2"/>
  <c r="AK138" i="2"/>
  <c r="AJ138" i="2"/>
  <c r="AI138" i="2"/>
  <c r="AG134" i="2"/>
  <c r="AK134" i="2"/>
  <c r="AJ134" i="2"/>
  <c r="AI134" i="2"/>
  <c r="AG130" i="2"/>
  <c r="AK130" i="2"/>
  <c r="AJ130" i="2"/>
  <c r="AI130" i="2"/>
  <c r="AG126" i="2"/>
  <c r="AK126" i="2"/>
  <c r="AJ126" i="2"/>
  <c r="AI126" i="2"/>
  <c r="AG122" i="2"/>
  <c r="AK122" i="2"/>
  <c r="AJ122" i="2"/>
  <c r="AI122" i="2"/>
  <c r="AG118" i="2"/>
  <c r="AK118" i="2"/>
  <c r="AJ118" i="2"/>
  <c r="AI118" i="2"/>
  <c r="AG114" i="2"/>
  <c r="AK114" i="2"/>
  <c r="AJ114" i="2"/>
  <c r="AI114" i="2"/>
  <c r="AG110" i="2"/>
  <c r="AK110" i="2"/>
  <c r="AJ110" i="2"/>
  <c r="AI110" i="2"/>
  <c r="AG106" i="2"/>
  <c r="AK106" i="2"/>
  <c r="AJ106" i="2"/>
  <c r="AI106" i="2"/>
  <c r="AG102" i="2"/>
  <c r="AK102" i="2"/>
  <c r="AJ102" i="2"/>
  <c r="AI102" i="2"/>
  <c r="AG98" i="2"/>
  <c r="AK98" i="2"/>
  <c r="AJ98" i="2"/>
  <c r="AI98" i="2"/>
  <c r="AG94" i="2"/>
  <c r="AK94" i="2"/>
  <c r="AJ94" i="2"/>
  <c r="AI94" i="2"/>
  <c r="AG90" i="2"/>
  <c r="AK90" i="2"/>
  <c r="AJ90" i="2"/>
  <c r="AI90" i="2"/>
  <c r="AG86" i="2"/>
  <c r="AK86" i="2"/>
  <c r="AJ86" i="2"/>
  <c r="AI86" i="2"/>
  <c r="AH522" i="2"/>
  <c r="AH518" i="2"/>
  <c r="AH514" i="2"/>
  <c r="AH510" i="2"/>
  <c r="AH506" i="2"/>
  <c r="AH502" i="2"/>
  <c r="AH498" i="2"/>
  <c r="AH494" i="2"/>
  <c r="AH490" i="2"/>
  <c r="AH486" i="2"/>
  <c r="AH482" i="2"/>
  <c r="AH478" i="2"/>
  <c r="AH474" i="2"/>
  <c r="AH470" i="2"/>
  <c r="AH466" i="2"/>
  <c r="AH462" i="2"/>
  <c r="AH458" i="2"/>
  <c r="AH454" i="2"/>
  <c r="AH450" i="2"/>
  <c r="AH446" i="2"/>
  <c r="AH442" i="2"/>
  <c r="AH438" i="2"/>
  <c r="AH434" i="2"/>
  <c r="AH430" i="2"/>
  <c r="AH426" i="2"/>
  <c r="AH422" i="2"/>
  <c r="AH418" i="2"/>
  <c r="AH414" i="2"/>
  <c r="AH410" i="2"/>
  <c r="AH406" i="2"/>
  <c r="AH402" i="2"/>
  <c r="AH398" i="2"/>
  <c r="AH394" i="2"/>
  <c r="AH390" i="2"/>
  <c r="AH386" i="2"/>
  <c r="AH382" i="2"/>
  <c r="AH378" i="2"/>
  <c r="AH374" i="2"/>
  <c r="AH370" i="2"/>
  <c r="AH366" i="2"/>
  <c r="AH362" i="2"/>
  <c r="AH358" i="2"/>
  <c r="AH354" i="2"/>
  <c r="AH350" i="2"/>
  <c r="AH346" i="2"/>
  <c r="AH340" i="2"/>
  <c r="AH335" i="2"/>
  <c r="AH330" i="2"/>
  <c r="AH324" i="2"/>
  <c r="AH319" i="2"/>
  <c r="AH314" i="2"/>
  <c r="AH307" i="2"/>
  <c r="AH299" i="2"/>
  <c r="AH291" i="2"/>
  <c r="AH283" i="2"/>
  <c r="AH275" i="2"/>
  <c r="AH267" i="2"/>
  <c r="AH259" i="2"/>
  <c r="AH251" i="2"/>
  <c r="AH243" i="2"/>
  <c r="AH235" i="2"/>
  <c r="AH227" i="2"/>
  <c r="AH219" i="2"/>
  <c r="AH211" i="2"/>
  <c r="AH203" i="2"/>
  <c r="AH195" i="2"/>
  <c r="AH187" i="2"/>
  <c r="AH179" i="2"/>
  <c r="AH171" i="2"/>
  <c r="AH163" i="2"/>
  <c r="AH155" i="2"/>
  <c r="AH147" i="2"/>
  <c r="AH139" i="2"/>
  <c r="AH131" i="2"/>
  <c r="AH123" i="2"/>
  <c r="AH115" i="2"/>
  <c r="AH107" i="2"/>
  <c r="AH99" i="2"/>
  <c r="AH91" i="2"/>
  <c r="AI520" i="2"/>
  <c r="AI512" i="2"/>
  <c r="AI504" i="2"/>
  <c r="AI496" i="2"/>
  <c r="AI488" i="2"/>
  <c r="AI480" i="2"/>
  <c r="AI471" i="2"/>
  <c r="AG525" i="2"/>
  <c r="AK525" i="2"/>
  <c r="AJ525" i="2"/>
  <c r="AI525" i="2"/>
  <c r="AG521" i="2"/>
  <c r="AK521" i="2"/>
  <c r="AJ521" i="2"/>
  <c r="AI521" i="2"/>
  <c r="AG517" i="2"/>
  <c r="AK517" i="2"/>
  <c r="AJ517" i="2"/>
  <c r="AI517" i="2"/>
  <c r="AG513" i="2"/>
  <c r="AK513" i="2"/>
  <c r="AJ513" i="2"/>
  <c r="AI513" i="2"/>
  <c r="AG509" i="2"/>
  <c r="AK509" i="2"/>
  <c r="AJ509" i="2"/>
  <c r="AI509" i="2"/>
  <c r="AG505" i="2"/>
  <c r="AK505" i="2"/>
  <c r="AJ505" i="2"/>
  <c r="AI505" i="2"/>
  <c r="AG501" i="2"/>
  <c r="AK501" i="2"/>
  <c r="AJ501" i="2"/>
  <c r="AI501" i="2"/>
  <c r="AG497" i="2"/>
  <c r="AK497" i="2"/>
  <c r="AJ497" i="2"/>
  <c r="AI497" i="2"/>
  <c r="AG493" i="2"/>
  <c r="AK493" i="2"/>
  <c r="AJ493" i="2"/>
  <c r="AI493" i="2"/>
  <c r="AG489" i="2"/>
  <c r="AK489" i="2"/>
  <c r="AJ489" i="2"/>
  <c r="AI489" i="2"/>
  <c r="AG485" i="2"/>
  <c r="AK485" i="2"/>
  <c r="AJ485" i="2"/>
  <c r="AI485" i="2"/>
  <c r="AG481" i="2"/>
  <c r="AK481" i="2"/>
  <c r="AJ481" i="2"/>
  <c r="AI481" i="2"/>
  <c r="AG477" i="2"/>
  <c r="AK477" i="2"/>
  <c r="AJ477" i="2"/>
  <c r="AI477" i="2"/>
  <c r="AG473" i="2"/>
  <c r="AK473" i="2"/>
  <c r="AJ473" i="2"/>
  <c r="AI473" i="2"/>
  <c r="AG469" i="2"/>
  <c r="AK469" i="2"/>
  <c r="AJ469" i="2"/>
  <c r="AI469" i="2"/>
  <c r="AG465" i="2"/>
  <c r="AK465" i="2"/>
  <c r="AJ465" i="2"/>
  <c r="AI465" i="2"/>
  <c r="AG461" i="2"/>
  <c r="AK461" i="2"/>
  <c r="AJ461" i="2"/>
  <c r="AI461" i="2"/>
  <c r="AG457" i="2"/>
  <c r="AK457" i="2"/>
  <c r="AJ457" i="2"/>
  <c r="AI457" i="2"/>
  <c r="AG453" i="2"/>
  <c r="AK453" i="2"/>
  <c r="AJ453" i="2"/>
  <c r="AI453" i="2"/>
  <c r="AG449" i="2"/>
  <c r="AK449" i="2"/>
  <c r="AJ449" i="2"/>
  <c r="AI449" i="2"/>
  <c r="AG445" i="2"/>
  <c r="AK445" i="2"/>
  <c r="AJ445" i="2"/>
  <c r="AI445" i="2"/>
  <c r="AG441" i="2"/>
  <c r="AK441" i="2"/>
  <c r="AJ441" i="2"/>
  <c r="AI441" i="2"/>
  <c r="AG437" i="2"/>
  <c r="AK437" i="2"/>
  <c r="AJ437" i="2"/>
  <c r="AI437" i="2"/>
  <c r="AG433" i="2"/>
  <c r="AK433" i="2"/>
  <c r="AJ433" i="2"/>
  <c r="AI433" i="2"/>
  <c r="AG429" i="2"/>
  <c r="AK429" i="2"/>
  <c r="AJ429" i="2"/>
  <c r="AI429" i="2"/>
  <c r="AG425" i="2"/>
  <c r="AK425" i="2"/>
  <c r="AJ425" i="2"/>
  <c r="AI425" i="2"/>
  <c r="AG421" i="2"/>
  <c r="AK421" i="2"/>
  <c r="AJ421" i="2"/>
  <c r="AI421" i="2"/>
  <c r="AG417" i="2"/>
  <c r="AK417" i="2"/>
  <c r="AJ417" i="2"/>
  <c r="AI417" i="2"/>
  <c r="AG413" i="2"/>
  <c r="AK413" i="2"/>
  <c r="AJ413" i="2"/>
  <c r="AI413" i="2"/>
  <c r="AG409" i="2"/>
  <c r="AK409" i="2"/>
  <c r="AJ409" i="2"/>
  <c r="AI409" i="2"/>
  <c r="AG405" i="2"/>
  <c r="AK405" i="2"/>
  <c r="AJ405" i="2"/>
  <c r="AI405" i="2"/>
  <c r="AG401" i="2"/>
  <c r="AK401" i="2"/>
  <c r="AJ401" i="2"/>
  <c r="AI401" i="2"/>
  <c r="AG397" i="2"/>
  <c r="AK397" i="2"/>
  <c r="AJ397" i="2"/>
  <c r="AI397" i="2"/>
  <c r="AG393" i="2"/>
  <c r="AK393" i="2"/>
  <c r="AJ393" i="2"/>
  <c r="AI393" i="2"/>
  <c r="AG389" i="2"/>
  <c r="AK389" i="2"/>
  <c r="AJ389" i="2"/>
  <c r="AI389" i="2"/>
  <c r="AG385" i="2"/>
  <c r="AK385" i="2"/>
  <c r="AJ385" i="2"/>
  <c r="AI385" i="2"/>
  <c r="AG381" i="2"/>
  <c r="AK381" i="2"/>
  <c r="AJ381" i="2"/>
  <c r="AI381" i="2"/>
  <c r="AG377" i="2"/>
  <c r="AK377" i="2"/>
  <c r="AJ377" i="2"/>
  <c r="AI377" i="2"/>
  <c r="AG373" i="2"/>
  <c r="AK373" i="2"/>
  <c r="AJ373" i="2"/>
  <c r="AI373" i="2"/>
  <c r="AG369" i="2"/>
  <c r="AK369" i="2"/>
  <c r="AJ369" i="2"/>
  <c r="AI369" i="2"/>
  <c r="AG365" i="2"/>
  <c r="AK365" i="2"/>
  <c r="AJ365" i="2"/>
  <c r="AI365" i="2"/>
  <c r="AG361" i="2"/>
  <c r="AK361" i="2"/>
  <c r="AJ361" i="2"/>
  <c r="AI361" i="2"/>
  <c r="AG357" i="2"/>
  <c r="AK357" i="2"/>
  <c r="AJ357" i="2"/>
  <c r="AI357" i="2"/>
  <c r="AG353" i="2"/>
  <c r="AK353" i="2"/>
  <c r="AJ353" i="2"/>
  <c r="AI353" i="2"/>
  <c r="AG349" i="2"/>
  <c r="AK349" i="2"/>
  <c r="AJ349" i="2"/>
  <c r="AI349" i="2"/>
  <c r="AG345" i="2"/>
  <c r="AK345" i="2"/>
  <c r="AJ345" i="2"/>
  <c r="AI345" i="2"/>
  <c r="AH345" i="2"/>
  <c r="AG341" i="2"/>
  <c r="AK341" i="2"/>
  <c r="AJ341" i="2"/>
  <c r="AI341" i="2"/>
  <c r="AH341" i="2"/>
  <c r="AG337" i="2"/>
  <c r="AK337" i="2"/>
  <c r="AJ337" i="2"/>
  <c r="AI337" i="2"/>
  <c r="AH337" i="2"/>
  <c r="AG333" i="2"/>
  <c r="AK333" i="2"/>
  <c r="AJ333" i="2"/>
  <c r="AI333" i="2"/>
  <c r="AH333" i="2"/>
  <c r="AG329" i="2"/>
  <c r="AK329" i="2"/>
  <c r="AJ329" i="2"/>
  <c r="AI329" i="2"/>
  <c r="AH329" i="2"/>
  <c r="AG325" i="2"/>
  <c r="AK325" i="2"/>
  <c r="AJ325" i="2"/>
  <c r="AI325" i="2"/>
  <c r="AH325" i="2"/>
  <c r="AG321" i="2"/>
  <c r="AK321" i="2"/>
  <c r="AJ321" i="2"/>
  <c r="AI321" i="2"/>
  <c r="AH321" i="2"/>
  <c r="AG317" i="2"/>
  <c r="AK317" i="2"/>
  <c r="AJ317" i="2"/>
  <c r="AI317" i="2"/>
  <c r="AH317" i="2"/>
  <c r="AG313" i="2"/>
  <c r="AK313" i="2"/>
  <c r="AJ313" i="2"/>
  <c r="AI313" i="2"/>
  <c r="AH313" i="2"/>
  <c r="AG309" i="2"/>
  <c r="AK309" i="2"/>
  <c r="AJ309" i="2"/>
  <c r="AI309" i="2"/>
  <c r="AH309" i="2"/>
  <c r="AG305" i="2"/>
  <c r="AK305" i="2"/>
  <c r="AJ305" i="2"/>
  <c r="AI305" i="2"/>
  <c r="AH305" i="2"/>
  <c r="AG301" i="2"/>
  <c r="AK301" i="2"/>
  <c r="AJ301" i="2"/>
  <c r="AI301" i="2"/>
  <c r="AH301" i="2"/>
  <c r="AG297" i="2"/>
  <c r="AK297" i="2"/>
  <c r="AJ297" i="2"/>
  <c r="AI297" i="2"/>
  <c r="AH297" i="2"/>
  <c r="AG293" i="2"/>
  <c r="AK293" i="2"/>
  <c r="AJ293" i="2"/>
  <c r="AI293" i="2"/>
  <c r="AH293" i="2"/>
  <c r="AG289" i="2"/>
  <c r="AK289" i="2"/>
  <c r="AJ289" i="2"/>
  <c r="AI289" i="2"/>
  <c r="AH289" i="2"/>
  <c r="AG285" i="2"/>
  <c r="AK285" i="2"/>
  <c r="AJ285" i="2"/>
  <c r="AI285" i="2"/>
  <c r="AH285" i="2"/>
  <c r="AG281" i="2"/>
  <c r="AK281" i="2"/>
  <c r="AJ281" i="2"/>
  <c r="AI281" i="2"/>
  <c r="AH281" i="2"/>
  <c r="AG277" i="2"/>
  <c r="AK277" i="2"/>
  <c r="AJ277" i="2"/>
  <c r="AI277" i="2"/>
  <c r="AH277" i="2"/>
  <c r="AG273" i="2"/>
  <c r="AK273" i="2"/>
  <c r="AJ273" i="2"/>
  <c r="AI273" i="2"/>
  <c r="AH273" i="2"/>
  <c r="AG269" i="2"/>
  <c r="AK269" i="2"/>
  <c r="AJ269" i="2"/>
  <c r="AI269" i="2"/>
  <c r="AH269" i="2"/>
  <c r="AG265" i="2"/>
  <c r="AK265" i="2"/>
  <c r="AJ265" i="2"/>
  <c r="AI265" i="2"/>
  <c r="AH265" i="2"/>
  <c r="AG261" i="2"/>
  <c r="AK261" i="2"/>
  <c r="AJ261" i="2"/>
  <c r="AI261" i="2"/>
  <c r="AH261" i="2"/>
  <c r="AG257" i="2"/>
  <c r="AK257" i="2"/>
  <c r="AJ257" i="2"/>
  <c r="AI257" i="2"/>
  <c r="AH257" i="2"/>
  <c r="AG253" i="2"/>
  <c r="AK253" i="2"/>
  <c r="AJ253" i="2"/>
  <c r="AI253" i="2"/>
  <c r="AH253" i="2"/>
  <c r="AG249" i="2"/>
  <c r="AK249" i="2"/>
  <c r="AJ249" i="2"/>
  <c r="AI249" i="2"/>
  <c r="AH249" i="2"/>
  <c r="AG245" i="2"/>
  <c r="AK245" i="2"/>
  <c r="AJ245" i="2"/>
  <c r="AI245" i="2"/>
  <c r="AH245" i="2"/>
  <c r="AG241" i="2"/>
  <c r="AK241" i="2"/>
  <c r="AJ241" i="2"/>
  <c r="AI241" i="2"/>
  <c r="AH241" i="2"/>
  <c r="AG237" i="2"/>
  <c r="AK237" i="2"/>
  <c r="AJ237" i="2"/>
  <c r="AI237" i="2"/>
  <c r="AH237" i="2"/>
  <c r="AG233" i="2"/>
  <c r="AK233" i="2"/>
  <c r="AJ233" i="2"/>
  <c r="AI233" i="2"/>
  <c r="AH233" i="2"/>
  <c r="AG229" i="2"/>
  <c r="AK229" i="2"/>
  <c r="AJ229" i="2"/>
  <c r="AI229" i="2"/>
  <c r="AH229" i="2"/>
  <c r="AG225" i="2"/>
  <c r="AK225" i="2"/>
  <c r="AJ225" i="2"/>
  <c r="AI225" i="2"/>
  <c r="AH225" i="2"/>
  <c r="AG221" i="2"/>
  <c r="AK221" i="2"/>
  <c r="AJ221" i="2"/>
  <c r="AI221" i="2"/>
  <c r="AH221" i="2"/>
  <c r="AG217" i="2"/>
  <c r="AK217" i="2"/>
  <c r="AJ217" i="2"/>
  <c r="AI217" i="2"/>
  <c r="AH217" i="2"/>
  <c r="AG213" i="2"/>
  <c r="AK213" i="2"/>
  <c r="AJ213" i="2"/>
  <c r="AI213" i="2"/>
  <c r="AH213" i="2"/>
  <c r="AG209" i="2"/>
  <c r="AK209" i="2"/>
  <c r="AJ209" i="2"/>
  <c r="AI209" i="2"/>
  <c r="AH209" i="2"/>
  <c r="AG205" i="2"/>
  <c r="AK205" i="2"/>
  <c r="AJ205" i="2"/>
  <c r="AI205" i="2"/>
  <c r="AH205" i="2"/>
  <c r="AG201" i="2"/>
  <c r="AK201" i="2"/>
  <c r="AJ201" i="2"/>
  <c r="AI201" i="2"/>
  <c r="AH201" i="2"/>
  <c r="AG197" i="2"/>
  <c r="AK197" i="2"/>
  <c r="AJ197" i="2"/>
  <c r="AI197" i="2"/>
  <c r="AH197" i="2"/>
  <c r="AG193" i="2"/>
  <c r="AK193" i="2"/>
  <c r="AJ193" i="2"/>
  <c r="AI193" i="2"/>
  <c r="AH193" i="2"/>
  <c r="AG189" i="2"/>
  <c r="AK189" i="2"/>
  <c r="AJ189" i="2"/>
  <c r="AI189" i="2"/>
  <c r="AH189" i="2"/>
  <c r="AG185" i="2"/>
  <c r="AK185" i="2"/>
  <c r="AJ185" i="2"/>
  <c r="AI185" i="2"/>
  <c r="AH185" i="2"/>
  <c r="AG181" i="2"/>
  <c r="AK181" i="2"/>
  <c r="AJ181" i="2"/>
  <c r="AI181" i="2"/>
  <c r="AH181" i="2"/>
  <c r="AG177" i="2"/>
  <c r="AK177" i="2"/>
  <c r="AJ177" i="2"/>
  <c r="AI177" i="2"/>
  <c r="AH177" i="2"/>
  <c r="AG173" i="2"/>
  <c r="AK173" i="2"/>
  <c r="AJ173" i="2"/>
  <c r="AI173" i="2"/>
  <c r="AH173" i="2"/>
  <c r="AG169" i="2"/>
  <c r="AK169" i="2"/>
  <c r="AJ169" i="2"/>
  <c r="AI169" i="2"/>
  <c r="AH169" i="2"/>
  <c r="AG165" i="2"/>
  <c r="AK165" i="2"/>
  <c r="AJ165" i="2"/>
  <c r="AI165" i="2"/>
  <c r="AH165" i="2"/>
  <c r="AG161" i="2"/>
  <c r="AK161" i="2"/>
  <c r="AJ161" i="2"/>
  <c r="AI161" i="2"/>
  <c r="AH161" i="2"/>
  <c r="AG157" i="2"/>
  <c r="AK157" i="2"/>
  <c r="AJ157" i="2"/>
  <c r="AI157" i="2"/>
  <c r="AH157" i="2"/>
  <c r="AG153" i="2"/>
  <c r="AK153" i="2"/>
  <c r="AJ153" i="2"/>
  <c r="AI153" i="2"/>
  <c r="AH153" i="2"/>
  <c r="AG149" i="2"/>
  <c r="AK149" i="2"/>
  <c r="AJ149" i="2"/>
  <c r="AI149" i="2"/>
  <c r="AH149" i="2"/>
  <c r="AG145" i="2"/>
  <c r="AK145" i="2"/>
  <c r="AJ145" i="2"/>
  <c r="AI145" i="2"/>
  <c r="AH145" i="2"/>
  <c r="AG141" i="2"/>
  <c r="AK141" i="2"/>
  <c r="AJ141" i="2"/>
  <c r="AI141" i="2"/>
  <c r="AH141" i="2"/>
  <c r="AG137" i="2"/>
  <c r="AK137" i="2"/>
  <c r="AJ137" i="2"/>
  <c r="AI137" i="2"/>
  <c r="AH137" i="2"/>
  <c r="AG133" i="2"/>
  <c r="AK133" i="2"/>
  <c r="AJ133" i="2"/>
  <c r="AI133" i="2"/>
  <c r="AH133" i="2"/>
  <c r="AG129" i="2"/>
  <c r="AK129" i="2"/>
  <c r="AJ129" i="2"/>
  <c r="AI129" i="2"/>
  <c r="AH129" i="2"/>
  <c r="AG125" i="2"/>
  <c r="AK125" i="2"/>
  <c r="AJ125" i="2"/>
  <c r="AI125" i="2"/>
  <c r="AH125" i="2"/>
  <c r="AG121" i="2"/>
  <c r="AK121" i="2"/>
  <c r="AJ121" i="2"/>
  <c r="AI121" i="2"/>
  <c r="AH121" i="2"/>
  <c r="AG117" i="2"/>
  <c r="AK117" i="2"/>
  <c r="AJ117" i="2"/>
  <c r="AI117" i="2"/>
  <c r="AH117" i="2"/>
  <c r="AG113" i="2"/>
  <c r="AK113" i="2"/>
  <c r="AJ113" i="2"/>
  <c r="AI113" i="2"/>
  <c r="AH113" i="2"/>
  <c r="AG109" i="2"/>
  <c r="AK109" i="2"/>
  <c r="AJ109" i="2"/>
  <c r="AI109" i="2"/>
  <c r="AH109" i="2"/>
  <c r="AG105" i="2"/>
  <c r="AK105" i="2"/>
  <c r="AJ105" i="2"/>
  <c r="AI105" i="2"/>
  <c r="AH105" i="2"/>
  <c r="AG101" i="2"/>
  <c r="AK101" i="2"/>
  <c r="AJ101" i="2"/>
  <c r="AI101" i="2"/>
  <c r="AH101" i="2"/>
  <c r="AG97" i="2"/>
  <c r="AK97" i="2"/>
  <c r="AJ97" i="2"/>
  <c r="AI97" i="2"/>
  <c r="AH97" i="2"/>
  <c r="AG93" i="2"/>
  <c r="AK93" i="2"/>
  <c r="AJ93" i="2"/>
  <c r="AI93" i="2"/>
  <c r="AH93" i="2"/>
  <c r="AG89" i="2"/>
  <c r="AK89" i="2"/>
  <c r="AJ89" i="2"/>
  <c r="AI89" i="2"/>
  <c r="AH89" i="2"/>
  <c r="AG85" i="2"/>
  <c r="AK85" i="2"/>
  <c r="AJ85" i="2"/>
  <c r="AI85" i="2"/>
  <c r="AH85" i="2"/>
  <c r="AH525" i="2"/>
  <c r="AH521" i="2"/>
  <c r="AH517" i="2"/>
  <c r="AH513" i="2"/>
  <c r="AH509" i="2"/>
  <c r="AH505" i="2"/>
  <c r="AH501" i="2"/>
  <c r="AH497" i="2"/>
  <c r="AH493" i="2"/>
  <c r="AH489" i="2"/>
  <c r="AH485" i="2"/>
  <c r="AH481" i="2"/>
  <c r="AH477" i="2"/>
  <c r="AH473" i="2"/>
  <c r="AH469" i="2"/>
  <c r="AH465" i="2"/>
  <c r="AH461" i="2"/>
  <c r="AH457" i="2"/>
  <c r="AH453" i="2"/>
  <c r="AH449" i="2"/>
  <c r="AH445" i="2"/>
  <c r="AH441" i="2"/>
  <c r="AH437" i="2"/>
  <c r="AH433" i="2"/>
  <c r="AH429" i="2"/>
  <c r="AH425" i="2"/>
  <c r="AH421" i="2"/>
  <c r="AH417" i="2"/>
  <c r="AH413" i="2"/>
  <c r="AH409" i="2"/>
  <c r="AH405" i="2"/>
  <c r="AH401" i="2"/>
  <c r="AH397" i="2"/>
  <c r="AH393" i="2"/>
  <c r="AH389" i="2"/>
  <c r="AH385" i="2"/>
  <c r="AH381" i="2"/>
  <c r="AH377" i="2"/>
  <c r="AH373" i="2"/>
  <c r="AH369" i="2"/>
  <c r="AH365" i="2"/>
  <c r="AH361" i="2"/>
  <c r="AH357" i="2"/>
  <c r="AH353" i="2"/>
  <c r="AH349" i="2"/>
  <c r="AH344" i="2"/>
  <c r="AH339" i="2"/>
  <c r="AH334" i="2"/>
  <c r="AH328" i="2"/>
  <c r="AH323" i="2"/>
  <c r="AH318" i="2"/>
  <c r="AH312" i="2"/>
  <c r="AH306" i="2"/>
  <c r="AH298" i="2"/>
  <c r="AH290" i="2"/>
  <c r="AH282" i="2"/>
  <c r="AH274" i="2"/>
  <c r="AH266" i="2"/>
  <c r="AH258" i="2"/>
  <c r="AH250" i="2"/>
  <c r="AH242" i="2"/>
  <c r="AH234" i="2"/>
  <c r="AH226" i="2"/>
  <c r="AH218" i="2"/>
  <c r="AH210" i="2"/>
  <c r="AH202" i="2"/>
  <c r="AH194" i="2"/>
  <c r="AH186" i="2"/>
  <c r="AH178" i="2"/>
  <c r="AH170" i="2"/>
  <c r="AH162" i="2"/>
  <c r="AH154" i="2"/>
  <c r="AH146" i="2"/>
  <c r="AH138" i="2"/>
  <c r="AH130" i="2"/>
  <c r="AH122" i="2"/>
  <c r="AH114" i="2"/>
  <c r="AH106" i="2"/>
  <c r="AH98" i="2"/>
  <c r="AH90" i="2"/>
  <c r="AI519" i="2"/>
  <c r="AI511" i="2"/>
  <c r="AI503" i="2"/>
  <c r="AI495" i="2"/>
  <c r="AI487" i="2"/>
  <c r="AI479" i="2"/>
  <c r="AI467" i="2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AJ44" i="2"/>
  <c r="AG36" i="2"/>
  <c r="AI44" i="2"/>
  <c r="AG35" i="2"/>
  <c r="U5" i="1"/>
  <c r="AK68" i="2"/>
  <c r="AI82" i="2"/>
  <c r="AG51" i="2"/>
  <c r="AK82" i="2"/>
  <c r="AG64" i="2"/>
  <c r="AI71" i="2"/>
  <c r="AG44" i="2"/>
  <c r="AI68" i="2"/>
  <c r="AJ78" i="2"/>
  <c r="AK78" i="2"/>
  <c r="AJ71" i="2"/>
  <c r="AH82" i="2"/>
  <c r="AH68" i="2"/>
  <c r="AH44" i="2"/>
  <c r="AJ68" i="2"/>
  <c r="AG62" i="2"/>
  <c r="AK71" i="2"/>
  <c r="AJ82" i="2"/>
  <c r="AI78" i="2"/>
  <c r="AK44" i="2"/>
  <c r="AG60" i="2"/>
  <c r="AG72" i="2"/>
  <c r="S5" i="1"/>
  <c r="AG46" i="2"/>
  <c r="AG34" i="2"/>
  <c r="AJ64" i="2"/>
  <c r="AG71" i="2"/>
  <c r="AG68" i="2"/>
  <c r="AJ37" i="2"/>
  <c r="AI37" i="2"/>
  <c r="AH81" i="2"/>
  <c r="AJ74" i="2"/>
  <c r="AJ50" i="2"/>
  <c r="AH69" i="2"/>
  <c r="AJ33" i="2"/>
  <c r="AG66" i="2"/>
  <c r="AI62" i="2"/>
  <c r="AK81" i="2"/>
  <c r="AK62" i="2"/>
  <c r="AH34" i="2"/>
  <c r="AJ34" i="2"/>
  <c r="AG45" i="2"/>
  <c r="AK33" i="2"/>
  <c r="AG58" i="2"/>
  <c r="AH33" i="2"/>
  <c r="AG39" i="2"/>
  <c r="AG40" i="2"/>
  <c r="AG42" i="2"/>
  <c r="AJ54" i="2"/>
  <c r="AK54" i="2"/>
  <c r="AK74" i="2"/>
  <c r="AA5" i="1"/>
  <c r="AG74" i="2"/>
  <c r="AI49" i="2"/>
  <c r="AG43" i="2"/>
  <c r="AI34" i="2"/>
  <c r="AK34" i="2"/>
  <c r="AH37" i="2"/>
  <c r="AI74" i="2"/>
  <c r="AH49" i="2"/>
  <c r="AI64" i="2"/>
  <c r="AI50" i="2"/>
  <c r="AK69" i="2"/>
  <c r="AJ69" i="2"/>
  <c r="AH74" i="2"/>
  <c r="AI33" i="2"/>
  <c r="AG83" i="2"/>
  <c r="AK37" i="2"/>
  <c r="AK65" i="2"/>
  <c r="AJ65" i="2"/>
  <c r="AK50" i="2"/>
  <c r="AI65" i="2"/>
  <c r="AG48" i="2"/>
  <c r="AJ62" i="2"/>
  <c r="AH64" i="2"/>
  <c r="AK49" i="2"/>
  <c r="AJ81" i="2"/>
  <c r="AK64" i="2"/>
  <c r="T5" i="1"/>
  <c r="AH65" i="2"/>
  <c r="AI54" i="2"/>
  <c r="AJ49" i="2"/>
  <c r="AI69" i="2"/>
  <c r="AI81" i="2"/>
  <c r="AH50" i="2"/>
  <c r="R5" i="1"/>
  <c r="AJ39" i="2"/>
  <c r="AI57" i="2"/>
  <c r="AK57" i="2"/>
  <c r="AK40" i="2"/>
  <c r="AI63" i="2"/>
  <c r="AJ63" i="2"/>
  <c r="AJ47" i="2"/>
  <c r="AI51" i="2"/>
  <c r="AK63" i="2"/>
  <c r="AJ57" i="2"/>
  <c r="AK46" i="2"/>
  <c r="AK51" i="2"/>
  <c r="AJ40" i="2"/>
  <c r="AI40" i="2"/>
  <c r="AJ42" i="2"/>
  <c r="AK39" i="2"/>
  <c r="AH42" i="2"/>
  <c r="AI39" i="2"/>
  <c r="AI42" i="2"/>
  <c r="AI47" i="2"/>
  <c r="AJ46" i="2"/>
  <c r="AJ51" i="2"/>
  <c r="AK47" i="2"/>
  <c r="AK42" i="2"/>
  <c r="AH57" i="2"/>
  <c r="AI46" i="2"/>
  <c r="AH51" i="2"/>
  <c r="AH40" i="2"/>
  <c r="W5" i="1"/>
  <c r="AG59" i="2"/>
  <c r="V5" i="1"/>
  <c r="AG78" i="2"/>
  <c r="AK45" i="2"/>
  <c r="AK59" i="2"/>
  <c r="AJ43" i="2"/>
  <c r="AK52" i="2"/>
  <c r="AH52" i="2"/>
  <c r="AI45" i="2"/>
  <c r="AJ45" i="2"/>
  <c r="AI38" i="2"/>
  <c r="AK60" i="2"/>
  <c r="AJ59" i="2"/>
  <c r="AG76" i="2"/>
  <c r="AI60" i="2"/>
  <c r="AG37" i="2"/>
  <c r="AK38" i="2"/>
  <c r="AH43" i="2"/>
  <c r="Z5" i="1"/>
  <c r="AI59" i="2"/>
  <c r="AG47" i="2"/>
  <c r="AJ60" i="2"/>
  <c r="AJ52" i="2"/>
  <c r="AH45" i="2"/>
  <c r="AG50" i="2"/>
  <c r="AH59" i="2"/>
  <c r="AI52" i="2"/>
  <c r="AH60" i="2"/>
  <c r="O5" i="1"/>
  <c r="AJ38" i="2"/>
  <c r="AK43" i="2"/>
  <c r="AI43" i="2"/>
  <c r="N5" i="1"/>
  <c r="AH58" i="2"/>
  <c r="AH73" i="2"/>
  <c r="AH66" i="2"/>
  <c r="AJ66" i="2"/>
  <c r="AJ55" i="2"/>
  <c r="AI58" i="2"/>
  <c r="AH53" i="2"/>
  <c r="AK53" i="2"/>
  <c r="AJ58" i="2"/>
  <c r="AG38" i="2"/>
  <c r="AJ35" i="2"/>
  <c r="AI72" i="2"/>
  <c r="AI75" i="2"/>
  <c r="AG81" i="2"/>
  <c r="AI66" i="2"/>
  <c r="AK55" i="2"/>
  <c r="AG75" i="2"/>
  <c r="AG79" i="2"/>
  <c r="AK75" i="2"/>
  <c r="AK73" i="2"/>
  <c r="AG61" i="2"/>
  <c r="AH35" i="2"/>
  <c r="AK66" i="2"/>
  <c r="AG54" i="2"/>
  <c r="AG82" i="2"/>
  <c r="AG77" i="2"/>
  <c r="AJ53" i="2"/>
  <c r="AJ72" i="2"/>
  <c r="AI35" i="2"/>
  <c r="P5" i="1"/>
  <c r="AK72" i="2"/>
  <c r="AH75" i="2"/>
  <c r="AG80" i="2"/>
  <c r="AI73" i="2"/>
  <c r="AH72" i="2"/>
  <c r="AG49" i="2"/>
  <c r="AI55" i="2"/>
  <c r="AJ75" i="2"/>
  <c r="AK35" i="2"/>
  <c r="AJ73" i="2"/>
  <c r="AK58" i="2"/>
  <c r="AG63" i="2"/>
  <c r="AI53" i="2"/>
  <c r="AG57" i="2"/>
  <c r="AI77" i="2"/>
  <c r="AG67" i="2"/>
  <c r="AK79" i="2"/>
  <c r="AJ80" i="2"/>
  <c r="AI80" i="2"/>
  <c r="AH67" i="2"/>
  <c r="AK67" i="2"/>
  <c r="AI36" i="2"/>
  <c r="AK80" i="2"/>
  <c r="AH48" i="2"/>
  <c r="AG65" i="2"/>
  <c r="AJ48" i="2"/>
  <c r="AI67" i="2"/>
  <c r="AJ77" i="2"/>
  <c r="AH77" i="2"/>
  <c r="AG73" i="2"/>
  <c r="AI41" i="2"/>
  <c r="Y5" i="1"/>
  <c r="AH80" i="2"/>
  <c r="AK41" i="2"/>
  <c r="X5" i="1"/>
  <c r="AJ67" i="2"/>
  <c r="AK36" i="2"/>
  <c r="AK76" i="2"/>
  <c r="AJ41" i="2"/>
  <c r="AI76" i="2"/>
  <c r="AJ79" i="2"/>
  <c r="AG33" i="2"/>
  <c r="AK48" i="2"/>
  <c r="AG56" i="2"/>
  <c r="AG52" i="2"/>
  <c r="AH76" i="2"/>
  <c r="AG70" i="2"/>
  <c r="AI79" i="2"/>
  <c r="AJ36" i="2"/>
  <c r="AG69" i="2"/>
  <c r="AI48" i="2"/>
  <c r="AH41" i="2"/>
  <c r="AJ76" i="2"/>
  <c r="AG55" i="2"/>
  <c r="AH36" i="2"/>
  <c r="AK77" i="2"/>
  <c r="AK83" i="2"/>
  <c r="AI83" i="2"/>
  <c r="AJ83" i="2"/>
  <c r="AJ56" i="2"/>
  <c r="M5" i="1"/>
  <c r="AK56" i="2"/>
  <c r="AH83" i="2"/>
  <c r="AG53" i="2"/>
  <c r="AG41" i="2"/>
  <c r="AK70" i="2"/>
  <c r="AJ61" i="2"/>
  <c r="AK61" i="2"/>
  <c r="AH56" i="2"/>
  <c r="AJ70" i="2"/>
  <c r="AI56" i="2"/>
  <c r="AH61" i="2"/>
  <c r="AI61" i="2"/>
  <c r="AI70" i="2"/>
  <c r="X39" i="1"/>
  <c r="X25" i="1"/>
  <c r="X11" i="1"/>
  <c r="N27" i="1"/>
  <c r="N13" i="1"/>
  <c r="O32" i="1"/>
  <c r="O11" i="1"/>
  <c r="M25" i="1"/>
  <c r="M11" i="1"/>
  <c r="Q29" i="1"/>
  <c r="Q15" i="1"/>
  <c r="R34" i="1"/>
  <c r="R24" i="1"/>
  <c r="S39" i="1"/>
  <c r="S8" i="1"/>
  <c r="P27" i="1"/>
  <c r="P13" i="1"/>
  <c r="U36" i="1"/>
  <c r="U39" i="1"/>
  <c r="U8" i="1"/>
  <c r="V23" i="1"/>
  <c r="V9" i="1"/>
  <c r="W32" i="1"/>
  <c r="W18" i="1"/>
  <c r="T20" i="1"/>
  <c r="T10" i="1"/>
  <c r="Y29" i="1"/>
  <c r="Y11" i="1"/>
  <c r="Z34" i="1"/>
  <c r="Z16" i="1"/>
  <c r="AA39" i="1"/>
  <c r="AA33" i="1"/>
  <c r="X35" i="1"/>
  <c r="X21" i="1"/>
  <c r="X22" i="1"/>
  <c r="N23" i="1"/>
  <c r="N9" i="1"/>
  <c r="O28" i="1"/>
  <c r="O41" i="1"/>
  <c r="M21" i="1"/>
  <c r="M9" i="1"/>
  <c r="Q25" i="1"/>
  <c r="Q11" i="1"/>
  <c r="R30" i="1"/>
  <c r="R16" i="1"/>
  <c r="S35" i="1"/>
  <c r="S11" i="1"/>
  <c r="P23" i="1"/>
  <c r="P9" i="1"/>
  <c r="U32" i="1"/>
  <c r="U23" i="1"/>
  <c r="V41" i="1"/>
  <c r="X31" i="1"/>
  <c r="X26" i="1"/>
  <c r="N41" i="1"/>
  <c r="N32" i="1"/>
  <c r="N28" i="1"/>
  <c r="O24" i="1"/>
  <c r="O25" i="1"/>
  <c r="M38" i="1"/>
  <c r="M39" i="1"/>
  <c r="Q21" i="1"/>
  <c r="Q13" i="1"/>
  <c r="R26" i="1"/>
  <c r="R12" i="1"/>
  <c r="S31" i="1"/>
  <c r="S41" i="1"/>
  <c r="X29" i="1"/>
  <c r="X15" i="1"/>
  <c r="N31" i="1"/>
  <c r="N17" i="1"/>
  <c r="O36" i="1"/>
  <c r="O15" i="1"/>
  <c r="M29" i="1"/>
  <c r="M15" i="1"/>
  <c r="Q33" i="1"/>
  <c r="Q19" i="1"/>
  <c r="R38" i="1"/>
  <c r="R40" i="1"/>
  <c r="S22" i="1"/>
  <c r="S12" i="1"/>
  <c r="P31" i="1"/>
  <c r="P17" i="1"/>
  <c r="U40" i="1"/>
  <c r="U22" i="1"/>
  <c r="U12" i="1"/>
  <c r="V27" i="1"/>
  <c r="V13" i="1"/>
  <c r="W36" i="1"/>
  <c r="W33" i="1"/>
  <c r="T24" i="1"/>
  <c r="T14" i="1"/>
  <c r="Y33" i="1"/>
  <c r="Y15" i="1"/>
  <c r="Z38" i="1"/>
  <c r="Z32" i="1"/>
  <c r="AA22" i="1"/>
  <c r="AA8" i="1"/>
  <c r="S9" i="1"/>
  <c r="U19" i="1"/>
  <c r="V14" i="1"/>
  <c r="W10" i="1"/>
  <c r="T15" i="1"/>
  <c r="Y35" i="1"/>
  <c r="Z8" i="1"/>
  <c r="AA13" i="1"/>
  <c r="P26" i="1"/>
  <c r="V11" i="1"/>
  <c r="W25" i="1"/>
  <c r="T25" i="1"/>
  <c r="Y30" i="1"/>
  <c r="Z35" i="1"/>
  <c r="AA19" i="1"/>
  <c r="P34" i="1"/>
  <c r="V31" i="1"/>
  <c r="W40" i="1"/>
  <c r="T28" i="1"/>
  <c r="Y37" i="1"/>
  <c r="Z21" i="1"/>
  <c r="AA26" i="1"/>
  <c r="P40" i="1"/>
  <c r="V37" i="1"/>
  <c r="W35" i="1"/>
  <c r="T23" i="1"/>
  <c r="Y32" i="1"/>
  <c r="Z41" i="1"/>
  <c r="Z18" i="1"/>
  <c r="X23" i="1"/>
  <c r="X13" i="1"/>
  <c r="N33" i="1"/>
  <c r="N15" i="1"/>
  <c r="O38" i="1"/>
  <c r="O33" i="1"/>
  <c r="O14" i="1"/>
  <c r="M30" i="1"/>
  <c r="M16" i="1"/>
  <c r="Q34" i="1"/>
  <c r="Q16" i="1"/>
  <c r="R39" i="1"/>
  <c r="R18" i="1"/>
  <c r="S23" i="1"/>
  <c r="S17" i="1"/>
  <c r="P32" i="1"/>
  <c r="P22" i="1"/>
  <c r="U20" i="1"/>
  <c r="U10" i="1"/>
  <c r="V29" i="1"/>
  <c r="V15" i="1"/>
  <c r="W34" i="1"/>
  <c r="W41" i="1"/>
  <c r="W11" i="1"/>
  <c r="T29" i="1"/>
  <c r="T34" i="1"/>
  <c r="Y34" i="1"/>
  <c r="Y16" i="1"/>
  <c r="Z39" i="1"/>
  <c r="Z20" i="1"/>
  <c r="AA23" i="1"/>
  <c r="AA25" i="1"/>
  <c r="X19" i="1"/>
  <c r="X9" i="1"/>
  <c r="N29" i="1"/>
  <c r="N11" i="1"/>
  <c r="O34" i="1"/>
  <c r="O16" i="1"/>
  <c r="O10" i="1"/>
  <c r="M26" i="1"/>
  <c r="M12" i="1"/>
  <c r="Q30" i="1"/>
  <c r="Q12" i="1"/>
  <c r="R35" i="1"/>
  <c r="R14" i="1"/>
  <c r="S19" i="1"/>
  <c r="S13" i="1"/>
  <c r="P28" i="1"/>
  <c r="P18" i="1"/>
  <c r="U41" i="1"/>
  <c r="U35" i="1"/>
  <c r="V25" i="1"/>
  <c r="X40" i="1"/>
  <c r="X38" i="1"/>
  <c r="N25" i="1"/>
  <c r="N18" i="1"/>
  <c r="O30" i="1"/>
  <c r="O12" i="1"/>
  <c r="M40" i="1"/>
  <c r="M22" i="1"/>
  <c r="M17" i="1"/>
  <c r="Q26" i="1"/>
  <c r="Q8" i="1"/>
  <c r="R31" i="1"/>
  <c r="R10" i="1"/>
  <c r="S40" i="1"/>
  <c r="X27" i="1"/>
  <c r="X17" i="1"/>
  <c r="N37" i="1"/>
  <c r="N19" i="1"/>
  <c r="N10" i="1"/>
  <c r="O20" i="1"/>
  <c r="O18" i="1"/>
  <c r="M34" i="1"/>
  <c r="M23" i="1"/>
  <c r="Q38" i="1"/>
  <c r="Q27" i="1"/>
  <c r="R22" i="1"/>
  <c r="R8" i="1"/>
  <c r="S27" i="1"/>
  <c r="S25" i="1"/>
  <c r="P36" i="1"/>
  <c r="P38" i="1"/>
  <c r="U24" i="1"/>
  <c r="U14" i="1"/>
  <c r="V33" i="1"/>
  <c r="V24" i="1"/>
  <c r="W38" i="1"/>
  <c r="W20" i="1"/>
  <c r="W37" i="1"/>
  <c r="T33" i="1"/>
  <c r="T11" i="1"/>
  <c r="Y38" i="1"/>
  <c r="Y19" i="1"/>
  <c r="Z22" i="1"/>
  <c r="Z36" i="1"/>
  <c r="AA27" i="1"/>
  <c r="AA9" i="1"/>
  <c r="P24" i="1"/>
  <c r="V21" i="1"/>
  <c r="W31" i="1"/>
  <c r="T19" i="1"/>
  <c r="Y28" i="1"/>
  <c r="Z37" i="1"/>
  <c r="Z10" i="1"/>
  <c r="AA14" i="1"/>
  <c r="U21" i="1"/>
  <c r="V32" i="1"/>
  <c r="W9" i="1"/>
  <c r="T26" i="1"/>
  <c r="Y9" i="1"/>
  <c r="Z40" i="1"/>
  <c r="AA16" i="1"/>
  <c r="X32" i="1"/>
  <c r="X30" i="1"/>
  <c r="N38" i="1"/>
  <c r="N36" i="1"/>
  <c r="O22" i="1"/>
  <c r="O29" i="1"/>
  <c r="M32" i="1"/>
  <c r="M18" i="1"/>
  <c r="Q36" i="1"/>
  <c r="Q35" i="1"/>
  <c r="Q9" i="1"/>
  <c r="R23" i="1"/>
  <c r="R17" i="1"/>
  <c r="S32" i="1"/>
  <c r="S29" i="1"/>
  <c r="P41" i="1"/>
  <c r="P30" i="1"/>
  <c r="U29" i="1"/>
  <c r="U27" i="1"/>
  <c r="V34" i="1"/>
  <c r="V28" i="1"/>
  <c r="W39" i="1"/>
  <c r="W8" i="1"/>
  <c r="T27" i="1"/>
  <c r="T22" i="1"/>
  <c r="Y36" i="1"/>
  <c r="Y27" i="1"/>
  <c r="Y13" i="1"/>
  <c r="Z23" i="1"/>
  <c r="Z24" i="1"/>
  <c r="AA32" i="1"/>
  <c r="AA21" i="1"/>
  <c r="X28" i="1"/>
  <c r="X18" i="1"/>
  <c r="N34" i="1"/>
  <c r="N20" i="1"/>
  <c r="O39" i="1"/>
  <c r="O37" i="1"/>
  <c r="M28" i="1"/>
  <c r="M14" i="1"/>
  <c r="Q32" i="1"/>
  <c r="Q18" i="1"/>
  <c r="R41" i="1"/>
  <c r="R36" i="1"/>
  <c r="R13" i="1"/>
  <c r="S28" i="1"/>
  <c r="S18" i="1"/>
  <c r="P37" i="1"/>
  <c r="P8" i="1"/>
  <c r="U25" i="1"/>
  <c r="U15" i="1"/>
  <c r="V30" i="1"/>
  <c r="X24" i="1"/>
  <c r="X14" i="1"/>
  <c r="N30" i="1"/>
  <c r="N16" i="1"/>
  <c r="O35" i="1"/>
  <c r="O21" i="1"/>
  <c r="M24" i="1"/>
  <c r="M10" i="1"/>
  <c r="Q28" i="1"/>
  <c r="Q14" i="1"/>
  <c r="R37" i="1"/>
  <c r="R20" i="1"/>
  <c r="R9" i="1"/>
  <c r="S24" i="1"/>
  <c r="X36" i="1"/>
  <c r="X8" i="1"/>
  <c r="N21" i="1"/>
  <c r="N14" i="1"/>
  <c r="O26" i="1"/>
  <c r="O8" i="1"/>
  <c r="M36" i="1"/>
  <c r="M31" i="1"/>
  <c r="Q40" i="1"/>
  <c r="Q22" i="1"/>
  <c r="Q31" i="1"/>
  <c r="R27" i="1"/>
  <c r="R28" i="1"/>
  <c r="S36" i="1"/>
  <c r="S33" i="1"/>
  <c r="P20" i="1"/>
  <c r="P10" i="1"/>
  <c r="U33" i="1"/>
  <c r="U13" i="1"/>
  <c r="V38" i="1"/>
  <c r="V10" i="1"/>
  <c r="W22" i="1"/>
  <c r="W12" i="1"/>
  <c r="T31" i="1"/>
  <c r="T38" i="1"/>
  <c r="Y40" i="1"/>
  <c r="Y22" i="1"/>
  <c r="Y17" i="1"/>
  <c r="Z27" i="1"/>
  <c r="Z9" i="1"/>
  <c r="AA36" i="1"/>
  <c r="AA37" i="1"/>
  <c r="P14" i="1"/>
  <c r="V40" i="1"/>
  <c r="W24" i="1"/>
  <c r="T37" i="1"/>
  <c r="Y21" i="1"/>
  <c r="Z26" i="1"/>
  <c r="AA31" i="1"/>
  <c r="S14" i="1"/>
  <c r="U11" i="1"/>
  <c r="W30" i="1"/>
  <c r="T39" i="1"/>
  <c r="T12" i="1"/>
  <c r="Y12" i="1"/>
  <c r="Z17" i="1"/>
  <c r="AA15" i="1"/>
  <c r="U26" i="1"/>
  <c r="V17" i="1"/>
  <c r="W21" i="1"/>
  <c r="X41" i="1"/>
  <c r="X16" i="1"/>
  <c r="N22" i="1"/>
  <c r="N8" i="1"/>
  <c r="O27" i="1"/>
  <c r="O13" i="1"/>
  <c r="M41" i="1"/>
  <c r="M13" i="1"/>
  <c r="Q20" i="1"/>
  <c r="Q17" i="1"/>
  <c r="R29" i="1"/>
  <c r="R15" i="1"/>
  <c r="S34" i="1"/>
  <c r="S37" i="1"/>
  <c r="S15" i="1"/>
  <c r="P25" i="1"/>
  <c r="P15" i="1"/>
  <c r="U34" i="1"/>
  <c r="U9" i="1"/>
  <c r="V39" i="1"/>
  <c r="V36" i="1"/>
  <c r="W23" i="1"/>
  <c r="W13" i="1"/>
  <c r="T36" i="1"/>
  <c r="T16" i="1"/>
  <c r="Y20" i="1"/>
  <c r="Y23" i="1"/>
  <c r="Z29" i="1"/>
  <c r="Z11" i="1"/>
  <c r="AA34" i="1"/>
  <c r="AA29" i="1"/>
  <c r="AA41" i="1"/>
  <c r="X37" i="1"/>
  <c r="X12" i="1"/>
  <c r="N39" i="1"/>
  <c r="N40" i="1"/>
  <c r="O23" i="1"/>
  <c r="O9" i="1"/>
  <c r="M37" i="1"/>
  <c r="M35" i="1"/>
  <c r="Q41" i="1"/>
  <c r="Q39" i="1"/>
  <c r="R25" i="1"/>
  <c r="R11" i="1"/>
  <c r="S30" i="1"/>
  <c r="S21" i="1"/>
  <c r="P39" i="1"/>
  <c r="P21" i="1"/>
  <c r="P11" i="1"/>
  <c r="U30" i="1"/>
  <c r="U31" i="1"/>
  <c r="V35" i="1"/>
  <c r="X33" i="1"/>
  <c r="X34" i="1"/>
  <c r="N35" i="1"/>
  <c r="N24" i="1"/>
  <c r="O40" i="1"/>
  <c r="O19" i="1"/>
  <c r="M33" i="1"/>
  <c r="M19" i="1"/>
  <c r="Q37" i="1"/>
  <c r="Q23" i="1"/>
  <c r="R21" i="1"/>
  <c r="R32" i="1"/>
  <c r="S26" i="1"/>
  <c r="S16" i="1"/>
  <c r="X20" i="1"/>
  <c r="X10" i="1"/>
  <c r="N26" i="1"/>
  <c r="N12" i="1"/>
  <c r="O31" i="1"/>
  <c r="O17" i="1"/>
  <c r="M20" i="1"/>
  <c r="M27" i="1"/>
  <c r="Q24" i="1"/>
  <c r="Q10" i="1"/>
  <c r="R33" i="1"/>
  <c r="R19" i="1"/>
  <c r="S38" i="1"/>
  <c r="S20" i="1"/>
  <c r="S10" i="1"/>
  <c r="P29" i="1"/>
  <c r="P19" i="1"/>
  <c r="U38" i="1"/>
  <c r="U17" i="1"/>
  <c r="V22" i="1"/>
  <c r="V8" i="1"/>
  <c r="W27" i="1"/>
  <c r="W17" i="1"/>
  <c r="T40" i="1"/>
  <c r="T9" i="1"/>
  <c r="Y24" i="1"/>
  <c r="Y10" i="1"/>
  <c r="Z33" i="1"/>
  <c r="Z15" i="1"/>
  <c r="AA38" i="1"/>
  <c r="AA20" i="1"/>
  <c r="AA10" i="1"/>
  <c r="U37" i="1"/>
  <c r="V12" i="1"/>
  <c r="W29" i="1"/>
  <c r="T13" i="1"/>
  <c r="Y14" i="1"/>
  <c r="Z28" i="1"/>
  <c r="AA24" i="1"/>
  <c r="P33" i="1"/>
  <c r="V26" i="1"/>
  <c r="W19" i="1"/>
  <c r="T32" i="1"/>
  <c r="Y41" i="1"/>
  <c r="Z25" i="1"/>
  <c r="AA30" i="1"/>
  <c r="P35" i="1"/>
  <c r="U16" i="1"/>
  <c r="W26" i="1"/>
  <c r="T35" i="1"/>
  <c r="T8" i="1"/>
  <c r="Y8" i="1"/>
  <c r="V18" i="1"/>
  <c r="Y26" i="1"/>
  <c r="Z13" i="1"/>
  <c r="P12" i="1"/>
  <c r="V16" i="1"/>
  <c r="W14" i="1"/>
  <c r="Y25" i="1"/>
  <c r="Z19" i="1"/>
  <c r="AA17" i="1"/>
  <c r="T18" i="1"/>
  <c r="W15" i="1"/>
  <c r="AA28" i="1"/>
  <c r="W16" i="1"/>
  <c r="Y31" i="1"/>
  <c r="AA40" i="1"/>
  <c r="U28" i="1"/>
  <c r="V20" i="1"/>
  <c r="T41" i="1"/>
  <c r="Y18" i="1"/>
  <c r="Z12" i="1"/>
  <c r="AA18" i="1"/>
  <c r="Z14" i="1"/>
  <c r="T30" i="1"/>
  <c r="T21" i="1"/>
  <c r="Z31" i="1"/>
  <c r="AA12" i="1"/>
  <c r="U18" i="1"/>
  <c r="W28" i="1"/>
  <c r="T17" i="1"/>
  <c r="Y39" i="1"/>
  <c r="AA35" i="1"/>
  <c r="P16" i="1"/>
  <c r="AA11" i="1"/>
  <c r="V19" i="1"/>
  <c r="Z30" i="1"/>
  <c r="AC43" i="1" l="1"/>
  <c r="AC42" i="1"/>
  <c r="AC34" i="1"/>
  <c r="AC30" i="1"/>
  <c r="AC26" i="1"/>
  <c r="AC22" i="1"/>
  <c r="AC18" i="1"/>
  <c r="AC14" i="1"/>
  <c r="AC10" i="1"/>
  <c r="AC46" i="1"/>
  <c r="AC38" i="1"/>
  <c r="AC45" i="1"/>
  <c r="AC41" i="1"/>
  <c r="AC37" i="1"/>
  <c r="AC33" i="1"/>
  <c r="AC29" i="1"/>
  <c r="AC25" i="1"/>
  <c r="AC21" i="1"/>
  <c r="AC17" i="1"/>
  <c r="AC13" i="1"/>
  <c r="AC9" i="1"/>
  <c r="AC44" i="1"/>
  <c r="AC40" i="1"/>
  <c r="AC36" i="1"/>
  <c r="AC32" i="1"/>
  <c r="AC28" i="1"/>
  <c r="AC24" i="1"/>
  <c r="AC20" i="1"/>
  <c r="AC16" i="1"/>
  <c r="AC12" i="1"/>
  <c r="AC8" i="1"/>
  <c r="AC39" i="1"/>
  <c r="AC35" i="1"/>
  <c r="AC31" i="1"/>
  <c r="AC27" i="1"/>
  <c r="AC23" i="1"/>
  <c r="AC19" i="1"/>
  <c r="AC15" i="1"/>
  <c r="AC11" i="1"/>
  <c r="AD10" i="1"/>
  <c r="AD24" i="1"/>
  <c r="AD18" i="1"/>
  <c r="AD16" i="1"/>
  <c r="AD22" i="1"/>
  <c r="AD13" i="1"/>
  <c r="AD37" i="1"/>
  <c r="AD31" i="1"/>
  <c r="AD25" i="1"/>
  <c r="AD33" i="1"/>
  <c r="AD28" i="1"/>
  <c r="AD14" i="1"/>
  <c r="AD12" i="1"/>
  <c r="AD34" i="1"/>
  <c r="AD26" i="1"/>
  <c r="AD36" i="1"/>
  <c r="AD11" i="1"/>
  <c r="AD32" i="1"/>
  <c r="AD19" i="1"/>
  <c r="AD30" i="1"/>
  <c r="AD9" i="1"/>
  <c r="AD38" i="1"/>
  <c r="AD8" i="1"/>
  <c r="AD23" i="1"/>
  <c r="AD15" i="1"/>
  <c r="AD29" i="1"/>
  <c r="AD20" i="1"/>
  <c r="AD21" i="1"/>
  <c r="AD27" i="1"/>
  <c r="AD17" i="1"/>
  <c r="AD35" i="1"/>
  <c r="AD39" i="1"/>
  <c r="AD41" i="1"/>
  <c r="AD40" i="1"/>
  <c r="V46" i="1"/>
  <c r="M46" i="1"/>
  <c r="AA46" i="1"/>
  <c r="Z46" i="1"/>
  <c r="U42" i="1"/>
  <c r="T42" i="1"/>
  <c r="S42" i="1"/>
  <c r="R42" i="1"/>
  <c r="S44" i="1"/>
  <c r="R44" i="1"/>
  <c r="Q44" i="1"/>
  <c r="P44" i="1"/>
  <c r="AA45" i="1"/>
  <c r="Z45" i="1"/>
  <c r="Y45" i="1"/>
  <c r="Z43" i="1"/>
  <c r="Y43" i="1"/>
  <c r="X43" i="1"/>
  <c r="W43" i="1"/>
  <c r="Y46" i="1"/>
  <c r="X46" i="1"/>
  <c r="W46" i="1"/>
  <c r="R46" i="1"/>
  <c r="Q42" i="1"/>
  <c r="P42" i="1"/>
  <c r="O42" i="1"/>
  <c r="N42" i="1"/>
  <c r="O44" i="1"/>
  <c r="N44" i="1"/>
  <c r="M44" i="1"/>
  <c r="X45" i="1"/>
  <c r="W45" i="1"/>
  <c r="V45" i="1"/>
  <c r="U45" i="1"/>
  <c r="V43" i="1"/>
  <c r="U43" i="1"/>
  <c r="T43" i="1"/>
  <c r="S43" i="1"/>
  <c r="U46" i="1"/>
  <c r="T46" i="1"/>
  <c r="S46" i="1"/>
  <c r="N46" i="1"/>
  <c r="M42" i="1"/>
  <c r="AA42" i="1"/>
  <c r="Z42" i="1"/>
  <c r="AA44" i="1"/>
  <c r="Z44" i="1"/>
  <c r="Y44" i="1"/>
  <c r="X44" i="1"/>
  <c r="T45" i="1"/>
  <c r="S45" i="1"/>
  <c r="R45" i="1"/>
  <c r="Q45" i="1"/>
  <c r="R43" i="1"/>
  <c r="Q43" i="1"/>
  <c r="P43" i="1"/>
  <c r="O43" i="1"/>
  <c r="Q46" i="1"/>
  <c r="P46" i="1"/>
  <c r="O46" i="1"/>
  <c r="Y42" i="1"/>
  <c r="X42" i="1"/>
  <c r="W42" i="1"/>
  <c r="V42" i="1"/>
  <c r="W44" i="1"/>
  <c r="V44" i="1"/>
  <c r="U44" i="1"/>
  <c r="T44" i="1"/>
  <c r="P45" i="1"/>
  <c r="O45" i="1"/>
  <c r="N45" i="1"/>
  <c r="M45" i="1"/>
  <c r="N43" i="1"/>
  <c r="M43" i="1"/>
  <c r="AA43" i="1"/>
  <c r="AD43" i="1" l="1"/>
  <c r="AD46" i="1"/>
  <c r="AD42" i="1"/>
  <c r="AD44" i="1"/>
  <c r="AD45" i="1"/>
</calcChain>
</file>

<file path=xl/sharedStrings.xml><?xml version="1.0" encoding="utf-8"?>
<sst xmlns="http://schemas.openxmlformats.org/spreadsheetml/2006/main" count="1682" uniqueCount="1110">
  <si>
    <t>현금및현금성자산</t>
  </si>
  <si>
    <t>금융자산</t>
  </si>
  <si>
    <t>파생상품자산</t>
  </si>
  <si>
    <t>대출채권</t>
  </si>
  <si>
    <t>기타자산</t>
  </si>
  <si>
    <t>유형자산</t>
  </si>
  <si>
    <t>투자부동산</t>
  </si>
  <si>
    <t>비업무용자산</t>
  </si>
  <si>
    <t>영업권</t>
  </si>
  <si>
    <t>무형자산</t>
  </si>
  <si>
    <t>이연법인세자산</t>
  </si>
  <si>
    <t>당기법인세자산</t>
  </si>
  <si>
    <t>기타금융업자산</t>
  </si>
  <si>
    <t>상장자본금</t>
  </si>
  <si>
    <t>신종자본증권</t>
  </si>
  <si>
    <t>자본잉여금</t>
  </si>
  <si>
    <t>기타자본</t>
  </si>
  <si>
    <t>기타포괄손익누계액</t>
  </si>
  <si>
    <t>이익잉여금(결손금)</t>
  </si>
  <si>
    <t>비예수부채</t>
  </si>
  <si>
    <t>금융부채</t>
  </si>
  <si>
    <t>파생상품부채</t>
  </si>
  <si>
    <t>차입금</t>
  </si>
  <si>
    <t>사채</t>
  </si>
  <si>
    <t>기타금융업부채</t>
  </si>
  <si>
    <t>기타충당부채</t>
  </si>
  <si>
    <t>당기법인세부채</t>
  </si>
  <si>
    <t>종업원급여충당부채</t>
  </si>
  <si>
    <t>기타부채</t>
  </si>
  <si>
    <t>이연법인세부채</t>
  </si>
  <si>
    <t>예수부채</t>
  </si>
  <si>
    <t>자산</t>
    <phoneticPr fontId="1" type="noConversion"/>
  </si>
  <si>
    <t>자본</t>
    <phoneticPr fontId="1" type="noConversion"/>
  </si>
  <si>
    <t>부채</t>
    <phoneticPr fontId="1" type="noConversion"/>
  </si>
  <si>
    <t>매출액(영업수익)</t>
  </si>
  <si>
    <t>매출원가(영업비용)</t>
  </si>
  <si>
    <t>매출총이익</t>
  </si>
  <si>
    <t>판매비와 관리비</t>
  </si>
  <si>
    <t>급여</t>
  </si>
  <si>
    <t>감가상각비(포괄손익계산서)</t>
  </si>
  <si>
    <t>기타무형자산상각비(포괄손익계산서)</t>
  </si>
  <si>
    <t>연구개발비</t>
  </si>
  <si>
    <t>영업이익</t>
  </si>
  <si>
    <t>이자수익</t>
  </si>
  <si>
    <t>배당금수익</t>
  </si>
  <si>
    <t>외환거래이익(포괄손익계산서)</t>
  </si>
  <si>
    <t>금융자산처분이익</t>
  </si>
  <si>
    <t>금융자산평가이익</t>
  </si>
  <si>
    <t>파생상품이익</t>
  </si>
  <si>
    <t>이자비용</t>
  </si>
  <si>
    <t>외환거래손실(포괄손익계산서)</t>
  </si>
  <si>
    <t>금융자산처분손실</t>
  </si>
  <si>
    <t>금융자산평가손실</t>
  </si>
  <si>
    <t>파생상품손실</t>
  </si>
  <si>
    <t>종속기업공동지배기업관계기업손익</t>
  </si>
  <si>
    <t>법인세비용차감전순이익</t>
  </si>
  <si>
    <t>법인세비용</t>
  </si>
  <si>
    <t>계속영업이익</t>
  </si>
  <si>
    <t>당기순이익(포괄손익계산서)</t>
  </si>
  <si>
    <t>기타포괄손익(포괄손익계산서)</t>
  </si>
  <si>
    <t>총포괄손익</t>
  </si>
  <si>
    <t>재무상태표</t>
    <phoneticPr fontId="1" type="noConversion"/>
  </si>
  <si>
    <t>포괄손익계산서</t>
    <phoneticPr fontId="1" type="noConversion"/>
  </si>
  <si>
    <t>영업활동으로인한현금흐름</t>
  </si>
  <si>
    <t>당기순손익</t>
  </si>
  <si>
    <t>현금유출이없는비용등가산</t>
  </si>
  <si>
    <t>감가상각비(현금흐름표)</t>
  </si>
  <si>
    <t>기타무형자산상각비(현금흐름표)</t>
  </si>
  <si>
    <t>외환거래손실(현금흐름표)</t>
  </si>
  <si>
    <t>자산처분손실</t>
  </si>
  <si>
    <t>(현금유입이없는수익등차감)</t>
  </si>
  <si>
    <t>외환거래이익(현금흐름표)</t>
  </si>
  <si>
    <t>자산처분이익</t>
  </si>
  <si>
    <t>영업활동으로인한자산부채변동</t>
  </si>
  <si>
    <t>자산의감소</t>
  </si>
  <si>
    <t>부채의증가</t>
  </si>
  <si>
    <t>영업활동으로인한현금흐름(간접법)</t>
  </si>
  <si>
    <t>이자수입</t>
  </si>
  <si>
    <t>이자지급(-)</t>
  </si>
  <si>
    <t>배당금수입</t>
  </si>
  <si>
    <t>영업활동배당금지급(-)</t>
  </si>
  <si>
    <t>법인세환입</t>
  </si>
  <si>
    <t>법인세납부(-)</t>
  </si>
  <si>
    <t>투자활동으로인한현금흐름</t>
  </si>
  <si>
    <t>투자활동으로인한현금유입액</t>
  </si>
  <si>
    <t>유형자산의감소</t>
  </si>
  <si>
    <t>무형자산의감소</t>
  </si>
  <si>
    <t>(투자활동으로인한현금유출액)</t>
  </si>
  <si>
    <t>유형자산의증가</t>
  </si>
  <si>
    <t>무형자산의증가</t>
  </si>
  <si>
    <t>재무활동으로인한현금흐름</t>
  </si>
  <si>
    <t>재무활동으로인한현금유입액</t>
  </si>
  <si>
    <t>사채의증가</t>
  </si>
  <si>
    <t>차입금의증가</t>
  </si>
  <si>
    <t>(재무활동으로인한현금유출액)</t>
  </si>
  <si>
    <t>사채의감소</t>
  </si>
  <si>
    <t>차입금의감소</t>
  </si>
  <si>
    <t>재무활동배당금지급(-)</t>
  </si>
  <si>
    <t>현금및현금성자산의증가</t>
  </si>
  <si>
    <t>기초현금및현금성자산</t>
  </si>
  <si>
    <t>기말현금및현금성자산</t>
  </si>
  <si>
    <t>현금흐름표</t>
    <phoneticPr fontId="1" type="noConversion"/>
  </si>
  <si>
    <t>기말자본금</t>
  </si>
  <si>
    <t>기초자본금</t>
  </si>
  <si>
    <t>유상증자</t>
  </si>
  <si>
    <t>무상증자</t>
  </si>
  <si>
    <t>주식매수선택권</t>
  </si>
  <si>
    <t>전환사채</t>
  </si>
  <si>
    <t>신주인수권부사채</t>
  </si>
  <si>
    <t>기말자본잉여금</t>
  </si>
  <si>
    <t>기말기타자본</t>
  </si>
  <si>
    <t>기말기타포괄손익누계액</t>
  </si>
  <si>
    <t>기말이익잉여금</t>
  </si>
  <si>
    <t>처분후이익잉여금</t>
  </si>
  <si>
    <t>(중간배당)</t>
  </si>
  <si>
    <t>기타포괄손익(자본변동표)</t>
  </si>
  <si>
    <t>당기순이익(자본변동표)</t>
  </si>
  <si>
    <t>기말비지배주주지분</t>
  </si>
  <si>
    <t>합계(자본변동표)</t>
  </si>
  <si>
    <t>자본변동표</t>
    <phoneticPr fontId="1" type="noConversion"/>
  </si>
  <si>
    <t>재무비율</t>
    <phoneticPr fontId="1" type="noConversion"/>
  </si>
  <si>
    <t>총자산증가율</t>
  </si>
  <si>
    <t>유형자산증가율</t>
  </si>
  <si>
    <t>부채총계증가율</t>
  </si>
  <si>
    <t>차입금증가율</t>
  </si>
  <si>
    <t>자기자본증가율</t>
  </si>
  <si>
    <t>매출액(영업수익)증가율</t>
  </si>
  <si>
    <t>매출원가(영업비용)증가율</t>
  </si>
  <si>
    <t>영업이익증가율(보고서기재)</t>
  </si>
  <si>
    <t>순이익증가율</t>
  </si>
  <si>
    <t>EPS증가율</t>
  </si>
  <si>
    <t>희석EPS증가율</t>
  </si>
  <si>
    <t>영업활동으로인한현금흐름증가율</t>
  </si>
  <si>
    <t>투자활동으로인한현금흐름증가율</t>
  </si>
  <si>
    <t>재무활동으로인한현금흐름증가율</t>
  </si>
  <si>
    <t>기말현금증가율</t>
  </si>
  <si>
    <t>ROE</t>
  </si>
  <si>
    <t>ROA</t>
  </si>
  <si>
    <t>총자산영업이익률</t>
  </si>
  <si>
    <t>자기자본영업이익률</t>
  </si>
  <si>
    <t>자본금영업이익률</t>
  </si>
  <si>
    <t>자본금순이익률</t>
  </si>
  <si>
    <t>영업이익률</t>
  </si>
  <si>
    <t>적립금비율</t>
  </si>
  <si>
    <t>유형자산구성비율</t>
  </si>
  <si>
    <t>타인자본구성비율</t>
  </si>
  <si>
    <t>자기자본비율</t>
  </si>
  <si>
    <t>차입금비율</t>
  </si>
  <si>
    <t>차입금의존도</t>
  </si>
  <si>
    <t>유보율</t>
  </si>
  <si>
    <t>총자산회전율</t>
  </si>
  <si>
    <t>타인자본회전율</t>
  </si>
  <si>
    <t>당기순이익지배기업주주지분</t>
    <phoneticPr fontId="1" type="noConversion"/>
  </si>
  <si>
    <t>총포괄손익지배기업주주지분</t>
    <phoneticPr fontId="1" type="noConversion"/>
  </si>
  <si>
    <t>주당순손익</t>
    <phoneticPr fontId="1" type="noConversion"/>
  </si>
  <si>
    <t>희석주당순손익</t>
    <phoneticPr fontId="1" type="noConversion"/>
  </si>
  <si>
    <t>영업에서창출된현금흐름</t>
    <phoneticPr fontId="1" type="noConversion"/>
  </si>
  <si>
    <t>005930</t>
    <phoneticPr fontId="1" type="noConversion"/>
  </si>
  <si>
    <t>066570</t>
    <phoneticPr fontId="1" type="noConversion"/>
  </si>
  <si>
    <t>006400</t>
    <phoneticPr fontId="1" type="noConversion"/>
  </si>
  <si>
    <t>009150</t>
    <phoneticPr fontId="1" type="noConversion"/>
  </si>
  <si>
    <t>034220</t>
    <phoneticPr fontId="1" type="noConversion"/>
  </si>
  <si>
    <t>011070</t>
    <phoneticPr fontId="1" type="noConversion"/>
  </si>
  <si>
    <t>010120</t>
    <phoneticPr fontId="1" type="noConversion"/>
  </si>
  <si>
    <t>020150</t>
    <phoneticPr fontId="1" type="noConversion"/>
  </si>
  <si>
    <t>192400</t>
    <phoneticPr fontId="1" type="noConversion"/>
  </si>
  <si>
    <t>001440</t>
    <phoneticPr fontId="1" type="noConversion"/>
  </si>
  <si>
    <t>001820</t>
    <phoneticPr fontId="1" type="noConversion"/>
  </si>
  <si>
    <t>000990</t>
    <phoneticPr fontId="1" type="noConversion"/>
  </si>
  <si>
    <t>009450</t>
    <phoneticPr fontId="1" type="noConversion"/>
  </si>
  <si>
    <t>267260</t>
    <phoneticPr fontId="1" type="noConversion"/>
  </si>
  <si>
    <t>재무제표 비교</t>
    <phoneticPr fontId="1" type="noConversion"/>
  </si>
  <si>
    <t>단위 : 천원,%</t>
    <phoneticPr fontId="1" type="noConversion"/>
  </si>
  <si>
    <t>음식료</t>
    <phoneticPr fontId="1" type="noConversion"/>
  </si>
  <si>
    <t>011150</t>
  </si>
  <si>
    <t>011155</t>
  </si>
  <si>
    <t>097950</t>
  </si>
  <si>
    <t>097955</t>
  </si>
  <si>
    <t>023150</t>
  </si>
  <si>
    <t>005610</t>
  </si>
  <si>
    <t>002140</t>
  </si>
  <si>
    <t>003920</t>
  </si>
  <si>
    <t>003925</t>
  </si>
  <si>
    <t>004370</t>
  </si>
  <si>
    <t>001680</t>
  </si>
  <si>
    <t>001685</t>
  </si>
  <si>
    <t>001790</t>
  </si>
  <si>
    <t>001799</t>
  </si>
  <si>
    <t>001795</t>
  </si>
  <si>
    <t>001130</t>
  </si>
  <si>
    <t>049770</t>
  </si>
  <si>
    <t>280360</t>
  </si>
  <si>
    <t>005300</t>
  </si>
  <si>
    <t>005305</t>
  </si>
  <si>
    <t>002270</t>
  </si>
  <si>
    <t>027740</t>
  </si>
  <si>
    <t>033920</t>
  </si>
  <si>
    <t>000890</t>
  </si>
  <si>
    <t>005180</t>
  </si>
  <si>
    <t>003960</t>
  </si>
  <si>
    <t>008040</t>
  </si>
  <si>
    <t>014710</t>
  </si>
  <si>
    <t>006090</t>
  </si>
  <si>
    <t>079660</t>
  </si>
  <si>
    <t>145990</t>
  </si>
  <si>
    <t>145995</t>
  </si>
  <si>
    <t>003230</t>
  </si>
  <si>
    <t>248170</t>
  </si>
  <si>
    <t>004410</t>
  </si>
  <si>
    <t>004415</t>
  </si>
  <si>
    <t>136490</t>
  </si>
  <si>
    <t>007310</t>
  </si>
  <si>
    <t>271560</t>
  </si>
  <si>
    <t>006980</t>
  </si>
  <si>
    <t>002600</t>
  </si>
  <si>
    <t>264900</t>
  </si>
  <si>
    <t>26490K</t>
  </si>
  <si>
    <t>036580</t>
  </si>
  <si>
    <t>000080</t>
  </si>
  <si>
    <t>000087</t>
  </si>
  <si>
    <t>003680</t>
  </si>
  <si>
    <t>101530</t>
  </si>
  <si>
    <t>001460</t>
  </si>
  <si>
    <t>001465</t>
  </si>
  <si>
    <t>007700</t>
  </si>
  <si>
    <t>093050</t>
  </si>
  <si>
    <t>084870</t>
  </si>
  <si>
    <t>000050</t>
  </si>
  <si>
    <t>002070</t>
  </si>
  <si>
    <t>001070</t>
  </si>
  <si>
    <t>016090</t>
  </si>
  <si>
    <t>001530</t>
  </si>
  <si>
    <t>090370</t>
  </si>
  <si>
    <t>003610</t>
  </si>
  <si>
    <t>011300</t>
  </si>
  <si>
    <t>005800</t>
  </si>
  <si>
    <t>009270</t>
  </si>
  <si>
    <t>009275</t>
  </si>
  <si>
    <t>102280</t>
  </si>
  <si>
    <t>005820</t>
  </si>
  <si>
    <t>014990</t>
  </si>
  <si>
    <t>003200</t>
  </si>
  <si>
    <t>008500</t>
  </si>
  <si>
    <t>000950</t>
  </si>
  <si>
    <t>007980</t>
  </si>
  <si>
    <t>020000</t>
  </si>
  <si>
    <t>105630</t>
  </si>
  <si>
    <t>093240</t>
  </si>
  <si>
    <t>111110</t>
  </si>
  <si>
    <t>섬유.의복</t>
    <phoneticPr fontId="1" type="noConversion"/>
  </si>
  <si>
    <t>089470</t>
  </si>
  <si>
    <t>002380</t>
  </si>
  <si>
    <t>001390</t>
  </si>
  <si>
    <t>025000</t>
  </si>
  <si>
    <t>051900</t>
  </si>
  <si>
    <t>051905</t>
  </si>
  <si>
    <t>108670</t>
  </si>
  <si>
    <t>108675</t>
  </si>
  <si>
    <t>051910</t>
  </si>
  <si>
    <t>051915</t>
  </si>
  <si>
    <t>004250</t>
  </si>
  <si>
    <t>004255</t>
  </si>
  <si>
    <t>010060</t>
  </si>
  <si>
    <t>010950</t>
  </si>
  <si>
    <t>010955</t>
  </si>
  <si>
    <t>002360</t>
  </si>
  <si>
    <t>011790</t>
  </si>
  <si>
    <t>285130</t>
  </si>
  <si>
    <t>28513K</t>
  </si>
  <si>
    <t>024070</t>
  </si>
  <si>
    <t>000860</t>
  </si>
  <si>
    <t>002100</t>
  </si>
  <si>
    <t>012610</t>
  </si>
  <si>
    <t>007690</t>
  </si>
  <si>
    <t>083420</t>
  </si>
  <si>
    <t>014530</t>
  </si>
  <si>
    <t>001570</t>
  </si>
  <si>
    <t>011780</t>
  </si>
  <si>
    <t>011785</t>
  </si>
  <si>
    <t>073240</t>
  </si>
  <si>
    <t>025860</t>
  </si>
  <si>
    <t>002350</t>
  </si>
  <si>
    <t>002355</t>
  </si>
  <si>
    <t>090350</t>
  </si>
  <si>
    <t>090355</t>
  </si>
  <si>
    <t>024890</t>
  </si>
  <si>
    <t>006650</t>
  </si>
  <si>
    <t>003830</t>
  </si>
  <si>
    <t>004830</t>
  </si>
  <si>
    <t>004835</t>
  </si>
  <si>
    <t>023450</t>
  </si>
  <si>
    <t>007590</t>
  </si>
  <si>
    <t>005190</t>
  </si>
  <si>
    <t>282690</t>
  </si>
  <si>
    <t>014820</t>
  </si>
  <si>
    <t>014825</t>
  </si>
  <si>
    <t>163560</t>
  </si>
  <si>
    <t>115390</t>
  </si>
  <si>
    <t>004000</t>
  </si>
  <si>
    <t>011170</t>
  </si>
  <si>
    <t>002840</t>
  </si>
  <si>
    <t>268280</t>
  </si>
  <si>
    <t>134380</t>
  </si>
  <si>
    <t>003650</t>
  </si>
  <si>
    <t>001340</t>
  </si>
  <si>
    <t>035150</t>
  </si>
  <si>
    <t>002760</t>
  </si>
  <si>
    <t>272550</t>
  </si>
  <si>
    <t>003720</t>
  </si>
  <si>
    <t>000390</t>
  </si>
  <si>
    <t>008490</t>
  </si>
  <si>
    <t>003080</t>
  </si>
  <si>
    <t>004430</t>
  </si>
  <si>
    <t>090430</t>
  </si>
  <si>
    <t>090435</t>
  </si>
  <si>
    <t>018250</t>
  </si>
  <si>
    <t>161000</t>
  </si>
  <si>
    <t>078520</t>
  </si>
  <si>
    <t>014440</t>
  </si>
  <si>
    <t>014830</t>
  </si>
  <si>
    <t>008730</t>
  </si>
  <si>
    <t>005950</t>
  </si>
  <si>
    <t>081000</t>
  </si>
  <si>
    <t>226320</t>
  </si>
  <si>
    <t>025620</t>
  </si>
  <si>
    <t>004910</t>
  </si>
  <si>
    <t>001550</t>
  </si>
  <si>
    <t>003780</t>
  </si>
  <si>
    <t>010640</t>
  </si>
  <si>
    <t>051630</t>
  </si>
  <si>
    <t>006380</t>
  </si>
  <si>
    <t>192820</t>
  </si>
  <si>
    <t>005070</t>
  </si>
  <si>
    <t>005420</t>
  </si>
  <si>
    <t>144620</t>
  </si>
  <si>
    <t>120110</t>
  </si>
  <si>
    <t>120115</t>
  </si>
  <si>
    <t>138490</t>
  </si>
  <si>
    <t>015890</t>
  </si>
  <si>
    <t>006890</t>
  </si>
  <si>
    <t>003240</t>
  </si>
  <si>
    <t>055490</t>
  </si>
  <si>
    <t>214420</t>
  </si>
  <si>
    <t>002960</t>
  </si>
  <si>
    <t>161890</t>
  </si>
  <si>
    <t>161390</t>
  </si>
  <si>
    <t>003350</t>
  </si>
  <si>
    <t>011500</t>
  </si>
  <si>
    <t>014680</t>
  </si>
  <si>
    <t>000880</t>
  </si>
  <si>
    <t>00088K</t>
  </si>
  <si>
    <t>000885</t>
  </si>
  <si>
    <t>009830</t>
  </si>
  <si>
    <t>009835</t>
  </si>
  <si>
    <t>006060</t>
  </si>
  <si>
    <t>004800</t>
  </si>
  <si>
    <t>093370</t>
  </si>
  <si>
    <t>079980</t>
  </si>
  <si>
    <t>069260</t>
  </si>
  <si>
    <t>화학</t>
    <phoneticPr fontId="1" type="noConversion"/>
  </si>
  <si>
    <t>종이.목재</t>
    <phoneticPr fontId="1" type="noConversion"/>
  </si>
  <si>
    <t>004540</t>
  </si>
  <si>
    <t>004545</t>
  </si>
  <si>
    <t>014160</t>
  </si>
  <si>
    <t>012690</t>
  </si>
  <si>
    <t>009580</t>
  </si>
  <si>
    <t>009200</t>
  </si>
  <si>
    <t>009770</t>
  </si>
  <si>
    <t>002820</t>
  </si>
  <si>
    <t>027970</t>
  </si>
  <si>
    <t>002200</t>
  </si>
  <si>
    <t>016590</t>
  </si>
  <si>
    <t>002870</t>
  </si>
  <si>
    <t>002310</t>
  </si>
  <si>
    <t>006740</t>
  </si>
  <si>
    <t>008250</t>
  </si>
  <si>
    <t>109070</t>
  </si>
  <si>
    <t>011280</t>
  </si>
  <si>
    <t>001020</t>
  </si>
  <si>
    <t>002300</t>
  </si>
  <si>
    <t>213500</t>
  </si>
  <si>
    <t>025750</t>
  </si>
  <si>
    <t>009460</t>
  </si>
  <si>
    <t>234080</t>
  </si>
  <si>
    <t>001060</t>
  </si>
  <si>
    <t>001067</t>
  </si>
  <si>
    <t>001065</t>
  </si>
  <si>
    <t>214390</t>
  </si>
  <si>
    <t>009290</t>
  </si>
  <si>
    <t>002720</t>
  </si>
  <si>
    <t>006280</t>
  </si>
  <si>
    <t>069620</t>
  </si>
  <si>
    <t>003220</t>
  </si>
  <si>
    <t>002210</t>
  </si>
  <si>
    <t>170900</t>
  </si>
  <si>
    <t>000020</t>
  </si>
  <si>
    <t>017180</t>
  </si>
  <si>
    <t>003850</t>
  </si>
  <si>
    <t>003000</t>
  </si>
  <si>
    <t>207940</t>
  </si>
  <si>
    <t>001360</t>
  </si>
  <si>
    <t>000520</t>
  </si>
  <si>
    <t>005500</t>
  </si>
  <si>
    <t>068270</t>
  </si>
  <si>
    <t>019170</t>
  </si>
  <si>
    <t>019175</t>
  </si>
  <si>
    <t>002250</t>
  </si>
  <si>
    <t>003060</t>
  </si>
  <si>
    <t>003520</t>
  </si>
  <si>
    <t>002630</t>
  </si>
  <si>
    <t>004720</t>
  </si>
  <si>
    <t>033270</t>
  </si>
  <si>
    <t>000220</t>
  </si>
  <si>
    <t>000225</t>
  </si>
  <si>
    <t>000227</t>
  </si>
  <si>
    <t>000100</t>
  </si>
  <si>
    <t>000105</t>
  </si>
  <si>
    <t>102460</t>
  </si>
  <si>
    <t>249420</t>
  </si>
  <si>
    <t>003120</t>
  </si>
  <si>
    <t>007570</t>
  </si>
  <si>
    <t>007575</t>
  </si>
  <si>
    <t>271980</t>
  </si>
  <si>
    <t>185750</t>
  </si>
  <si>
    <t>063160</t>
  </si>
  <si>
    <t>011000</t>
  </si>
  <si>
    <t>005690</t>
  </si>
  <si>
    <t>002390</t>
  </si>
  <si>
    <t>128940</t>
  </si>
  <si>
    <t>009420</t>
  </si>
  <si>
    <t>004310</t>
  </si>
  <si>
    <t>016580</t>
  </si>
  <si>
    <t>의약품</t>
    <phoneticPr fontId="1" type="noConversion"/>
  </si>
  <si>
    <t>008870</t>
  </si>
  <si>
    <t>005750</t>
  </si>
  <si>
    <t>004440</t>
  </si>
  <si>
    <t>001520</t>
  </si>
  <si>
    <t>001527</t>
  </si>
  <si>
    <t>001529</t>
  </si>
  <si>
    <t>001525</t>
  </si>
  <si>
    <t>014580</t>
  </si>
  <si>
    <t>007210</t>
  </si>
  <si>
    <t>011390</t>
  </si>
  <si>
    <t>005090</t>
  </si>
  <si>
    <t>004980</t>
  </si>
  <si>
    <t>004987</t>
  </si>
  <si>
    <t>004989</t>
  </si>
  <si>
    <t>004985</t>
  </si>
  <si>
    <t>003410</t>
  </si>
  <si>
    <t>003415</t>
  </si>
  <si>
    <t>183190</t>
  </si>
  <si>
    <t>010780</t>
  </si>
  <si>
    <t>000910</t>
  </si>
  <si>
    <t>047400</t>
  </si>
  <si>
    <t>001560</t>
  </si>
  <si>
    <t>000480</t>
  </si>
  <si>
    <t>152330</t>
  </si>
  <si>
    <t>010040</t>
  </si>
  <si>
    <t>004090</t>
  </si>
  <si>
    <t>002000</t>
  </si>
  <si>
    <t>002005</t>
  </si>
  <si>
    <t>003300</t>
  </si>
  <si>
    <t>006390</t>
  </si>
  <si>
    <t>비금속광물</t>
    <phoneticPr fontId="1" type="noConversion"/>
  </si>
  <si>
    <t>155660</t>
  </si>
  <si>
    <t>069730</t>
  </si>
  <si>
    <t>008260</t>
  </si>
  <si>
    <t>005490</t>
  </si>
  <si>
    <t>002710</t>
  </si>
  <si>
    <t>010130</t>
  </si>
  <si>
    <t>002240</t>
  </si>
  <si>
    <t>014280</t>
  </si>
  <si>
    <t>014285</t>
  </si>
  <si>
    <t>008350</t>
  </si>
  <si>
    <t>008355</t>
  </si>
  <si>
    <t>009190</t>
  </si>
  <si>
    <t>012800</t>
  </si>
  <si>
    <t>084010</t>
  </si>
  <si>
    <t>069460</t>
  </si>
  <si>
    <t>001230</t>
  </si>
  <si>
    <t>016380</t>
  </si>
  <si>
    <t>016385</t>
  </si>
  <si>
    <t>008970</t>
  </si>
  <si>
    <t>004890</t>
  </si>
  <si>
    <t>002690</t>
  </si>
  <si>
    <t>024090</t>
  </si>
  <si>
    <t>001080</t>
  </si>
  <si>
    <t>008420</t>
  </si>
  <si>
    <t>026940</t>
  </si>
  <si>
    <t>006110</t>
  </si>
  <si>
    <t>021050</t>
  </si>
  <si>
    <t>001430</t>
  </si>
  <si>
    <t>003030</t>
  </si>
  <si>
    <t>019440</t>
  </si>
  <si>
    <t>001770</t>
  </si>
  <si>
    <t>001780</t>
  </si>
  <si>
    <t>000670</t>
  </si>
  <si>
    <t>012160</t>
  </si>
  <si>
    <t>025820</t>
  </si>
  <si>
    <t>018470</t>
  </si>
  <si>
    <t>058430</t>
  </si>
  <si>
    <t>103140</t>
  </si>
  <si>
    <t>071090</t>
  </si>
  <si>
    <t>000970</t>
  </si>
  <si>
    <t>104700</t>
  </si>
  <si>
    <t>007280</t>
  </si>
  <si>
    <t>002220</t>
  </si>
  <si>
    <t>004560</t>
  </si>
  <si>
    <t>004565</t>
  </si>
  <si>
    <t>004020</t>
  </si>
  <si>
    <t>133820</t>
  </si>
  <si>
    <t>032560</t>
  </si>
  <si>
    <t>005010</t>
  </si>
  <si>
    <t>철강.금속</t>
    <phoneticPr fontId="1" type="noConversion"/>
  </si>
  <si>
    <t>119650</t>
  </si>
  <si>
    <t>079550</t>
  </si>
  <si>
    <t>100840</t>
  </si>
  <si>
    <t>009160</t>
  </si>
  <si>
    <t>077970</t>
  </si>
  <si>
    <t>071970</t>
  </si>
  <si>
    <t>012200</t>
  </si>
  <si>
    <t>012205</t>
  </si>
  <si>
    <t>092440</t>
  </si>
  <si>
    <t>074610</t>
  </si>
  <si>
    <t>058730</t>
  </si>
  <si>
    <t>000490</t>
  </si>
  <si>
    <t>006570</t>
  </si>
  <si>
    <t>002900</t>
  </si>
  <si>
    <t>082740</t>
  </si>
  <si>
    <t>042670</t>
  </si>
  <si>
    <t>034020</t>
  </si>
  <si>
    <t>210540</t>
  </si>
  <si>
    <t>004380</t>
  </si>
  <si>
    <t>004450</t>
  </si>
  <si>
    <t>091090</t>
  </si>
  <si>
    <t>145210</t>
  </si>
  <si>
    <t>017550</t>
  </si>
  <si>
    <t>112610</t>
  </si>
  <si>
    <t>007460</t>
  </si>
  <si>
    <t>085310</t>
  </si>
  <si>
    <t>017370</t>
  </si>
  <si>
    <t>049800</t>
  </si>
  <si>
    <t>120030</t>
  </si>
  <si>
    <t>009310</t>
  </si>
  <si>
    <t>012600</t>
  </si>
  <si>
    <t>015590</t>
  </si>
  <si>
    <t>010820</t>
  </si>
  <si>
    <t>025890</t>
  </si>
  <si>
    <t>017960</t>
  </si>
  <si>
    <t>042700</t>
  </si>
  <si>
    <t>011700</t>
  </si>
  <si>
    <t>018880</t>
  </si>
  <si>
    <t>267270</t>
  </si>
  <si>
    <t>017800</t>
  </si>
  <si>
    <t>010660</t>
  </si>
  <si>
    <t>000850</t>
  </si>
  <si>
    <t>기계</t>
    <phoneticPr fontId="1" type="noConversion"/>
  </si>
  <si>
    <t>전기.전자</t>
    <phoneticPr fontId="1" type="noConversion"/>
  </si>
  <si>
    <t>000990</t>
  </si>
  <si>
    <t>000995</t>
  </si>
  <si>
    <t>092220</t>
  </si>
  <si>
    <t>034220</t>
  </si>
  <si>
    <t>011070</t>
  </si>
  <si>
    <t>066570</t>
  </si>
  <si>
    <t>066575</t>
  </si>
  <si>
    <t>010120</t>
  </si>
  <si>
    <t>000660</t>
  </si>
  <si>
    <t>000500</t>
  </si>
  <si>
    <t>009450</t>
  </si>
  <si>
    <t>009140</t>
  </si>
  <si>
    <t>017040</t>
  </si>
  <si>
    <t>017900</t>
  </si>
  <si>
    <t>001210</t>
  </si>
  <si>
    <t>004130</t>
  </si>
  <si>
    <t>004135</t>
  </si>
  <si>
    <t>008060</t>
  </si>
  <si>
    <t>008110</t>
  </si>
  <si>
    <t>006340</t>
  </si>
  <si>
    <t>006345</t>
  </si>
  <si>
    <t>000300</t>
  </si>
  <si>
    <t>001440</t>
  </si>
  <si>
    <t>007340</t>
  </si>
  <si>
    <t>026890</t>
  </si>
  <si>
    <t>006400</t>
  </si>
  <si>
    <t>006405</t>
  </si>
  <si>
    <t>009150</t>
  </si>
  <si>
    <t>009155</t>
  </si>
  <si>
    <t>005930</t>
  </si>
  <si>
    <t>005935</t>
  </si>
  <si>
    <t>005680</t>
  </si>
  <si>
    <t>009470</t>
  </si>
  <si>
    <t>011230</t>
  </si>
  <si>
    <t>001820</t>
  </si>
  <si>
    <t>007610</t>
  </si>
  <si>
    <t>014910</t>
  </si>
  <si>
    <t>014915</t>
  </si>
  <si>
    <t>004490</t>
  </si>
  <si>
    <t>029530</t>
  </si>
  <si>
    <t>011930</t>
  </si>
  <si>
    <t>004770</t>
  </si>
  <si>
    <t>008700</t>
  </si>
  <si>
    <t>015260</t>
  </si>
  <si>
    <t>103130</t>
  </si>
  <si>
    <t>011690</t>
  </si>
  <si>
    <t>007660</t>
  </si>
  <si>
    <t>020760</t>
  </si>
  <si>
    <t>020150</t>
  </si>
  <si>
    <t>103590</t>
  </si>
  <si>
    <t>033240</t>
  </si>
  <si>
    <t>044380</t>
  </si>
  <si>
    <t>007815</t>
  </si>
  <si>
    <t>007810</t>
  </si>
  <si>
    <t>00781K</t>
  </si>
  <si>
    <t>192400</t>
  </si>
  <si>
    <t>019180</t>
  </si>
  <si>
    <t>004870</t>
  </si>
  <si>
    <t>007630</t>
  </si>
  <si>
    <t>033180</t>
  </si>
  <si>
    <t>019490</t>
  </si>
  <si>
    <t>025540</t>
  </si>
  <si>
    <t>004710</t>
  </si>
  <si>
    <t>195870</t>
  </si>
  <si>
    <t>267260</t>
  </si>
  <si>
    <t>005870</t>
  </si>
  <si>
    <t>의료정밀</t>
    <phoneticPr fontId="1" type="noConversion"/>
  </si>
  <si>
    <t>145720</t>
  </si>
  <si>
    <t>003160</t>
  </si>
  <si>
    <t>025560</t>
  </si>
  <si>
    <t>105840</t>
  </si>
  <si>
    <t>029460</t>
  </si>
  <si>
    <t>281820</t>
  </si>
  <si>
    <t>운수.장비</t>
    <phoneticPr fontId="1" type="noConversion"/>
  </si>
  <si>
    <t>000040</t>
  </si>
  <si>
    <t>064960</t>
  </si>
  <si>
    <t>003570</t>
  </si>
  <si>
    <t>001380</t>
  </si>
  <si>
    <t>123700</t>
  </si>
  <si>
    <t>214330</t>
  </si>
  <si>
    <t>000270</t>
  </si>
  <si>
    <t>009320</t>
  </si>
  <si>
    <t>042660</t>
  </si>
  <si>
    <t>000430</t>
  </si>
  <si>
    <t>002880</t>
  </si>
  <si>
    <t>015230</t>
  </si>
  <si>
    <t>024900</t>
  </si>
  <si>
    <t>001620</t>
  </si>
  <si>
    <t>092780</t>
  </si>
  <si>
    <t>018500</t>
  </si>
  <si>
    <t>016740</t>
  </si>
  <si>
    <t>092200</t>
  </si>
  <si>
    <t>204320</t>
  </si>
  <si>
    <t>009680</t>
  </si>
  <si>
    <t>005030</t>
  </si>
  <si>
    <t>006660</t>
  </si>
  <si>
    <t>010140</t>
  </si>
  <si>
    <t>010145</t>
  </si>
  <si>
    <t>023000</t>
  </si>
  <si>
    <t>041650</t>
  </si>
  <si>
    <t>075180</t>
  </si>
  <si>
    <t>200880</t>
  </si>
  <si>
    <t>021820</t>
  </si>
  <si>
    <t>033530</t>
  </si>
  <si>
    <t>075580</t>
  </si>
  <si>
    <t>003620</t>
  </si>
  <si>
    <t>005850</t>
  </si>
  <si>
    <t>012280</t>
  </si>
  <si>
    <t>002920</t>
  </si>
  <si>
    <t>023800</t>
  </si>
  <si>
    <t>023810</t>
  </si>
  <si>
    <t>013870</t>
  </si>
  <si>
    <t>010580</t>
  </si>
  <si>
    <t>033250</t>
  </si>
  <si>
    <t>004100</t>
  </si>
  <si>
    <t>004105</t>
  </si>
  <si>
    <t>001420</t>
  </si>
  <si>
    <t>090080</t>
  </si>
  <si>
    <t>010100</t>
  </si>
  <si>
    <t>047810</t>
  </si>
  <si>
    <t>012450</t>
  </si>
  <si>
    <t>143210</t>
  </si>
  <si>
    <t>064350</t>
  </si>
  <si>
    <t>012330</t>
  </si>
  <si>
    <t>010620</t>
  </si>
  <si>
    <t>011210</t>
  </si>
  <si>
    <t>009540</t>
  </si>
  <si>
    <t>005380</t>
  </si>
  <si>
    <t>005387</t>
  </si>
  <si>
    <t>005389</t>
  </si>
  <si>
    <t>005385</t>
  </si>
  <si>
    <t>013520</t>
  </si>
  <si>
    <t>010690</t>
  </si>
  <si>
    <t>유통업</t>
    <phoneticPr fontId="1" type="noConversion"/>
  </si>
  <si>
    <t>027410</t>
  </si>
  <si>
    <t>282330</t>
  </si>
  <si>
    <t>017940</t>
  </si>
  <si>
    <t>001250</t>
  </si>
  <si>
    <t>007070</t>
  </si>
  <si>
    <t>001120</t>
  </si>
  <si>
    <t>000680</t>
  </si>
  <si>
    <t>004060</t>
  </si>
  <si>
    <t>018670</t>
  </si>
  <si>
    <t>001740</t>
  </si>
  <si>
    <t>001745</t>
  </si>
  <si>
    <t>011810</t>
  </si>
  <si>
    <t>037710</t>
  </si>
  <si>
    <t>005320</t>
  </si>
  <si>
    <t>004270</t>
  </si>
  <si>
    <t>006370</t>
  </si>
  <si>
    <t>128820</t>
  </si>
  <si>
    <t>026960</t>
  </si>
  <si>
    <t>023530</t>
  </si>
  <si>
    <t>071840</t>
  </si>
  <si>
    <t>005360</t>
  </si>
  <si>
    <t>028260</t>
  </si>
  <si>
    <t>02826K</t>
  </si>
  <si>
    <t>002810</t>
  </si>
  <si>
    <t>013000</t>
  </si>
  <si>
    <t>067830</t>
  </si>
  <si>
    <t>005390</t>
  </si>
  <si>
    <t>004170</t>
  </si>
  <si>
    <t>031430</t>
  </si>
  <si>
    <t>002700</t>
  </si>
  <si>
    <t>004080</t>
  </si>
  <si>
    <t>122900</t>
  </si>
  <si>
    <t>101140</t>
  </si>
  <si>
    <t>138250</t>
  </si>
  <si>
    <t>009810</t>
  </si>
  <si>
    <t>111770</t>
  </si>
  <si>
    <t>118000</t>
  </si>
  <si>
    <t>010600</t>
  </si>
  <si>
    <t>008600</t>
  </si>
  <si>
    <t>077500</t>
  </si>
  <si>
    <t>139480</t>
  </si>
  <si>
    <t>093230</t>
  </si>
  <si>
    <t>000760</t>
  </si>
  <si>
    <t>007110</t>
  </si>
  <si>
    <t>088790</t>
  </si>
  <si>
    <t>012170</t>
  </si>
  <si>
    <t>047050</t>
  </si>
  <si>
    <t>123690</t>
  </si>
  <si>
    <t>009240</t>
  </si>
  <si>
    <t>069640</t>
  </si>
  <si>
    <t>010420</t>
  </si>
  <si>
    <t>005110</t>
  </si>
  <si>
    <t>027390</t>
  </si>
  <si>
    <t>005440</t>
  </si>
  <si>
    <t>069960</t>
  </si>
  <si>
    <t>011760</t>
  </si>
  <si>
    <t>227840</t>
  </si>
  <si>
    <t>057050</t>
  </si>
  <si>
    <t>003010</t>
  </si>
  <si>
    <t>008770</t>
  </si>
  <si>
    <t>008775</t>
  </si>
  <si>
    <t>081660</t>
  </si>
  <si>
    <t>267290</t>
  </si>
  <si>
    <t>117580</t>
  </si>
  <si>
    <t>015350</t>
  </si>
  <si>
    <t>004690</t>
  </si>
  <si>
    <t>017390</t>
  </si>
  <si>
    <t>015360</t>
  </si>
  <si>
    <t>034590</t>
  </si>
  <si>
    <t>071320</t>
  </si>
  <si>
    <t>036460</t>
  </si>
  <si>
    <t>015760</t>
  </si>
  <si>
    <t>건설업</t>
    <phoneticPr fontId="1" type="noConversion"/>
  </si>
  <si>
    <t>전기.가스업</t>
    <phoneticPr fontId="1" type="noConversion"/>
  </si>
  <si>
    <t>006360</t>
  </si>
  <si>
    <t>039570</t>
  </si>
  <si>
    <t>013580</t>
  </si>
  <si>
    <t>004200</t>
  </si>
  <si>
    <t>002990</t>
  </si>
  <si>
    <t>002995</t>
  </si>
  <si>
    <t>013700</t>
  </si>
  <si>
    <t>001260</t>
  </si>
  <si>
    <t>000210</t>
  </si>
  <si>
    <t>000215</t>
  </si>
  <si>
    <t>047040</t>
  </si>
  <si>
    <t>005960</t>
  </si>
  <si>
    <t>005965</t>
  </si>
  <si>
    <t>028100</t>
  </si>
  <si>
    <t>011160</t>
  </si>
  <si>
    <t>002410</t>
  </si>
  <si>
    <t>001470</t>
  </si>
  <si>
    <t>001880</t>
  </si>
  <si>
    <t>010960</t>
  </si>
  <si>
    <t>005980</t>
  </si>
  <si>
    <t>034300</t>
  </si>
  <si>
    <t>005450</t>
  </si>
  <si>
    <t>023960</t>
  </si>
  <si>
    <t>013360</t>
  </si>
  <si>
    <t>002780</t>
  </si>
  <si>
    <t>002787</t>
  </si>
  <si>
    <t>002785</t>
  </si>
  <si>
    <t>003070</t>
  </si>
  <si>
    <t>003075</t>
  </si>
  <si>
    <t>009410</t>
  </si>
  <si>
    <t>009415</t>
  </si>
  <si>
    <t>014790</t>
  </si>
  <si>
    <t>004960</t>
  </si>
  <si>
    <t>051600</t>
  </si>
  <si>
    <t>097230</t>
  </si>
  <si>
    <t>000720</t>
  </si>
  <si>
    <t>000725</t>
  </si>
  <si>
    <t>012630</t>
  </si>
  <si>
    <t>002460</t>
  </si>
  <si>
    <t>운수.창고</t>
    <phoneticPr fontId="1" type="noConversion"/>
  </si>
  <si>
    <t>000120</t>
  </si>
  <si>
    <t>009070</t>
  </si>
  <si>
    <t>044450</t>
  </si>
  <si>
    <t>001140</t>
  </si>
  <si>
    <t>003490</t>
  </si>
  <si>
    <t>003495</t>
  </si>
  <si>
    <t>005880</t>
  </si>
  <si>
    <t>004140</t>
  </si>
  <si>
    <t>084670</t>
  </si>
  <si>
    <t>004360</t>
  </si>
  <si>
    <t>004365</t>
  </si>
  <si>
    <t>020560</t>
  </si>
  <si>
    <t>129260</t>
  </si>
  <si>
    <t>089590</t>
  </si>
  <si>
    <t>272450</t>
  </si>
  <si>
    <t>000650</t>
  </si>
  <si>
    <t>028670</t>
  </si>
  <si>
    <t>005430</t>
  </si>
  <si>
    <t>009180</t>
  </si>
  <si>
    <t>014130</t>
  </si>
  <si>
    <t>002320</t>
  </si>
  <si>
    <t>086280</t>
  </si>
  <si>
    <t>011200</t>
  </si>
  <si>
    <t>003280</t>
  </si>
  <si>
    <t>통신업</t>
    <phoneticPr fontId="1" type="noConversion"/>
  </si>
  <si>
    <t>030200</t>
  </si>
  <si>
    <t>032640</t>
  </si>
  <si>
    <t>017670</t>
  </si>
  <si>
    <t>006490</t>
  </si>
  <si>
    <t>금융업</t>
    <phoneticPr fontId="1" type="noConversion"/>
  </si>
  <si>
    <t>006840</t>
  </si>
  <si>
    <t>138930</t>
  </si>
  <si>
    <t>001040</t>
  </si>
  <si>
    <t>001045</t>
  </si>
  <si>
    <t>000590</t>
  </si>
  <si>
    <t>016610</t>
  </si>
  <si>
    <t>005830</t>
  </si>
  <si>
    <t>139130</t>
  </si>
  <si>
    <t>004840</t>
  </si>
  <si>
    <t>078930</t>
  </si>
  <si>
    <t>078935</t>
  </si>
  <si>
    <t>175330</t>
  </si>
  <si>
    <t>096760</t>
  </si>
  <si>
    <t>105560</t>
  </si>
  <si>
    <t>009440</t>
  </si>
  <si>
    <t>001940</t>
  </si>
  <si>
    <t>092230</t>
  </si>
  <si>
    <t>030210</t>
  </si>
  <si>
    <t>003550</t>
  </si>
  <si>
    <t>003555</t>
  </si>
  <si>
    <t>006260</t>
  </si>
  <si>
    <t>229640</t>
  </si>
  <si>
    <t>005940</t>
  </si>
  <si>
    <t>005945</t>
  </si>
  <si>
    <t>036530</t>
  </si>
  <si>
    <t>101060</t>
  </si>
  <si>
    <t>025530</t>
  </si>
  <si>
    <t>034730</t>
  </si>
  <si>
    <t>006120</t>
  </si>
  <si>
    <t>006125</t>
  </si>
  <si>
    <t>03473K</t>
  </si>
  <si>
    <t>096770</t>
  </si>
  <si>
    <t>096775</t>
  </si>
  <si>
    <t>001510</t>
  </si>
  <si>
    <t>001515</t>
  </si>
  <si>
    <t>012320</t>
  </si>
  <si>
    <t>001290</t>
  </si>
  <si>
    <t>192530</t>
  </si>
  <si>
    <t>030610</t>
  </si>
  <si>
    <t>024110</t>
  </si>
  <si>
    <t>005720</t>
  </si>
  <si>
    <t>005725</t>
  </si>
  <si>
    <t>000320</t>
  </si>
  <si>
    <t>000325</t>
  </si>
  <si>
    <t>072710</t>
  </si>
  <si>
    <t>084690</t>
  </si>
  <si>
    <t>084695</t>
  </si>
  <si>
    <t>003540</t>
  </si>
  <si>
    <t>003547</t>
  </si>
  <si>
    <t>003545</t>
  </si>
  <si>
    <t>003090</t>
  </si>
  <si>
    <t>000640</t>
  </si>
  <si>
    <t>082640</t>
  </si>
  <si>
    <t>241560</t>
  </si>
  <si>
    <t>013570</t>
  </si>
  <si>
    <t>000400</t>
  </si>
  <si>
    <t>004990</t>
  </si>
  <si>
    <t>00499K</t>
  </si>
  <si>
    <t>088980</t>
  </si>
  <si>
    <t>138040</t>
  </si>
  <si>
    <t>008560</t>
  </si>
  <si>
    <t>000060</t>
  </si>
  <si>
    <t>006800</t>
  </si>
  <si>
    <t>00680K</t>
  </si>
  <si>
    <t>006805</t>
  </si>
  <si>
    <t>085620</t>
  </si>
  <si>
    <t>107590</t>
  </si>
  <si>
    <t>001270</t>
  </si>
  <si>
    <t>001275</t>
  </si>
  <si>
    <t>032830</t>
  </si>
  <si>
    <t>016360</t>
  </si>
  <si>
    <t>029780</t>
  </si>
  <si>
    <t>000810</t>
  </si>
  <si>
    <t>000815</t>
  </si>
  <si>
    <t>000070</t>
  </si>
  <si>
    <t>000075</t>
  </si>
  <si>
    <t>007540</t>
  </si>
  <si>
    <t>007860</t>
  </si>
  <si>
    <t>058650</t>
  </si>
  <si>
    <t>006880</t>
  </si>
  <si>
    <t>001720</t>
  </si>
  <si>
    <t>001725</t>
  </si>
  <si>
    <t>055550</t>
  </si>
  <si>
    <t>002790</t>
  </si>
  <si>
    <t>002795</t>
  </si>
  <si>
    <t>079440</t>
  </si>
  <si>
    <t>033660</t>
  </si>
  <si>
    <t>009970</t>
  </si>
  <si>
    <t>001800</t>
  </si>
  <si>
    <t>000030</t>
  </si>
  <si>
    <t>010050</t>
  </si>
  <si>
    <t>016880</t>
  </si>
  <si>
    <t>003470</t>
  </si>
  <si>
    <t>003475</t>
  </si>
  <si>
    <t>001200</t>
  </si>
  <si>
    <t>003460</t>
  </si>
  <si>
    <t>003465</t>
  </si>
  <si>
    <t>000230</t>
  </si>
  <si>
    <t>015860</t>
  </si>
  <si>
    <t>006220</t>
  </si>
  <si>
    <t>001630</t>
  </si>
  <si>
    <t>100250</t>
  </si>
  <si>
    <t>003690</t>
  </si>
  <si>
    <t>044820</t>
  </si>
  <si>
    <t>002020</t>
  </si>
  <si>
    <t>002025</t>
  </si>
  <si>
    <t>005740</t>
  </si>
  <si>
    <t>005745</t>
  </si>
  <si>
    <t>039490</t>
  </si>
  <si>
    <t>010770</t>
  </si>
  <si>
    <t>017810</t>
  </si>
  <si>
    <t>005810</t>
  </si>
  <si>
    <t>086790</t>
  </si>
  <si>
    <t>000140</t>
  </si>
  <si>
    <t>000145</t>
  </si>
  <si>
    <t>071050</t>
  </si>
  <si>
    <t>071055</t>
  </si>
  <si>
    <t>123890</t>
  </si>
  <si>
    <t>006200</t>
  </si>
  <si>
    <t>024720</t>
  </si>
  <si>
    <t>000240</t>
  </si>
  <si>
    <t>034830</t>
  </si>
  <si>
    <t>060980</t>
  </si>
  <si>
    <t>008930</t>
  </si>
  <si>
    <t>016450</t>
  </si>
  <si>
    <t>004150</t>
  </si>
  <si>
    <t>001750</t>
  </si>
  <si>
    <t>001755</t>
  </si>
  <si>
    <t>003480</t>
  </si>
  <si>
    <t>180640</t>
  </si>
  <si>
    <t>18064K</t>
  </si>
  <si>
    <t>088350</t>
  </si>
  <si>
    <t>000370</t>
  </si>
  <si>
    <t>003530</t>
  </si>
  <si>
    <t>003535</t>
  </si>
  <si>
    <t>267250</t>
  </si>
  <si>
    <t>001500</t>
  </si>
  <si>
    <t>001450</t>
  </si>
  <si>
    <t>241590</t>
  </si>
  <si>
    <t>000540</t>
  </si>
  <si>
    <t>000547</t>
  </si>
  <si>
    <t>000545</t>
  </si>
  <si>
    <t>은행</t>
    <phoneticPr fontId="1" type="noConversion"/>
  </si>
  <si>
    <t>증권</t>
    <phoneticPr fontId="1" type="noConversion"/>
  </si>
  <si>
    <t>보험</t>
    <phoneticPr fontId="1" type="noConversion"/>
  </si>
  <si>
    <t>서비스업</t>
    <phoneticPr fontId="1" type="noConversion"/>
  </si>
  <si>
    <t>095570</t>
  </si>
  <si>
    <t>068400</t>
  </si>
  <si>
    <t>079160</t>
  </si>
  <si>
    <t>037560</t>
  </si>
  <si>
    <t>012030</t>
  </si>
  <si>
    <t>114090</t>
  </si>
  <si>
    <t>003560</t>
  </si>
  <si>
    <t>058850</t>
  </si>
  <si>
    <t>035420</t>
  </si>
  <si>
    <t>181710</t>
  </si>
  <si>
    <t>034310</t>
  </si>
  <si>
    <t>034120</t>
  </si>
  <si>
    <t>210980</t>
  </si>
  <si>
    <t>035250</t>
  </si>
  <si>
    <t>011420</t>
  </si>
  <si>
    <t>251270</t>
  </si>
  <si>
    <t>005250</t>
  </si>
  <si>
    <t>005257</t>
  </si>
  <si>
    <t>023590</t>
  </si>
  <si>
    <t>019680</t>
  </si>
  <si>
    <t>019685</t>
  </si>
  <si>
    <t>016710</t>
  </si>
  <si>
    <t>012510</t>
  </si>
  <si>
    <t>002150</t>
  </si>
  <si>
    <t>083370</t>
  </si>
  <si>
    <t>083380</t>
  </si>
  <si>
    <t>102260</t>
  </si>
  <si>
    <t>030790</t>
  </si>
  <si>
    <t>000150</t>
  </si>
  <si>
    <t>000157</t>
  </si>
  <si>
    <t>000155</t>
  </si>
  <si>
    <t>032350</t>
  </si>
  <si>
    <t>015540</t>
  </si>
  <si>
    <t>204210</t>
  </si>
  <si>
    <t>007120</t>
  </si>
  <si>
    <t>155900</t>
  </si>
  <si>
    <t>100220</t>
  </si>
  <si>
    <t>018260</t>
  </si>
  <si>
    <t>028050</t>
  </si>
  <si>
    <t>068290</t>
  </si>
  <si>
    <t>000180</t>
  </si>
  <si>
    <t>002420</t>
  </si>
  <si>
    <t>053210</t>
  </si>
  <si>
    <t>035510</t>
  </si>
  <si>
    <t>031440</t>
  </si>
  <si>
    <t>002030</t>
  </si>
  <si>
    <t>012750</t>
  </si>
  <si>
    <t>140910</t>
  </si>
  <si>
    <t>036570</t>
  </si>
  <si>
    <t>070960</t>
  </si>
  <si>
    <t>095720</t>
  </si>
  <si>
    <t>000700</t>
  </si>
  <si>
    <t>072130</t>
  </si>
  <si>
    <t>214320</t>
  </si>
  <si>
    <t>015020</t>
  </si>
  <si>
    <t>084680</t>
  </si>
  <si>
    <t>030000</t>
  </si>
  <si>
    <t>002620</t>
  </si>
  <si>
    <t>035000</t>
  </si>
  <si>
    <t>035720</t>
  </si>
  <si>
    <t>145270</t>
  </si>
  <si>
    <t>058860</t>
  </si>
  <si>
    <t>021240</t>
  </si>
  <si>
    <t>031820</t>
  </si>
  <si>
    <t>284740</t>
  </si>
  <si>
    <t>020120</t>
  </si>
  <si>
    <t>078000</t>
  </si>
  <si>
    <t>140890</t>
  </si>
  <si>
    <t>039130</t>
  </si>
  <si>
    <t>172580</t>
  </si>
  <si>
    <t>153360</t>
  </si>
  <si>
    <t>159650</t>
  </si>
  <si>
    <t>023350</t>
  </si>
  <si>
    <t>053690</t>
  </si>
  <si>
    <t>052690</t>
  </si>
  <si>
    <t>130660</t>
  </si>
  <si>
    <t>126560</t>
  </si>
  <si>
    <t>094280</t>
  </si>
  <si>
    <t>제조업</t>
    <phoneticPr fontId="1" type="noConversion"/>
  </si>
  <si>
    <t>033780</t>
  </si>
  <si>
    <t>037270</t>
  </si>
  <si>
    <t>002170</t>
  </si>
  <si>
    <t>002450</t>
  </si>
  <si>
    <t>134790</t>
  </si>
  <si>
    <t>004920</t>
  </si>
  <si>
    <t>011090</t>
  </si>
  <si>
    <t>011330</t>
  </si>
  <si>
    <t>194370</t>
  </si>
  <si>
    <t>004700</t>
  </si>
  <si>
    <t>071950</t>
  </si>
  <si>
    <t>016800</t>
  </si>
  <si>
    <t>079430</t>
  </si>
  <si>
    <t>음식료</t>
  </si>
  <si>
    <t>섬유.의복</t>
  </si>
  <si>
    <t>종이.목재</t>
  </si>
  <si>
    <t>화학</t>
  </si>
  <si>
    <t>의약품</t>
  </si>
  <si>
    <t>비금속광물</t>
  </si>
  <si>
    <t>철강.금속</t>
  </si>
  <si>
    <t>기계</t>
  </si>
  <si>
    <t>전기.전자</t>
  </si>
  <si>
    <t>의료정밀</t>
  </si>
  <si>
    <t>운수.장비</t>
  </si>
  <si>
    <t>유통업</t>
  </si>
  <si>
    <t>전기.가스업</t>
  </si>
  <si>
    <t>건설업</t>
  </si>
  <si>
    <t>운수.창고</t>
  </si>
  <si>
    <t>통신업</t>
  </si>
  <si>
    <t>금융업</t>
  </si>
  <si>
    <t>은행</t>
  </si>
  <si>
    <t>증권</t>
  </si>
  <si>
    <t>보험</t>
  </si>
  <si>
    <t>서비스업</t>
  </si>
  <si>
    <t>제조업</t>
  </si>
  <si>
    <t>016610</t>
    <phoneticPr fontId="1" type="noConversion"/>
  </si>
  <si>
    <t>업종 분류</t>
    <phoneticPr fontId="1" type="noConversion"/>
  </si>
  <si>
    <t>종목코드</t>
    <phoneticPr fontId="1" type="noConversion"/>
  </si>
  <si>
    <t>종목명</t>
    <phoneticPr fontId="1" type="noConversion"/>
  </si>
  <si>
    <t>등락률</t>
    <phoneticPr fontId="1" type="noConversion"/>
  </si>
  <si>
    <t>시가총액</t>
    <phoneticPr fontId="1" type="noConversion"/>
  </si>
  <si>
    <t>현재가</t>
    <phoneticPr fontId="1" type="noConversion"/>
  </si>
  <si>
    <t>전일대비</t>
    <phoneticPr fontId="1" type="noConversion"/>
  </si>
  <si>
    <t>합산</t>
    <phoneticPr fontId="1" type="noConversion"/>
  </si>
  <si>
    <t>합산 재무제표</t>
    <phoneticPr fontId="1" type="noConversion"/>
  </si>
  <si>
    <t>(단위:천원)</t>
    <phoneticPr fontId="1" type="noConversion"/>
  </si>
  <si>
    <t xml:space="preserve">조회기준일:  </t>
    <phoneticPr fontId="1" type="noConversion"/>
  </si>
  <si>
    <t xml:space="preserve">★종목코드를 변경하시면 종목명 및 데이터가 변경됩니다. </t>
    <phoneticPr fontId="1" type="noConversion"/>
  </si>
  <si>
    <t>021320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</si>
</sst>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_ "/>
    <numFmt numFmtId="177" formatCode="0_);[Red]\(0\)"/>
    <numFmt numFmtId="178" formatCode="#,##0_ "/>
    <numFmt numFmtId="179" formatCode="#,##0.00_ "/>
  </numFmts>
  <fonts count="16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i/>
      <sz val="16"/>
      <color theme="1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i/>
      <sz val="16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AE5F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2" fillId="2" borderId="0" xfId="0" applyNumberFormat="1" applyFont="1" applyFill="1">
      <alignment vertical="center"/>
    </xf>
    <xf numFmtId="0" fontId="3" fillId="0" borderId="0" xfId="0" applyFont="1">
      <alignment vertical="center"/>
    </xf>
    <xf numFmtId="49" fontId="0" fillId="2" borderId="0" xfId="0" applyNumberFormat="1" applyFill="1">
      <alignment vertical="center"/>
    </xf>
    <xf numFmtId="49" fontId="0" fillId="2" borderId="0" xfId="0" applyNumberFormat="1" applyFill="1">
      <alignment vertical="center"/>
    </xf>
    <xf numFmtId="49" fontId="0" fillId="2" borderId="0" xfId="0" applyNumberFormat="1" applyFill="1">
      <alignment vertical="center"/>
    </xf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3" fillId="2" borderId="0" xfId="0" applyNumberFormat="1" applyFont="1" applyFill="1">
      <alignment vertical="center"/>
    </xf>
    <xf numFmtId="176" fontId="0" fillId="0" borderId="0" xfId="0" applyNumberFormat="1">
      <alignment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4" borderId="1" xfId="0" quotePrefix="1" applyFont="1" applyFill="1" applyBorder="1" applyAlignment="1">
      <alignment horizontal="center" vertical="center"/>
    </xf>
    <xf numFmtId="0" fontId="5" fillId="0" borderId="0" xfId="0" applyFont="1" applyAlignment="1"/>
    <xf numFmtId="0" fontId="7" fillId="0" borderId="0" xfId="0" applyFont="1">
      <alignment vertical="center"/>
    </xf>
    <xf numFmtId="0" fontId="0" fillId="0" borderId="0" xfId="0">
      <alignment vertical="center"/>
    </xf>
    <xf numFmtId="0" fontId="6" fillId="0" borderId="0" xfId="0" applyFont="1">
      <alignment vertical="center"/>
    </xf>
    <xf numFmtId="0" fontId="0" fillId="5" borderId="1" xfId="0" applyFill="1" applyBorder="1">
      <alignment vertical="center"/>
    </xf>
    <xf numFmtId="0" fontId="9" fillId="7" borderId="1" xfId="0" applyFont="1" applyFill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49" fontId="10" fillId="0" borderId="0" xfId="0" applyNumberFormat="1" applyFont="1" applyFill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Fill="1">
      <alignment vertical="center"/>
    </xf>
    <xf numFmtId="0" fontId="4" fillId="6" borderId="0" xfId="0" applyFont="1" applyFill="1" applyAlignment="1">
      <alignment horizontal="center" vertical="center"/>
    </xf>
    <xf numFmtId="177" fontId="0" fillId="0" borderId="0" xfId="0" applyNumberFormat="1">
      <alignment vertical="center"/>
    </xf>
    <xf numFmtId="177" fontId="10" fillId="0" borderId="0" xfId="0" applyNumberFormat="1" applyFont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77" fontId="13" fillId="6" borderId="1" xfId="0" applyNumberFormat="1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5" fillId="0" borderId="0" xfId="0" applyFont="1" applyAlignment="1">
      <alignment horizontal="left" vertical="center"/>
    </xf>
    <xf numFmtId="0" fontId="0" fillId="0" borderId="0" xfId="0" quotePrefix="1">
      <alignment vertical="center"/>
    </xf>
    <xf numFmtId="0" fontId="3" fillId="0" borderId="0" xfId="0" applyFont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6" fontId="14" fillId="0" borderId="0" xfId="0" applyNumberFormat="1" applyFont="1" applyAlignment="1">
      <alignment horizontal="center"/>
    </xf>
    <xf numFmtId="178" fontId="9" fillId="0" borderId="1" xfId="0" applyNumberFormat="1" applyFont="1" applyFill="1" applyBorder="1">
      <alignment vertical="center"/>
    </xf>
    <xf numFmtId="179" fontId="9" fillId="0" borderId="1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1162907605</v>
        <stp/>
        <stp>P</stp>
        <stp>0</stp>
        <stp>STK</stp>
        <stp>192400</stp>
        <stp>자산</stp>
        <stp>45107</stp>
        <stp>Cons=연결</stp>
        <tr r="V8" s="1"/>
      </tp>
      <tp>
        <v>4063836</v>
        <stp/>
        <stp>P</stp>
        <stp>0</stp>
        <stp>STK</stp>
        <stp>192400</stp>
        <stp>기타포괄손익누계액</stp>
        <stp>45107</stp>
        <stp>Cons=연결</stp>
        <tr r="V27" s="1"/>
      </tp>
      <tp>
        <v>1275537582</v>
        <stp/>
        <stp>P</stp>
        <stp>0</stp>
        <stp>STK</stp>
        <stp>006400</stp>
        <stp>기타포괄손익누계액</stp>
        <stp>45107</stp>
        <stp>Cons=연결</stp>
        <tr r="O27" s="1"/>
      </tp>
      <tp>
        <v>16527478</v>
        <stp/>
        <stp>P</stp>
        <stp>0</stp>
        <stp>STK</stp>
        <stp>009450</stp>
        <stp>기타포괄손익누계액</stp>
        <stp>45107</stp>
        <stp>Cons=연결</stp>
        <tr r="Z27" s="1"/>
      </tp>
      <tp>
        <v>-94464000</v>
        <stp/>
        <stp>P</stp>
        <stp>0</stp>
        <stp>STK</stp>
        <stp>001440</stp>
        <stp>기타포괄손익누계액</stp>
        <stp>45107</stp>
        <stp>Cons=연결</stp>
        <tr r="W27" s="1"/>
      </tp>
      <tp>
        <v>32902818668</v>
        <stp/>
        <stp>P</stp>
        <stp>0</stp>
        <stp>STK</stp>
        <stp>006400</stp>
        <stp>자산</stp>
        <stp>45107</stp>
        <stp>Cons=연결</stp>
        <tr r="O8" s="1"/>
      </tp>
      <tp>
        <v>-197599000</v>
        <stp/>
        <stp>P</stp>
        <stp>0</stp>
        <stp>STK</stp>
        <stp>066570</stp>
        <stp>기타포괄손익누계액</stp>
        <stp>45107</stp>
        <stp>Cons=연결</stp>
        <tr r="P27" s="1"/>
      </tp>
      <tp>
        <v>448000552000</v>
        <stp/>
        <stp>P</stp>
        <stp>0</stp>
        <stp>STK</stp>
        <stp>005930</stp>
        <stp>자산</stp>
        <stp>45107</stp>
        <stp>Cons=연결</stp>
        <tr r="M8" s="1"/>
      </tp>
      <tp>
        <v>37371963000</v>
        <stp/>
        <stp>P</stp>
        <stp>0</stp>
        <stp>STK</stp>
        <stp>034220</stp>
        <stp>자산</stp>
        <stp>45107</stp>
        <stp>Cons=연결</stp>
        <tr r="R8" s="1"/>
      </tp>
      <tp>
        <v>3644990654</v>
        <stp/>
        <stp>P</stp>
        <stp>0</stp>
        <stp>STK</stp>
        <stp>010120</stp>
        <stp>자산</stp>
        <stp>45107</stp>
        <stp>Cons=연결</stp>
        <tr r="T8" s="1"/>
      </tp>
      <tp>
        <v>313339061</v>
        <stp/>
        <stp>P</stp>
        <stp>0</stp>
        <stp>STK</stp>
        <stp>001820</stp>
        <stp>자산</stp>
        <stp>45107</stp>
        <stp>Cons=연결</stp>
        <tr r="X8" s="1"/>
      </tp>
      <tp>
        <v>2426411418</v>
        <stp/>
        <stp>P</stp>
        <stp>0</stp>
        <stp>STK</stp>
        <stp>020150</stp>
        <stp>자산</stp>
        <stp>45107</stp>
        <stp>Cons=연결</stp>
        <tr r="U8" s="1"/>
      </tp>
      <tp>
        <v>11186625966</v>
        <stp/>
        <stp>P</stp>
        <stp>0</stp>
        <stp>STK</stp>
        <stp>009150</stp>
        <stp>자산</stp>
        <stp>45107</stp>
        <stp>Cons=연결</stp>
        <tr r="Q8" s="1"/>
      </tp>
      <tp>
        <v>1049811314</v>
        <stp/>
        <stp>P</stp>
        <stp>0</stp>
        <stp>STK</stp>
        <stp>009450</stp>
        <stp>자산</stp>
        <stp>45107</stp>
        <stp>Cons=연결</stp>
        <tr r="Z8" s="1"/>
      </tp>
      <tp>
        <v>72660888</v>
        <stp/>
        <stp>P</stp>
        <stp>0</stp>
        <stp>STK</stp>
        <stp>011070</stp>
        <stp>기타포괄손익누계액</stp>
        <stp>45107</stp>
        <stp>Cons=연결</stp>
        <tr r="S27" s="1"/>
      </tp>
      <tp>
        <v>1739290600</v>
        <stp/>
        <stp>P</stp>
        <stp>0</stp>
        <stp>STK</stp>
        <stp>001440</stp>
        <stp>자산</stp>
        <stp>45107</stp>
        <stp>Cons=연결</stp>
        <tr r="W8" s="1"/>
      </tp>
      <tp>
        <v>2922375337</v>
        <stp/>
        <stp>P</stp>
        <stp>0</stp>
        <stp>STK</stp>
        <stp>267260</stp>
        <stp>자산</stp>
        <stp>45107</stp>
        <stp>Cons=연결</stp>
        <tr r="AA8" s="1"/>
      </tp>
      <tp>
        <v>254551</v>
        <stp/>
        <stp>P</stp>
        <stp>0</stp>
        <stp>STK</stp>
        <stp>010120</stp>
        <stp>기타포괄손익누계액</stp>
        <stp>45107</stp>
        <stp>Cons=연결</stp>
        <tr r="T27" s="1"/>
      </tp>
      <tp>
        <v>661447130</v>
        <stp/>
        <stp>P</stp>
        <stp>0</stp>
        <stp>STK</stp>
        <stp>009150</stp>
        <stp>기타포괄손익누계액</stp>
        <stp>45107</stp>
        <stp>Cons=연결</stp>
        <tr r="Q27" s="1"/>
      </tp>
      <tp>
        <v>37080912</v>
        <stp/>
        <stp>P</stp>
        <stp>0</stp>
        <stp>STK</stp>
        <stp>020150</stp>
        <stp>기타포괄손익누계액</stp>
        <stp>45107</stp>
        <stp>Cons=연결</stp>
        <tr r="U27" s="1"/>
      </tp>
      <tp>
        <v>9473140375</v>
        <stp/>
        <stp>P</stp>
        <stp>0</stp>
        <stp>STK</stp>
        <stp>011070</stp>
        <stp>자산</stp>
        <stp>45107</stp>
        <stp>Cons=연결</stp>
        <tr r="S8" s="1"/>
      </tp>
      <tp>
        <v>58160448000</v>
        <stp/>
        <stp>P</stp>
        <stp>0</stp>
        <stp>STK</stp>
        <stp>066570</stp>
        <stp>자산</stp>
        <stp>45107</stp>
        <stp>Cons=연결</stp>
        <tr r="P8" s="1"/>
      </tp>
      <tp>
        <v>571710000</v>
        <stp/>
        <stp>P</stp>
        <stp>0</stp>
        <stp>STK</stp>
        <stp>034220</stp>
        <stp>기타포괄손익누계액</stp>
        <stp>45107</stp>
        <stp>Cons=연결</stp>
        <tr r="R27" s="1"/>
      </tp>
      <tp>
        <v>89233914</v>
        <stp/>
        <stp>P</stp>
        <stp>0</stp>
        <stp>STK</stp>
        <stp>267260</stp>
        <stp>기타포괄손익누계액</stp>
        <stp>45107</stp>
        <stp>Cons=연결</stp>
        <tr r="AA27" s="1"/>
      </tp>
      <tp>
        <v>1974801806</v>
        <stp/>
        <stp>P</stp>
        <stp>0</stp>
        <stp>STK</stp>
        <stp>000990</stp>
        <stp>자산</stp>
        <stp>45107</stp>
        <stp>Cons=연결</stp>
        <tr r="Y8" s="1"/>
      </tp>
      <tp>
        <v>16404038</v>
        <stp/>
        <stp>P</stp>
        <stp>0</stp>
        <stp>STK</stp>
        <stp>001820</stp>
        <stp>기타포괄손익누계액</stp>
        <stp>45107</stp>
        <stp>Cons=연결</stp>
        <tr r="X27" s="1"/>
      </tp>
      <tp>
        <v>-19609000</v>
        <stp/>
        <stp>P</stp>
        <stp>0</stp>
        <stp>STK</stp>
        <stp>000990</stp>
        <stp>기타포괄손익누계액</stp>
        <stp>45107</stp>
        <stp>Cons=연결</stp>
        <tr r="Y27" s="1"/>
      </tp>
      <tp>
        <v>5330899000</v>
        <stp/>
        <stp>P</stp>
        <stp>0</stp>
        <stp>STK</stp>
        <stp>005930</stp>
        <stp>기타포괄손익누계액</stp>
        <stp>45107</stp>
        <stp>Cons=연결</stp>
        <tr r="M27" s="1"/>
      </tp>
      <tp>
        <v>110507454</v>
        <stp/>
        <stp>P</stp>
        <stp>0</stp>
        <stp>STK</stp>
        <stp>021320</stp>
        <stp>현금및현금성자산</stp>
        <stp>45107</stp>
        <stp>Cons=개별</stp>
        <tr r="N9" s="1"/>
      </tp>
      <tp>
        <v>-19719938</v>
        <stp/>
        <stp>P</stp>
        <stp>0</stp>
        <stp>STK</stp>
        <stp>009450</stp>
        <stp>비예수부채</stp>
        <stp>45107</stp>
        <stp>Cons=연결</stp>
        <tr r="Z30" s="1"/>
      </tp>
      <tp>
        <v>-26244657</v>
        <stp/>
        <stp>P</stp>
        <stp>0</stp>
        <stp>STK</stp>
        <stp>001440</stp>
        <stp>비예수부채</stp>
        <stp>45107</stp>
        <stp>Cons=연결</stp>
        <tr r="W30" s="1"/>
      </tp>
      <tp>
        <v>-22130850</v>
        <stp/>
        <stp>P</stp>
        <stp>0</stp>
        <stp>STK</stp>
        <stp>192400</stp>
        <stp>비예수부채</stp>
        <stp>45107</stp>
        <stp>Cons=연결</stp>
        <tr r="V30" s="1"/>
      </tp>
      <tp>
        <v>42038105</v>
        <stp/>
        <stp>P</stp>
        <stp>0</stp>
        <stp>STK</stp>
        <stp>006400</stp>
        <stp>비예수부채</stp>
        <stp>45107</stp>
        <stp>Cons=연결</stp>
        <tr r="O30" s="1"/>
      </tp>
      <tp>
        <v>477984000</v>
        <stp/>
        <stp>P</stp>
        <stp>0</stp>
        <stp>STK</stp>
        <stp>066570</stp>
        <stp>비예수부채</stp>
        <stp>45107</stp>
        <stp>Cons=연결</stp>
        <tr r="P30" s="1"/>
      </tp>
      <tp>
        <v>13280</v>
        <stp/>
        <stp>P</stp>
        <stp>0</stp>
        <stp>STK</stp>
        <stp>021320</stp>
        <stp>비업무용자산</stp>
        <stp>45107</stp>
        <stp>Cons=개별</stp>
        <tr r="N16" s="1"/>
      </tp>
      <tp t="s">
        <v/>
        <stp/>
        <stp>P</stp>
        <stp>0</stp>
        <stp>STK</stp>
        <stp>021320</stp>
        <stp>신종자본증권</stp>
        <stp>45107</stp>
        <stp>Cons=개별</stp>
        <tr r="N24" s="1"/>
      </tp>
      <tp>
        <v>-45741405</v>
        <stp/>
        <stp>P</stp>
        <stp>0</stp>
        <stp>STK</stp>
        <stp>011070</stp>
        <stp>비예수부채</stp>
        <stp>45107</stp>
        <stp>Cons=연결</stp>
        <tr r="S30" s="1"/>
      </tp>
      <tp t="s">
        <v/>
        <stp/>
        <stp>P</stp>
        <stp>0</stp>
        <stp>STK</stp>
        <stp>000990</stp>
        <stp>파생상품자산</stp>
        <stp>45107</stp>
        <stp>Cons=연결</stp>
        <tr r="Y11" s="1"/>
      </tp>
      <tp>
        <v>136293124</v>
        <stp/>
        <stp>P</stp>
        <stp>0</stp>
        <stp>STK</stp>
        <stp>009150</stp>
        <stp>비예수부채</stp>
        <stp>45107</stp>
        <stp>Cons=연결</stp>
        <tr r="Q30" s="1"/>
      </tp>
      <tp>
        <v>27590380</v>
        <stp/>
        <stp>P</stp>
        <stp>0</stp>
        <stp>STK</stp>
        <stp>020150</stp>
        <stp>비예수부채</stp>
        <stp>45107</stp>
        <stp>Cons=연결</stp>
        <tr r="U30" s="1"/>
      </tp>
      <tp>
        <v>25777013</v>
        <stp/>
        <stp>P</stp>
        <stp>0</stp>
        <stp>STK</stp>
        <stp>010120</stp>
        <stp>비예수부채</stp>
        <stp>45107</stp>
        <stp>Cons=연결</stp>
        <tr r="T30" s="1"/>
      </tp>
      <tp>
        <v>304757589</v>
        <stp/>
        <stp>P</stp>
        <stp>0</stp>
        <stp>STK</stp>
        <stp>267260</stp>
        <stp>비예수부채</stp>
        <stp>45107</stp>
        <stp>Cons=연결</stp>
        <tr r="AA30" s="1"/>
      </tp>
      <tp>
        <v>1745581000</v>
        <stp/>
        <stp>P</stp>
        <stp>0</stp>
        <stp>STK</stp>
        <stp>034220</stp>
        <stp>비예수부채</stp>
        <stp>45107</stp>
        <stp>Cons=연결</stp>
        <tr r="R30" s="1"/>
      </tp>
      <tp>
        <v>1798973</v>
        <stp/>
        <stp>P</stp>
        <stp>0</stp>
        <stp>STK</stp>
        <stp>267260</stp>
        <stp>파생상품자산</stp>
        <stp>45107</stp>
        <stp>Cons=연결</stp>
        <tr r="AA11" s="1"/>
      </tp>
      <tp>
        <v>3043242</v>
        <stp/>
        <stp>P</stp>
        <stp>0</stp>
        <stp>STK</stp>
        <stp>001440</stp>
        <stp>파생상품자산</stp>
        <stp>45107</stp>
        <stp>Cons=연결</stp>
        <tr r="W11" s="1"/>
      </tp>
      <tp t="s">
        <v/>
        <stp/>
        <stp>P</stp>
        <stp>0</stp>
        <stp>STK</stp>
        <stp>020150</stp>
        <stp>파생상품자산</stp>
        <stp>45107</stp>
        <stp>Cons=연결</stp>
        <tr r="U11" s="1"/>
      </tp>
      <tp>
        <v>84403</v>
        <stp/>
        <stp>P</stp>
        <stp>0</stp>
        <stp>STK</stp>
        <stp>009450</stp>
        <stp>파생상품자산</stp>
        <stp>45107</stp>
        <stp>Cons=연결</stp>
        <tr r="Z11" s="1"/>
      </tp>
      <tp t="s">
        <v/>
        <stp/>
        <stp>P</stp>
        <stp>0</stp>
        <stp>STK</stp>
        <stp>009150</stp>
        <stp>파생상품자산</stp>
        <stp>45107</stp>
        <stp>Cons=연결</stp>
        <tr r="Q11" s="1"/>
      </tp>
      <tp>
        <v>239003000</v>
        <stp/>
        <stp>P</stp>
        <stp>0</stp>
        <stp>STK</stp>
        <stp>066570</stp>
        <stp>파생상품자산</stp>
        <stp>45107</stp>
        <stp>Cons=연결</stp>
        <tr r="P11" s="1"/>
      </tp>
      <tp>
        <v>21623057</v>
        <stp/>
        <stp>P</stp>
        <stp>0</stp>
        <stp>STK</stp>
        <stp>011070</stp>
        <stp>파생상품자산</stp>
        <stp>45107</stp>
        <stp>Cons=연결</stp>
        <tr r="S11" s="1"/>
      </tp>
      <tp>
        <v>14736393</v>
        <stp/>
        <stp>P</stp>
        <stp>0</stp>
        <stp>STK</stp>
        <stp>006400</stp>
        <stp>파생상품자산</stp>
        <stp>45107</stp>
        <stp>Cons=연결</stp>
        <tr r="O11" s="1"/>
      </tp>
      <tp>
        <v>3030878</v>
        <stp/>
        <stp>P</stp>
        <stp>0</stp>
        <stp>STK</stp>
        <stp>001820</stp>
        <stp>비예수부채</stp>
        <stp>45107</stp>
        <stp>Cons=연결</stp>
        <tr r="X30" s="1"/>
      </tp>
      <tp t="s">
        <v/>
        <stp/>
        <stp>P</stp>
        <stp>0</stp>
        <stp>STK</stp>
        <stp>192400</stp>
        <stp>파생상품자산</stp>
        <stp>45107</stp>
        <stp>Cons=연결</stp>
        <tr r="V11" s="1"/>
      </tp>
      <tp>
        <v>-5267435000</v>
        <stp/>
        <stp>P</stp>
        <stp>0</stp>
        <stp>STK</stp>
        <stp>005930</stp>
        <stp>비예수부채</stp>
        <stp>45107</stp>
        <stp>Cons=연결</stp>
        <tr r="M30" s="1"/>
      </tp>
      <tp>
        <v>-132639359</v>
        <stp/>
        <stp>P</stp>
        <stp>0</stp>
        <stp>STK</stp>
        <stp>000990</stp>
        <stp>비예수부채</stp>
        <stp>45107</stp>
        <stp>Cons=연결</stp>
        <tr r="Y30" s="1"/>
      </tp>
      <tp>
        <v>257974000</v>
        <stp/>
        <stp>P</stp>
        <stp>0</stp>
        <stp>STK</stp>
        <stp>034220</stp>
        <stp>파생상품자산</stp>
        <stp>45107</stp>
        <stp>Cons=연결</stp>
        <tr r="R11" s="1"/>
      </tp>
      <tp t="s">
        <v/>
        <stp/>
        <stp>P</stp>
        <stp>0</stp>
        <stp>STK</stp>
        <stp>001820</stp>
        <stp>파생상품자산</stp>
        <stp>45107</stp>
        <stp>Cons=연결</stp>
        <tr r="X11" s="1"/>
      </tp>
      <tp>
        <v>21240591</v>
        <stp/>
        <stp>P</stp>
        <stp>0</stp>
        <stp>STK</stp>
        <stp>010120</stp>
        <stp>파생상품자산</stp>
        <stp>45107</stp>
        <stp>Cons=연결</stp>
        <tr r="T11" s="1"/>
      </tp>
      <tp t="s">
        <v/>
        <stp/>
        <stp>P</stp>
        <stp>0</stp>
        <stp>STK</stp>
        <stp>005930</stp>
        <stp>파생상품자산</stp>
        <stp>45107</stp>
        <stp>Cons=연결</stp>
        <tr r="M11" s="1"/>
      </tp>
      <tp t="s">
        <v/>
        <stp/>
        <stp>P</stp>
        <stp>0</stp>
        <stp>STK</stp>
        <stp>021320</stp>
        <stp>영업권</stp>
        <stp>45107</stp>
        <stp>Cons=개별</stp>
        <tr r="N17" s="1"/>
      </tp>
      <tp>
        <v>-1632000</v>
        <stp/>
        <stp>P</stp>
        <stp>0</stp>
        <stp>STK</stp>
        <stp>034220</stp>
        <stp>예수부채</stp>
        <stp>45107</stp>
        <stp>Cons=연결</stp>
        <tr r="R41" s="1"/>
      </tp>
      <tp>
        <v>-0.22</v>
        <stp/>
        <stp>P</stp>
        <stp>0</stp>
        <stp>STK</stp>
        <stp>097955</stp>
        <stp>등락률</stp>
        <stp/>
        <stp/>
        <tr r="AD9" s="2"/>
      </tp>
      <tp>
        <v>-1149340000</v>
        <stp/>
        <stp>P</stp>
        <stp>0</stp>
        <stp>STK</stp>
        <stp>005930</stp>
        <stp>예수부채</stp>
        <stp>45107</stp>
        <stp>Cons=연결</stp>
        <tr r="M41" s="1"/>
      </tp>
      <tp>
        <v>-17392274</v>
        <stp/>
        <stp>P</stp>
        <stp>0</stp>
        <stp>STK</stp>
        <stp>006400</stp>
        <stp>예수부채</stp>
        <stp>45107</stp>
        <stp>Cons=연결</stp>
        <tr r="O41" s="1"/>
      </tp>
      <tp>
        <v>-1411000</v>
        <stp/>
        <stp>P</stp>
        <stp>0</stp>
        <stp>STK</stp>
        <stp>066570</stp>
        <stp>예수부채</stp>
        <stp>45107</stp>
        <stp>Cons=연결</stp>
        <tr r="P41" s="1"/>
      </tp>
      <tp>
        <v>457143070</v>
        <stp/>
        <stp>P</stp>
        <stp>0</stp>
        <stp>STK</stp>
        <stp>021320</stp>
        <stp>자본</stp>
        <stp>45107</stp>
        <stp>Cons=개별</stp>
        <tr r="N22" s="1"/>
      </tp>
      <tp>
        <v>157944000</v>
        <stp/>
        <stp>P</stp>
        <stp>0</stp>
        <stp>STK</stp>
        <stp>066570</stp>
        <stp>당기법인세자산</stp>
        <stp>45107</stp>
        <stp>Cons=연결</stp>
        <tr r="P20" s="1"/>
      </tp>
      <tp>
        <v>510977</v>
        <stp/>
        <stp>P</stp>
        <stp>0</stp>
        <stp>STK</stp>
        <stp>267260</stp>
        <stp>당기법인세자산</stp>
        <stp>45107</stp>
        <stp>Cons=연결</stp>
        <tr r="AA20" s="1"/>
      </tp>
      <tp>
        <v>197135382</v>
        <stp/>
        <stp>P</stp>
        <stp>0</stp>
        <stp>STK</stp>
        <stp>267260</stp>
        <stp>이연법인세자산</stp>
        <stp>45107</stp>
        <stp>Cons=연결</stp>
        <tr r="AA19" s="1"/>
      </tp>
      <tp>
        <v>2518502000</v>
        <stp/>
        <stp>P</stp>
        <stp>0</stp>
        <stp>STK</stp>
        <stp>066570</stp>
        <stp>이연법인세자산</stp>
        <stp>45107</stp>
        <stp>Cons=연결</stp>
        <tr r="P19" s="1"/>
      </tp>
      <tp t="s">
        <v/>
        <stp/>
        <stp>P</stp>
        <stp>0</stp>
        <stp>STK</stp>
        <stp>267260</stp>
        <stp>예수부채</stp>
        <stp>45107</stp>
        <stp>Cons=연결</stp>
        <tr r="AA41" s="1"/>
      </tp>
      <tp>
        <v>140131</v>
        <stp/>
        <stp>P</stp>
        <stp>0</stp>
        <stp>STK</stp>
        <stp>010120</stp>
        <stp>당기법인세자산</stp>
        <stp>45107</stp>
        <stp>Cons=연결</stp>
        <tr r="T20" s="1"/>
      </tp>
      <tp>
        <v>1536042</v>
        <stp/>
        <stp>P</stp>
        <stp>0</stp>
        <stp>STK</stp>
        <stp>011070</stp>
        <stp>당기법인세자산</stp>
        <stp>45107</stp>
        <stp>Cons=연결</stp>
        <tr r="S20" s="1"/>
      </tp>
      <tp>
        <v>65229018</v>
        <stp/>
        <stp>P</stp>
        <stp>0</stp>
        <stp>STK</stp>
        <stp>021320</stp>
        <stp>기타부채</stp>
        <stp>45107</stp>
        <stp>Cons=개별</stp>
        <tr r="N39" s="1"/>
      </tp>
      <tp>
        <v>234188582</v>
        <stp/>
        <stp>P</stp>
        <stp>0</stp>
        <stp>STK</stp>
        <stp>011070</stp>
        <stp>이연법인세자산</stp>
        <stp>45107</stp>
        <stp>Cons=연결</stp>
        <tr r="S19" s="1"/>
      </tp>
      <tp>
        <v>36183423</v>
        <stp/>
        <stp>P</stp>
        <stp>0</stp>
        <stp>STK</stp>
        <stp>010120</stp>
        <stp>이연법인세자산</stp>
        <stp>45107</stp>
        <stp>Cons=연결</stp>
        <tr r="T19" s="1"/>
      </tp>
      <tp>
        <v>45776047</v>
        <stp/>
        <stp>P</stp>
        <stp>0</stp>
        <stp>STK</stp>
        <stp>021320</stp>
        <stp>금융부채</stp>
        <stp>45107</stp>
        <stp>Cons=개별</stp>
        <tr r="N31" s="1"/>
      </tp>
      <tp t="s">
        <v/>
        <stp/>
        <stp>P</stp>
        <stp>0</stp>
        <stp>STK</stp>
        <stp>010120</stp>
        <stp>예수부채</stp>
        <stp>45107</stp>
        <stp>Cons=연결</stp>
        <tr r="T41" s="1"/>
      </tp>
      <tp>
        <v>-190457</v>
        <stp/>
        <stp>P</stp>
        <stp>0</stp>
        <stp>STK</stp>
        <stp>020150</stp>
        <stp>예수부채</stp>
        <stp>45107</stp>
        <stp>Cons=연결</stp>
        <tr r="U41" s="1"/>
      </tp>
      <tp>
        <v>0</v>
        <stp/>
        <stp>P</stp>
        <stp>0</stp>
        <stp>STK</stp>
        <stp>097950</stp>
        <stp>등락률</stp>
        <stp/>
        <stp/>
        <tr r="AD8" s="2"/>
      </tp>
      <tp>
        <v>1.22</v>
        <stp/>
        <stp>P</stp>
        <stp>0</stp>
        <stp>STK</stp>
        <stp>095720</stp>
        <stp>등락률</stp>
        <stp/>
        <stp/>
        <tr r="AJ56" s="2"/>
      </tp>
      <tp>
        <v>-0.36</v>
        <stp/>
        <stp>P</stp>
        <stp>0</stp>
        <stp>STK</stp>
        <stp>095570</stp>
        <stp>등락률</stp>
        <stp/>
        <stp/>
        <tr r="AJ6" s="2"/>
      </tp>
      <tp>
        <v>0.73</v>
        <stp/>
        <stp>P</stp>
        <stp>0</stp>
        <stp>STK</stp>
        <stp>094280</stp>
        <stp>등락률</stp>
        <stp/>
        <stp/>
        <tr r="AJ83" s="2"/>
      </tp>
      <tp t="s">
        <v/>
        <stp/>
        <stp>P</stp>
        <stp>0</stp>
        <stp>STK</stp>
        <stp>000990</stp>
        <stp>예수부채</stp>
        <stp>45107</stp>
        <stp>Cons=연결</stp>
        <tr r="Y41" s="1"/>
      </tp>
      <tp t="s">
        <v/>
        <stp/>
        <stp>P</stp>
        <stp>0</stp>
        <stp>STK</stp>
        <stp>001799</stp>
        <stp>등락률</stp>
        <stp/>
        <stp/>
        <tr r="AD19" s="2"/>
      </tp>
      <tp>
        <v>2033436</v>
        <stp/>
        <stp>P</stp>
        <stp>0</stp>
        <stp>STK</stp>
        <stp>000990</stp>
        <stp>당기법인세자산</stp>
        <stp>45107</stp>
        <stp>Cons=연결</stp>
        <tr r="Y20" s="1"/>
      </tp>
      <tp t="s">
        <v/>
        <stp/>
        <stp>P</stp>
        <stp>0</stp>
        <stp>STK</stp>
        <stp>001820</stp>
        <stp>당기법인세자산</stp>
        <stp>45107</stp>
        <stp>Cons=연결</stp>
        <tr r="X20" s="1"/>
      </tp>
      <tp>
        <v>748482</v>
        <stp/>
        <stp>P</stp>
        <stp>0</stp>
        <stp>STK</stp>
        <stp>001440</stp>
        <stp>당기법인세자산</stp>
        <stp>45107</stp>
        <stp>Cons=연결</stp>
        <tr r="W20" s="1"/>
      </tp>
      <tp t="s">
        <v/>
        <stp/>
        <stp>P</stp>
        <stp>0</stp>
        <stp>STK</stp>
        <stp>006400</stp>
        <stp>당기법인세자산</stp>
        <stp>45107</stp>
        <stp>Cons=연결</stp>
        <tr r="O20" s="1"/>
      </tp>
      <tp t="s">
        <v/>
        <stp/>
        <stp>P</stp>
        <stp>0</stp>
        <stp>STK</stp>
        <stp>005930</stp>
        <stp>당기법인세자산</stp>
        <stp>45107</stp>
        <stp>Cons=연결</stp>
        <tr r="M20" s="1"/>
      </tp>
      <tp t="s">
        <v/>
        <stp/>
        <stp>P</stp>
        <stp>0</stp>
        <stp>STK</stp>
        <stp>009450</stp>
        <stp>당기법인세자산</stp>
        <stp>45107</stp>
        <stp>Cons=연결</stp>
        <tr r="Z20" s="1"/>
      </tp>
      <tp>
        <v>13484437</v>
        <stp/>
        <stp>P</stp>
        <stp>0</stp>
        <stp>STK</stp>
        <stp>009150</stp>
        <stp>당기법인세자산</stp>
        <stp>45107</stp>
        <stp>Cons=연결</stp>
        <tr r="Q20" s="1"/>
      </tp>
      <tp>
        <v>186197507</v>
        <stp/>
        <stp>P</stp>
        <stp>0</stp>
        <stp>STK</stp>
        <stp>006400</stp>
        <stp>이연법인세자산</stp>
        <stp>45107</stp>
        <stp>Cons=연결</stp>
        <tr r="O19" s="1"/>
      </tp>
      <tp>
        <v>5527377000</v>
        <stp/>
        <stp>P</stp>
        <stp>0</stp>
        <stp>STK</stp>
        <stp>005930</stp>
        <stp>이연법인세자산</stp>
        <stp>45107</stp>
        <stp>Cons=연결</stp>
        <tr r="M19" s="1"/>
      </tp>
      <tp t="s">
        <v/>
        <stp/>
        <stp>P</stp>
        <stp>0</stp>
        <stp>STK</stp>
        <stp>001820</stp>
        <stp>이연법인세자산</stp>
        <stp>45107</stp>
        <stp>Cons=연결</stp>
        <tr r="X19" s="1"/>
      </tp>
      <tp>
        <v>47455708</v>
        <stp/>
        <stp>P</stp>
        <stp>0</stp>
        <stp>STK</stp>
        <stp>001440</stp>
        <stp>이연법인세자산</stp>
        <stp>45107</stp>
        <stp>Cons=연결</stp>
        <tr r="W19" s="1"/>
      </tp>
      <tp>
        <v>3275167</v>
        <stp/>
        <stp>P</stp>
        <stp>0</stp>
        <stp>STK</stp>
        <stp>000990</stp>
        <stp>이연법인세자산</stp>
        <stp>45107</stp>
        <stp>Cons=연결</stp>
        <tr r="Y19" s="1"/>
      </tp>
      <tp>
        <v>127642054</v>
        <stp/>
        <stp>P</stp>
        <stp>0</stp>
        <stp>STK</stp>
        <stp>009150</stp>
        <stp>이연법인세자산</stp>
        <stp>45107</stp>
        <stp>Cons=연결</stp>
        <tr r="Q19" s="1"/>
      </tp>
      <tp>
        <v>52228351</v>
        <stp/>
        <stp>P</stp>
        <stp>0</stp>
        <stp>STK</stp>
        <stp>009450</stp>
        <stp>이연법인세자산</stp>
        <stp>45107</stp>
        <stp>Cons=연결</stp>
        <tr r="Z19" s="1"/>
      </tp>
      <tp>
        <v>-43055</v>
        <stp/>
        <stp>P</stp>
        <stp>0</stp>
        <stp>STK</stp>
        <stp>001440</stp>
        <stp>예수부채</stp>
        <stp>45107</stp>
        <stp>Cons=연결</stp>
        <tr r="W41" s="1"/>
      </tp>
      <tp t="s">
        <v/>
        <stp/>
        <stp>P</stp>
        <stp>0</stp>
        <stp>STK</stp>
        <stp>011070</stp>
        <stp>예수부채</stp>
        <stp>45107</stp>
        <stp>Cons=연결</stp>
        <tr r="S41" s="1"/>
      </tp>
      <tp>
        <v>0.28999999999999998</v>
        <stp/>
        <stp>P</stp>
        <stp>0</stp>
        <stp>STK</stp>
        <stp>084680</stp>
        <stp>등락률</stp>
        <stp/>
        <stp/>
        <tr r="AJ61" s="2"/>
      </tp>
      <tp>
        <v>1.36</v>
        <stp/>
        <stp>P</stp>
        <stp>0</stp>
        <stp>STK</stp>
        <stp>284740</stp>
        <stp>등락률</stp>
        <stp/>
        <stp/>
        <tr r="AJ70" s="2"/>
      </tp>
      <tp t="s">
        <v/>
        <stp/>
        <stp>P</stp>
        <stp>0</stp>
        <stp>STK</stp>
        <stp>083380</stp>
        <stp>등락률</stp>
        <stp/>
        <stp/>
        <tr r="AJ31" s="2"/>
      </tp>
      <tp t="s">
        <v/>
        <stp/>
        <stp>P</stp>
        <stp>0</stp>
        <stp>STK</stp>
        <stp>083370</stp>
        <stp>등락률</stp>
        <stp/>
        <stp/>
        <tr r="AJ30" s="2"/>
      </tp>
      <tp>
        <v>1682500</v>
        <stp/>
        <stp>P</stp>
        <stp>0</stp>
        <stp>STK</stp>
        <stp>001820</stp>
        <stp>예수부채</stp>
        <stp>45107</stp>
        <stp>Cons=연결</stp>
        <tr r="X41" s="1"/>
      </tp>
      <tp>
        <v>-0.75</v>
        <stp/>
        <stp>P</stp>
        <stp>0</stp>
        <stp>STK</stp>
        <stp>181710</stp>
        <stp>등락률</stp>
        <stp/>
        <stp/>
        <tr r="AJ15" s="2"/>
      </tp>
      <tp>
        <v>-1.52</v>
        <stp/>
        <stp>P</stp>
        <stp>0</stp>
        <stp>STK</stp>
        <stp>280360</stp>
        <stp>등락률</stp>
        <stp/>
        <stp/>
        <tr r="AD23" s="2"/>
      </tp>
      <tp>
        <v>5023000</v>
        <stp/>
        <stp>P</stp>
        <stp>0</stp>
        <stp>STK</stp>
        <stp>034220</stp>
        <stp>당기법인세자산</stp>
        <stp>45107</stp>
        <stp>Cons=연결</stp>
        <tr r="R20" s="1"/>
      </tp>
      <tp>
        <v>3365619000</v>
        <stp/>
        <stp>P</stp>
        <stp>0</stp>
        <stp>STK</stp>
        <stp>034220</stp>
        <stp>이연법인세자산</stp>
        <stp>45107</stp>
        <stp>Cons=연결</stp>
        <tr r="R19" s="1"/>
      </tp>
      <tp>
        <v>225524</v>
        <stp/>
        <stp>P</stp>
        <stp>0</stp>
        <stp>STK</stp>
        <stp>192400</stp>
        <stp>예수부채</stp>
        <stp>45107</stp>
        <stp>Cons=연결</stp>
        <tr r="V41" s="1"/>
      </tp>
      <tp t="s">
        <v>삼성전자</v>
        <stp/>
        <stp>P</stp>
        <stp>0</stp>
        <stp>STK</stp>
        <stp>005930</stp>
        <stp>한글종목명</stp>
        <stp/>
        <stp/>
        <tr r="M5" s="1"/>
      </tp>
      <tp t="s">
        <v>크라운제과우</v>
        <stp/>
        <stp>P</stp>
        <stp>0</stp>
        <stp>STK</stp>
        <stp>26490K</stp>
        <stp>한글종목명</stp>
        <stp/>
        <stp/>
        <tr r="AA48" s="2"/>
      </tp>
      <tp t="s">
        <v>무학</v>
        <stp/>
        <stp>P</stp>
        <stp>0</stp>
        <stp>STK</stp>
        <stp>033920</stp>
        <stp>한글종목명</stp>
        <stp/>
        <stp/>
        <tr r="AA28" s="2"/>
      </tp>
      <tp t="s">
        <v>남양유업</v>
        <stp/>
        <stp>P</stp>
        <stp>0</stp>
        <stp>STK</stp>
        <stp>003920</stp>
        <stp>한글종목명</stp>
        <stp/>
        <stp/>
        <tr r="AA13" s="2"/>
      </tp>
      <tp t="s">
        <v>크라운제과</v>
        <stp/>
        <stp>P</stp>
        <stp>0</stp>
        <stp>STK</stp>
        <stp>264900</stp>
        <stp>한글종목명</stp>
        <stp/>
        <stp/>
        <tr r="AA47" s="2"/>
      </tp>
      <tp t="s">
        <v>남양유업우</v>
        <stp/>
        <stp>P</stp>
        <stp>0</stp>
        <stp>STK</stp>
        <stp>003925</stp>
        <stp>한글종목명</stp>
        <stp/>
        <stp/>
        <tr r="AA14" s="2"/>
      </tp>
      <tp t="s">
        <v>바다로19호</v>
        <stp/>
        <stp>P</stp>
        <stp>0</stp>
        <stp>STK</stp>
        <stp>155900</stp>
        <stp>한글종목명</stp>
        <stp/>
        <stp/>
        <tr r="AG41" s="2"/>
      </tp>
      <tp t="s">
        <v>에이리츠</v>
        <stp/>
        <stp>P</stp>
        <stp>0</stp>
        <stp>STK</stp>
        <stp>140910</stp>
        <stp>한글종목명</stp>
        <stp/>
        <stp/>
        <tr r="AG53" s="2"/>
      </tp>
      <tp t="s">
        <v>한국제지</v>
        <stp/>
        <stp>P</stp>
        <stp>0</stp>
        <stp>STK</stp>
        <stp>027970</stp>
        <stp>한글종목명</stp>
        <stp/>
        <stp/>
        <tr r="AM14" s="2"/>
      </tp>
      <tp t="s">
        <v>사조대림</v>
        <stp/>
        <stp>P</stp>
        <stp>0</stp>
        <stp>STK</stp>
        <stp>003960</stp>
        <stp>한글종목명</stp>
        <stp/>
        <stp/>
        <tr r="AA31" s="2"/>
      </tp>
      <tp t="s">
        <v>용평리조트</v>
        <stp/>
        <stp>P</stp>
        <stp>0</stp>
        <stp>STK</stp>
        <stp>070960</stp>
        <stp>한글종목명</stp>
        <stp/>
        <stp/>
        <tr r="AG55" s="2"/>
      </tp>
      <tp t="s">
        <v>CJ제일제당</v>
        <stp/>
        <stp>P</stp>
        <stp>0</stp>
        <stp>STK</stp>
        <stp>097950</stp>
        <stp>한글종목명</stp>
        <stp/>
        <stp/>
        <tr r="AA8" s="2"/>
      </tp>
      <tp t="s">
        <v>CJ제일제당 우</v>
        <stp/>
        <stp>P</stp>
        <stp>0</stp>
        <stp>STK</stp>
        <stp>097955</stp>
        <stp>한글종목명</stp>
        <stp/>
        <stp/>
        <tr r="AA9" s="2"/>
      </tp>
      <tp t="s">
        <v>SK디앤디</v>
        <stp/>
        <stp>P</stp>
        <stp>0</stp>
        <stp>STK</stp>
        <stp>210980</stp>
        <stp>한글종목명</stp>
        <stp/>
        <stp/>
        <tr r="AG18" s="2"/>
      </tp>
      <tp t="s">
        <v>DB하이텍</v>
        <stp/>
        <stp>P</stp>
        <stp>0</stp>
        <stp>STK</stp>
        <stp>000990</stp>
        <stp>한글종목명</stp>
        <stp/>
        <stp/>
        <tr r="Y5" s="1"/>
      </tp>
      <tp t="s">
        <v>우성</v>
        <stp/>
        <stp>P</stp>
        <stp>0</stp>
        <stp>STK</stp>
        <stp>006980</stp>
        <stp>한글종목명</stp>
        <stp/>
        <stp/>
        <tr r="AA45" s="2"/>
      </tp>
      <tp t="s">
        <v>삼양사우</v>
        <stp/>
        <stp>P</stp>
        <stp>0</stp>
        <stp>STK</stp>
        <stp>145995</stp>
        <stp>한글종목명</stp>
        <stp/>
        <stp/>
        <tr r="AA37" s="2"/>
      </tp>
      <tp t="s">
        <v>삼양사</v>
        <stp/>
        <stp>P</stp>
        <stp>0</stp>
        <stp>STK</stp>
        <stp>145990</stp>
        <stp>한글종목명</stp>
        <stp/>
        <stp/>
        <tr r="AA36" s="2"/>
      </tp>
      <tp>
        <v>236158</v>
        <stp/>
        <stp>P</stp>
        <stp>0</stp>
        <stp>STK</stp>
        <stp>020150</stp>
        <stp>당기법인세자산</stp>
        <stp>45107</stp>
        <stp>Cons=연결</stp>
        <tr r="U20" s="1"/>
      </tp>
      <tp>
        <v>11967207</v>
        <stp/>
        <stp>P</stp>
        <stp>0</stp>
        <stp>STK</stp>
        <stp>020150</stp>
        <stp>이연법인세자산</stp>
        <stp>45107</stp>
        <stp>Cons=연결</stp>
        <tr r="U19" s="1"/>
      </tp>
      <tp t="s">
        <v/>
        <stp/>
        <stp>P</stp>
        <stp>0</stp>
        <stp>STK</stp>
        <stp>021320</stp>
        <stp>기타금융업부채</stp>
        <stp>45107</stp>
        <stp>Cons=개별</stp>
        <tr r="N35" s="1"/>
      </tp>
      <tp t="s">
        <v>콤텍시스템</v>
        <stp/>
        <stp>P</stp>
        <stp>0</stp>
        <stp>STK</stp>
        <stp>031820</stp>
        <stp>한글종목명</stp>
        <stp/>
        <stp/>
        <tr r="AG69" s="2"/>
      </tp>
      <tp t="s">
        <v>SUN&amp;L</v>
        <stp/>
        <stp>P</stp>
        <stp>0</stp>
        <stp>STK</stp>
        <stp>002820</stp>
        <stp>한글종목명</stp>
        <stp/>
        <stp/>
        <tr r="AM13" s="2"/>
      </tp>
      <tp t="s">
        <v>삼화콘덴서</v>
        <stp/>
        <stp>P</stp>
        <stp>0</stp>
        <stp>STK</stp>
        <stp>001820</stp>
        <stp>한글종목명</stp>
        <stp/>
        <stp/>
        <tr r="X5" s="1"/>
      </tp>
      <tp t="s">
        <v>신풍</v>
        <stp/>
        <stp>P</stp>
        <stp>0</stp>
        <stp>STK</stp>
        <stp>002870</stp>
        <stp>한글종목명</stp>
        <stp/>
        <stp/>
        <tr r="AM17" s="2"/>
      </tp>
      <tp t="s">
        <v>KTis</v>
        <stp/>
        <stp>P</stp>
        <stp>0</stp>
        <stp>STK</stp>
        <stp>058860</stp>
        <stp>한글종목명</stp>
        <stp/>
        <stp/>
        <tr r="AG67" s="2"/>
      </tp>
      <tp t="s">
        <v>KTcs</v>
        <stp/>
        <stp>P</stp>
        <stp>0</stp>
        <stp>STK</stp>
        <stp>058850</stp>
        <stp>한글종목명</stp>
        <stp/>
        <stp/>
        <tr r="AG13" s="2"/>
      </tp>
      <tp t="s">
        <v>보해양조</v>
        <stp/>
        <stp>P</stp>
        <stp>0</stp>
        <stp>STK</stp>
        <stp>000890</stp>
        <stp>한글종목명</stp>
        <stp/>
        <stp/>
        <tr r="AA29" s="2"/>
      </tp>
      <tp t="s">
        <v>트러스제7호</v>
        <stp/>
        <stp>P</stp>
        <stp>0</stp>
        <stp>STK</stp>
        <stp>140890</stp>
        <stp>한글종목명</stp>
        <stp/>
        <stp/>
        <tr r="AG73" s="2"/>
      </tp>
      <tp t="s">
        <v/>
        <stp/>
        <stp>P</stp>
        <stp>0</stp>
        <stp>STK</stp>
        <stp>159650</stp>
        <stp>등락률</stp>
        <stp/>
        <stp/>
        <tr r="AJ77" s="2"/>
      </tp>
      <tp>
        <v>-2.84</v>
        <stp/>
        <stp>P</stp>
        <stp>0</stp>
        <stp>STK</stp>
        <stp>058860</stp>
        <stp>등락률</stp>
        <stp/>
        <stp/>
        <tr r="AJ67" s="2"/>
      </tp>
      <tp>
        <v>-3.56</v>
        <stp/>
        <stp>P</stp>
        <stp>0</stp>
        <stp>STK</stp>
        <stp>058850</stp>
        <stp>등락률</stp>
        <stp/>
        <stp/>
        <tr r="AJ13" s="2"/>
      </tp>
      <tp>
        <v>-0.33</v>
        <stp/>
        <stp>P</stp>
        <stp>0</stp>
        <stp>STK</stp>
        <stp>155900</stp>
        <stp>등락률</stp>
        <stp/>
        <stp/>
        <tr r="AJ41" s="2"/>
      </tp>
      <tp>
        <v>0.61</v>
        <stp/>
        <stp>P</stp>
        <stp>0</stp>
        <stp>STK</stp>
        <stp>005305</stp>
        <stp>등락률</stp>
        <stp/>
        <stp/>
        <tr r="AD25" s="2"/>
      </tp>
      <tp>
        <v>1.57</v>
        <stp/>
        <stp>P</stp>
        <stp>0</stp>
        <stp>STK</stp>
        <stp>004415</stp>
        <stp>등락률</stp>
        <stp/>
        <stp/>
        <tr r="AD41" s="2"/>
      </tp>
      <tp>
        <v>2.67</v>
        <stp/>
        <stp>P</stp>
        <stp>0</stp>
        <stp>STK</stp>
        <stp>004545</stp>
        <stp>등락률</stp>
        <stp/>
        <stp/>
        <tr r="AP7" s="2"/>
      </tp>
      <tp>
        <v>-0.2</v>
        <stp/>
        <stp>P</stp>
        <stp>0</stp>
        <stp>STK</stp>
        <stp>003925</stp>
        <stp>등락률</stp>
        <stp/>
        <stp/>
        <tr r="AD14" s="2"/>
      </tp>
      <tp>
        <v>0.21</v>
        <stp/>
        <stp>P</stp>
        <stp>0</stp>
        <stp>STK</stp>
        <stp>053690</stp>
        <stp>등락률</stp>
        <stp/>
        <stp/>
        <tr r="AJ79" s="2"/>
      </tp>
      <tp>
        <v>0.47</v>
        <stp/>
        <stp>P</stp>
        <stp>0</stp>
        <stp>STK</stp>
        <stp>053210</stp>
        <stp>등락률</stp>
        <stp/>
        <stp/>
        <tr r="AJ48" s="2"/>
      </tp>
      <tp t="s">
        <v/>
        <stp/>
        <stp>P</stp>
        <stp>0</stp>
        <stp>STK</stp>
        <stp>153360</stp>
        <stp>등락률</stp>
        <stp/>
        <stp/>
        <tr r="AJ76" s="2"/>
      </tp>
      <tp>
        <v>-6.49</v>
        <stp/>
        <stp>P</stp>
        <stp>0</stp>
        <stp>STK</stp>
        <stp>052690</stp>
        <stp>등락률</stp>
        <stp/>
        <stp/>
        <tr r="AJ80" s="2"/>
      </tp>
      <tp>
        <v>0</v>
        <stp/>
        <stp>P</stp>
        <stp>0</stp>
        <stp>STK</stp>
        <stp>001685</stp>
        <stp>등락률</stp>
        <stp/>
        <stp/>
        <tr r="AD17" s="2"/>
      </tp>
      <tp>
        <v>1.52</v>
        <stp/>
        <stp>P</stp>
        <stp>0</stp>
        <stp>STK</stp>
        <stp>001795</stp>
        <stp>등락률</stp>
        <stp/>
        <stp/>
        <tr r="AD20" s="2"/>
      </tp>
      <tp>
        <v>-2.06</v>
        <stp/>
        <stp>P</stp>
        <stp>0</stp>
        <stp>STK</stp>
        <stp>251270</stp>
        <stp>등락률</stp>
        <stp/>
        <stp/>
        <tr r="AJ21" s="2"/>
      </tp>
      <tp>
        <v>-0.17</v>
        <stp/>
        <stp>P</stp>
        <stp>0</stp>
        <stp>STK</stp>
        <stp>000155</stp>
        <stp>등락률</stp>
        <stp/>
        <stp/>
        <tr r="AJ36" s="2"/>
      </tp>
      <tp t="s">
        <v>카카오</v>
        <stp/>
        <stp>P</stp>
        <stp>0</stp>
        <stp>STK</stp>
        <stp>035720</stp>
        <stp>한글종목명</stp>
        <stp/>
        <stp/>
        <tr r="AG65" s="2"/>
      </tp>
      <tp t="s">
        <v>웅진씽크빅</v>
        <stp/>
        <stp>P</stp>
        <stp>0</stp>
        <stp>STK</stp>
        <stp>095720</stp>
        <stp>한글종목명</stp>
        <stp/>
        <stp/>
        <tr r="AG56" s="2"/>
      </tp>
      <tp t="s">
        <v>대성홀딩스</v>
        <stp/>
        <stp>P</stp>
        <stp>0</stp>
        <stp>STK</stp>
        <stp>016710</stp>
        <stp>한글종목명</stp>
        <stp/>
        <stp/>
        <tr r="AG27" s="2"/>
      </tp>
      <tp t="s">
        <v>사조씨푸드</v>
        <stp/>
        <stp>P</stp>
        <stp>0</stp>
        <stp>STK</stp>
        <stp>014710</stp>
        <stp>한글종목명</stp>
        <stp/>
        <stp/>
        <tr r="AA33" s="2"/>
      </tp>
      <tp t="s">
        <v>유수홀딩스</v>
        <stp/>
        <stp>P</stp>
        <stp>0</stp>
        <stp>STK</stp>
        <stp>000700</stp>
        <stp>한글종목명</stp>
        <stp/>
        <stp/>
        <tr r="AG57" s="2"/>
      </tp>
      <tp t="s">
        <v>NHN</v>
        <stp/>
        <stp>P</stp>
        <stp>0</stp>
        <stp>STK</stp>
        <stp>181710</stp>
        <stp>한글종목명</stp>
        <stp/>
        <stp/>
        <tr r="AG15" s="2"/>
      </tp>
      <tp t="s">
        <v>삼정펄프</v>
        <stp/>
        <stp>P</stp>
        <stp>0</stp>
        <stp>STK</stp>
        <stp>009770</stp>
        <stp>한글종목명</stp>
        <stp/>
        <stp/>
        <tr r="AM12" s="2"/>
      </tp>
      <tp t="s">
        <v>동원F&amp;B</v>
        <stp/>
        <stp>P</stp>
        <stp>0</stp>
        <stp>STK</stp>
        <stp>049770</stp>
        <stp>한글종목명</stp>
        <stp/>
        <stp/>
        <tr r="AA22" s="2"/>
      </tp>
      <tp t="s">
        <v>쿠쿠홈시스</v>
        <stp/>
        <stp>P</stp>
        <stp>0</stp>
        <stp>STK</stp>
        <stp>284740</stp>
        <stp>한글종목명</stp>
        <stp/>
        <stp/>
        <tr r="AG70" s="2"/>
      </tp>
      <tp t="s">
        <v>한솔홈데코</v>
        <stp/>
        <stp>P</stp>
        <stp>0</stp>
        <stp>STK</stp>
        <stp>025750</stp>
        <stp>한글종목명</stp>
        <stp/>
        <stp/>
        <tr r="AM26" s="2"/>
      </tp>
      <tp t="s">
        <v>에스원</v>
        <stp/>
        <stp>P</stp>
        <stp>0</stp>
        <stp>STK</stp>
        <stp>012750</stp>
        <stp>한글종목명</stp>
        <stp/>
        <stp/>
        <tr r="AG52" s="2"/>
      </tp>
      <tp t="s">
        <v>마니커</v>
        <stp/>
        <stp>P</stp>
        <stp>0</stp>
        <stp>STK</stp>
        <stp>027740</stp>
        <stp>한글종목명</stp>
        <stp/>
        <stp/>
        <tr r="AA27" s="2"/>
      </tp>
      <tp t="s">
        <v>영풍제지</v>
        <stp/>
        <stp>P</stp>
        <stp>0</stp>
        <stp>STK</stp>
        <stp>006740</stp>
        <stp>한글종목명</stp>
        <stp/>
        <stp/>
        <tr r="AM19" s="2"/>
      </tp>
      <tp t="s">
        <v>비케이탑스</v>
        <stp/>
        <stp>P</stp>
        <stp>0</stp>
        <stp>STK</stp>
        <stp>030790</stp>
        <stp>한글종목명</stp>
        <stp/>
        <stp/>
        <tr r="AG33" s="2"/>
      </tp>
      <tp t="s">
        <v>대한제당</v>
        <stp/>
        <stp>P</stp>
        <stp>0</stp>
        <stp>STK</stp>
        <stp>001790</stp>
        <stp>한글종목명</stp>
        <stp/>
        <stp/>
        <tr r="AA18" s="2"/>
      </tp>
      <tp t="s">
        <v>대한제당우</v>
        <stp/>
        <stp>P</stp>
        <stp>0</stp>
        <stp>STK</stp>
        <stp>001795</stp>
        <stp>한글종목명</stp>
        <stp/>
        <stp/>
        <tr r="AA20" s="2"/>
      </tp>
      <tp t="s">
        <v>대한제당3우B</v>
        <stp/>
        <stp>P</stp>
        <stp>0</stp>
        <stp>STK</stp>
        <stp>001799</stp>
        <stp>한글종목명</stp>
        <stp/>
        <stp/>
        <tr r="AA19" s="2"/>
      </tp>
      <tp>
        <v>-0.06</v>
        <stp/>
        <stp>P</stp>
        <stp>0</stp>
        <stp>STK</stp>
        <stp>019685</stp>
        <stp>등락률</stp>
        <stp/>
        <stp/>
        <tr r="AJ26" s="2"/>
      </tp>
      <tp>
        <v>-1.01</v>
        <stp/>
        <stp>P</stp>
        <stp>0</stp>
        <stp>STK</stp>
        <stp>049770</stp>
        <stp>등락률</stp>
        <stp/>
        <stp/>
        <tr r="AD22" s="2"/>
      </tp>
      <tp>
        <v>-2.21</v>
        <stp/>
        <stp>P</stp>
        <stp>0</stp>
        <stp>STK</stp>
        <stp>248170</stp>
        <stp>등락률</stp>
        <stp/>
        <stp/>
        <tr r="AD39" s="2"/>
      </tp>
      <tp>
        <v>0.67</v>
        <stp/>
        <stp>P</stp>
        <stp>0</stp>
        <stp>STK</stp>
        <stp>145990</stp>
        <stp>등락률</stp>
        <stp/>
        <stp/>
        <tr r="AD36" s="2"/>
      </tp>
      <tp>
        <v>0</v>
        <stp/>
        <stp>P</stp>
        <stp>0</stp>
        <stp>STK</stp>
        <stp>145270</stp>
        <stp>등락률</stp>
        <stp/>
        <stp/>
        <tr r="AJ66" s="2"/>
      </tp>
      <tp>
        <v>0.05</v>
        <stp/>
        <stp>P</stp>
        <stp>0</stp>
        <stp>STK</stp>
        <stp>011155</stp>
        <stp>등락률</stp>
        <stp/>
        <stp/>
        <tr r="AD7" s="2"/>
      </tp>
      <tp t="s">
        <v/>
        <stp/>
        <stp>P</stp>
        <stp>0</stp>
        <stp>STK</stp>
        <stp>140890</stp>
        <stp>등락률</stp>
        <stp/>
        <stp/>
        <tr r="AJ73" s="2"/>
      </tp>
      <tp>
        <v>-1.6</v>
        <stp/>
        <stp>P</stp>
        <stp>0</stp>
        <stp>STK</stp>
        <stp>140910</stp>
        <stp>등락률</stp>
        <stp/>
        <stp/>
        <tr r="AJ53" s="2"/>
      </tp>
      <tp t="s">
        <v>제일파마홀딩스</v>
        <stp/>
        <stp>P</stp>
        <stp>0</stp>
        <stp>STK</stp>
        <stp>002620</stp>
        <stp>한글종목명</stp>
        <stp/>
        <stp/>
        <tr r="AG63" s="2"/>
      </tp>
      <tp t="s">
        <v>SPC삼립</v>
        <stp/>
        <stp>P</stp>
        <stp>0</stp>
        <stp>STK</stp>
        <stp>005610</stp>
        <stp>한글종목명</stp>
        <stp/>
        <stp/>
        <tr r="AA11" s="2"/>
      </tp>
      <tp t="s">
        <v>조흥</v>
        <stp/>
        <stp>P</stp>
        <stp>0</stp>
        <stp>STK</stp>
        <stp>002600</stp>
        <stp>한글종목명</stp>
        <stp/>
        <stp/>
        <tr r="AA46" s="2"/>
      </tp>
      <tp t="s">
        <v>한전산업</v>
        <stp/>
        <stp>P</stp>
        <stp>0</stp>
        <stp>STK</stp>
        <stp>130660</stp>
        <stp>한글종목명</stp>
        <stp/>
        <stp/>
        <tr r="AG81" s="2"/>
      </tp>
      <tp t="s">
        <v>사조해표</v>
        <stp/>
        <stp>P</stp>
        <stp>0</stp>
        <stp>STK</stp>
        <stp>079660</stp>
        <stp>한글종목명</stp>
        <stp/>
        <stp/>
        <tr r="AA35" s="2"/>
      </tp>
      <tp t="s">
        <v>하이골드8호</v>
        <stp/>
        <stp>P</stp>
        <stp>0</stp>
        <stp>STK</stp>
        <stp>159650</stp>
        <stp>한글종목명</stp>
        <stp/>
        <stp/>
        <tr r="AG77" s="2"/>
      </tp>
      <tp t="s">
        <v>모나리자</v>
        <stp/>
        <stp>P</stp>
        <stp>0</stp>
        <stp>STK</stp>
        <stp>012690</stp>
        <stp>한글종목명</stp>
        <stp/>
        <stp/>
        <tr r="AM9" s="2"/>
      </tp>
      <tp t="s">
        <v>한미글로벌</v>
        <stp/>
        <stp>P</stp>
        <stp>0</stp>
        <stp>STK</stp>
        <stp>053690</stp>
        <stp>한글종목명</stp>
        <stp/>
        <stp/>
        <tr r="AG79" s="2"/>
      </tp>
      <tp t="s">
        <v>한전기술</v>
        <stp/>
        <stp>P</stp>
        <stp>0</stp>
        <stp>STK</stp>
        <stp>052690</stp>
        <stp>한글종목명</stp>
        <stp/>
        <stp/>
        <tr r="AG80" s="2"/>
      </tp>
      <tp t="s">
        <v>한성기업</v>
        <stp/>
        <stp>P</stp>
        <stp>0</stp>
        <stp>STK</stp>
        <stp>003680</stp>
        <stp>한글종목명</stp>
        <stp/>
        <stp/>
        <tr r="AA52" s="2"/>
      </tp>
      <tp t="s">
        <v>대상</v>
        <stp/>
        <stp>P</stp>
        <stp>0</stp>
        <stp>STK</stp>
        <stp>001680</stp>
        <stp>한글종목명</stp>
        <stp/>
        <stp/>
        <tr r="AA16" s="2"/>
      </tp>
      <tp t="s">
        <v>대교</v>
        <stp/>
        <stp>P</stp>
        <stp>0</stp>
        <stp>STK</stp>
        <stp>019680</stp>
        <stp>한글종목명</stp>
        <stp/>
        <stp/>
        <tr r="AG25" s="2"/>
      </tp>
      <tp t="s">
        <v>대교우B</v>
        <stp/>
        <stp>P</stp>
        <stp>0</stp>
        <stp>STK</stp>
        <stp>019685</stp>
        <stp>한글종목명</stp>
        <stp/>
        <stp/>
        <tr r="AG26" s="2"/>
      </tp>
      <tp t="s">
        <v>대상우</v>
        <stp/>
        <stp>P</stp>
        <stp>0</stp>
        <stp>STK</stp>
        <stp>001685</stp>
        <stp>한글종목명</stp>
        <stp/>
        <stp/>
        <tr r="AA17" s="2"/>
      </tp>
      <tp t="s">
        <v>이월드</v>
        <stp/>
        <stp>P</stp>
        <stp>0</stp>
        <stp>STK</stp>
        <stp>084680</stp>
        <stp>한글종목명</stp>
        <stp/>
        <stp/>
        <tr r="AG61" s="2"/>
      </tp>
      <tp t="s">
        <v/>
        <stp/>
        <stp>P</stp>
        <stp>0</stp>
        <stp>STK</stp>
        <stp>079660</stp>
        <stp>등락률</stp>
        <stp/>
        <stp/>
        <tr r="AD35" s="2"/>
      </tp>
      <tp>
        <v>1.73</v>
        <stp/>
        <stp>P</stp>
        <stp>0</stp>
        <stp>STK</stp>
        <stp>079160</stp>
        <stp>등락률</stp>
        <stp/>
        <stp/>
        <tr r="AJ8" s="2"/>
      </tp>
      <tp>
        <v>0.32</v>
        <stp/>
        <stp>P</stp>
        <stp>0</stp>
        <stp>STK</stp>
        <stp>078000</stp>
        <stp>등락률</stp>
        <stp/>
        <stp/>
        <tr r="AJ72" s="2"/>
      </tp>
      <tp>
        <v>0.36</v>
        <stp/>
        <stp>P</stp>
        <stp>0</stp>
        <stp>STK</stp>
        <stp>005257</stp>
        <stp>등락률</stp>
        <stp/>
        <stp/>
        <tr r="AJ23" s="2"/>
      </tp>
      <tp t="s">
        <v/>
        <stp/>
        <stp>P</stp>
        <stp>0</stp>
        <stp>STK</stp>
        <stp>172580</stp>
        <stp>등락률</stp>
        <stp/>
        <stp/>
        <tr r="AJ75" s="2"/>
      </tp>
      <tp>
        <v>0.54</v>
        <stp/>
        <stp>P</stp>
        <stp>0</stp>
        <stp>STK</stp>
        <stp>072130</stp>
        <stp>등락률</stp>
        <stp/>
        <stp/>
        <tr r="AJ58" s="2"/>
      </tp>
      <tp>
        <v>-1.31</v>
        <stp/>
        <stp>P</stp>
        <stp>0</stp>
        <stp>STK</stp>
        <stp>271560</stp>
        <stp>등락률</stp>
        <stp/>
        <stp/>
        <tr r="AD44" s="2"/>
      </tp>
      <tp>
        <v>0.15</v>
        <stp/>
        <stp>P</stp>
        <stp>0</stp>
        <stp>STK</stp>
        <stp>070960</stp>
        <stp>등락률</stp>
        <stp/>
        <stp/>
        <tr r="AJ55" s="2"/>
      </tp>
      <tp>
        <v>-0.2</v>
        <stp/>
        <stp>P</stp>
        <stp>0</stp>
        <stp>STK</stp>
        <stp>000087</stp>
        <stp>등락률</stp>
        <stp/>
        <stp/>
        <tr r="AD51" s="2"/>
      </tp>
      <tp>
        <v>-0.41</v>
        <stp/>
        <stp>P</stp>
        <stp>0</stp>
        <stp>STK</stp>
        <stp>000157</stp>
        <stp>등락률</stp>
        <stp/>
        <stp/>
        <tr r="AJ35" s="2"/>
      </tp>
      <tp t="s">
        <v>해태제과식품</v>
        <stp/>
        <stp>P</stp>
        <stp>0</stp>
        <stp>STK</stp>
        <stp>101530</stp>
        <stp>한글종목명</stp>
        <stp/>
        <stp/>
        <tr r="AA53" s="2"/>
      </tp>
      <tp t="s">
        <v>한솔제지</v>
        <stp/>
        <stp>P</stp>
        <stp>0</stp>
        <stp>STK</stp>
        <stp>213500</stp>
        <stp>한글종목명</stp>
        <stp/>
        <stp/>
        <tr r="AM25" s="2"/>
      </tp>
      <tp t="s">
        <v>신세계 I&amp;C</v>
        <stp/>
        <stp>P</stp>
        <stp>0</stp>
        <stp>STK</stp>
        <stp>035510</stp>
        <stp>한글종목명</stp>
        <stp/>
        <stp/>
        <tr r="AG49" s="2"/>
      </tp>
      <tp t="s">
        <v>더존비즈온</v>
        <stp/>
        <stp>P</stp>
        <stp>0</stp>
        <stp>STK</stp>
        <stp>012510</stp>
        <stp>한글종목명</stp>
        <stp/>
        <stp/>
        <tr r="AG28" s="2"/>
      </tp>
      <tp t="s">
        <v>현대퓨처넷</v>
        <stp/>
        <stp>P</stp>
        <stp>0</stp>
        <stp>STK</stp>
        <stp>126560</stp>
        <stp>한글종목명</stp>
        <stp/>
        <stp/>
        <tr r="AG82" s="2"/>
      </tp>
      <tp t="s">
        <v>엔씨소프트</v>
        <stp/>
        <stp>P</stp>
        <stp>0</stp>
        <stp>STK</stp>
        <stp>036570</stp>
        <stp>한글종목명</stp>
        <stp/>
        <stp/>
        <tr r="AG54" s="2"/>
      </tp>
      <tp t="s">
        <v>LG전자</v>
        <stp/>
        <stp>P</stp>
        <stp>0</stp>
        <stp>STK</stp>
        <stp>066570</stp>
        <stp>한글종목명</stp>
        <stp/>
        <stp/>
        <tr r="P5" s="1"/>
      </tp>
      <tp t="s">
        <v>AJ네트웍스</v>
        <stp/>
        <stp>P</stp>
        <stp>0</stp>
        <stp>STK</stp>
        <stp>095570</stp>
        <stp>한글종목명</stp>
        <stp/>
        <stp/>
        <tr r="AG6" s="2"/>
      </tp>
      <tp t="s">
        <v>LG헬로비전</v>
        <stp/>
        <stp>P</stp>
        <stp>0</stp>
        <stp>STK</stp>
        <stp>037560</stp>
        <stp>한글종목명</stp>
        <stp/>
        <stp/>
        <tr r="AG9" s="2"/>
      </tp>
      <tp t="s">
        <v>IHQ</v>
        <stp/>
        <stp>P</stp>
        <stp>0</stp>
        <stp>STK</stp>
        <stp>003560</stp>
        <stp>한글종목명</stp>
        <stp/>
        <stp/>
        <tr r="AG12" s="2"/>
      </tp>
      <tp t="s">
        <v>깨끗한나라</v>
        <stp/>
        <stp>P</stp>
        <stp>0</stp>
        <stp>STK</stp>
        <stp>004540</stp>
        <stp>한글종목명</stp>
        <stp/>
        <stp/>
        <tr r="AM6" s="2"/>
      </tp>
      <tp t="s">
        <v>쎌마테라퓨틱스</v>
        <stp/>
        <stp>P</stp>
        <stp>0</stp>
        <stp>STK</stp>
        <stp>015540</stp>
        <stp>한글종목명</stp>
        <stp/>
        <stp/>
        <tr r="AG38" s="2"/>
      </tp>
      <tp t="s">
        <v>오리온</v>
        <stp/>
        <stp>P</stp>
        <stp>0</stp>
        <stp>STK</stp>
        <stp>271560</stp>
        <stp>한글종목명</stp>
        <stp/>
        <stp/>
        <tr r="AA44" s="2"/>
      </tp>
      <tp t="s">
        <v>깨끗한나라우</v>
        <stp/>
        <stp>P</stp>
        <stp>0</stp>
        <stp>STK</stp>
        <stp>004545</stp>
        <stp>한글종목명</stp>
        <stp/>
        <stp/>
        <tr r="AM7" s="2"/>
      </tp>
      <tp t="s">
        <v>다우기술</v>
        <stp/>
        <stp>P</stp>
        <stp>0</stp>
        <stp>STK</stp>
        <stp>023590</stp>
        <stp>한글종목명</stp>
        <stp/>
        <stp/>
        <tr r="AG24" s="2"/>
      </tp>
      <tp t="s">
        <v>신대양제지</v>
        <stp/>
        <stp>P</stp>
        <stp>0</stp>
        <stp>STK</stp>
        <stp>016590</stp>
        <stp>한글종목명</stp>
        <stp/>
        <stp/>
        <tr r="AM16" s="2"/>
      </tp>
      <tp t="s">
        <v>하이골드12호</v>
        <stp/>
        <stp>P</stp>
        <stp>0</stp>
        <stp>STK</stp>
        <stp>172580</stp>
        <stp>한글종목명</stp>
        <stp/>
        <stp/>
        <tr r="AG75" s="2"/>
      </tp>
      <tp t="s">
        <v>팜스코</v>
        <stp/>
        <stp>P</stp>
        <stp>0</stp>
        <stp>STK</stp>
        <stp>036580</stp>
        <stp>한글종목명</stp>
        <stp/>
        <stp/>
        <tr r="AA49" s="2"/>
      </tp>
      <tp t="s">
        <v>무림P&amp;P</v>
        <stp/>
        <stp>P</stp>
        <stp>0</stp>
        <stp>STK</stp>
        <stp>009580</stp>
        <stp>한글종목명</stp>
        <stp/>
        <stp/>
        <tr r="AM10" s="2"/>
      </tp>
      <tp>
        <v>7.0000000000000007E-2</v>
        <stp/>
        <stp>P</stp>
        <stp>0</stp>
        <stp>STK</stp>
        <stp>068400</stp>
        <stp>등락률</stp>
        <stp/>
        <stp/>
        <tr r="AJ7" s="2"/>
      </tp>
      <tp>
        <v>-1.19</v>
        <stp/>
        <stp>P</stp>
        <stp>0</stp>
        <stp>STK</stp>
        <stp>068290</stp>
        <stp>등락률</stp>
        <stp/>
        <stp/>
        <tr r="AJ45" s="2"/>
      </tp>
      <tp>
        <v>-0.34</v>
        <stp/>
        <stp>P</stp>
        <stp>0</stp>
        <stp>STK</stp>
        <stp>264900</stp>
        <stp>등락률</stp>
        <stp/>
        <stp/>
        <tr r="AD47" s="2"/>
      </tp>
      <tp t="s">
        <v>NAVER</v>
        <stp/>
        <stp>P</stp>
        <stp>0</stp>
        <stp>STK</stp>
        <stp>035420</stp>
        <stp>한글종목명</stp>
        <stp/>
        <stp/>
        <tr r="AG14" s="2"/>
      </tp>
      <tp t="s">
        <v>세기상사</v>
        <stp/>
        <stp>P</stp>
        <stp>0</stp>
        <stp>STK</stp>
        <stp>002420</stp>
        <stp>한글종목명</stp>
        <stp/>
        <stp/>
        <tr r="AG47" s="2"/>
      </tp>
      <tp t="s">
        <v>갤럭시아에스엠</v>
        <stp/>
        <stp>P</stp>
        <stp>0</stp>
        <stp>STK</stp>
        <stp>011420</stp>
        <stp>한글종목명</stp>
        <stp/>
        <stp/>
        <tr r="AG20" s="2"/>
      </tp>
      <tp t="s">
        <v>서울식품</v>
        <stp/>
        <stp>P</stp>
        <stp>0</stp>
        <stp>STK</stp>
        <stp>004410</stp>
        <stp>한글종목명</stp>
        <stp/>
        <stp/>
        <tr r="AA40" s="2"/>
      </tp>
      <tp t="s">
        <v>서울식품우</v>
        <stp/>
        <stp>P</stp>
        <stp>0</stp>
        <stp>STK</stp>
        <stp>004415</stp>
        <stp>한글종목명</stp>
        <stp/>
        <stp/>
        <tr r="AA41" s="2"/>
      </tp>
      <tp t="s">
        <v>쿠쿠홀딩스</v>
        <stp/>
        <stp>P</stp>
        <stp>0</stp>
        <stp>STK</stp>
        <stp>192400</stp>
        <stp>한글종목명</stp>
        <stp/>
        <stp/>
        <tr r="V5" s="1"/>
      </tp>
      <tp t="s">
        <v>삼성SDI</v>
        <stp/>
        <stp>P</stp>
        <stp>0</stp>
        <stp>STK</stp>
        <stp>006400</stp>
        <stp>한글종목명</stp>
        <stp/>
        <stp/>
        <tr r="O5" s="1"/>
      </tp>
      <tp t="s">
        <v>SK렌터카</v>
        <stp/>
        <stp>P</stp>
        <stp>0</stp>
        <stp>STK</stp>
        <stp>068400</stp>
        <stp>한글종목명</stp>
        <stp/>
        <stp/>
        <tr r="AG7" s="2"/>
      </tp>
      <tp t="s">
        <v>한창제지</v>
        <stp/>
        <stp>P</stp>
        <stp>0</stp>
        <stp>STK</stp>
        <stp>009460</stp>
        <stp>한글종목명</stp>
        <stp/>
        <stp/>
        <tr r="AM27" s="2"/>
      </tp>
      <tp t="s">
        <v>경동나비엔</v>
        <stp/>
        <stp>P</stp>
        <stp>0</stp>
        <stp>STK</stp>
        <stp>009450</stp>
        <stp>한글종목명</stp>
        <stp/>
        <stp/>
        <tr r="Z5" s="1"/>
      </tp>
      <tp t="s">
        <v>신세계푸드</v>
        <stp/>
        <stp>P</stp>
        <stp>0</stp>
        <stp>STK</stp>
        <stp>031440</stp>
        <stp>한글종목명</stp>
        <stp/>
        <stp/>
        <tr r="AG50" s="2"/>
      </tp>
      <tp t="s">
        <v>대한전선</v>
        <stp/>
        <stp>P</stp>
        <stp>0</stp>
        <stp>STK</stp>
        <stp>001440</stp>
        <stp>한글종목명</stp>
        <stp/>
        <stp/>
        <tr r="W5" s="1"/>
      </tp>
      <tp t="s">
        <v>선진</v>
        <stp/>
        <stp>P</stp>
        <stp>0</stp>
        <stp>STK</stp>
        <stp>136490</stp>
        <stp>한글종목명</stp>
        <stp/>
        <stp/>
        <tr r="AA42" s="2"/>
      </tp>
      <tp>
        <v>49090</v>
        <stp/>
        <stp>P</stp>
        <stp>0</stp>
        <stp>STK</stp>
        <stp>192400</stp>
        <stp>당기법인세자산</stp>
        <stp>45107</stp>
        <stp>Cons=연결</stp>
        <tr r="V20" s="1"/>
      </tp>
      <tp>
        <v>2912918</v>
        <stp/>
        <stp>P</stp>
        <stp>0</stp>
        <stp>STK</stp>
        <stp>192400</stp>
        <stp>이연법인세자산</stp>
        <stp>45107</stp>
        <stp>Cons=연결</stp>
        <tr r="V19" s="1"/>
      </tp>
      <tp>
        <v>-0.42</v>
        <stp/>
        <stp>P</stp>
        <stp>0</stp>
        <stp>STK</stp>
        <stp>019680</stp>
        <stp>등락률</stp>
        <stp/>
        <stp/>
        <tr r="AJ25" s="2"/>
      </tp>
      <tp>
        <v>-0.98</v>
        <stp/>
        <stp>P</stp>
        <stp>0</stp>
        <stp>STK</stp>
        <stp>018260</stp>
        <stp>등락률</stp>
        <stp/>
        <stp/>
        <tr r="AJ43" s="2"/>
      </tp>
      <tp>
        <v>-1.99</v>
        <stp/>
        <stp>P</stp>
        <stp>0</stp>
        <stp>STK</stp>
        <stp>016710</stp>
        <stp>등락률</stp>
        <stp/>
        <stp/>
        <tr r="AJ27" s="2"/>
      </tp>
      <tp>
        <v>0.54</v>
        <stp/>
        <stp>P</stp>
        <stp>0</stp>
        <stp>STK</stp>
        <stp>016590</stp>
        <stp>등락률</stp>
        <stp/>
        <stp/>
        <tr r="AP16" s="2"/>
      </tp>
      <tp>
        <v>0.61</v>
        <stp/>
        <stp>P</stp>
        <stp>0</stp>
        <stp>STK</stp>
        <stp>145995</stp>
        <stp>등락률</stp>
        <stp/>
        <stp/>
        <tr r="AD37" s="2"/>
      </tp>
      <tp>
        <v>0</v>
        <stp/>
        <stp>P</stp>
        <stp>0</stp>
        <stp>STK</stp>
        <stp>015540</stp>
        <stp>등락률</stp>
        <stp/>
        <stp/>
        <tr r="AJ38" s="2"/>
      </tp>
      <tp>
        <v>0.81</v>
        <stp/>
        <stp>P</stp>
        <stp>0</stp>
        <stp>STK</stp>
        <stp>015020</stp>
        <stp>등락률</stp>
        <stp/>
        <stp/>
        <tr r="AJ60" s="2"/>
      </tp>
      <tp>
        <v>-0.55000000000000004</v>
        <stp/>
        <stp>P</stp>
        <stp>0</stp>
        <stp>STK</stp>
        <stp>014710</stp>
        <stp>등락률</stp>
        <stp/>
        <stp/>
        <tr r="AD33" s="2"/>
      </tp>
      <tp>
        <v>-0.87</v>
        <stp/>
        <stp>P</stp>
        <stp>0</stp>
        <stp>STK</stp>
        <stp>214320</stp>
        <stp>등락률</stp>
        <stp/>
        <stp/>
        <tr r="AJ59" s="2"/>
      </tp>
      <tp>
        <v>-0.31</v>
        <stp/>
        <stp>P</stp>
        <stp>0</stp>
        <stp>STK</stp>
        <stp>114090</stp>
        <stp>등락률</stp>
        <stp/>
        <stp/>
        <tr r="AJ11" s="2"/>
      </tp>
      <tp>
        <v>-0.49</v>
        <stp/>
        <stp>P</stp>
        <stp>0</stp>
        <stp>STK</stp>
        <stp>014160</stp>
        <stp>등락률</stp>
        <stp/>
        <stp/>
        <tr r="AP8" s="2"/>
      </tp>
      <tp>
        <v>0.28000000000000003</v>
        <stp/>
        <stp>P</stp>
        <stp>0</stp>
        <stp>STK</stp>
        <stp>213500</stp>
        <stp>등락률</stp>
        <stp/>
        <stp/>
        <tr r="AP25" s="2"/>
      </tp>
      <tp>
        <v>0.91</v>
        <stp/>
        <stp>P</stp>
        <stp>0</stp>
        <stp>STK</stp>
        <stp>012690</stp>
        <stp>등락률</stp>
        <stp/>
        <stp/>
        <tr r="AP9" s="2"/>
      </tp>
      <tp>
        <v>0.18</v>
        <stp/>
        <stp>P</stp>
        <stp>0</stp>
        <stp>STK</stp>
        <stp>012750</stp>
        <stp>등락률</stp>
        <stp/>
        <stp/>
        <tr r="AJ52" s="2"/>
      </tp>
      <tp>
        <v>-0.45</v>
        <stp/>
        <stp>P</stp>
        <stp>0</stp>
        <stp>STK</stp>
        <stp>012510</stp>
        <stp>등락률</stp>
        <stp/>
        <stp/>
        <tr r="AJ28" s="2"/>
      </tp>
      <tp>
        <v>-0.88</v>
        <stp/>
        <stp>P</stp>
        <stp>0</stp>
        <stp>STK</stp>
        <stp>012030</stp>
        <stp>등락률</stp>
        <stp/>
        <stp/>
        <tr r="AJ10" s="2"/>
      </tp>
      <tp>
        <v>-0.96</v>
        <stp/>
        <stp>P</stp>
        <stp>0</stp>
        <stp>STK</stp>
        <stp>011420</stp>
        <stp>등락률</stp>
        <stp/>
        <stp/>
        <tr r="AJ20" s="2"/>
      </tp>
      <tp>
        <v>0</v>
        <stp/>
        <stp>P</stp>
        <stp>0</stp>
        <stp>STK</stp>
        <stp>011280</stp>
        <stp>등락률</stp>
        <stp/>
        <stp/>
        <tr r="AP22" s="2"/>
      </tp>
      <tp>
        <v>-1.1599999999999999</v>
        <stp/>
        <stp>P</stp>
        <stp>0</stp>
        <stp>STK</stp>
        <stp>011150</stp>
        <stp>등락률</stp>
        <stp/>
        <stp/>
        <tr r="AD6" s="2"/>
      </tp>
      <tp>
        <v>0.48</v>
        <stp/>
        <stp>P</stp>
        <stp>0</stp>
        <stp>STK</stp>
        <stp>210980</stp>
        <stp>등락률</stp>
        <stp/>
        <stp/>
        <tr r="AJ18" s="2"/>
      </tp>
      <tp t="s">
        <v>KCC건설</v>
        <stp/>
        <stp>P</stp>
        <stp>0</stp>
        <stp>STK</stp>
        <stp>021320</stp>
        <stp>한글종목명</stp>
        <stp/>
        <stp/>
        <tr r="N5" s="1"/>
      </tp>
      <tp t="s">
        <v>NICE</v>
        <stp/>
        <stp>P</stp>
        <stp>0</stp>
        <stp>STK</stp>
        <stp>034310</stp>
        <stp>한글종목명</stp>
        <stp/>
        <stp/>
        <tr r="AG16" s="2"/>
      </tp>
      <tp t="s">
        <v>아세아제지</v>
        <stp/>
        <stp>P</stp>
        <stp>0</stp>
        <stp>STK</stp>
        <stp>002310</stp>
        <stp>한글종목명</stp>
        <stp/>
        <stp/>
        <tr r="AM18" s="2"/>
      </tp>
      <tp t="s">
        <v>오뚜기</v>
        <stp/>
        <stp>P</stp>
        <stp>0</stp>
        <stp>STK</stp>
        <stp>007310</stp>
        <stp>한글종목명</stp>
        <stp/>
        <stp/>
        <tr r="AA43" s="2"/>
      </tp>
      <tp t="s">
        <v>한국제지</v>
        <stp/>
        <stp>P</stp>
        <stp>0</stp>
        <stp>STK</stp>
        <stp>002300</stp>
        <stp>한글종목명</stp>
        <stp/>
        <stp/>
        <tr r="AM24" s="2"/>
      </tp>
      <tp t="s">
        <v>롯데칠성</v>
        <stp/>
        <stp>P</stp>
        <stp>0</stp>
        <stp>STK</stp>
        <stp>005300</stp>
        <stp>한글종목명</stp>
        <stp/>
        <stp/>
        <tr r="AA24" s="2"/>
      </tp>
      <tp t="s">
        <v>이노션</v>
        <stp/>
        <stp>P</stp>
        <stp>0</stp>
        <stp>STK</stp>
        <stp>214320</stp>
        <stp>한글종목명</stp>
        <stp/>
        <stp/>
        <tr r="AG59" s="2"/>
      </tp>
      <tp t="s">
        <v>롯데칠성우</v>
        <stp/>
        <stp>P</stp>
        <stp>0</stp>
        <stp>STK</stp>
        <stp>005305</stp>
        <stp>한글종목명</stp>
        <stp/>
        <stp/>
        <tr r="AA25" s="2"/>
      </tp>
      <tp t="s">
        <v>농심</v>
        <stp/>
        <stp>P</stp>
        <stp>0</stp>
        <stp>STK</stp>
        <stp>004370</stp>
        <stp>한글종목명</stp>
        <stp/>
        <stp/>
        <tr r="AA15" s="2"/>
      </tp>
      <tp t="s">
        <v>하이골드3호</v>
        <stp/>
        <stp>P</stp>
        <stp>0</stp>
        <stp>STK</stp>
        <stp>153360</stp>
        <stp>한글종목명</stp>
        <stp/>
        <stp/>
        <tr r="AG76" s="2"/>
      </tp>
      <tp t="s">
        <v>동북아12호</v>
        <stp/>
        <stp>P</stp>
        <stp>0</stp>
        <stp>STK</stp>
        <stp>083370</stp>
        <stp>한글종목명</stp>
        <stp/>
        <stp/>
        <tr r="AG30" s="2"/>
      </tp>
      <tp t="s">
        <v>한국종합기술</v>
        <stp/>
        <stp>P</stp>
        <stp>0</stp>
        <stp>STK</stp>
        <stp>023350</stp>
        <stp>한글종목명</stp>
        <stp/>
        <stp/>
        <tr r="AG78" s="2"/>
      </tp>
      <tp t="s">
        <v>롯데관광개발</v>
        <stp/>
        <stp>P</stp>
        <stp>0</stp>
        <stp>STK</stp>
        <stp>032350</stp>
        <stp>한글종목명</stp>
        <stp/>
        <stp/>
        <tr r="AG37" s="2"/>
      </tp>
      <tp t="s">
        <v>롯데웰푸드</v>
        <stp/>
        <stp>P</stp>
        <stp>0</stp>
        <stp>STK</stp>
        <stp>280360</stp>
        <stp>한글종목명</stp>
        <stp/>
        <stp/>
        <tr r="AA23" s="2"/>
      </tp>
      <tp t="s">
        <v>동북아13호</v>
        <stp/>
        <stp>P</stp>
        <stp>0</stp>
        <stp>STK</stp>
        <stp>083380</stp>
        <stp>한글종목명</stp>
        <stp/>
        <stp/>
        <tr r="AG31" s="2"/>
      </tp>
      <tp>
        <v>-345042</v>
        <stp/>
        <stp>P</stp>
        <stp>0</stp>
        <stp>STK</stp>
        <stp>009450</stp>
        <stp>예수부채</stp>
        <stp>45107</stp>
        <stp>Cons=연결</stp>
        <tr r="Z41" s="1"/>
      </tp>
      <tp>
        <v>-16170</v>
        <stp/>
        <stp>P</stp>
        <stp>0</stp>
        <stp>STK</stp>
        <stp>009150</stp>
        <stp>예수부채</stp>
        <stp>45107</stp>
        <stp>Cons=연결</stp>
        <tr r="Q41" s="1"/>
      </tp>
      <tp>
        <v>-0.2</v>
        <stp/>
        <stp>P</stp>
        <stp>0</stp>
        <stp>STK</stp>
        <stp>009770</stp>
        <stp>등락률</stp>
        <stp/>
        <stp/>
        <tr r="AP12" s="2"/>
      </tp>
      <tp>
        <v>-0.5</v>
        <stp/>
        <stp>P</stp>
        <stp>0</stp>
        <stp>STK</stp>
        <stp>009460</stp>
        <stp>등락률</stp>
        <stp/>
        <stp/>
        <tr r="AP27" s="2"/>
      </tp>
      <tp>
        <v>-0.74</v>
        <stp/>
        <stp>P</stp>
        <stp>0</stp>
        <stp>STK</stp>
        <stp>009580</stp>
        <stp>등락률</stp>
        <stp/>
        <stp/>
        <tr r="AP10" s="2"/>
      </tp>
      <tp>
        <v>-0.84</v>
        <stp/>
        <stp>P</stp>
        <stp>0</stp>
        <stp>STK</stp>
        <stp>009200</stp>
        <stp>등락률</stp>
        <stp/>
        <stp/>
        <tr r="AP11" s="2"/>
      </tp>
      <tp>
        <v>0</v>
        <stp/>
        <stp>P</stp>
        <stp>0</stp>
        <stp>STK</stp>
        <stp>109070</stp>
        <stp>등락률</stp>
        <stp/>
        <stp/>
        <tr r="AP21" s="2"/>
      </tp>
      <tp>
        <v>0.14000000000000001</v>
        <stp/>
        <stp>P</stp>
        <stp>0</stp>
        <stp>STK</stp>
        <stp>008250</stp>
        <stp>등락률</stp>
        <stp/>
        <stp/>
        <tr r="AP20" s="2"/>
      </tp>
      <tp>
        <v>0.56999999999999995</v>
        <stp/>
        <stp>P</stp>
        <stp>0</stp>
        <stp>STK</stp>
        <stp>008040</stp>
        <stp>등락률</stp>
        <stp/>
        <stp/>
        <tr r="AD32" s="2"/>
      </tp>
      <tp>
        <v>-0.81</v>
        <stp/>
        <stp>P</stp>
        <stp>0</stp>
        <stp>STK</stp>
        <stp>007310</stp>
        <stp>등락률</stp>
        <stp/>
        <stp/>
        <tr r="AD43" s="2"/>
      </tp>
      <tp>
        <v>-0.64</v>
        <stp/>
        <stp>P</stp>
        <stp>0</stp>
        <stp>STK</stp>
        <stp>007120</stp>
        <stp>등락률</stp>
        <stp/>
        <stp/>
        <tr r="AJ40" s="2"/>
      </tp>
      <tp>
        <v>-1.79</v>
        <stp/>
        <stp>P</stp>
        <stp>0</stp>
        <stp>STK</stp>
        <stp>006980</stp>
        <stp>등락률</stp>
        <stp/>
        <stp/>
        <tr r="AD45" s="2"/>
      </tp>
      <tp>
        <v>0.62</v>
        <stp/>
        <stp>P</stp>
        <stp>0</stp>
        <stp>STK</stp>
        <stp>006740</stp>
        <stp>등락률</stp>
        <stp/>
        <stp/>
        <tr r="AP19" s="2"/>
      </tp>
      <tp>
        <v>-1.05</v>
        <stp/>
        <stp>P</stp>
        <stp>0</stp>
        <stp>STK</stp>
        <stp>006090</stp>
        <stp>등락률</stp>
        <stp/>
        <stp/>
        <tr r="AD34" s="2"/>
      </tp>
      <tp>
        <v>-0.75</v>
        <stp/>
        <stp>P</stp>
        <stp>0</stp>
        <stp>STK</stp>
        <stp>005610</stp>
        <stp>등락률</stp>
        <stp/>
        <stp/>
        <tr r="AD11" s="2"/>
      </tp>
      <tp>
        <v>-0.71</v>
        <stp/>
        <stp>P</stp>
        <stp>0</stp>
        <stp>STK</stp>
        <stp>005250</stp>
        <stp>등락률</stp>
        <stp/>
        <stp/>
        <tr r="AJ22" s="2"/>
      </tp>
      <tp>
        <v>0.08</v>
        <stp/>
        <stp>P</stp>
        <stp>0</stp>
        <stp>STK</stp>
        <stp>005300</stp>
        <stp>등락률</stp>
        <stp/>
        <stp/>
        <tr r="AD24" s="2"/>
      </tp>
      <tp>
        <v>1.65</v>
        <stp/>
        <stp>P</stp>
        <stp>0</stp>
        <stp>STK</stp>
        <stp>005180</stp>
        <stp>등락률</stp>
        <stp/>
        <stp/>
        <tr r="AD30" s="2"/>
      </tp>
      <tp>
        <v>0</v>
        <stp/>
        <stp>P</stp>
        <stp>0</stp>
        <stp>STK</stp>
        <stp>004410</stp>
        <stp>등락률</stp>
        <stp/>
        <stp/>
        <tr r="AD40" s="2"/>
      </tp>
      <tp>
        <v>1.1000000000000001</v>
        <stp/>
        <stp>P</stp>
        <stp>0</stp>
        <stp>STK</stp>
        <stp>004540</stp>
        <stp>등락률</stp>
        <stp/>
        <stp/>
        <tr r="AP6" s="2"/>
      </tp>
      <tp>
        <v>-0.25</v>
        <stp/>
        <stp>P</stp>
        <stp>0</stp>
        <stp>STK</stp>
        <stp>204210</stp>
        <stp>등락률</stp>
        <stp/>
        <stp/>
        <tr r="AJ39" s="2"/>
      </tp>
      <tp>
        <v>-0.44</v>
        <stp/>
        <stp>P</stp>
        <stp>0</stp>
        <stp>STK</stp>
        <stp>004370</stp>
        <stp>등락률</stp>
        <stp/>
        <stp/>
        <tr r="AD15" s="2"/>
      </tp>
      <tp>
        <v>0.53</v>
        <stp/>
        <stp>P</stp>
        <stp>0</stp>
        <stp>STK</stp>
        <stp>003960</stp>
        <stp>등락률</stp>
        <stp/>
        <stp/>
        <tr r="AD31" s="2"/>
      </tp>
      <tp>
        <v>-0.11</v>
        <stp/>
        <stp>P</stp>
        <stp>0</stp>
        <stp>STK</stp>
        <stp>003920</stp>
        <stp>등락률</stp>
        <stp/>
        <stp/>
        <tr r="AD13" s="2"/>
      </tp>
      <tp>
        <v>-3.4</v>
        <stp/>
        <stp>P</stp>
        <stp>0</stp>
        <stp>STK</stp>
        <stp>003680</stp>
        <stp>등락률</stp>
        <stp/>
        <stp/>
        <tr r="AD52" s="2"/>
      </tp>
      <tp>
        <v>0</v>
        <stp/>
        <stp>P</stp>
        <stp>0</stp>
        <stp>STK</stp>
        <stp>003560</stp>
        <stp>등락률</stp>
        <stp/>
        <stp/>
        <tr r="AJ12" s="2"/>
      </tp>
      <tp>
        <v>1.58</v>
        <stp/>
        <stp>P</stp>
        <stp>0</stp>
        <stp>STK</stp>
        <stp>003230</stp>
        <stp>등락률</stp>
        <stp/>
        <stp/>
        <tr r="AD38" s="2"/>
      </tp>
      <tp>
        <v>-0.89</v>
        <stp/>
        <stp>P</stp>
        <stp>0</stp>
        <stp>STK</stp>
        <stp>002870</stp>
        <stp>등락률</stp>
        <stp/>
        <stp/>
        <tr r="AP17" s="2"/>
      </tp>
      <tp>
        <v>-1.1200000000000001</v>
        <stp/>
        <stp>P</stp>
        <stp>0</stp>
        <stp>STK</stp>
        <stp>002820</stp>
        <stp>등락률</stp>
        <stp/>
        <stp/>
        <tr r="AP13" s="2"/>
      </tp>
      <tp>
        <v>-0.36</v>
        <stp/>
        <stp>P</stp>
        <stp>0</stp>
        <stp>STK</stp>
        <stp>002620</stp>
        <stp>등락률</stp>
        <stp/>
        <stp/>
        <tr r="AJ63" s="2"/>
      </tp>
      <tp>
        <v>0</v>
        <stp/>
        <stp>P</stp>
        <stp>0</stp>
        <stp>STK</stp>
        <stp>002600</stp>
        <stp>등락률</stp>
        <stp/>
        <stp/>
        <tr r="AD46" s="2"/>
      </tp>
      <tp>
        <v>0</v>
        <stp/>
        <stp>P</stp>
        <stp>0</stp>
        <stp>STK</stp>
        <stp>002420</stp>
        <stp>등락률</stp>
        <stp/>
        <stp/>
        <tr r="AJ47" s="2"/>
      </tp>
      <tp t="s">
        <v/>
        <stp/>
        <stp>P</stp>
        <stp>0</stp>
        <stp>STK</stp>
        <stp>002270</stp>
        <stp>등락률</stp>
        <stp/>
        <stp/>
        <tr r="AD26" s="2"/>
      </tp>
      <tp>
        <v>-0.73</v>
        <stp/>
        <stp>P</stp>
        <stp>0</stp>
        <stp>STK</stp>
        <stp>102260</stp>
        <stp>등락률</stp>
        <stp/>
        <stp/>
        <tr r="AJ32" s="2"/>
      </tp>
      <tp>
        <v>-0.81</v>
        <stp/>
        <stp>P</stp>
        <stp>0</stp>
        <stp>STK</stp>
        <stp>002200</stp>
        <stp>등락률</stp>
        <stp/>
        <stp/>
        <tr r="AP15" s="2"/>
      </tp>
      <tp>
        <v>0.13</v>
        <stp/>
        <stp>P</stp>
        <stp>0</stp>
        <stp>STK</stp>
        <stp>002310</stp>
        <stp>등락률</stp>
        <stp/>
        <stp/>
        <tr r="AP18" s="2"/>
      </tp>
      <tp t="s">
        <v/>
        <stp/>
        <stp>P</stp>
        <stp>0</stp>
        <stp>STK</stp>
        <stp>002300</stp>
        <stp>등락률</stp>
        <stp/>
        <stp/>
        <tr r="AP24" s="2"/>
      </tp>
      <tp>
        <v>-0.82</v>
        <stp/>
        <stp>P</stp>
        <stp>0</stp>
        <stp>STK</stp>
        <stp>002030</stp>
        <stp>등락률</stp>
        <stp/>
        <stp/>
        <tr r="AJ51" s="2"/>
      </tp>
      <tp>
        <v>-1.22</v>
        <stp/>
        <stp>P</stp>
        <stp>0</stp>
        <stp>STK</stp>
        <stp>002150</stp>
        <stp>등락률</stp>
        <stp/>
        <stp/>
        <tr r="AJ29" s="2"/>
      </tp>
      <tp>
        <v>0</v>
        <stp/>
        <stp>P</stp>
        <stp>0</stp>
        <stp>STK</stp>
        <stp>002140</stp>
        <stp>등락률</stp>
        <stp/>
        <stp/>
        <tr r="AD12" s="2"/>
      </tp>
      <tp>
        <v>-0.56000000000000005</v>
        <stp/>
        <stp>P</stp>
        <stp>0</stp>
        <stp>STK</stp>
        <stp>001680</stp>
        <stp>등락률</stp>
        <stp/>
        <stp/>
        <tr r="AD16" s="2"/>
      </tp>
      <tp>
        <v>-1.08</v>
        <stp/>
        <stp>P</stp>
        <stp>0</stp>
        <stp>STK</stp>
        <stp>001790</stp>
        <stp>등락률</stp>
        <stp/>
        <stp/>
        <tr r="AD18" s="2"/>
      </tp>
      <tp>
        <v>0.18</v>
        <stp/>
        <stp>P</stp>
        <stp>0</stp>
        <stp>STK</stp>
        <stp>101530</stp>
        <stp>등락률</stp>
        <stp/>
        <stp/>
        <tr r="AD53" s="2"/>
      </tp>
      <tp>
        <v>0.57999999999999996</v>
        <stp/>
        <stp>P</stp>
        <stp>0</stp>
        <stp>STK</stp>
        <stp>001020</stp>
        <stp>등락률</stp>
        <stp/>
        <stp/>
        <tr r="AP23" s="2"/>
      </tp>
      <tp>
        <v>-0.91</v>
        <stp/>
        <stp>P</stp>
        <stp>0</stp>
        <stp>STK</stp>
        <stp>001130</stp>
        <stp>등락률</stp>
        <stp/>
        <stp/>
        <tr r="AD21" s="2"/>
      </tp>
      <tp>
        <v>-1.57</v>
        <stp/>
        <stp>P</stp>
        <stp>0</stp>
        <stp>STK</stp>
        <stp>000890</stp>
        <stp>등락률</stp>
        <stp/>
        <stp/>
        <tr r="AD29" s="2"/>
      </tp>
      <tp>
        <v>-0.17</v>
        <stp/>
        <stp>P</stp>
        <stp>0</stp>
        <stp>STK</stp>
        <stp>000700</stp>
        <stp>등락률</stp>
        <stp/>
        <stp/>
        <tr r="AJ57" s="2"/>
      </tp>
      <tp>
        <v>2.02</v>
        <stp/>
        <stp>P</stp>
        <stp>0</stp>
        <stp>STK</stp>
        <stp>100220</stp>
        <stp>등락률</stp>
        <stp/>
        <stp/>
        <tr r="AJ42" s="2"/>
      </tp>
      <tp>
        <v>-1.29</v>
        <stp/>
        <stp>P</stp>
        <stp>0</stp>
        <stp>STK</stp>
        <stp>000080</stp>
        <stp>등락률</stp>
        <stp/>
        <stp/>
        <tr r="AD50" s="2"/>
      </tp>
      <tp>
        <v>0.74</v>
        <stp/>
        <stp>P</stp>
        <stp>0</stp>
        <stp>STK</stp>
        <stp>000180</stp>
        <stp>등락률</stp>
        <stp/>
        <stp/>
        <tr r="AJ46" s="2"/>
      </tp>
      <tp>
        <v>0.18</v>
        <stp/>
        <stp>P</stp>
        <stp>0</stp>
        <stp>STK</stp>
        <stp>000150</stp>
        <stp>등락률</stp>
        <stp/>
        <stp/>
        <tr r="AJ34" s="2"/>
      </tp>
      <tp t="s">
        <v>삼양식품</v>
        <stp/>
        <stp>P</stp>
        <stp>0</stp>
        <stp>STK</stp>
        <stp>003230</stp>
        <stp>한글종목명</stp>
        <stp/>
        <stp/>
        <tr r="AA38" s="2"/>
      </tp>
      <tp t="s">
        <v>비상교육</v>
        <stp/>
        <stp>P</stp>
        <stp>0</stp>
        <stp>STK</stp>
        <stp>100220</stp>
        <stp>한글종목명</stp>
        <stp/>
        <stp/>
        <tr r="AG42" s="2"/>
      </tp>
      <tp t="s">
        <v>모두투어리츠</v>
        <stp/>
        <stp>P</stp>
        <stp>0</stp>
        <stp>STK</stp>
        <stp>204210</stp>
        <stp>한글종목명</stp>
        <stp/>
        <stp/>
        <tr r="AG39" s="2"/>
      </tp>
      <tp t="s">
        <v>LG디스플레이</v>
        <stp/>
        <stp>P</stp>
        <stp>0</stp>
        <stp>STK</stp>
        <stp>034220</stp>
        <stp>한글종목명</stp>
        <stp/>
        <stp/>
        <tr r="R5" s="1"/>
      </tp>
      <tp t="s">
        <v>스카이라이프</v>
        <stp/>
        <stp>P</stp>
        <stp>0</stp>
        <stp>STK</stp>
        <stp>053210</stp>
        <stp>한글종목명</stp>
        <stp/>
        <stp/>
        <tr r="AG48" s="2"/>
      </tp>
      <tp t="s">
        <v>무림페이퍼</v>
        <stp/>
        <stp>P</stp>
        <stp>0</stp>
        <stp>STK</stp>
        <stp>009200</stp>
        <stp>한글종목명</stp>
        <stp/>
        <stp/>
        <tr r="AM11" s="2"/>
      </tp>
      <tp t="s">
        <v>한국수출포장</v>
        <stp/>
        <stp>P</stp>
        <stp>0</stp>
        <stp>STK</stp>
        <stp>002200</stp>
        <stp>한글종목명</stp>
        <stp/>
        <stp/>
        <tr r="AM15" s="2"/>
      </tp>
      <tp t="s">
        <v>롯데푸드</v>
        <stp/>
        <stp>P</stp>
        <stp>0</stp>
        <stp>STK</stp>
        <stp>002270</stp>
        <stp>한글종목명</stp>
        <stp/>
        <stp/>
        <tr r="AA26" s="2"/>
      </tp>
      <tp t="s">
        <v>동성케미컬</v>
        <stp/>
        <stp>P</stp>
        <stp>0</stp>
        <stp>STK</stp>
        <stp>102260</stp>
        <stp>한글종목명</stp>
        <stp/>
        <stp/>
        <tr r="AG32" s="2"/>
      </tp>
      <tp t="s">
        <v>삼성에스디에스</v>
        <stp/>
        <stp>P</stp>
        <stp>0</stp>
        <stp>STK</stp>
        <stp>018260</stp>
        <stp>한글종목명</stp>
        <stp/>
        <stp/>
        <tr r="AG43" s="2"/>
      </tp>
      <tp t="s">
        <v>케이탑리츠</v>
        <stp/>
        <stp>P</stp>
        <stp>0</stp>
        <stp>STK</stp>
        <stp>145270</stp>
        <stp>한글종목명</stp>
        <stp/>
        <stp/>
        <tr r="AG66" s="2"/>
      </tp>
      <tp t="s">
        <v>강원랜드</v>
        <stp/>
        <stp>P</stp>
        <stp>0</stp>
        <stp>STK</stp>
        <stp>035250</stp>
        <stp>한글종목명</stp>
        <stp/>
        <stp/>
        <tr r="AG19" s="2"/>
      </tp>
      <tp t="s">
        <v>이건산업</v>
        <stp/>
        <stp>P</stp>
        <stp>0</stp>
        <stp>STK</stp>
        <stp>008250</stp>
        <stp>한글종목명</stp>
        <stp/>
        <stp/>
        <tr r="AM20" s="2"/>
      </tp>
      <tp t="s">
        <v>녹십자홀딩스</v>
        <stp/>
        <stp>P</stp>
        <stp>0</stp>
        <stp>STK</stp>
        <stp>005250</stp>
        <stp>한글종목명</stp>
        <stp/>
        <stp/>
        <tr r="AG22" s="2"/>
      </tp>
      <tp t="s">
        <v>녹십자홀딩스2우</v>
        <stp/>
        <stp>P</stp>
        <stp>0</stp>
        <stp>STK</stp>
        <stp>005257</stp>
        <stp>한글종목명</stp>
        <stp/>
        <stp/>
        <tr r="AG23" s="2"/>
      </tp>
      <tp t="s">
        <v>넷마블</v>
        <stp/>
        <stp>P</stp>
        <stp>0</stp>
        <stp>STK</stp>
        <stp>251270</stp>
        <stp>한글종목명</stp>
        <stp/>
        <stp/>
        <tr r="AG21" s="2"/>
      </tp>
      <tp t="s">
        <v>코웨이</v>
        <stp/>
        <stp>P</stp>
        <stp>0</stp>
        <stp>STK</stp>
        <stp>021240</stp>
        <stp>한글종목명</stp>
        <stp/>
        <stp/>
        <tr r="AG68" s="2"/>
      </tp>
      <tp t="s">
        <v>HD현대일렉트릭</v>
        <stp/>
        <stp>P</stp>
        <stp>0</stp>
        <stp>STK</stp>
        <stp>267260</stp>
        <stp>한글종목명</stp>
        <stp/>
        <stp/>
        <tr r="AA5" s="1"/>
      </tp>
      <tp t="s">
        <v>삼성출판사</v>
        <stp/>
        <stp>P</stp>
        <stp>0</stp>
        <stp>STK</stp>
        <stp>068290</stp>
        <stp>한글종목명</stp>
        <stp/>
        <stp/>
        <tr r="AG45" s="2"/>
      </tp>
      <tp t="s">
        <v>태림포장</v>
        <stp/>
        <stp>P</stp>
        <stp>0</stp>
        <stp>STK</stp>
        <stp>011280</stp>
        <stp>한글종목명</stp>
        <stp/>
        <stp/>
        <tr r="AM22" s="2"/>
      </tp>
      <tp t="s">
        <v>효성ITX</v>
        <stp/>
        <stp>P</stp>
        <stp>0</stp>
        <stp>STK</stp>
        <stp>094280</stp>
        <stp>한글종목명</stp>
        <stp/>
        <stp/>
        <tr r="AG83" s="2"/>
      </tp>
      <tp>
        <v>0.1</v>
        <stp/>
        <stp>P</stp>
        <stp>0</stp>
        <stp>STK</stp>
        <stp>039130</stp>
        <stp>등락률</stp>
        <stp/>
        <stp/>
        <tr r="AJ74" s="2"/>
      </tp>
      <tp>
        <v>-0.12</v>
        <stp/>
        <stp>P</stp>
        <stp>0</stp>
        <stp>STK</stp>
        <stp>037560</stp>
        <stp>등락률</stp>
        <stp/>
        <stp/>
        <tr r="AJ9" s="2"/>
      </tp>
      <tp>
        <v>-0.24</v>
        <stp/>
        <stp>P</stp>
        <stp>0</stp>
        <stp>STK</stp>
        <stp>136490</stp>
        <stp>등락률</stp>
        <stp/>
        <stp/>
        <tr r="AD42" s="2"/>
      </tp>
      <tp>
        <v>-2.14</v>
        <stp/>
        <stp>P</stp>
        <stp>0</stp>
        <stp>STK</stp>
        <stp>036580</stp>
        <stp>등락률</stp>
        <stp/>
        <stp/>
        <tr r="AD49" s="2"/>
      </tp>
      <tp>
        <v>-1.18</v>
        <stp/>
        <stp>P</stp>
        <stp>0</stp>
        <stp>STK</stp>
        <stp>036570</stp>
        <stp>등락률</stp>
        <stp/>
        <stp/>
        <tr r="AJ54" s="2"/>
      </tp>
      <tp>
        <v>-1.33</v>
        <stp/>
        <stp>P</stp>
        <stp>0</stp>
        <stp>STK</stp>
        <stp>035720</stp>
        <stp>등락률</stp>
        <stp/>
        <stp/>
        <tr r="AJ65" s="2"/>
      </tp>
      <tp>
        <v>-1.38</v>
        <stp/>
        <stp>P</stp>
        <stp>0</stp>
        <stp>STK</stp>
        <stp>035420</stp>
        <stp>등락률</stp>
        <stp/>
        <stp/>
        <tr r="AJ14" s="2"/>
      </tp>
      <tp>
        <v>0.67</v>
        <stp/>
        <stp>P</stp>
        <stp>0</stp>
        <stp>STK</stp>
        <stp>035510</stp>
        <stp>등락률</stp>
        <stp/>
        <stp/>
        <tr r="AJ49" s="2"/>
      </tp>
      <tp>
        <v>-0.7</v>
        <stp/>
        <stp>P</stp>
        <stp>0</stp>
        <stp>STK</stp>
        <stp>035250</stp>
        <stp>등락률</stp>
        <stp/>
        <stp/>
        <tr r="AJ19" s="2"/>
      </tp>
      <tp>
        <v>0.34</v>
        <stp/>
        <stp>P</stp>
        <stp>0</stp>
        <stp>STK</stp>
        <stp>035000</stp>
        <stp>등락률</stp>
        <stp/>
        <stp/>
        <tr r="AJ64" s="2"/>
      </tp>
      <tp>
        <v>0.65</v>
        <stp/>
        <stp>P</stp>
        <stp>0</stp>
        <stp>STK</stp>
        <stp>034310</stp>
        <stp>등락률</stp>
        <stp/>
        <stp/>
        <tr r="AJ16" s="2"/>
      </tp>
      <tp>
        <v>-0.53</v>
        <stp/>
        <stp>P</stp>
        <stp>0</stp>
        <stp>STK</stp>
        <stp>034120</stp>
        <stp>등락률</stp>
        <stp/>
        <stp/>
        <tr r="AJ17" s="2"/>
      </tp>
      <tp>
        <v>0.53</v>
        <stp/>
        <stp>P</stp>
        <stp>0</stp>
        <stp>STK</stp>
        <stp>033920</stp>
        <stp>등락률</stp>
        <stp/>
        <stp/>
        <tr r="AD28" s="2"/>
      </tp>
      <tp>
        <v>-2.4900000000000002</v>
        <stp/>
        <stp>P</stp>
        <stp>0</stp>
        <stp>STK</stp>
        <stp>032350</stp>
        <stp>등락률</stp>
        <stp/>
        <stp/>
        <tr r="AJ37" s="2"/>
      </tp>
      <tp>
        <v>-1.36</v>
        <stp/>
        <stp>P</stp>
        <stp>0</stp>
        <stp>STK</stp>
        <stp>031820</stp>
        <stp>등락률</stp>
        <stp/>
        <stp/>
        <tr r="AJ69" s="2"/>
      </tp>
      <tp>
        <v>-0.87</v>
        <stp/>
        <stp>P</stp>
        <stp>0</stp>
        <stp>STK</stp>
        <stp>031440</stp>
        <stp>등락률</stp>
        <stp/>
        <stp/>
        <tr r="AJ50" s="2"/>
      </tp>
      <tp>
        <v>0.36</v>
        <stp/>
        <stp>P</stp>
        <stp>0</stp>
        <stp>STK</stp>
        <stp>130660</stp>
        <stp>등락률</stp>
        <stp/>
        <stp/>
        <tr r="AJ81" s="2"/>
      </tp>
      <tp>
        <v>0</v>
        <stp/>
        <stp>P</stp>
        <stp>0</stp>
        <stp>STK</stp>
        <stp>030790</stp>
        <stp>등락률</stp>
        <stp/>
        <stp/>
        <tr r="AJ33" s="2"/>
      </tp>
      <tp>
        <v>-0.05</v>
        <stp/>
        <stp>P</stp>
        <stp>0</stp>
        <stp>STK</stp>
        <stp>030000</stp>
        <stp>등락률</stp>
        <stp/>
        <stp/>
        <tr r="AJ62" s="2"/>
      </tp>
      <tp t="s">
        <v>하나투어</v>
        <stp/>
        <stp>P</stp>
        <stp>0</stp>
        <stp>STK</stp>
        <stp>039130</stp>
        <stp>한글종목명</stp>
        <stp/>
        <stp/>
        <tr r="AG74" s="2"/>
      </tp>
      <tp t="s">
        <v>대한제분</v>
        <stp/>
        <stp>P</stp>
        <stp>0</stp>
        <stp>STK</stp>
        <stp>001130</stp>
        <stp>한글종목명</stp>
        <stp/>
        <stp/>
        <tr r="AA21" s="2"/>
      </tp>
      <tp t="s">
        <v>유엔젤</v>
        <stp/>
        <stp>P</stp>
        <stp>0</stp>
        <stp>STK</stp>
        <stp>072130</stp>
        <stp>한글종목명</stp>
        <stp/>
        <stp/>
        <tr r="AG58" s="2"/>
      </tp>
      <tp t="s">
        <v>키다리스튜디오</v>
        <stp/>
        <stp>P</stp>
        <stp>0</stp>
        <stp>STK</stp>
        <stp>020120</stp>
        <stp>한글종목명</stp>
        <stp/>
        <stp/>
        <tr r="AG71" s="2"/>
      </tp>
      <tp t="s">
        <v>SBS</v>
        <stp/>
        <stp>P</stp>
        <stp>0</stp>
        <stp>STK</stp>
        <stp>034120</stp>
        <stp>한글종목명</stp>
        <stp/>
        <stp/>
        <tr r="AG17" s="2"/>
      </tp>
      <tp t="s">
        <v>미래아이앤지</v>
        <stp/>
        <stp>P</stp>
        <stp>0</stp>
        <stp>STK</stp>
        <stp>007120</stp>
        <stp>한글종목명</stp>
        <stp/>
        <stp/>
        <tr r="AG40" s="2"/>
      </tp>
      <tp t="s">
        <v>LS ELECTRIC</v>
        <stp/>
        <stp>P</stp>
        <stp>0</stp>
        <stp>STK</stp>
        <stp>010120</stp>
        <stp>한글종목명</stp>
        <stp/>
        <stp/>
        <tr r="T5" s="1"/>
      </tp>
      <tp t="s">
        <v>대영포장</v>
        <stp/>
        <stp>P</stp>
        <stp>0</stp>
        <stp>STK</stp>
        <stp>014160</stp>
        <stp>한글종목명</stp>
        <stp/>
        <stp/>
        <tr r="AM8" s="2"/>
      </tp>
      <tp t="s">
        <v>CJ CGV</v>
        <stp/>
        <stp>P</stp>
        <stp>0</stp>
        <stp>STK</stp>
        <stp>079160</stp>
        <stp>한글종목명</stp>
        <stp/>
        <stp/>
        <tr r="AG8" s="2"/>
      </tp>
      <tp t="s">
        <v>MH에탄올</v>
        <stp/>
        <stp>P</stp>
        <stp>0</stp>
        <stp>STK</stp>
        <stp>023150</stp>
        <stp>한글종목명</stp>
        <stp/>
        <stp/>
        <tr r="AA10" s="2"/>
      </tp>
      <tp t="s">
        <v>롯데에너지머티리얼즈</v>
        <stp/>
        <stp>P</stp>
        <stp>0</stp>
        <stp>STK</stp>
        <stp>020150</stp>
        <stp>한글종목명</stp>
        <stp/>
        <stp/>
        <tr r="U5" s="1"/>
      </tp>
      <tp t="s">
        <v>삼성전기</v>
        <stp/>
        <stp>P</stp>
        <stp>0</stp>
        <stp>STK</stp>
        <stp>009150</stp>
        <stp>한글종목명</stp>
        <stp/>
        <stp/>
        <tr r="Q5" s="1"/>
      </tp>
      <tp t="s">
        <v>도화엔지니어링</v>
        <stp/>
        <stp>P</stp>
        <stp>0</stp>
        <stp>STK</stp>
        <stp>002150</stp>
        <stp>한글종목명</stp>
        <stp/>
        <stp/>
        <tr r="AG29" s="2"/>
      </tp>
      <tp t="s">
        <v>두산</v>
        <stp/>
        <stp>P</stp>
        <stp>0</stp>
        <stp>STK</stp>
        <stp>000150</stp>
        <stp>한글종목명</stp>
        <stp/>
        <stp/>
        <tr r="AG34" s="2"/>
      </tp>
      <tp t="s">
        <v>CJ씨푸드</v>
        <stp/>
        <stp>P</stp>
        <stp>0</stp>
        <stp>STK</stp>
        <stp>011150</stp>
        <stp>한글종목명</stp>
        <stp/>
        <stp/>
        <tr r="AA6" s="2"/>
      </tp>
      <tp t="s">
        <v>두산2우B</v>
        <stp/>
        <stp>P</stp>
        <stp>0</stp>
        <stp>STK</stp>
        <stp>000157</stp>
        <stp>한글종목명</stp>
        <stp/>
        <stp/>
        <tr r="AG35" s="2"/>
      </tp>
      <tp t="s">
        <v>샘표식품</v>
        <stp/>
        <stp>P</stp>
        <stp>0</stp>
        <stp>STK</stp>
        <stp>248170</stp>
        <stp>한글종목명</stp>
        <stp/>
        <stp/>
        <tr r="AA39" s="2"/>
      </tp>
      <tp t="s">
        <v>CJ씨푸드1우</v>
        <stp/>
        <stp>P</stp>
        <stp>0</stp>
        <stp>STK</stp>
        <stp>011155</stp>
        <stp>한글종목명</stp>
        <stp/>
        <stp/>
        <tr r="AA7" s="2"/>
      </tp>
      <tp t="s">
        <v>두산우</v>
        <stp/>
        <stp>P</stp>
        <stp>0</stp>
        <stp>STK</stp>
        <stp>000155</stp>
        <stp>한글종목명</stp>
        <stp/>
        <stp/>
        <tr r="AG36" s="2"/>
      </tp>
      <tp t="s">
        <v>고려산업</v>
        <stp/>
        <stp>P</stp>
        <stp>0</stp>
        <stp>STK</stp>
        <stp>002140</stp>
        <stp>한글종목명</stp>
        <stp/>
        <stp/>
        <tr r="AA12" s="2"/>
      </tp>
      <tp t="s">
        <v>성창기업지주</v>
        <stp/>
        <stp>P</stp>
        <stp>0</stp>
        <stp>STK</stp>
        <stp>000180</stp>
        <stp>한글종목명</stp>
        <stp/>
        <stp/>
        <tr r="AG46" s="2"/>
      </tp>
      <tp t="s">
        <v>빙그레</v>
        <stp/>
        <stp>P</stp>
        <stp>0</stp>
        <stp>STK</stp>
        <stp>005180</stp>
        <stp>한글종목명</stp>
        <stp/>
        <stp/>
        <tr r="AA30" s="2"/>
      </tp>
      <tp>
        <v>-3.68</v>
        <stp/>
        <stp>P</stp>
        <stp>0</stp>
        <stp>STK</stp>
        <stp>028050</stp>
        <stp>등락률</stp>
        <stp/>
        <stp/>
        <tr r="AJ44" s="2"/>
      </tp>
      <tp>
        <v>0.94</v>
        <stp/>
        <stp>P</stp>
        <stp>0</stp>
        <stp>STK</stp>
        <stp>027970</stp>
        <stp>등락률</stp>
        <stp/>
        <stp/>
        <tr r="AP14" s="2"/>
      </tp>
      <tp>
        <v>-2.72</v>
        <stp/>
        <stp>P</stp>
        <stp>0</stp>
        <stp>STK</stp>
        <stp>027740</stp>
        <stp>등락률</stp>
        <stp/>
        <stp/>
        <tr r="AD27" s="2"/>
      </tp>
      <tp>
        <v>0.8</v>
        <stp/>
        <stp>P</stp>
        <stp>0</stp>
        <stp>STK</stp>
        <stp>126560</stp>
        <stp>등락률</stp>
        <stp/>
        <stp/>
        <tr r="AJ82" s="2"/>
      </tp>
      <tp>
        <v>-0.72</v>
        <stp/>
        <stp>P</stp>
        <stp>0</stp>
        <stp>STK</stp>
        <stp>025750</stp>
        <stp>등락률</stp>
        <stp/>
        <stp/>
        <tr r="AP26" s="2"/>
      </tp>
      <tp>
        <v>-0.97</v>
        <stp/>
        <stp>P</stp>
        <stp>0</stp>
        <stp>STK</stp>
        <stp>023590</stp>
        <stp>등락률</stp>
        <stp/>
        <stp/>
        <tr r="AJ24" s="2"/>
      </tp>
      <tp>
        <v>-1.32</v>
        <stp/>
        <stp>P</stp>
        <stp>0</stp>
        <stp>STK</stp>
        <stp>023350</stp>
        <stp>등락률</stp>
        <stp/>
        <stp/>
        <tr r="AJ78" s="2"/>
      </tp>
      <tp>
        <v>0.15</v>
        <stp/>
        <stp>P</stp>
        <stp>0</stp>
        <stp>STK</stp>
        <stp>023150</stp>
        <stp>등락률</stp>
        <stp/>
        <stp/>
        <tr r="AD10" s="2"/>
      </tp>
      <tp>
        <v>-2.33</v>
        <stp/>
        <stp>P</stp>
        <stp>0</stp>
        <stp>STK</stp>
        <stp>021240</stp>
        <stp>등락률</stp>
        <stp/>
        <stp/>
        <tr r="AJ68" s="2"/>
      </tp>
      <tp>
        <v>1.52</v>
        <stp/>
        <stp>P</stp>
        <stp>0</stp>
        <stp>STK</stp>
        <stp>020120</stp>
        <stp>등락률</stp>
        <stp/>
        <stp/>
        <tr r="AJ71" s="2"/>
      </tp>
      <tp t="s">
        <v>아세아</v>
        <stp/>
        <stp>P</stp>
        <stp>0</stp>
        <stp>STK</stp>
        <stp>002030</stp>
        <stp>한글종목명</stp>
        <stp/>
        <stp/>
        <tr r="AG51" s="2"/>
      </tp>
      <tp t="s">
        <v>DB</v>
        <stp/>
        <stp>P</stp>
        <stp>0</stp>
        <stp>STK</stp>
        <stp>012030</stp>
        <stp>한글종목명</stp>
        <stp/>
        <stp/>
        <tr r="AG10" s="2"/>
      </tp>
      <tp t="s">
        <v>페이퍼코리아</v>
        <stp/>
        <stp>P</stp>
        <stp>0</stp>
        <stp>STK</stp>
        <stp>001020</stp>
        <stp>한글종목명</stp>
        <stp/>
        <stp/>
        <tr r="AM23" s="2"/>
      </tp>
      <tp t="s">
        <v>이스타코</v>
        <stp/>
        <stp>P</stp>
        <stp>0</stp>
        <stp>STK</stp>
        <stp>015020</stp>
        <stp>한글종목명</stp>
        <stp/>
        <stp/>
        <tr r="AG60" s="2"/>
      </tp>
      <tp t="s">
        <v>제일기획</v>
        <stp/>
        <stp>P</stp>
        <stp>0</stp>
        <stp>STK</stp>
        <stp>030000</stp>
        <stp>한글종목명</stp>
        <stp/>
        <stp/>
        <tr r="AG62" s="2"/>
      </tp>
      <tp t="s">
        <v>HS애드</v>
        <stp/>
        <stp>P</stp>
        <stp>0</stp>
        <stp>STK</stp>
        <stp>035000</stp>
        <stp>한글종목명</stp>
        <stp/>
        <stp/>
        <tr r="AG64" s="2"/>
      </tp>
      <tp t="s">
        <v>텔코웨어</v>
        <stp/>
        <stp>P</stp>
        <stp>0</stp>
        <stp>STK</stp>
        <stp>078000</stp>
        <stp>한글종목명</stp>
        <stp/>
        <stp/>
        <tr r="AG72" s="2"/>
      </tp>
      <tp t="s">
        <v>LG이노텍</v>
        <stp/>
        <stp>P</stp>
        <stp>0</stp>
        <stp>STK</stp>
        <stp>011070</stp>
        <stp>한글종목명</stp>
        <stp/>
        <stp/>
        <tr r="S5" s="1"/>
      </tp>
      <tp t="s">
        <v>컨버즈</v>
        <stp/>
        <stp>P</stp>
        <stp>0</stp>
        <stp>STK</stp>
        <stp>109070</stp>
        <stp>한글종목명</stp>
        <stp/>
        <stp/>
        <tr r="AM21" s="2"/>
      </tp>
      <tp t="s">
        <v>삼성엔지니어링</v>
        <stp/>
        <stp>P</stp>
        <stp>0</stp>
        <stp>STK</stp>
        <stp>028050</stp>
        <stp>한글종목명</stp>
        <stp/>
        <stp/>
        <tr r="AG44" s="2"/>
      </tp>
      <tp t="s">
        <v>사조동아원</v>
        <stp/>
        <stp>P</stp>
        <stp>0</stp>
        <stp>STK</stp>
        <stp>008040</stp>
        <stp>한글종목명</stp>
        <stp/>
        <stp/>
        <tr r="AA32" s="2"/>
      </tp>
      <tp t="s">
        <v>사조오양</v>
        <stp/>
        <stp>P</stp>
        <stp>0</stp>
        <stp>STK</stp>
        <stp>006090</stp>
        <stp>한글종목명</stp>
        <stp/>
        <stp/>
        <tr r="AA34" s="2"/>
      </tp>
      <tp t="s">
        <v>하이트진로</v>
        <stp/>
        <stp>P</stp>
        <stp>0</stp>
        <stp>STK</stp>
        <stp>000080</stp>
        <stp>한글종목명</stp>
        <stp/>
        <stp/>
        <tr r="AA50" s="2"/>
      </tp>
      <tp t="s">
        <v>GKL</v>
        <stp/>
        <stp>P</stp>
        <stp>0</stp>
        <stp>STK</stp>
        <stp>114090</stp>
        <stp>한글종목명</stp>
        <stp/>
        <stp/>
        <tr r="AG11" s="2"/>
      </tp>
      <tp t="s">
        <v>하이트진로2우B</v>
        <stp/>
        <stp>P</stp>
        <stp>0</stp>
        <stp>STK</stp>
        <stp>000087</stp>
        <stp>한글종목명</stp>
        <stp/>
        <stp/>
        <tr r="AA51" s="2"/>
      </tp>
      <tp>
        <v>11120</v>
        <stp/>
        <stp>P</stp>
        <stp>0</stp>
        <stp>STK</stp>
        <stp>26490K</stp>
        <stp>현재가</stp>
        <stp/>
        <stp/>
        <tr r="AB48" s="2"/>
      </tp>
      <tp>
        <v>1668820907</v>
        <stp/>
        <stp>P</stp>
        <stp>0</stp>
        <stp>STK</stp>
        <stp>000990</stp>
        <stp>자본</stp>
        <stp>45107</stp>
        <stp>Cons=연결</stp>
        <tr r="Y22" s="1"/>
      </tp>
      <tp>
        <v>136500</v>
        <stp/>
        <stp>P</stp>
        <stp>0</stp>
        <stp>STK</stp>
        <stp>097955</stp>
        <stp>현재가</stp>
        <stp/>
        <stp/>
        <tr r="AB9" s="2"/>
      </tp>
      <tp t="s">
        <v/>
        <stp/>
        <stp>P</stp>
        <stp>0</stp>
        <stp>STK</stp>
        <stp>192400</stp>
        <stp>영업권</stp>
        <stp>45107</stp>
        <stp>Cons=연결</stp>
        <tr r="V17" s="1"/>
      </tp>
      <tp>
        <v>2485</v>
        <stp/>
        <stp>P</stp>
        <stp>0</stp>
        <stp>STK</stp>
        <stp>095720</stp>
        <stp>현재가</stp>
        <stp/>
        <stp/>
        <tr r="AH56" s="2"/>
      </tp>
      <tp>
        <v>4120</v>
        <stp/>
        <stp>P</stp>
        <stp>0</stp>
        <stp>STK</stp>
        <stp>095570</stp>
        <stp>현재가</stp>
        <stp/>
        <stp/>
        <tr r="AH6" s="2"/>
      </tp>
      <tp>
        <v>12450</v>
        <stp/>
        <stp>P</stp>
        <stp>0</stp>
        <stp>STK</stp>
        <stp>094280</stp>
        <stp>현재가</stp>
        <stp/>
        <stp/>
        <tr r="AH83" s="2"/>
      </tp>
      <tp>
        <v>302000</v>
        <stp/>
        <stp>P</stp>
        <stp>0</stp>
        <stp>STK</stp>
        <stp>097950</stp>
        <stp>현재가</stp>
        <stp/>
        <stp/>
        <tr r="AB8" s="2"/>
      </tp>
      <tp t="s">
        <v/>
        <stp/>
        <stp>P</stp>
        <stp>0</stp>
        <stp>STK</stp>
        <stp>001799</stp>
        <stp>현재가</stp>
        <stp/>
        <stp/>
        <tr r="AB19" s="2"/>
      </tp>
      <tp t="s">
        <v/>
        <stp/>
        <stp>P</stp>
        <stp>0</stp>
        <stp>STK</stp>
        <stp>192400</stp>
        <stp>기타금융업부채</stp>
        <stp>45107</stp>
        <stp>Cons=연결</stp>
        <tr r="V35" s="1"/>
      </tp>
      <tp>
        <v>57814727</v>
        <stp/>
        <stp>P</stp>
        <stp>0</stp>
        <stp>STK</stp>
        <stp>009150</stp>
        <stp>금융부채</stp>
        <stp>45107</stp>
        <stp>Cons=연결</stp>
        <tr r="Q31" s="1"/>
      </tp>
      <tp>
        <v>14160530</v>
        <stp/>
        <stp>P</stp>
        <stp>0</stp>
        <stp>STK</stp>
        <stp>009450</stp>
        <stp>금융부채</stp>
        <stp>45107</stp>
        <stp>Cons=연결</stp>
        <tr r="Z31" s="1"/>
      </tp>
      <tp>
        <v>1689909</v>
        <stp/>
        <stp>P</stp>
        <stp>0</stp>
        <stp>STK</stp>
        <stp>009450</stp>
        <stp>기타부채</stp>
        <stp>45107</stp>
        <stp>Cons=연결</stp>
        <tr r="Z39" s="1"/>
      </tp>
      <tp>
        <v>545429421</v>
        <stp/>
        <stp>P</stp>
        <stp>0</stp>
        <stp>STK</stp>
        <stp>009150</stp>
        <stp>기타부채</stp>
        <stp>45107</stp>
        <stp>Cons=연결</stp>
        <tr r="Q39" s="1"/>
      </tp>
      <tp>
        <v>22350</v>
        <stp/>
        <stp>P</stp>
        <stp>0</stp>
        <stp>STK</stp>
        <stp>284740</stp>
        <stp>현재가</stp>
        <stp/>
        <stp/>
        <tr r="AH70" s="2"/>
      </tp>
      <tp>
        <v>1360</v>
        <stp/>
        <stp>P</stp>
        <stp>0</stp>
        <stp>STK</stp>
        <stp>084680</stp>
        <stp>현재가</stp>
        <stp/>
        <stp/>
        <tr r="AH61" s="2"/>
      </tp>
      <tp>
        <v>26300</v>
        <stp/>
        <stp>P</stp>
        <stp>0</stp>
        <stp>STK</stp>
        <stp>181710</stp>
        <stp>현재가</stp>
        <stp/>
        <stp/>
        <tr r="AH15" s="2"/>
      </tp>
      <tp>
        <v>109800</v>
        <stp/>
        <stp>P</stp>
        <stp>0</stp>
        <stp>STK</stp>
        <stp>280360</stp>
        <stp>현재가</stp>
        <stp/>
        <stp/>
        <tr r="AB23" s="2"/>
      </tp>
      <tp t="s">
        <v/>
        <stp/>
        <stp>P</stp>
        <stp>0</stp>
        <stp>STK</stp>
        <stp>083380</stp>
        <stp>현재가</stp>
        <stp/>
        <stp/>
        <tr r="AH31" s="2"/>
      </tp>
      <tp t="s">
        <v/>
        <stp/>
        <stp>P</stp>
        <stp>0</stp>
        <stp>STK</stp>
        <stp>083370</stp>
        <stp>현재가</stp>
        <stp/>
        <stp/>
        <tr r="AH30" s="2"/>
      </tp>
      <tp>
        <v>1011386031</v>
        <stp/>
        <stp>P</stp>
        <stp>0</stp>
        <stp>STK</stp>
        <stp>192400</stp>
        <stp>자본</stp>
        <stp>45107</stp>
        <stp>Cons=연결</stp>
        <tr r="V22" s="1"/>
      </tp>
      <tp>
        <v>136081000</v>
        <stp/>
        <stp>P</stp>
        <stp>0</stp>
        <stp>STK</stp>
        <stp>034220</stp>
        <stp>금융부채</stp>
        <stp>45107</stp>
        <stp>Cons=연결</stp>
        <tr r="R31" s="1"/>
      </tp>
      <tp>
        <v>2329089000</v>
        <stp/>
        <stp>P</stp>
        <stp>0</stp>
        <stp>STK</stp>
        <stp>034220</stp>
        <stp>기타부채</stp>
        <stp>45107</stp>
        <stp>Cons=연결</stp>
        <tr r="R39" s="1"/>
      </tp>
      <tp t="s">
        <v/>
        <stp/>
        <stp>P</stp>
        <stp>0</stp>
        <stp>STK</stp>
        <stp>034220</stp>
        <stp>영업권</stp>
        <stp>45107</stp>
        <stp>Cons=연결</stp>
        <tr r="R17" s="1"/>
      </tp>
      <tp t="s">
        <v/>
        <stp/>
        <stp>P</stp>
        <stp>0</stp>
        <stp>STK</stp>
        <stp>159650</stp>
        <stp>현재가</stp>
        <stp/>
        <stp/>
        <tr r="AH77" s="2"/>
      </tp>
      <tp>
        <v>3245</v>
        <stp/>
        <stp>P</stp>
        <stp>0</stp>
        <stp>STK</stp>
        <stp>058860</stp>
        <stp>현재가</stp>
        <stp/>
        <stp/>
        <tr r="AH67" s="2"/>
      </tp>
      <tp>
        <v>3385</v>
        <stp/>
        <stp>P</stp>
        <stp>0</stp>
        <stp>STK</stp>
        <stp>058850</stp>
        <stp>현재가</stp>
        <stp/>
        <stp/>
        <tr r="AH13" s="2"/>
      </tp>
      <tp>
        <v>2980</v>
        <stp/>
        <stp>P</stp>
        <stp>0</stp>
        <stp>STK</stp>
        <stp>155900</stp>
        <stp>현재가</stp>
        <stp/>
        <stp/>
        <tr r="AH41" s="2"/>
      </tp>
      <tp>
        <v>66500</v>
        <stp/>
        <stp>P</stp>
        <stp>0</stp>
        <stp>STK</stp>
        <stp>005305</stp>
        <stp>현재가</stp>
        <stp/>
        <stp/>
        <tr r="AB25" s="2"/>
      </tp>
      <tp>
        <v>14250</v>
        <stp/>
        <stp>P</stp>
        <stp>0</stp>
        <stp>STK</stp>
        <stp>004545</stp>
        <stp>현재가</stp>
        <stp/>
        <stp/>
        <tr r="AN7" s="2"/>
      </tp>
      <tp>
        <v>1816</v>
        <stp/>
        <stp>P</stp>
        <stp>0</stp>
        <stp>STK</stp>
        <stp>004415</stp>
        <stp>현재가</stp>
        <stp/>
        <stp/>
        <tr r="AB41" s="2"/>
      </tp>
      <tp>
        <v>42850</v>
        <stp/>
        <stp>P</stp>
        <stp>0</stp>
        <stp>STK</stp>
        <stp>251270</stp>
        <stp>현재가</stp>
        <stp/>
        <stp/>
        <tr r="AH21" s="2"/>
      </tp>
      <tp>
        <v>2675</v>
        <stp/>
        <stp>P</stp>
        <stp>0</stp>
        <stp>STK</stp>
        <stp>001795</stp>
        <stp>현재가</stp>
        <stp/>
        <stp/>
        <tr r="AB20" s="2"/>
      </tp>
      <tp>
        <v>13660</v>
        <stp/>
        <stp>P</stp>
        <stp>0</stp>
        <stp>STK</stp>
        <stp>001685</stp>
        <stp>현재가</stp>
        <stp/>
        <stp/>
        <tr r="AB17" s="2"/>
      </tp>
      <tp>
        <v>57100</v>
        <stp/>
        <stp>P</stp>
        <stp>0</stp>
        <stp>STK</stp>
        <stp>000155</stp>
        <stp>현재가</stp>
        <stp/>
        <stp/>
        <tr r="AH36" s="2"/>
      </tp>
      <tp>
        <v>245500</v>
        <stp/>
        <stp>P</stp>
        <stp>0</stp>
        <stp>STK</stp>
        <stp>003925</stp>
        <stp>현재가</stp>
        <stp/>
        <stp/>
        <tr r="AB14" s="2"/>
      </tp>
      <tp t="s">
        <v/>
        <stp/>
        <stp>P</stp>
        <stp>0</stp>
        <stp>STK</stp>
        <stp>153360</stp>
        <stp>현재가</stp>
        <stp/>
        <stp/>
        <tr r="AH76" s="2"/>
      </tp>
      <tp>
        <v>6380</v>
        <stp/>
        <stp>P</stp>
        <stp>0</stp>
        <stp>STK</stp>
        <stp>053210</stp>
        <stp>현재가</stp>
        <stp/>
        <stp/>
        <tr r="AH48" s="2"/>
      </tp>
      <tp>
        <v>24150</v>
        <stp/>
        <stp>P</stp>
        <stp>0</stp>
        <stp>STK</stp>
        <stp>053690</stp>
        <stp>현재가</stp>
        <stp/>
        <stp/>
        <tr r="AH79" s="2"/>
      </tp>
      <tp>
        <v>67700</v>
        <stp/>
        <stp>P</stp>
        <stp>0</stp>
        <stp>STK</stp>
        <stp>052690</stp>
        <stp>현재가</stp>
        <stp/>
        <stp/>
        <tr r="AH80" s="2"/>
      </tp>
      <tp>
        <v>18452619572</v>
        <stp/>
        <stp>P</stp>
        <stp>0</stp>
        <stp>STK</stp>
        <stp>006400</stp>
        <stp>자본</stp>
        <stp>45107</stp>
        <stp>Cons=연결</stp>
        <tr r="O22" s="1"/>
      </tp>
      <tp>
        <v>4694177000</v>
        <stp/>
        <stp>P</stp>
        <stp>0</stp>
        <stp>STK</stp>
        <stp>005930</stp>
        <stp>금융부채</stp>
        <stp>45107</stp>
        <stp>Cons=연결</stp>
        <tr r="M31" s="1"/>
      </tp>
      <tp>
        <v>5954388000</v>
        <stp/>
        <stp>P</stp>
        <stp>0</stp>
        <stp>STK</stp>
        <stp>005930</stp>
        <stp>기타부채</stp>
        <stp>45107</stp>
        <stp>Cons=연결</stp>
        <tr r="M39" s="1"/>
      </tp>
      <tp t="s">
        <v/>
        <stp/>
        <stp>P</stp>
        <stp>0</stp>
        <stp>STK</stp>
        <stp>020150</stp>
        <stp>영업권</stp>
        <stp>45107</stp>
        <stp>Cons=연결</stp>
        <tr r="U17" s="1"/>
      </tp>
      <tp>
        <v>29500</v>
        <stp/>
        <stp>P</stp>
        <stp>0</stp>
        <stp>STK</stp>
        <stp>049770</stp>
        <stp>현재가</stp>
        <stp/>
        <stp/>
        <tr r="AB22" s="2"/>
      </tp>
      <tp>
        <v>1682</v>
        <stp/>
        <stp>P</stp>
        <stp>0</stp>
        <stp>STK</stp>
        <stp>019685</stp>
        <stp>현재가</stp>
        <stp/>
        <stp/>
        <tr r="AH26" s="2"/>
      </tp>
      <tp>
        <v>33250</v>
        <stp/>
        <stp>P</stp>
        <stp>0</stp>
        <stp>STK</stp>
        <stp>248170</stp>
        <stp>현재가</stp>
        <stp/>
        <stp/>
        <tr r="AB39" s="2"/>
      </tp>
      <tp>
        <v>45300</v>
        <stp/>
        <stp>P</stp>
        <stp>0</stp>
        <stp>STK</stp>
        <stp>145990</stp>
        <stp>현재가</stp>
        <stp/>
        <stp/>
        <tr r="AB36" s="2"/>
      </tp>
      <tp>
        <v>1002</v>
        <stp/>
        <stp>P</stp>
        <stp>0</stp>
        <stp>STK</stp>
        <stp>145270</stp>
        <stp>현재가</stp>
        <stp/>
        <stp/>
        <tr r="AH66" s="2"/>
      </tp>
      <tp>
        <v>19900</v>
        <stp/>
        <stp>P</stp>
        <stp>0</stp>
        <stp>STK</stp>
        <stp>011155</stp>
        <stp>현재가</stp>
        <stp/>
        <stp/>
        <tr r="AB7" s="2"/>
      </tp>
      <tp>
        <v>3685</v>
        <stp/>
        <stp>P</stp>
        <stp>0</stp>
        <stp>STK</stp>
        <stp>140910</stp>
        <stp>현재가</stp>
        <stp/>
        <stp/>
        <tr r="AH53" s="2"/>
      </tp>
      <tp t="s">
        <v/>
        <stp/>
        <stp>P</stp>
        <stp>0</stp>
        <stp>STK</stp>
        <stp>140890</stp>
        <stp>현재가</stp>
        <stp/>
        <stp/>
        <tr r="AH73" s="2"/>
      </tp>
      <tp>
        <v>358975626000</v>
        <stp/>
        <stp>P</stp>
        <stp>0</stp>
        <stp>STK</stp>
        <stp>005930</stp>
        <stp>자본</stp>
        <stp>45107</stp>
        <stp>Cons=연결</stp>
        <tr r="M22" s="1"/>
      </tp>
      <tp t="s">
        <v/>
        <stp/>
        <stp>P</stp>
        <stp>0</stp>
        <stp>STK</stp>
        <stp>267260</stp>
        <stp>기타금융업부채</stp>
        <stp>45107</stp>
        <stp>Cons=연결</stp>
        <tr r="AA35" s="1"/>
      </tp>
      <tp t="s">
        <v/>
        <stp/>
        <stp>P</stp>
        <stp>0</stp>
        <stp>STK</stp>
        <stp>066570</stp>
        <stp>기타금융업부채</stp>
        <stp>45107</stp>
        <stp>Cons=연결</stp>
        <tr r="P35" s="1"/>
      </tp>
      <tp>
        <v>1111132000</v>
        <stp/>
        <stp>P</stp>
        <stp>0</stp>
        <stp>STK</stp>
        <stp>066570</stp>
        <stp>금융부채</stp>
        <stp>45107</stp>
        <stp>Cons=연결</stp>
        <tr r="P31" s="1"/>
      </tp>
      <tp>
        <v>81689392</v>
        <stp/>
        <stp>P</stp>
        <stp>0</stp>
        <stp>STK</stp>
        <stp>006400</stp>
        <stp>금융부채</stp>
        <stp>45107</stp>
        <stp>Cons=연결</stp>
        <tr r="O31" s="1"/>
      </tp>
      <tp>
        <v>783868148</v>
        <stp/>
        <stp>P</stp>
        <stp>0</stp>
        <stp>STK</stp>
        <stp>006400</stp>
        <stp>기타부채</stp>
        <stp>45107</stp>
        <stp>Cons=연결</stp>
        <tr r="O39" s="1"/>
      </tp>
      <tp>
        <v>4077950000</v>
        <stp/>
        <stp>P</stp>
        <stp>0</stp>
        <stp>STK</stp>
        <stp>066570</stp>
        <stp>기타부채</stp>
        <stp>45107</stp>
        <stp>Cons=연결</stp>
        <tr r="P39" s="1"/>
      </tp>
      <tp t="s">
        <v/>
        <stp/>
        <stp>P</stp>
        <stp>0</stp>
        <stp>STK</stp>
        <stp>011070</stp>
        <stp>영업권</stp>
        <stp>45107</stp>
        <stp>Cons=연결</stp>
        <tr r="S17" s="1"/>
      </tp>
      <tp>
        <v>29660000</v>
        <stp/>
        <stp>P</stp>
        <stp>0</stp>
        <stp>STK</stp>
        <stp>010120</stp>
        <stp>영업권</stp>
        <stp>45107</stp>
        <stp>Cons=연결</stp>
        <tr r="T17" s="1"/>
      </tp>
      <tp>
        <v>7650</v>
        <stp/>
        <stp>P</stp>
        <stp>0</stp>
        <stp>STK</stp>
        <stp>079160</stp>
        <stp>현재가</stp>
        <stp/>
        <stp/>
        <tr r="AH8" s="2"/>
      </tp>
      <tp t="s">
        <v/>
        <stp/>
        <stp>P</stp>
        <stp>0</stp>
        <stp>STK</stp>
        <stp>079660</stp>
        <stp>현재가</stp>
        <stp/>
        <stp/>
        <tr r="AB35" s="2"/>
      </tp>
      <tp>
        <v>9480</v>
        <stp/>
        <stp>P</stp>
        <stp>0</stp>
        <stp>STK</stp>
        <stp>078000</stp>
        <stp>현재가</stp>
        <stp/>
        <stp/>
        <tr r="AH72" s="2"/>
      </tp>
      <tp>
        <v>28250</v>
        <stp/>
        <stp>P</stp>
        <stp>0</stp>
        <stp>STK</stp>
        <stp>005257</stp>
        <stp>현재가</stp>
        <stp/>
        <stp/>
        <tr r="AH23" s="2"/>
      </tp>
      <tp>
        <v>120900</v>
        <stp/>
        <stp>P</stp>
        <stp>0</stp>
        <stp>STK</stp>
        <stp>271560</stp>
        <stp>현재가</stp>
        <stp/>
        <stp/>
        <tr r="AB44" s="2"/>
      </tp>
      <tp>
        <v>3320</v>
        <stp/>
        <stp>P</stp>
        <stp>0</stp>
        <stp>STK</stp>
        <stp>070960</stp>
        <stp>현재가</stp>
        <stp/>
        <stp/>
        <tr r="AH55" s="2"/>
      </tp>
      <tp>
        <v>96300</v>
        <stp/>
        <stp>P</stp>
        <stp>0</stp>
        <stp>STK</stp>
        <stp>000157</stp>
        <stp>현재가</stp>
        <stp/>
        <stp/>
        <tr r="AH35" s="2"/>
      </tp>
      <tp>
        <v>15000</v>
        <stp/>
        <stp>P</stp>
        <stp>0</stp>
        <stp>STK</stp>
        <stp>000087</stp>
        <stp>현재가</stp>
        <stp/>
        <stp/>
        <tr r="AB51" s="2"/>
      </tp>
      <tp>
        <v>3720</v>
        <stp/>
        <stp>P</stp>
        <stp>0</stp>
        <stp>STK</stp>
        <stp>072130</stp>
        <stp>현재가</stp>
        <stp/>
        <stp/>
        <tr r="AH58" s="2"/>
      </tp>
      <tp t="s">
        <v/>
        <stp/>
        <stp>P</stp>
        <stp>0</stp>
        <stp>STK</stp>
        <stp>172580</stp>
        <stp>현재가</stp>
        <stp/>
        <stp/>
        <tr r="AH75" s="2"/>
      </tp>
      <tp>
        <v>9510888000</v>
        <stp/>
        <stp>P</stp>
        <stp>0</stp>
        <stp>STK</stp>
        <stp>034220</stp>
        <stp>자본</stp>
        <stp>45107</stp>
        <stp>Cons=연결</stp>
        <tr r="R22" s="1"/>
      </tp>
      <tp>
        <v>1643304380</v>
        <stp/>
        <stp>P</stp>
        <stp>0</stp>
        <stp>STK</stp>
        <stp>010120</stp>
        <stp>자본</stp>
        <stp>45107</stp>
        <stp>Cons=연결</stp>
        <tr r="T22" s="1"/>
      </tp>
      <tp>
        <v>243573950</v>
        <stp/>
        <stp>P</stp>
        <stp>0</stp>
        <stp>STK</stp>
        <stp>001820</stp>
        <stp>자본</stp>
        <stp>45107</stp>
        <stp>Cons=연결</stp>
        <tr r="X22" s="1"/>
      </tp>
      <tp>
        <v>37891473</v>
        <stp/>
        <stp>P</stp>
        <stp>0</stp>
        <stp>STK</stp>
        <stp>267260</stp>
        <stp>금융부채</stp>
        <stp>45107</stp>
        <stp>Cons=연결</stp>
        <tr r="AA31" s="1"/>
      </tp>
      <tp>
        <v>15309278</v>
        <stp/>
        <stp>P</stp>
        <stp>0</stp>
        <stp>STK</stp>
        <stp>267260</stp>
        <stp>기타부채</stp>
        <stp>45107</stp>
        <stp>Cons=연결</stp>
        <tr r="AA39" s="1"/>
      </tp>
      <tp t="s">
        <v/>
        <stp/>
        <stp>P</stp>
        <stp>0</stp>
        <stp>STK</stp>
        <stp>009150</stp>
        <stp>영업권</stp>
        <stp>45107</stp>
        <stp>Cons=연결</stp>
        <tr r="Q17" s="1"/>
      </tp>
      <tp t="s">
        <v/>
        <stp/>
        <stp>P</stp>
        <stp>0</stp>
        <stp>STK</stp>
        <stp>009450</stp>
        <stp>영업권</stp>
        <stp>45107</stp>
        <stp>Cons=연결</stp>
        <tr r="Z17" s="1"/>
      </tp>
      <tp t="s">
        <v/>
        <stp/>
        <stp>P</stp>
        <stp>0</stp>
        <stp>STK</stp>
        <stp>001440</stp>
        <stp>영업권</stp>
        <stp>45107</stp>
        <stp>Cons=연결</stp>
        <tr r="W17" s="1"/>
      </tp>
      <tp t="s">
        <v/>
        <stp/>
        <stp>P</stp>
        <stp>0</stp>
        <stp>STK</stp>
        <stp>001820</stp>
        <stp>영업권</stp>
        <stp>45107</stp>
        <stp>Cons=연결</stp>
        <tr r="X17" s="1"/>
      </tp>
      <tp t="s">
        <v/>
        <stp/>
        <stp>P</stp>
        <stp>0</stp>
        <stp>STK</stp>
        <stp>000990</stp>
        <stp>영업권</stp>
        <stp>45107</stp>
        <stp>Cons=연결</stp>
        <tr r="Y17" s="1"/>
      </tp>
      <tp>
        <v>616150158</v>
        <stp/>
        <stp>P</stp>
        <stp>0</stp>
        <stp>STK</stp>
        <stp>006400</stp>
        <stp>영업권</stp>
        <stp>45107</stp>
        <stp>Cons=연결</stp>
        <tr r="O17" s="1"/>
      </tp>
      <tp t="s">
        <v/>
        <stp/>
        <stp>P</stp>
        <stp>0</stp>
        <stp>STK</stp>
        <stp>005930</stp>
        <stp>영업권</stp>
        <stp>45107</stp>
        <stp>Cons=연결</stp>
        <tr r="M17" s="1"/>
      </tp>
      <tp>
        <v>18250</v>
        <stp/>
        <stp>P</stp>
        <stp>0</stp>
        <stp>STK</stp>
        <stp>068290</stp>
        <stp>현재가</stp>
        <stp/>
        <stp/>
        <tr r="AH45" s="2"/>
      </tp>
      <tp>
        <v>13430</v>
        <stp/>
        <stp>P</stp>
        <stp>0</stp>
        <stp>STK</stp>
        <stp>068400</stp>
        <stp>현재가</stp>
        <stp/>
        <stp/>
        <tr r="AH7" s="2"/>
      </tp>
      <tp>
        <v>8740</v>
        <stp/>
        <stp>P</stp>
        <stp>0</stp>
        <stp>STK</stp>
        <stp>264900</stp>
        <stp>현재가</stp>
        <stp/>
        <stp/>
        <tr r="AB47" s="2"/>
      </tp>
      <tp>
        <v>1970841240</v>
        <stp/>
        <stp>P</stp>
        <stp>0</stp>
        <stp>STK</stp>
        <stp>020150</stp>
        <stp>자본</stp>
        <stp>45107</stp>
        <stp>Cons=연결</stp>
        <tr r="U22" s="1"/>
      </tp>
      <tp>
        <v>552225977</v>
        <stp/>
        <stp>P</stp>
        <stp>0</stp>
        <stp>STK</stp>
        <stp>009450</stp>
        <stp>자본</stp>
        <stp>45107</stp>
        <stp>Cons=연결</stp>
        <tr r="Z22" s="1"/>
      </tp>
      <tp>
        <v>7806817130</v>
        <stp/>
        <stp>P</stp>
        <stp>0</stp>
        <stp>STK</stp>
        <stp>009150</stp>
        <stp>자본</stp>
        <stp>45107</stp>
        <stp>Cons=연결</stp>
        <tr r="Q22" s="1"/>
      </tp>
      <tp t="s">
        <v/>
        <stp/>
        <stp>P</stp>
        <stp>0</stp>
        <stp>STK</stp>
        <stp>021320</stp>
        <stp>예수부채</stp>
        <stp>45107</stp>
        <stp>Cons=개별</stp>
        <tr r="N41" s="1"/>
      </tp>
      <tp t="s">
        <v/>
        <stp/>
        <stp>P</stp>
        <stp>0</stp>
        <stp>STK</stp>
        <stp>006400</stp>
        <stp>기타금융업부채</stp>
        <stp>45107</stp>
        <stp>Cons=연결</stp>
        <tr r="O35" s="1"/>
      </tp>
      <tp t="s">
        <v/>
        <stp/>
        <stp>P</stp>
        <stp>0</stp>
        <stp>STK</stp>
        <stp>005930</stp>
        <stp>기타금융업부채</stp>
        <stp>45107</stp>
        <stp>Cons=연결</stp>
        <tr r="M35" s="1"/>
      </tp>
      <tp t="s">
        <v/>
        <stp/>
        <stp>P</stp>
        <stp>0</stp>
        <stp>STK</stp>
        <stp>001820</stp>
        <stp>기타금융업부채</stp>
        <stp>45107</stp>
        <stp>Cons=연결</stp>
        <tr r="X35" s="1"/>
      </tp>
      <tp t="s">
        <v/>
        <stp/>
        <stp>P</stp>
        <stp>0</stp>
        <stp>STK</stp>
        <stp>001440</stp>
        <stp>기타금융업부채</stp>
        <stp>45107</stp>
        <stp>Cons=연결</stp>
        <tr r="W35" s="1"/>
      </tp>
      <tp t="s">
        <v/>
        <stp/>
        <stp>P</stp>
        <stp>0</stp>
        <stp>STK</stp>
        <stp>000990</stp>
        <stp>기타금융업부채</stp>
        <stp>45107</stp>
        <stp>Cons=연결</stp>
        <tr r="Y35" s="1"/>
      </tp>
      <tp t="s">
        <v/>
        <stp/>
        <stp>P</stp>
        <stp>0</stp>
        <stp>STK</stp>
        <stp>009450</stp>
        <stp>기타금융업부채</stp>
        <stp>45107</stp>
        <stp>Cons=연결</stp>
        <tr r="Z35" s="1"/>
      </tp>
      <tp t="s">
        <v/>
        <stp/>
        <stp>P</stp>
        <stp>0</stp>
        <stp>STK</stp>
        <stp>009150</stp>
        <stp>기타금융업부채</stp>
        <stp>45107</stp>
        <stp>Cons=연결</stp>
        <tr r="Q35" s="1"/>
      </tp>
      <tp>
        <v>24967036</v>
        <stp/>
        <stp>P</stp>
        <stp>0</stp>
        <stp>STK</stp>
        <stp>020150</stp>
        <stp>금융부채</stp>
        <stp>45107</stp>
        <stp>Cons=연결</stp>
        <tr r="U31" s="1"/>
      </tp>
      <tp>
        <v>42585971</v>
        <stp/>
        <stp>P</stp>
        <stp>0</stp>
        <stp>STK</stp>
        <stp>010120</stp>
        <stp>금융부채</stp>
        <stp>45107</stp>
        <stp>Cons=연결</stp>
        <tr r="T31" s="1"/>
      </tp>
      <tp>
        <v>13120415</v>
        <stp/>
        <stp>P</stp>
        <stp>0</stp>
        <stp>STK</stp>
        <stp>000990</stp>
        <stp>금융부채</stp>
        <stp>45107</stp>
        <stp>Cons=연결</stp>
        <tr r="Y31" s="1"/>
      </tp>
      <tp>
        <v>29931621</v>
        <stp/>
        <stp>P</stp>
        <stp>0</stp>
        <stp>STK</stp>
        <stp>000990</stp>
        <stp>기타부채</stp>
        <stp>45107</stp>
        <stp>Cons=연결</stp>
        <tr r="Y39" s="1"/>
      </tp>
      <tp>
        <v>6490100</v>
        <stp/>
        <stp>P</stp>
        <stp>0</stp>
        <stp>STK</stp>
        <stp>010120</stp>
        <stp>기타부채</stp>
        <stp>45107</stp>
        <stp>Cons=연결</stp>
        <tr r="T39" s="1"/>
      </tp>
      <tp>
        <v>20855967</v>
        <stp/>
        <stp>P</stp>
        <stp>0</stp>
        <stp>STK</stp>
        <stp>020150</stp>
        <stp>기타부채</stp>
        <stp>45107</stp>
        <stp>Cons=연결</stp>
        <tr r="U39" s="1"/>
      </tp>
      <tp>
        <v>2355</v>
        <stp/>
        <stp>P</stp>
        <stp>0</stp>
        <stp>STK</stp>
        <stp>019680</stp>
        <stp>현재가</stp>
        <stp/>
        <stp/>
        <tr r="AH25" s="2"/>
      </tp>
      <tp>
        <v>140800</v>
        <stp/>
        <stp>P</stp>
        <stp>0</stp>
        <stp>STK</stp>
        <stp>018260</stp>
        <stp>현재가</stp>
        <stp/>
        <stp/>
        <tr r="AH43" s="2"/>
      </tp>
      <tp>
        <v>24800</v>
        <stp/>
        <stp>P</stp>
        <stp>0</stp>
        <stp>STK</stp>
        <stp>145995</stp>
        <stp>현재가</stp>
        <stp/>
        <stp/>
        <tr r="AB37" s="2"/>
      </tp>
      <tp>
        <v>751</v>
        <stp/>
        <stp>P</stp>
        <stp>0</stp>
        <stp>STK</stp>
        <stp>015020</stp>
        <stp>현재가</stp>
        <stp/>
        <stp/>
        <tr r="AH60" s="2"/>
      </tp>
      <tp>
        <v>6410</v>
        <stp/>
        <stp>P</stp>
        <stp>0</stp>
        <stp>STK</stp>
        <stp>015540</stp>
        <stp>현재가</stp>
        <stp/>
        <stp/>
        <tr r="AH38" s="2"/>
      </tp>
      <tp>
        <v>40100</v>
        <stp/>
        <stp>P</stp>
        <stp>0</stp>
        <stp>STK</stp>
        <stp>214320</stp>
        <stp>현재가</stp>
        <stp/>
        <stp/>
        <tr r="AH59" s="2"/>
      </tp>
      <tp>
        <v>1226</v>
        <stp/>
        <stp>P</stp>
        <stp>0</stp>
        <stp>STK</stp>
        <stp>014160</stp>
        <stp>현재가</stp>
        <stp/>
        <stp/>
        <tr r="AN8" s="2"/>
      </tp>
      <tp>
        <v>16150</v>
        <stp/>
        <stp>P</stp>
        <stp>0</stp>
        <stp>STK</stp>
        <stp>114090</stp>
        <stp>현재가</stp>
        <stp/>
        <stp/>
        <tr r="AH11" s="2"/>
      </tp>
      <tp>
        <v>4535</v>
        <stp/>
        <stp>P</stp>
        <stp>0</stp>
        <stp>STK</stp>
        <stp>014710</stp>
        <stp>현재가</stp>
        <stp/>
        <stp/>
        <tr r="AB33" s="2"/>
      </tp>
      <tp>
        <v>13270</v>
        <stp/>
        <stp>P</stp>
        <stp>0</stp>
        <stp>STK</stp>
        <stp>016710</stp>
        <stp>현재가</stp>
        <stp/>
        <stp/>
        <tr r="AH27" s="2"/>
      </tp>
      <tp>
        <v>5570</v>
        <stp/>
        <stp>P</stp>
        <stp>0</stp>
        <stp>STK</stp>
        <stp>016590</stp>
        <stp>현재가</stp>
        <stp/>
        <stp/>
        <tr r="AN16" s="2"/>
      </tp>
      <tp>
        <v>2485</v>
        <stp/>
        <stp>P</stp>
        <stp>0</stp>
        <stp>STK</stp>
        <stp>011280</stp>
        <stp>현재가</stp>
        <stp/>
        <stp/>
        <tr r="AN22" s="2"/>
      </tp>
      <tp>
        <v>3410</v>
        <stp/>
        <stp>P</stp>
        <stp>0</stp>
        <stp>STK</stp>
        <stp>011150</stp>
        <stp>현재가</stp>
        <stp/>
        <stp/>
        <tr r="AB6" s="2"/>
      </tp>
      <tp>
        <v>1952</v>
        <stp/>
        <stp>P</stp>
        <stp>0</stp>
        <stp>STK</stp>
        <stp>011420</stp>
        <stp>현재가</stp>
        <stp/>
        <stp/>
        <tr r="AH20" s="2"/>
      </tp>
      <tp>
        <v>21100</v>
        <stp/>
        <stp>P</stp>
        <stp>0</stp>
        <stp>STK</stp>
        <stp>210980</stp>
        <stp>현재가</stp>
        <stp/>
        <stp/>
        <tr r="AH18" s="2"/>
      </tp>
      <tp>
        <v>10590</v>
        <stp/>
        <stp>P</stp>
        <stp>0</stp>
        <stp>STK</stp>
        <stp>213500</stp>
        <stp>현재가</stp>
        <stp/>
        <stp/>
        <tr r="AN25" s="2"/>
      </tp>
      <tp>
        <v>1812</v>
        <stp/>
        <stp>P</stp>
        <stp>0</stp>
        <stp>STK</stp>
        <stp>012030</stp>
        <stp>현재가</stp>
        <stp/>
        <stp/>
        <tr r="AH10" s="2"/>
      </tp>
      <tp>
        <v>55600</v>
        <stp/>
        <stp>P</stp>
        <stp>0</stp>
        <stp>STK</stp>
        <stp>012750</stp>
        <stp>현재가</stp>
        <stp/>
        <stp/>
        <tr r="AH52" s="2"/>
      </tp>
      <tp>
        <v>2765</v>
        <stp/>
        <stp>P</stp>
        <stp>0</stp>
        <stp>STK</stp>
        <stp>012690</stp>
        <stp>현재가</stp>
        <stp/>
        <stp/>
        <tr r="AN9" s="2"/>
      </tp>
      <tp>
        <v>33250</v>
        <stp/>
        <stp>P</stp>
        <stp>0</stp>
        <stp>STK</stp>
        <stp>012510</stp>
        <stp>현재가</stp>
        <stp/>
        <stp/>
        <tr r="AH28" s="2"/>
      </tp>
      <tp>
        <v>902408669</v>
        <stp/>
        <stp>P</stp>
        <stp>0</stp>
        <stp>STK</stp>
        <stp>001440</stp>
        <stp>자본</stp>
        <stp>45107</stp>
        <stp>Cons=연결</stp>
        <tr r="W22" s="1"/>
      </tp>
      <tp>
        <v>884786253</v>
        <stp/>
        <stp>P</stp>
        <stp>0</stp>
        <stp>STK</stp>
        <stp>267260</stp>
        <stp>자본</stp>
        <stp>45107</stp>
        <stp>Cons=연결</stp>
        <tr r="AA22" s="1"/>
      </tp>
      <tp t="s">
        <v/>
        <stp/>
        <stp>P</stp>
        <stp>0</stp>
        <stp>STK</stp>
        <stp>011070</stp>
        <stp>기타금융업부채</stp>
        <stp>45107</stp>
        <stp>Cons=연결</stp>
        <tr r="S35" s="1"/>
      </tp>
      <tp t="s">
        <v/>
        <stp/>
        <stp>P</stp>
        <stp>0</stp>
        <stp>STK</stp>
        <stp>010120</stp>
        <stp>기타금융업부채</stp>
        <stp>45107</stp>
        <stp>Cons=연결</stp>
        <tr r="T35" s="1"/>
      </tp>
      <tp>
        <v>12292624</v>
        <stp/>
        <stp>P</stp>
        <stp>0</stp>
        <stp>STK</stp>
        <stp>011070</stp>
        <stp>금융부채</stp>
        <stp>45107</stp>
        <stp>Cons=연결</stp>
        <tr r="S31" s="1"/>
      </tp>
      <tp>
        <v>20245261</v>
        <stp/>
        <stp>P</stp>
        <stp>0</stp>
        <stp>STK</stp>
        <stp>001440</stp>
        <stp>금융부채</stp>
        <stp>45107</stp>
        <stp>Cons=연결</stp>
        <tr r="W31" s="1"/>
      </tp>
      <tp>
        <v>4614118</v>
        <stp/>
        <stp>P</stp>
        <stp>0</stp>
        <stp>STK</stp>
        <stp>001820</stp>
        <stp>금융부채</stp>
        <stp>45107</stp>
        <stp>Cons=연결</stp>
        <tr r="X31" s="1"/>
      </tp>
      <tp>
        <v>426749</v>
        <stp/>
        <stp>P</stp>
        <stp>0</stp>
        <stp>STK</stp>
        <stp>001820</stp>
        <stp>기타부채</stp>
        <stp>45107</stp>
        <stp>Cons=연결</stp>
        <tr r="X39" s="1"/>
      </tp>
      <tp>
        <v>84199793</v>
        <stp/>
        <stp>P</stp>
        <stp>0</stp>
        <stp>STK</stp>
        <stp>001440</stp>
        <stp>기타부채</stp>
        <stp>45107</stp>
        <stp>Cons=연결</stp>
        <tr r="W39" s="1"/>
      </tp>
      <tp>
        <v>24159311</v>
        <stp/>
        <stp>P</stp>
        <stp>0</stp>
        <stp>STK</stp>
        <stp>011070</stp>
        <stp>기타부채</stp>
        <stp>45107</stp>
        <stp>Cons=연결</stp>
        <tr r="S39" s="1"/>
      </tp>
      <tp>
        <v>8637000</v>
        <stp/>
        <stp>P</stp>
        <stp>0</stp>
        <stp>STK</stp>
        <stp>267260</stp>
        <stp>영업권</stp>
        <stp>45107</stp>
        <stp>Cons=연결</stp>
        <tr r="AA17" s="1"/>
      </tp>
      <tp t="s">
        <v/>
        <stp/>
        <stp>P</stp>
        <stp>0</stp>
        <stp>STK</stp>
        <stp>066570</stp>
        <stp>영업권</stp>
        <stp>45107</stp>
        <stp>Cons=연결</stp>
        <tr r="P17" s="1"/>
      </tp>
      <tp>
        <v>2360</v>
        <stp/>
        <stp>P</stp>
        <stp>0</stp>
        <stp>STK</stp>
        <stp>009200</stp>
        <stp>현재가</stp>
        <stp/>
        <stp/>
        <tr r="AN11" s="2"/>
      </tp>
      <tp>
        <v>4100</v>
        <stp/>
        <stp>P</stp>
        <stp>0</stp>
        <stp>STK</stp>
        <stp>109070</stp>
        <stp>현재가</stp>
        <stp/>
        <stp/>
        <tr r="AN21" s="2"/>
      </tp>
      <tp>
        <v>25000</v>
        <stp/>
        <stp>P</stp>
        <stp>0</stp>
        <stp>STK</stp>
        <stp>009770</stp>
        <stp>현재가</stp>
        <stp/>
        <stp/>
        <tr r="AN12" s="2"/>
      </tp>
      <tp>
        <v>3360</v>
        <stp/>
        <stp>P</stp>
        <stp>0</stp>
        <stp>STK</stp>
        <stp>009580</stp>
        <stp>현재가</stp>
        <stp/>
        <stp/>
        <tr r="AN10" s="2"/>
      </tp>
      <tp>
        <v>999</v>
        <stp/>
        <stp>P</stp>
        <stp>0</stp>
        <stp>STK</stp>
        <stp>009460</stp>
        <stp>현재가</stp>
        <stp/>
        <stp/>
        <tr r="AN27" s="2"/>
      </tp>
      <tp>
        <v>6980</v>
        <stp/>
        <stp>P</stp>
        <stp>0</stp>
        <stp>STK</stp>
        <stp>008250</stp>
        <stp>현재가</stp>
        <stp/>
        <stp/>
        <tr r="AN20" s="2"/>
      </tp>
      <tp>
        <v>1053</v>
        <stp/>
        <stp>P</stp>
        <stp>0</stp>
        <stp>STK</stp>
        <stp>008040</stp>
        <stp>현재가</stp>
        <stp/>
        <stp/>
        <tr r="AB32" s="2"/>
      </tp>
      <tp>
        <v>130700</v>
        <stp/>
        <stp>P</stp>
        <stp>0</stp>
        <stp>STK</stp>
        <stp>005300</stp>
        <stp>현재가</stp>
        <stp/>
        <stp/>
        <tr r="AB24" s="2"/>
      </tp>
      <tp>
        <v>13900</v>
        <stp/>
        <stp>P</stp>
        <stp>0</stp>
        <stp>STK</stp>
        <stp>005250</stp>
        <stp>현재가</stp>
        <stp/>
        <stp/>
        <tr r="AH22" s="2"/>
      </tp>
      <tp>
        <v>55500</v>
        <stp/>
        <stp>P</stp>
        <stp>0</stp>
        <stp>STK</stp>
        <stp>005180</stp>
        <stp>현재가</stp>
        <stp/>
        <stp/>
        <tr r="AB30" s="2"/>
      </tp>
      <tp>
        <v>66600</v>
        <stp/>
        <stp>P</stp>
        <stp>0</stp>
        <stp>STK</stp>
        <stp>005610</stp>
        <stp>현재가</stp>
        <stp/>
        <stp/>
        <tr r="AB11" s="2"/>
      </tp>
      <tp>
        <v>452500</v>
        <stp/>
        <stp>P</stp>
        <stp>0</stp>
        <stp>STK</stp>
        <stp>004370</stp>
        <stp>현재가</stp>
        <stp/>
        <stp/>
        <tr r="AB15" s="2"/>
      </tp>
      <tp>
        <v>4025</v>
        <stp/>
        <stp>P</stp>
        <stp>0</stp>
        <stp>STK</stp>
        <stp>204210</stp>
        <stp>현재가</stp>
        <stp/>
        <stp/>
        <tr r="AH39" s="2"/>
      </tp>
      <tp>
        <v>2290</v>
        <stp/>
        <stp>P</stp>
        <stp>0</stp>
        <stp>STK</stp>
        <stp>004540</stp>
        <stp>현재가</stp>
        <stp/>
        <stp/>
        <tr r="AN6" s="2"/>
      </tp>
      <tp>
        <v>202</v>
        <stp/>
        <stp>P</stp>
        <stp>0</stp>
        <stp>STK</stp>
        <stp>004410</stp>
        <stp>현재가</stp>
        <stp/>
        <stp/>
        <tr r="AB40" s="2"/>
      </tp>
      <tp>
        <v>365500</v>
        <stp/>
        <stp>P</stp>
        <stp>0</stp>
        <stp>STK</stp>
        <stp>007310</stp>
        <stp>현재가</stp>
        <stp/>
        <stp/>
        <tr r="AB43" s="2"/>
      </tp>
      <tp>
        <v>1407</v>
        <stp/>
        <stp>P</stp>
        <stp>0</stp>
        <stp>STK</stp>
        <stp>007120</stp>
        <stp>현재가</stp>
        <stp/>
        <stp/>
        <tr r="AH40" s="2"/>
      </tp>
      <tp>
        <v>22000</v>
        <stp/>
        <stp>P</stp>
        <stp>0</stp>
        <stp>STK</stp>
        <stp>006980</stp>
        <stp>현재가</stp>
        <stp/>
        <stp/>
        <tr r="AB45" s="2"/>
      </tp>
      <tp>
        <v>8510</v>
        <stp/>
        <stp>P</stp>
        <stp>0</stp>
        <stp>STK</stp>
        <stp>006090</stp>
        <stp>현재가</stp>
        <stp/>
        <stp/>
        <tr r="AB34" s="2"/>
      </tp>
      <tp>
        <v>48950</v>
        <stp/>
        <stp>P</stp>
        <stp>0</stp>
        <stp>STK</stp>
        <stp>006740</stp>
        <stp>현재가</stp>
        <stp/>
        <stp/>
        <tr r="AN19" s="2"/>
      </tp>
      <tp>
        <v>130100</v>
        <stp/>
        <stp>P</stp>
        <stp>0</stp>
        <stp>STK</stp>
        <stp>001130</stp>
        <stp>현재가</stp>
        <stp/>
        <stp/>
        <tr r="AB21" s="2"/>
      </tp>
      <tp>
        <v>865</v>
        <stp/>
        <stp>P</stp>
        <stp>0</stp>
        <stp>STK</stp>
        <stp>001020</stp>
        <stp>현재가</stp>
        <stp/>
        <stp/>
        <tr r="AN23" s="2"/>
      </tp>
      <tp>
        <v>3220</v>
        <stp/>
        <stp>P</stp>
        <stp>0</stp>
        <stp>STK</stp>
        <stp>001790</stp>
        <stp>현재가</stp>
        <stp/>
        <stp/>
        <tr r="AB18" s="2"/>
      </tp>
      <tp>
        <v>17900</v>
        <stp/>
        <stp>P</stp>
        <stp>0</stp>
        <stp>STK</stp>
        <stp>001680</stp>
        <stp>현재가</stp>
        <stp/>
        <stp/>
        <tr r="AB16" s="2"/>
      </tp>
      <tp>
        <v>5720</v>
        <stp/>
        <stp>P</stp>
        <stp>0</stp>
        <stp>STK</stp>
        <stp>101530</stp>
        <stp>현재가</stp>
        <stp/>
        <stp/>
        <tr r="AB53" s="2"/>
      </tp>
      <tp>
        <v>563</v>
        <stp/>
        <stp>P</stp>
        <stp>0</stp>
        <stp>STK</stp>
        <stp>000890</stp>
        <stp>현재가</stp>
        <stp/>
        <stp/>
        <tr r="AB29" s="2"/>
      </tp>
      <tp>
        <v>4800</v>
        <stp/>
        <stp>P</stp>
        <stp>0</stp>
        <stp>STK</stp>
        <stp>100220</stp>
        <stp>현재가</stp>
        <stp/>
        <stp/>
        <tr r="AH42" s="2"/>
      </tp>
      <tp>
        <v>2055</v>
        <stp/>
        <stp>P</stp>
        <stp>0</stp>
        <stp>STK</stp>
        <stp>000180</stp>
        <stp>현재가</stp>
        <stp/>
        <stp/>
        <tr r="AH46" s="2"/>
      </tp>
      <tp>
        <v>113700</v>
        <stp/>
        <stp>P</stp>
        <stp>0</stp>
        <stp>STK</stp>
        <stp>000150</stp>
        <stp>현재가</stp>
        <stp/>
        <stp/>
        <tr r="AH34" s="2"/>
      </tp>
      <tp>
        <v>19190</v>
        <stp/>
        <stp>P</stp>
        <stp>0</stp>
        <stp>STK</stp>
        <stp>000080</stp>
        <stp>현재가</stp>
        <stp/>
        <stp/>
        <tr r="AB50" s="2"/>
      </tp>
      <tp>
        <v>5900</v>
        <stp/>
        <stp>P</stp>
        <stp>0</stp>
        <stp>STK</stp>
        <stp>000700</stp>
        <stp>현재가</stp>
        <stp/>
        <stp/>
        <tr r="AH57" s="2"/>
      </tp>
      <tp>
        <v>465000</v>
        <stp/>
        <stp>P</stp>
        <stp>0</stp>
        <stp>STK</stp>
        <stp>003920</stp>
        <stp>현재가</stp>
        <stp/>
        <stp/>
        <tr r="AB13" s="2"/>
      </tp>
      <tp>
        <v>28350</v>
        <stp/>
        <stp>P</stp>
        <stp>0</stp>
        <stp>STK</stp>
        <stp>003960</stp>
        <stp>현재가</stp>
        <stp/>
        <stp/>
        <tr r="AB31" s="2"/>
      </tp>
      <tp>
        <v>192900</v>
        <stp/>
        <stp>P</stp>
        <stp>0</stp>
        <stp>STK</stp>
        <stp>003230</stp>
        <stp>현재가</stp>
        <stp/>
        <stp/>
        <tr r="AB38" s="2"/>
      </tp>
      <tp>
        <v>5400</v>
        <stp/>
        <stp>P</stp>
        <stp>0</stp>
        <stp>STK</stp>
        <stp>003680</stp>
        <stp>현재가</stp>
        <stp/>
        <stp/>
        <tr r="AB52" s="2"/>
      </tp>
      <tp>
        <v>239</v>
        <stp/>
        <stp>P</stp>
        <stp>0</stp>
        <stp>STK</stp>
        <stp>003560</stp>
        <stp>현재가</stp>
        <stp/>
        <stp/>
        <tr r="AH12" s="2"/>
      </tp>
      <tp>
        <v>2640</v>
        <stp/>
        <stp>P</stp>
        <stp>0</stp>
        <stp>STK</stp>
        <stp>002820</stp>
        <stp>현재가</stp>
        <stp/>
        <stp/>
        <tr r="AN13" s="2"/>
      </tp>
      <tp>
        <v>888</v>
        <stp/>
        <stp>P</stp>
        <stp>0</stp>
        <stp>STK</stp>
        <stp>002870</stp>
        <stp>현재가</stp>
        <stp/>
        <stp/>
        <tr r="AN17" s="2"/>
      </tp>
      <tp>
        <v>37950</v>
        <stp/>
        <stp>P</stp>
        <stp>0</stp>
        <stp>STK</stp>
        <stp>002310</stp>
        <stp>현재가</stp>
        <stp/>
        <stp/>
        <tr r="AN18" s="2"/>
      </tp>
      <tp t="s">
        <v/>
        <stp/>
        <stp>P</stp>
        <stp>0</stp>
        <stp>STK</stp>
        <stp>002300</stp>
        <stp>현재가</stp>
        <stp/>
        <stp/>
        <tr r="AN24" s="2"/>
      </tp>
      <tp>
        <v>3060</v>
        <stp/>
        <stp>P</stp>
        <stp>0</stp>
        <stp>STK</stp>
        <stp>002200</stp>
        <stp>현재가</stp>
        <stp/>
        <stp/>
        <tr r="AN15" s="2"/>
      </tp>
      <tp t="s">
        <v/>
        <stp/>
        <stp>P</stp>
        <stp>0</stp>
        <stp>STK</stp>
        <stp>002270</stp>
        <stp>현재가</stp>
        <stp/>
        <stp/>
        <tr r="AB26" s="2"/>
      </tp>
      <tp>
        <v>4735</v>
        <stp/>
        <stp>P</stp>
        <stp>0</stp>
        <stp>STK</stp>
        <stp>102260</stp>
        <stp>현재가</stp>
        <stp/>
        <stp/>
        <tr r="AH32" s="2"/>
      </tp>
      <tp>
        <v>8110</v>
        <stp/>
        <stp>P</stp>
        <stp>0</stp>
        <stp>STK</stp>
        <stp>002150</stp>
        <stp>현재가</stp>
        <stp/>
        <stp/>
        <tr r="AH29" s="2"/>
      </tp>
      <tp>
        <v>3725</v>
        <stp/>
        <stp>P</stp>
        <stp>0</stp>
        <stp>STK</stp>
        <stp>002140</stp>
        <stp>현재가</stp>
        <stp/>
        <stp/>
        <tr r="AB12" s="2"/>
      </tp>
      <tp>
        <v>168700</v>
        <stp/>
        <stp>P</stp>
        <stp>0</stp>
        <stp>STK</stp>
        <stp>002030</stp>
        <stp>현재가</stp>
        <stp/>
        <stp/>
        <tr r="AH51" s="2"/>
      </tp>
      <tp>
        <v>11160</v>
        <stp/>
        <stp>P</stp>
        <stp>0</stp>
        <stp>STK</stp>
        <stp>002620</stp>
        <stp>현재가</stp>
        <stp/>
        <stp/>
        <tr r="AH63" s="2"/>
      </tp>
      <tp>
        <v>184900</v>
        <stp/>
        <stp>P</stp>
        <stp>0</stp>
        <stp>STK</stp>
        <stp>002600</stp>
        <stp>현재가</stp>
        <stp/>
        <stp/>
        <tr r="AB46" s="2"/>
      </tp>
      <tp>
        <v>7290</v>
        <stp/>
        <stp>P</stp>
        <stp>0</stp>
        <stp>STK</stp>
        <stp>002420</stp>
        <stp>현재가</stp>
        <stp/>
        <stp/>
        <tr r="AH47" s="2"/>
      </tp>
      <tp>
        <v>4277402426</v>
        <stp/>
        <stp>P</stp>
        <stp>0</stp>
        <stp>STK</stp>
        <stp>011070</stp>
        <stp>자본</stp>
        <stp>45107</stp>
        <stp>Cons=연결</stp>
        <tr r="S22" s="1"/>
      </tp>
      <tp>
        <v>23551591000</v>
        <stp/>
        <stp>P</stp>
        <stp>0</stp>
        <stp>STK</stp>
        <stp>066570</stp>
        <stp>자본</stp>
        <stp>45107</stp>
        <stp>Cons=연결</stp>
        <tr r="P22" s="1"/>
      </tp>
      <tp t="s">
        <v/>
        <stp/>
        <stp>P</stp>
        <stp>0</stp>
        <stp>STK</stp>
        <stp>020150</stp>
        <stp>기타금융업부채</stp>
        <stp>45107</stp>
        <stp>Cons=연결</stp>
        <tr r="U35" s="1"/>
      </tp>
      <tp>
        <v>11941122</v>
        <stp/>
        <stp>P</stp>
        <stp>0</stp>
        <stp>STK</stp>
        <stp>192400</stp>
        <stp>금융부채</stp>
        <stp>45107</stp>
        <stp>Cons=연결</stp>
        <tr r="V31" s="1"/>
      </tp>
      <tp>
        <v>87733098</v>
        <stp/>
        <stp>P</stp>
        <stp>0</stp>
        <stp>STK</stp>
        <stp>021320</stp>
        <stp>이연법인세자산</stp>
        <stp>45107</stp>
        <stp>Cons=개별</stp>
        <tr r="N19" s="1"/>
      </tp>
      <tp>
        <v>3008079</v>
        <stp/>
        <stp>P</stp>
        <stp>0</stp>
        <stp>STK</stp>
        <stp>192400</stp>
        <stp>기타부채</stp>
        <stp>45107</stp>
        <stp>Cons=연결</stp>
        <tr r="V39" s="1"/>
      </tp>
      <tp>
        <v>10893</v>
        <stp/>
        <stp>P</stp>
        <stp>0</stp>
        <stp>STK</stp>
        <stp>021320</stp>
        <stp>당기법인세자산</stp>
        <stp>45107</stp>
        <stp>Cons=개별</stp>
        <tr r="N20" s="1"/>
      </tp>
      <tp>
        <v>48750</v>
        <stp/>
        <stp>P</stp>
        <stp>0</stp>
        <stp>STK</stp>
        <stp>039130</stp>
        <stp>현재가</stp>
        <stp/>
        <stp/>
        <tr r="AH74" s="2"/>
      </tp>
      <tp>
        <v>15570</v>
        <stp/>
        <stp>P</stp>
        <stp>0</stp>
        <stp>STK</stp>
        <stp>035250</stp>
        <stp>현재가</stp>
        <stp/>
        <stp/>
        <tr r="AH19" s="2"/>
      </tp>
      <tp>
        <v>5980</v>
        <stp/>
        <stp>P</stp>
        <stp>0</stp>
        <stp>STK</stp>
        <stp>035000</stp>
        <stp>현재가</stp>
        <stp/>
        <stp/>
        <tr r="AH64" s="2"/>
      </tp>
      <tp>
        <v>48350</v>
        <stp/>
        <stp>P</stp>
        <stp>0</stp>
        <stp>STK</stp>
        <stp>035720</stp>
        <stp>현재가</stp>
        <stp/>
        <stp/>
        <tr r="AH65" s="2"/>
      </tp>
      <tp>
        <v>13510</v>
        <stp/>
        <stp>P</stp>
        <stp>0</stp>
        <stp>STK</stp>
        <stp>035510</stp>
        <stp>현재가</stp>
        <stp/>
        <stp/>
        <tr r="AH49" s="2"/>
      </tp>
      <tp>
        <v>214500</v>
        <stp/>
        <stp>P</stp>
        <stp>0</stp>
        <stp>STK</stp>
        <stp>035420</stp>
        <stp>현재가</stp>
        <stp/>
        <stp/>
        <tr r="AH14" s="2"/>
      </tp>
      <tp>
        <v>13910</v>
        <stp/>
        <stp>P</stp>
        <stp>0</stp>
        <stp>STK</stp>
        <stp>034310</stp>
        <stp>현재가</stp>
        <stp/>
        <stp/>
        <tr r="AH16" s="2"/>
      </tp>
      <tp>
        <v>28350</v>
        <stp/>
        <stp>P</stp>
        <stp>0</stp>
        <stp>STK</stp>
        <stp>034120</stp>
        <stp>현재가</stp>
        <stp/>
        <stp/>
        <tr r="AH17" s="2"/>
      </tp>
      <tp>
        <v>4000</v>
        <stp/>
        <stp>P</stp>
        <stp>0</stp>
        <stp>STK</stp>
        <stp>037560</stp>
        <stp>현재가</stp>
        <stp/>
        <stp/>
        <tr r="AH9" s="2"/>
      </tp>
      <tp>
        <v>3650</v>
        <stp/>
        <stp>P</stp>
        <stp>0</stp>
        <stp>STK</stp>
        <stp>036580</stp>
        <stp>현재가</stp>
        <stp/>
        <stp/>
        <tr r="AB49" s="2"/>
      </tp>
      <tp>
        <v>252000</v>
        <stp/>
        <stp>P</stp>
        <stp>0</stp>
        <stp>STK</stp>
        <stp>036570</stp>
        <stp>현재가</stp>
        <stp/>
        <stp/>
        <tr r="AH54" s="2"/>
      </tp>
      <tp>
        <v>8210</v>
        <stp/>
        <stp>P</stp>
        <stp>0</stp>
        <stp>STK</stp>
        <stp>136490</stp>
        <stp>현재가</stp>
        <stp/>
        <stp/>
        <tr r="AB42" s="2"/>
      </tp>
      <tp>
        <v>796</v>
        <stp/>
        <stp>P</stp>
        <stp>0</stp>
        <stp>STK</stp>
        <stp>031820</stp>
        <stp>현재가</stp>
        <stp/>
        <stp/>
        <tr r="AH69" s="2"/>
      </tp>
      <tp>
        <v>40100</v>
        <stp/>
        <stp>P</stp>
        <stp>0</stp>
        <stp>STK</stp>
        <stp>031440</stp>
        <stp>현재가</stp>
        <stp/>
        <stp/>
        <tr r="AH50" s="2"/>
      </tp>
      <tp>
        <v>19020</v>
        <stp/>
        <stp>P</stp>
        <stp>0</stp>
        <stp>STK</stp>
        <stp>030000</stp>
        <stp>현재가</stp>
        <stp/>
        <stp/>
        <tr r="AH62" s="2"/>
      </tp>
      <tp>
        <v>904</v>
        <stp/>
        <stp>P</stp>
        <stp>0</stp>
        <stp>STK</stp>
        <stp>030790</stp>
        <stp>현재가</stp>
        <stp/>
        <stp/>
        <tr r="AH33" s="2"/>
      </tp>
      <tp>
        <v>8470</v>
        <stp/>
        <stp>P</stp>
        <stp>0</stp>
        <stp>STK</stp>
        <stp>130660</stp>
        <stp>현재가</stp>
        <stp/>
        <stp/>
        <tr r="AH81" s="2"/>
      </tp>
      <tp>
        <v>5730</v>
        <stp/>
        <stp>P</stp>
        <stp>0</stp>
        <stp>STK</stp>
        <stp>033920</stp>
        <stp>현재가</stp>
        <stp/>
        <stp/>
        <tr r="AB28" s="2"/>
      </tp>
      <tp>
        <v>16860</v>
        <stp/>
        <stp>P</stp>
        <stp>0</stp>
        <stp>STK</stp>
        <stp>032350</stp>
        <stp>현재가</stp>
        <stp/>
        <stp/>
        <tr r="AH37" s="2"/>
      </tp>
      <tp t="s">
        <v/>
        <stp/>
        <stp>P</stp>
        <stp>0</stp>
        <stp>STK</stp>
        <stp>034220</stp>
        <stp>기타금융업부채</stp>
        <stp>45107</stp>
        <stp>Cons=연결</stp>
        <tr r="R35" s="1"/>
      </tp>
      <tp>
        <v>34050</v>
        <stp/>
        <stp>P</stp>
        <stp>0</stp>
        <stp>STK</stp>
        <stp>028050</stp>
        <stp>현재가</stp>
        <stp/>
        <stp/>
        <tr r="AH44" s="2"/>
      </tp>
      <tp>
        <v>963</v>
        <stp/>
        <stp>P</stp>
        <stp>0</stp>
        <stp>STK</stp>
        <stp>025750</stp>
        <stp>현재가</stp>
        <stp/>
        <stp/>
        <tr r="AN26" s="2"/>
      </tp>
      <tp>
        <v>1290</v>
        <stp/>
        <stp>P</stp>
        <stp>0</stp>
        <stp>STK</stp>
        <stp>027970</stp>
        <stp>현재가</stp>
        <stp/>
        <stp/>
        <tr r="AN14" s="2"/>
      </tp>
      <tp>
        <v>1252</v>
        <stp/>
        <stp>P</stp>
        <stp>0</stp>
        <stp>STK</stp>
        <stp>027740</stp>
        <stp>현재가</stp>
        <stp/>
        <stp/>
        <tr r="AB27" s="2"/>
      </tp>
      <tp>
        <v>3150</v>
        <stp/>
        <stp>P</stp>
        <stp>0</stp>
        <stp>STK</stp>
        <stp>126560</stp>
        <stp>현재가</stp>
        <stp/>
        <stp/>
        <tr r="AH82" s="2"/>
      </tp>
      <tp>
        <v>41950</v>
        <stp/>
        <stp>P</stp>
        <stp>0</stp>
        <stp>STK</stp>
        <stp>021240</stp>
        <stp>현재가</stp>
        <stp/>
        <stp/>
        <tr r="AH68" s="2"/>
      </tp>
      <tp>
        <v>6000</v>
        <stp/>
        <stp>P</stp>
        <stp>0</stp>
        <stp>STK</stp>
        <stp>020120</stp>
        <stp>현재가</stp>
        <stp/>
        <stp/>
        <tr r="AH71" s="2"/>
      </tp>
      <tp>
        <v>5960</v>
        <stp/>
        <stp>P</stp>
        <stp>0</stp>
        <stp>STK</stp>
        <stp>023350</stp>
        <stp>현재가</stp>
        <stp/>
        <stp/>
        <tr r="AH78" s="2"/>
      </tp>
      <tp>
        <v>6840</v>
        <stp/>
        <stp>P</stp>
        <stp>0</stp>
        <stp>STK</stp>
        <stp>023150</stp>
        <stp>현재가</stp>
        <stp/>
        <stp/>
        <tr r="AB10" s="2"/>
      </tp>
      <tp>
        <v>18470</v>
        <stp/>
        <stp>P</stp>
        <stp>0</stp>
        <stp>STK</stp>
        <stp>023590</stp>
        <stp>현재가</stp>
        <stp/>
        <stp/>
        <tr r="AH24" s="2"/>
      </tp>
      <tp>
        <v>0.82</v>
        <stp/>
        <stp>P</stp>
        <stp>0</stp>
        <stp>STK</stp>
        <stp>26490K</stp>
        <stp>등락률</stp>
        <stp/>
        <stp/>
        <tr r="AD48" s="2"/>
      </tp>
      <tp>
        <v>7238657000</v>
        <stp/>
        <stp>P</stp>
        <stp>0</stp>
        <stp>STK</stp>
        <stp>066570</stp>
        <stp>현금및현금성자산</stp>
        <stp>45107</stp>
        <stp>Cons=연결</stp>
        <tr r="P9" s="1"/>
      </tp>
      <tp>
        <v>1962103442</v>
        <stp/>
        <stp>P</stp>
        <stp>0</stp>
        <stp>STK</stp>
        <stp>006400</stp>
        <stp>현금및현금성자산</stp>
        <stp>45107</stp>
        <stp>Cons=연결</stp>
        <tr r="O9" s="1"/>
      </tp>
      <tp>
        <v>277068605</v>
        <stp/>
        <stp>P</stp>
        <stp>0</stp>
        <stp>STK</stp>
        <stp>267260</stp>
        <stp>현금및현금성자산</stp>
        <stp>45107</stp>
        <stp>Cons=연결</stp>
        <tr r="AA9" s="1"/>
      </tp>
      <tp>
        <v>2378439000</v>
        <stp/>
        <stp>P</stp>
        <stp>0</stp>
        <stp>STK</stp>
        <stp>034220</stp>
        <stp>현금및현금성자산</stp>
        <stp>45107</stp>
        <stp>Cons=연결</stp>
        <tr r="R9" s="1"/>
      </tp>
      <tp>
        <v>79919775000</v>
        <stp/>
        <stp>P</stp>
        <stp>0</stp>
        <stp>STK</stp>
        <stp>005930</stp>
        <stp>현금및현금성자산</stp>
        <stp>45107</stp>
        <stp>Cons=연결</stp>
        <tr r="M9" s="1"/>
      </tp>
      <tp>
        <v>89723744</v>
        <stp/>
        <stp>P</stp>
        <stp>0</stp>
        <stp>STK</stp>
        <stp>192400</stp>
        <stp>현금및현금성자산</stp>
        <stp>45107</stp>
        <stp>Cons=연결</stp>
        <tr r="V9" s="1"/>
      </tp>
      <tp>
        <v>175234221</v>
        <stp/>
        <stp>P</stp>
        <stp>0</stp>
        <stp>STK</stp>
        <stp>000990</stp>
        <stp>현금및현금성자산</stp>
        <stp>45107</stp>
        <stp>Cons=연결</stp>
        <tr r="Y9" s="1"/>
      </tp>
      <tp>
        <v>289512858</v>
        <stp/>
        <stp>P</stp>
        <stp>0</stp>
        <stp>STK</stp>
        <stp>020150</stp>
        <stp>현금및현금성자산</stp>
        <stp>45107</stp>
        <stp>Cons=연결</stp>
        <tr r="U9" s="1"/>
      </tp>
      <tp>
        <v>497948718</v>
        <stp/>
        <stp>P</stp>
        <stp>0</stp>
        <stp>STK</stp>
        <stp>010120</stp>
        <stp>현금및현금성자산</stp>
        <stp>45107</stp>
        <stp>Cons=연결</stp>
        <tr r="T9" s="1"/>
      </tp>
      <tp>
        <v>30032909</v>
        <stp/>
        <stp>P</stp>
        <stp>0</stp>
        <stp>STK</stp>
        <stp>001820</stp>
        <stp>현금및현금성자산</stp>
        <stp>45107</stp>
        <stp>Cons=연결</stp>
        <tr r="X9" s="1"/>
      </tp>
      <tp>
        <v>317131226</v>
        <stp/>
        <stp>P</stp>
        <stp>0</stp>
        <stp>STK</stp>
        <stp>001440</stp>
        <stp>현금및현금성자산</stp>
        <stp>45107</stp>
        <stp>Cons=연결</stp>
        <tr r="W9" s="1"/>
      </tp>
      <tp>
        <v>901495412</v>
        <stp/>
        <stp>P</stp>
        <stp>0</stp>
        <stp>STK</stp>
        <stp>011070</stp>
        <stp>현금및현금성자산</stp>
        <stp>45107</stp>
        <stp>Cons=연결</stp>
        <tr r="S9" s="1"/>
      </tp>
      <tp>
        <v>1326014550</v>
        <stp/>
        <stp>P</stp>
        <stp>0</stp>
        <stp>STK</stp>
        <stp>021320</stp>
        <stp>자산</stp>
        <stp>45107</stp>
        <stp>Cons=개별</stp>
        <tr r="N8" s="1"/>
      </tp>
      <tp>
        <v>-1556882</v>
        <stp/>
        <stp>P</stp>
        <stp>0</stp>
        <stp>STK</stp>
        <stp>021320</stp>
        <stp>기타포괄손익누계액</stp>
        <stp>45107</stp>
        <stp>Cons=개별</stp>
        <tr r="N27" s="1"/>
      </tp>
      <tp>
        <v>63473601</v>
        <stp/>
        <stp>P</stp>
        <stp>0</stp>
        <stp>STK</stp>
        <stp>009450</stp>
        <stp>현금및현금성자산</stp>
        <stp>45107</stp>
        <stp>Cons=연결</stp>
        <tr r="Z9" s="1"/>
      </tp>
      <tp>
        <v>1585038980</v>
        <stp/>
        <stp>P</stp>
        <stp>0</stp>
        <stp>STK</stp>
        <stp>009150</stp>
        <stp>현금및현금성자산</stp>
        <stp>45107</stp>
        <stp>Cons=연결</stp>
        <tr r="Q9" s="1"/>
      </tp>
      <tp>
        <v>1162907605</v>
        <stp/>
        <stp>P</stp>
        <stp>0</stp>
        <stp>STK</stp>
        <stp>192400</stp>
        <stp>자산</stp>
        <stp>45107</stp>
        <stp/>
        <tr r="V7" s="1"/>
      </tp>
      <tp t="s">
        <v/>
        <stp/>
        <stp>P</stp>
        <stp>0</stp>
        <stp>STK</stp>
        <stp>000990</stp>
        <stp>신종자본증권</stp>
        <stp>45107</stp>
        <stp>Cons=연결</stp>
        <tr r="Y24" s="1"/>
      </tp>
      <tp t="s">
        <v/>
        <stp/>
        <stp>P</stp>
        <stp>0</stp>
        <stp>STK</stp>
        <stp>000990</stp>
        <stp>비업무용자산</stp>
        <stp>45107</stp>
        <stp>Cons=연결</stp>
        <tr r="Y16" s="1"/>
      </tp>
      <tp t="s">
        <v/>
        <stp/>
        <stp>P</stp>
        <stp>0</stp>
        <stp>STK</stp>
        <stp>021320</stp>
        <stp>파생상품자산</stp>
        <stp>45107</stp>
        <stp>Cons=개별</stp>
        <tr r="N11" s="1"/>
      </tp>
      <tp t="s">
        <v/>
        <stp/>
        <stp>P</stp>
        <stp>0</stp>
        <stp>STK</stp>
        <stp>066570</stp>
        <stp>신종자본증권</stp>
        <stp>45107</stp>
        <stp>Cons=연결</stp>
        <tr r="P24" s="1"/>
      </tp>
      <tp t="s">
        <v/>
        <stp/>
        <stp>P</stp>
        <stp>0</stp>
        <stp>STK</stp>
        <stp>011070</stp>
        <stp>신종자본증권</stp>
        <stp>45107</stp>
        <stp>Cons=연결</stp>
        <tr r="S24" s="1"/>
      </tp>
      <tp>
        <v>-563672</v>
        <stp/>
        <stp>P</stp>
        <stp>0</stp>
        <stp>STK</stp>
        <stp>011070</stp>
        <stp>비업무용자산</stp>
        <stp>45107</stp>
        <stp>Cons=연결</stp>
        <tr r="S16" s="1"/>
      </tp>
      <tp>
        <v>-3548000</v>
        <stp/>
        <stp>P</stp>
        <stp>0</stp>
        <stp>STK</stp>
        <stp>066570</stp>
        <stp>비업무용자산</stp>
        <stp>45107</stp>
        <stp>Cons=연결</stp>
        <tr r="P16" s="1"/>
      </tp>
      <tp>
        <v>1049811314</v>
        <stp/>
        <stp>P</stp>
        <stp>0</stp>
        <stp>STK</stp>
        <stp>009450</stp>
        <stp>자산</stp>
        <stp>45107</stp>
        <stp/>
        <tr r="Z7" s="1"/>
      </tp>
      <tp>
        <v>11186625966</v>
        <stp/>
        <stp>P</stp>
        <stp>0</stp>
        <stp>STK</stp>
        <stp>009150</stp>
        <stp>자산</stp>
        <stp>45107</stp>
        <stp/>
        <tr r="Q7" s="1"/>
      </tp>
      <tp>
        <v>32902818668</v>
        <stp/>
        <stp>P</stp>
        <stp>0</stp>
        <stp>STK</stp>
        <stp>006400</stp>
        <stp>자산</stp>
        <stp>45107</stp>
        <stp/>
        <tr r="O7" s="1"/>
      </tp>
      <tp>
        <v>448000552000</v>
        <stp/>
        <stp>P</stp>
        <stp>0</stp>
        <stp>STK</stp>
        <stp>005930</stp>
        <stp>자산</stp>
        <stp>45107</stp>
        <stp/>
        <tr r="M7" s="1"/>
      </tp>
      <tp>
        <v>1974801806</v>
        <stp/>
        <stp>P</stp>
        <stp>0</stp>
        <stp>STK</stp>
        <stp>000990</stp>
        <stp>자산</stp>
        <stp>45107</stp>
        <stp/>
        <tr r="Y7" s="1"/>
      </tp>
      <tp>
        <v>313339061</v>
        <stp/>
        <stp>P</stp>
        <stp>0</stp>
        <stp>STK</stp>
        <stp>001820</stp>
        <stp>자산</stp>
        <stp>45107</stp>
        <stp/>
        <tr r="X7" s="1"/>
      </tp>
      <tp>
        <v>1739290600</v>
        <stp/>
        <stp>P</stp>
        <stp>0</stp>
        <stp>STK</stp>
        <stp>001440</stp>
        <stp>자산</stp>
        <stp>45107</stp>
        <stp/>
        <tr r="W7" s="1"/>
      </tp>
      <tp>
        <v>3644990654</v>
        <stp/>
        <stp>P</stp>
        <stp>0</stp>
        <stp>STK</stp>
        <stp>010120</stp>
        <stp>자산</stp>
        <stp>45107</stp>
        <stp/>
        <tr r="T7" s="1"/>
      </tp>
      <tp>
        <v>9473140375</v>
        <stp/>
        <stp>P</stp>
        <stp>0</stp>
        <stp>STK</stp>
        <stp>011070</stp>
        <stp>자산</stp>
        <stp>45107</stp>
        <stp/>
        <tr r="S7" s="1"/>
      </tp>
      <tp t="s">
        <v/>
        <stp/>
        <stp>P</stp>
        <stp>0</stp>
        <stp>STK</stp>
        <stp>020150</stp>
        <stp>신종자본증권</stp>
        <stp>45107</stp>
        <stp>Cons=연결</stp>
        <tr r="U24" s="1"/>
      </tp>
      <tp t="s">
        <v/>
        <stp/>
        <stp>P</stp>
        <stp>0</stp>
        <stp>STK</stp>
        <stp>009150</stp>
        <stp>신종자본증권</stp>
        <stp>45107</stp>
        <stp>Cons=연결</stp>
        <tr r="Q24" s="1"/>
      </tp>
      <tp t="s">
        <v/>
        <stp/>
        <stp>P</stp>
        <stp>0</stp>
        <stp>STK</stp>
        <stp>009450</stp>
        <stp>신종자본증권</stp>
        <stp>45107</stp>
        <stp>Cons=연결</stp>
        <tr r="Z24" s="1"/>
      </tp>
      <tp t="s">
        <v/>
        <stp/>
        <stp>P</stp>
        <stp>0</stp>
        <stp>STK</stp>
        <stp>009150</stp>
        <stp>비업무용자산</stp>
        <stp>45107</stp>
        <stp>Cons=연결</stp>
        <tr r="Q16" s="1"/>
      </tp>
      <tp>
        <v>-1950</v>
        <stp/>
        <stp>P</stp>
        <stp>0</stp>
        <stp>STK</stp>
        <stp>009450</stp>
        <stp>비업무용자산</stp>
        <stp>45107</stp>
        <stp>Cons=연결</stp>
        <tr r="Z16" s="1"/>
      </tp>
      <tp>
        <v>-5859</v>
        <stp/>
        <stp>P</stp>
        <stp>0</stp>
        <stp>STK</stp>
        <stp>020150</stp>
        <stp>비업무용자산</stp>
        <stp>45107</stp>
        <stp>Cons=연결</stp>
        <tr r="U16" s="1"/>
      </tp>
      <tp>
        <v>2426411418</v>
        <stp/>
        <stp>P</stp>
        <stp>0</stp>
        <stp>STK</stp>
        <stp>020150</stp>
        <stp>자산</stp>
        <stp>45107</stp>
        <stp/>
        <tr r="U7" s="1"/>
      </tp>
      <tp t="s">
        <v/>
        <stp/>
        <stp>P</stp>
        <stp>0</stp>
        <stp>STK</stp>
        <stp>021320</stp>
        <stp>자산</stp>
        <stp>45107</stp>
        <stp/>
        <tr r="N7" s="1"/>
      </tp>
      <tp t="s">
        <v/>
        <stp/>
        <stp>P</stp>
        <stp>0</stp>
        <stp>STK</stp>
        <stp>267260</stp>
        <stp>신종자본증권</stp>
        <stp>45107</stp>
        <stp>Cons=연결</stp>
        <tr r="AA24" s="1"/>
      </tp>
      <tp t="s">
        <v/>
        <stp/>
        <stp>P</stp>
        <stp>0</stp>
        <stp>STK</stp>
        <stp>001440</stp>
        <stp>신종자본증권</stp>
        <stp>45107</stp>
        <stp>Cons=연결</stp>
        <tr r="W24" s="1"/>
      </tp>
      <tp>
        <v>-90155</v>
        <stp/>
        <stp>P</stp>
        <stp>0</stp>
        <stp>STK</stp>
        <stp>001440</stp>
        <stp>비업무용자산</stp>
        <stp>45107</stp>
        <stp>Cons=연결</stp>
        <tr r="W16" s="1"/>
      </tp>
      <tp t="s">
        <v/>
        <stp/>
        <stp>P</stp>
        <stp>0</stp>
        <stp>STK</stp>
        <stp>267260</stp>
        <stp>비업무용자산</stp>
        <stp>45107</stp>
        <stp>Cons=연결</stp>
        <tr r="AA16" s="1"/>
      </tp>
      <tp>
        <v>37371963000</v>
        <stp/>
        <stp>P</stp>
        <stp>0</stp>
        <stp>STK</stp>
        <stp>034220</stp>
        <stp>자산</stp>
        <stp>45107</stp>
        <stp/>
        <tr r="R7" s="1"/>
      </tp>
      <tp t="s">
        <v/>
        <stp/>
        <stp>P</stp>
        <stp>0</stp>
        <stp>STK</stp>
        <stp>005930</stp>
        <stp>신종자본증권</stp>
        <stp>45107</stp>
        <stp>Cons=연결</stp>
        <tr r="M24" s="1"/>
      </tp>
      <tp t="s">
        <v/>
        <stp/>
        <stp>P</stp>
        <stp>0</stp>
        <stp>STK</stp>
        <stp>005930</stp>
        <stp>비업무용자산</stp>
        <stp>45107</stp>
        <stp>Cons=연결</stp>
        <tr r="M16" s="1"/>
      </tp>
      <tp t="s">
        <v/>
        <stp/>
        <stp>P</stp>
        <stp>0</stp>
        <stp>STK</stp>
        <stp>034220</stp>
        <stp>신종자본증권</stp>
        <stp>45107</stp>
        <stp>Cons=연결</stp>
        <tr r="R24" s="1"/>
      </tp>
      <tp t="s">
        <v/>
        <stp/>
        <stp>P</stp>
        <stp>0</stp>
        <stp>STK</stp>
        <stp>010120</stp>
        <stp>신종자본증권</stp>
        <stp>45107</stp>
        <stp>Cons=연결</stp>
        <tr r="T24" s="1"/>
      </tp>
      <tp t="s">
        <v/>
        <stp/>
        <stp>P</stp>
        <stp>0</stp>
        <stp>STK</stp>
        <stp>001820</stp>
        <stp>신종자본증권</stp>
        <stp>45107</stp>
        <stp>Cons=연결</stp>
        <tr r="X24" s="1"/>
      </tp>
      <tp t="s">
        <v/>
        <stp/>
        <stp>P</stp>
        <stp>0</stp>
        <stp>STK</stp>
        <stp>010120</stp>
        <stp>비업무용자산</stp>
        <stp>45107</stp>
        <stp>Cons=연결</stp>
        <tr r="T16" s="1"/>
      </tp>
      <tp t="s">
        <v/>
        <stp/>
        <stp>P</stp>
        <stp>0</stp>
        <stp>STK</stp>
        <stp>001820</stp>
        <stp>비업무용자산</stp>
        <stp>45107</stp>
        <stp>Cons=연결</stp>
        <tr r="X16" s="1"/>
      </tp>
      <tp>
        <v>-1421000</v>
        <stp/>
        <stp>P</stp>
        <stp>0</stp>
        <stp>STK</stp>
        <stp>034220</stp>
        <stp>비업무용자산</stp>
        <stp>45107</stp>
        <stp>Cons=연결</stp>
        <tr r="R16" s="1"/>
      </tp>
      <tp>
        <v>29445322</v>
        <stp/>
        <stp>P</stp>
        <stp>0</stp>
        <stp>STK</stp>
        <stp>021320</stp>
        <stp>비예수부채</stp>
        <stp>45107</stp>
        <stp>Cons=개별</stp>
        <tr r="N30" s="1"/>
      </tp>
      <tp t="s">
        <v/>
        <stp/>
        <stp>P</stp>
        <stp>0</stp>
        <stp>STK</stp>
        <stp>192400</stp>
        <stp>신종자본증권</stp>
        <stp>45107</stp>
        <stp>Cons=연결</stp>
        <tr r="V24" s="1"/>
      </tp>
      <tp>
        <v>203532</v>
        <stp/>
        <stp>P</stp>
        <stp>0</stp>
        <stp>STK</stp>
        <stp>192400</stp>
        <stp>비업무용자산</stp>
        <stp>45107</stp>
        <stp>Cons=연결</stp>
        <tr r="V16" s="1"/>
      </tp>
      <tp>
        <v>58160448000</v>
        <stp/>
        <stp>P</stp>
        <stp>0</stp>
        <stp>STK</stp>
        <stp>066570</stp>
        <stp>자산</stp>
        <stp>45107</stp>
        <stp/>
        <tr r="P7" s="1"/>
      </tp>
      <tp>
        <v>2922375337</v>
        <stp/>
        <stp>P</stp>
        <stp>0</stp>
        <stp>STK</stp>
        <stp>267260</stp>
        <stp>자산</stp>
        <stp>45107</stp>
        <stp/>
        <tr r="AA7" s="1"/>
      </tp>
      <tp t="s">
        <v/>
        <stp/>
        <stp>P</stp>
        <stp>0</stp>
        <stp>STK</stp>
        <stp>006400</stp>
        <stp>신종자본증권</stp>
        <stp>45107</stp>
        <stp>Cons=연결</stp>
        <tr r="O24" s="1"/>
      </tp>
      <tp>
        <v>-46406</v>
        <stp/>
        <stp>P</stp>
        <stp>0</stp>
        <stp>STK</stp>
        <stp>006400</stp>
        <stp>비업무용자산</stp>
        <stp>45107</stp>
        <stp>Cons=연결</stp>
        <tr r="O16" s="1"/>
      </tp>
      <tp t="s">
        <v/>
        <stp/>
        <stp>P</stp>
        <stp>0</stp>
        <stp>STK</stp>
        <stp>005930</stp>
        <stp>투자부동산</stp>
        <stp>45107</stp>
        <stp>Cons=연결</stp>
        <tr r="M15" s="1"/>
      </tp>
      <tp t="s">
        <v/>
        <stp/>
        <stp>P</stp>
        <stp>0</stp>
        <stp>STK</stp>
        <stp>000990</stp>
        <stp>투자부동산</stp>
        <stp>45107</stp>
        <stp>Cons=연결</stp>
        <tr r="Y15" s="1"/>
      </tp>
      <tp t="s">
        <v/>
        <stp/>
        <stp>P</stp>
        <stp>0</stp>
        <stp>STK</stp>
        <stp>001820</stp>
        <stp>투자부동산</stp>
        <stp>45107</stp>
        <stp>Cons=연결</stp>
        <tr r="X15" s="1"/>
      </tp>
      <tp>
        <v>24227272</v>
        <stp/>
        <stp>P</stp>
        <stp>0</stp>
        <stp>STK</stp>
        <stp>021320</stp>
        <stp>파생상품부채</stp>
        <stp>45107</stp>
        <stp>Cons=개별</stp>
        <tr r="N32" s="1"/>
      </tp>
      <tp>
        <v>150921943000</v>
        <stp/>
        <stp>P</stp>
        <stp>0</stp>
        <stp>STK</stp>
        <stp>109070</stp>
        <stp>시가총액</stp>
        <stp/>
        <stp/>
        <tr r="AQ21" s="2"/>
      </tp>
      <tp>
        <v>365133566700</v>
        <stp/>
        <stp>P</stp>
        <stp>0</stp>
        <stp>STK</stp>
        <stp>079160</stp>
        <stp>시가총액</stp>
        <stp/>
        <stp/>
        <tr r="AK8" s="2"/>
      </tp>
      <tp>
        <v>781910268750</v>
        <stp/>
        <stp>P</stp>
        <stp>0</stp>
        <stp>STK</stp>
        <stp>039130</stp>
        <stp>시가총액</stp>
        <stp/>
        <stp/>
        <tr r="AK74" s="2"/>
      </tp>
      <tp>
        <v>98197971600</v>
        <stp/>
        <stp>P</stp>
        <stp>0</stp>
        <stp>STK</stp>
        <stp>009200</stp>
        <stp>시가총액</stp>
        <stp/>
        <stp/>
        <tr r="AQ11" s="2"/>
      </tp>
      <tp>
        <v>59607818514</v>
        <stp/>
        <stp>P</stp>
        <stp>0</stp>
        <stp>STK</stp>
        <stp>009460</stp>
        <stp>시가총액</stp>
        <stp/>
        <stp/>
        <tr r="AQ27" s="2"/>
      </tp>
      <tp>
        <v>209557568640</v>
        <stp/>
        <stp>P</stp>
        <stp>0</stp>
        <stp>STK</stp>
        <stp>009580</stp>
        <stp>시가총액</stp>
        <stp/>
        <stp/>
        <tr r="AQ10" s="2"/>
      </tp>
      <tp t="s">
        <v/>
        <stp/>
        <stp>P</stp>
        <stp>0</stp>
        <stp>STK</stp>
        <stp>079660</stp>
        <stp>시가총액</stp>
        <stp/>
        <stp/>
        <tr r="AE35" s="2"/>
      </tp>
      <tp t="s">
        <v/>
        <stp/>
        <stp>P</stp>
        <stp>0</stp>
        <stp>STK</stp>
        <stp>159650</stp>
        <stp>시가총액</stp>
        <stp/>
        <stp/>
        <tr r="AK77" s="2"/>
      </tp>
      <tp>
        <v>32676197180</v>
        <stp/>
        <stp>P</stp>
        <stp>0</stp>
        <stp>STK</stp>
        <stp>019685</stp>
        <stp>시가총액</stp>
        <stp/>
        <stp/>
        <tr r="AK26" s="2"/>
      </tp>
      <tp>
        <v>199475211750</v>
        <stp/>
        <stp>P</stp>
        <stp>0</stp>
        <stp>STK</stp>
        <stp>019680</stp>
        <stp>시가총액</stp>
        <stp/>
        <stp/>
        <tr r="AK25" s="2"/>
      </tp>
      <tp>
        <v>569220790000</v>
        <stp/>
        <stp>P</stp>
        <stp>0</stp>
        <stp>STK</stp>
        <stp>049770</stp>
        <stp>시가총액</stp>
        <stp/>
        <stp/>
        <tr r="AE22" s="2"/>
      </tp>
      <tp>
        <v>62499275000</v>
        <stp/>
        <stp>P</stp>
        <stp>0</stp>
        <stp>STK</stp>
        <stp>009770</stp>
        <stp>시가총액</stp>
        <stp/>
        <stp/>
        <tr r="AQ12" s="2"/>
      </tp>
      <tp>
        <v>112932490000</v>
        <stp/>
        <stp>P</stp>
        <stp>0</stp>
        <stp>STK</stp>
        <stp>058860</stp>
        <stp>시가총액</stp>
        <stp/>
        <stp/>
        <tr r="AK67" s="2"/>
      </tp>
      <tp>
        <v>144488725000</v>
        <stp/>
        <stp>P</stp>
        <stp>0</stp>
        <stp>STK</stp>
        <stp>058850</stp>
        <stp>시가총액</stp>
        <stp/>
        <stp/>
        <tr r="AK13" s="2"/>
      </tp>
      <tp>
        <v>148625263800</v>
        <stp/>
        <stp>P</stp>
        <stp>0</stp>
        <stp>STK</stp>
        <stp>008040</stp>
        <stp>시가총액</stp>
        <stp/>
        <stp/>
        <tr r="AE32" s="2"/>
      </tp>
      <tp>
        <v>6673800000000</v>
        <stp/>
        <stp>P</stp>
        <stp>0</stp>
        <stp>STK</stp>
        <stp>028050</stp>
        <stp>시가총액</stp>
        <stp/>
        <stp/>
        <tr r="AK44" s="2"/>
      </tp>
      <tp>
        <v>91981652880</v>
        <stp/>
        <stp>P</stp>
        <stp>0</stp>
        <stp>STK</stp>
        <stp>078000</stp>
        <stp>시가총액</stp>
        <stp/>
        <stp/>
        <tr r="AK72" s="2"/>
      </tp>
      <tp>
        <v>151895509500</v>
        <stp/>
        <stp>P</stp>
        <stp>0</stp>
        <stp>STK</stp>
        <stp>248170</stp>
        <stp>시가총액</stp>
        <stp/>
        <stp/>
        <tr r="AE39" s="2"/>
      </tp>
      <tp>
        <v>10894794240000</v>
        <stp/>
        <stp>P</stp>
        <stp>0</stp>
        <stp>STK</stp>
        <stp>018260</stp>
        <stp>시가총액</stp>
        <stp/>
        <stp/>
        <tr r="AK43" s="2"/>
      </tp>
      <tp>
        <v>76449392300</v>
        <stp/>
        <stp>P</stp>
        <stp>0</stp>
        <stp>STK</stp>
        <stp>008250</stp>
        <stp>시가총액</stp>
        <stp/>
        <stp/>
        <tr r="AQ20" s="2"/>
      </tp>
      <tp>
        <v>182500000000</v>
        <stp/>
        <stp>P</stp>
        <stp>0</stp>
        <stp>STK</stp>
        <stp>068290</stp>
        <stp>시가총액</stp>
        <stp/>
        <stp/>
        <tr r="AK45" s="2"/>
      </tp>
      <tp>
        <v>635048831200</v>
        <stp/>
        <stp>P</stp>
        <stp>0</stp>
        <stp>STK</stp>
        <stp>068400</stp>
        <stp>시가총액</stp>
        <stp/>
        <stp/>
        <tr r="AK7" s="2"/>
      </tp>
      <tp t="s">
        <v/>
        <stp/>
        <stp>P</stp>
        <stp>0</stp>
        <stp>STK</stp>
        <stp>010120</stp>
        <stp>투자부동산</stp>
        <stp>45107</stp>
        <stp>Cons=연결</stp>
        <tr r="T15" s="1"/>
      </tp>
      <tp>
        <v>926316</v>
        <stp/>
        <stp>P</stp>
        <stp>0</stp>
        <stp>STK</stp>
        <stp>020150</stp>
        <stp>투자부동산</stp>
        <stp>45107</stp>
        <stp>Cons=연결</stp>
        <tr r="U15" s="1"/>
      </tp>
      <tp t="s">
        <v/>
        <stp/>
        <stp>P</stp>
        <stp>0</stp>
        <stp>STK</stp>
        <stp>009150</stp>
        <stp>투자부동산</stp>
        <stp>45107</stp>
        <stp>Cons=연결</stp>
        <tr r="Q15" s="1"/>
      </tp>
      <tp>
        <v>245329925730</v>
        <stp/>
        <stp>P</stp>
        <stp>0</stp>
        <stp>STK</stp>
        <stp>027970</stp>
        <stp>시가총액</stp>
        <stp/>
        <stp/>
        <tr r="AQ14" s="2"/>
      </tp>
      <tp>
        <v>181194604500</v>
        <stp/>
        <stp>P</stp>
        <stp>0</stp>
        <stp>STK</stp>
        <stp>097955</stp>
        <stp>시가총액</stp>
        <stp/>
        <stp/>
        <tr r="AE9" s="2"/>
      </tp>
      <tp>
        <v>4546364172000</v>
        <stp/>
        <stp>P</stp>
        <stp>0</stp>
        <stp>STK</stp>
        <stp>097950</stp>
        <stp>시가총액</stp>
        <stp/>
        <stp/>
        <tr r="AE8" s="2"/>
      </tp>
      <tp>
        <v>39232202688</v>
        <stp/>
        <stp>P</stp>
        <stp>0</stp>
        <stp>STK</stp>
        <stp>007120</stp>
        <stp>시가총액</stp>
        <stp/>
        <stp/>
        <tr r="AK40" s="2"/>
      </tp>
      <tp>
        <v>1464861865000</v>
        <stp/>
        <stp>P</stp>
        <stp>0</stp>
        <stp>STK</stp>
        <stp>007310</stp>
        <stp>시가총액</stp>
        <stp/>
        <stp/>
        <tr r="AE43" s="2"/>
      </tp>
      <tp>
        <v>309787460000</v>
        <stp/>
        <stp>P</stp>
        <stp>0</stp>
        <stp>STK</stp>
        <stp>037560</stp>
        <stp>시가총액</stp>
        <stp/>
        <stp/>
        <tr r="AK9" s="2"/>
      </tp>
      <tp>
        <v>79516057456</v>
        <stp/>
        <stp>P</stp>
        <stp>0</stp>
        <stp>STK</stp>
        <stp>027740</stp>
        <stp>시가총액</stp>
        <stp/>
        <stp/>
        <tr r="AE27" s="2"/>
      </tp>
      <tp>
        <v>13970755</v>
        <stp/>
        <stp>P</stp>
        <stp>0</stp>
        <stp>STK</stp>
        <stp>011070</stp>
        <stp>투자부동산</stp>
        <stp>45107</stp>
        <stp>Cons=연결</stp>
        <tr r="S15" s="1"/>
      </tp>
      <tp>
        <v>67980000000</v>
        <stp/>
        <stp>P</stp>
        <stp>0</stp>
        <stp>STK</stp>
        <stp>006980</stp>
        <stp>시가총액</stp>
        <stp/>
        <stp/>
        <tr r="AE45" s="2"/>
      </tp>
      <tp>
        <v>80187508890</v>
        <stp/>
        <stp>P</stp>
        <stp>0</stp>
        <stp>STK</stp>
        <stp>006090</stp>
        <stp>시가총액</stp>
        <stp/>
        <stp/>
        <tr r="AE34" s="2"/>
      </tp>
      <tp>
        <v>195230548840</v>
        <stp/>
        <stp>P</stp>
        <stp>0</stp>
        <stp>STK</stp>
        <stp>136490</stp>
        <stp>시가총액</stp>
        <stp/>
        <stp/>
        <tr r="AE42" s="2"/>
      </tp>
      <tp>
        <v>5532413544000</v>
        <stp/>
        <stp>P</stp>
        <stp>0</stp>
        <stp>STK</stp>
        <stp>036570</stp>
        <stp>시가총액</stp>
        <stp/>
        <stp/>
        <tr r="AK54" s="2"/>
      </tp>
      <tp>
        <v>347139276750</v>
        <stp/>
        <stp>P</stp>
        <stp>0</stp>
        <stp>STK</stp>
        <stp>126560</stp>
        <stp>시가총액</stp>
        <stp/>
        <stp/>
        <tr r="AK82" s="2"/>
      </tp>
      <tp>
        <v>134056991950</v>
        <stp/>
        <stp>P</stp>
        <stp>0</stp>
        <stp>STK</stp>
        <stp>036580</stp>
        <stp>시가총액</stp>
        <stp/>
        <stp/>
        <tr r="AE49" s="2"/>
      </tp>
      <tp>
        <v>224458857400</v>
        <stp/>
        <stp>P</stp>
        <stp>0</stp>
        <stp>STK</stp>
        <stp>016590</stp>
        <stp>시가총액</stp>
        <stp/>
        <stp/>
        <tr r="AQ16" s="2"/>
      </tp>
      <tp>
        <v>2275301144600</v>
        <stp/>
        <stp>P</stp>
        <stp>0</stp>
        <stp>STK</stp>
        <stp>006740</stp>
        <stp>시가총액</stp>
        <stp/>
        <stp/>
        <tr r="AQ19" s="2"/>
      </tp>
      <tp>
        <v>213507120930</v>
        <stp/>
        <stp>P</stp>
        <stp>0</stp>
        <stp>STK</stp>
        <stp>016710</stp>
        <stp>시가총액</stp>
        <stp/>
        <stp/>
        <tr r="AK27" s="2"/>
      </tp>
      <tp>
        <v>45296011920</v>
        <stp/>
        <stp>P</stp>
        <stp>0</stp>
        <stp>STK</stp>
        <stp>155900</stp>
        <stp>시가총액</stp>
        <stp/>
        <stp/>
        <tr r="AK41" s="2"/>
      </tp>
      <tp>
        <v>467199239700</v>
        <stp/>
        <stp>P</stp>
        <stp>0</stp>
        <stp>STK</stp>
        <stp>145990</stp>
        <stp>시가총액</stp>
        <stp/>
        <stp/>
        <tr r="AE36" s="2"/>
      </tp>
      <tp>
        <v>9177736000</v>
        <stp/>
        <stp>P</stp>
        <stp>0</stp>
        <stp>STK</stp>
        <stp>145995</stp>
        <stp>시가총액</stp>
        <stp/>
        <stp/>
        <tr r="AE37" s="2"/>
      </tp>
      <tp>
        <v>32181551600</v>
        <stp/>
        <stp>P</stp>
        <stp>0</stp>
        <stp>STK</stp>
        <stp>015020</stp>
        <stp>시가총액</stp>
        <stp/>
        <stp/>
        <tr r="AK60" s="2"/>
      </tp>
      <tp>
        <v>99073105820</v>
        <stp/>
        <stp>P</stp>
        <stp>0</stp>
        <stp>STK</stp>
        <stp>035000</stp>
        <stp>시가총액</stp>
        <stp/>
        <stp/>
        <tr r="AK64" s="2"/>
      </tp>
      <tp>
        <v>546743875500</v>
        <stp/>
        <stp>P</stp>
        <stp>0</stp>
        <stp>STK</stp>
        <stp>005180</stp>
        <stp>시가총액</stp>
        <stp/>
        <stp/>
        <tr r="AE30" s="2"/>
      </tp>
      <tp>
        <v>48156895548</v>
        <stp/>
        <stp>P</stp>
        <stp>0</stp>
        <stp>STK</stp>
        <stp>145270</stp>
        <stp>시가총액</stp>
        <stp/>
        <stp/>
        <tr r="AK66" s="2"/>
      </tp>
      <tp>
        <v>23899217500</v>
        <stp/>
        <stp>P</stp>
        <stp>0</stp>
        <stp>STK</stp>
        <stp>005257</stp>
        <stp>시가총액</stp>
        <stp/>
        <stp/>
        <tr r="AK23" s="2"/>
      </tp>
      <tp>
        <v>653692119000</v>
        <stp/>
        <stp>P</stp>
        <stp>0</stp>
        <stp>STK</stp>
        <stp>005250</stp>
        <stp>시가총액</stp>
        <stp/>
        <stp/>
        <tr r="AK22" s="2"/>
      </tp>
      <tp>
        <v>3331053585000</v>
        <stp/>
        <stp>P</stp>
        <stp>0</stp>
        <stp>STK</stp>
        <stp>035250</stp>
        <stp>시가총액</stp>
        <stp/>
        <stp/>
        <tr r="AK19" s="2"/>
      </tp>
      <tp>
        <v>51558115000</v>
        <stp/>
        <stp>P</stp>
        <stp>0</stp>
        <stp>STK</stp>
        <stp>005305</stp>
        <stp>시가총액</stp>
        <stp/>
        <stp/>
        <tr r="AE25" s="2"/>
      </tp>
      <tp>
        <v>1212750138800</v>
        <stp/>
        <stp>P</stp>
        <stp>0</stp>
        <stp>STK</stp>
        <stp>005300</stp>
        <stp>시가총액</stp>
        <stp/>
        <stp/>
        <tr r="AE24" s="2"/>
      </tp>
      <tp>
        <v>35188528732500</v>
        <stp/>
        <stp>P</stp>
        <stp>0</stp>
        <stp>STK</stp>
        <stp>035420</stp>
        <stp>시가총액</stp>
        <stp/>
        <stp/>
        <tr r="AK14" s="2"/>
      </tp>
      <tp>
        <v>192907855400</v>
        <stp/>
        <stp>P</stp>
        <stp>0</stp>
        <stp>STK</stp>
        <stp>095570</stp>
        <stp>시가총액</stp>
        <stp/>
        <stp/>
        <tr r="AK6" s="2"/>
      </tp>
      <tp>
        <v>400989543110</v>
        <stp/>
        <stp>P</stp>
        <stp>0</stp>
        <stp>STK</stp>
        <stp>015540</stp>
        <stp>시가총액</stp>
        <stp/>
        <stp/>
        <tr r="AK38" s="2"/>
      </tp>
      <tp>
        <v>232372000000</v>
        <stp/>
        <stp>P</stp>
        <stp>0</stp>
        <stp>STK</stp>
        <stp>035510</stp>
        <stp>시가총액</stp>
        <stp/>
        <stp/>
        <tr r="AK49" s="2"/>
      </tp>
      <tp>
        <v>574691999400</v>
        <stp/>
        <stp>P</stp>
        <stp>0</stp>
        <stp>STK</stp>
        <stp>005610</stp>
        <stp>시가총액</stp>
        <stp/>
        <stp/>
        <tr r="AE11" s="2"/>
      </tp>
      <tp>
        <v>77584238487</v>
        <stp/>
        <stp>P</stp>
        <stp>0</stp>
        <stp>STK</stp>
        <stp>025750</stp>
        <stp>시가총액</stp>
        <stp/>
        <stp/>
        <tr r="AQ26" s="2"/>
      </tp>
      <tp>
        <v>21484375201500</v>
        <stp/>
        <stp>P</stp>
        <stp>0</stp>
        <stp>STK</stp>
        <stp>035720</stp>
        <stp>시가총액</stp>
        <stp/>
        <stp/>
        <tr r="AK65" s="2"/>
      </tp>
      <tp>
        <v>287032372725</v>
        <stp/>
        <stp>P</stp>
        <stp>0</stp>
        <stp>STK</stp>
        <stp>095720</stp>
        <stp>시가총액</stp>
        <stp/>
        <stp/>
        <tr r="AK56" s="2"/>
      </tp>
      <tp>
        <v>25622000</v>
        <stp/>
        <stp>P</stp>
        <stp>0</stp>
        <stp>STK</stp>
        <stp>034220</stp>
        <stp>투자부동산</stp>
        <stp>45107</stp>
        <stp>Cons=연결</stp>
        <tr r="R15" s="1"/>
      </tp>
      <tp t="s">
        <v/>
        <stp/>
        <stp>P</stp>
        <stp>0</stp>
        <stp>STK</stp>
        <stp>267260</stp>
        <stp>투자부동산</stp>
        <stp>45107</stp>
        <stp>Cons=연결</stp>
        <tr r="AA15" s="1"/>
      </tp>
      <tp>
        <v>109458449000</v>
        <stp/>
        <stp>P</stp>
        <stp>0</stp>
        <stp>STK</stp>
        <stp>264900</stp>
        <stp>시가총액</stp>
        <stp/>
        <stp/>
        <tr r="AE47" s="2"/>
      </tp>
      <tp>
        <v>8601987200</v>
        <stp/>
        <stp>P</stp>
        <stp>0</stp>
        <stp>STK</stp>
        <stp>26490K</stp>
        <stp>시가총액</stp>
        <stp/>
        <stp/>
        <tr r="AE48" s="2"/>
      </tp>
      <tp>
        <v>998969070500</v>
        <stp/>
        <stp>P</stp>
        <stp>0</stp>
        <stp>STK</stp>
        <stp>114090</stp>
        <stp>시가총액</stp>
        <stp/>
        <stp/>
        <tr r="AK11" s="2"/>
      </tp>
      <tp>
        <v>132891717074</v>
        <stp/>
        <stp>P</stp>
        <stp>0</stp>
        <stp>STK</stp>
        <stp>014160</stp>
        <stp>시가총액</stp>
        <stp/>
        <stp/>
        <tr r="AQ8" s="2"/>
      </tp>
      <tp>
        <v>517460699700</v>
        <stp/>
        <stp>P</stp>
        <stp>0</stp>
        <stp>STK</stp>
        <stp>034120</stp>
        <stp>시가총액</stp>
        <stp/>
        <stp/>
        <tr r="AK17" s="2"/>
      </tp>
      <tp>
        <v>31502930375</v>
        <stp/>
        <stp>P</stp>
        <stp>0</stp>
        <stp>STK</stp>
        <stp>204210</stp>
        <stp>시가총액</stp>
        <stp/>
        <stp/>
        <tr r="AK39" s="2"/>
      </tp>
      <tp>
        <v>143899590000</v>
        <stp/>
        <stp>P</stp>
        <stp>0</stp>
        <stp>STK</stp>
        <stp>094280</stp>
        <stp>시가총액</stp>
        <stp/>
        <stp/>
        <tr r="AK83" s="2"/>
      </tp>
      <tp>
        <v>2752395505000</v>
        <stp/>
        <stp>P</stp>
        <stp>0</stp>
        <stp>STK</stp>
        <stp>004370</stp>
        <stp>시가총액</stp>
        <stp/>
        <stp/>
        <tr r="AE15" s="2"/>
      </tp>
      <tp>
        <v>802000000000</v>
        <stp/>
        <stp>P</stp>
        <stp>0</stp>
        <stp>STK</stp>
        <stp>214320</stp>
        <stp>시가총액</stp>
        <stp/>
        <stp/>
        <tr r="AK59" s="2"/>
      </tp>
      <tp>
        <v>526942793000</v>
        <stp/>
        <stp>P</stp>
        <stp>0</stp>
        <stp>STK</stp>
        <stp>034310</stp>
        <stp>시가총액</stp>
        <stp/>
        <stp/>
        <tr r="AK16" s="2"/>
      </tp>
      <tp>
        <v>4039692000</v>
        <stp/>
        <stp>P</stp>
        <stp>0</stp>
        <stp>STK</stp>
        <stp>004415</stp>
        <stp>시가총액</stp>
        <stp/>
        <stp/>
        <tr r="AE41" s="2"/>
      </tp>
      <tp>
        <v>75700622918</v>
        <stp/>
        <stp>P</stp>
        <stp>0</stp>
        <stp>STK</stp>
        <stp>004410</stp>
        <stp>시가총액</stp>
        <stp/>
        <stp/>
        <tr r="AE40" s="2"/>
      </tp>
      <tp>
        <v>5217780000</v>
        <stp/>
        <stp>P</stp>
        <stp>0</stp>
        <stp>STK</stp>
        <stp>004545</stp>
        <stp>시가총액</stp>
        <stp/>
        <stp/>
        <tr r="AQ7" s="2"/>
      </tp>
      <tp>
        <v>85281186970</v>
        <stp/>
        <stp>P</stp>
        <stp>0</stp>
        <stp>STK</stp>
        <stp>004540</stp>
        <stp>시가총액</stp>
        <stp/>
        <stp/>
        <tr r="AQ6" s="2"/>
      </tp>
      <tp>
        <v>192856422480</v>
        <stp/>
        <stp>P</stp>
        <stp>0</stp>
        <stp>STK</stp>
        <stp>084680</stp>
        <stp>시가총액</stp>
        <stp/>
        <stp/>
        <tr r="AK61" s="2"/>
      </tp>
      <tp>
        <v>501474325500</v>
        <stp/>
        <stp>P</stp>
        <stp>0</stp>
        <stp>STK</stp>
        <stp>284740</stp>
        <stp>시가총액</stp>
        <stp/>
        <stp/>
        <tr r="AK70" s="2"/>
      </tp>
      <tp>
        <v>78086092505</v>
        <stp/>
        <stp>P</stp>
        <stp>0</stp>
        <stp>STK</stp>
        <stp>014710</stp>
        <stp>시가총액</stp>
        <stp/>
        <stp/>
        <tr r="AE33" s="2"/>
      </tp>
      <tp>
        <v>97020000</v>
        <stp/>
        <stp>P</stp>
        <stp>0</stp>
        <stp>STK</stp>
        <stp>066570</stp>
        <stp>투자부동산</stp>
        <stp>45107</stp>
        <stp>Cons=연결</stp>
        <tr r="P15" s="1"/>
      </tp>
      <tp>
        <v>259812639450</v>
        <stp/>
        <stp>P</stp>
        <stp>0</stp>
        <stp>STK</stp>
        <stp>003960</stp>
        <stp>시가총액</stp>
        <stp/>
        <stp/>
        <tr r="AE31" s="2"/>
      </tp>
      <tp>
        <v>49000000000</v>
        <stp/>
        <stp>P</stp>
        <stp>0</stp>
        <stp>STK</stp>
        <stp>003925</stp>
        <stp>시가총액</stp>
        <stp/>
        <stp/>
        <tr r="AE14" s="2"/>
      </tp>
      <tp>
        <v>334800000000</v>
        <stp/>
        <stp>P</stp>
        <stp>0</stp>
        <stp>STK</stp>
        <stp>003920</stp>
        <stp>시가총액</stp>
        <stp/>
        <stp/>
        <tr r="AE13" s="2"/>
      </tp>
      <tp>
        <v>163305000000</v>
        <stp/>
        <stp>P</stp>
        <stp>0</stp>
        <stp>STK</stp>
        <stp>033920</stp>
        <stp>시가총액</stp>
        <stp/>
        <stp/>
        <tr r="AE28" s="2"/>
      </tp>
      <tp>
        <v>50469117840</v>
        <stp/>
        <stp>P</stp>
        <stp>0</stp>
        <stp>STK</stp>
        <stp>023150</stp>
        <stp>시가총액</stp>
        <stp/>
        <stp/>
        <tr r="AE10" s="2"/>
      </tp>
      <tp>
        <v>1453118593500</v>
        <stp/>
        <stp>P</stp>
        <stp>0</stp>
        <stp>STK</stp>
        <stp>003230</stp>
        <stp>시가총액</stp>
        <stp/>
        <stp/>
        <tr r="AE38" s="2"/>
      </tp>
      <tp>
        <v>305104143080</v>
        <stp/>
        <stp>P</stp>
        <stp>0</stp>
        <stp>STK</stp>
        <stp>053210</stp>
        <stp>시가총액</stp>
        <stp/>
        <stp/>
        <tr r="AK48" s="2"/>
      </tp>
      <tp t="s">
        <v/>
        <stp/>
        <stp>P</stp>
        <stp>0</stp>
        <stp>STK</stp>
        <stp>153360</stp>
        <stp>시가총액</stp>
        <stp/>
        <stp/>
        <tr r="AK76" s="2"/>
      </tp>
      <tp t="s">
        <v/>
        <stp/>
        <stp>P</stp>
        <stp>0</stp>
        <stp>STK</stp>
        <stp>083370</stp>
        <stp>시가총액</stp>
        <stp/>
        <stp/>
        <tr r="AK30" s="2"/>
      </tp>
      <tp>
        <v>65262000000</v>
        <stp/>
        <stp>P</stp>
        <stp>0</stp>
        <stp>STK</stp>
        <stp>023350</stp>
        <stp>시가총액</stp>
        <stp/>
        <stp/>
        <tr r="AK78" s="2"/>
      </tp>
      <tp t="s">
        <v/>
        <stp/>
        <stp>P</stp>
        <stp>0</stp>
        <stp>STK</stp>
        <stp>083380</stp>
        <stp>시가총액</stp>
        <stp/>
        <stp/>
        <tr r="AK31" s="2"/>
      </tp>
      <tp>
        <v>57908659872</v>
        <stp/>
        <stp>P</stp>
        <stp>0</stp>
        <stp>STK</stp>
        <stp>003560</stp>
        <stp>시가총액</stp>
        <stp/>
        <stp/>
        <tr r="AK12" s="2"/>
      </tp>
      <tp>
        <v>252048099840</v>
        <stp/>
        <stp>P</stp>
        <stp>0</stp>
        <stp>STK</stp>
        <stp>213500</stp>
        <stp>시가총액</stp>
        <stp/>
        <stp/>
        <tr r="AQ25" s="2"/>
      </tp>
      <tp>
        <v>828686415990</v>
        <stp/>
        <stp>P</stp>
        <stp>0</stp>
        <stp>STK</stp>
        <stp>023590</stp>
        <stp>시가총액</stp>
        <stp/>
        <stp/>
        <tr r="AK24" s="2"/>
      </tp>
      <tp>
        <v>33531381000</v>
        <stp/>
        <stp>P</stp>
        <stp>0</stp>
        <stp>STK</stp>
        <stp>003680</stp>
        <stp>시가총액</stp>
        <stp/>
        <stp/>
        <tr r="AE52" s="2"/>
      </tp>
      <tp>
        <v>264624832500</v>
        <stp/>
        <stp>P</stp>
        <stp>0</stp>
        <stp>STK</stp>
        <stp>053690</stp>
        <stp>시가총액</stp>
        <stp/>
        <stp/>
        <tr r="AK79" s="2"/>
      </tp>
      <tp>
        <v>147413298</v>
        <stp/>
        <stp>P</stp>
        <stp>0</stp>
        <stp>STK</stp>
        <stp>006400</stp>
        <stp>투자부동산</stp>
        <stp>45107</stp>
        <stp>Cons=연결</stp>
        <tr r="O15" s="1"/>
      </tp>
      <tp>
        <v>82214257</v>
        <stp/>
        <stp>P</stp>
        <stp>0</stp>
        <stp>STK</stp>
        <stp>192400</stp>
        <stp>투자부동산</stp>
        <stp>45107</stp>
        <stp>Cons=연결</stp>
        <tr r="V15" s="1"/>
      </tp>
      <tp>
        <v>1557684</v>
        <stp/>
        <stp>P</stp>
        <stp>0</stp>
        <stp>STK</stp>
        <stp>001440</stp>
        <stp>투자부동산</stp>
        <stp>45107</stp>
        <stp>Cons=연결</stp>
        <tr r="W15" s="1"/>
      </tp>
      <tp>
        <v>2283515</v>
        <stp/>
        <stp>P</stp>
        <stp>0</stp>
        <stp>STK</stp>
        <stp>009450</stp>
        <stp>투자부동산</stp>
        <stp>45107</stp>
        <stp>Cons=연결</stp>
        <tr r="Z15" s="1"/>
      </tp>
      <tp>
        <v>31043325600</v>
        <stp/>
        <stp>P</stp>
        <stp>0</stp>
        <stp>STK</stp>
        <stp>002870</stp>
        <stp>시가총액</stp>
        <stp/>
        <stp/>
        <tr r="AQ17" s="2"/>
      </tp>
      <tp>
        <v>33285090960</v>
        <stp/>
        <stp>P</stp>
        <stp>0</stp>
        <stp>STK</stp>
        <stp>002820</stp>
        <stp>시가총액</stp>
        <stp/>
        <stp/>
        <tr r="AQ13" s="2"/>
      </tp>
      <tp>
        <v>364527166596</v>
        <stp/>
        <stp>P</stp>
        <stp>0</stp>
        <stp>STK</stp>
        <stp>012030</stp>
        <stp>시가총액</stp>
        <stp/>
        <stp/>
        <tr r="AK10" s="2"/>
      </tp>
      <tp>
        <v>360343874800</v>
        <stp/>
        <stp>P</stp>
        <stp>0</stp>
        <stp>STK</stp>
        <stp>002030</stp>
        <stp>시가총액</stp>
        <stp/>
        <stp/>
        <tr r="AK51" s="2"/>
      </tp>
      <tp>
        <v>92899358125</v>
        <stp/>
        <stp>P</stp>
        <stp>0</stp>
        <stp>STK</stp>
        <stp>002140</stp>
        <stp>시가총액</stp>
        <stp/>
        <stp/>
        <tr r="AE12" s="2"/>
      </tp>
      <tp>
        <v>273469200000</v>
        <stp/>
        <stp>P</stp>
        <stp>0</stp>
        <stp>STK</stp>
        <stp>002150</stp>
        <stp>시가총액</stp>
        <stp/>
        <stp/>
        <tr r="AK29" s="2"/>
      </tp>
      <tp>
        <v>49087088880</v>
        <stp/>
        <stp>P</stp>
        <stp>0</stp>
        <stp>STK</stp>
        <stp>072130</stp>
        <stp>시가총액</stp>
        <stp/>
        <stp/>
        <tr r="AK58" s="2"/>
      </tp>
      <tp t="s">
        <v/>
        <stp/>
        <stp>P</stp>
        <stp>0</stp>
        <stp>STK</stp>
        <stp>002270</stp>
        <stp>시가총액</stp>
        <stp/>
        <stp/>
        <tr r="AE26" s="2"/>
      </tp>
      <tp>
        <v>235280862080</v>
        <stp/>
        <stp>P</stp>
        <stp>0</stp>
        <stp>STK</stp>
        <stp>102260</stp>
        <stp>시가총액</stp>
        <stp/>
        <stp/>
        <tr r="AK32" s="2"/>
      </tp>
      <tp>
        <v>122400000000</v>
        <stp/>
        <stp>P</stp>
        <stp>0</stp>
        <stp>STK</stp>
        <stp>002200</stp>
        <stp>시가총액</stp>
        <stp/>
        <stp/>
        <tr r="AQ15" s="2"/>
      </tp>
      <tp>
        <v>1244845016640</v>
        <stp/>
        <stp>P</stp>
        <stp>0</stp>
        <stp>STK</stp>
        <stp>032350</stp>
        <stp>시가총액</stp>
        <stp/>
        <stp/>
        <tr r="AK37" s="2"/>
      </tp>
      <tp t="s">
        <v/>
        <stp/>
        <stp>P</stp>
        <stp>0</stp>
        <stp>STK</stp>
        <stp>002300</stp>
        <stp>시가총액</stp>
        <stp/>
        <stp/>
        <tr r="AQ24" s="2"/>
      </tp>
      <tp>
        <v>339899250900</v>
        <stp/>
        <stp>P</stp>
        <stp>0</stp>
        <stp>STK</stp>
        <stp>002310</stp>
        <stp>시가총액</stp>
        <stp/>
        <stp/>
        <tr r="AQ18" s="2"/>
      </tp>
      <tp>
        <v>40524001920</v>
        <stp/>
        <stp>P</stp>
        <stp>0</stp>
        <stp>STK</stp>
        <stp>002420</stp>
        <stp>시가총액</stp>
        <stp/>
        <stp/>
        <tr r="AK47" s="2"/>
      </tp>
      <tp>
        <v>1010227568000</v>
        <stp/>
        <stp>P</stp>
        <stp>0</stp>
        <stp>STK</stp>
        <stp>012510</stp>
        <stp>시가총액</stp>
        <stp/>
        <stp/>
        <tr r="AK28" s="2"/>
      </tp>
      <tp t="s">
        <v/>
        <stp/>
        <stp>P</stp>
        <stp>0</stp>
        <stp>STK</stp>
        <stp>172580</stp>
        <stp>시가총액</stp>
        <stp/>
        <stp/>
        <tr r="AK75" s="2"/>
      </tp>
      <tp>
        <v>178262641800</v>
        <stp/>
        <stp>P</stp>
        <stp>0</stp>
        <stp>STK</stp>
        <stp>002620</stp>
        <stp>시가총액</stp>
        <stp/>
        <stp/>
        <tr r="AK63" s="2"/>
      </tp>
      <tp>
        <v>110940000000</v>
        <stp/>
        <stp>P</stp>
        <stp>0</stp>
        <stp>STK</stp>
        <stp>002600</stp>
        <stp>시가총액</stp>
        <stp/>
        <stp/>
        <tr r="AE46" s="2"/>
      </tp>
      <tp>
        <v>2587494000000</v>
        <stp/>
        <stp>P</stp>
        <stp>0</stp>
        <stp>STK</stp>
        <stp>052690</stp>
        <stp>시가총액</stp>
        <stp/>
        <stp/>
        <tr r="AK80" s="2"/>
      </tp>
      <tp>
        <v>101119520075</v>
        <stp/>
        <stp>P</stp>
        <stp>0</stp>
        <stp>STK</stp>
        <stp>012690</stp>
        <stp>시가총액</stp>
        <stp/>
        <stp/>
        <tr r="AQ9" s="2"/>
      </tp>
      <tp>
        <v>2112754296800</v>
        <stp/>
        <stp>P</stp>
        <stp>0</stp>
        <stp>STK</stp>
        <stp>012750</stp>
        <stp>시가총액</stp>
        <stp/>
        <stp/>
        <tr r="AK52" s="2"/>
      </tp>
      <tp>
        <v>96356966936</v>
        <stp/>
        <stp>P</stp>
        <stp>0</stp>
        <stp>STK</stp>
        <stp>031820</stp>
        <stp>시가총액</stp>
        <stp/>
        <stp/>
        <tr r="AK69" s="2"/>
      </tp>
      <tp>
        <v>41145290650</v>
        <stp/>
        <stp>P</stp>
        <stp>0</stp>
        <stp>STK</stp>
        <stp>001020</stp>
        <stp>시가총액</stp>
        <stp/>
        <stp/>
        <tr r="AQ23" s="2"/>
      </tp>
      <tp>
        <v>3980000000</v>
        <stp/>
        <stp>P</stp>
        <stp>0</stp>
        <stp>STK</stp>
        <stp>011155</stp>
        <stp>시가총액</stp>
        <stp/>
        <stp/>
        <tr r="AE7" s="2"/>
      </tp>
      <tp>
        <v>122523935930</v>
        <stp/>
        <stp>P</stp>
        <stp>0</stp>
        <stp>STK</stp>
        <stp>011150</stp>
        <stp>시가총액</stp>
        <stp/>
        <stp/>
        <tr r="AE6" s="2"/>
      </tp>
      <tp>
        <v>219869000000</v>
        <stp/>
        <stp>P</stp>
        <stp>0</stp>
        <stp>STK</stp>
        <stp>001130</stp>
        <stp>시가총액</stp>
        <stp/>
        <stp/>
        <tr r="AE21" s="2"/>
      </tp>
      <tp>
        <v>3095894017050</v>
        <stp/>
        <stp>P</stp>
        <stp>0</stp>
        <stp>STK</stp>
        <stp>021240</stp>
        <stp>시가총액</stp>
        <stp/>
        <stp/>
        <tr r="AK68" s="2"/>
      </tp>
      <tp>
        <v>3683107560700</v>
        <stp/>
        <stp>P</stp>
        <stp>0</stp>
        <stp>STK</stp>
        <stp>251270</stp>
        <stp>시가총액</stp>
        <stp/>
        <stp/>
        <tr r="AK21" s="2"/>
      </tp>
      <tp>
        <v>175952760900</v>
        <stp/>
        <stp>P</stp>
        <stp>0</stp>
        <stp>STK</stp>
        <stp>011280</stp>
        <stp>시가총액</stp>
        <stp/>
        <stp/>
        <tr r="AQ22" s="2"/>
      </tp>
      <tp>
        <v>155286448000</v>
        <stp/>
        <stp>P</stp>
        <stp>0</stp>
        <stp>STK</stp>
        <stp>031440</stp>
        <stp>시가총액</stp>
        <stp/>
        <stp/>
        <tr r="AK50" s="2"/>
      </tp>
      <tp>
        <v>53776905088</v>
        <stp/>
        <stp>P</stp>
        <stp>0</stp>
        <stp>STK</stp>
        <stp>011420</stp>
        <stp>시가총액</stp>
        <stp/>
        <stp/>
        <tr r="AK20" s="2"/>
      </tp>
      <tp>
        <v>4779918358800</v>
        <stp/>
        <stp>P</stp>
        <stp>0</stp>
        <stp>STK</stp>
        <stp>271560</stp>
        <stp>시가총액</stp>
        <stp/>
        <stp/>
        <tr r="AE44" s="2"/>
      </tp>
      <tp>
        <v>166548221840</v>
        <stp/>
        <stp>P</stp>
        <stp>0</stp>
        <stp>STK</stp>
        <stp>101530</stp>
        <stp>시가총액</stp>
        <stp/>
        <stp/>
        <tr r="AE53" s="2"/>
      </tp>
      <tp>
        <v>18717246180</v>
        <stp/>
        <stp>P</stp>
        <stp>0</stp>
        <stp>STK</stp>
        <stp>001685</stp>
        <stp>시가총액</stp>
        <stp/>
        <stp/>
        <tr r="AE17" s="2"/>
      </tp>
      <tp>
        <v>620199647500</v>
        <stp/>
        <stp>P</stp>
        <stp>0</stp>
        <stp>STK</stp>
        <stp>001680</stp>
        <stp>시가총액</stp>
        <stp/>
        <stp/>
        <tr r="AE16" s="2"/>
      </tp>
      <tp>
        <v>918834736600</v>
        <stp/>
        <stp>P</stp>
        <stp>0</stp>
        <stp>STK</stp>
        <stp>181710</stp>
        <stp>시가총액</stp>
        <stp/>
        <stp/>
        <tr r="AK15" s="2"/>
      </tp>
      <tp>
        <v>17341383000</v>
        <stp/>
        <stp>P</stp>
        <stp>0</stp>
        <stp>STK</stp>
        <stp>001795</stp>
        <stp>시가총액</stp>
        <stp/>
        <stp/>
        <tr r="AE20" s="2"/>
      </tp>
      <tp>
        <v>288822987600</v>
        <stp/>
        <stp>P</stp>
        <stp>0</stp>
        <stp>STK</stp>
        <stp>001790</stp>
        <stp>시가총액</stp>
        <stp/>
        <stp/>
        <tr r="AE18" s="2"/>
      </tp>
      <tp t="s">
        <v/>
        <stp/>
        <stp>P</stp>
        <stp>0</stp>
        <stp>STK</stp>
        <stp>001799</stp>
        <stp>시가총액</stp>
        <stp/>
        <stp/>
        <tr r="AE19" s="2"/>
      </tp>
      <tp t="s">
        <v/>
        <stp/>
        <stp>P</stp>
        <stp>0</stp>
        <stp>STK</stp>
        <stp>140890</stp>
        <stp>시가총액</stp>
        <stp/>
        <stp/>
        <tr r="AK73" s="2"/>
      </tp>
      <tp>
        <v>78324632627</v>
        <stp/>
        <stp>P</stp>
        <stp>0</stp>
        <stp>STK</stp>
        <stp>000890</stp>
        <stp>시가총액</stp>
        <stp/>
        <stp/>
        <tr r="AE29" s="2"/>
      </tp>
      <tp>
        <v>159802665560</v>
        <stp/>
        <stp>P</stp>
        <stp>0</stp>
        <stp>STK</stp>
        <stp>070960</stp>
        <stp>시가총액</stp>
        <stp/>
        <stp/>
        <tr r="AK55" s="2"/>
      </tp>
      <tp>
        <v>16446272920</v>
        <stp/>
        <stp>P</stp>
        <stp>0</stp>
        <stp>STK</stp>
        <stp>140910</stp>
        <stp>시가총액</stp>
        <stp/>
        <stp/>
        <tr r="AK53" s="2"/>
      </tp>
      <tp>
        <v>468212460400</v>
        <stp/>
        <stp>P</stp>
        <stp>0</stp>
        <stp>STK</stp>
        <stp>210980</stp>
        <stp>시가총액</stp>
        <stp/>
        <stp/>
        <tr r="AK18" s="2"/>
      </tp>
      <tp>
        <v>2188084099500</v>
        <stp/>
        <stp>P</stp>
        <stp>0</stp>
        <stp>STK</stp>
        <stp>030000</stp>
        <stp>시가총액</stp>
        <stp/>
        <stp/>
        <tr r="AK62" s="2"/>
      </tp>
      <tp>
        <v>16952070000</v>
        <stp/>
        <stp>P</stp>
        <stp>0</stp>
        <stp>STK</stp>
        <stp>000087</stp>
        <stp>시가총액</stp>
        <stp/>
        <stp/>
        <tr r="AE51" s="2"/>
      </tp>
      <tp>
        <v>1345863995090</v>
        <stp/>
        <stp>P</stp>
        <stp>0</stp>
        <stp>STK</stp>
        <stp>000080</stp>
        <stp>시가총액</stp>
        <stp/>
        <stp/>
        <tr r="AE50" s="2"/>
      </tp>
      <tp>
        <v>228197980200</v>
        <stp/>
        <stp>P</stp>
        <stp>0</stp>
        <stp>STK</stp>
        <stp>000155</stp>
        <stp>시가총액</stp>
        <stp/>
        <stp/>
        <tr r="AK36" s="2"/>
      </tp>
      <tp>
        <v>85999559400</v>
        <stp/>
        <stp>P</stp>
        <stp>0</stp>
        <stp>STK</stp>
        <stp>000157</stp>
        <stp>시가총액</stp>
        <stp/>
        <stp/>
        <tr r="AK35" s="2"/>
      </tp>
      <tp>
        <v>1878760039500</v>
        <stp/>
        <stp>P</stp>
        <stp>0</stp>
        <stp>STK</stp>
        <stp>000150</stp>
        <stp>시가총액</stp>
        <stp/>
        <stp/>
        <tr r="AK34" s="2"/>
      </tp>
      <tp>
        <v>221944596000</v>
        <stp/>
        <stp>P</stp>
        <stp>0</stp>
        <stp>STK</stp>
        <stp>020120</stp>
        <stp>시가총액</stp>
        <stp/>
        <stp/>
        <tr r="AK71" s="2"/>
      </tp>
      <tp>
        <v>143339538000</v>
        <stp/>
        <stp>P</stp>
        <stp>0</stp>
        <stp>STK</stp>
        <stp>000180</stp>
        <stp>시가총액</stp>
        <stp/>
        <stp/>
        <tr r="AK46" s="2"/>
      </tp>
      <tp>
        <v>62384356800</v>
        <stp/>
        <stp>P</stp>
        <stp>0</stp>
        <stp>STK</stp>
        <stp>100220</stp>
        <stp>시가총액</stp>
        <stp/>
        <stp/>
        <tr r="AK42" s="2"/>
      </tp>
      <tp>
        <v>1035916225200</v>
        <stp/>
        <stp>P</stp>
        <stp>0</stp>
        <stp>STK</stp>
        <stp>280360</stp>
        <stp>시가총액</stp>
        <stp/>
        <stp/>
        <tr r="AE23" s="2"/>
      </tp>
      <tp>
        <v>276122000000</v>
        <stp/>
        <stp>P</stp>
        <stp>0</stp>
        <stp>STK</stp>
        <stp>130660</stp>
        <stp>시가총액</stp>
        <stp/>
        <stp/>
        <tr r="AK81" s="2"/>
      </tp>
      <tp>
        <v>153646690800</v>
        <stp/>
        <stp>P</stp>
        <stp>0</stp>
        <stp>STK</stp>
        <stp>000700</stp>
        <stp>시가총액</stp>
        <stp/>
        <stp/>
        <tr r="AK57" s="2"/>
      </tp>
      <tp>
        <v>19208323080</v>
        <stp/>
        <stp>P</stp>
        <stp>0</stp>
        <stp>STK</stp>
        <stp>030790</stp>
        <stp>시가총액</stp>
        <stp/>
        <stp/>
        <tr r="AK33" s="2"/>
      </tp>
      <tp t="s">
        <v/>
        <stp/>
        <stp>P</stp>
        <stp>0</stp>
        <stp>STK</stp>
        <stp>009150</stp>
        <stp>대출채권</stp>
        <stp>45107</stp>
        <stp>Cons=연결</stp>
        <tr r="Q12" s="1"/>
      </tp>
      <tp t="s">
        <v/>
        <stp/>
        <stp>P</stp>
        <stp>0</stp>
        <stp>STK</stp>
        <stp>009450</stp>
        <stp>대출채권</stp>
        <stp>45107</stp>
        <stp>Cons=연결</stp>
        <tr r="Z12" s="1"/>
      </tp>
      <tp>
        <v>111663880</v>
        <stp/>
        <stp>P</stp>
        <stp>0</stp>
        <stp>STK</stp>
        <stp>021320</stp>
        <stp>기타충당부채</stp>
        <stp>45107</stp>
        <stp>Cons=개별</stp>
        <tr r="N36" s="1"/>
      </tp>
      <tp>
        <v>-10150443</v>
        <stp/>
        <stp>P</stp>
        <stp>0</stp>
        <stp>STK</stp>
        <stp>021320</stp>
        <stp>기타자본</stp>
        <stp>45107</stp>
        <stp>Cons=개별</stp>
        <tr r="N26" s="1"/>
      </tp>
      <tp t="s">
        <v/>
        <stp/>
        <stp>P</stp>
        <stp>0</stp>
        <stp>STK</stp>
        <stp>011070</stp>
        <stp>대출채권</stp>
        <stp>45107</stp>
        <stp>Cons=연결</stp>
        <tr r="S12" s="1"/>
      </tp>
      <tp t="s">
        <v/>
        <stp/>
        <stp>P</stp>
        <stp>0</stp>
        <stp>STK</stp>
        <stp>001440</stp>
        <stp>대출채권</stp>
        <stp>45107</stp>
        <stp>Cons=연결</stp>
        <tr r="W12" s="1"/>
      </tp>
      <tp t="s">
        <v/>
        <stp/>
        <stp>P</stp>
        <stp>0</stp>
        <stp>STK</stp>
        <stp>001820</stp>
        <stp>대출채권</stp>
        <stp>45107</stp>
        <stp>Cons=연결</stp>
        <tr r="X12" s="1"/>
      </tp>
      <tp t="s">
        <v/>
        <stp/>
        <stp>P</stp>
        <stp>0</stp>
        <stp>STK</stp>
        <stp>020150</stp>
        <stp>대출채권</stp>
        <stp>45107</stp>
        <stp>Cons=연결</stp>
        <tr r="U12" s="1"/>
      </tp>
      <tp t="s">
        <v/>
        <stp/>
        <stp>P</stp>
        <stp>0</stp>
        <stp>STK</stp>
        <stp>010120</stp>
        <stp>대출채권</stp>
        <stp>45107</stp>
        <stp>Cons=연결</stp>
        <tr r="T12" s="1"/>
      </tp>
      <tp t="s">
        <v/>
        <stp/>
        <stp>P</stp>
        <stp>0</stp>
        <stp>STK</stp>
        <stp>000990</stp>
        <stp>대출채권</stp>
        <stp>45107</stp>
        <stp>Cons=연결</stp>
        <tr r="Y12" s="1"/>
      </tp>
      <tp t="s">
        <v/>
        <stp/>
        <stp>P</stp>
        <stp>0</stp>
        <stp>STK</stp>
        <stp>192400</stp>
        <stp>대출채권</stp>
        <stp>45107</stp>
        <stp>Cons=연결</stp>
        <tr r="V12" s="1"/>
      </tp>
      <tp t="s">
        <v/>
        <stp/>
        <stp>P</stp>
        <stp>0</stp>
        <stp>STK</stp>
        <stp>005930</stp>
        <stp>대출채권</stp>
        <stp>45107</stp>
        <stp>Cons=연결</stp>
        <tr r="M12" s="1"/>
      </tp>
      <tp>
        <v>30865646</v>
        <stp/>
        <stp>P</stp>
        <stp>0</stp>
        <stp>STK</stp>
        <stp>021320</stp>
        <stp>자본잉여금</stp>
        <stp>45107</stp>
        <stp>Cons=개별</stp>
        <tr r="N25" s="1"/>
      </tp>
      <tp t="s">
        <v/>
        <stp/>
        <stp>P</stp>
        <stp>0</stp>
        <stp>STK</stp>
        <stp>034220</stp>
        <stp>대출채권</stp>
        <stp>45107</stp>
        <stp>Cons=연결</stp>
        <tr r="R12" s="1"/>
      </tp>
      <tp t="s">
        <v/>
        <stp/>
        <stp>P</stp>
        <stp>0</stp>
        <stp>STK</stp>
        <stp>021320</stp>
        <stp>종업원급여충당부채</stp>
        <stp>45107</stp>
        <stp>Cons=개별</stp>
        <tr r="N38" s="1"/>
      </tp>
      <tp t="s">
        <v/>
        <stp/>
        <stp>P</stp>
        <stp>0</stp>
        <stp>STK</stp>
        <stp>267260</stp>
        <stp>대출채권</stp>
        <stp>45107</stp>
        <stp>Cons=연결</stp>
        <tr r="AA12" s="1"/>
      </tp>
      <tp>
        <v>868871480</v>
        <stp/>
        <stp>P</stp>
        <stp>0</stp>
        <stp>STK</stp>
        <stp>021320</stp>
        <stp>부채</stp>
        <stp>45107</stp>
        <stp>Cons=개별</stp>
        <tr r="N29" s="1"/>
      </tp>
      <tp>
        <v>127000000</v>
        <stp/>
        <stp>P</stp>
        <stp>0</stp>
        <stp>STK</stp>
        <stp>021320</stp>
        <stp>사채</stp>
        <stp>45107</stp>
        <stp>Cons=개별</stp>
        <tr r="N34" s="1"/>
      </tp>
      <tp t="s">
        <v/>
        <stp/>
        <stp>P</stp>
        <stp>0</stp>
        <stp>STK</stp>
        <stp>066570</stp>
        <stp>대출채권</stp>
        <stp>45107</stp>
        <stp>Cons=연결</stp>
        <tr r="P12" s="1"/>
      </tp>
      <tp t="s">
        <v/>
        <stp/>
        <stp>P</stp>
        <stp>0</stp>
        <stp>STK</stp>
        <stp>006400</stp>
        <stp>대출채권</stp>
        <stp>45107</stp>
        <stp>Cons=연결</stp>
        <tr r="O12" s="1"/>
      </tp>
      <tp>
        <v>5</v>
        <stp/>
        <stp>P</stp>
        <stp>0</stp>
        <stp>STK</stp>
        <stp>070960</stp>
        <stp>전일대비</stp>
        <stp/>
        <stp/>
        <tr r="AI55" s="2"/>
      </tp>
      <tp>
        <v>-60</v>
        <stp/>
        <stp>P</stp>
        <stp>0</stp>
        <stp>STK</stp>
        <stp>140910</stp>
        <stp>전일대비</stp>
        <stp/>
        <stp/>
        <tr r="AI53" s="2"/>
      </tp>
      <tp>
        <v>100</v>
        <stp/>
        <stp>P</stp>
        <stp>0</stp>
        <stp>STK</stp>
        <stp>210980</stp>
        <stp>전일대비</stp>
        <stp/>
        <stp/>
        <tr r="AI18" s="2"/>
      </tp>
      <tp t="s">
        <v/>
        <stp/>
        <stp>P</stp>
        <stp>0</stp>
        <stp>STK</stp>
        <stp>140890</stp>
        <stp>전일대비</stp>
        <stp/>
        <stp/>
        <tr r="AI73" s="2"/>
      </tp>
      <tp>
        <v>-9</v>
        <stp/>
        <stp>P</stp>
        <stp>0</stp>
        <stp>STK</stp>
        <stp>000890</stp>
        <stp>전일대비</stp>
        <stp/>
        <stp/>
        <tr r="AC29" s="2"/>
      </tp>
      <tp>
        <v>-1700</v>
        <stp/>
        <stp>P</stp>
        <stp>0</stp>
        <stp>STK</stp>
        <stp>280360</stp>
        <stp>전일대비</stp>
        <stp/>
        <stp/>
        <tr r="AC23" s="2"/>
      </tp>
      <tp>
        <v>95</v>
        <stp/>
        <stp>P</stp>
        <stp>0</stp>
        <stp>STK</stp>
        <stp>100220</stp>
        <stp>전일대비</stp>
        <stp/>
        <stp/>
        <tr r="AI42" s="2"/>
      </tp>
      <tp>
        <v>200</v>
        <stp/>
        <stp>P</stp>
        <stp>0</stp>
        <stp>STK</stp>
        <stp>000150</stp>
        <stp>전일대비</stp>
        <stp/>
        <stp/>
        <tr r="AI34" s="2"/>
      </tp>
      <tp>
        <v>-400</v>
        <stp/>
        <stp>P</stp>
        <stp>0</stp>
        <stp>STK</stp>
        <stp>000157</stp>
        <stp>전일대비</stp>
        <stp/>
        <stp/>
        <tr r="AI35" s="2"/>
      </tp>
      <tp>
        <v>-100</v>
        <stp/>
        <stp>P</stp>
        <stp>0</stp>
        <stp>STK</stp>
        <stp>000155</stp>
        <stp>전일대비</stp>
        <stp/>
        <stp/>
        <tr r="AI36" s="2"/>
      </tp>
      <tp>
        <v>90</v>
        <stp/>
        <stp>P</stp>
        <stp>0</stp>
        <stp>STK</stp>
        <stp>020120</stp>
        <stp>전일대비</stp>
        <stp/>
        <stp/>
        <tr r="AI71" s="2"/>
      </tp>
      <tp>
        <v>15</v>
        <stp/>
        <stp>P</stp>
        <stp>0</stp>
        <stp>STK</stp>
        <stp>000180</stp>
        <stp>전일대비</stp>
        <stp/>
        <stp/>
        <tr r="AI46" s="2"/>
      </tp>
      <tp>
        <v>-10</v>
        <stp/>
        <stp>P</stp>
        <stp>0</stp>
        <stp>STK</stp>
        <stp>030000</stp>
        <stp>전일대비</stp>
        <stp/>
        <stp/>
        <tr r="AI62" s="2"/>
      </tp>
      <tp>
        <v>-250</v>
        <stp/>
        <stp>P</stp>
        <stp>0</stp>
        <stp>STK</stp>
        <stp>000080</stp>
        <stp>전일대비</stp>
        <stp/>
        <stp/>
        <tr r="AC50" s="2"/>
      </tp>
      <tp>
        <v>-30</v>
        <stp/>
        <stp>P</stp>
        <stp>0</stp>
        <stp>STK</stp>
        <stp>000087</stp>
        <stp>전일대비</stp>
        <stp/>
        <stp/>
        <tr r="AC51" s="2"/>
      </tp>
      <tp>
        <v>-10</v>
        <stp/>
        <stp>P</stp>
        <stp>0</stp>
        <stp>STK</stp>
        <stp>000700</stp>
        <stp>전일대비</stp>
        <stp/>
        <stp/>
        <tr r="AI57" s="2"/>
      </tp>
      <tp>
        <v>0</v>
        <stp/>
        <stp>P</stp>
        <stp>0</stp>
        <stp>STK</stp>
        <stp>030790</stp>
        <stp>전일대비</stp>
        <stp/>
        <stp/>
        <tr r="AI33" s="2"/>
      </tp>
      <tp>
        <v>30</v>
        <stp/>
        <stp>P</stp>
        <stp>0</stp>
        <stp>STK</stp>
        <stp>130660</stp>
        <stp>전일대비</stp>
        <stp/>
        <stp/>
        <tr r="AI81" s="2"/>
      </tp>
      <tp>
        <v>-11</v>
        <stp/>
        <stp>P</stp>
        <stp>0</stp>
        <stp>STK</stp>
        <stp>031820</stp>
        <stp>전일대비</stp>
        <stp/>
        <stp/>
        <tr r="AI69" s="2"/>
      </tp>
      <tp>
        <v>-1000</v>
        <stp/>
        <stp>P</stp>
        <stp>0</stp>
        <stp>STK</stp>
        <stp>021240</stp>
        <stp>전일대비</stp>
        <stp/>
        <stp/>
        <tr r="AI68" s="2"/>
      </tp>
      <tp>
        <v>-900</v>
        <stp/>
        <stp>P</stp>
        <stp>0</stp>
        <stp>STK</stp>
        <stp>251270</stp>
        <stp>전일대비</stp>
        <stp/>
        <stp/>
        <tr r="AI21" s="2"/>
      </tp>
      <tp>
        <v>0</v>
        <stp/>
        <stp>P</stp>
        <stp>0</stp>
        <stp>STK</stp>
        <stp>011280</stp>
        <stp>전일대비</stp>
        <stp/>
        <stp/>
        <tr r="AO22" s="2"/>
      </tp>
      <tp>
        <v>-40</v>
        <stp/>
        <stp>P</stp>
        <stp>0</stp>
        <stp>STK</stp>
        <stp>011150</stp>
        <stp>전일대비</stp>
        <stp/>
        <stp/>
        <tr r="AC6" s="2"/>
      </tp>
      <tp>
        <v>10</v>
        <stp/>
        <stp>P</stp>
        <stp>0</stp>
        <stp>STK</stp>
        <stp>011155</stp>
        <stp>전일대비</stp>
        <stp/>
        <stp/>
        <tr r="AC7" s="2"/>
      </tp>
      <tp>
        <v>-1200</v>
        <stp/>
        <stp>P</stp>
        <stp>0</stp>
        <stp>STK</stp>
        <stp>001130</stp>
        <stp>전일대비</stp>
        <stp/>
        <stp/>
        <tr r="AC21" s="2"/>
      </tp>
      <tp>
        <v>5</v>
        <stp/>
        <stp>P</stp>
        <stp>0</stp>
        <stp>STK</stp>
        <stp>001020</stp>
        <stp>전일대비</stp>
        <stp/>
        <stp/>
        <tr r="AO23" s="2"/>
      </tp>
      <tp>
        <v>-200</v>
        <stp/>
        <stp>P</stp>
        <stp>0</stp>
        <stp>STK</stp>
        <stp>181710</stp>
        <stp>전일대비</stp>
        <stp/>
        <stp/>
        <tr r="AI15" s="2"/>
      </tp>
      <tp>
        <v>-35</v>
        <stp/>
        <stp>P</stp>
        <stp>0</stp>
        <stp>STK</stp>
        <stp>001790</stp>
        <stp>전일대비</stp>
        <stp/>
        <stp/>
        <tr r="AC18" s="2"/>
      </tp>
      <tp>
        <v>40</v>
        <stp/>
        <stp>P</stp>
        <stp>0</stp>
        <stp>STK</stp>
        <stp>001795</stp>
        <stp>전일대비</stp>
        <stp/>
        <stp/>
        <tr r="AC20" s="2"/>
      </tp>
      <tp t="s">
        <v/>
        <stp/>
        <stp>P</stp>
        <stp>0</stp>
        <stp>STK</stp>
        <stp>001799</stp>
        <stp>전일대비</stp>
        <stp/>
        <stp/>
        <tr r="AC19" s="2"/>
      </tp>
      <tp>
        <v>-100</v>
        <stp/>
        <stp>P</stp>
        <stp>0</stp>
        <stp>STK</stp>
        <stp>001680</stp>
        <stp>전일대비</stp>
        <stp/>
        <stp/>
        <tr r="AC16" s="2"/>
      </tp>
      <tp>
        <v>0</v>
        <stp/>
        <stp>P</stp>
        <stp>0</stp>
        <stp>STK</stp>
        <stp>001685</stp>
        <stp>전일대비</stp>
        <stp/>
        <stp/>
        <tr r="AC17" s="2"/>
      </tp>
      <tp>
        <v>-1600</v>
        <stp/>
        <stp>P</stp>
        <stp>0</stp>
        <stp>STK</stp>
        <stp>271560</stp>
        <stp>전일대비</stp>
        <stp/>
        <stp/>
        <tr r="AC44" s="2"/>
      </tp>
      <tp>
        <v>10</v>
        <stp/>
        <stp>P</stp>
        <stp>0</stp>
        <stp>STK</stp>
        <stp>101530</stp>
        <stp>전일대비</stp>
        <stp/>
        <stp/>
        <tr r="AC53" s="2"/>
      </tp>
      <tp>
        <v>-350</v>
        <stp/>
        <stp>P</stp>
        <stp>0</stp>
        <stp>STK</stp>
        <stp>031440</stp>
        <stp>전일대비</stp>
        <stp/>
        <stp/>
        <tr r="AI50" s="2"/>
      </tp>
      <tp>
        <v>-19</v>
        <stp/>
        <stp>P</stp>
        <stp>0</stp>
        <stp>STK</stp>
        <stp>011420</stp>
        <stp>전일대비</stp>
        <stp/>
        <stp/>
        <tr r="AI20" s="2"/>
      </tp>
      <tp>
        <v>-8</v>
        <stp/>
        <stp>P</stp>
        <stp>0</stp>
        <stp>STK</stp>
        <stp>002870</stp>
        <stp>전일대비</stp>
        <stp/>
        <stp/>
        <tr r="AO17" s="2"/>
      </tp>
      <tp>
        <v>-30</v>
        <stp/>
        <stp>P</stp>
        <stp>0</stp>
        <stp>STK</stp>
        <stp>002820</stp>
        <stp>전일대비</stp>
        <stp/>
        <stp/>
        <tr r="AO13" s="2"/>
      </tp>
      <tp>
        <v>-430</v>
        <stp/>
        <stp>P</stp>
        <stp>0</stp>
        <stp>STK</stp>
        <stp>032350</stp>
        <stp>전일대비</stp>
        <stp/>
        <stp/>
        <tr r="AI37" s="2"/>
      </tp>
      <tp t="s">
        <v/>
        <stp/>
        <stp>P</stp>
        <stp>0</stp>
        <stp>STK</stp>
        <stp>002300</stp>
        <stp>전일대비</stp>
        <stp/>
        <stp/>
        <tr r="AO24" s="2"/>
      </tp>
      <tp>
        <v>50</v>
        <stp/>
        <stp>P</stp>
        <stp>0</stp>
        <stp>STK</stp>
        <stp>002310</stp>
        <stp>전일대비</stp>
        <stp/>
        <stp/>
        <tr r="AO18" s="2"/>
      </tp>
      <tp t="s">
        <v/>
        <stp/>
        <stp>P</stp>
        <stp>0</stp>
        <stp>STK</stp>
        <stp>002270</stp>
        <stp>전일대비</stp>
        <stp/>
        <stp/>
        <tr r="AC26" s="2"/>
      </tp>
      <tp>
        <v>-35</v>
        <stp/>
        <stp>P</stp>
        <stp>0</stp>
        <stp>STK</stp>
        <stp>102260</stp>
        <stp>전일대비</stp>
        <stp/>
        <stp/>
        <tr r="AI32" s="2"/>
      </tp>
      <tp>
        <v>-25</v>
        <stp/>
        <stp>P</stp>
        <stp>0</stp>
        <stp>STK</stp>
        <stp>002200</stp>
        <stp>전일대비</stp>
        <stp/>
        <stp/>
        <tr r="AO15" s="2"/>
      </tp>
      <tp>
        <v>0</v>
        <stp/>
        <stp>P</stp>
        <stp>0</stp>
        <stp>STK</stp>
        <stp>002140</stp>
        <stp>전일대비</stp>
        <stp/>
        <stp/>
        <tr r="AC12" s="2"/>
      </tp>
      <tp>
        <v>-100</v>
        <stp/>
        <stp>P</stp>
        <stp>0</stp>
        <stp>STK</stp>
        <stp>002150</stp>
        <stp>전일대비</stp>
        <stp/>
        <stp/>
        <tr r="AI29" s="2"/>
      </tp>
      <tp>
        <v>20</v>
        <stp/>
        <stp>P</stp>
        <stp>0</stp>
        <stp>STK</stp>
        <stp>072130</stp>
        <stp>전일대비</stp>
        <stp/>
        <stp/>
        <tr r="AI58" s="2"/>
      </tp>
      <tp>
        <v>-16</v>
        <stp/>
        <stp>P</stp>
        <stp>0</stp>
        <stp>STK</stp>
        <stp>012030</stp>
        <stp>전일대비</stp>
        <stp/>
        <stp/>
        <tr r="AI10" s="2"/>
      </tp>
      <tp>
        <v>-1400</v>
        <stp/>
        <stp>P</stp>
        <stp>0</stp>
        <stp>STK</stp>
        <stp>002030</stp>
        <stp>전일대비</stp>
        <stp/>
        <stp/>
        <tr r="AI51" s="2"/>
      </tp>
      <tp>
        <v>100</v>
        <stp/>
        <stp>P</stp>
        <stp>0</stp>
        <stp>STK</stp>
        <stp>012750</stp>
        <stp>전일대비</stp>
        <stp/>
        <stp/>
        <tr r="AI52" s="2"/>
      </tp>
      <tp>
        <v>0</v>
        <stp/>
        <stp>P</stp>
        <stp>0</stp>
        <stp>STK</stp>
        <stp>002600</stp>
        <stp>전일대비</stp>
        <stp/>
        <stp/>
        <tr r="AC46" s="2"/>
      </tp>
      <tp>
        <v>-40</v>
        <stp/>
        <stp>P</stp>
        <stp>0</stp>
        <stp>STK</stp>
        <stp>002620</stp>
        <stp>전일대비</stp>
        <stp/>
        <stp/>
        <tr r="AI63" s="2"/>
      </tp>
      <tp>
        <v>25</v>
        <stp/>
        <stp>P</stp>
        <stp>0</stp>
        <stp>STK</stp>
        <stp>012690</stp>
        <stp>전일대비</stp>
        <stp/>
        <stp/>
        <tr r="AO9" s="2"/>
      </tp>
      <tp>
        <v>-4700</v>
        <stp/>
        <stp>P</stp>
        <stp>0</stp>
        <stp>STK</stp>
        <stp>052690</stp>
        <stp>전일대비</stp>
        <stp/>
        <stp/>
        <tr r="AI80" s="2"/>
      </tp>
      <tp>
        <v>-150</v>
        <stp/>
        <stp>P</stp>
        <stp>0</stp>
        <stp>STK</stp>
        <stp>012510</stp>
        <stp>전일대비</stp>
        <stp/>
        <stp/>
        <tr r="AI28" s="2"/>
      </tp>
      <tp t="s">
        <v/>
        <stp/>
        <stp>P</stp>
        <stp>0</stp>
        <stp>STK</stp>
        <stp>172580</stp>
        <stp>전일대비</stp>
        <stp/>
        <stp/>
        <tr r="AI75" s="2"/>
      </tp>
      <tp>
        <v>0</v>
        <stp/>
        <stp>P</stp>
        <stp>0</stp>
        <stp>STK</stp>
        <stp>002420</stp>
        <stp>전일대비</stp>
        <stp/>
        <stp/>
        <tr r="AI47" s="2"/>
      </tp>
      <tp>
        <v>150</v>
        <stp/>
        <stp>P</stp>
        <stp>0</stp>
        <stp>STK</stp>
        <stp>003960</stp>
        <stp>전일대비</stp>
        <stp/>
        <stp/>
        <tr r="AC31" s="2"/>
      </tp>
      <tp>
        <v>30</v>
        <stp/>
        <stp>P</stp>
        <stp>0</stp>
        <stp>STK</stp>
        <stp>033920</stp>
        <stp>전일대비</stp>
        <stp/>
        <stp/>
        <tr r="AC28" s="2"/>
      </tp>
      <tp>
        <v>-500</v>
        <stp/>
        <stp>P</stp>
        <stp>0</stp>
        <stp>STK</stp>
        <stp>003920</stp>
        <stp>전일대비</stp>
        <stp/>
        <stp/>
        <tr r="AC13" s="2"/>
      </tp>
      <tp>
        <v>-500</v>
        <stp/>
        <stp>P</stp>
        <stp>0</stp>
        <stp>STK</stp>
        <stp>003925</stp>
        <stp>전일대비</stp>
        <stp/>
        <stp/>
        <tr r="AC14" s="2"/>
      </tp>
      <tp>
        <v>-80</v>
        <stp/>
        <stp>P</stp>
        <stp>0</stp>
        <stp>STK</stp>
        <stp>023350</stp>
        <stp>전일대비</stp>
        <stp/>
        <stp/>
        <tr r="AI78" s="2"/>
      </tp>
      <tp t="s">
        <v/>
        <stp/>
        <stp>P</stp>
        <stp>0</stp>
        <stp>STK</stp>
        <stp>153360</stp>
        <stp>전일대비</stp>
        <stp/>
        <stp/>
        <tr r="AI76" s="2"/>
      </tp>
      <tp t="s">
        <v/>
        <stp/>
        <stp>P</stp>
        <stp>0</stp>
        <stp>STK</stp>
        <stp>083370</stp>
        <stp>전일대비</stp>
        <stp/>
        <stp/>
        <tr r="AI30" s="2"/>
      </tp>
      <tp t="s">
        <v/>
        <stp/>
        <stp>P</stp>
        <stp>0</stp>
        <stp>STK</stp>
        <stp>083380</stp>
        <stp>전일대비</stp>
        <stp/>
        <stp/>
        <tr r="AI31" s="2"/>
      </tp>
      <tp>
        <v>30</v>
        <stp/>
        <stp>P</stp>
        <stp>0</stp>
        <stp>STK</stp>
        <stp>053210</stp>
        <stp>전일대비</stp>
        <stp/>
        <stp/>
        <tr r="AI48" s="2"/>
      </tp>
      <tp>
        <v>3000</v>
        <stp/>
        <stp>P</stp>
        <stp>0</stp>
        <stp>STK</stp>
        <stp>003230</stp>
        <stp>전일대비</stp>
        <stp/>
        <stp/>
        <tr r="AC38" s="2"/>
      </tp>
      <tp>
        <v>10</v>
        <stp/>
        <stp>P</stp>
        <stp>0</stp>
        <stp>STK</stp>
        <stp>023150</stp>
        <stp>전일대비</stp>
        <stp/>
        <stp/>
        <tr r="AC10" s="2"/>
      </tp>
      <tp>
        <v>-190</v>
        <stp/>
        <stp>P</stp>
        <stp>0</stp>
        <stp>STK</stp>
        <stp>003680</stp>
        <stp>전일대비</stp>
        <stp/>
        <stp/>
        <tr r="AC52" s="2"/>
      </tp>
      <tp>
        <v>50</v>
        <stp/>
        <stp>P</stp>
        <stp>0</stp>
        <stp>STK</stp>
        <stp>053690</stp>
        <stp>전일대비</stp>
        <stp/>
        <stp/>
        <tr r="AI79" s="2"/>
      </tp>
      <tp>
        <v>0</v>
        <stp/>
        <stp>P</stp>
        <stp>0</stp>
        <stp>STK</stp>
        <stp>003560</stp>
        <stp>전일대비</stp>
        <stp/>
        <stp/>
        <tr r="AI12" s="2"/>
      </tp>
      <tp>
        <v>30</v>
        <stp/>
        <stp>P</stp>
        <stp>0</stp>
        <stp>STK</stp>
        <stp>213500</stp>
        <stp>전일대비</stp>
        <stp/>
        <stp/>
        <tr r="AO25" s="2"/>
      </tp>
      <tp>
        <v>-180</v>
        <stp/>
        <stp>P</stp>
        <stp>0</stp>
        <stp>STK</stp>
        <stp>023590</stp>
        <stp>전일대비</stp>
        <stp/>
        <stp/>
        <tr r="AI24" s="2"/>
      </tp>
      <tp>
        <v>201000000</v>
        <stp/>
        <stp>P</stp>
        <stp>0</stp>
        <stp>STK</stp>
        <stp>021320</stp>
        <stp>차입금</stp>
        <stp>45107</stp>
        <stp>Cons=개별</stp>
        <tr r="N33" s="1"/>
      </tp>
      <tp>
        <v>90</v>
        <stp/>
        <stp>P</stp>
        <stp>0</stp>
        <stp>STK</stp>
        <stp>26490K</stp>
        <stp>전일대비</stp>
        <stp/>
        <stp/>
        <tr r="AC48" s="2"/>
      </tp>
      <tp>
        <v>-30</v>
        <stp/>
        <stp>P</stp>
        <stp>0</stp>
        <stp>STK</stp>
        <stp>264900</stp>
        <stp>전일대비</stp>
        <stp/>
        <stp/>
        <tr r="AC47" s="2"/>
      </tp>
      <tp>
        <v>-2000</v>
        <stp/>
        <stp>P</stp>
        <stp>0</stp>
        <stp>STK</stp>
        <stp>004370</stp>
        <stp>전일대비</stp>
        <stp/>
        <stp/>
        <tr r="AC15" s="2"/>
      </tp>
      <tp>
        <v>-350</v>
        <stp/>
        <stp>P</stp>
        <stp>0</stp>
        <stp>STK</stp>
        <stp>214320</stp>
        <stp>전일대비</stp>
        <stp/>
        <stp/>
        <tr r="AI59" s="2"/>
      </tp>
      <tp>
        <v>90</v>
        <stp/>
        <stp>P</stp>
        <stp>0</stp>
        <stp>STK</stp>
        <stp>034310</stp>
        <stp>전일대비</stp>
        <stp/>
        <stp/>
        <tr r="AI16" s="2"/>
      </tp>
      <tp>
        <v>-10</v>
        <stp/>
        <stp>P</stp>
        <stp>0</stp>
        <stp>STK</stp>
        <stp>204210</stp>
        <stp>전일대비</stp>
        <stp/>
        <stp/>
        <tr r="AI39" s="2"/>
      </tp>
      <tp>
        <v>90</v>
        <stp/>
        <stp>P</stp>
        <stp>0</stp>
        <stp>STK</stp>
        <stp>094280</stp>
        <stp>전일대비</stp>
        <stp/>
        <stp/>
        <tr r="AI83" s="2"/>
      </tp>
      <tp>
        <v>-6</v>
        <stp/>
        <stp>P</stp>
        <stp>0</stp>
        <stp>STK</stp>
        <stp>014160</stp>
        <stp>전일대비</stp>
        <stp/>
        <stp/>
        <tr r="AO8" s="2"/>
      </tp>
      <tp>
        <v>-150</v>
        <stp/>
        <stp>P</stp>
        <stp>0</stp>
        <stp>STK</stp>
        <stp>034120</stp>
        <stp>전일대비</stp>
        <stp/>
        <stp/>
        <tr r="AI17" s="2"/>
      </tp>
      <tp>
        <v>-50</v>
        <stp/>
        <stp>P</stp>
        <stp>0</stp>
        <stp>STK</stp>
        <stp>114090</stp>
        <stp>전일대비</stp>
        <stp/>
        <stp/>
        <tr r="AI11" s="2"/>
      </tp>
      <tp>
        <v>300</v>
        <stp/>
        <stp>P</stp>
        <stp>0</stp>
        <stp>STK</stp>
        <stp>284740</stp>
        <stp>전일대비</stp>
        <stp/>
        <stp/>
        <tr r="AI70" s="2"/>
      </tp>
      <tp>
        <v>-25</v>
        <stp/>
        <stp>P</stp>
        <stp>0</stp>
        <stp>STK</stp>
        <stp>014710</stp>
        <stp>전일대비</stp>
        <stp/>
        <stp/>
        <tr r="AC33" s="2"/>
      </tp>
      <tp>
        <v>4</v>
        <stp/>
        <stp>P</stp>
        <stp>0</stp>
        <stp>STK</stp>
        <stp>084680</stp>
        <stp>전일대비</stp>
        <stp/>
        <stp/>
        <tr r="AI61" s="2"/>
      </tp>
      <tp>
        <v>25</v>
        <stp/>
        <stp>P</stp>
        <stp>0</stp>
        <stp>STK</stp>
        <stp>004540</stp>
        <stp>전일대비</stp>
        <stp/>
        <stp/>
        <tr r="AO6" s="2"/>
      </tp>
      <tp>
        <v>370</v>
        <stp/>
        <stp>P</stp>
        <stp>0</stp>
        <stp>STK</stp>
        <stp>004545</stp>
        <stp>전일대비</stp>
        <stp/>
        <stp/>
        <tr r="AO7" s="2"/>
      </tp>
      <tp>
        <v>0</v>
        <stp/>
        <stp>P</stp>
        <stp>0</stp>
        <stp>STK</stp>
        <stp>004410</stp>
        <stp>전일대비</stp>
        <stp/>
        <stp/>
        <tr r="AC40" s="2"/>
      </tp>
      <tp>
        <v>28</v>
        <stp/>
        <stp>P</stp>
        <stp>0</stp>
        <stp>STK</stp>
        <stp>004415</stp>
        <stp>전일대비</stp>
        <stp/>
        <stp/>
        <tr r="AC41" s="2"/>
      </tp>
      <tp>
        <v>16999401</v>
        <stp/>
        <stp>P</stp>
        <stp>0</stp>
        <stp>STK</stp>
        <stp>009450</stp>
        <stp>무형자산</stp>
        <stp>45107</stp>
        <stp>Cons=연결</stp>
        <tr r="Z18" s="1"/>
      </tp>
      <tp>
        <v>156202338</v>
        <stp/>
        <stp>P</stp>
        <stp>0</stp>
        <stp>STK</stp>
        <stp>009150</stp>
        <stp>무형자산</stp>
        <stp>45107</stp>
        <stp>Cons=연결</stp>
        <tr r="Q18" s="1"/>
      </tp>
      <tp>
        <v>-10</v>
        <stp/>
        <stp>P</stp>
        <stp>0</stp>
        <stp>STK</stp>
        <stp>155900</stp>
        <stp>전일대비</stp>
        <stp/>
        <stp/>
        <tr r="AI41" s="2"/>
      </tp>
      <tp>
        <v>150</v>
        <stp/>
        <stp>P</stp>
        <stp>0</stp>
        <stp>STK</stp>
        <stp>145995</stp>
        <stp>전일대비</stp>
        <stp/>
        <stp/>
        <tr r="AC37" s="2"/>
      </tp>
      <tp>
        <v>300</v>
        <stp/>
        <stp>P</stp>
        <stp>0</stp>
        <stp>STK</stp>
        <stp>145990</stp>
        <stp>전일대비</stp>
        <stp/>
        <stp/>
        <tr r="AC36" s="2"/>
      </tp>
      <tp>
        <v>100</v>
        <stp/>
        <stp>P</stp>
        <stp>0</stp>
        <stp>STK</stp>
        <stp>005300</stp>
        <stp>전일대비</stp>
        <stp/>
        <stp/>
        <tr r="AC24" s="2"/>
      </tp>
      <tp>
        <v>400</v>
        <stp/>
        <stp>P</stp>
        <stp>0</stp>
        <stp>STK</stp>
        <stp>005305</stp>
        <stp>전일대비</stp>
        <stp/>
        <stp/>
        <tr r="AC25" s="2"/>
      </tp>
      <tp>
        <v>-110</v>
        <stp/>
        <stp>P</stp>
        <stp>0</stp>
        <stp>STK</stp>
        <stp>035250</stp>
        <stp>전일대비</stp>
        <stp/>
        <stp/>
        <tr r="AI19" s="2"/>
      </tp>
      <tp>
        <v>-100</v>
        <stp/>
        <stp>P</stp>
        <stp>0</stp>
        <stp>STK</stp>
        <stp>005250</stp>
        <stp>전일대비</stp>
        <stp/>
        <stp/>
        <tr r="AI22" s="2"/>
      </tp>
      <tp>
        <v>100</v>
        <stp/>
        <stp>P</stp>
        <stp>0</stp>
        <stp>STK</stp>
        <stp>005257</stp>
        <stp>전일대비</stp>
        <stp/>
        <stp/>
        <tr r="AI23" s="2"/>
      </tp>
      <tp>
        <v>0</v>
        <stp/>
        <stp>P</stp>
        <stp>0</stp>
        <stp>STK</stp>
        <stp>145270</stp>
        <stp>전일대비</stp>
        <stp/>
        <stp/>
        <tr r="AI66" s="2"/>
      </tp>
      <tp>
        <v>900</v>
        <stp/>
        <stp>P</stp>
        <stp>0</stp>
        <stp>STK</stp>
        <stp>005180</stp>
        <stp>전일대비</stp>
        <stp/>
        <stp/>
        <tr r="AC30" s="2"/>
      </tp>
      <tp>
        <v>20</v>
        <stp/>
        <stp>P</stp>
        <stp>0</stp>
        <stp>STK</stp>
        <stp>035000</stp>
        <stp>전일대비</stp>
        <stp/>
        <stp/>
        <tr r="AI64" s="2"/>
      </tp>
      <tp>
        <v>6</v>
        <stp/>
        <stp>P</stp>
        <stp>0</stp>
        <stp>STK</stp>
        <stp>015020</stp>
        <stp>전일대비</stp>
        <stp/>
        <stp/>
        <tr r="AI60" s="2"/>
      </tp>
      <tp>
        <v>-7</v>
        <stp/>
        <stp>P</stp>
        <stp>0</stp>
        <stp>STK</stp>
        <stp>025750</stp>
        <stp>전일대비</stp>
        <stp/>
        <stp/>
        <tr r="AO26" s="2"/>
      </tp>
      <tp>
        <v>-650</v>
        <stp/>
        <stp>P</stp>
        <stp>0</stp>
        <stp>STK</stp>
        <stp>035720</stp>
        <stp>전일대비</stp>
        <stp/>
        <stp/>
        <tr r="AI65" s="2"/>
      </tp>
      <tp>
        <v>30</v>
        <stp/>
        <stp>P</stp>
        <stp>0</stp>
        <stp>STK</stp>
        <stp>095720</stp>
        <stp>전일대비</stp>
        <stp/>
        <stp/>
        <tr r="AI56" s="2"/>
      </tp>
      <tp>
        <v>-500</v>
        <stp/>
        <stp>P</stp>
        <stp>0</stp>
        <stp>STK</stp>
        <stp>005610</stp>
        <stp>전일대비</stp>
        <stp/>
        <stp/>
        <tr r="AC11" s="2"/>
      </tp>
      <tp>
        <v>0</v>
        <stp/>
        <stp>P</stp>
        <stp>0</stp>
        <stp>STK</stp>
        <stp>015540</stp>
        <stp>전일대비</stp>
        <stp/>
        <stp/>
        <tr r="AI38" s="2"/>
      </tp>
      <tp>
        <v>-15</v>
        <stp/>
        <stp>P</stp>
        <stp>0</stp>
        <stp>STK</stp>
        <stp>095570</stp>
        <stp>전일대비</stp>
        <stp/>
        <stp/>
        <tr r="AI6" s="2"/>
      </tp>
      <tp>
        <v>90</v>
        <stp/>
        <stp>P</stp>
        <stp>0</stp>
        <stp>STK</stp>
        <stp>035510</stp>
        <stp>전일대비</stp>
        <stp/>
        <stp/>
        <tr r="AI49" s="2"/>
      </tp>
      <tp>
        <v>-3000</v>
        <stp/>
        <stp>P</stp>
        <stp>0</stp>
        <stp>STK</stp>
        <stp>035420</stp>
        <stp>전일대비</stp>
        <stp/>
        <stp/>
        <tr r="AI14" s="2"/>
      </tp>
      <tp>
        <v>-400</v>
        <stp/>
        <stp>P</stp>
        <stp>0</stp>
        <stp>STK</stp>
        <stp>006980</stp>
        <stp>전일대비</stp>
        <stp/>
        <stp/>
        <tr r="AC45" s="2"/>
      </tp>
      <tp>
        <v>-90</v>
        <stp/>
        <stp>P</stp>
        <stp>0</stp>
        <stp>STK</stp>
        <stp>006090</stp>
        <stp>전일대비</stp>
        <stp/>
        <stp/>
        <tr r="AC34" s="2"/>
      </tp>
      <tp>
        <v>300</v>
        <stp/>
        <stp>P</stp>
        <stp>0</stp>
        <stp>STK</stp>
        <stp>006740</stp>
        <stp>전일대비</stp>
        <stp/>
        <stp/>
        <tr r="AO19" s="2"/>
      </tp>
      <tp>
        <v>-270</v>
        <stp/>
        <stp>P</stp>
        <stp>0</stp>
        <stp>STK</stp>
        <stp>016710</stp>
        <stp>전일대비</stp>
        <stp/>
        <stp/>
        <tr r="AI27" s="2"/>
      </tp>
      <tp>
        <v>-3000</v>
        <stp/>
        <stp>P</stp>
        <stp>0</stp>
        <stp>STK</stp>
        <stp>036570</stp>
        <stp>전일대비</stp>
        <stp/>
        <stp/>
        <tr r="AI54" s="2"/>
      </tp>
      <tp>
        <v>25</v>
        <stp/>
        <stp>P</stp>
        <stp>0</stp>
        <stp>STK</stp>
        <stp>126560</stp>
        <stp>전일대비</stp>
        <stp/>
        <stp/>
        <tr r="AI82" s="2"/>
      </tp>
      <tp>
        <v>-80</v>
        <stp/>
        <stp>P</stp>
        <stp>0</stp>
        <stp>STK</stp>
        <stp>036580</stp>
        <stp>전일대비</stp>
        <stp/>
        <stp/>
        <tr r="AC49" s="2"/>
      </tp>
      <tp>
        <v>30</v>
        <stp/>
        <stp>P</stp>
        <stp>0</stp>
        <stp>STK</stp>
        <stp>016590</stp>
        <stp>전일대비</stp>
        <stp/>
        <stp/>
        <tr r="AO16" s="2"/>
      </tp>
      <tp>
        <v>-20</v>
        <stp/>
        <stp>P</stp>
        <stp>0</stp>
        <stp>STK</stp>
        <stp>136490</stp>
        <stp>전일대비</stp>
        <stp/>
        <stp/>
        <tr r="AC42" s="2"/>
      </tp>
      <tp>
        <v>1466265903</v>
        <stp/>
        <stp>P</stp>
        <stp>0</stp>
        <stp>STK</stp>
        <stp>000990</stp>
        <stp>이익잉여금(결손금)</stp>
        <stp>45107</stp>
        <stp>Cons=연결</stp>
        <tr r="Y28" s="1"/>
      </tp>
      <tp>
        <v>0</v>
        <stp/>
        <stp>P</stp>
        <stp>0</stp>
        <stp>STK</stp>
        <stp>097950</stp>
        <stp>전일대비</stp>
        <stp/>
        <stp/>
        <tr r="AC8" s="2"/>
      </tp>
      <tp>
        <v>-300</v>
        <stp/>
        <stp>P</stp>
        <stp>0</stp>
        <stp>STK</stp>
        <stp>097955</stp>
        <stp>전일대비</stp>
        <stp/>
        <stp/>
        <tr r="AC9" s="2"/>
      </tp>
      <tp>
        <v>12</v>
        <stp/>
        <stp>P</stp>
        <stp>0</stp>
        <stp>STK</stp>
        <stp>027970</stp>
        <stp>전일대비</stp>
        <stp/>
        <stp/>
        <tr r="AO14" s="2"/>
      </tp>
      <tp>
        <v>-3000</v>
        <stp/>
        <stp>P</stp>
        <stp>0</stp>
        <stp>STK</stp>
        <stp>007310</stp>
        <stp>전일대비</stp>
        <stp/>
        <stp/>
        <tr r="AC43" s="2"/>
      </tp>
      <tp>
        <v>-9</v>
        <stp/>
        <stp>P</stp>
        <stp>0</stp>
        <stp>STK</stp>
        <stp>007120</stp>
        <stp>전일대비</stp>
        <stp/>
        <stp/>
        <tr r="AI40" s="2"/>
      </tp>
      <tp>
        <v>-35</v>
        <stp/>
        <stp>P</stp>
        <stp>0</stp>
        <stp>STK</stp>
        <stp>027740</stp>
        <stp>전일대비</stp>
        <stp/>
        <stp/>
        <tr r="AC27" s="2"/>
      </tp>
      <tp>
        <v>-5</v>
        <stp/>
        <stp>P</stp>
        <stp>0</stp>
        <stp>STK</stp>
        <stp>037560</stp>
        <stp>전일대비</stp>
        <stp/>
        <stp/>
        <tr r="AI9" s="2"/>
      </tp>
      <tp>
        <v>-125</v>
        <stp/>
        <stp>P</stp>
        <stp>0</stp>
        <stp>STK</stp>
        <stp>058850</stp>
        <stp>전일대비</stp>
        <stp/>
        <stp/>
        <tr r="AI13" s="2"/>
      </tp>
      <tp>
        <v>-95</v>
        <stp/>
        <stp>P</stp>
        <stp>0</stp>
        <stp>STK</stp>
        <stp>058860</stp>
        <stp>전일대비</stp>
        <stp/>
        <stp/>
        <tr r="AI67" s="2"/>
      </tp>
      <tp>
        <v>10</v>
        <stp/>
        <stp>P</stp>
        <stp>0</stp>
        <stp>STK</stp>
        <stp>008250</stp>
        <stp>전일대비</stp>
        <stp/>
        <stp/>
        <tr r="AO20" s="2"/>
      </tp>
      <tp>
        <v>-1400</v>
        <stp/>
        <stp>P</stp>
        <stp>0</stp>
        <stp>STK</stp>
        <stp>018260</stp>
        <stp>전일대비</stp>
        <stp/>
        <stp/>
        <tr r="AI43" s="2"/>
      </tp>
      <tp>
        <v>-220</v>
        <stp/>
        <stp>P</stp>
        <stp>0</stp>
        <stp>STK</stp>
        <stp>068290</stp>
        <stp>전일대비</stp>
        <stp/>
        <stp/>
        <tr r="AI45" s="2"/>
      </tp>
      <tp>
        <v>-750</v>
        <stp/>
        <stp>P</stp>
        <stp>0</stp>
        <stp>STK</stp>
        <stp>248170</stp>
        <stp>전일대비</stp>
        <stp/>
        <stp/>
        <tr r="AC39" s="2"/>
      </tp>
      <tp>
        <v>6</v>
        <stp/>
        <stp>P</stp>
        <stp>0</stp>
        <stp>STK</stp>
        <stp>008040</stp>
        <stp>전일대비</stp>
        <stp/>
        <stp/>
        <tr r="AC32" s="2"/>
      </tp>
      <tp>
        <v>-1300</v>
        <stp/>
        <stp>P</stp>
        <stp>0</stp>
        <stp>STK</stp>
        <stp>028050</stp>
        <stp>전일대비</stp>
        <stp/>
        <stp/>
        <tr r="AI44" s="2"/>
      </tp>
      <tp>
        <v>30</v>
        <stp/>
        <stp>P</stp>
        <stp>0</stp>
        <stp>STK</stp>
        <stp>078000</stp>
        <stp>전일대비</stp>
        <stp/>
        <stp/>
        <tr r="AI72" s="2"/>
      </tp>
      <tp>
        <v>10</v>
        <stp/>
        <stp>P</stp>
        <stp>0</stp>
        <stp>STK</stp>
        <stp>068400</stp>
        <stp>전일대비</stp>
        <stp/>
        <stp/>
        <tr r="AI7" s="2"/>
      </tp>
      <tp>
        <v>23430234000</v>
        <stp/>
        <stp>P</stp>
        <stp>0</stp>
        <stp>STK</stp>
        <stp>005930</stp>
        <stp>무형자산</stp>
        <stp>45107</stp>
        <stp>Cons=연결</stp>
        <tr r="M18" s="1"/>
      </tp>
      <tp>
        <v>16301602000</v>
        <stp/>
        <stp>P</stp>
        <stp>0</stp>
        <stp>STK</stp>
        <stp>066570</stp>
        <stp>이익잉여금(결손금)</stp>
        <stp>45107</stp>
        <stp>Cons=연결</stp>
        <tr r="P28" s="1"/>
      </tp>
      <tp>
        <v>2953080765</v>
        <stp/>
        <stp>P</stp>
        <stp>0</stp>
        <stp>STK</stp>
        <stp>011070</stp>
        <stp>이익잉여금(결손금)</stp>
        <stp>45107</stp>
        <stp>Cons=연결</stp>
        <tr r="S28" s="1"/>
      </tp>
      <tp>
        <v>-20</v>
        <stp/>
        <stp>P</stp>
        <stp>0</stp>
        <stp>STK</stp>
        <stp>009200</stp>
        <stp>전일대비</stp>
        <stp/>
        <stp/>
        <tr r="AO11" s="2"/>
      </tp>
      <tp>
        <v>130</v>
        <stp/>
        <stp>P</stp>
        <stp>0</stp>
        <stp>STK</stp>
        <stp>079160</stp>
        <stp>전일대비</stp>
        <stp/>
        <stp/>
        <tr r="AI8" s="2"/>
      </tp>
      <tp>
        <v>50</v>
        <stp/>
        <stp>P</stp>
        <stp>0</stp>
        <stp>STK</stp>
        <stp>039130</stp>
        <stp>전일대비</stp>
        <stp/>
        <stp/>
        <tr r="AI74" s="2"/>
      </tp>
      <tp>
        <v>0</v>
        <stp/>
        <stp>P</stp>
        <stp>0</stp>
        <stp>STK</stp>
        <stp>109070</stp>
        <stp>전일대비</stp>
        <stp/>
        <stp/>
        <tr r="AO21" s="2"/>
      </tp>
      <tp>
        <v>-50</v>
        <stp/>
        <stp>P</stp>
        <stp>0</stp>
        <stp>STK</stp>
        <stp>009770</stp>
        <stp>전일대비</stp>
        <stp/>
        <stp/>
        <tr r="AO12" s="2"/>
      </tp>
      <tp>
        <v>-300</v>
        <stp/>
        <stp>P</stp>
        <stp>0</stp>
        <stp>STK</stp>
        <stp>049770</stp>
        <stp>전일대비</stp>
        <stp/>
        <stp/>
        <tr r="AC22" s="2"/>
      </tp>
      <tp t="s">
        <v/>
        <stp/>
        <stp>P</stp>
        <stp>0</stp>
        <stp>STK</stp>
        <stp>159650</stp>
        <stp>전일대비</stp>
        <stp/>
        <stp/>
        <tr r="AI77" s="2"/>
      </tp>
      <tp t="s">
        <v/>
        <stp/>
        <stp>P</stp>
        <stp>0</stp>
        <stp>STK</stp>
        <stp>079660</stp>
        <stp>전일대비</stp>
        <stp/>
        <stp/>
        <tr r="AC35" s="2"/>
      </tp>
      <tp>
        <v>-10</v>
        <stp/>
        <stp>P</stp>
        <stp>0</stp>
        <stp>STK</stp>
        <stp>019680</stp>
        <stp>전일대비</stp>
        <stp/>
        <stp/>
        <tr r="AI25" s="2"/>
      </tp>
      <tp>
        <v>-1</v>
        <stp/>
        <stp>P</stp>
        <stp>0</stp>
        <stp>STK</stp>
        <stp>019685</stp>
        <stp>전일대비</stp>
        <stp/>
        <stp/>
        <tr r="AI26" s="2"/>
      </tp>
      <tp>
        <v>-25</v>
        <stp/>
        <stp>P</stp>
        <stp>0</stp>
        <stp>STK</stp>
        <stp>009580</stp>
        <stp>전일대비</stp>
        <stp/>
        <stp/>
        <tr r="AO10" s="2"/>
      </tp>
      <tp>
        <v>-5</v>
        <stp/>
        <stp>P</stp>
        <stp>0</stp>
        <stp>STK</stp>
        <stp>009460</stp>
        <stp>전일대비</stp>
        <stp/>
        <stp/>
        <tr r="AO27" s="2"/>
      </tp>
      <tp>
        <v>1735711000</v>
        <stp/>
        <stp>P</stp>
        <stp>0</stp>
        <stp>STK</stp>
        <stp>034220</stp>
        <stp>무형자산</stp>
        <stp>45107</stp>
        <stp>Cons=연결</stp>
        <tr r="R18" s="1"/>
      </tp>
      <tp>
        <v>220831041</v>
        <stp/>
        <stp>P</stp>
        <stp>0</stp>
        <stp>STK</stp>
        <stp>267260</stp>
        <stp>이익잉여금(결손금)</stp>
        <stp>45107</stp>
        <stp>Cons=연결</stp>
        <tr r="AA28" s="1"/>
      </tp>
      <tp>
        <v>269965585</v>
        <stp/>
        <stp>P</stp>
        <stp>0</stp>
        <stp>STK</stp>
        <stp>001440</stp>
        <stp>이익잉여금(결손금)</stp>
        <stp>45107</stp>
        <stp>Cons=연결</stp>
        <tr r="W28" s="1"/>
      </tp>
      <tp>
        <v>63753442</v>
        <stp/>
        <stp>P</stp>
        <stp>0</stp>
        <stp>STK</stp>
        <stp>267260</stp>
        <stp>무형자산</stp>
        <stp>45107</stp>
        <stp>Cons=연결</stp>
        <tr r="AA18" s="1"/>
      </tp>
      <tp>
        <v>243025227</v>
        <stp/>
        <stp>P</stp>
        <stp>0</stp>
        <stp>STK</stp>
        <stp>020150</stp>
        <stp>이익잉여금(결손금)</stp>
        <stp>45107</stp>
        <stp>Cons=연결</stp>
        <tr r="U28" s="1"/>
      </tp>
      <tp>
        <v>5685717246</v>
        <stp/>
        <stp>P</stp>
        <stp>0</stp>
        <stp>STK</stp>
        <stp>009150</stp>
        <stp>이익잉여금(결손금)</stp>
        <stp>45107</stp>
        <stp>Cons=연결</stp>
        <tr r="Q28" s="1"/>
      </tp>
      <tp>
        <v>469212363</v>
        <stp/>
        <stp>P</stp>
        <stp>0</stp>
        <stp>STK</stp>
        <stp>009450</stp>
        <stp>이익잉여금(결손금)</stp>
        <stp>45107</stp>
        <stp>Cons=연결</stp>
        <tr r="Z28" s="1"/>
      </tp>
      <tp>
        <v>214927474</v>
        <stp/>
        <stp>P</stp>
        <stp>0</stp>
        <stp>STK</stp>
        <stp>006400</stp>
        <stp>무형자산</stp>
        <stp>45107</stp>
        <stp>Cons=연결</stp>
        <tr r="O18" s="1"/>
      </tp>
      <tp>
        <v>2561617000</v>
        <stp/>
        <stp>P</stp>
        <stp>0</stp>
        <stp>STK</stp>
        <stp>066570</stp>
        <stp>무형자산</stp>
        <stp>45107</stp>
        <stp>Cons=연결</stp>
        <tr r="P18" s="1"/>
      </tp>
      <tp>
        <v>3287252000</v>
        <stp/>
        <stp>P</stp>
        <stp>0</stp>
        <stp>STK</stp>
        <stp>034220</stp>
        <stp>이익잉여금(결손금)</stp>
        <stp>45107</stp>
        <stp>Cons=연결</stp>
        <tr r="R28" s="1"/>
      </tp>
      <tp>
        <v>212090628</v>
        <stp/>
        <stp>P</stp>
        <stp>0</stp>
        <stp>STK</stp>
        <stp>001820</stp>
        <stp>이익잉여금(결손금)</stp>
        <stp>45107</stp>
        <stp>Cons=연결</stp>
        <tr r="X28" s="1"/>
      </tp>
      <tp>
        <v>1526574637</v>
        <stp/>
        <stp>P</stp>
        <stp>0</stp>
        <stp>STK</stp>
        <stp>010120</stp>
        <stp>이익잉여금(결손금)</stp>
        <stp>45107</stp>
        <stp>Cons=연결</stp>
        <tr r="T28" s="1"/>
      </tp>
      <tp>
        <v>803011</v>
        <stp/>
        <stp>P</stp>
        <stp>0</stp>
        <stp>STK</stp>
        <stp>001820</stp>
        <stp>무형자산</stp>
        <stp>45107</stp>
        <stp>Cons=연결</stp>
        <tr r="X18" s="1"/>
      </tp>
      <tp>
        <v>9088181</v>
        <stp/>
        <stp>P</stp>
        <stp>0</stp>
        <stp>STK</stp>
        <stp>001440</stp>
        <stp>무형자산</stp>
        <stp>45107</stp>
        <stp>Cons=연결</stp>
        <tr r="W18" s="1"/>
      </tp>
      <tp>
        <v>228437076</v>
        <stp/>
        <stp>P</stp>
        <stp>0</stp>
        <stp>STK</stp>
        <stp>011070</stp>
        <stp>무형자산</stp>
        <stp>45107</stp>
        <stp>Cons=연결</stp>
        <tr r="S18" s="1"/>
      </tp>
      <tp>
        <v>338310655000</v>
        <stp/>
        <stp>P</stp>
        <stp>0</stp>
        <stp>STK</stp>
        <stp>005930</stp>
        <stp>이익잉여금(결손금)</stp>
        <stp>45107</stp>
        <stp>Cons=연결</stp>
        <tr r="M28" s="1"/>
      </tp>
      <tp>
        <v>17175786</v>
        <stp/>
        <stp>P</stp>
        <stp>0</stp>
        <stp>STK</stp>
        <stp>000990</stp>
        <stp>무형자산</stp>
        <stp>45107</stp>
        <stp>Cons=연결</stp>
        <tr r="Y18" s="1"/>
      </tp>
      <tp>
        <v>8983018</v>
        <stp/>
        <stp>P</stp>
        <stp>0</stp>
        <stp>STK</stp>
        <stp>020150</stp>
        <stp>무형자산</stp>
        <stp>45107</stp>
        <stp>Cons=연결</stp>
        <tr r="U18" s="1"/>
      </tp>
      <tp>
        <v>67296034</v>
        <stp/>
        <stp>P</stp>
        <stp>0</stp>
        <stp>STK</stp>
        <stp>010120</stp>
        <stp>무형자산</stp>
        <stp>45107</stp>
        <stp>Cons=연결</stp>
        <tr r="T18" s="1"/>
      </tp>
      <tp>
        <v>11299373854</v>
        <stp/>
        <stp>P</stp>
        <stp>0</stp>
        <stp>STK</stp>
        <stp>006400</stp>
        <stp>이익잉여금(결손금)</stp>
        <stp>45107</stp>
        <stp>Cons=연결</stp>
        <tr r="O28" s="1"/>
      </tp>
      <tp>
        <v>1455276854</v>
        <stp/>
        <stp>P</stp>
        <stp>0</stp>
        <stp>STK</stp>
        <stp>192400</stp>
        <stp>이익잉여금(결손금)</stp>
        <stp>45107</stp>
        <stp>Cons=연결</stp>
        <tr r="V28" s="1"/>
      </tp>
      <tp>
        <v>2366800</v>
        <stp/>
        <stp>P</stp>
        <stp>0</stp>
        <stp>STK</stp>
        <stp>192400</stp>
        <stp>무형자산</stp>
        <stp>45107</stp>
        <stp>Cons=연결</stp>
        <tr r="V18" s="1"/>
      </tp>
      <tp t="s">
        <v/>
        <stp/>
        <stp>P</stp>
        <stp>0</stp>
        <stp>STK</stp>
        <stp>192400</stp>
        <stp>기타금융업자산</stp>
        <stp>45107</stp>
        <stp>Cons=연결</stp>
        <tr r="V21" s="1"/>
      </tp>
      <tp>
        <v>79923764</v>
        <stp/>
        <stp>P</stp>
        <stp>0</stp>
        <stp>STK</stp>
        <stp>009150</stp>
        <stp>금융자산</stp>
        <stp>45107</stp>
        <stp>Cons=연결</stp>
        <tr r="Q10" s="1"/>
      </tp>
      <tp>
        <v>55386617</v>
        <stp/>
        <stp>P</stp>
        <stp>0</stp>
        <stp>STK</stp>
        <stp>009450</stp>
        <stp>금융자산</stp>
        <stp>45107</stp>
        <stp>Cons=연결</stp>
        <tr r="Z10" s="1"/>
      </tp>
      <tp>
        <v>21214589</v>
        <stp/>
        <stp>P</stp>
        <stp>0</stp>
        <stp>STK</stp>
        <stp>009450</stp>
        <stp>기타자산</stp>
        <stp>45107</stp>
        <stp>Cons=연결</stp>
        <tr r="Z13" s="1"/>
      </tp>
      <tp>
        <v>321796678</v>
        <stp/>
        <stp>P</stp>
        <stp>0</stp>
        <stp>STK</stp>
        <stp>009150</stp>
        <stp>기타자산</stp>
        <stp>45107</stp>
        <stp>Cons=연결</stp>
        <tr r="Q13" s="1"/>
      </tp>
      <tp>
        <v>107000000</v>
        <stp/>
        <stp>P</stp>
        <stp>0</stp>
        <stp>STK</stp>
        <stp>021320</stp>
        <stp>상장자본금</stp>
        <stp>45107</stp>
        <stp>Cons=개별</stp>
        <tr r="N23" s="1"/>
      </tp>
      <tp t="s">
        <v/>
        <stp/>
        <stp>P</stp>
        <stp>0</stp>
        <stp>STK</stp>
        <stp>006400</stp>
        <stp>기타금융업자산</stp>
        <stp>45107</stp>
        <stp>Cons=연결</stp>
        <tr r="O21" s="1"/>
      </tp>
      <tp t="s">
        <v/>
        <stp/>
        <stp>P</stp>
        <stp>0</stp>
        <stp>STK</stp>
        <stp>005930</stp>
        <stp>기타금융업자산</stp>
        <stp>45107</stp>
        <stp>Cons=연결</stp>
        <tr r="M21" s="1"/>
      </tp>
      <tp t="s">
        <v/>
        <stp/>
        <stp>P</stp>
        <stp>0</stp>
        <stp>STK</stp>
        <stp>001440</stp>
        <stp>기타금융업자산</stp>
        <stp>45107</stp>
        <stp>Cons=연결</stp>
        <tr r="W21" s="1"/>
      </tp>
      <tp t="s">
        <v/>
        <stp/>
        <stp>P</stp>
        <stp>0</stp>
        <stp>STK</stp>
        <stp>001820</stp>
        <stp>기타금융업자산</stp>
        <stp>45107</stp>
        <stp>Cons=연결</stp>
        <tr r="X21" s="1"/>
      </tp>
      <tp t="s">
        <v/>
        <stp/>
        <stp>P</stp>
        <stp>0</stp>
        <stp>STK</stp>
        <stp>000990</stp>
        <stp>기타금융업자산</stp>
        <stp>45107</stp>
        <stp>Cons=연결</stp>
        <tr r="Y21" s="1"/>
      </tp>
      <tp t="s">
        <v/>
        <stp/>
        <stp>P</stp>
        <stp>0</stp>
        <stp>STK</stp>
        <stp>009450</stp>
        <stp>기타금융업자산</stp>
        <stp>45107</stp>
        <stp>Cons=연결</stp>
        <tr r="Z21" s="1"/>
      </tp>
      <tp t="s">
        <v/>
        <stp/>
        <stp>P</stp>
        <stp>0</stp>
        <stp>STK</stp>
        <stp>009150</stp>
        <stp>기타금융업자산</stp>
        <stp>45107</stp>
        <stp>Cons=연결</stp>
        <tr r="Q21" s="1"/>
      </tp>
      <tp>
        <v>80542012</v>
        <stp/>
        <stp>P</stp>
        <stp>0</stp>
        <stp>STK</stp>
        <stp>020150</stp>
        <stp>금융자산</stp>
        <stp>45107</stp>
        <stp>Cons=연결</stp>
        <tr r="U10" s="1"/>
      </tp>
      <tp>
        <v>57123600</v>
        <stp/>
        <stp>P</stp>
        <stp>0</stp>
        <stp>STK</stp>
        <stp>010120</stp>
        <stp>금융자산</stp>
        <stp>45107</stp>
        <stp>Cons=연결</stp>
        <tr r="T10" s="1"/>
      </tp>
      <tp>
        <v>439574808</v>
        <stp/>
        <stp>P</stp>
        <stp>0</stp>
        <stp>STK</stp>
        <stp>000990</stp>
        <stp>금융자산</stp>
        <stp>45107</stp>
        <stp>Cons=연결</stp>
        <tr r="Y10" s="1"/>
      </tp>
      <tp>
        <v>34402763</v>
        <stp/>
        <stp>P</stp>
        <stp>0</stp>
        <stp>STK</stp>
        <stp>000990</stp>
        <stp>기타자산</stp>
        <stp>45107</stp>
        <stp>Cons=연결</stp>
        <tr r="Y13" s="1"/>
      </tp>
      <tp>
        <v>172933942</v>
        <stp/>
        <stp>P</stp>
        <stp>0</stp>
        <stp>STK</stp>
        <stp>010120</stp>
        <stp>기타자산</stp>
        <stp>45107</stp>
        <stp>Cons=연결</stp>
        <tr r="T13" s="1"/>
      </tp>
      <tp>
        <v>12788134</v>
        <stp/>
        <stp>P</stp>
        <stp>0</stp>
        <stp>STK</stp>
        <stp>020150</stp>
        <stp>기타자산</stp>
        <stp>45107</stp>
        <stp>Cons=연결</stp>
        <tr r="U13" s="1"/>
      </tp>
      <tp>
        <v>77359500</v>
        <stp/>
        <stp>P</stp>
        <stp>0</stp>
        <stp>STK</stp>
        <stp>021320</stp>
        <stp>유형자산</stp>
        <stp>45107</stp>
        <stp>Cons=개별</stp>
        <tr r="N14" s="1"/>
      </tp>
      <tp t="s">
        <v/>
        <stp/>
        <stp>P</stp>
        <stp>0</stp>
        <stp>STK</stp>
        <stp>011070</stp>
        <stp>기타금융업자산</stp>
        <stp>45107</stp>
        <stp>Cons=연결</stp>
        <tr r="S21" s="1"/>
      </tp>
      <tp t="s">
        <v/>
        <stp/>
        <stp>P</stp>
        <stp>0</stp>
        <stp>STK</stp>
        <stp>010120</stp>
        <stp>기타금융업자산</stp>
        <stp>45107</stp>
        <stp>Cons=연결</stp>
        <tr r="T21" s="1"/>
      </tp>
      <tp>
        <v>123365936</v>
        <stp/>
        <stp>P</stp>
        <stp>0</stp>
        <stp>STK</stp>
        <stp>011070</stp>
        <stp>금융자산</stp>
        <stp>45107</stp>
        <stp>Cons=연결</stp>
        <tr r="S10" s="1"/>
      </tp>
      <tp>
        <v>18046309</v>
        <stp/>
        <stp>P</stp>
        <stp>0</stp>
        <stp>STK</stp>
        <stp>001440</stp>
        <stp>금융자산</stp>
        <stp>45107</stp>
        <stp>Cons=연결</stp>
        <tr r="W10" s="1"/>
      </tp>
      <tp>
        <v>35402330</v>
        <stp/>
        <stp>P</stp>
        <stp>0</stp>
        <stp>STK</stp>
        <stp>001820</stp>
        <stp>금융자산</stp>
        <stp>45107</stp>
        <stp>Cons=연결</stp>
        <tr r="X10" s="1"/>
      </tp>
      <tp>
        <v>12745956</v>
        <stp/>
        <stp>P</stp>
        <stp>0</stp>
        <stp>STK</stp>
        <stp>001820</stp>
        <stp>기타자산</stp>
        <stp>45107</stp>
        <stp>Cons=연결</stp>
        <tr r="X13" s="1"/>
      </tp>
      <tp>
        <v>92806935</v>
        <stp/>
        <stp>P</stp>
        <stp>0</stp>
        <stp>STK</stp>
        <stp>001440</stp>
        <stp>기타자산</stp>
        <stp>45107</stp>
        <stp>Cons=연결</stp>
        <tr r="W13" s="1"/>
      </tp>
      <tp>
        <v>329090983</v>
        <stp/>
        <stp>P</stp>
        <stp>0</stp>
        <stp>STK</stp>
        <stp>011070</stp>
        <stp>기타자산</stp>
        <stp>45107</stp>
        <stp>Cons=연결</stp>
        <tr r="S13" s="1"/>
      </tp>
      <tp t="s">
        <v/>
        <stp/>
        <stp>P</stp>
        <stp>0</stp>
        <stp>STK</stp>
        <stp>020150</stp>
        <stp>기타금융업자산</stp>
        <stp>45107</stp>
        <stp>Cons=연결</stp>
        <tr r="U21" s="1"/>
      </tp>
      <tp>
        <v>38137695</v>
        <stp/>
        <stp>P</stp>
        <stp>0</stp>
        <stp>STK</stp>
        <stp>192400</stp>
        <stp>금융자산</stp>
        <stp>45107</stp>
        <stp>Cons=연결</stp>
        <tr r="V10" s="1"/>
      </tp>
      <tp t="s">
        <v/>
        <stp/>
        <stp>P</stp>
        <stp>0</stp>
        <stp>STK</stp>
        <stp>021320</stp>
        <stp>이연법인세부채</stp>
        <stp>45107</stp>
        <stp>Cons=개별</stp>
        <tr r="N40" s="1"/>
      </tp>
      <tp>
        <v>19608954</v>
        <stp/>
        <stp>P</stp>
        <stp>0</stp>
        <stp>STK</stp>
        <stp>192400</stp>
        <stp>기타자산</stp>
        <stp>45107</stp>
        <stp>Cons=연결</stp>
        <tr r="V13" s="1"/>
      </tp>
      <tp>
        <v>1577923</v>
        <stp/>
        <stp>P</stp>
        <stp>0</stp>
        <stp>STK</stp>
        <stp>021320</stp>
        <stp>당기법인세부채</stp>
        <stp>45107</stp>
        <stp>Cons=개별</stp>
        <tr r="N37" s="1"/>
      </tp>
      <tp t="s">
        <v/>
        <stp/>
        <stp>P</stp>
        <stp>0</stp>
        <stp>STK</stp>
        <stp>034220</stp>
        <stp>기타금융업자산</stp>
        <stp>45107</stp>
        <stp>Cons=연결</stp>
        <tr r="R21" s="1"/>
      </tp>
      <tp>
        <v>1842278000</v>
        <stp/>
        <stp>P</stp>
        <stp>0</stp>
        <stp>STK</stp>
        <stp>034220</stp>
        <stp>금융자산</stp>
        <stp>45107</stp>
        <stp>Cons=연결</stp>
        <tr r="R10" s="1"/>
      </tp>
      <tp>
        <v>713959000</v>
        <stp/>
        <stp>P</stp>
        <stp>0</stp>
        <stp>STK</stp>
        <stp>034220</stp>
        <stp>기타자산</stp>
        <stp>45107</stp>
        <stp>Cons=연결</stp>
        <tr r="R13" s="1"/>
      </tp>
      <tp>
        <v>17180130000</v>
        <stp/>
        <stp>P</stp>
        <stp>0</stp>
        <stp>STK</stp>
        <stp>005930</stp>
        <stp>금융자산</stp>
        <stp>45107</stp>
        <stp>Cons=연결</stp>
        <tr r="M10" s="1"/>
      </tp>
      <tp>
        <v>23399791000</v>
        <stp/>
        <stp>P</stp>
        <stp>0</stp>
        <stp>STK</stp>
        <stp>005930</stp>
        <stp>기타자산</stp>
        <stp>45107</stp>
        <stp>Cons=연결</stp>
        <tr r="M13" s="1"/>
      </tp>
      <tp t="s">
        <v/>
        <stp/>
        <stp>P</stp>
        <stp>0</stp>
        <stp>STK</stp>
        <stp>267260</stp>
        <stp>기타금융업자산</stp>
        <stp>45107</stp>
        <stp>Cons=연결</stp>
        <tr r="AA21" s="1"/>
      </tp>
      <tp t="s">
        <v/>
        <stp/>
        <stp>P</stp>
        <stp>0</stp>
        <stp>STK</stp>
        <stp>066570</stp>
        <stp>기타금융업자산</stp>
        <stp>45107</stp>
        <stp>Cons=연결</stp>
        <tr r="P21" s="1"/>
      </tp>
      <tp>
        <v>486752000</v>
        <stp/>
        <stp>P</stp>
        <stp>0</stp>
        <stp>STK</stp>
        <stp>066570</stp>
        <stp>금융자산</stp>
        <stp>45107</stp>
        <stp>Cons=연결</stp>
        <tr r="P10" s="1"/>
      </tp>
      <tp>
        <v>1825116344</v>
        <stp/>
        <stp>P</stp>
        <stp>0</stp>
        <stp>STK</stp>
        <stp>006400</stp>
        <stp>금융자산</stp>
        <stp>45107</stp>
        <stp>Cons=연결</stp>
        <tr r="O10" s="1"/>
      </tp>
      <tp>
        <v>640388907</v>
        <stp/>
        <stp>P</stp>
        <stp>0</stp>
        <stp>STK</stp>
        <stp>006400</stp>
        <stp>기타자산</stp>
        <stp>45107</stp>
        <stp>Cons=연결</stp>
        <tr r="O13" s="1"/>
      </tp>
      <tp>
        <v>2919474000</v>
        <stp/>
        <stp>P</stp>
        <stp>0</stp>
        <stp>STK</stp>
        <stp>066570</stp>
        <stp>기타자산</stp>
        <stp>45107</stp>
        <stp>Cons=연결</stp>
        <tr r="P13" s="1"/>
      </tp>
      <tp>
        <v>26229979</v>
        <stp/>
        <stp>P</stp>
        <stp>0</stp>
        <stp>STK</stp>
        <stp>267260</stp>
        <stp>금융자산</stp>
        <stp>45107</stp>
        <stp>Cons=연결</stp>
        <tr r="AA10" s="1"/>
      </tp>
      <tp>
        <v>96233536</v>
        <stp/>
        <stp>P</stp>
        <stp>0</stp>
        <stp>STK</stp>
        <stp>267260</stp>
        <stp>기타자산</stp>
        <stp>45107</stp>
        <stp>Cons=연결</stp>
        <tr r="AA13" s="1"/>
      </tp>
      <tp>
        <v>3511227</v>
        <stp/>
        <stp>P</stp>
        <stp>0</stp>
        <stp>STK</stp>
        <stp>021320</stp>
        <stp>무형자산</stp>
        <stp>45107</stp>
        <stp>Cons=개별</stp>
        <tr r="N18" s="1"/>
      </tp>
      <tp>
        <v>330984749</v>
        <stp/>
        <stp>P</stp>
        <stp>0</stp>
        <stp>STK</stp>
        <stp>021320</stp>
        <stp>이익잉여금(결손금)</stp>
        <stp>45107</stp>
        <stp>Cons=개별</stp>
        <tr r="N28" s="1"/>
      </tp>
      <tp t="s">
        <v/>
        <stp/>
        <stp>P</stp>
        <stp>0</stp>
        <stp>STK</stp>
        <stp>192400</stp>
        <stp>차입금</stp>
        <stp>45107</stp>
        <stp>Cons=연결</stp>
        <tr r="V33" s="1"/>
      </tp>
      <tp>
        <v>506426649</v>
        <stp/>
        <stp>P</stp>
        <stp>0</stp>
        <stp>STK</stp>
        <stp>267260</stp>
        <stp>차입금</stp>
        <stp>45107</stp>
        <stp>Cons=연결</stp>
        <tr r="AA33" s="1"/>
      </tp>
      <tp>
        <v>5955917000</v>
        <stp/>
        <stp>P</stp>
        <stp>0</stp>
        <stp>STK</stp>
        <stp>066570</stp>
        <stp>차입금</stp>
        <stp>45107</stp>
        <stp>Cons=연결</stp>
        <tr r="P33" s="1"/>
      </tp>
      <tp>
        <v>13530116000</v>
        <stp/>
        <stp>P</stp>
        <stp>0</stp>
        <stp>STK</stp>
        <stp>034220</stp>
        <stp>차입금</stp>
        <stp>45107</stp>
        <stp>Cons=연결</stp>
        <tr r="R33" s="1"/>
      </tp>
      <tp>
        <v>195220889</v>
        <stp/>
        <stp>P</stp>
        <stp>0</stp>
        <stp>STK</stp>
        <stp>020150</stp>
        <stp>차입금</stp>
        <stp>45107</stp>
        <stp>Cons=연결</stp>
        <tr r="U33" s="1"/>
      </tp>
      <tp>
        <v>1637154153</v>
        <stp/>
        <stp>P</stp>
        <stp>0</stp>
        <stp>STK</stp>
        <stp>011070</stp>
        <stp>차입금</stp>
        <stp>45107</stp>
        <stp>Cons=연결</stp>
        <tr r="S33" s="1"/>
      </tp>
      <tp>
        <v>375765522</v>
        <stp/>
        <stp>P</stp>
        <stp>0</stp>
        <stp>STK</stp>
        <stp>010120</stp>
        <stp>차입금</stp>
        <stp>45107</stp>
        <stp>Cons=연결</stp>
        <tr r="T33" s="1"/>
      </tp>
      <tp>
        <v>5121176</v>
        <stp/>
        <stp>P</stp>
        <stp>0</stp>
        <stp>STK</stp>
        <stp>001820</stp>
        <stp>차입금</stp>
        <stp>45107</stp>
        <stp>Cons=연결</stp>
        <tr r="X33" s="1"/>
      </tp>
      <tp>
        <v>412985567</v>
        <stp/>
        <stp>P</stp>
        <stp>0</stp>
        <stp>STK</stp>
        <stp>001440</stp>
        <stp>차입금</stp>
        <stp>45107</stp>
        <stp>Cons=연결</stp>
        <tr r="W33" s="1"/>
      </tp>
      <tp>
        <v>70432239</v>
        <stp/>
        <stp>P</stp>
        <stp>0</stp>
        <stp>STK</stp>
        <stp>000990</stp>
        <stp>차입금</stp>
        <stp>45107</stp>
        <stp>Cons=연결</stp>
        <tr r="Y33" s="1"/>
      </tp>
      <tp>
        <v>3591116000</v>
        <stp/>
        <stp>P</stp>
        <stp>0</stp>
        <stp>STK</stp>
        <stp>005930</stp>
        <stp>차입금</stp>
        <stp>45107</stp>
        <stp>Cons=연결</stp>
        <tr r="M33" s="1"/>
      </tp>
      <tp>
        <v>5932895548</v>
        <stp/>
        <stp>P</stp>
        <stp>0</stp>
        <stp>STK</stp>
        <stp>006400</stp>
        <stp>차입금</stp>
        <stp>45107</stp>
        <stp>Cons=연결</stp>
        <tr r="O33" s="1"/>
      </tp>
      <tp>
        <v>1231119582</v>
        <stp/>
        <stp>P</stp>
        <stp>0</stp>
        <stp>STK</stp>
        <stp>009150</stp>
        <stp>차입금</stp>
        <stp>45107</stp>
        <stp>Cons=연결</stp>
        <tr r="Q33" s="1"/>
      </tp>
      <tp>
        <v>123372787</v>
        <stp/>
        <stp>P</stp>
        <stp>0</stp>
        <stp>STK</stp>
        <stp>009450</stp>
        <stp>차입금</stp>
        <stp>45107</stp>
        <stp>Cons=연결</stp>
        <tr r="Z33" s="1"/>
      </tp>
      <tp>
        <v>50752317</v>
        <stp/>
        <stp>P</stp>
        <stp>0</stp>
        <stp>STK</stp>
        <stp>010120</stp>
        <stp>당기법인세부채</stp>
        <stp>45107</stp>
        <stp>Cons=연결</stp>
        <tr r="T37" s="1"/>
      </tp>
      <tp>
        <v>2785376</v>
        <stp/>
        <stp>P</stp>
        <stp>0</stp>
        <stp>STK</stp>
        <stp>011070</stp>
        <stp>당기법인세부채</stp>
        <stp>45107</stp>
        <stp>Cons=연결</stp>
        <tr r="S37" s="1"/>
      </tp>
      <tp>
        <v>54267888</v>
        <stp/>
        <stp>P</stp>
        <stp>0</stp>
        <stp>STK</stp>
        <stp>021320</stp>
        <stp>기타자산</stp>
        <stp>45107</stp>
        <stp>Cons=개별</stp>
        <tr r="N13" s="1"/>
      </tp>
      <tp t="s">
        <v/>
        <stp/>
        <stp>P</stp>
        <stp>0</stp>
        <stp>STK</stp>
        <stp>011070</stp>
        <stp>이연법인세부채</stp>
        <stp>45107</stp>
        <stp>Cons=연결</stp>
        <tr r="S40" s="1"/>
      </tp>
      <tp t="s">
        <v/>
        <stp/>
        <stp>P</stp>
        <stp>0</stp>
        <stp>STK</stp>
        <stp>010120</stp>
        <stp>이연법인세부채</stp>
        <stp>45107</stp>
        <stp>Cons=연결</stp>
        <tr r="T40" s="1"/>
      </tp>
      <tp>
        <v>149027904</v>
        <stp/>
        <stp>P</stp>
        <stp>0</stp>
        <stp>STK</stp>
        <stp>021320</stp>
        <stp>금융자산</stp>
        <stp>45107</stp>
        <stp>Cons=개별</stp>
        <tr r="N10" s="1"/>
      </tp>
      <tp>
        <v>99644575</v>
        <stp/>
        <stp>P</stp>
        <stp>0</stp>
        <stp>STK</stp>
        <stp>001820</stp>
        <stp>유형자산</stp>
        <stp>45107</stp>
        <stp>Cons=연결</stp>
        <tr r="X14" s="1"/>
      </tp>
      <tp>
        <v>4709313655</v>
        <stp/>
        <stp>P</stp>
        <stp>0</stp>
        <stp>STK</stp>
        <stp>011070</stp>
        <stp>유형자산</stp>
        <stp>45107</stp>
        <stp>Cons=연결</stp>
        <tr r="S14" s="1"/>
      </tp>
      <tp>
        <v>398778815</v>
        <stp/>
        <stp>P</stp>
        <stp>0</stp>
        <stp>STK</stp>
        <stp>001440</stp>
        <stp>유형자산</stp>
        <stp>45107</stp>
        <stp>Cons=연결</stp>
        <tr r="W14" s="1"/>
      </tp>
      <tp>
        <v>37056129</v>
        <stp/>
        <stp>P</stp>
        <stp>0</stp>
        <stp>STK</stp>
        <stp>000990</stp>
        <stp>당기법인세부채</stp>
        <stp>45107</stp>
        <stp>Cons=연결</stp>
        <tr r="Y37" s="1"/>
      </tp>
      <tp>
        <v>1084212</v>
        <stp/>
        <stp>P</stp>
        <stp>0</stp>
        <stp>STK</stp>
        <stp>001440</stp>
        <stp>당기법인세부채</stp>
        <stp>45107</stp>
        <stp>Cons=연결</stp>
        <tr r="W37" s="1"/>
      </tp>
      <tp>
        <v>4463646</v>
        <stp/>
        <stp>P</stp>
        <stp>0</stp>
        <stp>STK</stp>
        <stp>001820</stp>
        <stp>당기법인세부채</stp>
        <stp>45107</stp>
        <stp>Cons=연결</stp>
        <tr r="X37" s="1"/>
      </tp>
      <tp>
        <v>114756428</v>
        <stp/>
        <stp>P</stp>
        <stp>0</stp>
        <stp>STK</stp>
        <stp>006400</stp>
        <stp>당기법인세부채</stp>
        <stp>45107</stp>
        <stp>Cons=연결</stp>
        <tr r="O37" s="1"/>
      </tp>
      <tp>
        <v>2601584000</v>
        <stp/>
        <stp>P</stp>
        <stp>0</stp>
        <stp>STK</stp>
        <stp>005930</stp>
        <stp>당기법인세부채</stp>
        <stp>45107</stp>
        <stp>Cons=연결</stp>
        <tr r="M37" s="1"/>
      </tp>
      <tp>
        <v>18256695</v>
        <stp/>
        <stp>P</stp>
        <stp>0</stp>
        <stp>STK</stp>
        <stp>009450</stp>
        <stp>당기법인세부채</stp>
        <stp>45107</stp>
        <stp>Cons=연결</stp>
        <tr r="Z37" s="1"/>
      </tp>
      <tp>
        <v>38851004</v>
        <stp/>
        <stp>P</stp>
        <stp>0</stp>
        <stp>STK</stp>
        <stp>009150</stp>
        <stp>당기법인세부채</stp>
        <stp>45107</stp>
        <stp>Cons=연결</stp>
        <tr r="Q37" s="1"/>
      </tp>
      <tp>
        <v>1973576076</v>
        <stp/>
        <stp>P</stp>
        <stp>0</stp>
        <stp>STK</stp>
        <stp>006400</stp>
        <stp>이연법인세부채</stp>
        <stp>45107</stp>
        <stp>Cons=연결</stp>
        <tr r="O40" s="1"/>
      </tp>
      <tp>
        <v>3485352000</v>
        <stp/>
        <stp>P</stp>
        <stp>0</stp>
        <stp>STK</stp>
        <stp>005930</stp>
        <stp>이연법인세부채</stp>
        <stp>45107</stp>
        <stp>Cons=연결</stp>
        <tr r="M40" s="1"/>
      </tp>
      <tp>
        <v>947215</v>
        <stp/>
        <stp>P</stp>
        <stp>0</stp>
        <stp>STK</stp>
        <stp>001440</stp>
        <stp>이연법인세부채</stp>
        <stp>45107</stp>
        <stp>Cons=연결</stp>
        <tr r="W40" s="1"/>
      </tp>
      <tp>
        <v>4272578</v>
        <stp/>
        <stp>P</stp>
        <stp>0</stp>
        <stp>STK</stp>
        <stp>001820</stp>
        <stp>이연법인세부채</stp>
        <stp>45107</stp>
        <stp>Cons=연결</stp>
        <tr r="X40" s="1"/>
      </tp>
      <tp t="s">
        <v/>
        <stp/>
        <stp>P</stp>
        <stp>0</stp>
        <stp>STK</stp>
        <stp>000990</stp>
        <stp>이연법인세부채</stp>
        <stp>45107</stp>
        <stp>Cons=연결</stp>
        <tr r="Y40" s="1"/>
      </tp>
      <tp>
        <v>1132904</v>
        <stp/>
        <stp>P</stp>
        <stp>0</stp>
        <stp>STK</stp>
        <stp>009150</stp>
        <stp>이연법인세부채</stp>
        <stp>45107</stp>
        <stp>Cons=연결</stp>
        <tr r="Q40" s="1"/>
      </tp>
      <tp>
        <v>643852</v>
        <stp/>
        <stp>P</stp>
        <stp>0</stp>
        <stp>STK</stp>
        <stp>009450</stp>
        <stp>이연법인세부채</stp>
        <stp>45107</stp>
        <stp>Cons=연결</stp>
        <tr r="Z40" s="1"/>
      </tp>
      <tp>
        <v>809297615</v>
        <stp/>
        <stp>P</stp>
        <stp>0</stp>
        <stp>STK</stp>
        <stp>000990</stp>
        <stp>유형자산</stp>
        <stp>45107</stp>
        <stp>Cons=연결</stp>
        <tr r="Y14" s="1"/>
      </tp>
      <tp>
        <v>961992804</v>
        <stp/>
        <stp>P</stp>
        <stp>0</stp>
        <stp>STK</stp>
        <stp>020150</stp>
        <stp>유형자산</stp>
        <stp>45107</stp>
        <stp>Cons=연결</stp>
        <tr r="U14" s="1"/>
      </tp>
      <tp>
        <v>647219124</v>
        <stp/>
        <stp>P</stp>
        <stp>0</stp>
        <stp>STK</stp>
        <stp>010120</stp>
        <stp>유형자산</stp>
        <stp>45107</stp>
        <stp>Cons=연결</stp>
        <tr r="T14" s="1"/>
      </tp>
      <tp>
        <v>162885000</v>
        <stp/>
        <stp>P</stp>
        <stp>0</stp>
        <stp>STK</stp>
        <stp>034220</stp>
        <stp>당기법인세부채</stp>
        <stp>45107</stp>
        <stp>Cons=연결</stp>
        <tr r="R37" s="1"/>
      </tp>
      <tp>
        <v>3295000</v>
        <stp/>
        <stp>P</stp>
        <stp>0</stp>
        <stp>STK</stp>
        <stp>034220</stp>
        <stp>이연법인세부채</stp>
        <stp>45107</stp>
        <stp>Cons=연결</stp>
        <tr r="R40" s="1"/>
      </tp>
      <tp>
        <v>1307642</v>
        <stp/>
        <stp>P</stp>
        <stp>0</stp>
        <stp>STK</stp>
        <stp>020150</stp>
        <stp>당기법인세부채</stp>
        <stp>45107</stp>
        <stp>Cons=연결</stp>
        <tr r="U37" s="1"/>
      </tp>
      <tp>
        <v>11158119</v>
        <stp/>
        <stp>P</stp>
        <stp>0</stp>
        <stp>STK</stp>
        <stp>020150</stp>
        <stp>이연법인세부채</stp>
        <stp>45107</stp>
        <stp>Cons=연결</stp>
        <tr r="U40" s="1"/>
      </tp>
      <tp t="s">
        <v/>
        <stp/>
        <stp>P</stp>
        <stp>0</stp>
        <stp>STK</stp>
        <stp>021320</stp>
        <stp>기타금융업자산</stp>
        <stp>45107</stp>
        <stp>Cons=개별</stp>
        <tr r="N21" s="1"/>
      </tp>
      <tp>
        <v>82598162</v>
        <stp/>
        <stp>P</stp>
        <stp>0</stp>
        <stp>STK</stp>
        <stp>192400</stp>
        <stp>유형자산</stp>
        <stp>45107</stp>
        <stp>Cons=연결</stp>
        <tr r="V14" s="1"/>
      </tp>
      <tp>
        <v>10395000</v>
        <stp/>
        <stp>P</stp>
        <stp>0</stp>
        <stp>STK</stp>
        <stp>001820</stp>
        <stp>상장자본금</stp>
        <stp>45107</stp>
        <stp>Cons=연결</stp>
        <tr r="X23" s="1"/>
      </tp>
      <tp>
        <v>177869942000</v>
        <stp/>
        <stp>P</stp>
        <stp>0</stp>
        <stp>STK</stp>
        <stp>005930</stp>
        <stp>유형자산</stp>
        <stp>45107</stp>
        <stp>Cons=연결</stp>
        <tr r="M14" s="1"/>
      </tp>
      <tp>
        <v>222555835</v>
        <stp/>
        <stp>P</stp>
        <stp>0</stp>
        <stp>STK</stp>
        <stp>000990</stp>
        <stp>상장자본금</stp>
        <stp>45107</stp>
        <stp>Cons=연결</stp>
        <tr r="Y23" s="1"/>
      </tp>
      <tp>
        <v>897514000</v>
        <stp/>
        <stp>P</stp>
        <stp>0</stp>
        <stp>STK</stp>
        <stp>005930</stp>
        <stp>상장자본금</stp>
        <stp>45107</stp>
        <stp>Cons=연결</stp>
        <tr r="M23" s="1"/>
      </tp>
      <tp>
        <v>20836641000</v>
        <stp/>
        <stp>P</stp>
        <stp>0</stp>
        <stp>STK</stp>
        <stp>034220</stp>
        <stp>유형자산</stp>
        <stp>45107</stp>
        <stp>Cons=연결</stp>
        <tr r="R14" s="1"/>
      </tp>
      <tp>
        <v>550230569</v>
        <stp/>
        <stp>P</stp>
        <stp>0</stp>
        <stp>STK</stp>
        <stp>267260</stp>
        <stp>유형자산</stp>
        <stp>45107</stp>
        <stp>Cons=연결</stp>
        <tr r="AA14" s="1"/>
      </tp>
      <tp>
        <v>239918000</v>
        <stp/>
        <stp>P</stp>
        <stp>0</stp>
        <stp>STK</stp>
        <stp>066570</stp>
        <stp>당기법인세부채</stp>
        <stp>45107</stp>
        <stp>Cons=연결</stp>
        <tr r="P37" s="1"/>
      </tp>
      <tp>
        <v>1030035</v>
        <stp/>
        <stp>P</stp>
        <stp>0</stp>
        <stp>STK</stp>
        <stp>267260</stp>
        <stp>당기법인세부채</stp>
        <stp>45107</stp>
        <stp>Cons=연결</stp>
        <tr r="AA37" s="1"/>
      </tp>
      <tp t="s">
        <v/>
        <stp/>
        <stp>P</stp>
        <stp>0</stp>
        <stp>STK</stp>
        <stp>267260</stp>
        <stp>이연법인세부채</stp>
        <stp>45107</stp>
        <stp>Cons=연결</stp>
        <tr r="AA40" s="1"/>
      </tp>
      <tp>
        <v>34085000</v>
        <stp/>
        <stp>P</stp>
        <stp>0</stp>
        <stp>STK</stp>
        <stp>066570</stp>
        <stp>이연법인세부채</stp>
        <stp>45107</stp>
        <stp>Cons=연결</stp>
        <tr r="P40" s="1"/>
      </tp>
      <tp>
        <v>10226704560</v>
        <stp/>
        <stp>P</stp>
        <stp>0</stp>
        <stp>STK</stp>
        <stp>006400</stp>
        <stp>유형자산</stp>
        <stp>45107</stp>
        <stp>Cons=연결</stp>
        <tr r="O14" s="1"/>
      </tp>
      <tp>
        <v>16515890000</v>
        <stp/>
        <stp>P</stp>
        <stp>0</stp>
        <stp>STK</stp>
        <stp>066570</stp>
        <stp>유형자산</stp>
        <stp>45107</stp>
        <stp>Cons=연결</stp>
        <tr r="P14" s="1"/>
      </tp>
      <tp>
        <v>20622000</v>
        <stp/>
        <stp>P</stp>
        <stp>0</stp>
        <stp>STK</stp>
        <stp>192400</stp>
        <stp>당기법인세부채</stp>
        <stp>45107</stp>
        <stp>Cons=연결</stp>
        <tr r="V37" s="1"/>
      </tp>
      <tp>
        <v>43238239</v>
        <stp/>
        <stp>P</stp>
        <stp>0</stp>
        <stp>STK</stp>
        <stp>192400</stp>
        <stp>이연법인세부채</stp>
        <stp>45107</stp>
        <stp>Cons=연결</stp>
        <tr r="V40" s="1"/>
      </tp>
      <tp>
        <v>14568592</v>
        <stp/>
        <stp>P</stp>
        <stp>0</stp>
        <stp>STK</stp>
        <stp>009450</stp>
        <stp>상장자본금</stp>
        <stp>45107</stp>
        <stp>Cons=연결</stp>
        <tr r="Z23" s="1"/>
      </tp>
      <tp>
        <v>124447300</v>
        <stp/>
        <stp>P</stp>
        <stp>0</stp>
        <stp>STK</stp>
        <stp>001440</stp>
        <stp>상장자본금</stp>
        <stp>45107</stp>
        <stp>Cons=연결</stp>
        <tr r="W23" s="1"/>
      </tp>
      <tp>
        <v>3556218</v>
        <stp/>
        <stp>P</stp>
        <stp>0</stp>
        <stp>STK</stp>
        <stp>192400</stp>
        <stp>상장자본금</stp>
        <stp>45107</stp>
        <stp>Cons=연결</stp>
        <tr r="V23" s="1"/>
      </tp>
      <tp>
        <v>356712130</v>
        <stp/>
        <stp>P</stp>
        <stp>0</stp>
        <stp>STK</stp>
        <stp>006400</stp>
        <stp>상장자본금</stp>
        <stp>45107</stp>
        <stp>Cons=연결</stp>
        <tr r="O23" s="1"/>
      </tp>
      <tp>
        <v>5404151882</v>
        <stp/>
        <stp>P</stp>
        <stp>0</stp>
        <stp>STK</stp>
        <stp>009150</stp>
        <stp>유형자산</stp>
        <stp>45107</stp>
        <stp>Cons=연결</stp>
        <tr r="Q14" s="1"/>
      </tp>
      <tp>
        <v>374323611</v>
        <stp/>
        <stp>P</stp>
        <stp>0</stp>
        <stp>STK</stp>
        <stp>009450</stp>
        <stp>유형자산</stp>
        <stp>45107</stp>
        <stp>Cons=연결</stp>
        <tr r="Z14" s="1"/>
      </tp>
      <tp>
        <v>904169000</v>
        <stp/>
        <stp>P</stp>
        <stp>0</stp>
        <stp>STK</stp>
        <stp>066570</stp>
        <stp>상장자본금</stp>
        <stp>45107</stp>
        <stp>Cons=연결</stp>
        <tr r="P23" s="1"/>
      </tp>
      <tp>
        <v>118335535</v>
        <stp/>
        <stp>P</stp>
        <stp>0</stp>
        <stp>STK</stp>
        <stp>011070</stp>
        <stp>상장자본금</stp>
        <stp>45107</stp>
        <stp>Cons=연결</stp>
        <tr r="S23" s="1"/>
      </tp>
      <tp>
        <v>388003400</v>
        <stp/>
        <stp>P</stp>
        <stp>0</stp>
        <stp>STK</stp>
        <stp>009150</stp>
        <stp>상장자본금</stp>
        <stp>45107</stp>
        <stp>Cons=연결</stp>
        <tr r="Q23" s="1"/>
      </tp>
      <tp>
        <v>23055418</v>
        <stp/>
        <stp>P</stp>
        <stp>0</stp>
        <stp>STK</stp>
        <stp>020150</stp>
        <stp>상장자본금</stp>
        <stp>45107</stp>
        <stp>Cons=연결</stp>
        <tr r="U23" s="1"/>
      </tp>
      <tp>
        <v>150000000</v>
        <stp/>
        <stp>P</stp>
        <stp>0</stp>
        <stp>STK</stp>
        <stp>010120</stp>
        <stp>상장자본금</stp>
        <stp>45107</stp>
        <stp>Cons=연결</stp>
        <tr r="T23" s="1"/>
      </tp>
      <tp>
        <v>180235675</v>
        <stp/>
        <stp>P</stp>
        <stp>0</stp>
        <stp>STK</stp>
        <stp>267260</stp>
        <stp>상장자본금</stp>
        <stp>45107</stp>
        <stp>Cons=연결</stp>
        <tr r="AA23" s="1"/>
      </tp>
      <tp>
        <v>1789079000</v>
        <stp/>
        <stp>P</stp>
        <stp>0</stp>
        <stp>STK</stp>
        <stp>034220</stp>
        <stp>상장자본금</stp>
        <stp>45107</stp>
        <stp>Cons=연결</stp>
        <tr r="R23" s="1"/>
      </tp>
      <tp t="s">
        <v/>
        <stp/>
        <stp>P</stp>
        <stp>0</stp>
        <stp>STK</stp>
        <stp>000990</stp>
        <stp>파생상품부채</stp>
        <stp>45107</stp>
        <stp>Cons=연결</stp>
        <tr r="Y32" s="1"/>
      </tp>
      <tp>
        <v>114153681</v>
        <stp/>
        <stp>P</stp>
        <stp>0</stp>
        <stp>STK</stp>
        <stp>021320</stp>
        <stp>투자부동산</stp>
        <stp>45107</stp>
        <stp>Cons=개별</stp>
        <tr r="N15" s="1"/>
      </tp>
      <tp t="s">
        <v/>
        <stp/>
        <stp>P</stp>
        <stp>0</stp>
        <stp>STK</stp>
        <stp>006400</stp>
        <stp>파생상품부채</stp>
        <stp>45107</stp>
        <stp>Cons=연결</stp>
        <tr r="O32" s="1"/>
      </tp>
      <tp t="s">
        <v/>
        <stp/>
        <stp>P</stp>
        <stp>0</stp>
        <stp>STK</stp>
        <stp>192400</stp>
        <stp>파생상품부채</stp>
        <stp>45107</stp>
        <stp>Cons=연결</stp>
        <tr r="V32" s="1"/>
      </tp>
      <tp>
        <v>54680000</v>
        <stp/>
        <stp>P</stp>
        <stp>0</stp>
        <stp>STK</stp>
        <stp>034220</stp>
        <stp>파생상품부채</stp>
        <stp>45107</stp>
        <stp>Cons=연결</stp>
        <tr r="R32" s="1"/>
      </tp>
      <tp t="s">
        <v/>
        <stp/>
        <stp>P</stp>
        <stp>0</stp>
        <stp>STK</stp>
        <stp>001820</stp>
        <stp>파생상품부채</stp>
        <stp>45107</stp>
        <stp>Cons=연결</stp>
        <tr r="X32" s="1"/>
      </tp>
      <tp>
        <v>17279398</v>
        <stp/>
        <stp>P</stp>
        <stp>0</stp>
        <stp>STK</stp>
        <stp>010120</stp>
        <stp>파생상품부채</stp>
        <stp>45107</stp>
        <stp>Cons=연결</stp>
        <tr r="T32" s="1"/>
      </tp>
      <tp t="s">
        <v/>
        <stp/>
        <stp>P</stp>
        <stp>0</stp>
        <stp>STK</stp>
        <stp>005930</stp>
        <stp>파생상품부채</stp>
        <stp>45107</stp>
        <stp>Cons=연결</stp>
        <tr r="M32" s="1"/>
      </tp>
      <tp>
        <v>6291746</v>
        <stp/>
        <stp>P</stp>
        <stp>0</stp>
        <stp>STK</stp>
        <stp>267260</stp>
        <stp>파생상품부채</stp>
        <stp>45107</stp>
        <stp>Cons=연결</stp>
        <tr r="AA32" s="1"/>
      </tp>
      <tp>
        <v>9803995</v>
        <stp/>
        <stp>P</stp>
        <stp>0</stp>
        <stp>STK</stp>
        <stp>001440</stp>
        <stp>파생상품부채</stp>
        <stp>45107</stp>
        <stp>Cons=연결</stp>
        <tr r="W32" s="1"/>
      </tp>
      <tp t="s">
        <v/>
        <stp/>
        <stp>P</stp>
        <stp>0</stp>
        <stp>STK</stp>
        <stp>020150</stp>
        <stp>파생상품부채</stp>
        <stp>45107</stp>
        <stp>Cons=연결</stp>
        <tr r="U32" s="1"/>
      </tp>
      <tp t="s">
        <v/>
        <stp/>
        <stp>P</stp>
        <stp>0</stp>
        <stp>STK</stp>
        <stp>009150</stp>
        <stp>파생상품부채</stp>
        <stp>45107</stp>
        <stp>Cons=연결</stp>
        <tr r="Q32" s="1"/>
      </tp>
      <tp>
        <v>168400</v>
        <stp/>
        <stp>P</stp>
        <stp>0</stp>
        <stp>STK</stp>
        <stp>009450</stp>
        <stp>파생상품부채</stp>
        <stp>45107</stp>
        <stp>Cons=연결</stp>
        <tr r="Z32" s="1"/>
      </tp>
      <tp>
        <v>26337000</v>
        <stp/>
        <stp>P</stp>
        <stp>0</stp>
        <stp>STK</stp>
        <stp>066570</stp>
        <stp>파생상품부채</stp>
        <stp>45107</stp>
        <stp>Cons=연결</stp>
        <tr r="P32" s="1"/>
      </tp>
      <tp t="s">
        <v/>
        <stp/>
        <stp>P</stp>
        <stp>0</stp>
        <stp>STK</stp>
        <stp>011070</stp>
        <stp>파생상품부채</stp>
        <stp>45107</stp>
        <stp>Cons=연결</stp>
        <tr r="S32" s="1"/>
      </tp>
      <tp>
        <v>50000000</v>
        <stp/>
        <stp>P</stp>
        <stp>0</stp>
        <stp>STK</stp>
        <stp>020150</stp>
        <stp>사채</stp>
        <stp>45107</stp>
        <stp>Cons=연결</stp>
        <tr r="U34" s="1"/>
      </tp>
      <tp>
        <v>455570178</v>
        <stp/>
        <stp>P</stp>
        <stp>0</stp>
        <stp>STK</stp>
        <stp>020150</stp>
        <stp>부채</stp>
        <stp>45107</stp>
        <stp>Cons=연결</stp>
        <tr r="U29" s="1"/>
      </tp>
      <tp t="s">
        <v/>
        <stp/>
        <stp>P</stp>
        <stp>0</stp>
        <stp>STK</stp>
        <stp>009150</stp>
        <stp>사채</stp>
        <stp>45107</stp>
        <stp>Cons=연결</stp>
        <tr r="Q34" s="1"/>
      </tp>
      <tp t="s">
        <v/>
        <stp/>
        <stp>P</stp>
        <stp>0</stp>
        <stp>STK</stp>
        <stp>009450</stp>
        <stp>사채</stp>
        <stp>45107</stp>
        <stp>Cons=연결</stp>
        <tr r="Z34" s="1"/>
      </tp>
      <tp>
        <v>497585337</v>
        <stp/>
        <stp>P</stp>
        <stp>0</stp>
        <stp>STK</stp>
        <stp>009450</stp>
        <stp>부채</stp>
        <stp>45107</stp>
        <stp>Cons=연결</stp>
        <tr r="Z29" s="1"/>
      </tp>
      <tp>
        <v>3379808836</v>
        <stp/>
        <stp>P</stp>
        <stp>0</stp>
        <stp>STK</stp>
        <stp>009150</stp>
        <stp>부채</stp>
        <stp>45107</stp>
        <stp>Cons=연결</stp>
        <tr r="Q29" s="1"/>
      </tp>
      <tp>
        <v>-128484107</v>
        <stp/>
        <stp>P</stp>
        <stp>0</stp>
        <stp>STK</stp>
        <stp>000990</stp>
        <stp>기타자본</stp>
        <stp>45107</stp>
        <stp>Cons=연결</stp>
        <tr r="Y26" s="1"/>
      </tp>
      <tp>
        <v>-23227170</v>
        <stp/>
        <stp>P</stp>
        <stp>0</stp>
        <stp>STK</stp>
        <stp>010120</stp>
        <stp>기타자본</stp>
        <stp>45107</stp>
        <stp>Cons=연결</stp>
        <tr r="T26" s="1"/>
      </tp>
      <tp t="s">
        <v/>
        <stp/>
        <stp>P</stp>
        <stp>0</stp>
        <stp>STK</stp>
        <stp>020150</stp>
        <stp>기타자본</stp>
        <stp>45107</stp>
        <stp>Cons=연결</stp>
        <tr r="U26" s="1"/>
      </tp>
      <tp t="s">
        <v/>
        <stp/>
        <stp>P</stp>
        <stp>0</stp>
        <stp>STK</stp>
        <stp>001440</stp>
        <stp>사채</stp>
        <stp>45107</stp>
        <stp>Cons=연결</stp>
        <tr r="W34" s="1"/>
      </tp>
      <tp>
        <v>836881931</v>
        <stp/>
        <stp>P</stp>
        <stp>0</stp>
        <stp>STK</stp>
        <stp>001440</stp>
        <stp>부채</stp>
        <stp>45107</stp>
        <stp>Cons=연결</stp>
        <tr r="W29" s="1"/>
      </tp>
      <tp>
        <v>215999559</v>
        <stp/>
        <stp>P</stp>
        <stp>0</stp>
        <stp>STK</stp>
        <stp>267260</stp>
        <stp>사채</stp>
        <stp>45107</stp>
        <stp>Cons=연결</stp>
        <tr r="AA34" s="1"/>
      </tp>
      <tp>
        <v>2037589084</v>
        <stp/>
        <stp>P</stp>
        <stp>0</stp>
        <stp>STK</stp>
        <stp>267260</stp>
        <stp>부채</stp>
        <stp>45107</stp>
        <stp>Cons=연결</stp>
        <tr r="AA29" s="1"/>
      </tp>
      <tp>
        <v>1092932</v>
        <stp/>
        <stp>P</stp>
        <stp>0</stp>
        <stp>STK</stp>
        <stp>000990</stp>
        <stp>기타충당부채</stp>
        <stp>45107</stp>
        <stp>Cons=연결</stp>
        <tr r="Y36" s="1"/>
      </tp>
      <tp t="s">
        <v/>
        <stp/>
        <stp>P</stp>
        <stp>0</stp>
        <stp>STK</stp>
        <stp>021320</stp>
        <stp>대출채권</stp>
        <stp>45107</stp>
        <stp>Cons=개별</stp>
        <tr r="N12" s="1"/>
      </tp>
      <tp>
        <v>-1384656</v>
        <stp/>
        <stp>P</stp>
        <stp>0</stp>
        <stp>STK</stp>
        <stp>001820</stp>
        <stp>기타자본</stp>
        <stp>45107</stp>
        <stp>Cons=연결</stp>
        <tr r="X26" s="1"/>
      </tp>
      <tp>
        <v>-168439000</v>
        <stp/>
        <stp>P</stp>
        <stp>0</stp>
        <stp>STK</stp>
        <stp>001440</stp>
        <stp>기타자본</stp>
        <stp>45107</stp>
        <stp>Cons=연결</stp>
        <tr r="W26" s="1"/>
      </tp>
      <tp>
        <v>-321000</v>
        <stp/>
        <stp>P</stp>
        <stp>0</stp>
        <stp>STK</stp>
        <stp>011070</stp>
        <stp>기타자본</stp>
        <stp>45107</stp>
        <stp>Cons=연결</stp>
        <tr r="S26" s="1"/>
      </tp>
      <tp>
        <v>5001974693</v>
        <stp/>
        <stp>P</stp>
        <stp>0</stp>
        <stp>STK</stp>
        <stp>006400</stp>
        <stp>자본잉여금</stp>
        <stp>45107</stp>
        <stp>Cons=연결</stp>
        <tr r="O25" s="1"/>
      </tp>
      <tp>
        <v>223921571</v>
        <stp/>
        <stp>P</stp>
        <stp>0</stp>
        <stp>STK</stp>
        <stp>192400</stp>
        <stp>자본잉여금</stp>
        <stp>45107</stp>
        <stp>Cons=연결</stp>
        <tr r="V25" s="1"/>
      </tp>
      <tp>
        <v>755461138</v>
        <stp/>
        <stp>P</stp>
        <stp>0</stp>
        <stp>STK</stp>
        <stp>001440</stp>
        <stp>자본잉여금</stp>
        <stp>45107</stp>
        <stp>Cons=연결</stp>
        <tr r="W25" s="1"/>
      </tp>
      <tp>
        <v>130548259</v>
        <stp/>
        <stp>P</stp>
        <stp>0</stp>
        <stp>STK</stp>
        <stp>009450</stp>
        <stp>자본잉여금</stp>
        <stp>45107</stp>
        <stp>Cons=연결</stp>
        <tr r="Z25" s="1"/>
      </tp>
      <tp>
        <v>100681000</v>
        <stp/>
        <stp>P</stp>
        <stp>0</stp>
        <stp>STK</stp>
        <stp>066570</stp>
        <stp>종업원급여충당부채</stp>
        <stp>45107</stp>
        <stp>Cons=연결</stp>
        <tr r="P38" s="1"/>
      </tp>
      <tp>
        <v>693231000</v>
        <stp/>
        <stp>P</stp>
        <stp>0</stp>
        <stp>STK</stp>
        <stp>011070</stp>
        <stp>사채</stp>
        <stp>45107</stp>
        <stp>Cons=연결</stp>
        <tr r="S34" s="1"/>
      </tp>
      <tp>
        <v>5195737948</v>
        <stp/>
        <stp>P</stp>
        <stp>0</stp>
        <stp>STK</stp>
        <stp>011070</stp>
        <stp>부채</stp>
        <stp>45107</stp>
        <stp>Cons=연결</stp>
        <tr r="S29" s="1"/>
      </tp>
      <tp>
        <v>4908554000</v>
        <stp/>
        <stp>P</stp>
        <stp>0</stp>
        <stp>STK</stp>
        <stp>066570</stp>
        <stp>사채</stp>
        <stp>45107</stp>
        <stp>Cons=연결</stp>
        <tr r="P34" s="1"/>
      </tp>
      <tp>
        <v>34608857000</v>
        <stp/>
        <stp>P</stp>
        <stp>0</stp>
        <stp>STK</stp>
        <stp>066570</stp>
        <stp>부채</stp>
        <stp>45107</stp>
        <stp>Cons=연결</stp>
        <tr r="P29" s="1"/>
      </tp>
      <tp>
        <v>-675432449</v>
        <stp/>
        <stp>P</stp>
        <stp>0</stp>
        <stp>STK</stp>
        <stp>192400</stp>
        <stp>기타자본</stp>
        <stp>45107</stp>
        <stp>Cons=연결</stp>
        <tr r="V26" s="1"/>
      </tp>
      <tp>
        <v>3050685000</v>
        <stp/>
        <stp>P</stp>
        <stp>0</stp>
        <stp>STK</stp>
        <stp>066570</stp>
        <stp>자본잉여금</stp>
        <stp>45107</stp>
        <stp>Cons=연결</stp>
        <tr r="P25" s="1"/>
      </tp>
      <tp>
        <v>7077134</v>
        <stp/>
        <stp>P</stp>
        <stp>0</stp>
        <stp>STK</stp>
        <stp>009450</stp>
        <stp>종업원급여충당부채</stp>
        <stp>45107</stp>
        <stp>Cons=연결</stp>
        <tr r="Z38" s="1"/>
      </tp>
      <tp>
        <v>29724283</v>
        <stp/>
        <stp>P</stp>
        <stp>0</stp>
        <stp>STK</stp>
        <stp>001440</stp>
        <stp>종업원급여충당부채</stp>
        <stp>45107</stp>
        <stp>Cons=연결</stp>
        <tr r="W38" s="1"/>
      </tp>
      <tp t="s">
        <v/>
        <stp/>
        <stp>P</stp>
        <stp>0</stp>
        <stp>STK</stp>
        <stp>192400</stp>
        <stp>종업원급여충당부채</stp>
        <stp>45107</stp>
        <stp>Cons=연결</stp>
        <tr r="V38" s="1"/>
      </tp>
      <tp>
        <v>45159911</v>
        <stp/>
        <stp>P</stp>
        <stp>0</stp>
        <stp>STK</stp>
        <stp>006400</stp>
        <stp>종업원급여충당부채</stp>
        <stp>45107</stp>
        <stp>Cons=연결</stp>
        <tr r="O38" s="1"/>
      </tp>
      <tp>
        <v>2251113000</v>
        <stp/>
        <stp>P</stp>
        <stp>0</stp>
        <stp>STK</stp>
        <stp>034220</stp>
        <stp>자본잉여금</stp>
        <stp>45107</stp>
        <stp>Cons=연결</stp>
        <tr r="R25" s="1"/>
      </tp>
      <tp>
        <v>401832639</v>
        <stp/>
        <stp>P</stp>
        <stp>0</stp>
        <stp>STK</stp>
        <stp>267260</stp>
        <stp>자본잉여금</stp>
        <stp>45107</stp>
        <stp>Cons=연결</stp>
        <tr r="AA25" s="1"/>
      </tp>
      <tp t="s">
        <v/>
        <stp/>
        <stp>P</stp>
        <stp>0</stp>
        <stp>STK</stp>
        <stp>192400</stp>
        <stp>사채</stp>
        <stp>45107</stp>
        <stp>Cons=연결</stp>
        <tr r="V34" s="1"/>
      </tp>
      <tp>
        <v>151521574</v>
        <stp/>
        <stp>P</stp>
        <stp>0</stp>
        <stp>STK</stp>
        <stp>192400</stp>
        <stp>부채</stp>
        <stp>45107</stp>
        <stp>Cons=연결</stp>
        <tr r="V29" s="1"/>
      </tp>
      <tp t="s">
        <v/>
        <stp/>
        <stp>P</stp>
        <stp>0</stp>
        <stp>STK</stp>
        <stp>034220</stp>
        <stp>기타자본</stp>
        <stp>45107</stp>
        <stp>Cons=연결</stp>
        <tr r="R26" s="1"/>
      </tp>
      <tp>
        <v>4915952</v>
        <stp/>
        <stp>P</stp>
        <stp>0</stp>
        <stp>STK</stp>
        <stp>267260</stp>
        <stp>종업원급여충당부채</stp>
        <stp>45107</stp>
        <stp>Cons=연결</stp>
        <tr r="AA38" s="1"/>
      </tp>
      <tp>
        <v>1562000</v>
        <stp/>
        <stp>P</stp>
        <stp>0</stp>
        <stp>STK</stp>
        <stp>034220</stp>
        <stp>종업원급여충당부채</stp>
        <stp>45107</stp>
        <stp>Cons=연결</stp>
        <tr r="R38" s="1"/>
      </tp>
      <tp t="s">
        <v/>
        <stp/>
        <stp>P</stp>
        <stp>0</stp>
        <stp>STK</stp>
        <stp>006400</stp>
        <stp>사채</stp>
        <stp>45107</stp>
        <stp>Cons=연결</stp>
        <tr r="O34" s="1"/>
      </tp>
      <tp>
        <v>14450199096</v>
        <stp/>
        <stp>P</stp>
        <stp>0</stp>
        <stp>STK</stp>
        <stp>006400</stp>
        <stp>부채</stp>
        <stp>45107</stp>
        <stp>Cons=연결</stp>
        <tr r="O29" s="1"/>
      </tp>
      <tp>
        <v>99452000</v>
        <stp/>
        <stp>P</stp>
        <stp>0</stp>
        <stp>STK</stp>
        <stp>005930</stp>
        <stp>기타자본</stp>
        <stp>45107</stp>
        <stp>Cons=연결</stp>
        <tr r="M26" s="1"/>
      </tp>
      <tp>
        <v>1133646238</v>
        <stp/>
        <stp>P</stp>
        <stp>0</stp>
        <stp>STK</stp>
        <stp>011070</stp>
        <stp>자본잉여금</stp>
        <stp>45107</stp>
        <stp>Cons=연결</stp>
        <tr r="S25" s="1"/>
      </tp>
      <tp>
        <v>31909186</v>
        <stp/>
        <stp>P</stp>
        <stp>0</stp>
        <stp>STK</stp>
        <stp>020150</stp>
        <stp>종업원급여충당부채</stp>
        <stp>45107</stp>
        <stp>Cons=연결</stp>
        <tr r="U38" s="1"/>
      </tp>
      <tp>
        <v>18826349</v>
        <stp/>
        <stp>P</stp>
        <stp>0</stp>
        <stp>STK</stp>
        <stp>009150</stp>
        <stp>종업원급여충당부채</stp>
        <stp>45107</stp>
        <stp>Cons=연결</stp>
        <tr r="Q38" s="1"/>
      </tp>
      <tp>
        <v>1571453</v>
        <stp/>
        <stp>P</stp>
        <stp>0</stp>
        <stp>STK</stp>
        <stp>010120</stp>
        <stp>종업원급여충당부채</stp>
        <stp>45107</stp>
        <stp>Cons=연결</stp>
        <tr r="T38" s="1"/>
      </tp>
      <tp>
        <v>554625000</v>
        <stp/>
        <stp>P</stp>
        <stp>0</stp>
        <stp>STK</stp>
        <stp>005930</stp>
        <stp>사채</stp>
        <stp>45107</stp>
        <stp>Cons=연결</stp>
        <tr r="M34" s="1"/>
      </tp>
      <tp>
        <v>89024926000</v>
        <stp/>
        <stp>P</stp>
        <stp>0</stp>
        <stp>STK</stp>
        <stp>005930</stp>
        <stp>부채</stp>
        <stp>45107</stp>
        <stp>Cons=연결</stp>
        <tr r="M29" s="1"/>
      </tp>
      <tp>
        <v>-345131584</v>
        <stp/>
        <stp>P</stp>
        <stp>0</stp>
        <stp>STK</stp>
        <stp>006400</stp>
        <stp>기타자본</stp>
        <stp>45107</stp>
        <stp>Cons=연결</stp>
        <tr r="O26" s="1"/>
      </tp>
      <tp>
        <v>-44893000</v>
        <stp/>
        <stp>P</stp>
        <stp>0</stp>
        <stp>STK</stp>
        <stp>066570</stp>
        <stp>기타자본</stp>
        <stp>45107</stp>
        <stp>Cons=연결</stp>
        <tr r="P26" s="1"/>
      </tp>
      <tp>
        <v>-6734446</v>
        <stp/>
        <stp>P</stp>
        <stp>0</stp>
        <stp>STK</stp>
        <stp>010120</stp>
        <stp>자본잉여금</stp>
        <stp>45107</stp>
        <stp>Cons=연결</stp>
        <tr r="T25" s="1"/>
      </tp>
      <tp>
        <v>1053516215</v>
        <stp/>
        <stp>P</stp>
        <stp>0</stp>
        <stp>STK</stp>
        <stp>009150</stp>
        <stp>자본잉여금</stp>
        <stp>45107</stp>
        <stp>Cons=연결</stp>
        <tr r="Q25" s="1"/>
      </tp>
      <tp>
        <v>1137695753</v>
        <stp/>
        <stp>P</stp>
        <stp>0</stp>
        <stp>STK</stp>
        <stp>020150</stp>
        <stp>자본잉여금</stp>
        <stp>45107</stp>
        <stp>Cons=연결</stp>
        <tr r="U25" s="1"/>
      </tp>
      <tp>
        <v>3006449</v>
        <stp/>
        <stp>P</stp>
        <stp>0</stp>
        <stp>STK</stp>
        <stp>011070</stp>
        <stp>종업원급여충당부채</stp>
        <stp>45107</stp>
        <stp>Cons=연결</stp>
        <tr r="S38" s="1"/>
      </tp>
      <tp>
        <v>1413328000</v>
        <stp/>
        <stp>P</stp>
        <stp>0</stp>
        <stp>STK</stp>
        <stp>034220</stp>
        <stp>사채</stp>
        <stp>45107</stp>
        <stp>Cons=연결</stp>
        <tr r="R34" s="1"/>
      </tp>
      <tp>
        <v>27861075000</v>
        <stp/>
        <stp>P</stp>
        <stp>0</stp>
        <stp>STK</stp>
        <stp>034220</stp>
        <stp>부채</stp>
        <stp>45107</stp>
        <stp>Cons=연결</stp>
        <tr r="R29" s="1"/>
      </tp>
      <tp>
        <v>440000000</v>
        <stp/>
        <stp>P</stp>
        <stp>0</stp>
        <stp>STK</stp>
        <stp>010120</stp>
        <stp>사채</stp>
        <stp>45107</stp>
        <stp>Cons=연결</stp>
        <tr r="T34" s="1"/>
      </tp>
      <tp>
        <v>2001686274</v>
        <stp/>
        <stp>P</stp>
        <stp>0</stp>
        <stp>STK</stp>
        <stp>010120</stp>
        <stp>부채</stp>
        <stp>45107</stp>
        <stp>Cons=연결</stp>
        <tr r="T29" s="1"/>
      </tp>
      <tp t="s">
        <v/>
        <stp/>
        <stp>P</stp>
        <stp>0</stp>
        <stp>STK</stp>
        <stp>001820</stp>
        <stp>사채</stp>
        <stp>45107</stp>
        <stp>Cons=연결</stp>
        <tr r="X34" s="1"/>
      </tp>
      <tp>
        <v>69765111</v>
        <stp/>
        <stp>P</stp>
        <stp>0</stp>
        <stp>STK</stp>
        <stp>001820</stp>
        <stp>부채</stp>
        <stp>45107</stp>
        <stp>Cons=연결</stp>
        <tr r="X29" s="1"/>
      </tp>
      <tp>
        <v>-15240682</v>
        <stp/>
        <stp>P</stp>
        <stp>0</stp>
        <stp>STK</stp>
        <stp>267260</stp>
        <stp>기타자본</stp>
        <stp>45107</stp>
        <stp>Cons=연결</stp>
        <tr r="AA26" s="1"/>
      </tp>
      <tp>
        <v>361235070</v>
        <stp/>
        <stp>P</stp>
        <stp>0</stp>
        <stp>STK</stp>
        <stp>006400</stp>
        <stp>기타충당부채</stp>
        <stp>45107</stp>
        <stp>Cons=연결</stp>
        <tr r="O36" s="1"/>
      </tp>
      <tp>
        <v>6507757</v>
        <stp/>
        <stp>P</stp>
        <stp>0</stp>
        <stp>STK</stp>
        <stp>192400</stp>
        <stp>기타충당부채</stp>
        <stp>45107</stp>
        <stp>Cons=연결</stp>
        <tr r="V36" s="1"/>
      </tp>
      <tp>
        <v>-78630717</v>
        <stp/>
        <stp>P</stp>
        <stp>0</stp>
        <stp>STK</stp>
        <stp>009450</stp>
        <stp>기타자본</stp>
        <stp>45107</stp>
        <stp>Cons=연결</stp>
        <tr r="Z26" s="1"/>
      </tp>
      <tp>
        <v>-146701456</v>
        <stp/>
        <stp>P</stp>
        <stp>0</stp>
        <stp>STK</stp>
        <stp>009150</stp>
        <stp>기타자본</stp>
        <stp>45107</stp>
        <stp>Cons=연결</stp>
        <tr r="Q26" s="1"/>
      </tp>
      <tp t="s">
        <v/>
        <stp/>
        <stp>P</stp>
        <stp>0</stp>
        <stp>STK</stp>
        <stp>001820</stp>
        <stp>기타충당부채</stp>
        <stp>45107</stp>
        <stp>Cons=연결</stp>
        <tr r="X36" s="1"/>
      </tp>
      <tp>
        <v>58574757</v>
        <stp/>
        <stp>P</stp>
        <stp>0</stp>
        <stp>STK</stp>
        <stp>010120</stp>
        <stp>기타충당부채</stp>
        <stp>45107</stp>
        <stp>Cons=연결</stp>
        <tr r="T36" s="1"/>
      </tp>
      <tp>
        <v>211494000</v>
        <stp/>
        <stp>P</stp>
        <stp>0</stp>
        <stp>STK</stp>
        <stp>034220</stp>
        <stp>기타충당부채</stp>
        <stp>45107</stp>
        <stp>Cons=연결</stp>
        <tr r="R36" s="1"/>
      </tp>
      <tp>
        <v>9133021000</v>
        <stp/>
        <stp>P</stp>
        <stp>0</stp>
        <stp>STK</stp>
        <stp>005930</stp>
        <stp>기타충당부채</stp>
        <stp>45107</stp>
        <stp>Cons=연결</stp>
        <tr r="M36" s="1"/>
      </tp>
      <tp t="s">
        <v/>
        <stp/>
        <stp>P</stp>
        <stp>0</stp>
        <stp>STK</stp>
        <stp>000990</stp>
        <stp>사채</stp>
        <stp>45107</stp>
        <stp>Cons=연결</stp>
        <tr r="Y34" s="1"/>
      </tp>
      <tp>
        <v>305980899</v>
        <stp/>
        <stp>P</stp>
        <stp>0</stp>
        <stp>STK</stp>
        <stp>000990</stp>
        <stp>부채</stp>
        <stp>45107</stp>
        <stp>Cons=연결</stp>
        <tr r="Y29" s="1"/>
      </tp>
      <tp>
        <v>18453860</v>
        <stp/>
        <stp>P</stp>
        <stp>0</stp>
        <stp>STK</stp>
        <stp>001440</stp>
        <stp>기타충당부채</stp>
        <stp>45107</stp>
        <stp>Cons=연결</stp>
        <tr r="W36" s="1"/>
      </tp>
      <tp>
        <v>189524051</v>
        <stp/>
        <stp>P</stp>
        <stp>0</stp>
        <stp>STK</stp>
        <stp>267260</stp>
        <stp>기타충당부채</stp>
        <stp>45107</stp>
        <stp>Cons=연결</stp>
        <tr r="AA36" s="1"/>
      </tp>
      <tp>
        <v>52136139</v>
        <stp/>
        <stp>P</stp>
        <stp>0</stp>
        <stp>STK</stp>
        <stp>009450</stp>
        <stp>기타충당부채</stp>
        <stp>45107</stp>
        <stp>Cons=연결</stp>
        <tr r="Z36" s="1"/>
      </tp>
      <tp>
        <v>1656510</v>
        <stp/>
        <stp>P</stp>
        <stp>0</stp>
        <stp>STK</stp>
        <stp>009150</stp>
        <stp>기타충당부채</stp>
        <stp>45107</stp>
        <stp>Cons=연결</stp>
        <tr r="Q36" s="1"/>
      </tp>
      <tp>
        <v>3288689</v>
        <stp/>
        <stp>P</stp>
        <stp>0</stp>
        <stp>STK</stp>
        <stp>020150</stp>
        <stp>기타충당부채</stp>
        <stp>45107</stp>
        <stp>Cons=연결</stp>
        <tr r="U36" s="1"/>
      </tp>
      <tp>
        <v>4514452</v>
        <stp/>
        <stp>P</stp>
        <stp>0</stp>
        <stp>STK</stp>
        <stp>001820</stp>
        <stp>자본잉여금</stp>
        <stp>45107</stp>
        <stp>Cons=연결</stp>
        <tr r="X25" s="1"/>
      </tp>
      <tp>
        <v>429242000</v>
        <stp/>
        <stp>P</stp>
        <stp>0</stp>
        <stp>STK</stp>
        <stp>005930</stp>
        <stp>종업원급여충당부채</stp>
        <stp>45107</stp>
        <stp>Cons=연결</stp>
        <tr r="M38" s="1"/>
      </tp>
      <tp t="s">
        <v/>
        <stp/>
        <stp>P</stp>
        <stp>0</stp>
        <stp>STK</stp>
        <stp>000990</stp>
        <stp>종업원급여충당부채</stp>
        <stp>45107</stp>
        <stp>Cons=연결</stp>
        <tr r="Y38" s="1"/>
      </tp>
      <tp>
        <v>4403893000</v>
        <stp/>
        <stp>P</stp>
        <stp>0</stp>
        <stp>STK</stp>
        <stp>005930</stp>
        <stp>자본잉여금</stp>
        <stp>45107</stp>
        <stp>Cons=연결</stp>
        <tr r="M25" s="1"/>
      </tp>
      <tp>
        <v>128092276</v>
        <stp/>
        <stp>P</stp>
        <stp>0</stp>
        <stp>STK</stp>
        <stp>000990</stp>
        <stp>자본잉여금</stp>
        <stp>45107</stp>
        <stp>Cons=연결</stp>
        <tr r="Y25" s="1"/>
      </tp>
      <tp>
        <v>820712</v>
        <stp/>
        <stp>P</stp>
        <stp>0</stp>
        <stp>STK</stp>
        <stp>001820</stp>
        <stp>종업원급여충당부채</stp>
        <stp>45107</stp>
        <stp>Cons=연결</stp>
        <tr r="X38" s="1"/>
      </tp>
      <tp>
        <v>77591326</v>
        <stp/>
        <stp>P</stp>
        <stp>0</stp>
        <stp>STK</stp>
        <stp>011070</stp>
        <stp>기타충당부채</stp>
        <stp>45107</stp>
        <stp>Cons=연결</stp>
        <tr r="S36" s="1"/>
      </tp>
      <tp>
        <v>1985199000</v>
        <stp/>
        <stp>P</stp>
        <stp>0</stp>
        <stp>STK</stp>
        <stp>066570</stp>
        <stp>기타충당부채</stp>
        <stp>45107</stp>
        <stp>Cons=연결</stp>
        <tr r="P36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5" fmlaLink="$D$6" fmlaRange="$D$8:$D$12" val="0"/>
</file>

<file path=xl/ctrlProps/ctrlProp2.xml><?xml version="1.0" encoding="utf-8"?>
<formControlPr xmlns="http://schemas.microsoft.com/office/spreadsheetml/2009/9/main" objectType="Drop" dropStyle="combo" dx="15" fmlaLink="$B$6" fmlaRange="$C$8:$C$53" noThreeD="1" val="0"/>
</file>

<file path=xl/ctrlProps/ctrlProp3.xml><?xml version="1.0" encoding="utf-8"?>
<formControlPr xmlns="http://schemas.microsoft.com/office/spreadsheetml/2009/9/main" objectType="Drop" dropStyle="combo" dx="15" fmlaLink="$AA$4" fmlaRange="$B$6:$B$27" val="0"/>
</file>

<file path=xl/ctrlProps/ctrlProp4.xml><?xml version="1.0" encoding="utf-8"?>
<formControlPr xmlns="http://schemas.microsoft.com/office/spreadsheetml/2009/9/main" objectType="Drop" dropStyle="combo" dx="15" fmlaLink="$AG$4" fmlaRange="$B$6:$B$27" sel="21" val="14"/>
</file>

<file path=xl/ctrlProps/ctrlProp5.xml><?xml version="1.0" encoding="utf-8"?>
<formControlPr xmlns="http://schemas.microsoft.com/office/spreadsheetml/2009/9/main" objectType="Drop" dropStyle="combo" dx="15" fmlaLink="$AM$4" fmlaRange="$B$6:$B$27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9525</xdr:rowOff>
        </xdr:from>
        <xdr:to>
          <xdr:col>12</xdr:col>
          <xdr:colOff>0</xdr:colOff>
          <xdr:row>5</xdr:row>
          <xdr:rowOff>152400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2</xdr:row>
          <xdr:rowOff>66675</xdr:rowOff>
        </xdr:from>
        <xdr:to>
          <xdr:col>16</xdr:col>
          <xdr:colOff>0</xdr:colOff>
          <xdr:row>2</xdr:row>
          <xdr:rowOff>257175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9525</xdr:rowOff>
        </xdr:from>
        <xdr:to>
          <xdr:col>27</xdr:col>
          <xdr:colOff>0</xdr:colOff>
          <xdr:row>4</xdr:row>
          <xdr:rowOff>219075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3</xdr:row>
          <xdr:rowOff>0</xdr:rowOff>
        </xdr:from>
        <xdr:to>
          <xdr:col>33</xdr:col>
          <xdr:colOff>9525</xdr:colOff>
          <xdr:row>4</xdr:row>
          <xdr:rowOff>219075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9525</xdr:colOff>
          <xdr:row>3</xdr:row>
          <xdr:rowOff>0</xdr:rowOff>
        </xdr:from>
        <xdr:to>
          <xdr:col>39</xdr:col>
          <xdr:colOff>0</xdr:colOff>
          <xdr:row>4</xdr:row>
          <xdr:rowOff>219075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D53"/>
  <sheetViews>
    <sheetView showGridLines="0" showRowColHeaders="0" tabSelected="1" zoomScaleNormal="100" workbookViewId="0">
      <selection activeCell="P13" sqref="P13"/>
    </sheetView>
  </sheetViews>
  <sheetFormatPr defaultRowHeight="13.5" x14ac:dyDescent="0.25"/>
  <cols>
    <col min="1" max="1" width="2.28515625" style="7" customWidth="1"/>
    <col min="2" max="2" width="2.28515625" style="18" hidden="1" customWidth="1"/>
    <col min="3" max="3" width="12.140625" style="18" hidden="1" customWidth="1"/>
    <col min="4" max="4" width="9.140625" hidden="1" customWidth="1"/>
    <col min="5" max="5" width="4.85546875" style="7" hidden="1" customWidth="1"/>
    <col min="6" max="10" width="5.28515625" hidden="1" customWidth="1"/>
    <col min="11" max="11" width="13.5703125" hidden="1" customWidth="1"/>
    <col min="12" max="12" width="29.5703125" customWidth="1"/>
    <col min="13" max="13" width="15.7109375" style="10" customWidth="1"/>
    <col min="14" max="16" width="15.7109375" customWidth="1"/>
    <col min="17" max="27" width="15.7109375" style="7" customWidth="1"/>
    <col min="29" max="29" width="24.5703125" bestFit="1" customWidth="1"/>
    <col min="30" max="30" width="19.7109375" customWidth="1"/>
  </cols>
  <sheetData>
    <row r="1" spans="2:30" s="7" customFormat="1" ht="7.5" customHeight="1" x14ac:dyDescent="0.25">
      <c r="B1" s="18"/>
      <c r="C1" s="18"/>
      <c r="M1" s="10"/>
    </row>
    <row r="2" spans="2:30" ht="32.25" customHeight="1" x14ac:dyDescent="0.25">
      <c r="L2" s="17" t="s">
        <v>171</v>
      </c>
      <c r="Q2"/>
    </row>
    <row r="3" spans="2:30" ht="24.75" customHeight="1" x14ac:dyDescent="0.2">
      <c r="L3" s="19" t="s">
        <v>1108</v>
      </c>
      <c r="O3" s="43" t="s">
        <v>1107</v>
      </c>
      <c r="P3" s="41">
        <f ca="1">INDEX(B8:C53,B6,2)</f>
        <v>45107</v>
      </c>
      <c r="Q3" s="44"/>
      <c r="AA3" s="16" t="s">
        <v>172</v>
      </c>
      <c r="AC3" s="17" t="s">
        <v>1105</v>
      </c>
      <c r="AD3" s="10"/>
    </row>
    <row r="4" spans="2:30" s="18" customFormat="1" ht="13.5" customHeight="1" x14ac:dyDescent="0.2">
      <c r="L4" s="19"/>
      <c r="M4" s="47" t="str">
        <f ca="1">IF(M$7="", "개별", "연결")</f>
        <v>연결</v>
      </c>
      <c r="N4" s="47" t="str">
        <f t="shared" ref="N4:AA4" ca="1" si="0">IF(N$7="", "개별", "연결")</f>
        <v>개별</v>
      </c>
      <c r="O4" s="47" t="str">
        <f t="shared" ca="1" si="0"/>
        <v>연결</v>
      </c>
      <c r="P4" s="47" t="str">
        <f t="shared" ca="1" si="0"/>
        <v>연결</v>
      </c>
      <c r="Q4" s="47" t="str">
        <f t="shared" ca="1" si="0"/>
        <v>연결</v>
      </c>
      <c r="R4" s="47" t="str">
        <f t="shared" ca="1" si="0"/>
        <v>연결</v>
      </c>
      <c r="S4" s="47" t="str">
        <f t="shared" ca="1" si="0"/>
        <v>연결</v>
      </c>
      <c r="T4" s="47" t="str">
        <f t="shared" ca="1" si="0"/>
        <v>연결</v>
      </c>
      <c r="U4" s="47" t="str">
        <f t="shared" ca="1" si="0"/>
        <v>연결</v>
      </c>
      <c r="V4" s="47" t="str">
        <f t="shared" ca="1" si="0"/>
        <v>연결</v>
      </c>
      <c r="W4" s="47" t="str">
        <f t="shared" ca="1" si="0"/>
        <v>연결</v>
      </c>
      <c r="X4" s="47" t="str">
        <f t="shared" ca="1" si="0"/>
        <v>연결</v>
      </c>
      <c r="Y4" s="47" t="str">
        <f t="shared" ca="1" si="0"/>
        <v>연결</v>
      </c>
      <c r="Z4" s="47" t="str">
        <f t="shared" ca="1" si="0"/>
        <v>연결</v>
      </c>
      <c r="AA4" s="47" t="str">
        <f t="shared" ca="1" si="0"/>
        <v>연결</v>
      </c>
      <c r="AC4" s="17"/>
      <c r="AD4" s="10"/>
    </row>
    <row r="5" spans="2:30" ht="14.25" thickBot="1" x14ac:dyDescent="0.3">
      <c r="L5" s="13"/>
      <c r="M5" s="11" t="str">
        <f>_xll.IMDP("STK",M$6,"한글종목명")</f>
        <v>삼성전자</v>
      </c>
      <c r="N5" s="11" t="str">
        <f>_xll.IMDP("STK",N$6,"한글종목명")</f>
        <v>KCC건설</v>
      </c>
      <c r="O5" s="11" t="str">
        <f>_xll.IMDP("STK",O$6,"한글종목명")</f>
        <v>삼성SDI</v>
      </c>
      <c r="P5" s="11" t="str">
        <f>_xll.IMDP("STK",P$6,"한글종목명")</f>
        <v>LG전자</v>
      </c>
      <c r="Q5" s="11" t="str">
        <f>_xll.IMDP("STK",Q$6,"한글종목명")</f>
        <v>삼성전기</v>
      </c>
      <c r="R5" s="11" t="str">
        <f>_xll.IMDP("STK",R$6,"한글종목명")</f>
        <v>LG디스플레이</v>
      </c>
      <c r="S5" s="11" t="str">
        <f>_xll.IMDP("STK",S$6,"한글종목명")</f>
        <v>LG이노텍</v>
      </c>
      <c r="T5" s="11" t="str">
        <f>_xll.IMDP("STK",T$6,"한글종목명")</f>
        <v>LS ELECTRIC</v>
      </c>
      <c r="U5" s="11" t="str">
        <f>_xll.IMDP("STK",U$6,"한글종목명")</f>
        <v>롯데에너지머티리얼즈</v>
      </c>
      <c r="V5" s="11" t="str">
        <f>_xll.IMDP("STK",V$6,"한글종목명")</f>
        <v>쿠쿠홀딩스</v>
      </c>
      <c r="W5" s="11" t="str">
        <f>_xll.IMDP("STK",W$6,"한글종목명")</f>
        <v>대한전선</v>
      </c>
      <c r="X5" s="11" t="str">
        <f>_xll.IMDP("STK",X$6,"한글종목명")</f>
        <v>삼화콘덴서</v>
      </c>
      <c r="Y5" s="11" t="str">
        <f>_xll.IMDP("STK",Y$6,"한글종목명")</f>
        <v>DB하이텍</v>
      </c>
      <c r="Z5" s="11" t="str">
        <f>_xll.IMDP("STK",Z$6,"한글종목명")</f>
        <v>경동나비엔</v>
      </c>
      <c r="AA5" s="11" t="str">
        <f>_xll.IMDP("STK",AA$6,"한글종목명")</f>
        <v>HD현대일렉트릭</v>
      </c>
      <c r="AC5" s="18"/>
      <c r="AD5" s="40" t="s">
        <v>1106</v>
      </c>
    </row>
    <row r="6" spans="2:30" ht="14.25" thickBot="1" x14ac:dyDescent="0.3">
      <c r="B6" s="18">
        <v>1</v>
      </c>
      <c r="C6" s="42">
        <f ca="1">QUOTIENT(MONTH(TODAY()),3)*3</f>
        <v>6</v>
      </c>
      <c r="D6">
        <v>1</v>
      </c>
      <c r="F6" s="3" t="s">
        <v>61</v>
      </c>
      <c r="G6" s="3" t="s">
        <v>62</v>
      </c>
      <c r="H6" s="3" t="s">
        <v>101</v>
      </c>
      <c r="I6" s="3" t="s">
        <v>119</v>
      </c>
      <c r="J6" s="3" t="s">
        <v>120</v>
      </c>
      <c r="L6" s="14"/>
      <c r="M6" s="15" t="s">
        <v>157</v>
      </c>
      <c r="N6" s="15" t="s">
        <v>1109</v>
      </c>
      <c r="O6" s="15" t="s">
        <v>159</v>
      </c>
      <c r="P6" s="15" t="s">
        <v>158</v>
      </c>
      <c r="Q6" s="15" t="s">
        <v>160</v>
      </c>
      <c r="R6" s="15" t="s">
        <v>161</v>
      </c>
      <c r="S6" s="15" t="s">
        <v>162</v>
      </c>
      <c r="T6" s="15" t="s">
        <v>163</v>
      </c>
      <c r="U6" s="15" t="s">
        <v>164</v>
      </c>
      <c r="V6" s="15" t="s">
        <v>165</v>
      </c>
      <c r="W6" s="15" t="s">
        <v>166</v>
      </c>
      <c r="X6" s="15" t="s">
        <v>167</v>
      </c>
      <c r="Y6" s="15" t="s">
        <v>168</v>
      </c>
      <c r="Z6" s="15" t="s">
        <v>169</v>
      </c>
      <c r="AA6" s="15" t="s">
        <v>170</v>
      </c>
      <c r="AC6" s="39" t="str">
        <f>INDEX(D8:D12,$D$6)</f>
        <v>재무상태표</v>
      </c>
      <c r="AD6" s="37" t="s">
        <v>1104</v>
      </c>
    </row>
    <row r="7" spans="2:30" s="18" customFormat="1" hidden="1" x14ac:dyDescent="0.25">
      <c r="C7" s="42"/>
      <c r="F7" s="3"/>
      <c r="G7" s="3"/>
      <c r="H7" s="3"/>
      <c r="I7" s="3"/>
      <c r="J7" s="3"/>
      <c r="L7" s="14" t="str">
        <f>$L$8</f>
        <v>자산</v>
      </c>
      <c r="M7" s="15">
        <f ca="1">IF($L7="","",_xll.IMDP("STK",M$6,$L7,$P$3))</f>
        <v>448000552000</v>
      </c>
      <c r="N7" s="15" t="str">
        <f ca="1">IF($L7="","",_xll.IMDP("STK",N$6,$L7,$P$3))</f>
        <v/>
      </c>
      <c r="O7" s="15">
        <f ca="1">IF($L7="","",_xll.IMDP("STK",O$6,$L7,$P$3))</f>
        <v>32902818668</v>
      </c>
      <c r="P7" s="15">
        <f ca="1">IF($L7="","",_xll.IMDP("STK",P$6,$L7,$P$3))</f>
        <v>58160448000</v>
      </c>
      <c r="Q7" s="15">
        <f ca="1">IF($L7="","",_xll.IMDP("STK",Q$6,$L7,$P$3))</f>
        <v>11186625966</v>
      </c>
      <c r="R7" s="15">
        <f ca="1">IF($L7="","",_xll.IMDP("STK",R$6,$L7,$P$3))</f>
        <v>37371963000</v>
      </c>
      <c r="S7" s="15">
        <f ca="1">IF($L7="","",_xll.IMDP("STK",S$6,$L7,$P$3))</f>
        <v>9473140375</v>
      </c>
      <c r="T7" s="15">
        <f ca="1">IF($L7="","",_xll.IMDP("STK",T$6,$L7,$P$3))</f>
        <v>3644990654</v>
      </c>
      <c r="U7" s="15">
        <f ca="1">IF($L7="","",_xll.IMDP("STK",U$6,$L7,$P$3))</f>
        <v>2426411418</v>
      </c>
      <c r="V7" s="15">
        <f ca="1">IF($L7="","",_xll.IMDP("STK",V$6,$L7,$P$3))</f>
        <v>1162907605</v>
      </c>
      <c r="W7" s="15">
        <f ca="1">IF($L7="","",_xll.IMDP("STK",W$6,$L7,$P$3))</f>
        <v>1739290600</v>
      </c>
      <c r="X7" s="15">
        <f ca="1">IF($L7="","",_xll.IMDP("STK",X$6,$L7,$P$3))</f>
        <v>313339061</v>
      </c>
      <c r="Y7" s="15">
        <f ca="1">IF($L7="","",_xll.IMDP("STK",Y$6,$L7,$P$3))</f>
        <v>1974801806</v>
      </c>
      <c r="Z7" s="15">
        <f ca="1">IF($L7="","",_xll.IMDP("STK",Z$6,$L7,$P$3))</f>
        <v>1049811314</v>
      </c>
      <c r="AA7" s="15">
        <f ca="1">IF($L7="","",_xll.IMDP("STK",AA$6,$L7,$P$3))</f>
        <v>2922375337</v>
      </c>
      <c r="AC7" s="45"/>
      <c r="AD7" s="37"/>
    </row>
    <row r="8" spans="2:30" x14ac:dyDescent="0.25">
      <c r="B8" s="18">
        <v>1</v>
      </c>
      <c r="C8" s="41">
        <f ca="1">EOMONTH(TODAY(),C6-MONTH(TODAY()))</f>
        <v>45107</v>
      </c>
      <c r="D8" s="3" t="s">
        <v>61</v>
      </c>
      <c r="E8" s="3">
        <v>1</v>
      </c>
      <c r="F8" s="2" t="s">
        <v>31</v>
      </c>
      <c r="G8" s="9" t="s">
        <v>34</v>
      </c>
      <c r="H8" s="9" t="s">
        <v>63</v>
      </c>
      <c r="I8" s="9" t="s">
        <v>102</v>
      </c>
      <c r="J8" s="8" t="s">
        <v>121</v>
      </c>
      <c r="L8" s="12" t="str">
        <f t="shared" ref="L8:L46" si="1">IF(INDEX($F$8:$J$46,$E8,$D$6)=0,"",INDEX($F$8:$J$46,$E8,$D$6))</f>
        <v>자산</v>
      </c>
      <c r="M8" s="46">
        <f ca="1">IF($L8="","",_xll.IMDP("STK",M$6,$L8,$P$3,"Cons="&amp;M$4))</f>
        <v>448000552000</v>
      </c>
      <c r="N8" s="46">
        <f ca="1">IF($L8="","",_xll.IMDP("STK",N$6,$L8,$P$3,"Cons="&amp;N$4))</f>
        <v>1326014550</v>
      </c>
      <c r="O8" s="46">
        <f ca="1">IF($L8="","",_xll.IMDP("STK",O$6,$L8,$P$3,"Cons="&amp;O$4))</f>
        <v>32902818668</v>
      </c>
      <c r="P8" s="46">
        <f ca="1">IF($L8="","",_xll.IMDP("STK",P$6,$L8,$P$3,"Cons="&amp;P$4))</f>
        <v>58160448000</v>
      </c>
      <c r="Q8" s="46">
        <f ca="1">IF($L8="","",_xll.IMDP("STK",Q$6,$L8,$P$3,"Cons="&amp;Q$4))</f>
        <v>11186625966</v>
      </c>
      <c r="R8" s="46">
        <f ca="1">IF($L8="","",_xll.IMDP("STK",R$6,$L8,$P$3,"Cons="&amp;R$4))</f>
        <v>37371963000</v>
      </c>
      <c r="S8" s="46">
        <f ca="1">IF($L8="","",_xll.IMDP("STK",S$6,$L8,$P$3,"Cons="&amp;S$4))</f>
        <v>9473140375</v>
      </c>
      <c r="T8" s="46">
        <f ca="1">IF($L8="","",_xll.IMDP("STK",T$6,$L8,$P$3,"Cons="&amp;T$4))</f>
        <v>3644990654</v>
      </c>
      <c r="U8" s="46">
        <f ca="1">IF($L8="","",_xll.IMDP("STK",U$6,$L8,$P$3,"Cons="&amp;U$4))</f>
        <v>2426411418</v>
      </c>
      <c r="V8" s="46">
        <f ca="1">IF($L8="","",_xll.IMDP("STK",V$6,$L8,$P$3,"Cons="&amp;V$4))</f>
        <v>1162907605</v>
      </c>
      <c r="W8" s="46">
        <f ca="1">IF($L8="","",_xll.IMDP("STK",W$6,$L8,$P$3,"Cons="&amp;W$4))</f>
        <v>1739290600</v>
      </c>
      <c r="X8" s="46">
        <f ca="1">IF($L8="","",_xll.IMDP("STK",X$6,$L8,$P$3,"Cons="&amp;X$4))</f>
        <v>313339061</v>
      </c>
      <c r="Y8" s="46">
        <f ca="1">IF($L8="","",_xll.IMDP("STK",Y$6,$L8,$P$3,"Cons="&amp;Y$4))</f>
        <v>1974801806</v>
      </c>
      <c r="Z8" s="46">
        <f ca="1">IF($L8="","",_xll.IMDP("STK",Z$6,$L8,$P$3,"Cons="&amp;Z$4))</f>
        <v>1049811314</v>
      </c>
      <c r="AA8" s="46">
        <f ca="1">IF($L8="","",_xll.IMDP("STK",AA$6,$L8,$P$3,"Cons="&amp;AA$4))</f>
        <v>2922375337</v>
      </c>
      <c r="AC8" s="38" t="str">
        <f>IF($D$6=5, "비율은 합산 불가", IF($L8="","",$L8))</f>
        <v>자산</v>
      </c>
      <c r="AD8" s="46">
        <f t="shared" ref="AD8:AD46" ca="1" si="2">IF($D$6=5,"",IF(SUM(M8:AA8)=0,"",SUM(M8:AA8)))</f>
        <v>613655490354</v>
      </c>
    </row>
    <row r="9" spans="2:30" x14ac:dyDescent="0.25">
      <c r="B9" s="18">
        <v>2</v>
      </c>
      <c r="C9" s="41">
        <f ca="1">EOMONTH(C8,-3)</f>
        <v>45016</v>
      </c>
      <c r="D9" s="3" t="s">
        <v>62</v>
      </c>
      <c r="E9" s="3">
        <v>2</v>
      </c>
      <c r="F9" s="1" t="s">
        <v>0</v>
      </c>
      <c r="G9" s="9" t="s">
        <v>35</v>
      </c>
      <c r="H9" s="5" t="s">
        <v>64</v>
      </c>
      <c r="I9" s="6" t="s">
        <v>103</v>
      </c>
      <c r="J9" s="8" t="s">
        <v>122</v>
      </c>
      <c r="L9" s="12" t="str">
        <f t="shared" si="1"/>
        <v>현금및현금성자산</v>
      </c>
      <c r="M9" s="46">
        <f ca="1">IF($L9="","",_xll.IMDP("STK",M$6,$L9,$P$3,"Cons="&amp;M$4))</f>
        <v>79919775000</v>
      </c>
      <c r="N9" s="46">
        <f ca="1">IF($L9="","",_xll.IMDP("STK",N$6,$L9,$P$3,"Cons="&amp;N$4))</f>
        <v>110507454</v>
      </c>
      <c r="O9" s="46">
        <f ca="1">IF($L9="","",_xll.IMDP("STK",O$6,$L9,$P$3,"Cons="&amp;O$4))</f>
        <v>1962103442</v>
      </c>
      <c r="P9" s="46">
        <f ca="1">IF($L9="","",_xll.IMDP("STK",P$6,$L9,$P$3,"Cons="&amp;P$4))</f>
        <v>7238657000</v>
      </c>
      <c r="Q9" s="46">
        <f ca="1">IF($L9="","",_xll.IMDP("STK",Q$6,$L9,$P$3,"Cons="&amp;Q$4))</f>
        <v>1585038980</v>
      </c>
      <c r="R9" s="46">
        <f ca="1">IF($L9="","",_xll.IMDP("STK",R$6,$L9,$P$3,"Cons="&amp;R$4))</f>
        <v>2378439000</v>
      </c>
      <c r="S9" s="46">
        <f ca="1">IF($L9="","",_xll.IMDP("STK",S$6,$L9,$P$3,"Cons="&amp;S$4))</f>
        <v>901495412</v>
      </c>
      <c r="T9" s="46">
        <f ca="1">IF($L9="","",_xll.IMDP("STK",T$6,$L9,$P$3,"Cons="&amp;T$4))</f>
        <v>497948718</v>
      </c>
      <c r="U9" s="46">
        <f ca="1">IF($L9="","",_xll.IMDP("STK",U$6,$L9,$P$3,"Cons="&amp;U$4))</f>
        <v>289512858</v>
      </c>
      <c r="V9" s="46">
        <f ca="1">IF($L9="","",_xll.IMDP("STK",V$6,$L9,$P$3,"Cons="&amp;V$4))</f>
        <v>89723744</v>
      </c>
      <c r="W9" s="46">
        <f ca="1">IF($L9="","",_xll.IMDP("STK",W$6,$L9,$P$3,"Cons="&amp;W$4))</f>
        <v>317131226</v>
      </c>
      <c r="X9" s="46">
        <f ca="1">IF($L9="","",_xll.IMDP("STK",X$6,$L9,$P$3,"Cons="&amp;X$4))</f>
        <v>30032909</v>
      </c>
      <c r="Y9" s="46">
        <f ca="1">IF($L9="","",_xll.IMDP("STK",Y$6,$L9,$P$3,"Cons="&amp;Y$4))</f>
        <v>175234221</v>
      </c>
      <c r="Z9" s="46">
        <f ca="1">IF($L9="","",_xll.IMDP("STK",Z$6,$L9,$P$3,"Cons="&amp;Z$4))</f>
        <v>63473601</v>
      </c>
      <c r="AA9" s="46">
        <f ca="1">IF($L9="","",_xll.IMDP("STK",AA$6,$L9,$P$3,"Cons="&amp;AA$4))</f>
        <v>277068605</v>
      </c>
      <c r="AC9" s="12" t="str">
        <f t="shared" ref="AC9:AC46" si="3">IF($D$6=5, "", IF($L9="","",$L9))</f>
        <v>현금및현금성자산</v>
      </c>
      <c r="AD9" s="46">
        <f t="shared" ca="1" si="2"/>
        <v>95836142170</v>
      </c>
    </row>
    <row r="10" spans="2:30" x14ac:dyDescent="0.25">
      <c r="B10" s="18">
        <v>3</v>
      </c>
      <c r="C10" s="41">
        <f ca="1">EOMONTH(C9,-3)</f>
        <v>44926</v>
      </c>
      <c r="D10" s="3" t="s">
        <v>101</v>
      </c>
      <c r="E10" s="3">
        <v>3</v>
      </c>
      <c r="F10" s="1" t="s">
        <v>1</v>
      </c>
      <c r="G10" s="9" t="s">
        <v>36</v>
      </c>
      <c r="H10" s="5" t="s">
        <v>65</v>
      </c>
      <c r="I10" s="6" t="s">
        <v>104</v>
      </c>
      <c r="J10" s="8" t="s">
        <v>123</v>
      </c>
      <c r="L10" s="12" t="str">
        <f t="shared" si="1"/>
        <v>금융자산</v>
      </c>
      <c r="M10" s="46">
        <f ca="1">IF($L10="","",_xll.IMDP("STK",M$6,$L10,$P$3,"Cons="&amp;M$4))</f>
        <v>17180130000</v>
      </c>
      <c r="N10" s="46">
        <f ca="1">IF($L10="","",_xll.IMDP("STK",N$6,$L10,$P$3,"Cons="&amp;N$4))</f>
        <v>149027904</v>
      </c>
      <c r="O10" s="46">
        <f ca="1">IF($L10="","",_xll.IMDP("STK",O$6,$L10,$P$3,"Cons="&amp;O$4))</f>
        <v>1825116344</v>
      </c>
      <c r="P10" s="46">
        <f ca="1">IF($L10="","",_xll.IMDP("STK",P$6,$L10,$P$3,"Cons="&amp;P$4))</f>
        <v>486752000</v>
      </c>
      <c r="Q10" s="46">
        <f ca="1">IF($L10="","",_xll.IMDP("STK",Q$6,$L10,$P$3,"Cons="&amp;Q$4))</f>
        <v>79923764</v>
      </c>
      <c r="R10" s="46">
        <f ca="1">IF($L10="","",_xll.IMDP("STK",R$6,$L10,$P$3,"Cons="&amp;R$4))</f>
        <v>1842278000</v>
      </c>
      <c r="S10" s="46">
        <f ca="1">IF($L10="","",_xll.IMDP("STK",S$6,$L10,$P$3,"Cons="&amp;S$4))</f>
        <v>123365936</v>
      </c>
      <c r="T10" s="46">
        <f ca="1">IF($L10="","",_xll.IMDP("STK",T$6,$L10,$P$3,"Cons="&amp;T$4))</f>
        <v>57123600</v>
      </c>
      <c r="U10" s="46">
        <f ca="1">IF($L10="","",_xll.IMDP("STK",U$6,$L10,$P$3,"Cons="&amp;U$4))</f>
        <v>80542012</v>
      </c>
      <c r="V10" s="46">
        <f ca="1">IF($L10="","",_xll.IMDP("STK",V$6,$L10,$P$3,"Cons="&amp;V$4))</f>
        <v>38137695</v>
      </c>
      <c r="W10" s="46">
        <f ca="1">IF($L10="","",_xll.IMDP("STK",W$6,$L10,$P$3,"Cons="&amp;W$4))</f>
        <v>18046309</v>
      </c>
      <c r="X10" s="46">
        <f ca="1">IF($L10="","",_xll.IMDP("STK",X$6,$L10,$P$3,"Cons="&amp;X$4))</f>
        <v>35402330</v>
      </c>
      <c r="Y10" s="46">
        <f ca="1">IF($L10="","",_xll.IMDP("STK",Y$6,$L10,$P$3,"Cons="&amp;Y$4))</f>
        <v>439574808</v>
      </c>
      <c r="Z10" s="46">
        <f ca="1">IF($L10="","",_xll.IMDP("STK",Z$6,$L10,$P$3,"Cons="&amp;Z$4))</f>
        <v>55386617</v>
      </c>
      <c r="AA10" s="46">
        <f ca="1">IF($L10="","",_xll.IMDP("STK",AA$6,$L10,$P$3,"Cons="&amp;AA$4))</f>
        <v>26229979</v>
      </c>
      <c r="AC10" s="12" t="str">
        <f t="shared" si="3"/>
        <v>금융자산</v>
      </c>
      <c r="AD10" s="46">
        <f t="shared" ca="1" si="2"/>
        <v>22437037298</v>
      </c>
    </row>
    <row r="11" spans="2:30" x14ac:dyDescent="0.25">
      <c r="B11" s="18">
        <v>4</v>
      </c>
      <c r="C11" s="41">
        <f t="shared" ref="C11:C46" ca="1" si="4">EOMONTH(C10,-3)</f>
        <v>44834</v>
      </c>
      <c r="D11" s="3" t="s">
        <v>119</v>
      </c>
      <c r="E11" s="3">
        <v>4</v>
      </c>
      <c r="F11" s="1" t="s">
        <v>2</v>
      </c>
      <c r="G11" s="9" t="s">
        <v>37</v>
      </c>
      <c r="H11" s="5" t="s">
        <v>66</v>
      </c>
      <c r="I11" s="6" t="s">
        <v>105</v>
      </c>
      <c r="J11" s="8" t="s">
        <v>124</v>
      </c>
      <c r="L11" s="12" t="str">
        <f t="shared" si="1"/>
        <v>파생상품자산</v>
      </c>
      <c r="M11" s="46" t="str">
        <f ca="1">IF($L11="","",_xll.IMDP("STK",M$6,$L11,$P$3,"Cons="&amp;M$4))</f>
        <v/>
      </c>
      <c r="N11" s="46" t="str">
        <f ca="1">IF($L11="","",_xll.IMDP("STK",N$6,$L11,$P$3,"Cons="&amp;N$4))</f>
        <v/>
      </c>
      <c r="O11" s="46">
        <f ca="1">IF($L11="","",_xll.IMDP("STK",O$6,$L11,$P$3,"Cons="&amp;O$4))</f>
        <v>14736393</v>
      </c>
      <c r="P11" s="46">
        <f ca="1">IF($L11="","",_xll.IMDP("STK",P$6,$L11,$P$3,"Cons="&amp;P$4))</f>
        <v>239003000</v>
      </c>
      <c r="Q11" s="46" t="str">
        <f ca="1">IF($L11="","",_xll.IMDP("STK",Q$6,$L11,$P$3,"Cons="&amp;Q$4))</f>
        <v/>
      </c>
      <c r="R11" s="46">
        <f ca="1">IF($L11="","",_xll.IMDP("STK",R$6,$L11,$P$3,"Cons="&amp;R$4))</f>
        <v>257974000</v>
      </c>
      <c r="S11" s="46">
        <f ca="1">IF($L11="","",_xll.IMDP("STK",S$6,$L11,$P$3,"Cons="&amp;S$4))</f>
        <v>21623057</v>
      </c>
      <c r="T11" s="46">
        <f ca="1">IF($L11="","",_xll.IMDP("STK",T$6,$L11,$P$3,"Cons="&amp;T$4))</f>
        <v>21240591</v>
      </c>
      <c r="U11" s="46" t="str">
        <f ca="1">IF($L11="","",_xll.IMDP("STK",U$6,$L11,$P$3,"Cons="&amp;U$4))</f>
        <v/>
      </c>
      <c r="V11" s="46" t="str">
        <f ca="1">IF($L11="","",_xll.IMDP("STK",V$6,$L11,$P$3,"Cons="&amp;V$4))</f>
        <v/>
      </c>
      <c r="W11" s="46">
        <f ca="1">IF($L11="","",_xll.IMDP("STK",W$6,$L11,$P$3,"Cons="&amp;W$4))</f>
        <v>3043242</v>
      </c>
      <c r="X11" s="46" t="str">
        <f ca="1">IF($L11="","",_xll.IMDP("STK",X$6,$L11,$P$3,"Cons="&amp;X$4))</f>
        <v/>
      </c>
      <c r="Y11" s="46" t="str">
        <f ca="1">IF($L11="","",_xll.IMDP("STK",Y$6,$L11,$P$3,"Cons="&amp;Y$4))</f>
        <v/>
      </c>
      <c r="Z11" s="46">
        <f ca="1">IF($L11="","",_xll.IMDP("STK",Z$6,$L11,$P$3,"Cons="&amp;Z$4))</f>
        <v>84403</v>
      </c>
      <c r="AA11" s="46">
        <f ca="1">IF($L11="","",_xll.IMDP("STK",AA$6,$L11,$P$3,"Cons="&amp;AA$4))</f>
        <v>1798973</v>
      </c>
      <c r="AC11" s="12" t="str">
        <f t="shared" si="3"/>
        <v>파생상품자산</v>
      </c>
      <c r="AD11" s="46">
        <f t="shared" ca="1" si="2"/>
        <v>559503659</v>
      </c>
    </row>
    <row r="12" spans="2:30" x14ac:dyDescent="0.25">
      <c r="B12" s="18">
        <v>5</v>
      </c>
      <c r="C12" s="41">
        <f t="shared" ca="1" si="4"/>
        <v>44742</v>
      </c>
      <c r="D12" s="3" t="s">
        <v>120</v>
      </c>
      <c r="E12" s="3">
        <v>5</v>
      </c>
      <c r="F12" s="1" t="s">
        <v>3</v>
      </c>
      <c r="G12" s="4" t="s">
        <v>38</v>
      </c>
      <c r="H12" s="5" t="s">
        <v>67</v>
      </c>
      <c r="I12" s="6" t="s">
        <v>106</v>
      </c>
      <c r="J12" s="8" t="s">
        <v>125</v>
      </c>
      <c r="L12" s="12" t="str">
        <f t="shared" si="1"/>
        <v>대출채권</v>
      </c>
      <c r="M12" s="46" t="str">
        <f ca="1">IF($L12="","",_xll.IMDP("STK",M$6,$L12,$P$3,"Cons="&amp;M$4))</f>
        <v/>
      </c>
      <c r="N12" s="46" t="str">
        <f ca="1">IF($L12="","",_xll.IMDP("STK",N$6,$L12,$P$3,"Cons="&amp;N$4))</f>
        <v/>
      </c>
      <c r="O12" s="46" t="str">
        <f ca="1">IF($L12="","",_xll.IMDP("STK",O$6,$L12,$P$3,"Cons="&amp;O$4))</f>
        <v/>
      </c>
      <c r="P12" s="46" t="str">
        <f ca="1">IF($L12="","",_xll.IMDP("STK",P$6,$L12,$P$3,"Cons="&amp;P$4))</f>
        <v/>
      </c>
      <c r="Q12" s="46" t="str">
        <f ca="1">IF($L12="","",_xll.IMDP("STK",Q$6,$L12,$P$3,"Cons="&amp;Q$4))</f>
        <v/>
      </c>
      <c r="R12" s="46" t="str">
        <f ca="1">IF($L12="","",_xll.IMDP("STK",R$6,$L12,$P$3,"Cons="&amp;R$4))</f>
        <v/>
      </c>
      <c r="S12" s="46" t="str">
        <f ca="1">IF($L12="","",_xll.IMDP("STK",S$6,$L12,$P$3,"Cons="&amp;S$4))</f>
        <v/>
      </c>
      <c r="T12" s="46" t="str">
        <f ca="1">IF($L12="","",_xll.IMDP("STK",T$6,$L12,$P$3,"Cons="&amp;T$4))</f>
        <v/>
      </c>
      <c r="U12" s="46" t="str">
        <f ca="1">IF($L12="","",_xll.IMDP("STK",U$6,$L12,$P$3,"Cons="&amp;U$4))</f>
        <v/>
      </c>
      <c r="V12" s="46" t="str">
        <f ca="1">IF($L12="","",_xll.IMDP("STK",V$6,$L12,$P$3,"Cons="&amp;V$4))</f>
        <v/>
      </c>
      <c r="W12" s="46" t="str">
        <f ca="1">IF($L12="","",_xll.IMDP("STK",W$6,$L12,$P$3,"Cons="&amp;W$4))</f>
        <v/>
      </c>
      <c r="X12" s="46" t="str">
        <f ca="1">IF($L12="","",_xll.IMDP("STK",X$6,$L12,$P$3,"Cons="&amp;X$4))</f>
        <v/>
      </c>
      <c r="Y12" s="46" t="str">
        <f ca="1">IF($L12="","",_xll.IMDP("STK",Y$6,$L12,$P$3,"Cons="&amp;Y$4))</f>
        <v/>
      </c>
      <c r="Z12" s="46" t="str">
        <f ca="1">IF($L12="","",_xll.IMDP("STK",Z$6,$L12,$P$3,"Cons="&amp;Z$4))</f>
        <v/>
      </c>
      <c r="AA12" s="46" t="str">
        <f ca="1">IF($L12="","",_xll.IMDP("STK",AA$6,$L12,$P$3,"Cons="&amp;AA$4))</f>
        <v/>
      </c>
      <c r="AC12" s="12" t="str">
        <f t="shared" si="3"/>
        <v>대출채권</v>
      </c>
      <c r="AD12" s="46" t="str">
        <f t="shared" ca="1" si="2"/>
        <v/>
      </c>
    </row>
    <row r="13" spans="2:30" x14ac:dyDescent="0.25">
      <c r="B13" s="18">
        <v>6</v>
      </c>
      <c r="C13" s="41">
        <f t="shared" ca="1" si="4"/>
        <v>44651</v>
      </c>
      <c r="E13" s="3">
        <v>6</v>
      </c>
      <c r="F13" s="1" t="s">
        <v>4</v>
      </c>
      <c r="G13" s="4" t="s">
        <v>39</v>
      </c>
      <c r="H13" s="5" t="s">
        <v>68</v>
      </c>
      <c r="I13" s="6" t="s">
        <v>107</v>
      </c>
      <c r="J13" s="8" t="s">
        <v>126</v>
      </c>
      <c r="L13" s="12" t="str">
        <f t="shared" si="1"/>
        <v>기타자산</v>
      </c>
      <c r="M13" s="46">
        <f ca="1">IF($L13="","",_xll.IMDP("STK",M$6,$L13,$P$3,"Cons="&amp;M$4))</f>
        <v>23399791000</v>
      </c>
      <c r="N13" s="46">
        <f ca="1">IF($L13="","",_xll.IMDP("STK",N$6,$L13,$P$3,"Cons="&amp;N$4))</f>
        <v>54267888</v>
      </c>
      <c r="O13" s="46">
        <f ca="1">IF($L13="","",_xll.IMDP("STK",O$6,$L13,$P$3,"Cons="&amp;O$4))</f>
        <v>640388907</v>
      </c>
      <c r="P13" s="46">
        <f ca="1">IF($L13="","",_xll.IMDP("STK",P$6,$L13,$P$3,"Cons="&amp;P$4))</f>
        <v>2919474000</v>
      </c>
      <c r="Q13" s="46">
        <f ca="1">IF($L13="","",_xll.IMDP("STK",Q$6,$L13,$P$3,"Cons="&amp;Q$4))</f>
        <v>321796678</v>
      </c>
      <c r="R13" s="46">
        <f ca="1">IF($L13="","",_xll.IMDP("STK",R$6,$L13,$P$3,"Cons="&amp;R$4))</f>
        <v>713959000</v>
      </c>
      <c r="S13" s="46">
        <f ca="1">IF($L13="","",_xll.IMDP("STK",S$6,$L13,$P$3,"Cons="&amp;S$4))</f>
        <v>329090983</v>
      </c>
      <c r="T13" s="46">
        <f ca="1">IF($L13="","",_xll.IMDP("STK",T$6,$L13,$P$3,"Cons="&amp;T$4))</f>
        <v>172933942</v>
      </c>
      <c r="U13" s="46">
        <f ca="1">IF($L13="","",_xll.IMDP("STK",U$6,$L13,$P$3,"Cons="&amp;U$4))</f>
        <v>12788134</v>
      </c>
      <c r="V13" s="46">
        <f ca="1">IF($L13="","",_xll.IMDP("STK",V$6,$L13,$P$3,"Cons="&amp;V$4))</f>
        <v>19608954</v>
      </c>
      <c r="W13" s="46">
        <f ca="1">IF($L13="","",_xll.IMDP("STK",W$6,$L13,$P$3,"Cons="&amp;W$4))</f>
        <v>92806935</v>
      </c>
      <c r="X13" s="46">
        <f ca="1">IF($L13="","",_xll.IMDP("STK",X$6,$L13,$P$3,"Cons="&amp;X$4))</f>
        <v>12745956</v>
      </c>
      <c r="Y13" s="46">
        <f ca="1">IF($L13="","",_xll.IMDP("STK",Y$6,$L13,$P$3,"Cons="&amp;Y$4))</f>
        <v>34402763</v>
      </c>
      <c r="Z13" s="46">
        <f ca="1">IF($L13="","",_xll.IMDP("STK",Z$6,$L13,$P$3,"Cons="&amp;Z$4))</f>
        <v>21214589</v>
      </c>
      <c r="AA13" s="46">
        <f ca="1">IF($L13="","",_xll.IMDP("STK",AA$6,$L13,$P$3,"Cons="&amp;AA$4))</f>
        <v>96233536</v>
      </c>
      <c r="AC13" s="12" t="str">
        <f t="shared" si="3"/>
        <v>기타자산</v>
      </c>
      <c r="AD13" s="46">
        <f t="shared" ca="1" si="2"/>
        <v>28841503265</v>
      </c>
    </row>
    <row r="14" spans="2:30" x14ac:dyDescent="0.25">
      <c r="B14" s="18">
        <v>7</v>
      </c>
      <c r="C14" s="41">
        <f t="shared" ca="1" si="4"/>
        <v>44561</v>
      </c>
      <c r="E14" s="3">
        <v>7</v>
      </c>
      <c r="F14" s="1" t="s">
        <v>5</v>
      </c>
      <c r="G14" s="4" t="s">
        <v>40</v>
      </c>
      <c r="H14" s="5" t="s">
        <v>69</v>
      </c>
      <c r="I14" s="6" t="s">
        <v>108</v>
      </c>
      <c r="J14" s="8" t="s">
        <v>127</v>
      </c>
      <c r="L14" s="12" t="str">
        <f t="shared" si="1"/>
        <v>유형자산</v>
      </c>
      <c r="M14" s="46">
        <f ca="1">IF($L14="","",_xll.IMDP("STK",M$6,$L14,$P$3,"Cons="&amp;M$4))</f>
        <v>177869942000</v>
      </c>
      <c r="N14" s="46">
        <f ca="1">IF($L14="","",_xll.IMDP("STK",N$6,$L14,$P$3,"Cons="&amp;N$4))</f>
        <v>77359500</v>
      </c>
      <c r="O14" s="46">
        <f ca="1">IF($L14="","",_xll.IMDP("STK",O$6,$L14,$P$3,"Cons="&amp;O$4))</f>
        <v>10226704560</v>
      </c>
      <c r="P14" s="46">
        <f ca="1">IF($L14="","",_xll.IMDP("STK",P$6,$L14,$P$3,"Cons="&amp;P$4))</f>
        <v>16515890000</v>
      </c>
      <c r="Q14" s="46">
        <f ca="1">IF($L14="","",_xll.IMDP("STK",Q$6,$L14,$P$3,"Cons="&amp;Q$4))</f>
        <v>5404151882</v>
      </c>
      <c r="R14" s="46">
        <f ca="1">IF($L14="","",_xll.IMDP("STK",R$6,$L14,$P$3,"Cons="&amp;R$4))</f>
        <v>20836641000</v>
      </c>
      <c r="S14" s="46">
        <f ca="1">IF($L14="","",_xll.IMDP("STK",S$6,$L14,$P$3,"Cons="&amp;S$4))</f>
        <v>4709313655</v>
      </c>
      <c r="T14" s="46">
        <f ca="1">IF($L14="","",_xll.IMDP("STK",T$6,$L14,$P$3,"Cons="&amp;T$4))</f>
        <v>647219124</v>
      </c>
      <c r="U14" s="46">
        <f ca="1">IF($L14="","",_xll.IMDP("STK",U$6,$L14,$P$3,"Cons="&amp;U$4))</f>
        <v>961992804</v>
      </c>
      <c r="V14" s="46">
        <f ca="1">IF($L14="","",_xll.IMDP("STK",V$6,$L14,$P$3,"Cons="&amp;V$4))</f>
        <v>82598162</v>
      </c>
      <c r="W14" s="46">
        <f ca="1">IF($L14="","",_xll.IMDP("STK",W$6,$L14,$P$3,"Cons="&amp;W$4))</f>
        <v>398778815</v>
      </c>
      <c r="X14" s="46">
        <f ca="1">IF($L14="","",_xll.IMDP("STK",X$6,$L14,$P$3,"Cons="&amp;X$4))</f>
        <v>99644575</v>
      </c>
      <c r="Y14" s="46">
        <f ca="1">IF($L14="","",_xll.IMDP("STK",Y$6,$L14,$P$3,"Cons="&amp;Y$4))</f>
        <v>809297615</v>
      </c>
      <c r="Z14" s="46">
        <f ca="1">IF($L14="","",_xll.IMDP("STK",Z$6,$L14,$P$3,"Cons="&amp;Z$4))</f>
        <v>374323611</v>
      </c>
      <c r="AA14" s="46">
        <f ca="1">IF($L14="","",_xll.IMDP("STK",AA$6,$L14,$P$3,"Cons="&amp;AA$4))</f>
        <v>550230569</v>
      </c>
      <c r="AC14" s="12" t="str">
        <f t="shared" si="3"/>
        <v>유형자산</v>
      </c>
      <c r="AD14" s="46">
        <f t="shared" ca="1" si="2"/>
        <v>239564087872</v>
      </c>
    </row>
    <row r="15" spans="2:30" x14ac:dyDescent="0.25">
      <c r="B15" s="18">
        <v>8</v>
      </c>
      <c r="C15" s="41">
        <f t="shared" ca="1" si="4"/>
        <v>44469</v>
      </c>
      <c r="E15" s="3">
        <v>8</v>
      </c>
      <c r="F15" s="1" t="s">
        <v>6</v>
      </c>
      <c r="G15" s="4" t="s">
        <v>41</v>
      </c>
      <c r="H15" s="5" t="s">
        <v>70</v>
      </c>
      <c r="I15" s="9" t="s">
        <v>109</v>
      </c>
      <c r="J15" s="8" t="s">
        <v>128</v>
      </c>
      <c r="L15" s="12" t="str">
        <f t="shared" si="1"/>
        <v>투자부동산</v>
      </c>
      <c r="M15" s="46" t="str">
        <f ca="1">IF($L15="","",_xll.IMDP("STK",M$6,$L15,$P$3,"Cons="&amp;M$4))</f>
        <v/>
      </c>
      <c r="N15" s="46">
        <f ca="1">IF($L15="","",_xll.IMDP("STK",N$6,$L15,$P$3,"Cons="&amp;N$4))</f>
        <v>114153681</v>
      </c>
      <c r="O15" s="46">
        <f ca="1">IF($L15="","",_xll.IMDP("STK",O$6,$L15,$P$3,"Cons="&amp;O$4))</f>
        <v>147413298</v>
      </c>
      <c r="P15" s="46">
        <f ca="1">IF($L15="","",_xll.IMDP("STK",P$6,$L15,$P$3,"Cons="&amp;P$4))</f>
        <v>97020000</v>
      </c>
      <c r="Q15" s="46" t="str">
        <f ca="1">IF($L15="","",_xll.IMDP("STK",Q$6,$L15,$P$3,"Cons="&amp;Q$4))</f>
        <v/>
      </c>
      <c r="R15" s="46">
        <f ca="1">IF($L15="","",_xll.IMDP("STK",R$6,$L15,$P$3,"Cons="&amp;R$4))</f>
        <v>25622000</v>
      </c>
      <c r="S15" s="46">
        <f ca="1">IF($L15="","",_xll.IMDP("STK",S$6,$L15,$P$3,"Cons="&amp;S$4))</f>
        <v>13970755</v>
      </c>
      <c r="T15" s="46" t="str">
        <f ca="1">IF($L15="","",_xll.IMDP("STK",T$6,$L15,$P$3,"Cons="&amp;T$4))</f>
        <v/>
      </c>
      <c r="U15" s="46">
        <f ca="1">IF($L15="","",_xll.IMDP("STK",U$6,$L15,$P$3,"Cons="&amp;U$4))</f>
        <v>926316</v>
      </c>
      <c r="V15" s="46">
        <f ca="1">IF($L15="","",_xll.IMDP("STK",V$6,$L15,$P$3,"Cons="&amp;V$4))</f>
        <v>82214257</v>
      </c>
      <c r="W15" s="46">
        <f ca="1">IF($L15="","",_xll.IMDP("STK",W$6,$L15,$P$3,"Cons="&amp;W$4))</f>
        <v>1557684</v>
      </c>
      <c r="X15" s="46" t="str">
        <f ca="1">IF($L15="","",_xll.IMDP("STK",X$6,$L15,$P$3,"Cons="&amp;X$4))</f>
        <v/>
      </c>
      <c r="Y15" s="46" t="str">
        <f ca="1">IF($L15="","",_xll.IMDP("STK",Y$6,$L15,$P$3,"Cons="&amp;Y$4))</f>
        <v/>
      </c>
      <c r="Z15" s="46">
        <f ca="1">IF($L15="","",_xll.IMDP("STK",Z$6,$L15,$P$3,"Cons="&amp;Z$4))</f>
        <v>2283515</v>
      </c>
      <c r="AA15" s="46" t="str">
        <f ca="1">IF($L15="","",_xll.IMDP("STK",AA$6,$L15,$P$3,"Cons="&amp;AA$4))</f>
        <v/>
      </c>
      <c r="AC15" s="12" t="str">
        <f t="shared" si="3"/>
        <v>투자부동산</v>
      </c>
      <c r="AD15" s="46">
        <f t="shared" ca="1" si="2"/>
        <v>485161506</v>
      </c>
    </row>
    <row r="16" spans="2:30" x14ac:dyDescent="0.25">
      <c r="B16" s="18">
        <v>9</v>
      </c>
      <c r="C16" s="41">
        <f t="shared" ca="1" si="4"/>
        <v>44377</v>
      </c>
      <c r="E16" s="3">
        <v>9</v>
      </c>
      <c r="F16" s="1" t="s">
        <v>7</v>
      </c>
      <c r="G16" s="9" t="s">
        <v>42</v>
      </c>
      <c r="H16" s="5" t="s">
        <v>71</v>
      </c>
      <c r="I16" s="9" t="s">
        <v>110</v>
      </c>
      <c r="J16" s="8" t="s">
        <v>129</v>
      </c>
      <c r="L16" s="12" t="str">
        <f t="shared" si="1"/>
        <v>비업무용자산</v>
      </c>
      <c r="M16" s="46" t="str">
        <f ca="1">IF($L16="","",_xll.IMDP("STK",M$6,$L16,$P$3,"Cons="&amp;M$4))</f>
        <v/>
      </c>
      <c r="N16" s="46">
        <f ca="1">IF($L16="","",_xll.IMDP("STK",N$6,$L16,$P$3,"Cons="&amp;N$4))</f>
        <v>13280</v>
      </c>
      <c r="O16" s="46">
        <f ca="1">IF($L16="","",_xll.IMDP("STK",O$6,$L16,$P$3,"Cons="&amp;O$4))</f>
        <v>-46406</v>
      </c>
      <c r="P16" s="46">
        <f ca="1">IF($L16="","",_xll.IMDP("STK",P$6,$L16,$P$3,"Cons="&amp;P$4))</f>
        <v>-3548000</v>
      </c>
      <c r="Q16" s="46" t="str">
        <f ca="1">IF($L16="","",_xll.IMDP("STK",Q$6,$L16,$P$3,"Cons="&amp;Q$4))</f>
        <v/>
      </c>
      <c r="R16" s="46">
        <f ca="1">IF($L16="","",_xll.IMDP("STK",R$6,$L16,$P$3,"Cons="&amp;R$4))</f>
        <v>-1421000</v>
      </c>
      <c r="S16" s="46">
        <f ca="1">IF($L16="","",_xll.IMDP("STK",S$6,$L16,$P$3,"Cons="&amp;S$4))</f>
        <v>-563672</v>
      </c>
      <c r="T16" s="46" t="str">
        <f ca="1">IF($L16="","",_xll.IMDP("STK",T$6,$L16,$P$3,"Cons="&amp;T$4))</f>
        <v/>
      </c>
      <c r="U16" s="46">
        <f ca="1">IF($L16="","",_xll.IMDP("STK",U$6,$L16,$P$3,"Cons="&amp;U$4))</f>
        <v>-5859</v>
      </c>
      <c r="V16" s="46">
        <f ca="1">IF($L16="","",_xll.IMDP("STK",V$6,$L16,$P$3,"Cons="&amp;V$4))</f>
        <v>203532</v>
      </c>
      <c r="W16" s="46">
        <f ca="1">IF($L16="","",_xll.IMDP("STK",W$6,$L16,$P$3,"Cons="&amp;W$4))</f>
        <v>-90155</v>
      </c>
      <c r="X16" s="46" t="str">
        <f ca="1">IF($L16="","",_xll.IMDP("STK",X$6,$L16,$P$3,"Cons="&amp;X$4))</f>
        <v/>
      </c>
      <c r="Y16" s="46" t="str">
        <f ca="1">IF($L16="","",_xll.IMDP("STK",Y$6,$L16,$P$3,"Cons="&amp;Y$4))</f>
        <v/>
      </c>
      <c r="Z16" s="46">
        <f ca="1">IF($L16="","",_xll.IMDP("STK",Z$6,$L16,$P$3,"Cons="&amp;Z$4))</f>
        <v>-1950</v>
      </c>
      <c r="AA16" s="46" t="str">
        <f ca="1">IF($L16="","",_xll.IMDP("STK",AA$6,$L16,$P$3,"Cons="&amp;AA$4))</f>
        <v/>
      </c>
      <c r="AC16" s="12" t="str">
        <f t="shared" si="3"/>
        <v>비업무용자산</v>
      </c>
      <c r="AD16" s="46">
        <f t="shared" ca="1" si="2"/>
        <v>-5460230</v>
      </c>
    </row>
    <row r="17" spans="2:30" x14ac:dyDescent="0.25">
      <c r="B17" s="18">
        <v>10</v>
      </c>
      <c r="C17" s="41">
        <f t="shared" ca="1" si="4"/>
        <v>44286</v>
      </c>
      <c r="E17" s="3">
        <v>10</v>
      </c>
      <c r="F17" s="1" t="s">
        <v>8</v>
      </c>
      <c r="G17" s="4" t="s">
        <v>43</v>
      </c>
      <c r="H17" s="5" t="s">
        <v>72</v>
      </c>
      <c r="I17" s="9" t="s">
        <v>111</v>
      </c>
      <c r="J17" s="8" t="s">
        <v>130</v>
      </c>
      <c r="L17" s="12" t="str">
        <f t="shared" si="1"/>
        <v>영업권</v>
      </c>
      <c r="M17" s="46" t="str">
        <f ca="1">IF($L17="","",_xll.IMDP("STK",M$6,$L17,$P$3,"Cons="&amp;M$4))</f>
        <v/>
      </c>
      <c r="N17" s="46" t="str">
        <f ca="1">IF($L17="","",_xll.IMDP("STK",N$6,$L17,$P$3,"Cons="&amp;N$4))</f>
        <v/>
      </c>
      <c r="O17" s="46">
        <f ca="1">IF($L17="","",_xll.IMDP("STK",O$6,$L17,$P$3,"Cons="&amp;O$4))</f>
        <v>616150158</v>
      </c>
      <c r="P17" s="46" t="str">
        <f ca="1">IF($L17="","",_xll.IMDP("STK",P$6,$L17,$P$3,"Cons="&amp;P$4))</f>
        <v/>
      </c>
      <c r="Q17" s="46" t="str">
        <f ca="1">IF($L17="","",_xll.IMDP("STK",Q$6,$L17,$P$3,"Cons="&amp;Q$4))</f>
        <v/>
      </c>
      <c r="R17" s="46" t="str">
        <f ca="1">IF($L17="","",_xll.IMDP("STK",R$6,$L17,$P$3,"Cons="&amp;R$4))</f>
        <v/>
      </c>
      <c r="S17" s="46" t="str">
        <f ca="1">IF($L17="","",_xll.IMDP("STK",S$6,$L17,$P$3,"Cons="&amp;S$4))</f>
        <v/>
      </c>
      <c r="T17" s="46">
        <f ca="1">IF($L17="","",_xll.IMDP("STK",T$6,$L17,$P$3,"Cons="&amp;T$4))</f>
        <v>29660000</v>
      </c>
      <c r="U17" s="46" t="str">
        <f ca="1">IF($L17="","",_xll.IMDP("STK",U$6,$L17,$P$3,"Cons="&amp;U$4))</f>
        <v/>
      </c>
      <c r="V17" s="46" t="str">
        <f ca="1">IF($L17="","",_xll.IMDP("STK",V$6,$L17,$P$3,"Cons="&amp;V$4))</f>
        <v/>
      </c>
      <c r="W17" s="46" t="str">
        <f ca="1">IF($L17="","",_xll.IMDP("STK",W$6,$L17,$P$3,"Cons="&amp;W$4))</f>
        <v/>
      </c>
      <c r="X17" s="46" t="str">
        <f ca="1">IF($L17="","",_xll.IMDP("STK",X$6,$L17,$P$3,"Cons="&amp;X$4))</f>
        <v/>
      </c>
      <c r="Y17" s="46" t="str">
        <f ca="1">IF($L17="","",_xll.IMDP("STK",Y$6,$L17,$P$3,"Cons="&amp;Y$4))</f>
        <v/>
      </c>
      <c r="Z17" s="46" t="str">
        <f ca="1">IF($L17="","",_xll.IMDP("STK",Z$6,$L17,$P$3,"Cons="&amp;Z$4))</f>
        <v/>
      </c>
      <c r="AA17" s="46">
        <f ca="1">IF($L17="","",_xll.IMDP("STK",AA$6,$L17,$P$3,"Cons="&amp;AA$4))</f>
        <v>8637000</v>
      </c>
      <c r="AC17" s="12" t="str">
        <f t="shared" si="3"/>
        <v>영업권</v>
      </c>
      <c r="AD17" s="46">
        <f t="shared" ca="1" si="2"/>
        <v>654447158</v>
      </c>
    </row>
    <row r="18" spans="2:30" x14ac:dyDescent="0.25">
      <c r="B18" s="18">
        <v>11</v>
      </c>
      <c r="C18" s="41">
        <f t="shared" ca="1" si="4"/>
        <v>44196</v>
      </c>
      <c r="E18" s="3">
        <v>11</v>
      </c>
      <c r="F18" s="1" t="s">
        <v>9</v>
      </c>
      <c r="G18" s="4" t="s">
        <v>44</v>
      </c>
      <c r="H18" s="2" t="s">
        <v>73</v>
      </c>
      <c r="I18" s="9" t="s">
        <v>112</v>
      </c>
      <c r="J18" s="8" t="s">
        <v>131</v>
      </c>
      <c r="L18" s="12" t="str">
        <f t="shared" si="1"/>
        <v>무형자산</v>
      </c>
      <c r="M18" s="46">
        <f ca="1">IF($L18="","",_xll.IMDP("STK",M$6,$L18,$P$3,"Cons="&amp;M$4))</f>
        <v>23430234000</v>
      </c>
      <c r="N18" s="46">
        <f ca="1">IF($L18="","",_xll.IMDP("STK",N$6,$L18,$P$3,"Cons="&amp;N$4))</f>
        <v>3511227</v>
      </c>
      <c r="O18" s="46">
        <f ca="1">IF($L18="","",_xll.IMDP("STK",O$6,$L18,$P$3,"Cons="&amp;O$4))</f>
        <v>214927474</v>
      </c>
      <c r="P18" s="46">
        <f ca="1">IF($L18="","",_xll.IMDP("STK",P$6,$L18,$P$3,"Cons="&amp;P$4))</f>
        <v>2561617000</v>
      </c>
      <c r="Q18" s="46">
        <f ca="1">IF($L18="","",_xll.IMDP("STK",Q$6,$L18,$P$3,"Cons="&amp;Q$4))</f>
        <v>156202338</v>
      </c>
      <c r="R18" s="46">
        <f ca="1">IF($L18="","",_xll.IMDP("STK",R$6,$L18,$P$3,"Cons="&amp;R$4))</f>
        <v>1735711000</v>
      </c>
      <c r="S18" s="46">
        <f ca="1">IF($L18="","",_xll.IMDP("STK",S$6,$L18,$P$3,"Cons="&amp;S$4))</f>
        <v>228437076</v>
      </c>
      <c r="T18" s="46">
        <f ca="1">IF($L18="","",_xll.IMDP("STK",T$6,$L18,$P$3,"Cons="&amp;T$4))</f>
        <v>67296034</v>
      </c>
      <c r="U18" s="46">
        <f ca="1">IF($L18="","",_xll.IMDP("STK",U$6,$L18,$P$3,"Cons="&amp;U$4))</f>
        <v>8983018</v>
      </c>
      <c r="V18" s="46">
        <f ca="1">IF($L18="","",_xll.IMDP("STK",V$6,$L18,$P$3,"Cons="&amp;V$4))</f>
        <v>2366800</v>
      </c>
      <c r="W18" s="46">
        <f ca="1">IF($L18="","",_xll.IMDP("STK",W$6,$L18,$P$3,"Cons="&amp;W$4))</f>
        <v>9088181</v>
      </c>
      <c r="X18" s="46">
        <f ca="1">IF($L18="","",_xll.IMDP("STK",X$6,$L18,$P$3,"Cons="&amp;X$4))</f>
        <v>803011</v>
      </c>
      <c r="Y18" s="46">
        <f ca="1">IF($L18="","",_xll.IMDP("STK",Y$6,$L18,$P$3,"Cons="&amp;Y$4))</f>
        <v>17175786</v>
      </c>
      <c r="Z18" s="46">
        <f ca="1">IF($L18="","",_xll.IMDP("STK",Z$6,$L18,$P$3,"Cons="&amp;Z$4))</f>
        <v>16999401</v>
      </c>
      <c r="AA18" s="46">
        <f ca="1">IF($L18="","",_xll.IMDP("STK",AA$6,$L18,$P$3,"Cons="&amp;AA$4))</f>
        <v>63753442</v>
      </c>
      <c r="AC18" s="12" t="str">
        <f t="shared" si="3"/>
        <v>무형자산</v>
      </c>
      <c r="AD18" s="46">
        <f t="shared" ca="1" si="2"/>
        <v>28517105788</v>
      </c>
    </row>
    <row r="19" spans="2:30" x14ac:dyDescent="0.25">
      <c r="B19" s="18">
        <v>12</v>
      </c>
      <c r="C19" s="41">
        <f t="shared" ca="1" si="4"/>
        <v>44104</v>
      </c>
      <c r="E19" s="3">
        <v>12</v>
      </c>
      <c r="F19" s="1" t="s">
        <v>10</v>
      </c>
      <c r="G19" s="4" t="s">
        <v>45</v>
      </c>
      <c r="H19" s="5" t="s">
        <v>74</v>
      </c>
      <c r="I19" s="6" t="s">
        <v>113</v>
      </c>
      <c r="J19" s="8" t="s">
        <v>132</v>
      </c>
      <c r="L19" s="12" t="str">
        <f t="shared" si="1"/>
        <v>이연법인세자산</v>
      </c>
      <c r="M19" s="46">
        <f ca="1">IF($L19="","",_xll.IMDP("STK",M$6,$L19,$P$3,"Cons="&amp;M$4))</f>
        <v>5527377000</v>
      </c>
      <c r="N19" s="46">
        <f ca="1">IF($L19="","",_xll.IMDP("STK",N$6,$L19,$P$3,"Cons="&amp;N$4))</f>
        <v>87733098</v>
      </c>
      <c r="O19" s="46">
        <f ca="1">IF($L19="","",_xll.IMDP("STK",O$6,$L19,$P$3,"Cons="&amp;O$4))</f>
        <v>186197507</v>
      </c>
      <c r="P19" s="46">
        <f ca="1">IF($L19="","",_xll.IMDP("STK",P$6,$L19,$P$3,"Cons="&amp;P$4))</f>
        <v>2518502000</v>
      </c>
      <c r="Q19" s="46">
        <f ca="1">IF($L19="","",_xll.IMDP("STK",Q$6,$L19,$P$3,"Cons="&amp;Q$4))</f>
        <v>127642054</v>
      </c>
      <c r="R19" s="46">
        <f ca="1">IF($L19="","",_xll.IMDP("STK",R$6,$L19,$P$3,"Cons="&amp;R$4))</f>
        <v>3365619000</v>
      </c>
      <c r="S19" s="46">
        <f ca="1">IF($L19="","",_xll.IMDP("STK",S$6,$L19,$P$3,"Cons="&amp;S$4))</f>
        <v>234188582</v>
      </c>
      <c r="T19" s="46">
        <f ca="1">IF($L19="","",_xll.IMDP("STK",T$6,$L19,$P$3,"Cons="&amp;T$4))</f>
        <v>36183423</v>
      </c>
      <c r="U19" s="46">
        <f ca="1">IF($L19="","",_xll.IMDP("STK",U$6,$L19,$P$3,"Cons="&amp;U$4))</f>
        <v>11967207</v>
      </c>
      <c r="V19" s="46">
        <f ca="1">IF($L19="","",_xll.IMDP("STK",V$6,$L19,$P$3,"Cons="&amp;V$4))</f>
        <v>2912918</v>
      </c>
      <c r="W19" s="46">
        <f ca="1">IF($L19="","",_xll.IMDP("STK",W$6,$L19,$P$3,"Cons="&amp;W$4))</f>
        <v>47455708</v>
      </c>
      <c r="X19" s="46" t="str">
        <f ca="1">IF($L19="","",_xll.IMDP("STK",X$6,$L19,$P$3,"Cons="&amp;X$4))</f>
        <v/>
      </c>
      <c r="Y19" s="46">
        <f ca="1">IF($L19="","",_xll.IMDP("STK",Y$6,$L19,$P$3,"Cons="&amp;Y$4))</f>
        <v>3275167</v>
      </c>
      <c r="Z19" s="46">
        <f ca="1">IF($L19="","",_xll.IMDP("STK",Z$6,$L19,$P$3,"Cons="&amp;Z$4))</f>
        <v>52228351</v>
      </c>
      <c r="AA19" s="46">
        <f ca="1">IF($L19="","",_xll.IMDP("STK",AA$6,$L19,$P$3,"Cons="&amp;AA$4))</f>
        <v>197135382</v>
      </c>
      <c r="AC19" s="12" t="str">
        <f t="shared" si="3"/>
        <v>이연법인세자산</v>
      </c>
      <c r="AD19" s="46">
        <f t="shared" ca="1" si="2"/>
        <v>12398417397</v>
      </c>
    </row>
    <row r="20" spans="2:30" x14ac:dyDescent="0.25">
      <c r="B20" s="18">
        <v>13</v>
      </c>
      <c r="C20" s="41">
        <f t="shared" ca="1" si="4"/>
        <v>44012</v>
      </c>
      <c r="E20" s="3">
        <v>13</v>
      </c>
      <c r="F20" s="1" t="s">
        <v>11</v>
      </c>
      <c r="G20" s="4" t="s">
        <v>46</v>
      </c>
      <c r="H20" s="5" t="s">
        <v>75</v>
      </c>
      <c r="I20" s="6" t="s">
        <v>114</v>
      </c>
      <c r="J20" s="8" t="s">
        <v>133</v>
      </c>
      <c r="L20" s="12" t="str">
        <f t="shared" si="1"/>
        <v>당기법인세자산</v>
      </c>
      <c r="M20" s="46" t="str">
        <f ca="1">IF($L20="","",_xll.IMDP("STK",M$6,$L20,$P$3,"Cons="&amp;M$4))</f>
        <v/>
      </c>
      <c r="N20" s="46">
        <f ca="1">IF($L20="","",_xll.IMDP("STK",N$6,$L20,$P$3,"Cons="&amp;N$4))</f>
        <v>10893</v>
      </c>
      <c r="O20" s="46" t="str">
        <f ca="1">IF($L20="","",_xll.IMDP("STK",O$6,$L20,$P$3,"Cons="&amp;O$4))</f>
        <v/>
      </c>
      <c r="P20" s="46">
        <f ca="1">IF($L20="","",_xll.IMDP("STK",P$6,$L20,$P$3,"Cons="&amp;P$4))</f>
        <v>157944000</v>
      </c>
      <c r="Q20" s="46">
        <f ca="1">IF($L20="","",_xll.IMDP("STK",Q$6,$L20,$P$3,"Cons="&amp;Q$4))</f>
        <v>13484437</v>
      </c>
      <c r="R20" s="46">
        <f ca="1">IF($L20="","",_xll.IMDP("STK",R$6,$L20,$P$3,"Cons="&amp;R$4))</f>
        <v>5023000</v>
      </c>
      <c r="S20" s="46">
        <f ca="1">IF($L20="","",_xll.IMDP("STK",S$6,$L20,$P$3,"Cons="&amp;S$4))</f>
        <v>1536042</v>
      </c>
      <c r="T20" s="46">
        <f ca="1">IF($L20="","",_xll.IMDP("STK",T$6,$L20,$P$3,"Cons="&amp;T$4))</f>
        <v>140131</v>
      </c>
      <c r="U20" s="46">
        <f ca="1">IF($L20="","",_xll.IMDP("STK",U$6,$L20,$P$3,"Cons="&amp;U$4))</f>
        <v>236158</v>
      </c>
      <c r="V20" s="46">
        <f ca="1">IF($L20="","",_xll.IMDP("STK",V$6,$L20,$P$3,"Cons="&amp;V$4))</f>
        <v>49090</v>
      </c>
      <c r="W20" s="46">
        <f ca="1">IF($L20="","",_xll.IMDP("STK",W$6,$L20,$P$3,"Cons="&amp;W$4))</f>
        <v>748482</v>
      </c>
      <c r="X20" s="46" t="str">
        <f ca="1">IF($L20="","",_xll.IMDP("STK",X$6,$L20,$P$3,"Cons="&amp;X$4))</f>
        <v/>
      </c>
      <c r="Y20" s="46">
        <f ca="1">IF($L20="","",_xll.IMDP("STK",Y$6,$L20,$P$3,"Cons="&amp;Y$4))</f>
        <v>2033436</v>
      </c>
      <c r="Z20" s="46" t="str">
        <f ca="1">IF($L20="","",_xll.IMDP("STK",Z$6,$L20,$P$3,"Cons="&amp;Z$4))</f>
        <v/>
      </c>
      <c r="AA20" s="46">
        <f ca="1">IF($L20="","",_xll.IMDP("STK",AA$6,$L20,$P$3,"Cons="&amp;AA$4))</f>
        <v>510977</v>
      </c>
      <c r="AC20" s="12" t="str">
        <f t="shared" si="3"/>
        <v>당기법인세자산</v>
      </c>
      <c r="AD20" s="46">
        <f t="shared" ca="1" si="2"/>
        <v>181716646</v>
      </c>
    </row>
    <row r="21" spans="2:30" x14ac:dyDescent="0.25">
      <c r="B21" s="18">
        <v>14</v>
      </c>
      <c r="C21" s="41">
        <f t="shared" ca="1" si="4"/>
        <v>43921</v>
      </c>
      <c r="E21" s="3">
        <v>14</v>
      </c>
      <c r="F21" s="1" t="s">
        <v>12</v>
      </c>
      <c r="G21" s="4" t="s">
        <v>47</v>
      </c>
      <c r="H21" s="9" t="s">
        <v>76</v>
      </c>
      <c r="I21" s="6" t="s">
        <v>115</v>
      </c>
      <c r="J21" s="8" t="s">
        <v>134</v>
      </c>
      <c r="L21" s="12" t="str">
        <f t="shared" si="1"/>
        <v>기타금융업자산</v>
      </c>
      <c r="M21" s="46" t="str">
        <f ca="1">IF($L21="","",_xll.IMDP("STK",M$6,$L21,$P$3,"Cons="&amp;M$4))</f>
        <v/>
      </c>
      <c r="N21" s="46" t="str">
        <f ca="1">IF($L21="","",_xll.IMDP("STK",N$6,$L21,$P$3,"Cons="&amp;N$4))</f>
        <v/>
      </c>
      <c r="O21" s="46" t="str">
        <f ca="1">IF($L21="","",_xll.IMDP("STK",O$6,$L21,$P$3,"Cons="&amp;O$4))</f>
        <v/>
      </c>
      <c r="P21" s="46" t="str">
        <f ca="1">IF($L21="","",_xll.IMDP("STK",P$6,$L21,$P$3,"Cons="&amp;P$4))</f>
        <v/>
      </c>
      <c r="Q21" s="46" t="str">
        <f ca="1">IF($L21="","",_xll.IMDP("STK",Q$6,$L21,$P$3,"Cons="&amp;Q$4))</f>
        <v/>
      </c>
      <c r="R21" s="46" t="str">
        <f ca="1">IF($L21="","",_xll.IMDP("STK",R$6,$L21,$P$3,"Cons="&amp;R$4))</f>
        <v/>
      </c>
      <c r="S21" s="46" t="str">
        <f ca="1">IF($L21="","",_xll.IMDP("STK",S$6,$L21,$P$3,"Cons="&amp;S$4))</f>
        <v/>
      </c>
      <c r="T21" s="46" t="str">
        <f ca="1">IF($L21="","",_xll.IMDP("STK",T$6,$L21,$P$3,"Cons="&amp;T$4))</f>
        <v/>
      </c>
      <c r="U21" s="46" t="str">
        <f ca="1">IF($L21="","",_xll.IMDP("STK",U$6,$L21,$P$3,"Cons="&amp;U$4))</f>
        <v/>
      </c>
      <c r="V21" s="46" t="str">
        <f ca="1">IF($L21="","",_xll.IMDP("STK",V$6,$L21,$P$3,"Cons="&amp;V$4))</f>
        <v/>
      </c>
      <c r="W21" s="46" t="str">
        <f ca="1">IF($L21="","",_xll.IMDP("STK",W$6,$L21,$P$3,"Cons="&amp;W$4))</f>
        <v/>
      </c>
      <c r="X21" s="46" t="str">
        <f ca="1">IF($L21="","",_xll.IMDP("STK",X$6,$L21,$P$3,"Cons="&amp;X$4))</f>
        <v/>
      </c>
      <c r="Y21" s="46" t="str">
        <f ca="1">IF($L21="","",_xll.IMDP("STK",Y$6,$L21,$P$3,"Cons="&amp;Y$4))</f>
        <v/>
      </c>
      <c r="Z21" s="46" t="str">
        <f ca="1">IF($L21="","",_xll.IMDP("STK",Z$6,$L21,$P$3,"Cons="&amp;Z$4))</f>
        <v/>
      </c>
      <c r="AA21" s="46" t="str">
        <f ca="1">IF($L21="","",_xll.IMDP("STK",AA$6,$L21,$P$3,"Cons="&amp;AA$4))</f>
        <v/>
      </c>
      <c r="AC21" s="12" t="str">
        <f t="shared" si="3"/>
        <v>기타금융업자산</v>
      </c>
      <c r="AD21" s="46" t="str">
        <f t="shared" ca="1" si="2"/>
        <v/>
      </c>
    </row>
    <row r="22" spans="2:30" x14ac:dyDescent="0.25">
      <c r="B22" s="18">
        <v>15</v>
      </c>
      <c r="C22" s="41">
        <f t="shared" ca="1" si="4"/>
        <v>43830</v>
      </c>
      <c r="E22" s="3">
        <v>15</v>
      </c>
      <c r="F22" s="2" t="s">
        <v>32</v>
      </c>
      <c r="G22" s="4" t="s">
        <v>48</v>
      </c>
      <c r="H22" s="5" t="s">
        <v>156</v>
      </c>
      <c r="I22" s="6" t="s">
        <v>116</v>
      </c>
      <c r="J22" s="8" t="s">
        <v>135</v>
      </c>
      <c r="L22" s="12" t="str">
        <f t="shared" si="1"/>
        <v>자본</v>
      </c>
      <c r="M22" s="46">
        <f ca="1">IF($L22="","",_xll.IMDP("STK",M$6,$L22,$P$3,"Cons="&amp;M$4))</f>
        <v>358975626000</v>
      </c>
      <c r="N22" s="46">
        <f ca="1">IF($L22="","",_xll.IMDP("STK",N$6,$L22,$P$3,"Cons="&amp;N$4))</f>
        <v>457143070</v>
      </c>
      <c r="O22" s="46">
        <f ca="1">IF($L22="","",_xll.IMDP("STK",O$6,$L22,$P$3,"Cons="&amp;O$4))</f>
        <v>18452619572</v>
      </c>
      <c r="P22" s="46">
        <f ca="1">IF($L22="","",_xll.IMDP("STK",P$6,$L22,$P$3,"Cons="&amp;P$4))</f>
        <v>23551591000</v>
      </c>
      <c r="Q22" s="46">
        <f ca="1">IF($L22="","",_xll.IMDP("STK",Q$6,$L22,$P$3,"Cons="&amp;Q$4))</f>
        <v>7806817130</v>
      </c>
      <c r="R22" s="46">
        <f ca="1">IF($L22="","",_xll.IMDP("STK",R$6,$L22,$P$3,"Cons="&amp;R$4))</f>
        <v>9510888000</v>
      </c>
      <c r="S22" s="46">
        <f ca="1">IF($L22="","",_xll.IMDP("STK",S$6,$L22,$P$3,"Cons="&amp;S$4))</f>
        <v>4277402426</v>
      </c>
      <c r="T22" s="46">
        <f ca="1">IF($L22="","",_xll.IMDP("STK",T$6,$L22,$P$3,"Cons="&amp;T$4))</f>
        <v>1643304380</v>
      </c>
      <c r="U22" s="46">
        <f ca="1">IF($L22="","",_xll.IMDP("STK",U$6,$L22,$P$3,"Cons="&amp;U$4))</f>
        <v>1970841240</v>
      </c>
      <c r="V22" s="46">
        <f ca="1">IF($L22="","",_xll.IMDP("STK",V$6,$L22,$P$3,"Cons="&amp;V$4))</f>
        <v>1011386031</v>
      </c>
      <c r="W22" s="46">
        <f ca="1">IF($L22="","",_xll.IMDP("STK",W$6,$L22,$P$3,"Cons="&amp;W$4))</f>
        <v>902408669</v>
      </c>
      <c r="X22" s="46">
        <f ca="1">IF($L22="","",_xll.IMDP("STK",X$6,$L22,$P$3,"Cons="&amp;X$4))</f>
        <v>243573950</v>
      </c>
      <c r="Y22" s="46">
        <f ca="1">IF($L22="","",_xll.IMDP("STK",Y$6,$L22,$P$3,"Cons="&amp;Y$4))</f>
        <v>1668820907</v>
      </c>
      <c r="Z22" s="46">
        <f ca="1">IF($L22="","",_xll.IMDP("STK",Z$6,$L22,$P$3,"Cons="&amp;Z$4))</f>
        <v>552225977</v>
      </c>
      <c r="AA22" s="46">
        <f ca="1">IF($L22="","",_xll.IMDP("STK",AA$6,$L22,$P$3,"Cons="&amp;AA$4))</f>
        <v>884786253</v>
      </c>
      <c r="AC22" s="12" t="str">
        <f t="shared" si="3"/>
        <v>자본</v>
      </c>
      <c r="AD22" s="46">
        <f t="shared" ca="1" si="2"/>
        <v>431909434605</v>
      </c>
    </row>
    <row r="23" spans="2:30" x14ac:dyDescent="0.25">
      <c r="B23" s="18">
        <v>16</v>
      </c>
      <c r="C23" s="41">
        <f t="shared" ca="1" si="4"/>
        <v>43738</v>
      </c>
      <c r="E23" s="3">
        <v>16</v>
      </c>
      <c r="F23" s="1" t="s">
        <v>13</v>
      </c>
      <c r="G23" s="4" t="s">
        <v>49</v>
      </c>
      <c r="H23" s="5" t="s">
        <v>77</v>
      </c>
      <c r="I23" s="9" t="s">
        <v>117</v>
      </c>
      <c r="J23" s="8" t="s">
        <v>136</v>
      </c>
      <c r="L23" s="12" t="str">
        <f t="shared" si="1"/>
        <v>상장자본금</v>
      </c>
      <c r="M23" s="46">
        <f ca="1">IF($L23="","",_xll.IMDP("STK",M$6,$L23,$P$3,"Cons="&amp;M$4))</f>
        <v>897514000</v>
      </c>
      <c r="N23" s="46">
        <f ca="1">IF($L23="","",_xll.IMDP("STK",N$6,$L23,$P$3,"Cons="&amp;N$4))</f>
        <v>107000000</v>
      </c>
      <c r="O23" s="46">
        <f ca="1">IF($L23="","",_xll.IMDP("STK",O$6,$L23,$P$3,"Cons="&amp;O$4))</f>
        <v>356712130</v>
      </c>
      <c r="P23" s="46">
        <f ca="1">IF($L23="","",_xll.IMDP("STK",P$6,$L23,$P$3,"Cons="&amp;P$4))</f>
        <v>904169000</v>
      </c>
      <c r="Q23" s="46">
        <f ca="1">IF($L23="","",_xll.IMDP("STK",Q$6,$L23,$P$3,"Cons="&amp;Q$4))</f>
        <v>388003400</v>
      </c>
      <c r="R23" s="46">
        <f ca="1">IF($L23="","",_xll.IMDP("STK",R$6,$L23,$P$3,"Cons="&amp;R$4))</f>
        <v>1789079000</v>
      </c>
      <c r="S23" s="46">
        <f ca="1">IF($L23="","",_xll.IMDP("STK",S$6,$L23,$P$3,"Cons="&amp;S$4))</f>
        <v>118335535</v>
      </c>
      <c r="T23" s="46">
        <f ca="1">IF($L23="","",_xll.IMDP("STK",T$6,$L23,$P$3,"Cons="&amp;T$4))</f>
        <v>150000000</v>
      </c>
      <c r="U23" s="46">
        <f ca="1">IF($L23="","",_xll.IMDP("STK",U$6,$L23,$P$3,"Cons="&amp;U$4))</f>
        <v>23055418</v>
      </c>
      <c r="V23" s="46">
        <f ca="1">IF($L23="","",_xll.IMDP("STK",V$6,$L23,$P$3,"Cons="&amp;V$4))</f>
        <v>3556218</v>
      </c>
      <c r="W23" s="46">
        <f ca="1">IF($L23="","",_xll.IMDP("STK",W$6,$L23,$P$3,"Cons="&amp;W$4))</f>
        <v>124447300</v>
      </c>
      <c r="X23" s="46">
        <f ca="1">IF($L23="","",_xll.IMDP("STK",X$6,$L23,$P$3,"Cons="&amp;X$4))</f>
        <v>10395000</v>
      </c>
      <c r="Y23" s="46">
        <f ca="1">IF($L23="","",_xll.IMDP("STK",Y$6,$L23,$P$3,"Cons="&amp;Y$4))</f>
        <v>222555835</v>
      </c>
      <c r="Z23" s="46">
        <f ca="1">IF($L23="","",_xll.IMDP("STK",Z$6,$L23,$P$3,"Cons="&amp;Z$4))</f>
        <v>14568592</v>
      </c>
      <c r="AA23" s="46">
        <f ca="1">IF($L23="","",_xll.IMDP("STK",AA$6,$L23,$P$3,"Cons="&amp;AA$4))</f>
        <v>180235675</v>
      </c>
      <c r="AC23" s="12" t="str">
        <f t="shared" si="3"/>
        <v>상장자본금</v>
      </c>
      <c r="AD23" s="46">
        <f t="shared" ca="1" si="2"/>
        <v>5289627103</v>
      </c>
    </row>
    <row r="24" spans="2:30" x14ac:dyDescent="0.25">
      <c r="B24" s="18">
        <v>17</v>
      </c>
      <c r="C24" s="41">
        <f t="shared" ca="1" si="4"/>
        <v>43646</v>
      </c>
      <c r="E24" s="3">
        <v>17</v>
      </c>
      <c r="F24" s="1" t="s">
        <v>14</v>
      </c>
      <c r="G24" s="4" t="s">
        <v>50</v>
      </c>
      <c r="H24" s="5" t="s">
        <v>78</v>
      </c>
      <c r="I24" s="9" t="s">
        <v>118</v>
      </c>
      <c r="J24" s="8" t="s">
        <v>137</v>
      </c>
      <c r="L24" s="12" t="str">
        <f t="shared" si="1"/>
        <v>신종자본증권</v>
      </c>
      <c r="M24" s="46" t="str">
        <f ca="1">IF($L24="","",_xll.IMDP("STK",M$6,$L24,$P$3,"Cons="&amp;M$4))</f>
        <v/>
      </c>
      <c r="N24" s="46" t="str">
        <f ca="1">IF($L24="","",_xll.IMDP("STK",N$6,$L24,$P$3,"Cons="&amp;N$4))</f>
        <v/>
      </c>
      <c r="O24" s="46" t="str">
        <f ca="1">IF($L24="","",_xll.IMDP("STK",O$6,$L24,$P$3,"Cons="&amp;O$4))</f>
        <v/>
      </c>
      <c r="P24" s="46" t="str">
        <f ca="1">IF($L24="","",_xll.IMDP("STK",P$6,$L24,$P$3,"Cons="&amp;P$4))</f>
        <v/>
      </c>
      <c r="Q24" s="46" t="str">
        <f ca="1">IF($L24="","",_xll.IMDP("STK",Q$6,$L24,$P$3,"Cons="&amp;Q$4))</f>
        <v/>
      </c>
      <c r="R24" s="46" t="str">
        <f ca="1">IF($L24="","",_xll.IMDP("STK",R$6,$L24,$P$3,"Cons="&amp;R$4))</f>
        <v/>
      </c>
      <c r="S24" s="46" t="str">
        <f ca="1">IF($L24="","",_xll.IMDP("STK",S$6,$L24,$P$3,"Cons="&amp;S$4))</f>
        <v/>
      </c>
      <c r="T24" s="46" t="str">
        <f ca="1">IF($L24="","",_xll.IMDP("STK",T$6,$L24,$P$3,"Cons="&amp;T$4))</f>
        <v/>
      </c>
      <c r="U24" s="46" t="str">
        <f ca="1">IF($L24="","",_xll.IMDP("STK",U$6,$L24,$P$3,"Cons="&amp;U$4))</f>
        <v/>
      </c>
      <c r="V24" s="46" t="str">
        <f ca="1">IF($L24="","",_xll.IMDP("STK",V$6,$L24,$P$3,"Cons="&amp;V$4))</f>
        <v/>
      </c>
      <c r="W24" s="46" t="str">
        <f ca="1">IF($L24="","",_xll.IMDP("STK",W$6,$L24,$P$3,"Cons="&amp;W$4))</f>
        <v/>
      </c>
      <c r="X24" s="46" t="str">
        <f ca="1">IF($L24="","",_xll.IMDP("STK",X$6,$L24,$P$3,"Cons="&amp;X$4))</f>
        <v/>
      </c>
      <c r="Y24" s="46" t="str">
        <f ca="1">IF($L24="","",_xll.IMDP("STK",Y$6,$L24,$P$3,"Cons="&amp;Y$4))</f>
        <v/>
      </c>
      <c r="Z24" s="46" t="str">
        <f ca="1">IF($L24="","",_xll.IMDP("STK",Z$6,$L24,$P$3,"Cons="&amp;Z$4))</f>
        <v/>
      </c>
      <c r="AA24" s="46" t="str">
        <f ca="1">IF($L24="","",_xll.IMDP("STK",AA$6,$L24,$P$3,"Cons="&amp;AA$4))</f>
        <v/>
      </c>
      <c r="AC24" s="12" t="str">
        <f t="shared" si="3"/>
        <v>신종자본증권</v>
      </c>
      <c r="AD24" s="46" t="str">
        <f t="shared" ca="1" si="2"/>
        <v/>
      </c>
    </row>
    <row r="25" spans="2:30" x14ac:dyDescent="0.25">
      <c r="B25" s="18">
        <v>18</v>
      </c>
      <c r="C25" s="41">
        <f t="shared" ca="1" si="4"/>
        <v>43555</v>
      </c>
      <c r="E25" s="3">
        <v>18</v>
      </c>
      <c r="F25" s="1" t="s">
        <v>15</v>
      </c>
      <c r="G25" s="4" t="s">
        <v>51</v>
      </c>
      <c r="H25" s="5" t="s">
        <v>79</v>
      </c>
      <c r="J25" s="8" t="s">
        <v>138</v>
      </c>
      <c r="L25" s="12" t="str">
        <f t="shared" si="1"/>
        <v>자본잉여금</v>
      </c>
      <c r="M25" s="46">
        <f ca="1">IF($L25="","",_xll.IMDP("STK",M$6,$L25,$P$3,"Cons="&amp;M$4))</f>
        <v>4403893000</v>
      </c>
      <c r="N25" s="46">
        <f ca="1">IF($L25="","",_xll.IMDP("STK",N$6,$L25,$P$3,"Cons="&amp;N$4))</f>
        <v>30865646</v>
      </c>
      <c r="O25" s="46">
        <f ca="1">IF($L25="","",_xll.IMDP("STK",O$6,$L25,$P$3,"Cons="&amp;O$4))</f>
        <v>5001974693</v>
      </c>
      <c r="P25" s="46">
        <f ca="1">IF($L25="","",_xll.IMDP("STK",P$6,$L25,$P$3,"Cons="&amp;P$4))</f>
        <v>3050685000</v>
      </c>
      <c r="Q25" s="46">
        <f ca="1">IF($L25="","",_xll.IMDP("STK",Q$6,$L25,$P$3,"Cons="&amp;Q$4))</f>
        <v>1053516215</v>
      </c>
      <c r="R25" s="46">
        <f ca="1">IF($L25="","",_xll.IMDP("STK",R$6,$L25,$P$3,"Cons="&amp;R$4))</f>
        <v>2251113000</v>
      </c>
      <c r="S25" s="46">
        <f ca="1">IF($L25="","",_xll.IMDP("STK",S$6,$L25,$P$3,"Cons="&amp;S$4))</f>
        <v>1133646238</v>
      </c>
      <c r="T25" s="46">
        <f ca="1">IF($L25="","",_xll.IMDP("STK",T$6,$L25,$P$3,"Cons="&amp;T$4))</f>
        <v>-6734446</v>
      </c>
      <c r="U25" s="46">
        <f ca="1">IF($L25="","",_xll.IMDP("STK",U$6,$L25,$P$3,"Cons="&amp;U$4))</f>
        <v>1137695753</v>
      </c>
      <c r="V25" s="46">
        <f ca="1">IF($L25="","",_xll.IMDP("STK",V$6,$L25,$P$3,"Cons="&amp;V$4))</f>
        <v>223921571</v>
      </c>
      <c r="W25" s="46">
        <f ca="1">IF($L25="","",_xll.IMDP("STK",W$6,$L25,$P$3,"Cons="&amp;W$4))</f>
        <v>755461138</v>
      </c>
      <c r="X25" s="46">
        <f ca="1">IF($L25="","",_xll.IMDP("STK",X$6,$L25,$P$3,"Cons="&amp;X$4))</f>
        <v>4514452</v>
      </c>
      <c r="Y25" s="46">
        <f ca="1">IF($L25="","",_xll.IMDP("STK",Y$6,$L25,$P$3,"Cons="&amp;Y$4))</f>
        <v>128092276</v>
      </c>
      <c r="Z25" s="46">
        <f ca="1">IF($L25="","",_xll.IMDP("STK",Z$6,$L25,$P$3,"Cons="&amp;Z$4))</f>
        <v>130548259</v>
      </c>
      <c r="AA25" s="46">
        <f ca="1">IF($L25="","",_xll.IMDP("STK",AA$6,$L25,$P$3,"Cons="&amp;AA$4))</f>
        <v>401832639</v>
      </c>
      <c r="AC25" s="12" t="str">
        <f t="shared" si="3"/>
        <v>자본잉여금</v>
      </c>
      <c r="AD25" s="46">
        <f t="shared" ca="1" si="2"/>
        <v>19701025434</v>
      </c>
    </row>
    <row r="26" spans="2:30" x14ac:dyDescent="0.25">
      <c r="B26" s="18">
        <v>19</v>
      </c>
      <c r="C26" s="41">
        <f t="shared" ca="1" si="4"/>
        <v>43465</v>
      </c>
      <c r="E26" s="3">
        <v>19</v>
      </c>
      <c r="F26" s="1" t="s">
        <v>16</v>
      </c>
      <c r="G26" s="4" t="s">
        <v>52</v>
      </c>
      <c r="H26" s="5" t="s">
        <v>80</v>
      </c>
      <c r="J26" s="8" t="s">
        <v>139</v>
      </c>
      <c r="L26" s="12" t="str">
        <f t="shared" si="1"/>
        <v>기타자본</v>
      </c>
      <c r="M26" s="46">
        <f ca="1">IF($L26="","",_xll.IMDP("STK",M$6,$L26,$P$3,"Cons="&amp;M$4))</f>
        <v>99452000</v>
      </c>
      <c r="N26" s="46">
        <f ca="1">IF($L26="","",_xll.IMDP("STK",N$6,$L26,$P$3,"Cons="&amp;N$4))</f>
        <v>-10150443</v>
      </c>
      <c r="O26" s="46">
        <f ca="1">IF($L26="","",_xll.IMDP("STK",O$6,$L26,$P$3,"Cons="&amp;O$4))</f>
        <v>-345131584</v>
      </c>
      <c r="P26" s="46">
        <f ca="1">IF($L26="","",_xll.IMDP("STK",P$6,$L26,$P$3,"Cons="&amp;P$4))</f>
        <v>-44893000</v>
      </c>
      <c r="Q26" s="46">
        <f ca="1">IF($L26="","",_xll.IMDP("STK",Q$6,$L26,$P$3,"Cons="&amp;Q$4))</f>
        <v>-146701456</v>
      </c>
      <c r="R26" s="46" t="str">
        <f ca="1">IF($L26="","",_xll.IMDP("STK",R$6,$L26,$P$3,"Cons="&amp;R$4))</f>
        <v/>
      </c>
      <c r="S26" s="46">
        <f ca="1">IF($L26="","",_xll.IMDP("STK",S$6,$L26,$P$3,"Cons="&amp;S$4))</f>
        <v>-321000</v>
      </c>
      <c r="T26" s="46">
        <f ca="1">IF($L26="","",_xll.IMDP("STK",T$6,$L26,$P$3,"Cons="&amp;T$4))</f>
        <v>-23227170</v>
      </c>
      <c r="U26" s="46" t="str">
        <f ca="1">IF($L26="","",_xll.IMDP("STK",U$6,$L26,$P$3,"Cons="&amp;U$4))</f>
        <v/>
      </c>
      <c r="V26" s="46">
        <f ca="1">IF($L26="","",_xll.IMDP("STK",V$6,$L26,$P$3,"Cons="&amp;V$4))</f>
        <v>-675432449</v>
      </c>
      <c r="W26" s="46">
        <f ca="1">IF($L26="","",_xll.IMDP("STK",W$6,$L26,$P$3,"Cons="&amp;W$4))</f>
        <v>-168439000</v>
      </c>
      <c r="X26" s="46">
        <f ca="1">IF($L26="","",_xll.IMDP("STK",X$6,$L26,$P$3,"Cons="&amp;X$4))</f>
        <v>-1384656</v>
      </c>
      <c r="Y26" s="46">
        <f ca="1">IF($L26="","",_xll.IMDP("STK",Y$6,$L26,$P$3,"Cons="&amp;Y$4))</f>
        <v>-128484107</v>
      </c>
      <c r="Z26" s="46">
        <f ca="1">IF($L26="","",_xll.IMDP("STK",Z$6,$L26,$P$3,"Cons="&amp;Z$4))</f>
        <v>-78630717</v>
      </c>
      <c r="AA26" s="46">
        <f ca="1">IF($L26="","",_xll.IMDP("STK",AA$6,$L26,$P$3,"Cons="&amp;AA$4))</f>
        <v>-15240682</v>
      </c>
      <c r="AC26" s="12" t="str">
        <f t="shared" si="3"/>
        <v>기타자본</v>
      </c>
      <c r="AD26" s="46">
        <f t="shared" ca="1" si="2"/>
        <v>-1538584264</v>
      </c>
    </row>
    <row r="27" spans="2:30" x14ac:dyDescent="0.25">
      <c r="B27" s="18">
        <v>20</v>
      </c>
      <c r="C27" s="41">
        <f t="shared" ca="1" si="4"/>
        <v>43373</v>
      </c>
      <c r="E27" s="3">
        <v>20</v>
      </c>
      <c r="F27" s="1" t="s">
        <v>17</v>
      </c>
      <c r="G27" s="4" t="s">
        <v>53</v>
      </c>
      <c r="H27" s="5" t="s">
        <v>81</v>
      </c>
      <c r="J27" s="8" t="s">
        <v>140</v>
      </c>
      <c r="L27" s="12" t="str">
        <f t="shared" si="1"/>
        <v>기타포괄손익누계액</v>
      </c>
      <c r="M27" s="46">
        <f ca="1">IF($L27="","",_xll.IMDP("STK",M$6,$L27,$P$3,"Cons="&amp;M$4))</f>
        <v>5330899000</v>
      </c>
      <c r="N27" s="46">
        <f ca="1">IF($L27="","",_xll.IMDP("STK",N$6,$L27,$P$3,"Cons="&amp;N$4))</f>
        <v>-1556882</v>
      </c>
      <c r="O27" s="46">
        <f ca="1">IF($L27="","",_xll.IMDP("STK",O$6,$L27,$P$3,"Cons="&amp;O$4))</f>
        <v>1275537582</v>
      </c>
      <c r="P27" s="46">
        <f ca="1">IF($L27="","",_xll.IMDP("STK",P$6,$L27,$P$3,"Cons="&amp;P$4))</f>
        <v>-197599000</v>
      </c>
      <c r="Q27" s="46">
        <f ca="1">IF($L27="","",_xll.IMDP("STK",Q$6,$L27,$P$3,"Cons="&amp;Q$4))</f>
        <v>661447130</v>
      </c>
      <c r="R27" s="46">
        <f ca="1">IF($L27="","",_xll.IMDP("STK",R$6,$L27,$P$3,"Cons="&amp;R$4))</f>
        <v>571710000</v>
      </c>
      <c r="S27" s="46">
        <f ca="1">IF($L27="","",_xll.IMDP("STK",S$6,$L27,$P$3,"Cons="&amp;S$4))</f>
        <v>72660888</v>
      </c>
      <c r="T27" s="46">
        <f ca="1">IF($L27="","",_xll.IMDP("STK",T$6,$L27,$P$3,"Cons="&amp;T$4))</f>
        <v>254551</v>
      </c>
      <c r="U27" s="46">
        <f ca="1">IF($L27="","",_xll.IMDP("STK",U$6,$L27,$P$3,"Cons="&amp;U$4))</f>
        <v>37080912</v>
      </c>
      <c r="V27" s="46">
        <f ca="1">IF($L27="","",_xll.IMDP("STK",V$6,$L27,$P$3,"Cons="&amp;V$4))</f>
        <v>4063836</v>
      </c>
      <c r="W27" s="46">
        <f ca="1">IF($L27="","",_xll.IMDP("STK",W$6,$L27,$P$3,"Cons="&amp;W$4))</f>
        <v>-94464000</v>
      </c>
      <c r="X27" s="46">
        <f ca="1">IF($L27="","",_xll.IMDP("STK",X$6,$L27,$P$3,"Cons="&amp;X$4))</f>
        <v>16404038</v>
      </c>
      <c r="Y27" s="46">
        <f ca="1">IF($L27="","",_xll.IMDP("STK",Y$6,$L27,$P$3,"Cons="&amp;Y$4))</f>
        <v>-19609000</v>
      </c>
      <c r="Z27" s="46">
        <f ca="1">IF($L27="","",_xll.IMDP("STK",Z$6,$L27,$P$3,"Cons="&amp;Z$4))</f>
        <v>16527478</v>
      </c>
      <c r="AA27" s="46">
        <f ca="1">IF($L27="","",_xll.IMDP("STK",AA$6,$L27,$P$3,"Cons="&amp;AA$4))</f>
        <v>89233914</v>
      </c>
      <c r="AC27" s="12" t="str">
        <f t="shared" si="3"/>
        <v>기타포괄손익누계액</v>
      </c>
      <c r="AD27" s="46">
        <f t="shared" ca="1" si="2"/>
        <v>7762590447</v>
      </c>
    </row>
    <row r="28" spans="2:30" x14ac:dyDescent="0.25">
      <c r="B28" s="18">
        <v>21</v>
      </c>
      <c r="C28" s="41">
        <f t="shared" ca="1" si="4"/>
        <v>43281</v>
      </c>
      <c r="E28" s="3">
        <v>21</v>
      </c>
      <c r="F28" s="1" t="s">
        <v>18</v>
      </c>
      <c r="G28" s="9" t="s">
        <v>54</v>
      </c>
      <c r="H28" s="5" t="s">
        <v>82</v>
      </c>
      <c r="J28" s="8" t="s">
        <v>141</v>
      </c>
      <c r="L28" s="12" t="str">
        <f t="shared" si="1"/>
        <v>이익잉여금(결손금)</v>
      </c>
      <c r="M28" s="46">
        <f ca="1">IF($L28="","",_xll.IMDP("STK",M$6,$L28,$P$3,"Cons="&amp;M$4))</f>
        <v>338310655000</v>
      </c>
      <c r="N28" s="46">
        <f ca="1">IF($L28="","",_xll.IMDP("STK",N$6,$L28,$P$3,"Cons="&amp;N$4))</f>
        <v>330984749</v>
      </c>
      <c r="O28" s="46">
        <f ca="1">IF($L28="","",_xll.IMDP("STK",O$6,$L28,$P$3,"Cons="&amp;O$4))</f>
        <v>11299373854</v>
      </c>
      <c r="P28" s="46">
        <f ca="1">IF($L28="","",_xll.IMDP("STK",P$6,$L28,$P$3,"Cons="&amp;P$4))</f>
        <v>16301602000</v>
      </c>
      <c r="Q28" s="46">
        <f ca="1">IF($L28="","",_xll.IMDP("STK",Q$6,$L28,$P$3,"Cons="&amp;Q$4))</f>
        <v>5685717246</v>
      </c>
      <c r="R28" s="46">
        <f ca="1">IF($L28="","",_xll.IMDP("STK",R$6,$L28,$P$3,"Cons="&amp;R$4))</f>
        <v>3287252000</v>
      </c>
      <c r="S28" s="46">
        <f ca="1">IF($L28="","",_xll.IMDP("STK",S$6,$L28,$P$3,"Cons="&amp;S$4))</f>
        <v>2953080765</v>
      </c>
      <c r="T28" s="46">
        <f ca="1">IF($L28="","",_xll.IMDP("STK",T$6,$L28,$P$3,"Cons="&amp;T$4))</f>
        <v>1526574637</v>
      </c>
      <c r="U28" s="46">
        <f ca="1">IF($L28="","",_xll.IMDP("STK",U$6,$L28,$P$3,"Cons="&amp;U$4))</f>
        <v>243025227</v>
      </c>
      <c r="V28" s="46">
        <f ca="1">IF($L28="","",_xll.IMDP("STK",V$6,$L28,$P$3,"Cons="&amp;V$4))</f>
        <v>1455276854</v>
      </c>
      <c r="W28" s="46">
        <f ca="1">IF($L28="","",_xll.IMDP("STK",W$6,$L28,$P$3,"Cons="&amp;W$4))</f>
        <v>269965585</v>
      </c>
      <c r="X28" s="46">
        <f ca="1">IF($L28="","",_xll.IMDP("STK",X$6,$L28,$P$3,"Cons="&amp;X$4))</f>
        <v>212090628</v>
      </c>
      <c r="Y28" s="46">
        <f ca="1">IF($L28="","",_xll.IMDP("STK",Y$6,$L28,$P$3,"Cons="&amp;Y$4))</f>
        <v>1466265903</v>
      </c>
      <c r="Z28" s="46">
        <f ca="1">IF($L28="","",_xll.IMDP("STK",Z$6,$L28,$P$3,"Cons="&amp;Z$4))</f>
        <v>469212363</v>
      </c>
      <c r="AA28" s="46">
        <f ca="1">IF($L28="","",_xll.IMDP("STK",AA$6,$L28,$P$3,"Cons="&amp;AA$4))</f>
        <v>220831041</v>
      </c>
      <c r="AC28" s="12" t="str">
        <f t="shared" si="3"/>
        <v>이익잉여금(결손금)</v>
      </c>
      <c r="AD28" s="46">
        <f t="shared" ca="1" si="2"/>
        <v>384031907852</v>
      </c>
    </row>
    <row r="29" spans="2:30" x14ac:dyDescent="0.25">
      <c r="B29" s="18">
        <v>22</v>
      </c>
      <c r="C29" s="41">
        <f t="shared" ca="1" si="4"/>
        <v>43190</v>
      </c>
      <c r="E29" s="3">
        <v>22</v>
      </c>
      <c r="F29" s="2" t="s">
        <v>33</v>
      </c>
      <c r="G29" s="9" t="s">
        <v>55</v>
      </c>
      <c r="H29" s="9" t="s">
        <v>83</v>
      </c>
      <c r="J29" s="8" t="s">
        <v>142</v>
      </c>
      <c r="L29" s="12" t="str">
        <f t="shared" si="1"/>
        <v>부채</v>
      </c>
      <c r="M29" s="46">
        <f ca="1">IF($L29="","",_xll.IMDP("STK",M$6,$L29,$P$3,"Cons="&amp;M$4))</f>
        <v>89024926000</v>
      </c>
      <c r="N29" s="46">
        <f ca="1">IF($L29="","",_xll.IMDP("STK",N$6,$L29,$P$3,"Cons="&amp;N$4))</f>
        <v>868871480</v>
      </c>
      <c r="O29" s="46">
        <f ca="1">IF($L29="","",_xll.IMDP("STK",O$6,$L29,$P$3,"Cons="&amp;O$4))</f>
        <v>14450199096</v>
      </c>
      <c r="P29" s="46">
        <f ca="1">IF($L29="","",_xll.IMDP("STK",P$6,$L29,$P$3,"Cons="&amp;P$4))</f>
        <v>34608857000</v>
      </c>
      <c r="Q29" s="46">
        <f ca="1">IF($L29="","",_xll.IMDP("STK",Q$6,$L29,$P$3,"Cons="&amp;Q$4))</f>
        <v>3379808836</v>
      </c>
      <c r="R29" s="46">
        <f ca="1">IF($L29="","",_xll.IMDP("STK",R$6,$L29,$P$3,"Cons="&amp;R$4))</f>
        <v>27861075000</v>
      </c>
      <c r="S29" s="46">
        <f ca="1">IF($L29="","",_xll.IMDP("STK",S$6,$L29,$P$3,"Cons="&amp;S$4))</f>
        <v>5195737948</v>
      </c>
      <c r="T29" s="46">
        <f ca="1">IF($L29="","",_xll.IMDP("STK",T$6,$L29,$P$3,"Cons="&amp;T$4))</f>
        <v>2001686274</v>
      </c>
      <c r="U29" s="46">
        <f ca="1">IF($L29="","",_xll.IMDP("STK",U$6,$L29,$P$3,"Cons="&amp;U$4))</f>
        <v>455570178</v>
      </c>
      <c r="V29" s="46">
        <f ca="1">IF($L29="","",_xll.IMDP("STK",V$6,$L29,$P$3,"Cons="&amp;V$4))</f>
        <v>151521574</v>
      </c>
      <c r="W29" s="46">
        <f ca="1">IF($L29="","",_xll.IMDP("STK",W$6,$L29,$P$3,"Cons="&amp;W$4))</f>
        <v>836881931</v>
      </c>
      <c r="X29" s="46">
        <f ca="1">IF($L29="","",_xll.IMDP("STK",X$6,$L29,$P$3,"Cons="&amp;X$4))</f>
        <v>69765111</v>
      </c>
      <c r="Y29" s="46">
        <f ca="1">IF($L29="","",_xll.IMDP("STK",Y$6,$L29,$P$3,"Cons="&amp;Y$4))</f>
        <v>305980899</v>
      </c>
      <c r="Z29" s="46">
        <f ca="1">IF($L29="","",_xll.IMDP("STK",Z$6,$L29,$P$3,"Cons="&amp;Z$4))</f>
        <v>497585337</v>
      </c>
      <c r="AA29" s="46">
        <f ca="1">IF($L29="","",_xll.IMDP("STK",AA$6,$L29,$P$3,"Cons="&amp;AA$4))</f>
        <v>2037589084</v>
      </c>
      <c r="AC29" s="12" t="str">
        <f t="shared" si="3"/>
        <v>부채</v>
      </c>
      <c r="AD29" s="46">
        <f t="shared" ca="1" si="2"/>
        <v>181746055748</v>
      </c>
    </row>
    <row r="30" spans="2:30" x14ac:dyDescent="0.25">
      <c r="B30" s="18">
        <v>23</v>
      </c>
      <c r="C30" s="41">
        <f t="shared" ca="1" si="4"/>
        <v>43100</v>
      </c>
      <c r="E30" s="3">
        <v>23</v>
      </c>
      <c r="F30" s="1" t="s">
        <v>19</v>
      </c>
      <c r="G30" s="9" t="s">
        <v>56</v>
      </c>
      <c r="H30" s="5" t="s">
        <v>84</v>
      </c>
      <c r="J30" s="8" t="s">
        <v>143</v>
      </c>
      <c r="L30" s="12" t="str">
        <f t="shared" si="1"/>
        <v>비예수부채</v>
      </c>
      <c r="M30" s="46">
        <f ca="1">IF($L30="","",_xll.IMDP("STK",M$6,$L30,$P$3,"Cons="&amp;M$4))</f>
        <v>-5267435000</v>
      </c>
      <c r="N30" s="46">
        <f ca="1">IF($L30="","",_xll.IMDP("STK",N$6,$L30,$P$3,"Cons="&amp;N$4))</f>
        <v>29445322</v>
      </c>
      <c r="O30" s="46">
        <f ca="1">IF($L30="","",_xll.IMDP("STK",O$6,$L30,$P$3,"Cons="&amp;O$4))</f>
        <v>42038105</v>
      </c>
      <c r="P30" s="46">
        <f ca="1">IF($L30="","",_xll.IMDP("STK",P$6,$L30,$P$3,"Cons="&amp;P$4))</f>
        <v>477984000</v>
      </c>
      <c r="Q30" s="46">
        <f ca="1">IF($L30="","",_xll.IMDP("STK",Q$6,$L30,$P$3,"Cons="&amp;Q$4))</f>
        <v>136293124</v>
      </c>
      <c r="R30" s="46">
        <f ca="1">IF($L30="","",_xll.IMDP("STK",R$6,$L30,$P$3,"Cons="&amp;R$4))</f>
        <v>1745581000</v>
      </c>
      <c r="S30" s="46">
        <f ca="1">IF($L30="","",_xll.IMDP("STK",S$6,$L30,$P$3,"Cons="&amp;S$4))</f>
        <v>-45741405</v>
      </c>
      <c r="T30" s="46">
        <f ca="1">IF($L30="","",_xll.IMDP("STK",T$6,$L30,$P$3,"Cons="&amp;T$4))</f>
        <v>25777013</v>
      </c>
      <c r="U30" s="46">
        <f ca="1">IF($L30="","",_xll.IMDP("STK",U$6,$L30,$P$3,"Cons="&amp;U$4))</f>
        <v>27590380</v>
      </c>
      <c r="V30" s="46">
        <f ca="1">IF($L30="","",_xll.IMDP("STK",V$6,$L30,$P$3,"Cons="&amp;V$4))</f>
        <v>-22130850</v>
      </c>
      <c r="W30" s="46">
        <f ca="1">IF($L30="","",_xll.IMDP("STK",W$6,$L30,$P$3,"Cons="&amp;W$4))</f>
        <v>-26244657</v>
      </c>
      <c r="X30" s="46">
        <f ca="1">IF($L30="","",_xll.IMDP("STK",X$6,$L30,$P$3,"Cons="&amp;X$4))</f>
        <v>3030878</v>
      </c>
      <c r="Y30" s="46">
        <f ca="1">IF($L30="","",_xll.IMDP("STK",Y$6,$L30,$P$3,"Cons="&amp;Y$4))</f>
        <v>-132639359</v>
      </c>
      <c r="Z30" s="46">
        <f ca="1">IF($L30="","",_xll.IMDP("STK",Z$6,$L30,$P$3,"Cons="&amp;Z$4))</f>
        <v>-19719938</v>
      </c>
      <c r="AA30" s="46">
        <f ca="1">IF($L30="","",_xll.IMDP("STK",AA$6,$L30,$P$3,"Cons="&amp;AA$4))</f>
        <v>304757589</v>
      </c>
      <c r="AC30" s="12" t="str">
        <f t="shared" si="3"/>
        <v>비예수부채</v>
      </c>
      <c r="AD30" s="46">
        <f t="shared" ca="1" si="2"/>
        <v>-2721413798</v>
      </c>
    </row>
    <row r="31" spans="2:30" x14ac:dyDescent="0.25">
      <c r="B31" s="18">
        <v>24</v>
      </c>
      <c r="C31" s="41">
        <f t="shared" ca="1" si="4"/>
        <v>43008</v>
      </c>
      <c r="E31" s="3">
        <v>24</v>
      </c>
      <c r="F31" s="1" t="s">
        <v>20</v>
      </c>
      <c r="G31" s="9" t="s">
        <v>57</v>
      </c>
      <c r="H31" s="5" t="s">
        <v>85</v>
      </c>
      <c r="J31" s="8" t="s">
        <v>144</v>
      </c>
      <c r="L31" s="12" t="str">
        <f t="shared" si="1"/>
        <v>금융부채</v>
      </c>
      <c r="M31" s="46">
        <f ca="1">IF($L31="","",_xll.IMDP("STK",M$6,$L31,$P$3,"Cons="&amp;M$4))</f>
        <v>4694177000</v>
      </c>
      <c r="N31" s="46">
        <f ca="1">IF($L31="","",_xll.IMDP("STK",N$6,$L31,$P$3,"Cons="&amp;N$4))</f>
        <v>45776047</v>
      </c>
      <c r="O31" s="46">
        <f ca="1">IF($L31="","",_xll.IMDP("STK",O$6,$L31,$P$3,"Cons="&amp;O$4))</f>
        <v>81689392</v>
      </c>
      <c r="P31" s="46">
        <f ca="1">IF($L31="","",_xll.IMDP("STK",P$6,$L31,$P$3,"Cons="&amp;P$4))</f>
        <v>1111132000</v>
      </c>
      <c r="Q31" s="46">
        <f ca="1">IF($L31="","",_xll.IMDP("STK",Q$6,$L31,$P$3,"Cons="&amp;Q$4))</f>
        <v>57814727</v>
      </c>
      <c r="R31" s="46">
        <f ca="1">IF($L31="","",_xll.IMDP("STK",R$6,$L31,$P$3,"Cons="&amp;R$4))</f>
        <v>136081000</v>
      </c>
      <c r="S31" s="46">
        <f ca="1">IF($L31="","",_xll.IMDP("STK",S$6,$L31,$P$3,"Cons="&amp;S$4))</f>
        <v>12292624</v>
      </c>
      <c r="T31" s="46">
        <f ca="1">IF($L31="","",_xll.IMDP("STK",T$6,$L31,$P$3,"Cons="&amp;T$4))</f>
        <v>42585971</v>
      </c>
      <c r="U31" s="46">
        <f ca="1">IF($L31="","",_xll.IMDP("STK",U$6,$L31,$P$3,"Cons="&amp;U$4))</f>
        <v>24967036</v>
      </c>
      <c r="V31" s="46">
        <f ca="1">IF($L31="","",_xll.IMDP("STK",V$6,$L31,$P$3,"Cons="&amp;V$4))</f>
        <v>11941122</v>
      </c>
      <c r="W31" s="46">
        <f ca="1">IF($L31="","",_xll.IMDP("STK",W$6,$L31,$P$3,"Cons="&amp;W$4))</f>
        <v>20245261</v>
      </c>
      <c r="X31" s="46">
        <f ca="1">IF($L31="","",_xll.IMDP("STK",X$6,$L31,$P$3,"Cons="&amp;X$4))</f>
        <v>4614118</v>
      </c>
      <c r="Y31" s="46">
        <f ca="1">IF($L31="","",_xll.IMDP("STK",Y$6,$L31,$P$3,"Cons="&amp;Y$4))</f>
        <v>13120415</v>
      </c>
      <c r="Z31" s="46">
        <f ca="1">IF($L31="","",_xll.IMDP("STK",Z$6,$L31,$P$3,"Cons="&amp;Z$4))</f>
        <v>14160530</v>
      </c>
      <c r="AA31" s="46">
        <f ca="1">IF($L31="","",_xll.IMDP("STK",AA$6,$L31,$P$3,"Cons="&amp;AA$4))</f>
        <v>37891473</v>
      </c>
      <c r="AC31" s="12" t="str">
        <f t="shared" si="3"/>
        <v>금융부채</v>
      </c>
      <c r="AD31" s="46">
        <f t="shared" ca="1" si="2"/>
        <v>6308488716</v>
      </c>
    </row>
    <row r="32" spans="2:30" x14ac:dyDescent="0.25">
      <c r="B32" s="18">
        <v>25</v>
      </c>
      <c r="C32" s="41">
        <f t="shared" ca="1" si="4"/>
        <v>42916</v>
      </c>
      <c r="E32" s="3">
        <v>25</v>
      </c>
      <c r="F32" s="1" t="s">
        <v>21</v>
      </c>
      <c r="G32" s="9" t="s">
        <v>58</v>
      </c>
      <c r="H32" s="5" t="s">
        <v>86</v>
      </c>
      <c r="J32" s="8" t="s">
        <v>145</v>
      </c>
      <c r="L32" s="12" t="str">
        <f t="shared" si="1"/>
        <v>파생상품부채</v>
      </c>
      <c r="M32" s="46" t="str">
        <f ca="1">IF($L32="","",_xll.IMDP("STK",M$6,$L32,$P$3,"Cons="&amp;M$4))</f>
        <v/>
      </c>
      <c r="N32" s="46">
        <f ca="1">IF($L32="","",_xll.IMDP("STK",N$6,$L32,$P$3,"Cons="&amp;N$4))</f>
        <v>24227272</v>
      </c>
      <c r="O32" s="46" t="str">
        <f ca="1">IF($L32="","",_xll.IMDP("STK",O$6,$L32,$P$3,"Cons="&amp;O$4))</f>
        <v/>
      </c>
      <c r="P32" s="46">
        <f ca="1">IF($L32="","",_xll.IMDP("STK",P$6,$L32,$P$3,"Cons="&amp;P$4))</f>
        <v>26337000</v>
      </c>
      <c r="Q32" s="46" t="str">
        <f ca="1">IF($L32="","",_xll.IMDP("STK",Q$6,$L32,$P$3,"Cons="&amp;Q$4))</f>
        <v/>
      </c>
      <c r="R32" s="46">
        <f ca="1">IF($L32="","",_xll.IMDP("STK",R$6,$L32,$P$3,"Cons="&amp;R$4))</f>
        <v>54680000</v>
      </c>
      <c r="S32" s="46" t="str">
        <f ca="1">IF($L32="","",_xll.IMDP("STK",S$6,$L32,$P$3,"Cons="&amp;S$4))</f>
        <v/>
      </c>
      <c r="T32" s="46">
        <f ca="1">IF($L32="","",_xll.IMDP("STK",T$6,$L32,$P$3,"Cons="&amp;T$4))</f>
        <v>17279398</v>
      </c>
      <c r="U32" s="46" t="str">
        <f ca="1">IF($L32="","",_xll.IMDP("STK",U$6,$L32,$P$3,"Cons="&amp;U$4))</f>
        <v/>
      </c>
      <c r="V32" s="46" t="str">
        <f ca="1">IF($L32="","",_xll.IMDP("STK",V$6,$L32,$P$3,"Cons="&amp;V$4))</f>
        <v/>
      </c>
      <c r="W32" s="46">
        <f ca="1">IF($L32="","",_xll.IMDP("STK",W$6,$L32,$P$3,"Cons="&amp;W$4))</f>
        <v>9803995</v>
      </c>
      <c r="X32" s="46" t="str">
        <f ca="1">IF($L32="","",_xll.IMDP("STK",X$6,$L32,$P$3,"Cons="&amp;X$4))</f>
        <v/>
      </c>
      <c r="Y32" s="46" t="str">
        <f ca="1">IF($L32="","",_xll.IMDP("STK",Y$6,$L32,$P$3,"Cons="&amp;Y$4))</f>
        <v/>
      </c>
      <c r="Z32" s="46">
        <f ca="1">IF($L32="","",_xll.IMDP("STK",Z$6,$L32,$P$3,"Cons="&amp;Z$4))</f>
        <v>168400</v>
      </c>
      <c r="AA32" s="46">
        <f ca="1">IF($L32="","",_xll.IMDP("STK",AA$6,$L32,$P$3,"Cons="&amp;AA$4))</f>
        <v>6291746</v>
      </c>
      <c r="AC32" s="12" t="str">
        <f t="shared" si="3"/>
        <v>파생상품부채</v>
      </c>
      <c r="AD32" s="46">
        <f t="shared" ca="1" si="2"/>
        <v>138787811</v>
      </c>
    </row>
    <row r="33" spans="2:30" x14ac:dyDescent="0.25">
      <c r="B33" s="18">
        <v>26</v>
      </c>
      <c r="C33" s="41">
        <f t="shared" ca="1" si="4"/>
        <v>42825</v>
      </c>
      <c r="E33" s="3">
        <v>26</v>
      </c>
      <c r="F33" s="1" t="s">
        <v>22</v>
      </c>
      <c r="G33" s="9" t="s">
        <v>152</v>
      </c>
      <c r="H33" s="5" t="s">
        <v>87</v>
      </c>
      <c r="J33" s="8" t="s">
        <v>146</v>
      </c>
      <c r="L33" s="12" t="str">
        <f t="shared" si="1"/>
        <v>차입금</v>
      </c>
      <c r="M33" s="46">
        <f ca="1">IF($L33="","",_xll.IMDP("STK",M$6,$L33,$P$3,"Cons="&amp;M$4))</f>
        <v>3591116000</v>
      </c>
      <c r="N33" s="46">
        <f ca="1">IF($L33="","",_xll.IMDP("STK",N$6,$L33,$P$3,"Cons="&amp;N$4))</f>
        <v>201000000</v>
      </c>
      <c r="O33" s="46">
        <f ca="1">IF($L33="","",_xll.IMDP("STK",O$6,$L33,$P$3,"Cons="&amp;O$4))</f>
        <v>5932895548</v>
      </c>
      <c r="P33" s="46">
        <f ca="1">IF($L33="","",_xll.IMDP("STK",P$6,$L33,$P$3,"Cons="&amp;P$4))</f>
        <v>5955917000</v>
      </c>
      <c r="Q33" s="46">
        <f ca="1">IF($L33="","",_xll.IMDP("STK",Q$6,$L33,$P$3,"Cons="&amp;Q$4))</f>
        <v>1231119582</v>
      </c>
      <c r="R33" s="46">
        <f ca="1">IF($L33="","",_xll.IMDP("STK",R$6,$L33,$P$3,"Cons="&amp;R$4))</f>
        <v>13530116000</v>
      </c>
      <c r="S33" s="46">
        <f ca="1">IF($L33="","",_xll.IMDP("STK",S$6,$L33,$P$3,"Cons="&amp;S$4))</f>
        <v>1637154153</v>
      </c>
      <c r="T33" s="46">
        <f ca="1">IF($L33="","",_xll.IMDP("STK",T$6,$L33,$P$3,"Cons="&amp;T$4))</f>
        <v>375765522</v>
      </c>
      <c r="U33" s="46">
        <f ca="1">IF($L33="","",_xll.IMDP("STK",U$6,$L33,$P$3,"Cons="&amp;U$4))</f>
        <v>195220889</v>
      </c>
      <c r="V33" s="46" t="str">
        <f ca="1">IF($L33="","",_xll.IMDP("STK",V$6,$L33,$P$3,"Cons="&amp;V$4))</f>
        <v/>
      </c>
      <c r="W33" s="46">
        <f ca="1">IF($L33="","",_xll.IMDP("STK",W$6,$L33,$P$3,"Cons="&amp;W$4))</f>
        <v>412985567</v>
      </c>
      <c r="X33" s="46">
        <f ca="1">IF($L33="","",_xll.IMDP("STK",X$6,$L33,$P$3,"Cons="&amp;X$4))</f>
        <v>5121176</v>
      </c>
      <c r="Y33" s="46">
        <f ca="1">IF($L33="","",_xll.IMDP("STK",Y$6,$L33,$P$3,"Cons="&amp;Y$4))</f>
        <v>70432239</v>
      </c>
      <c r="Z33" s="46">
        <f ca="1">IF($L33="","",_xll.IMDP("STK",Z$6,$L33,$P$3,"Cons="&amp;Z$4))</f>
        <v>123372787</v>
      </c>
      <c r="AA33" s="46">
        <f ca="1">IF($L33="","",_xll.IMDP("STK",AA$6,$L33,$P$3,"Cons="&amp;AA$4))</f>
        <v>506426649</v>
      </c>
      <c r="AC33" s="12" t="str">
        <f t="shared" si="3"/>
        <v>차입금</v>
      </c>
      <c r="AD33" s="46">
        <f t="shared" ca="1" si="2"/>
        <v>33768643112</v>
      </c>
    </row>
    <row r="34" spans="2:30" x14ac:dyDescent="0.25">
      <c r="B34" s="18">
        <v>27</v>
      </c>
      <c r="C34" s="41">
        <f t="shared" ca="1" si="4"/>
        <v>42735</v>
      </c>
      <c r="E34" s="3">
        <v>27</v>
      </c>
      <c r="F34" s="1" t="s">
        <v>23</v>
      </c>
      <c r="G34" s="9" t="s">
        <v>59</v>
      </c>
      <c r="H34" s="5" t="s">
        <v>88</v>
      </c>
      <c r="J34" s="8" t="s">
        <v>147</v>
      </c>
      <c r="L34" s="12" t="str">
        <f t="shared" si="1"/>
        <v>사채</v>
      </c>
      <c r="M34" s="46">
        <f ca="1">IF($L34="","",_xll.IMDP("STK",M$6,$L34,$P$3,"Cons="&amp;M$4))</f>
        <v>554625000</v>
      </c>
      <c r="N34" s="46">
        <f ca="1">IF($L34="","",_xll.IMDP("STK",N$6,$L34,$P$3,"Cons="&amp;N$4))</f>
        <v>127000000</v>
      </c>
      <c r="O34" s="46" t="str">
        <f ca="1">IF($L34="","",_xll.IMDP("STK",O$6,$L34,$P$3,"Cons="&amp;O$4))</f>
        <v/>
      </c>
      <c r="P34" s="46">
        <f ca="1">IF($L34="","",_xll.IMDP("STK",P$6,$L34,$P$3,"Cons="&amp;P$4))</f>
        <v>4908554000</v>
      </c>
      <c r="Q34" s="46" t="str">
        <f ca="1">IF($L34="","",_xll.IMDP("STK",Q$6,$L34,$P$3,"Cons="&amp;Q$4))</f>
        <v/>
      </c>
      <c r="R34" s="46">
        <f ca="1">IF($L34="","",_xll.IMDP("STK",R$6,$L34,$P$3,"Cons="&amp;R$4))</f>
        <v>1413328000</v>
      </c>
      <c r="S34" s="46">
        <f ca="1">IF($L34="","",_xll.IMDP("STK",S$6,$L34,$P$3,"Cons="&amp;S$4))</f>
        <v>693231000</v>
      </c>
      <c r="T34" s="46">
        <f ca="1">IF($L34="","",_xll.IMDP("STK",T$6,$L34,$P$3,"Cons="&amp;T$4))</f>
        <v>440000000</v>
      </c>
      <c r="U34" s="46">
        <f ca="1">IF($L34="","",_xll.IMDP("STK",U$6,$L34,$P$3,"Cons="&amp;U$4))</f>
        <v>50000000</v>
      </c>
      <c r="V34" s="46" t="str">
        <f ca="1">IF($L34="","",_xll.IMDP("STK",V$6,$L34,$P$3,"Cons="&amp;V$4))</f>
        <v/>
      </c>
      <c r="W34" s="46" t="str">
        <f ca="1">IF($L34="","",_xll.IMDP("STK",W$6,$L34,$P$3,"Cons="&amp;W$4))</f>
        <v/>
      </c>
      <c r="X34" s="46" t="str">
        <f ca="1">IF($L34="","",_xll.IMDP("STK",X$6,$L34,$P$3,"Cons="&amp;X$4))</f>
        <v/>
      </c>
      <c r="Y34" s="46" t="str">
        <f ca="1">IF($L34="","",_xll.IMDP("STK",Y$6,$L34,$P$3,"Cons="&amp;Y$4))</f>
        <v/>
      </c>
      <c r="Z34" s="46" t="str">
        <f ca="1">IF($L34="","",_xll.IMDP("STK",Z$6,$L34,$P$3,"Cons="&amp;Z$4))</f>
        <v/>
      </c>
      <c r="AA34" s="46">
        <f ca="1">IF($L34="","",_xll.IMDP("STK",AA$6,$L34,$P$3,"Cons="&amp;AA$4))</f>
        <v>215999559</v>
      </c>
      <c r="AC34" s="12" t="str">
        <f t="shared" si="3"/>
        <v>사채</v>
      </c>
      <c r="AD34" s="46">
        <f t="shared" ca="1" si="2"/>
        <v>8402737559</v>
      </c>
    </row>
    <row r="35" spans="2:30" x14ac:dyDescent="0.25">
      <c r="B35" s="18">
        <v>28</v>
      </c>
      <c r="C35" s="41">
        <f t="shared" ca="1" si="4"/>
        <v>42643</v>
      </c>
      <c r="E35" s="3">
        <v>28</v>
      </c>
      <c r="F35" s="1" t="s">
        <v>24</v>
      </c>
      <c r="G35" s="9" t="s">
        <v>60</v>
      </c>
      <c r="H35" s="5" t="s">
        <v>89</v>
      </c>
      <c r="J35" s="8" t="s">
        <v>148</v>
      </c>
      <c r="L35" s="12" t="str">
        <f t="shared" si="1"/>
        <v>기타금융업부채</v>
      </c>
      <c r="M35" s="46" t="str">
        <f ca="1">IF($L35="","",_xll.IMDP("STK",M$6,$L35,$P$3,"Cons="&amp;M$4))</f>
        <v/>
      </c>
      <c r="N35" s="46" t="str">
        <f ca="1">IF($L35="","",_xll.IMDP("STK",N$6,$L35,$P$3,"Cons="&amp;N$4))</f>
        <v/>
      </c>
      <c r="O35" s="46" t="str">
        <f ca="1">IF($L35="","",_xll.IMDP("STK",O$6,$L35,$P$3,"Cons="&amp;O$4))</f>
        <v/>
      </c>
      <c r="P35" s="46" t="str">
        <f ca="1">IF($L35="","",_xll.IMDP("STK",P$6,$L35,$P$3,"Cons="&amp;P$4))</f>
        <v/>
      </c>
      <c r="Q35" s="46" t="str">
        <f ca="1">IF($L35="","",_xll.IMDP("STK",Q$6,$L35,$P$3,"Cons="&amp;Q$4))</f>
        <v/>
      </c>
      <c r="R35" s="46" t="str">
        <f ca="1">IF($L35="","",_xll.IMDP("STK",R$6,$L35,$P$3,"Cons="&amp;R$4))</f>
        <v/>
      </c>
      <c r="S35" s="46" t="str">
        <f ca="1">IF($L35="","",_xll.IMDP("STK",S$6,$L35,$P$3,"Cons="&amp;S$4))</f>
        <v/>
      </c>
      <c r="T35" s="46" t="str">
        <f ca="1">IF($L35="","",_xll.IMDP("STK",T$6,$L35,$P$3,"Cons="&amp;T$4))</f>
        <v/>
      </c>
      <c r="U35" s="46" t="str">
        <f ca="1">IF($L35="","",_xll.IMDP("STK",U$6,$L35,$P$3,"Cons="&amp;U$4))</f>
        <v/>
      </c>
      <c r="V35" s="46" t="str">
        <f ca="1">IF($L35="","",_xll.IMDP("STK",V$6,$L35,$P$3,"Cons="&amp;V$4))</f>
        <v/>
      </c>
      <c r="W35" s="46" t="str">
        <f ca="1">IF($L35="","",_xll.IMDP("STK",W$6,$L35,$P$3,"Cons="&amp;W$4))</f>
        <v/>
      </c>
      <c r="X35" s="46" t="str">
        <f ca="1">IF($L35="","",_xll.IMDP("STK",X$6,$L35,$P$3,"Cons="&amp;X$4))</f>
        <v/>
      </c>
      <c r="Y35" s="46" t="str">
        <f ca="1">IF($L35="","",_xll.IMDP("STK",Y$6,$L35,$P$3,"Cons="&amp;Y$4))</f>
        <v/>
      </c>
      <c r="Z35" s="46" t="str">
        <f ca="1">IF($L35="","",_xll.IMDP("STK",Z$6,$L35,$P$3,"Cons="&amp;Z$4))</f>
        <v/>
      </c>
      <c r="AA35" s="46" t="str">
        <f ca="1">IF($L35="","",_xll.IMDP("STK",AA$6,$L35,$P$3,"Cons="&amp;AA$4))</f>
        <v/>
      </c>
      <c r="AC35" s="12" t="str">
        <f t="shared" si="3"/>
        <v>기타금융업부채</v>
      </c>
      <c r="AD35" s="46" t="str">
        <f t="shared" ca="1" si="2"/>
        <v/>
      </c>
    </row>
    <row r="36" spans="2:30" x14ac:dyDescent="0.25">
      <c r="B36" s="18">
        <v>29</v>
      </c>
      <c r="C36" s="41">
        <f t="shared" ca="1" si="4"/>
        <v>42551</v>
      </c>
      <c r="E36" s="3">
        <v>29</v>
      </c>
      <c r="F36" s="1" t="s">
        <v>25</v>
      </c>
      <c r="G36" s="9" t="s">
        <v>153</v>
      </c>
      <c r="H36" s="9" t="s">
        <v>90</v>
      </c>
      <c r="J36" s="8" t="s">
        <v>149</v>
      </c>
      <c r="L36" s="12" t="str">
        <f t="shared" si="1"/>
        <v>기타충당부채</v>
      </c>
      <c r="M36" s="46">
        <f ca="1">IF($L36="","",_xll.IMDP("STK",M$6,$L36,$P$3,"Cons="&amp;M$4))</f>
        <v>9133021000</v>
      </c>
      <c r="N36" s="46">
        <f ca="1">IF($L36="","",_xll.IMDP("STK",N$6,$L36,$P$3,"Cons="&amp;N$4))</f>
        <v>111663880</v>
      </c>
      <c r="O36" s="46">
        <f ca="1">IF($L36="","",_xll.IMDP("STK",O$6,$L36,$P$3,"Cons="&amp;O$4))</f>
        <v>361235070</v>
      </c>
      <c r="P36" s="46">
        <f ca="1">IF($L36="","",_xll.IMDP("STK",P$6,$L36,$P$3,"Cons="&amp;P$4))</f>
        <v>1985199000</v>
      </c>
      <c r="Q36" s="46">
        <f ca="1">IF($L36="","",_xll.IMDP("STK",Q$6,$L36,$P$3,"Cons="&amp;Q$4))</f>
        <v>1656510</v>
      </c>
      <c r="R36" s="46">
        <f ca="1">IF($L36="","",_xll.IMDP("STK",R$6,$L36,$P$3,"Cons="&amp;R$4))</f>
        <v>211494000</v>
      </c>
      <c r="S36" s="46">
        <f ca="1">IF($L36="","",_xll.IMDP("STK",S$6,$L36,$P$3,"Cons="&amp;S$4))</f>
        <v>77591326</v>
      </c>
      <c r="T36" s="46">
        <f ca="1">IF($L36="","",_xll.IMDP("STK",T$6,$L36,$P$3,"Cons="&amp;T$4))</f>
        <v>58574757</v>
      </c>
      <c r="U36" s="46">
        <f ca="1">IF($L36="","",_xll.IMDP("STK",U$6,$L36,$P$3,"Cons="&amp;U$4))</f>
        <v>3288689</v>
      </c>
      <c r="V36" s="46">
        <f ca="1">IF($L36="","",_xll.IMDP("STK",V$6,$L36,$P$3,"Cons="&amp;V$4))</f>
        <v>6507757</v>
      </c>
      <c r="W36" s="46">
        <f ca="1">IF($L36="","",_xll.IMDP("STK",W$6,$L36,$P$3,"Cons="&amp;W$4))</f>
        <v>18453860</v>
      </c>
      <c r="X36" s="46" t="str">
        <f ca="1">IF($L36="","",_xll.IMDP("STK",X$6,$L36,$P$3,"Cons="&amp;X$4))</f>
        <v/>
      </c>
      <c r="Y36" s="46">
        <f ca="1">IF($L36="","",_xll.IMDP("STK",Y$6,$L36,$P$3,"Cons="&amp;Y$4))</f>
        <v>1092932</v>
      </c>
      <c r="Z36" s="46">
        <f ca="1">IF($L36="","",_xll.IMDP("STK",Z$6,$L36,$P$3,"Cons="&amp;Z$4))</f>
        <v>52136139</v>
      </c>
      <c r="AA36" s="46">
        <f ca="1">IF($L36="","",_xll.IMDP("STK",AA$6,$L36,$P$3,"Cons="&amp;AA$4))</f>
        <v>189524051</v>
      </c>
      <c r="AC36" s="12" t="str">
        <f t="shared" si="3"/>
        <v>기타충당부채</v>
      </c>
      <c r="AD36" s="46">
        <f t="shared" ca="1" si="2"/>
        <v>12211438971</v>
      </c>
    </row>
    <row r="37" spans="2:30" x14ac:dyDescent="0.25">
      <c r="B37" s="18">
        <v>30</v>
      </c>
      <c r="C37" s="41">
        <f t="shared" ca="1" si="4"/>
        <v>42460</v>
      </c>
      <c r="E37" s="3">
        <v>30</v>
      </c>
      <c r="F37" s="1" t="s">
        <v>26</v>
      </c>
      <c r="G37" s="9" t="s">
        <v>154</v>
      </c>
      <c r="H37" s="5" t="s">
        <v>91</v>
      </c>
      <c r="J37" s="8" t="s">
        <v>150</v>
      </c>
      <c r="L37" s="12" t="str">
        <f t="shared" si="1"/>
        <v>당기법인세부채</v>
      </c>
      <c r="M37" s="46">
        <f ca="1">IF($L37="","",_xll.IMDP("STK",M$6,$L37,$P$3,"Cons="&amp;M$4))</f>
        <v>2601584000</v>
      </c>
      <c r="N37" s="46">
        <f ca="1">IF($L37="","",_xll.IMDP("STK",N$6,$L37,$P$3,"Cons="&amp;N$4))</f>
        <v>1577923</v>
      </c>
      <c r="O37" s="46">
        <f ca="1">IF($L37="","",_xll.IMDP("STK",O$6,$L37,$P$3,"Cons="&amp;O$4))</f>
        <v>114756428</v>
      </c>
      <c r="P37" s="46">
        <f ca="1">IF($L37="","",_xll.IMDP("STK",P$6,$L37,$P$3,"Cons="&amp;P$4))</f>
        <v>239918000</v>
      </c>
      <c r="Q37" s="46">
        <f ca="1">IF($L37="","",_xll.IMDP("STK",Q$6,$L37,$P$3,"Cons="&amp;Q$4))</f>
        <v>38851004</v>
      </c>
      <c r="R37" s="46">
        <f ca="1">IF($L37="","",_xll.IMDP("STK",R$6,$L37,$P$3,"Cons="&amp;R$4))</f>
        <v>162885000</v>
      </c>
      <c r="S37" s="46">
        <f ca="1">IF($L37="","",_xll.IMDP("STK",S$6,$L37,$P$3,"Cons="&amp;S$4))</f>
        <v>2785376</v>
      </c>
      <c r="T37" s="46">
        <f ca="1">IF($L37="","",_xll.IMDP("STK",T$6,$L37,$P$3,"Cons="&amp;T$4))</f>
        <v>50752317</v>
      </c>
      <c r="U37" s="46">
        <f ca="1">IF($L37="","",_xll.IMDP("STK",U$6,$L37,$P$3,"Cons="&amp;U$4))</f>
        <v>1307642</v>
      </c>
      <c r="V37" s="46">
        <f ca="1">IF($L37="","",_xll.IMDP("STK",V$6,$L37,$P$3,"Cons="&amp;V$4))</f>
        <v>20622000</v>
      </c>
      <c r="W37" s="46">
        <f ca="1">IF($L37="","",_xll.IMDP("STK",W$6,$L37,$P$3,"Cons="&amp;W$4))</f>
        <v>1084212</v>
      </c>
      <c r="X37" s="46">
        <f ca="1">IF($L37="","",_xll.IMDP("STK",X$6,$L37,$P$3,"Cons="&amp;X$4))</f>
        <v>4463646</v>
      </c>
      <c r="Y37" s="46">
        <f ca="1">IF($L37="","",_xll.IMDP("STK",Y$6,$L37,$P$3,"Cons="&amp;Y$4))</f>
        <v>37056129</v>
      </c>
      <c r="Z37" s="46">
        <f ca="1">IF($L37="","",_xll.IMDP("STK",Z$6,$L37,$P$3,"Cons="&amp;Z$4))</f>
        <v>18256695</v>
      </c>
      <c r="AA37" s="46">
        <f ca="1">IF($L37="","",_xll.IMDP("STK",AA$6,$L37,$P$3,"Cons="&amp;AA$4))</f>
        <v>1030035</v>
      </c>
      <c r="AC37" s="12" t="str">
        <f t="shared" si="3"/>
        <v>당기법인세부채</v>
      </c>
      <c r="AD37" s="46">
        <f t="shared" ca="1" si="2"/>
        <v>3296930407</v>
      </c>
    </row>
    <row r="38" spans="2:30" x14ac:dyDescent="0.25">
      <c r="B38" s="18">
        <v>31</v>
      </c>
      <c r="C38" s="41">
        <f t="shared" ca="1" si="4"/>
        <v>42369</v>
      </c>
      <c r="E38" s="3">
        <v>31</v>
      </c>
      <c r="F38" s="1" t="s">
        <v>27</v>
      </c>
      <c r="G38" s="9" t="s">
        <v>155</v>
      </c>
      <c r="H38" s="5" t="s">
        <v>92</v>
      </c>
      <c r="J38" s="8" t="s">
        <v>151</v>
      </c>
      <c r="L38" s="12" t="str">
        <f t="shared" si="1"/>
        <v>종업원급여충당부채</v>
      </c>
      <c r="M38" s="46">
        <f ca="1">IF($L38="","",_xll.IMDP("STK",M$6,$L38,$P$3,"Cons="&amp;M$4))</f>
        <v>429242000</v>
      </c>
      <c r="N38" s="46" t="str">
        <f ca="1">IF($L38="","",_xll.IMDP("STK",N$6,$L38,$P$3,"Cons="&amp;N$4))</f>
        <v/>
      </c>
      <c r="O38" s="46">
        <f ca="1">IF($L38="","",_xll.IMDP("STK",O$6,$L38,$P$3,"Cons="&amp;O$4))</f>
        <v>45159911</v>
      </c>
      <c r="P38" s="46">
        <f ca="1">IF($L38="","",_xll.IMDP("STK",P$6,$L38,$P$3,"Cons="&amp;P$4))</f>
        <v>100681000</v>
      </c>
      <c r="Q38" s="46">
        <f ca="1">IF($L38="","",_xll.IMDP("STK",Q$6,$L38,$P$3,"Cons="&amp;Q$4))</f>
        <v>18826349</v>
      </c>
      <c r="R38" s="46">
        <f ca="1">IF($L38="","",_xll.IMDP("STK",R$6,$L38,$P$3,"Cons="&amp;R$4))</f>
        <v>1562000</v>
      </c>
      <c r="S38" s="46">
        <f ca="1">IF($L38="","",_xll.IMDP("STK",S$6,$L38,$P$3,"Cons="&amp;S$4))</f>
        <v>3006449</v>
      </c>
      <c r="T38" s="46">
        <f ca="1">IF($L38="","",_xll.IMDP("STK",T$6,$L38,$P$3,"Cons="&amp;T$4))</f>
        <v>1571453</v>
      </c>
      <c r="U38" s="46">
        <f ca="1">IF($L38="","",_xll.IMDP("STK",U$6,$L38,$P$3,"Cons="&amp;U$4))</f>
        <v>31909186</v>
      </c>
      <c r="V38" s="46" t="str">
        <f ca="1">IF($L38="","",_xll.IMDP("STK",V$6,$L38,$P$3,"Cons="&amp;V$4))</f>
        <v/>
      </c>
      <c r="W38" s="46">
        <f ca="1">IF($L38="","",_xll.IMDP("STK",W$6,$L38,$P$3,"Cons="&amp;W$4))</f>
        <v>29724283</v>
      </c>
      <c r="X38" s="46">
        <f ca="1">IF($L38="","",_xll.IMDP("STK",X$6,$L38,$P$3,"Cons="&amp;X$4))</f>
        <v>820712</v>
      </c>
      <c r="Y38" s="46" t="str">
        <f ca="1">IF($L38="","",_xll.IMDP("STK",Y$6,$L38,$P$3,"Cons="&amp;Y$4))</f>
        <v/>
      </c>
      <c r="Z38" s="46">
        <f ca="1">IF($L38="","",_xll.IMDP("STK",Z$6,$L38,$P$3,"Cons="&amp;Z$4))</f>
        <v>7077134</v>
      </c>
      <c r="AA38" s="46">
        <f ca="1">IF($L38="","",_xll.IMDP("STK",AA$6,$L38,$P$3,"Cons="&amp;AA$4))</f>
        <v>4915952</v>
      </c>
      <c r="AC38" s="12" t="str">
        <f t="shared" si="3"/>
        <v>종업원급여충당부채</v>
      </c>
      <c r="AD38" s="46">
        <f t="shared" ca="1" si="2"/>
        <v>674496429</v>
      </c>
    </row>
    <row r="39" spans="2:30" x14ac:dyDescent="0.25">
      <c r="B39" s="18">
        <v>32</v>
      </c>
      <c r="C39" s="41">
        <f t="shared" ca="1" si="4"/>
        <v>42277</v>
      </c>
      <c r="E39" s="3">
        <v>32</v>
      </c>
      <c r="F39" s="1" t="s">
        <v>28</v>
      </c>
      <c r="H39" s="5" t="s">
        <v>93</v>
      </c>
      <c r="L39" s="12" t="str">
        <f t="shared" si="1"/>
        <v>기타부채</v>
      </c>
      <c r="M39" s="46">
        <f ca="1">IF($L39="","",_xll.IMDP("STK",M$6,$L39,$P$3,"Cons="&amp;M$4))</f>
        <v>5954388000</v>
      </c>
      <c r="N39" s="46">
        <f ca="1">IF($L39="","",_xll.IMDP("STK",N$6,$L39,$P$3,"Cons="&amp;N$4))</f>
        <v>65229018</v>
      </c>
      <c r="O39" s="46">
        <f ca="1">IF($L39="","",_xll.IMDP("STK",O$6,$L39,$P$3,"Cons="&amp;O$4))</f>
        <v>783868148</v>
      </c>
      <c r="P39" s="46">
        <f ca="1">IF($L39="","",_xll.IMDP("STK",P$6,$L39,$P$3,"Cons="&amp;P$4))</f>
        <v>4077950000</v>
      </c>
      <c r="Q39" s="46">
        <f ca="1">IF($L39="","",_xll.IMDP("STK",Q$6,$L39,$P$3,"Cons="&amp;Q$4))</f>
        <v>545429421</v>
      </c>
      <c r="R39" s="46">
        <f ca="1">IF($L39="","",_xll.IMDP("STK",R$6,$L39,$P$3,"Cons="&amp;R$4))</f>
        <v>2329089000</v>
      </c>
      <c r="S39" s="46">
        <f ca="1">IF($L39="","",_xll.IMDP("STK",S$6,$L39,$P$3,"Cons="&amp;S$4))</f>
        <v>24159311</v>
      </c>
      <c r="T39" s="46">
        <f ca="1">IF($L39="","",_xll.IMDP("STK",T$6,$L39,$P$3,"Cons="&amp;T$4))</f>
        <v>6490100</v>
      </c>
      <c r="U39" s="46">
        <f ca="1">IF($L39="","",_xll.IMDP("STK",U$6,$L39,$P$3,"Cons="&amp;U$4))</f>
        <v>20855967</v>
      </c>
      <c r="V39" s="46">
        <f ca="1">IF($L39="","",_xll.IMDP("STK",V$6,$L39,$P$3,"Cons="&amp;V$4))</f>
        <v>3008079</v>
      </c>
      <c r="W39" s="46">
        <f ca="1">IF($L39="","",_xll.IMDP("STK",W$6,$L39,$P$3,"Cons="&amp;W$4))</f>
        <v>84199793</v>
      </c>
      <c r="X39" s="46">
        <f ca="1">IF($L39="","",_xll.IMDP("STK",X$6,$L39,$P$3,"Cons="&amp;X$4))</f>
        <v>426749</v>
      </c>
      <c r="Y39" s="46">
        <f ca="1">IF($L39="","",_xll.IMDP("STK",Y$6,$L39,$P$3,"Cons="&amp;Y$4))</f>
        <v>29931621</v>
      </c>
      <c r="Z39" s="46">
        <f ca="1">IF($L39="","",_xll.IMDP("STK",Z$6,$L39,$P$3,"Cons="&amp;Z$4))</f>
        <v>1689909</v>
      </c>
      <c r="AA39" s="46">
        <f ca="1">IF($L39="","",_xll.IMDP("STK",AA$6,$L39,$P$3,"Cons="&amp;AA$4))</f>
        <v>15309278</v>
      </c>
      <c r="AC39" s="12" t="str">
        <f t="shared" si="3"/>
        <v>기타부채</v>
      </c>
      <c r="AD39" s="46">
        <f t="shared" ca="1" si="2"/>
        <v>13942024394</v>
      </c>
    </row>
    <row r="40" spans="2:30" x14ac:dyDescent="0.25">
      <c r="B40" s="18">
        <v>33</v>
      </c>
      <c r="C40" s="41">
        <f t="shared" ca="1" si="4"/>
        <v>42185</v>
      </c>
      <c r="E40" s="3">
        <v>33</v>
      </c>
      <c r="F40" s="1" t="s">
        <v>29</v>
      </c>
      <c r="H40" s="5" t="s">
        <v>94</v>
      </c>
      <c r="L40" s="12" t="str">
        <f t="shared" si="1"/>
        <v>이연법인세부채</v>
      </c>
      <c r="M40" s="46">
        <f ca="1">IF($L40="","",_xll.IMDP("STK",M$6,$L40,$P$3,"Cons="&amp;M$4))</f>
        <v>3485352000</v>
      </c>
      <c r="N40" s="46" t="str">
        <f ca="1">IF($L40="","",_xll.IMDP("STK",N$6,$L40,$P$3,"Cons="&amp;N$4))</f>
        <v/>
      </c>
      <c r="O40" s="46">
        <f ca="1">IF($L40="","",_xll.IMDP("STK",O$6,$L40,$P$3,"Cons="&amp;O$4))</f>
        <v>1973576076</v>
      </c>
      <c r="P40" s="46">
        <f ca="1">IF($L40="","",_xll.IMDP("STK",P$6,$L40,$P$3,"Cons="&amp;P$4))</f>
        <v>34085000</v>
      </c>
      <c r="Q40" s="46">
        <f ca="1">IF($L40="","",_xll.IMDP("STK",Q$6,$L40,$P$3,"Cons="&amp;Q$4))</f>
        <v>1132904</v>
      </c>
      <c r="R40" s="46">
        <f ca="1">IF($L40="","",_xll.IMDP("STK",R$6,$L40,$P$3,"Cons="&amp;R$4))</f>
        <v>3295000</v>
      </c>
      <c r="S40" s="46" t="str">
        <f ca="1">IF($L40="","",_xll.IMDP("STK",S$6,$L40,$P$3,"Cons="&amp;S$4))</f>
        <v/>
      </c>
      <c r="T40" s="46" t="str">
        <f ca="1">IF($L40="","",_xll.IMDP("STK",T$6,$L40,$P$3,"Cons="&amp;T$4))</f>
        <v/>
      </c>
      <c r="U40" s="46">
        <f ca="1">IF($L40="","",_xll.IMDP("STK",U$6,$L40,$P$3,"Cons="&amp;U$4))</f>
        <v>11158119</v>
      </c>
      <c r="V40" s="46">
        <f ca="1">IF($L40="","",_xll.IMDP("STK",V$6,$L40,$P$3,"Cons="&amp;V$4))</f>
        <v>43238239</v>
      </c>
      <c r="W40" s="46">
        <f ca="1">IF($L40="","",_xll.IMDP("STK",W$6,$L40,$P$3,"Cons="&amp;W$4))</f>
        <v>947215</v>
      </c>
      <c r="X40" s="46">
        <f ca="1">IF($L40="","",_xll.IMDP("STK",X$6,$L40,$P$3,"Cons="&amp;X$4))</f>
        <v>4272578</v>
      </c>
      <c r="Y40" s="46" t="str">
        <f ca="1">IF($L40="","",_xll.IMDP("STK",Y$6,$L40,$P$3,"Cons="&amp;Y$4))</f>
        <v/>
      </c>
      <c r="Z40" s="46">
        <f ca="1">IF($L40="","",_xll.IMDP("STK",Z$6,$L40,$P$3,"Cons="&amp;Z$4))</f>
        <v>643852</v>
      </c>
      <c r="AA40" s="46" t="str">
        <f ca="1">IF($L40="","",_xll.IMDP("STK",AA$6,$L40,$P$3,"Cons="&amp;AA$4))</f>
        <v/>
      </c>
      <c r="AC40" s="12" t="str">
        <f t="shared" si="3"/>
        <v>이연법인세부채</v>
      </c>
      <c r="AD40" s="46">
        <f t="shared" ca="1" si="2"/>
        <v>5557700983</v>
      </c>
    </row>
    <row r="41" spans="2:30" x14ac:dyDescent="0.25">
      <c r="B41" s="18">
        <v>34</v>
      </c>
      <c r="C41" s="41">
        <f t="shared" ca="1" si="4"/>
        <v>42094</v>
      </c>
      <c r="E41" s="3">
        <v>34</v>
      </c>
      <c r="F41" s="1" t="s">
        <v>30</v>
      </c>
      <c r="H41" s="5" t="s">
        <v>95</v>
      </c>
      <c r="L41" s="12" t="str">
        <f t="shared" si="1"/>
        <v>예수부채</v>
      </c>
      <c r="M41" s="46">
        <f ca="1">IF($L41="","",_xll.IMDP("STK",M$6,$L41,$P$3,"Cons="&amp;M$4))</f>
        <v>-1149340000</v>
      </c>
      <c r="N41" s="46" t="str">
        <f ca="1">IF($L41="","",_xll.IMDP("STK",N$6,$L41,$P$3,"Cons="&amp;N$4))</f>
        <v/>
      </c>
      <c r="O41" s="46">
        <f ca="1">IF($L41="","",_xll.IMDP("STK",O$6,$L41,$P$3,"Cons="&amp;O$4))</f>
        <v>-17392274</v>
      </c>
      <c r="P41" s="46">
        <f ca="1">IF($L41="","",_xll.IMDP("STK",P$6,$L41,$P$3,"Cons="&amp;P$4))</f>
        <v>-1411000</v>
      </c>
      <c r="Q41" s="46">
        <f ca="1">IF($L41="","",_xll.IMDP("STK",Q$6,$L41,$P$3,"Cons="&amp;Q$4))</f>
        <v>-16170</v>
      </c>
      <c r="R41" s="46">
        <f ca="1">IF($L41="","",_xll.IMDP("STK",R$6,$L41,$P$3,"Cons="&amp;R$4))</f>
        <v>-1632000</v>
      </c>
      <c r="S41" s="46" t="str">
        <f ca="1">IF($L41="","",_xll.IMDP("STK",S$6,$L41,$P$3,"Cons="&amp;S$4))</f>
        <v/>
      </c>
      <c r="T41" s="46" t="str">
        <f ca="1">IF($L41="","",_xll.IMDP("STK",T$6,$L41,$P$3,"Cons="&amp;T$4))</f>
        <v/>
      </c>
      <c r="U41" s="46">
        <f ca="1">IF($L41="","",_xll.IMDP("STK",U$6,$L41,$P$3,"Cons="&amp;U$4))</f>
        <v>-190457</v>
      </c>
      <c r="V41" s="46">
        <f ca="1">IF($L41="","",_xll.IMDP("STK",V$6,$L41,$P$3,"Cons="&amp;V$4))</f>
        <v>225524</v>
      </c>
      <c r="W41" s="46">
        <f ca="1">IF($L41="","",_xll.IMDP("STK",W$6,$L41,$P$3,"Cons="&amp;W$4))</f>
        <v>-43055</v>
      </c>
      <c r="X41" s="46">
        <f ca="1">IF($L41="","",_xll.IMDP("STK",X$6,$L41,$P$3,"Cons="&amp;X$4))</f>
        <v>1682500</v>
      </c>
      <c r="Y41" s="46" t="str">
        <f ca="1">IF($L41="","",_xll.IMDP("STK",Y$6,$L41,$P$3,"Cons="&amp;Y$4))</f>
        <v/>
      </c>
      <c r="Z41" s="46">
        <f ca="1">IF($L41="","",_xll.IMDP("STK",Z$6,$L41,$P$3,"Cons="&amp;Z$4))</f>
        <v>-345042</v>
      </c>
      <c r="AA41" s="46" t="str">
        <f ca="1">IF($L41="","",_xll.IMDP("STK",AA$6,$L41,$P$3,"Cons="&amp;AA$4))</f>
        <v/>
      </c>
      <c r="AC41" s="12" t="str">
        <f t="shared" si="3"/>
        <v>예수부채</v>
      </c>
      <c r="AD41" s="46">
        <f t="shared" ca="1" si="2"/>
        <v>-1168461974</v>
      </c>
    </row>
    <row r="42" spans="2:30" x14ac:dyDescent="0.25">
      <c r="B42" s="18">
        <v>35</v>
      </c>
      <c r="C42" s="41">
        <f t="shared" ca="1" si="4"/>
        <v>42004</v>
      </c>
      <c r="E42" s="3">
        <v>35</v>
      </c>
      <c r="H42" s="5" t="s">
        <v>96</v>
      </c>
      <c r="L42" s="12" t="str">
        <f t="shared" si="1"/>
        <v/>
      </c>
      <c r="M42" s="46" t="str">
        <f>IF($L42="","",_xll.IMDP("STK",M$6,$L42,$P$3,"Cons="&amp;M$4))</f>
        <v/>
      </c>
      <c r="N42" s="46" t="str">
        <f>IF($L42="","",_xll.IMDP("STK",N$6,$L42,$P$3,"Cons="&amp;N$4))</f>
        <v/>
      </c>
      <c r="O42" s="46" t="str">
        <f>IF($L42="","",_xll.IMDP("STK",O$6,$L42,$P$3,"Cons="&amp;O$4))</f>
        <v/>
      </c>
      <c r="P42" s="46" t="str">
        <f>IF($L42="","",_xll.IMDP("STK",P$6,$L42,$P$3,"Cons="&amp;P$4))</f>
        <v/>
      </c>
      <c r="Q42" s="46" t="str">
        <f>IF($L42="","",_xll.IMDP("STK",Q$6,$L42,$P$3,"Cons="&amp;Q$4))</f>
        <v/>
      </c>
      <c r="R42" s="46" t="str">
        <f>IF($L42="","",_xll.IMDP("STK",R$6,$L42,$P$3,"Cons="&amp;R$4))</f>
        <v/>
      </c>
      <c r="S42" s="46" t="str">
        <f>IF($L42="","",_xll.IMDP("STK",S$6,$L42,$P$3,"Cons="&amp;S$4))</f>
        <v/>
      </c>
      <c r="T42" s="46" t="str">
        <f>IF($L42="","",_xll.IMDP("STK",T$6,$L42,$P$3,"Cons="&amp;T$4))</f>
        <v/>
      </c>
      <c r="U42" s="46" t="str">
        <f>IF($L42="","",_xll.IMDP("STK",U$6,$L42,$P$3,"Cons="&amp;U$4))</f>
        <v/>
      </c>
      <c r="V42" s="46" t="str">
        <f>IF($L42="","",_xll.IMDP("STK",V$6,$L42,$P$3,"Cons="&amp;V$4))</f>
        <v/>
      </c>
      <c r="W42" s="46" t="str">
        <f>IF($L42="","",_xll.IMDP("STK",W$6,$L42,$P$3,"Cons="&amp;W$4))</f>
        <v/>
      </c>
      <c r="X42" s="46" t="str">
        <f>IF($L42="","",_xll.IMDP("STK",X$6,$L42,$P$3,"Cons="&amp;X$4))</f>
        <v/>
      </c>
      <c r="Y42" s="46" t="str">
        <f>IF($L42="","",_xll.IMDP("STK",Y$6,$L42,$P$3,"Cons="&amp;Y$4))</f>
        <v/>
      </c>
      <c r="Z42" s="46" t="str">
        <f>IF($L42="","",_xll.IMDP("STK",Z$6,$L42,$P$3,"Cons="&amp;Z$4))</f>
        <v/>
      </c>
      <c r="AA42" s="46" t="str">
        <f>IF($L42="","",_xll.IMDP("STK",AA$6,$L42,$P$3,"Cons="&amp;AA$4))</f>
        <v/>
      </c>
      <c r="AC42" s="12" t="str">
        <f t="shared" si="3"/>
        <v/>
      </c>
      <c r="AD42" s="46" t="str">
        <f t="shared" si="2"/>
        <v/>
      </c>
    </row>
    <row r="43" spans="2:30" x14ac:dyDescent="0.25">
      <c r="B43" s="18">
        <v>36</v>
      </c>
      <c r="C43" s="41">
        <f t="shared" ca="1" si="4"/>
        <v>41912</v>
      </c>
      <c r="E43" s="3">
        <v>36</v>
      </c>
      <c r="H43" s="5" t="s">
        <v>97</v>
      </c>
      <c r="L43" s="12" t="str">
        <f t="shared" si="1"/>
        <v/>
      </c>
      <c r="M43" s="46" t="str">
        <f>IF($L43="","",_xll.IMDP("STK",M$6,$L43,$P$3,"Cons="&amp;M$4))</f>
        <v/>
      </c>
      <c r="N43" s="46" t="str">
        <f>IF($L43="","",_xll.IMDP("STK",N$6,$L43,$P$3,"Cons="&amp;N$4))</f>
        <v/>
      </c>
      <c r="O43" s="46" t="str">
        <f>IF($L43="","",_xll.IMDP("STK",O$6,$L43,$P$3,"Cons="&amp;O$4))</f>
        <v/>
      </c>
      <c r="P43" s="46" t="str">
        <f>IF($L43="","",_xll.IMDP("STK",P$6,$L43,$P$3,"Cons="&amp;P$4))</f>
        <v/>
      </c>
      <c r="Q43" s="46" t="str">
        <f>IF($L43="","",_xll.IMDP("STK",Q$6,$L43,$P$3,"Cons="&amp;Q$4))</f>
        <v/>
      </c>
      <c r="R43" s="46" t="str">
        <f>IF($L43="","",_xll.IMDP("STK",R$6,$L43,$P$3,"Cons="&amp;R$4))</f>
        <v/>
      </c>
      <c r="S43" s="46" t="str">
        <f>IF($L43="","",_xll.IMDP("STK",S$6,$L43,$P$3,"Cons="&amp;S$4))</f>
        <v/>
      </c>
      <c r="T43" s="46" t="str">
        <f>IF($L43="","",_xll.IMDP("STK",T$6,$L43,$P$3,"Cons="&amp;T$4))</f>
        <v/>
      </c>
      <c r="U43" s="46" t="str">
        <f>IF($L43="","",_xll.IMDP("STK",U$6,$L43,$P$3,"Cons="&amp;U$4))</f>
        <v/>
      </c>
      <c r="V43" s="46" t="str">
        <f>IF($L43="","",_xll.IMDP("STK",V$6,$L43,$P$3,"Cons="&amp;V$4))</f>
        <v/>
      </c>
      <c r="W43" s="46" t="str">
        <f>IF($L43="","",_xll.IMDP("STK",W$6,$L43,$P$3,"Cons="&amp;W$4))</f>
        <v/>
      </c>
      <c r="X43" s="46" t="str">
        <f>IF($L43="","",_xll.IMDP("STK",X$6,$L43,$P$3,"Cons="&amp;X$4))</f>
        <v/>
      </c>
      <c r="Y43" s="46" t="str">
        <f>IF($L43="","",_xll.IMDP("STK",Y$6,$L43,$P$3,"Cons="&amp;Y$4))</f>
        <v/>
      </c>
      <c r="Z43" s="46" t="str">
        <f>IF($L43="","",_xll.IMDP("STK",Z$6,$L43,$P$3,"Cons="&amp;Z$4))</f>
        <v/>
      </c>
      <c r="AA43" s="46" t="str">
        <f>IF($L43="","",_xll.IMDP("STK",AA$6,$L43,$P$3,"Cons="&amp;AA$4))</f>
        <v/>
      </c>
      <c r="AC43" s="12" t="str">
        <f t="shared" si="3"/>
        <v/>
      </c>
      <c r="AD43" s="46" t="str">
        <f t="shared" si="2"/>
        <v/>
      </c>
    </row>
    <row r="44" spans="2:30" x14ac:dyDescent="0.25">
      <c r="B44" s="18">
        <v>37</v>
      </c>
      <c r="C44" s="41">
        <f t="shared" ca="1" si="4"/>
        <v>41820</v>
      </c>
      <c r="E44" s="3">
        <v>37</v>
      </c>
      <c r="H44" s="9" t="s">
        <v>98</v>
      </c>
      <c r="L44" s="12" t="str">
        <f t="shared" si="1"/>
        <v/>
      </c>
      <c r="M44" s="46" t="str">
        <f>IF($L44="","",_xll.IMDP("STK",M$6,$L44,$P$3,"Cons="&amp;M$4))</f>
        <v/>
      </c>
      <c r="N44" s="46" t="str">
        <f>IF($L44="","",_xll.IMDP("STK",N$6,$L44,$P$3,"Cons="&amp;N$4))</f>
        <v/>
      </c>
      <c r="O44" s="46" t="str">
        <f>IF($L44="","",_xll.IMDP("STK",O$6,$L44,$P$3,"Cons="&amp;O$4))</f>
        <v/>
      </c>
      <c r="P44" s="46" t="str">
        <f>IF($L44="","",_xll.IMDP("STK",P$6,$L44,$P$3,"Cons="&amp;P$4))</f>
        <v/>
      </c>
      <c r="Q44" s="46" t="str">
        <f>IF($L44="","",_xll.IMDP("STK",Q$6,$L44,$P$3,"Cons="&amp;Q$4))</f>
        <v/>
      </c>
      <c r="R44" s="46" t="str">
        <f>IF($L44="","",_xll.IMDP("STK",R$6,$L44,$P$3,"Cons="&amp;R$4))</f>
        <v/>
      </c>
      <c r="S44" s="46" t="str">
        <f>IF($L44="","",_xll.IMDP("STK",S$6,$L44,$P$3,"Cons="&amp;S$4))</f>
        <v/>
      </c>
      <c r="T44" s="46" t="str">
        <f>IF($L44="","",_xll.IMDP("STK",T$6,$L44,$P$3,"Cons="&amp;T$4))</f>
        <v/>
      </c>
      <c r="U44" s="46" t="str">
        <f>IF($L44="","",_xll.IMDP("STK",U$6,$L44,$P$3,"Cons="&amp;U$4))</f>
        <v/>
      </c>
      <c r="V44" s="46" t="str">
        <f>IF($L44="","",_xll.IMDP("STK",V$6,$L44,$P$3,"Cons="&amp;V$4))</f>
        <v/>
      </c>
      <c r="W44" s="46" t="str">
        <f>IF($L44="","",_xll.IMDP("STK",W$6,$L44,$P$3,"Cons="&amp;W$4))</f>
        <v/>
      </c>
      <c r="X44" s="46" t="str">
        <f>IF($L44="","",_xll.IMDP("STK",X$6,$L44,$P$3,"Cons="&amp;X$4))</f>
        <v/>
      </c>
      <c r="Y44" s="46" t="str">
        <f>IF($L44="","",_xll.IMDP("STK",Y$6,$L44,$P$3,"Cons="&amp;Y$4))</f>
        <v/>
      </c>
      <c r="Z44" s="46" t="str">
        <f>IF($L44="","",_xll.IMDP("STK",Z$6,$L44,$P$3,"Cons="&amp;Z$4))</f>
        <v/>
      </c>
      <c r="AA44" s="46" t="str">
        <f>IF($L44="","",_xll.IMDP("STK",AA$6,$L44,$P$3,"Cons="&amp;AA$4))</f>
        <v/>
      </c>
      <c r="AC44" s="12" t="str">
        <f t="shared" si="3"/>
        <v/>
      </c>
      <c r="AD44" s="46" t="str">
        <f t="shared" si="2"/>
        <v/>
      </c>
    </row>
    <row r="45" spans="2:30" x14ac:dyDescent="0.25">
      <c r="B45" s="18">
        <v>38</v>
      </c>
      <c r="C45" s="41">
        <f t="shared" ca="1" si="4"/>
        <v>41729</v>
      </c>
      <c r="E45" s="3">
        <v>38</v>
      </c>
      <c r="H45" s="9" t="s">
        <v>99</v>
      </c>
      <c r="L45" s="12" t="str">
        <f t="shared" si="1"/>
        <v/>
      </c>
      <c r="M45" s="46" t="str">
        <f>IF($L45="","",_xll.IMDP("STK",M$6,$L45,$P$3,"Cons="&amp;M$4))</f>
        <v/>
      </c>
      <c r="N45" s="46" t="str">
        <f>IF($L45="","",_xll.IMDP("STK",N$6,$L45,$P$3,"Cons="&amp;N$4))</f>
        <v/>
      </c>
      <c r="O45" s="46" t="str">
        <f>IF($L45="","",_xll.IMDP("STK",O$6,$L45,$P$3,"Cons="&amp;O$4))</f>
        <v/>
      </c>
      <c r="P45" s="46" t="str">
        <f>IF($L45="","",_xll.IMDP("STK",P$6,$L45,$P$3,"Cons="&amp;P$4))</f>
        <v/>
      </c>
      <c r="Q45" s="46" t="str">
        <f>IF($L45="","",_xll.IMDP("STK",Q$6,$L45,$P$3,"Cons="&amp;Q$4))</f>
        <v/>
      </c>
      <c r="R45" s="46" t="str">
        <f>IF($L45="","",_xll.IMDP("STK",R$6,$L45,$P$3,"Cons="&amp;R$4))</f>
        <v/>
      </c>
      <c r="S45" s="46" t="str">
        <f>IF($L45="","",_xll.IMDP("STK",S$6,$L45,$P$3,"Cons="&amp;S$4))</f>
        <v/>
      </c>
      <c r="T45" s="46" t="str">
        <f>IF($L45="","",_xll.IMDP("STK",T$6,$L45,$P$3,"Cons="&amp;T$4))</f>
        <v/>
      </c>
      <c r="U45" s="46" t="str">
        <f>IF($L45="","",_xll.IMDP("STK",U$6,$L45,$P$3,"Cons="&amp;U$4))</f>
        <v/>
      </c>
      <c r="V45" s="46" t="str">
        <f>IF($L45="","",_xll.IMDP("STK",V$6,$L45,$P$3,"Cons="&amp;V$4))</f>
        <v/>
      </c>
      <c r="W45" s="46" t="str">
        <f>IF($L45="","",_xll.IMDP("STK",W$6,$L45,$P$3,"Cons="&amp;W$4))</f>
        <v/>
      </c>
      <c r="X45" s="46" t="str">
        <f>IF($L45="","",_xll.IMDP("STK",X$6,$L45,$P$3,"Cons="&amp;X$4))</f>
        <v/>
      </c>
      <c r="Y45" s="46" t="str">
        <f>IF($L45="","",_xll.IMDP("STK",Y$6,$L45,$P$3,"Cons="&amp;Y$4))</f>
        <v/>
      </c>
      <c r="Z45" s="46" t="str">
        <f>IF($L45="","",_xll.IMDP("STK",Z$6,$L45,$P$3,"Cons="&amp;Z$4))</f>
        <v/>
      </c>
      <c r="AA45" s="46" t="str">
        <f>IF($L45="","",_xll.IMDP("STK",AA$6,$L45,$P$3,"Cons="&amp;AA$4))</f>
        <v/>
      </c>
      <c r="AC45" s="12" t="str">
        <f t="shared" si="3"/>
        <v/>
      </c>
      <c r="AD45" s="46" t="str">
        <f t="shared" si="2"/>
        <v/>
      </c>
    </row>
    <row r="46" spans="2:30" x14ac:dyDescent="0.25">
      <c r="B46" s="18">
        <v>39</v>
      </c>
      <c r="C46" s="41">
        <f t="shared" ca="1" si="4"/>
        <v>41639</v>
      </c>
      <c r="E46" s="3">
        <v>39</v>
      </c>
      <c r="H46" s="9" t="s">
        <v>100</v>
      </c>
      <c r="L46" s="12" t="str">
        <f t="shared" si="1"/>
        <v/>
      </c>
      <c r="M46" s="46" t="str">
        <f>IF($L46="","",_xll.IMDP("STK",M$6,$L46,$P$3,"Cons="&amp;M$4))</f>
        <v/>
      </c>
      <c r="N46" s="46" t="str">
        <f>IF($L46="","",_xll.IMDP("STK",N$6,$L46,$P$3,"Cons="&amp;N$4))</f>
        <v/>
      </c>
      <c r="O46" s="46" t="str">
        <f>IF($L46="","",_xll.IMDP("STK",O$6,$L46,$P$3,"Cons="&amp;O$4))</f>
        <v/>
      </c>
      <c r="P46" s="46" t="str">
        <f>IF($L46="","",_xll.IMDP("STK",P$6,$L46,$P$3,"Cons="&amp;P$4))</f>
        <v/>
      </c>
      <c r="Q46" s="46" t="str">
        <f>IF($L46="","",_xll.IMDP("STK",Q$6,$L46,$P$3,"Cons="&amp;Q$4))</f>
        <v/>
      </c>
      <c r="R46" s="46" t="str">
        <f>IF($L46="","",_xll.IMDP("STK",R$6,$L46,$P$3,"Cons="&amp;R$4))</f>
        <v/>
      </c>
      <c r="S46" s="46" t="str">
        <f>IF($L46="","",_xll.IMDP("STK",S$6,$L46,$P$3,"Cons="&amp;S$4))</f>
        <v/>
      </c>
      <c r="T46" s="46" t="str">
        <f>IF($L46="","",_xll.IMDP("STK",T$6,$L46,$P$3,"Cons="&amp;T$4))</f>
        <v/>
      </c>
      <c r="U46" s="46" t="str">
        <f>IF($L46="","",_xll.IMDP("STK",U$6,$L46,$P$3,"Cons="&amp;U$4))</f>
        <v/>
      </c>
      <c r="V46" s="46" t="str">
        <f>IF($L46="","",_xll.IMDP("STK",V$6,$L46,$P$3,"Cons="&amp;V$4))</f>
        <v/>
      </c>
      <c r="W46" s="46" t="str">
        <f>IF($L46="","",_xll.IMDP("STK",W$6,$L46,$P$3,"Cons="&amp;W$4))</f>
        <v/>
      </c>
      <c r="X46" s="46" t="str">
        <f>IF($L46="","",_xll.IMDP("STK",X$6,$L46,$P$3,"Cons="&amp;X$4))</f>
        <v/>
      </c>
      <c r="Y46" s="46" t="str">
        <f>IF($L46="","",_xll.IMDP("STK",Y$6,$L46,$P$3,"Cons="&amp;Y$4))</f>
        <v/>
      </c>
      <c r="Z46" s="46" t="str">
        <f>IF($L46="","",_xll.IMDP("STK",Z$6,$L46,$P$3,"Cons="&amp;Z$4))</f>
        <v/>
      </c>
      <c r="AA46" s="46" t="str">
        <f>IF($L46="","",_xll.IMDP("STK",AA$6,$L46,$P$3,"Cons="&amp;AA$4))</f>
        <v/>
      </c>
      <c r="AC46" s="12" t="str">
        <f t="shared" si="3"/>
        <v/>
      </c>
      <c r="AD46" s="46" t="str">
        <f t="shared" si="2"/>
        <v/>
      </c>
    </row>
    <row r="47" spans="2:30" x14ac:dyDescent="0.25">
      <c r="B47" s="18">
        <v>40</v>
      </c>
      <c r="C47" s="41">
        <f t="shared" ref="C47:C53" ca="1" si="5">EOMONTH(C46,-3)</f>
        <v>41547</v>
      </c>
    </row>
    <row r="48" spans="2:30" x14ac:dyDescent="0.25">
      <c r="B48" s="18">
        <v>41</v>
      </c>
      <c r="C48" s="41">
        <f t="shared" ca="1" si="5"/>
        <v>41455</v>
      </c>
    </row>
    <row r="49" spans="2:3" x14ac:dyDescent="0.25">
      <c r="B49" s="18">
        <v>42</v>
      </c>
      <c r="C49" s="41">
        <f t="shared" ca="1" si="5"/>
        <v>41364</v>
      </c>
    </row>
    <row r="50" spans="2:3" x14ac:dyDescent="0.25">
      <c r="B50" s="18">
        <v>43</v>
      </c>
      <c r="C50" s="41">
        <f t="shared" ca="1" si="5"/>
        <v>41274</v>
      </c>
    </row>
    <row r="51" spans="2:3" x14ac:dyDescent="0.25">
      <c r="B51" s="18">
        <v>44</v>
      </c>
      <c r="C51" s="41">
        <f t="shared" ca="1" si="5"/>
        <v>41182</v>
      </c>
    </row>
    <row r="52" spans="2:3" x14ac:dyDescent="0.25">
      <c r="B52" s="18">
        <v>45</v>
      </c>
      <c r="C52" s="41">
        <f t="shared" ca="1" si="5"/>
        <v>41090</v>
      </c>
    </row>
    <row r="53" spans="2:3" x14ac:dyDescent="0.25">
      <c r="B53" s="18">
        <v>46</v>
      </c>
      <c r="C53" s="41">
        <f t="shared" ca="1" si="5"/>
        <v>40999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9525</xdr:rowOff>
                  </from>
                  <to>
                    <xdr:col>12</xdr:col>
                    <xdr:colOff>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Drop Down 4">
              <controlPr defaultSize="0" autoLine="0" autoPict="0">
                <anchor moveWithCells="1">
                  <from>
                    <xdr:col>15</xdr:col>
                    <xdr:colOff>19050</xdr:colOff>
                    <xdr:row>2</xdr:row>
                    <xdr:rowOff>66675</xdr:rowOff>
                  </from>
                  <to>
                    <xdr:col>16</xdr:col>
                    <xdr:colOff>0</xdr:colOff>
                    <xdr:row>2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Q525"/>
  <sheetViews>
    <sheetView showGridLines="0" zoomScaleNormal="100" workbookViewId="0">
      <selection activeCell="AK8" sqref="AK8"/>
    </sheetView>
  </sheetViews>
  <sheetFormatPr defaultRowHeight="13.5" x14ac:dyDescent="0.25"/>
  <cols>
    <col min="1" max="1" width="1.7109375" style="18" customWidth="1"/>
    <col min="2" max="2" width="9.140625" style="22" hidden="1" customWidth="1"/>
    <col min="3" max="3" width="4.7109375" style="22" hidden="1" customWidth="1"/>
    <col min="4" max="25" width="2.42578125" style="23" hidden="1" customWidth="1"/>
    <col min="26" max="26" width="9.140625" customWidth="1"/>
    <col min="27" max="27" width="18.7109375" customWidth="1"/>
    <col min="28" max="28" width="12.5703125" style="18" customWidth="1"/>
    <col min="29" max="29" width="7.5703125" style="18" bestFit="1" customWidth="1"/>
    <col min="30" max="30" width="9.140625" style="18" bestFit="1" customWidth="1"/>
    <col min="31" max="31" width="19.7109375" style="18" customWidth="1"/>
    <col min="32" max="32" width="7.85546875" bestFit="1" customWidth="1"/>
    <col min="33" max="33" width="19.42578125" bestFit="1" customWidth="1"/>
    <col min="34" max="34" width="12.5703125" style="18" customWidth="1"/>
    <col min="35" max="35" width="7.28515625" style="18" bestFit="1" customWidth="1"/>
    <col min="36" max="36" width="9.140625" style="18" bestFit="1" customWidth="1"/>
    <col min="37" max="37" width="19.7109375" style="33" customWidth="1"/>
    <col min="38" max="38" width="7.7109375" bestFit="1" customWidth="1"/>
    <col min="39" max="39" width="17.42578125" customWidth="1"/>
    <col min="40" max="40" width="17.42578125" style="18" customWidth="1"/>
    <col min="41" max="41" width="9.140625" style="18" bestFit="1" customWidth="1"/>
    <col min="42" max="42" width="7.28515625" style="18" bestFit="1" customWidth="1"/>
    <col min="43" max="43" width="19.7109375" style="18" customWidth="1"/>
  </cols>
  <sheetData>
    <row r="1" spans="2:43" s="18" customFormat="1" ht="6" customHeight="1" x14ac:dyDescent="0.25">
      <c r="B1" s="22"/>
      <c r="C1" s="22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AK1" s="33"/>
    </row>
    <row r="2" spans="2:43" ht="27" customHeight="1" x14ac:dyDescent="0.25">
      <c r="Z2" s="28" t="s">
        <v>1097</v>
      </c>
    </row>
    <row r="3" spans="2:43" ht="6.75" customHeight="1" x14ac:dyDescent="0.25"/>
    <row r="4" spans="2:43" ht="15" hidden="1" customHeight="1" x14ac:dyDescent="0.25">
      <c r="C4" s="24"/>
      <c r="D4" s="23" t="s">
        <v>173</v>
      </c>
      <c r="E4" s="23" t="s">
        <v>249</v>
      </c>
      <c r="F4" s="23" t="s">
        <v>360</v>
      </c>
      <c r="G4" s="23" t="s">
        <v>359</v>
      </c>
      <c r="H4" s="23" t="s">
        <v>432</v>
      </c>
      <c r="I4" s="23" t="s">
        <v>463</v>
      </c>
      <c r="J4" s="23" t="s">
        <v>513</v>
      </c>
      <c r="K4" s="23" t="s">
        <v>556</v>
      </c>
      <c r="L4" s="23" t="s">
        <v>557</v>
      </c>
      <c r="M4" s="23" t="s">
        <v>624</v>
      </c>
      <c r="N4" s="23" t="s">
        <v>631</v>
      </c>
      <c r="O4" s="23" t="s">
        <v>691</v>
      </c>
      <c r="P4" s="23" t="s">
        <v>765</v>
      </c>
      <c r="Q4" s="23" t="s">
        <v>764</v>
      </c>
      <c r="R4" s="23" t="s">
        <v>805</v>
      </c>
      <c r="S4" s="23" t="s">
        <v>830</v>
      </c>
      <c r="T4" s="23" t="s">
        <v>835</v>
      </c>
      <c r="U4" s="23" t="s">
        <v>978</v>
      </c>
      <c r="V4" s="23" t="s">
        <v>979</v>
      </c>
      <c r="W4" s="23" t="s">
        <v>980</v>
      </c>
      <c r="X4" s="23" t="s">
        <v>981</v>
      </c>
      <c r="Y4" s="23" t="s">
        <v>1060</v>
      </c>
      <c r="Z4" s="26"/>
      <c r="AA4" s="27">
        <v>1</v>
      </c>
      <c r="AB4" s="27"/>
      <c r="AC4" s="27"/>
      <c r="AD4" s="27"/>
      <c r="AE4" s="27"/>
      <c r="AF4" s="26"/>
      <c r="AG4" s="26">
        <v>21</v>
      </c>
      <c r="AH4" s="27"/>
      <c r="AI4" s="27"/>
      <c r="AJ4" s="27"/>
      <c r="AK4" s="34"/>
      <c r="AL4" s="26"/>
      <c r="AM4" s="26">
        <v>3</v>
      </c>
      <c r="AN4" s="26"/>
      <c r="AO4" s="26"/>
      <c r="AP4" s="26"/>
      <c r="AQ4" s="26"/>
    </row>
    <row r="5" spans="2:43" s="29" customFormat="1" ht="18.75" customHeight="1" x14ac:dyDescent="0.25">
      <c r="C5" s="30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2" t="s">
        <v>1098</v>
      </c>
      <c r="AA5" s="32" t="s">
        <v>1099</v>
      </c>
      <c r="AB5" s="35" t="s">
        <v>1102</v>
      </c>
      <c r="AC5" s="35" t="s">
        <v>1103</v>
      </c>
      <c r="AD5" s="35" t="s">
        <v>1100</v>
      </c>
      <c r="AE5" s="36" t="s">
        <v>1101</v>
      </c>
      <c r="AF5" s="32" t="s">
        <v>1098</v>
      </c>
      <c r="AG5" s="32" t="s">
        <v>1099</v>
      </c>
      <c r="AH5" s="35" t="s">
        <v>1102</v>
      </c>
      <c r="AI5" s="35" t="s">
        <v>1103</v>
      </c>
      <c r="AJ5" s="35" t="s">
        <v>1100</v>
      </c>
      <c r="AK5" s="36" t="s">
        <v>1101</v>
      </c>
      <c r="AN5" s="35" t="s">
        <v>1102</v>
      </c>
      <c r="AO5" s="35" t="s">
        <v>1103</v>
      </c>
      <c r="AP5" s="35" t="s">
        <v>1100</v>
      </c>
      <c r="AQ5" s="36" t="s">
        <v>1101</v>
      </c>
    </row>
    <row r="6" spans="2:43" x14ac:dyDescent="0.25">
      <c r="B6" s="22" t="s">
        <v>1074</v>
      </c>
      <c r="C6" s="22">
        <v>1</v>
      </c>
      <c r="D6" s="25" t="s">
        <v>174</v>
      </c>
      <c r="E6" s="25" t="s">
        <v>222</v>
      </c>
      <c r="F6" s="25" t="s">
        <v>361</v>
      </c>
      <c r="G6" s="25" t="s">
        <v>250</v>
      </c>
      <c r="H6" s="25" t="s">
        <v>383</v>
      </c>
      <c r="I6" s="25" t="s">
        <v>433</v>
      </c>
      <c r="J6" s="25" t="s">
        <v>464</v>
      </c>
      <c r="K6" s="25" t="s">
        <v>514</v>
      </c>
      <c r="L6" s="25" t="s">
        <v>558</v>
      </c>
      <c r="M6" s="25" t="s">
        <v>625</v>
      </c>
      <c r="N6" s="25" t="s">
        <v>632</v>
      </c>
      <c r="O6" s="25" t="s">
        <v>692</v>
      </c>
      <c r="P6" s="25" t="s">
        <v>754</v>
      </c>
      <c r="Q6" s="25" t="s">
        <v>766</v>
      </c>
      <c r="R6" s="25" t="s">
        <v>806</v>
      </c>
      <c r="S6" s="25" t="s">
        <v>831</v>
      </c>
      <c r="T6" s="25" t="s">
        <v>836</v>
      </c>
      <c r="U6" s="25" t="s">
        <v>873</v>
      </c>
      <c r="V6" s="25" t="s">
        <v>1096</v>
      </c>
      <c r="W6" s="25" t="s">
        <v>842</v>
      </c>
      <c r="X6" s="25" t="s">
        <v>982</v>
      </c>
      <c r="Y6" s="25" t="s">
        <v>222</v>
      </c>
      <c r="Z6" s="20" t="str">
        <f t="shared" ref="Z6:Z69" si="0">IF(INDEX($D$6:$Y$525,$C6,$AA$4)=0,"",INDEX($D$6:$Y$525,$C6,$AA$4))</f>
        <v>011150</v>
      </c>
      <c r="AA6" s="21" t="str">
        <f>IF(Z6="","",_xll.IMDP("STK",$Z6,"한글종목명"))</f>
        <v>CJ씨푸드</v>
      </c>
      <c r="AB6" s="48">
        <f>IF(Z6="","",_xll.IMDP("STK",$Z6,"현재가"))</f>
        <v>3410</v>
      </c>
      <c r="AC6" s="48">
        <f>IF(Z6="","",_xll.IMDP("STK",$Z6,"전일대비"))</f>
        <v>-40</v>
      </c>
      <c r="AD6" s="49">
        <f>IF(Z6="","",_xll.IMDP("STK",$Z6,"등락률"))</f>
        <v>-1.1599999999999999</v>
      </c>
      <c r="AE6" s="48">
        <f>IF(Z6="","",_xll.IMDP("STK",Z6,"시가총액"))</f>
        <v>122523935930</v>
      </c>
      <c r="AF6" s="20" t="str">
        <f>IF(INDEX($D$6:$Y$525,$C6,$AG$4)=0,"",INDEX($D$6:$Y$525,$C6,$AG$4))</f>
        <v>095570</v>
      </c>
      <c r="AG6" s="21" t="str">
        <f>IF(AF6="","",_xll.IMDP("STK",$AF6,"한글종목명"))</f>
        <v>AJ네트웍스</v>
      </c>
      <c r="AH6" s="48">
        <f>IF(AF6="","",_xll.IMDP("STK",$AF6,"현재가"))</f>
        <v>4120</v>
      </c>
      <c r="AI6" s="48">
        <f>IF(AF6="","",_xll.IMDP("STK",$AF6,"전일대비"))</f>
        <v>-15</v>
      </c>
      <c r="AJ6" s="49">
        <f>IF(AF6="","",_xll.IMDP("STK",$AF6,"등락률"))</f>
        <v>-0.36</v>
      </c>
      <c r="AK6" s="48">
        <f>IF(AF6="","",_xll.IMDP("STK",$AF6,"시가총액"))</f>
        <v>192907855400</v>
      </c>
      <c r="AL6" s="20" t="str">
        <f t="shared" ref="AL6:AL69" si="1">IF(INDEX($D$6:$Y$525,$C6,$AM$4)=0,"",INDEX($D$6:$Y$525,$C6,$AM$4))</f>
        <v>004540</v>
      </c>
      <c r="AM6" s="21" t="str">
        <f>IF(AL6="","",_xll.IMDP("STK",$AL6,"한글종목명"))</f>
        <v>깨끗한나라</v>
      </c>
      <c r="AN6" s="48">
        <f>IF(AL6="","",_xll.IMDP("STK",$AL6,"현재가"))</f>
        <v>2290</v>
      </c>
      <c r="AO6" s="48">
        <f>IF(AL6="","",_xll.IMDP("STK",$AL6,"전일대비"))</f>
        <v>25</v>
      </c>
      <c r="AP6" s="49">
        <f>IF(AL6="","",_xll.IMDP("STK",$AL6,"등락률"))</f>
        <v>1.1000000000000001</v>
      </c>
      <c r="AQ6" s="48">
        <f>IF(AL6="","",_xll.IMDP("STK",$AL6,"시가총액"))</f>
        <v>85281186970</v>
      </c>
    </row>
    <row r="7" spans="2:43" x14ac:dyDescent="0.25">
      <c r="B7" s="22" t="s">
        <v>1075</v>
      </c>
      <c r="C7" s="22">
        <v>2</v>
      </c>
      <c r="D7" s="25" t="s">
        <v>175</v>
      </c>
      <c r="E7" s="25" t="s">
        <v>223</v>
      </c>
      <c r="F7" s="25" t="s">
        <v>362</v>
      </c>
      <c r="G7" s="25" t="s">
        <v>251</v>
      </c>
      <c r="H7" s="25" t="s">
        <v>384</v>
      </c>
      <c r="I7" s="25" t="s">
        <v>434</v>
      </c>
      <c r="J7" s="25" t="s">
        <v>465</v>
      </c>
      <c r="K7" s="25" t="s">
        <v>515</v>
      </c>
      <c r="L7" s="25" t="s">
        <v>559</v>
      </c>
      <c r="M7" s="25" t="s">
        <v>626</v>
      </c>
      <c r="N7" s="25" t="s">
        <v>633</v>
      </c>
      <c r="O7" s="25" t="s">
        <v>693</v>
      </c>
      <c r="P7" s="25" t="s">
        <v>755</v>
      </c>
      <c r="Q7" s="25" t="s">
        <v>767</v>
      </c>
      <c r="R7" s="25" t="s">
        <v>807</v>
      </c>
      <c r="S7" s="25" t="s">
        <v>832</v>
      </c>
      <c r="T7" s="25" t="s">
        <v>837</v>
      </c>
      <c r="U7" s="25" t="s">
        <v>875</v>
      </c>
      <c r="V7" s="25" t="s">
        <v>853</v>
      </c>
      <c r="W7" s="25" t="s">
        <v>888</v>
      </c>
      <c r="X7" s="25" t="s">
        <v>983</v>
      </c>
      <c r="Y7" s="25" t="s">
        <v>223</v>
      </c>
      <c r="Z7" s="20" t="str">
        <f t="shared" si="0"/>
        <v>011155</v>
      </c>
      <c r="AA7" s="21" t="str">
        <f>IF(Z7="","",_xll.IMDP("STK",$Z7,"한글종목명"))</f>
        <v>CJ씨푸드1우</v>
      </c>
      <c r="AB7" s="48">
        <f>IF(Z7="","",_xll.IMDP("STK",$Z7,"현재가"))</f>
        <v>19900</v>
      </c>
      <c r="AC7" s="48">
        <f>IF(Z7="","",_xll.IMDP("STK",$Z7,"전일대비"))</f>
        <v>10</v>
      </c>
      <c r="AD7" s="49">
        <f>IF(Z7="","",_xll.IMDP("STK",$Z7,"등락률"))</f>
        <v>0.05</v>
      </c>
      <c r="AE7" s="48">
        <f>IF(Z7="","",_xll.IMDP("STK",Z7,"시가총액"))</f>
        <v>3980000000</v>
      </c>
      <c r="AF7" s="20" t="str">
        <f t="shared" ref="AF7:AF70" si="2">IF(INDEX($D$6:$Y$525,$C7,$AG$4)=0,"",INDEX($D$6:$Y$525,$C7,$AG$4))</f>
        <v>068400</v>
      </c>
      <c r="AG7" s="21" t="str">
        <f>IF(AF7="","",_xll.IMDP("STK",$AF7,"한글종목명"))</f>
        <v>SK렌터카</v>
      </c>
      <c r="AH7" s="48">
        <f>IF(AF7="","",_xll.IMDP("STK",$AF7,"현재가"))</f>
        <v>13430</v>
      </c>
      <c r="AI7" s="48">
        <f>IF(AF7="","",_xll.IMDP("STK",$AF7,"전일대비"))</f>
        <v>10</v>
      </c>
      <c r="AJ7" s="49">
        <f>IF(AF7="","",_xll.IMDP("STK",$AF7,"등락률"))</f>
        <v>7.0000000000000007E-2</v>
      </c>
      <c r="AK7" s="48">
        <f>IF(AF7="","",_xll.IMDP("STK",$AF7,"시가총액"))</f>
        <v>635048831200</v>
      </c>
      <c r="AL7" s="20" t="str">
        <f t="shared" si="1"/>
        <v>004545</v>
      </c>
      <c r="AM7" s="21" t="str">
        <f>IF(AL7="","",_xll.IMDP("STK",$AL7,"한글종목명"))</f>
        <v>깨끗한나라우</v>
      </c>
      <c r="AN7" s="48">
        <f>IF(AL7="","",_xll.IMDP("STK",$AL7,"현재가"))</f>
        <v>14250</v>
      </c>
      <c r="AO7" s="48">
        <f>IF(AL7="","",_xll.IMDP("STK",$AL7,"전일대비"))</f>
        <v>370</v>
      </c>
      <c r="AP7" s="49">
        <f>IF(AL7="","",_xll.IMDP("STK",$AL7,"등락률"))</f>
        <v>2.67</v>
      </c>
      <c r="AQ7" s="48">
        <f>IF(AL7="","",_xll.IMDP("STK",$AL7,"시가총액"))</f>
        <v>5217780000</v>
      </c>
    </row>
    <row r="8" spans="2:43" x14ac:dyDescent="0.25">
      <c r="B8" s="22" t="s">
        <v>1076</v>
      </c>
      <c r="C8" s="22">
        <v>3</v>
      </c>
      <c r="D8" s="25" t="s">
        <v>176</v>
      </c>
      <c r="E8" s="25" t="s">
        <v>224</v>
      </c>
      <c r="F8" s="25" t="s">
        <v>363</v>
      </c>
      <c r="G8" s="25" t="s">
        <v>252</v>
      </c>
      <c r="H8" s="25" t="s">
        <v>385</v>
      </c>
      <c r="I8" s="25" t="s">
        <v>435</v>
      </c>
      <c r="J8" s="25" t="s">
        <v>466</v>
      </c>
      <c r="K8" s="25" t="s">
        <v>516</v>
      </c>
      <c r="L8" s="25" t="s">
        <v>560</v>
      </c>
      <c r="M8" s="25" t="s">
        <v>627</v>
      </c>
      <c r="N8" s="25" t="s">
        <v>634</v>
      </c>
      <c r="O8" s="25" t="s">
        <v>694</v>
      </c>
      <c r="P8" s="25" t="s">
        <v>756</v>
      </c>
      <c r="Q8" s="25" t="s">
        <v>768</v>
      </c>
      <c r="R8" s="25" t="s">
        <v>808</v>
      </c>
      <c r="S8" s="25" t="s">
        <v>833</v>
      </c>
      <c r="T8" s="25" t="s">
        <v>838</v>
      </c>
      <c r="U8" s="25" t="s">
        <v>925</v>
      </c>
      <c r="V8" s="25" t="s">
        <v>858</v>
      </c>
      <c r="W8" s="25" t="s">
        <v>891</v>
      </c>
      <c r="X8" s="25" t="s">
        <v>984</v>
      </c>
      <c r="Y8" s="25" t="s">
        <v>174</v>
      </c>
      <c r="Z8" s="20" t="str">
        <f t="shared" si="0"/>
        <v>097950</v>
      </c>
      <c r="AA8" s="21" t="str">
        <f>IF(Z8="","",_xll.IMDP("STK",$Z8,"한글종목명"))</f>
        <v>CJ제일제당</v>
      </c>
      <c r="AB8" s="48">
        <f>IF(Z8="","",_xll.IMDP("STK",$Z8,"현재가"))</f>
        <v>302000</v>
      </c>
      <c r="AC8" s="48">
        <f>IF(Z8="","",_xll.IMDP("STK",$Z8,"전일대비"))</f>
        <v>0</v>
      </c>
      <c r="AD8" s="49">
        <f>IF(Z8="","",_xll.IMDP("STK",$Z8,"등락률"))</f>
        <v>0</v>
      </c>
      <c r="AE8" s="48">
        <f>IF(Z8="","",_xll.IMDP("STK",Z8,"시가총액"))</f>
        <v>4546364172000</v>
      </c>
      <c r="AF8" s="20" t="str">
        <f t="shared" si="2"/>
        <v>079160</v>
      </c>
      <c r="AG8" s="21" t="str">
        <f>IF(AF8="","",_xll.IMDP("STK",$AF8,"한글종목명"))</f>
        <v>CJ CGV</v>
      </c>
      <c r="AH8" s="48">
        <f>IF(AF8="","",_xll.IMDP("STK",$AF8,"현재가"))</f>
        <v>7650</v>
      </c>
      <c r="AI8" s="48">
        <f>IF(AF8="","",_xll.IMDP("STK",$AF8,"전일대비"))</f>
        <v>130</v>
      </c>
      <c r="AJ8" s="49">
        <f>IF(AF8="","",_xll.IMDP("STK",$AF8,"등락률"))</f>
        <v>1.73</v>
      </c>
      <c r="AK8" s="48">
        <f>IF(AF8="","",_xll.IMDP("STK",$AF8,"시가총액"))</f>
        <v>365133566700</v>
      </c>
      <c r="AL8" s="20" t="str">
        <f t="shared" si="1"/>
        <v>014160</v>
      </c>
      <c r="AM8" s="21" t="str">
        <f>IF(AL8="","",_xll.IMDP("STK",$AL8,"한글종목명"))</f>
        <v>대영포장</v>
      </c>
      <c r="AN8" s="48">
        <f>IF(AL8="","",_xll.IMDP("STK",$AL8,"현재가"))</f>
        <v>1226</v>
      </c>
      <c r="AO8" s="48">
        <f>IF(AL8="","",_xll.IMDP("STK",$AL8,"전일대비"))</f>
        <v>-6</v>
      </c>
      <c r="AP8" s="49">
        <f>IF(AL8="","",_xll.IMDP("STK",$AL8,"등락률"))</f>
        <v>-0.49</v>
      </c>
      <c r="AQ8" s="48">
        <f>IF(AL8="","",_xll.IMDP("STK",$AL8,"시가총액"))</f>
        <v>132891717074</v>
      </c>
    </row>
    <row r="9" spans="2:43" x14ac:dyDescent="0.25">
      <c r="B9" s="22" t="s">
        <v>1077</v>
      </c>
      <c r="C9" s="22">
        <v>4</v>
      </c>
      <c r="D9" s="25" t="s">
        <v>177</v>
      </c>
      <c r="E9" s="25" t="s">
        <v>225</v>
      </c>
      <c r="F9" s="25" t="s">
        <v>364</v>
      </c>
      <c r="G9" s="25" t="s">
        <v>253</v>
      </c>
      <c r="H9" s="25" t="s">
        <v>386</v>
      </c>
      <c r="I9" s="25" t="s">
        <v>436</v>
      </c>
      <c r="J9" s="25" t="s">
        <v>467</v>
      </c>
      <c r="K9" s="25" t="s">
        <v>517</v>
      </c>
      <c r="L9" s="25" t="s">
        <v>561</v>
      </c>
      <c r="M9" s="25" t="s">
        <v>628</v>
      </c>
      <c r="N9" s="25" t="s">
        <v>635</v>
      </c>
      <c r="O9" s="25" t="s">
        <v>695</v>
      </c>
      <c r="P9" s="25" t="s">
        <v>757</v>
      </c>
      <c r="Q9" s="25" t="s">
        <v>769</v>
      </c>
      <c r="R9" s="25" t="s">
        <v>809</v>
      </c>
      <c r="S9" s="25" t="s">
        <v>834</v>
      </c>
      <c r="T9" s="25" t="s">
        <v>839</v>
      </c>
      <c r="U9" s="25" t="s">
        <v>935</v>
      </c>
      <c r="V9" s="25" t="s">
        <v>859</v>
      </c>
      <c r="W9" s="25" t="s">
        <v>897</v>
      </c>
      <c r="X9" s="25" t="s">
        <v>985</v>
      </c>
      <c r="Y9" s="25" t="s">
        <v>175</v>
      </c>
      <c r="Z9" s="20" t="str">
        <f t="shared" si="0"/>
        <v>097955</v>
      </c>
      <c r="AA9" s="21" t="str">
        <f>IF(Z9="","",_xll.IMDP("STK",$Z9,"한글종목명"))</f>
        <v>CJ제일제당 우</v>
      </c>
      <c r="AB9" s="48">
        <f>IF(Z9="","",_xll.IMDP("STK",$Z9,"현재가"))</f>
        <v>136500</v>
      </c>
      <c r="AC9" s="48">
        <f>IF(Z9="","",_xll.IMDP("STK",$Z9,"전일대비"))</f>
        <v>-300</v>
      </c>
      <c r="AD9" s="49">
        <f>IF(Z9="","",_xll.IMDP("STK",$Z9,"등락률"))</f>
        <v>-0.22</v>
      </c>
      <c r="AE9" s="48">
        <f>IF(Z9="","",_xll.IMDP("STK",Z9,"시가총액"))</f>
        <v>181194604500</v>
      </c>
      <c r="AF9" s="20" t="str">
        <f t="shared" si="2"/>
        <v>037560</v>
      </c>
      <c r="AG9" s="21" t="str">
        <f>IF(AF9="","",_xll.IMDP("STK",$AF9,"한글종목명"))</f>
        <v>LG헬로비전</v>
      </c>
      <c r="AH9" s="48">
        <f>IF(AF9="","",_xll.IMDP("STK",$AF9,"현재가"))</f>
        <v>4000</v>
      </c>
      <c r="AI9" s="48">
        <f>IF(AF9="","",_xll.IMDP("STK",$AF9,"전일대비"))</f>
        <v>-5</v>
      </c>
      <c r="AJ9" s="49">
        <f>IF(AF9="","",_xll.IMDP("STK",$AF9,"등락률"))</f>
        <v>-0.12</v>
      </c>
      <c r="AK9" s="48">
        <f>IF(AF9="","",_xll.IMDP("STK",$AF9,"시가총액"))</f>
        <v>309787460000</v>
      </c>
      <c r="AL9" s="20" t="str">
        <f t="shared" si="1"/>
        <v>012690</v>
      </c>
      <c r="AM9" s="21" t="str">
        <f>IF(AL9="","",_xll.IMDP("STK",$AL9,"한글종목명"))</f>
        <v>모나리자</v>
      </c>
      <c r="AN9" s="48">
        <f>IF(AL9="","",_xll.IMDP("STK",$AL9,"현재가"))</f>
        <v>2765</v>
      </c>
      <c r="AO9" s="48">
        <f>IF(AL9="","",_xll.IMDP("STK",$AL9,"전일대비"))</f>
        <v>25</v>
      </c>
      <c r="AP9" s="49">
        <f>IF(AL9="","",_xll.IMDP("STK",$AL9,"등락률"))</f>
        <v>0.91</v>
      </c>
      <c r="AQ9" s="48">
        <f>IF(AL9="","",_xll.IMDP("STK",$AL9,"시가총액"))</f>
        <v>101119520075</v>
      </c>
    </row>
    <row r="10" spans="2:43" x14ac:dyDescent="0.25">
      <c r="B10" s="22" t="s">
        <v>1078</v>
      </c>
      <c r="C10" s="22">
        <v>5</v>
      </c>
      <c r="D10" s="25" t="s">
        <v>178</v>
      </c>
      <c r="E10" s="25" t="s">
        <v>226</v>
      </c>
      <c r="F10" s="25" t="s">
        <v>365</v>
      </c>
      <c r="G10" s="25" t="s">
        <v>254</v>
      </c>
      <c r="H10" s="25" t="s">
        <v>387</v>
      </c>
      <c r="I10" s="25" t="s">
        <v>437</v>
      </c>
      <c r="J10" s="25" t="s">
        <v>468</v>
      </c>
      <c r="K10" s="25" t="s">
        <v>518</v>
      </c>
      <c r="L10" s="25" t="s">
        <v>562</v>
      </c>
      <c r="M10" s="25" t="s">
        <v>629</v>
      </c>
      <c r="N10" s="25" t="s">
        <v>636</v>
      </c>
      <c r="O10" s="25" t="s">
        <v>696</v>
      </c>
      <c r="P10" s="25" t="s">
        <v>758</v>
      </c>
      <c r="Q10" s="25" t="s">
        <v>770</v>
      </c>
      <c r="R10" s="25" t="s">
        <v>810</v>
      </c>
      <c r="T10" s="25" t="s">
        <v>840</v>
      </c>
      <c r="V10" s="25" t="s">
        <v>869</v>
      </c>
      <c r="W10" s="25" t="s">
        <v>901</v>
      </c>
      <c r="X10" s="25" t="s">
        <v>986</v>
      </c>
      <c r="Y10" s="25" t="s">
        <v>176</v>
      </c>
      <c r="Z10" s="20" t="str">
        <f t="shared" si="0"/>
        <v>023150</v>
      </c>
      <c r="AA10" s="21" t="str">
        <f>IF(Z10="","",_xll.IMDP("STK",$Z10,"한글종목명"))</f>
        <v>MH에탄올</v>
      </c>
      <c r="AB10" s="48">
        <f>IF(Z10="","",_xll.IMDP("STK",$Z10,"현재가"))</f>
        <v>6840</v>
      </c>
      <c r="AC10" s="48">
        <f>IF(Z10="","",_xll.IMDP("STK",$Z10,"전일대비"))</f>
        <v>10</v>
      </c>
      <c r="AD10" s="49">
        <f>IF(Z10="","",_xll.IMDP("STK",$Z10,"등락률"))</f>
        <v>0.15</v>
      </c>
      <c r="AE10" s="48">
        <f>IF(Z10="","",_xll.IMDP("STK",Z10,"시가총액"))</f>
        <v>50469117840</v>
      </c>
      <c r="AF10" s="20" t="str">
        <f t="shared" si="2"/>
        <v>012030</v>
      </c>
      <c r="AG10" s="21" t="str">
        <f>IF(AF10="","",_xll.IMDP("STK",$AF10,"한글종목명"))</f>
        <v>DB</v>
      </c>
      <c r="AH10" s="48">
        <f>IF(AF10="","",_xll.IMDP("STK",$AF10,"현재가"))</f>
        <v>1812</v>
      </c>
      <c r="AI10" s="48">
        <f>IF(AF10="","",_xll.IMDP("STK",$AF10,"전일대비"))</f>
        <v>-16</v>
      </c>
      <c r="AJ10" s="49">
        <f>IF(AF10="","",_xll.IMDP("STK",$AF10,"등락률"))</f>
        <v>-0.88</v>
      </c>
      <c r="AK10" s="48">
        <f>IF(AF10="","",_xll.IMDP("STK",$AF10,"시가총액"))</f>
        <v>364527166596</v>
      </c>
      <c r="AL10" s="20" t="str">
        <f t="shared" si="1"/>
        <v>009580</v>
      </c>
      <c r="AM10" s="21" t="str">
        <f>IF(AL10="","",_xll.IMDP("STK",$AL10,"한글종목명"))</f>
        <v>무림P&amp;P</v>
      </c>
      <c r="AN10" s="48">
        <f>IF(AL10="","",_xll.IMDP("STK",$AL10,"현재가"))</f>
        <v>3360</v>
      </c>
      <c r="AO10" s="48">
        <f>IF(AL10="","",_xll.IMDP("STK",$AL10,"전일대비"))</f>
        <v>-25</v>
      </c>
      <c r="AP10" s="49">
        <f>IF(AL10="","",_xll.IMDP("STK",$AL10,"등락률"))</f>
        <v>-0.74</v>
      </c>
      <c r="AQ10" s="48">
        <f>IF(AL10="","",_xll.IMDP("STK",$AL10,"시가총액"))</f>
        <v>209557568640</v>
      </c>
    </row>
    <row r="11" spans="2:43" x14ac:dyDescent="0.25">
      <c r="B11" s="22" t="s">
        <v>1079</v>
      </c>
      <c r="C11" s="22">
        <v>6</v>
      </c>
      <c r="D11" s="25" t="s">
        <v>179</v>
      </c>
      <c r="E11" s="25" t="s">
        <v>227</v>
      </c>
      <c r="F11" s="25" t="s">
        <v>366</v>
      </c>
      <c r="G11" s="25" t="s">
        <v>255</v>
      </c>
      <c r="H11" s="25" t="s">
        <v>388</v>
      </c>
      <c r="I11" s="25" t="s">
        <v>438</v>
      </c>
      <c r="J11" s="25" t="s">
        <v>469</v>
      </c>
      <c r="K11" s="25" t="s">
        <v>519</v>
      </c>
      <c r="L11" s="25" t="s">
        <v>563</v>
      </c>
      <c r="M11" s="25" t="s">
        <v>630</v>
      </c>
      <c r="N11" s="25" t="s">
        <v>637</v>
      </c>
      <c r="O11" s="25" t="s">
        <v>697</v>
      </c>
      <c r="P11" s="25" t="s">
        <v>759</v>
      </c>
      <c r="Q11" s="25" t="s">
        <v>771</v>
      </c>
      <c r="R11" s="25" t="s">
        <v>811</v>
      </c>
      <c r="T11" s="25" t="s">
        <v>841</v>
      </c>
      <c r="V11" s="25" t="s">
        <v>870</v>
      </c>
      <c r="W11" s="25" t="s">
        <v>905</v>
      </c>
      <c r="X11" s="25" t="s">
        <v>987</v>
      </c>
      <c r="Y11" s="25" t="s">
        <v>177</v>
      </c>
      <c r="Z11" s="20" t="str">
        <f t="shared" si="0"/>
        <v>005610</v>
      </c>
      <c r="AA11" s="21" t="str">
        <f>IF(Z11="","",_xll.IMDP("STK",$Z11,"한글종목명"))</f>
        <v>SPC삼립</v>
      </c>
      <c r="AB11" s="48">
        <f>IF(Z11="","",_xll.IMDP("STK",$Z11,"현재가"))</f>
        <v>66600</v>
      </c>
      <c r="AC11" s="48">
        <f>IF(Z11="","",_xll.IMDP("STK",$Z11,"전일대비"))</f>
        <v>-500</v>
      </c>
      <c r="AD11" s="49">
        <f>IF(Z11="","",_xll.IMDP("STK",$Z11,"등락률"))</f>
        <v>-0.75</v>
      </c>
      <c r="AE11" s="48">
        <f>IF(Z11="","",_xll.IMDP("STK",Z11,"시가총액"))</f>
        <v>574691999400</v>
      </c>
      <c r="AF11" s="20" t="str">
        <f t="shared" si="2"/>
        <v>114090</v>
      </c>
      <c r="AG11" s="21" t="str">
        <f>IF(AF11="","",_xll.IMDP("STK",$AF11,"한글종목명"))</f>
        <v>GKL</v>
      </c>
      <c r="AH11" s="48">
        <f>IF(AF11="","",_xll.IMDP("STK",$AF11,"현재가"))</f>
        <v>16150</v>
      </c>
      <c r="AI11" s="48">
        <f>IF(AF11="","",_xll.IMDP("STK",$AF11,"전일대비"))</f>
        <v>-50</v>
      </c>
      <c r="AJ11" s="49">
        <f>IF(AF11="","",_xll.IMDP("STK",$AF11,"등락률"))</f>
        <v>-0.31</v>
      </c>
      <c r="AK11" s="48">
        <f>IF(AF11="","",_xll.IMDP("STK",$AF11,"시가총액"))</f>
        <v>998969070500</v>
      </c>
      <c r="AL11" s="20" t="str">
        <f t="shared" si="1"/>
        <v>009200</v>
      </c>
      <c r="AM11" s="21" t="str">
        <f>IF(AL11="","",_xll.IMDP("STK",$AL11,"한글종목명"))</f>
        <v>무림페이퍼</v>
      </c>
      <c r="AN11" s="48">
        <f>IF(AL11="","",_xll.IMDP("STK",$AL11,"현재가"))</f>
        <v>2360</v>
      </c>
      <c r="AO11" s="48">
        <f>IF(AL11="","",_xll.IMDP("STK",$AL11,"전일대비"))</f>
        <v>-20</v>
      </c>
      <c r="AP11" s="49">
        <f>IF(AL11="","",_xll.IMDP("STK",$AL11,"등락률"))</f>
        <v>-0.84</v>
      </c>
      <c r="AQ11" s="48">
        <f>IF(AL11="","",_xll.IMDP("STK",$AL11,"시가총액"))</f>
        <v>98197971600</v>
      </c>
    </row>
    <row r="12" spans="2:43" x14ac:dyDescent="0.25">
      <c r="B12" s="22" t="s">
        <v>1080</v>
      </c>
      <c r="C12" s="22">
        <v>7</v>
      </c>
      <c r="D12" s="25" t="s">
        <v>180</v>
      </c>
      <c r="E12" s="25" t="s">
        <v>228</v>
      </c>
      <c r="F12" s="25" t="s">
        <v>367</v>
      </c>
      <c r="G12" s="25" t="s">
        <v>256</v>
      </c>
      <c r="H12" s="25" t="s">
        <v>389</v>
      </c>
      <c r="I12" s="25" t="s">
        <v>439</v>
      </c>
      <c r="J12" s="25" t="s">
        <v>470</v>
      </c>
      <c r="K12" s="25" t="s">
        <v>520</v>
      </c>
      <c r="L12" s="25" t="s">
        <v>564</v>
      </c>
      <c r="N12" s="25" t="s">
        <v>638</v>
      </c>
      <c r="O12" s="25" t="s">
        <v>698</v>
      </c>
      <c r="P12" s="25" t="s">
        <v>760</v>
      </c>
      <c r="Q12" s="25" t="s">
        <v>772</v>
      </c>
      <c r="R12" s="25" t="s">
        <v>812</v>
      </c>
      <c r="T12" s="25" t="s">
        <v>842</v>
      </c>
      <c r="V12" s="25" t="s">
        <v>872</v>
      </c>
      <c r="W12" s="25" t="s">
        <v>908</v>
      </c>
      <c r="X12" s="25" t="s">
        <v>988</v>
      </c>
      <c r="Y12" s="25" t="s">
        <v>558</v>
      </c>
      <c r="Z12" s="20" t="str">
        <f t="shared" si="0"/>
        <v>002140</v>
      </c>
      <c r="AA12" s="21" t="str">
        <f>IF(Z12="","",_xll.IMDP("STK",$Z12,"한글종목명"))</f>
        <v>고려산업</v>
      </c>
      <c r="AB12" s="48">
        <f>IF(Z12="","",_xll.IMDP("STK",$Z12,"현재가"))</f>
        <v>3725</v>
      </c>
      <c r="AC12" s="48">
        <f>IF(Z12="","",_xll.IMDP("STK",$Z12,"전일대비"))</f>
        <v>0</v>
      </c>
      <c r="AD12" s="49">
        <f>IF(Z12="","",_xll.IMDP("STK",$Z12,"등락률"))</f>
        <v>0</v>
      </c>
      <c r="AE12" s="48">
        <f>IF(Z12="","",_xll.IMDP("STK",Z12,"시가총액"))</f>
        <v>92899358125</v>
      </c>
      <c r="AF12" s="20" t="str">
        <f t="shared" si="2"/>
        <v>003560</v>
      </c>
      <c r="AG12" s="21" t="str">
        <f>IF(AF12="","",_xll.IMDP("STK",$AF12,"한글종목명"))</f>
        <v>IHQ</v>
      </c>
      <c r="AH12" s="48">
        <f>IF(AF12="","",_xll.IMDP("STK",$AF12,"현재가"))</f>
        <v>239</v>
      </c>
      <c r="AI12" s="48">
        <f>IF(AF12="","",_xll.IMDP("STK",$AF12,"전일대비"))</f>
        <v>0</v>
      </c>
      <c r="AJ12" s="49">
        <f>IF(AF12="","",_xll.IMDP("STK",$AF12,"등락률"))</f>
        <v>0</v>
      </c>
      <c r="AK12" s="48">
        <f>IF(AF12="","",_xll.IMDP("STK",$AF12,"시가총액"))</f>
        <v>57908659872</v>
      </c>
      <c r="AL12" s="20" t="str">
        <f t="shared" si="1"/>
        <v>009770</v>
      </c>
      <c r="AM12" s="21" t="str">
        <f>IF(AL12="","",_xll.IMDP("STK",$AL12,"한글종목명"))</f>
        <v>삼정펄프</v>
      </c>
      <c r="AN12" s="48">
        <f>IF(AL12="","",_xll.IMDP("STK",$AL12,"현재가"))</f>
        <v>25000</v>
      </c>
      <c r="AO12" s="48">
        <f>IF(AL12="","",_xll.IMDP("STK",$AL12,"전일대비"))</f>
        <v>-50</v>
      </c>
      <c r="AP12" s="49">
        <f>IF(AL12="","",_xll.IMDP("STK",$AL12,"등락률"))</f>
        <v>-0.2</v>
      </c>
      <c r="AQ12" s="48">
        <f>IF(AL12="","",_xll.IMDP("STK",$AL12,"시가총액"))</f>
        <v>62499275000</v>
      </c>
    </row>
    <row r="13" spans="2:43" x14ac:dyDescent="0.25">
      <c r="B13" s="22" t="s">
        <v>1081</v>
      </c>
      <c r="C13" s="22">
        <v>8</v>
      </c>
      <c r="D13" s="25" t="s">
        <v>181</v>
      </c>
      <c r="E13" s="25" t="s">
        <v>229</v>
      </c>
      <c r="F13" s="25" t="s">
        <v>368</v>
      </c>
      <c r="G13" s="25" t="s">
        <v>257</v>
      </c>
      <c r="H13" s="25" t="s">
        <v>390</v>
      </c>
      <c r="I13" s="25" t="s">
        <v>440</v>
      </c>
      <c r="J13" s="25" t="s">
        <v>471</v>
      </c>
      <c r="K13" s="25" t="s">
        <v>521</v>
      </c>
      <c r="L13" s="25" t="s">
        <v>565</v>
      </c>
      <c r="N13" s="25" t="s">
        <v>639</v>
      </c>
      <c r="O13" s="25" t="s">
        <v>699</v>
      </c>
      <c r="P13" s="25" t="s">
        <v>761</v>
      </c>
      <c r="Q13" s="25" t="s">
        <v>773</v>
      </c>
      <c r="R13" s="25" t="s">
        <v>813</v>
      </c>
      <c r="T13" s="25" t="s">
        <v>843</v>
      </c>
      <c r="V13" s="25" t="s">
        <v>874</v>
      </c>
      <c r="W13" s="25" t="s">
        <v>909</v>
      </c>
      <c r="X13" s="25" t="s">
        <v>989</v>
      </c>
      <c r="Y13" s="25" t="s">
        <v>559</v>
      </c>
      <c r="Z13" s="20" t="str">
        <f t="shared" si="0"/>
        <v>003920</v>
      </c>
      <c r="AA13" s="21" t="str">
        <f>IF(Z13="","",_xll.IMDP("STK",$Z13,"한글종목명"))</f>
        <v>남양유업</v>
      </c>
      <c r="AB13" s="48">
        <f>IF(Z13="","",_xll.IMDP("STK",$Z13,"현재가"))</f>
        <v>465000</v>
      </c>
      <c r="AC13" s="48">
        <f>IF(Z13="","",_xll.IMDP("STK",$Z13,"전일대비"))</f>
        <v>-500</v>
      </c>
      <c r="AD13" s="49">
        <f>IF(Z13="","",_xll.IMDP("STK",$Z13,"등락률"))</f>
        <v>-0.11</v>
      </c>
      <c r="AE13" s="48">
        <f>IF(Z13="","",_xll.IMDP("STK",Z13,"시가총액"))</f>
        <v>334800000000</v>
      </c>
      <c r="AF13" s="20" t="str">
        <f t="shared" si="2"/>
        <v>058850</v>
      </c>
      <c r="AG13" s="21" t="str">
        <f>IF(AF13="","",_xll.IMDP("STK",$AF13,"한글종목명"))</f>
        <v>KTcs</v>
      </c>
      <c r="AH13" s="48">
        <f>IF(AF13="","",_xll.IMDP("STK",$AF13,"현재가"))</f>
        <v>3385</v>
      </c>
      <c r="AI13" s="48">
        <f>IF(AF13="","",_xll.IMDP("STK",$AF13,"전일대비"))</f>
        <v>-125</v>
      </c>
      <c r="AJ13" s="49">
        <f>IF(AF13="","",_xll.IMDP("STK",$AF13,"등락률"))</f>
        <v>-3.56</v>
      </c>
      <c r="AK13" s="48">
        <f>IF(AF13="","",_xll.IMDP("STK",$AF13,"시가총액"))</f>
        <v>144488725000</v>
      </c>
      <c r="AL13" s="20" t="str">
        <f t="shared" si="1"/>
        <v>002820</v>
      </c>
      <c r="AM13" s="21" t="str">
        <f>IF(AL13="","",_xll.IMDP("STK",$AL13,"한글종목명"))</f>
        <v>SUN&amp;L</v>
      </c>
      <c r="AN13" s="48">
        <f>IF(AL13="","",_xll.IMDP("STK",$AL13,"현재가"))</f>
        <v>2640</v>
      </c>
      <c r="AO13" s="48">
        <f>IF(AL13="","",_xll.IMDP("STK",$AL13,"전일대비"))</f>
        <v>-30</v>
      </c>
      <c r="AP13" s="49">
        <f>IF(AL13="","",_xll.IMDP("STK",$AL13,"등락률"))</f>
        <v>-1.1200000000000001</v>
      </c>
      <c r="AQ13" s="48">
        <f>IF(AL13="","",_xll.IMDP("STK",$AL13,"시가총액"))</f>
        <v>33285090960</v>
      </c>
    </row>
    <row r="14" spans="2:43" x14ac:dyDescent="0.25">
      <c r="B14" s="22" t="s">
        <v>1082</v>
      </c>
      <c r="C14" s="22">
        <v>9</v>
      </c>
      <c r="D14" s="25" t="s">
        <v>182</v>
      </c>
      <c r="E14" s="25" t="s">
        <v>230</v>
      </c>
      <c r="F14" s="25" t="s">
        <v>369</v>
      </c>
      <c r="G14" s="25" t="s">
        <v>258</v>
      </c>
      <c r="H14" s="25" t="s">
        <v>391</v>
      </c>
      <c r="I14" s="25" t="s">
        <v>441</v>
      </c>
      <c r="J14" s="25" t="s">
        <v>472</v>
      </c>
      <c r="K14" s="25" t="s">
        <v>522</v>
      </c>
      <c r="L14" s="25" t="s">
        <v>566</v>
      </c>
      <c r="N14" s="25" t="s">
        <v>640</v>
      </c>
      <c r="O14" s="25" t="s">
        <v>700</v>
      </c>
      <c r="P14" s="25" t="s">
        <v>762</v>
      </c>
      <c r="Q14" s="25" t="s">
        <v>774</v>
      </c>
      <c r="R14" s="25" t="s">
        <v>814</v>
      </c>
      <c r="T14" s="25" t="s">
        <v>844</v>
      </c>
      <c r="V14" s="25" t="s">
        <v>883</v>
      </c>
      <c r="W14" s="25" t="s">
        <v>921</v>
      </c>
      <c r="X14" s="25" t="s">
        <v>990</v>
      </c>
      <c r="Y14" s="25" t="s">
        <v>464</v>
      </c>
      <c r="Z14" s="20" t="str">
        <f t="shared" si="0"/>
        <v>003925</v>
      </c>
      <c r="AA14" s="21" t="str">
        <f>IF(Z14="","",_xll.IMDP("STK",$Z14,"한글종목명"))</f>
        <v>남양유업우</v>
      </c>
      <c r="AB14" s="48">
        <f>IF(Z14="","",_xll.IMDP("STK",$Z14,"현재가"))</f>
        <v>245500</v>
      </c>
      <c r="AC14" s="48">
        <f>IF(Z14="","",_xll.IMDP("STK",$Z14,"전일대비"))</f>
        <v>-500</v>
      </c>
      <c r="AD14" s="49">
        <f>IF(Z14="","",_xll.IMDP("STK",$Z14,"등락률"))</f>
        <v>-0.2</v>
      </c>
      <c r="AE14" s="48">
        <f>IF(Z14="","",_xll.IMDP("STK",Z14,"시가총액"))</f>
        <v>49000000000</v>
      </c>
      <c r="AF14" s="20" t="str">
        <f t="shared" si="2"/>
        <v>035420</v>
      </c>
      <c r="AG14" s="21" t="str">
        <f>IF(AF14="","",_xll.IMDP("STK",$AF14,"한글종목명"))</f>
        <v>NAVER</v>
      </c>
      <c r="AH14" s="48">
        <f>IF(AF14="","",_xll.IMDP("STK",$AF14,"현재가"))</f>
        <v>214500</v>
      </c>
      <c r="AI14" s="48">
        <f>IF(AF14="","",_xll.IMDP("STK",$AF14,"전일대비"))</f>
        <v>-3000</v>
      </c>
      <c r="AJ14" s="49">
        <f>IF(AF14="","",_xll.IMDP("STK",$AF14,"등락률"))</f>
        <v>-1.38</v>
      </c>
      <c r="AK14" s="48">
        <f>IF(AF14="","",_xll.IMDP("STK",$AF14,"시가총액"))</f>
        <v>35188528732500</v>
      </c>
      <c r="AL14" s="20" t="str">
        <f t="shared" si="1"/>
        <v>027970</v>
      </c>
      <c r="AM14" s="21" t="str">
        <f>IF(AL14="","",_xll.IMDP("STK",$AL14,"한글종목명"))</f>
        <v>한국제지</v>
      </c>
      <c r="AN14" s="48">
        <f>IF(AL14="","",_xll.IMDP("STK",$AL14,"현재가"))</f>
        <v>1290</v>
      </c>
      <c r="AO14" s="48">
        <f>IF(AL14="","",_xll.IMDP("STK",$AL14,"전일대비"))</f>
        <v>12</v>
      </c>
      <c r="AP14" s="49">
        <f>IF(AL14="","",_xll.IMDP("STK",$AL14,"등락률"))</f>
        <v>0.94</v>
      </c>
      <c r="AQ14" s="48">
        <f>IF(AL14="","",_xll.IMDP("STK",$AL14,"시가총액"))</f>
        <v>245329925730</v>
      </c>
    </row>
    <row r="15" spans="2:43" x14ac:dyDescent="0.25">
      <c r="B15" s="22" t="s">
        <v>1083</v>
      </c>
      <c r="C15" s="22">
        <v>10</v>
      </c>
      <c r="D15" s="25" t="s">
        <v>183</v>
      </c>
      <c r="E15" s="25" t="s">
        <v>231</v>
      </c>
      <c r="F15" s="25" t="s">
        <v>370</v>
      </c>
      <c r="G15" s="25" t="s">
        <v>259</v>
      </c>
      <c r="H15" s="25" t="s">
        <v>392</v>
      </c>
      <c r="I15" s="25" t="s">
        <v>442</v>
      </c>
      <c r="J15" s="25" t="s">
        <v>473</v>
      </c>
      <c r="K15" s="25" t="s">
        <v>523</v>
      </c>
      <c r="L15" s="25" t="s">
        <v>567</v>
      </c>
      <c r="N15" s="25" t="s">
        <v>641</v>
      </c>
      <c r="O15" s="25" t="s">
        <v>701</v>
      </c>
      <c r="P15" s="25" t="s">
        <v>763</v>
      </c>
      <c r="Q15" s="25" t="s">
        <v>775</v>
      </c>
      <c r="R15" s="25" t="s">
        <v>815</v>
      </c>
      <c r="T15" s="25" t="s">
        <v>845</v>
      </c>
      <c r="V15" s="25" t="s">
        <v>884</v>
      </c>
      <c r="W15" s="25" t="s">
        <v>938</v>
      </c>
      <c r="X15" s="25" t="s">
        <v>991</v>
      </c>
      <c r="Y15" s="25" t="s">
        <v>465</v>
      </c>
      <c r="Z15" s="20" t="str">
        <f t="shared" si="0"/>
        <v>004370</v>
      </c>
      <c r="AA15" s="21" t="str">
        <f>IF(Z15="","",_xll.IMDP("STK",$Z15,"한글종목명"))</f>
        <v>농심</v>
      </c>
      <c r="AB15" s="48">
        <f>IF(Z15="","",_xll.IMDP("STK",$Z15,"현재가"))</f>
        <v>452500</v>
      </c>
      <c r="AC15" s="48">
        <f>IF(Z15="","",_xll.IMDP("STK",$Z15,"전일대비"))</f>
        <v>-2000</v>
      </c>
      <c r="AD15" s="49">
        <f>IF(Z15="","",_xll.IMDP("STK",$Z15,"등락률"))</f>
        <v>-0.44</v>
      </c>
      <c r="AE15" s="48">
        <f>IF(Z15="","",_xll.IMDP("STK",Z15,"시가총액"))</f>
        <v>2752395505000</v>
      </c>
      <c r="AF15" s="20" t="str">
        <f t="shared" si="2"/>
        <v>181710</v>
      </c>
      <c r="AG15" s="21" t="str">
        <f>IF(AF15="","",_xll.IMDP("STK",$AF15,"한글종목명"))</f>
        <v>NHN</v>
      </c>
      <c r="AH15" s="48">
        <f>IF(AF15="","",_xll.IMDP("STK",$AF15,"현재가"))</f>
        <v>26300</v>
      </c>
      <c r="AI15" s="48">
        <f>IF(AF15="","",_xll.IMDP("STK",$AF15,"전일대비"))</f>
        <v>-200</v>
      </c>
      <c r="AJ15" s="49">
        <f>IF(AF15="","",_xll.IMDP("STK",$AF15,"등락률"))</f>
        <v>-0.75</v>
      </c>
      <c r="AK15" s="48">
        <f>IF(AF15="","",_xll.IMDP("STK",$AF15,"시가총액"))</f>
        <v>918834736600</v>
      </c>
      <c r="AL15" s="20" t="str">
        <f t="shared" si="1"/>
        <v>002200</v>
      </c>
      <c r="AM15" s="21" t="str">
        <f>IF(AL15="","",_xll.IMDP("STK",$AL15,"한글종목명"))</f>
        <v>한국수출포장</v>
      </c>
      <c r="AN15" s="48">
        <f>IF(AL15="","",_xll.IMDP("STK",$AL15,"현재가"))</f>
        <v>3060</v>
      </c>
      <c r="AO15" s="48">
        <f>IF(AL15="","",_xll.IMDP("STK",$AL15,"전일대비"))</f>
        <v>-25</v>
      </c>
      <c r="AP15" s="49">
        <f>IF(AL15="","",_xll.IMDP("STK",$AL15,"등락률"))</f>
        <v>-0.81</v>
      </c>
      <c r="AQ15" s="48">
        <f>IF(AL15="","",_xll.IMDP("STK",$AL15,"시가총액"))</f>
        <v>122400000000</v>
      </c>
    </row>
    <row r="16" spans="2:43" x14ac:dyDescent="0.25">
      <c r="B16" s="22" t="s">
        <v>1084</v>
      </c>
      <c r="C16" s="22">
        <v>11</v>
      </c>
      <c r="D16" s="25" t="s">
        <v>184</v>
      </c>
      <c r="E16" s="25" t="s">
        <v>232</v>
      </c>
      <c r="F16" s="25" t="s">
        <v>371</v>
      </c>
      <c r="G16" s="25" t="s">
        <v>260</v>
      </c>
      <c r="H16" s="25" t="s">
        <v>393</v>
      </c>
      <c r="I16" s="25" t="s">
        <v>443</v>
      </c>
      <c r="J16" s="25" t="s">
        <v>474</v>
      </c>
      <c r="K16" s="25" t="s">
        <v>524</v>
      </c>
      <c r="L16" s="25" t="s">
        <v>568</v>
      </c>
      <c r="N16" s="25" t="s">
        <v>642</v>
      </c>
      <c r="O16" s="25" t="s">
        <v>702</v>
      </c>
      <c r="Q16" s="25" t="s">
        <v>776</v>
      </c>
      <c r="R16" s="25" t="s">
        <v>816</v>
      </c>
      <c r="T16" s="25" t="s">
        <v>846</v>
      </c>
      <c r="V16" s="25" t="s">
        <v>885</v>
      </c>
      <c r="W16" s="25" t="s">
        <v>967</v>
      </c>
      <c r="X16" s="25" t="s">
        <v>992</v>
      </c>
      <c r="Y16" s="25" t="s">
        <v>224</v>
      </c>
      <c r="Z16" s="20" t="str">
        <f t="shared" si="0"/>
        <v>001680</v>
      </c>
      <c r="AA16" s="21" t="str">
        <f>IF(Z16="","",_xll.IMDP("STK",$Z16,"한글종목명"))</f>
        <v>대상</v>
      </c>
      <c r="AB16" s="48">
        <f>IF(Z16="","",_xll.IMDP("STK",$Z16,"현재가"))</f>
        <v>17900</v>
      </c>
      <c r="AC16" s="48">
        <f>IF(Z16="","",_xll.IMDP("STK",$Z16,"전일대비"))</f>
        <v>-100</v>
      </c>
      <c r="AD16" s="49">
        <f>IF(Z16="","",_xll.IMDP("STK",$Z16,"등락률"))</f>
        <v>-0.56000000000000005</v>
      </c>
      <c r="AE16" s="48">
        <f>IF(Z16="","",_xll.IMDP("STK",Z16,"시가총액"))</f>
        <v>620199647500</v>
      </c>
      <c r="AF16" s="20" t="str">
        <f t="shared" si="2"/>
        <v>034310</v>
      </c>
      <c r="AG16" s="21" t="str">
        <f>IF(AF16="","",_xll.IMDP("STK",$AF16,"한글종목명"))</f>
        <v>NICE</v>
      </c>
      <c r="AH16" s="48">
        <f>IF(AF16="","",_xll.IMDP("STK",$AF16,"현재가"))</f>
        <v>13910</v>
      </c>
      <c r="AI16" s="48">
        <f>IF(AF16="","",_xll.IMDP("STK",$AF16,"전일대비"))</f>
        <v>90</v>
      </c>
      <c r="AJ16" s="49">
        <f>IF(AF16="","",_xll.IMDP("STK",$AF16,"등락률"))</f>
        <v>0.65</v>
      </c>
      <c r="AK16" s="48">
        <f>IF(AF16="","",_xll.IMDP("STK",$AF16,"시가총액"))</f>
        <v>526942793000</v>
      </c>
      <c r="AL16" s="20" t="str">
        <f t="shared" si="1"/>
        <v>016590</v>
      </c>
      <c r="AM16" s="21" t="str">
        <f>IF(AL16="","",_xll.IMDP("STK",$AL16,"한글종목명"))</f>
        <v>신대양제지</v>
      </c>
      <c r="AN16" s="48">
        <f>IF(AL16="","",_xll.IMDP("STK",$AL16,"현재가"))</f>
        <v>5570</v>
      </c>
      <c r="AO16" s="48">
        <f>IF(AL16="","",_xll.IMDP("STK",$AL16,"전일대비"))</f>
        <v>30</v>
      </c>
      <c r="AP16" s="49">
        <f>IF(AL16="","",_xll.IMDP("STK",$AL16,"등락률"))</f>
        <v>0.54</v>
      </c>
      <c r="AQ16" s="48">
        <f>IF(AL16="","",_xll.IMDP("STK",$AL16,"시가총액"))</f>
        <v>224458857400</v>
      </c>
    </row>
    <row r="17" spans="2:43" x14ac:dyDescent="0.25">
      <c r="B17" s="22" t="s">
        <v>1085</v>
      </c>
      <c r="C17" s="22">
        <v>12</v>
      </c>
      <c r="D17" s="25" t="s">
        <v>185</v>
      </c>
      <c r="E17" s="25" t="s">
        <v>233</v>
      </c>
      <c r="F17" s="25" t="s">
        <v>372</v>
      </c>
      <c r="G17" s="25" t="s">
        <v>261</v>
      </c>
      <c r="H17" s="25" t="s">
        <v>394</v>
      </c>
      <c r="I17" s="25" t="s">
        <v>444</v>
      </c>
      <c r="J17" s="25" t="s">
        <v>475</v>
      </c>
      <c r="K17" s="25" t="s">
        <v>525</v>
      </c>
      <c r="L17" s="25" t="s">
        <v>569</v>
      </c>
      <c r="N17" s="25" t="s">
        <v>643</v>
      </c>
      <c r="O17" s="25" t="s">
        <v>703</v>
      </c>
      <c r="Q17" s="25" t="s">
        <v>777</v>
      </c>
      <c r="R17" s="25" t="s">
        <v>817</v>
      </c>
      <c r="T17" s="25" t="s">
        <v>847</v>
      </c>
      <c r="V17" s="25" t="s">
        <v>896</v>
      </c>
      <c r="W17" s="25" t="s">
        <v>968</v>
      </c>
      <c r="X17" s="25" t="s">
        <v>993</v>
      </c>
      <c r="Y17" s="25" t="s">
        <v>250</v>
      </c>
      <c r="Z17" s="20" t="str">
        <f t="shared" si="0"/>
        <v>001685</v>
      </c>
      <c r="AA17" s="21" t="str">
        <f>IF(Z17="","",_xll.IMDP("STK",$Z17,"한글종목명"))</f>
        <v>대상우</v>
      </c>
      <c r="AB17" s="48">
        <f>IF(Z17="","",_xll.IMDP("STK",$Z17,"현재가"))</f>
        <v>13660</v>
      </c>
      <c r="AC17" s="48">
        <f>IF(Z17="","",_xll.IMDP("STK",$Z17,"전일대비"))</f>
        <v>0</v>
      </c>
      <c r="AD17" s="49">
        <f>IF(Z17="","",_xll.IMDP("STK",$Z17,"등락률"))</f>
        <v>0</v>
      </c>
      <c r="AE17" s="48">
        <f>IF(Z17="","",_xll.IMDP("STK",Z17,"시가총액"))</f>
        <v>18717246180</v>
      </c>
      <c r="AF17" s="20" t="str">
        <f t="shared" si="2"/>
        <v>034120</v>
      </c>
      <c r="AG17" s="21" t="str">
        <f>IF(AF17="","",_xll.IMDP("STK",$AF17,"한글종목명"))</f>
        <v>SBS</v>
      </c>
      <c r="AH17" s="48">
        <f>IF(AF17="","",_xll.IMDP("STK",$AF17,"현재가"))</f>
        <v>28350</v>
      </c>
      <c r="AI17" s="48">
        <f>IF(AF17="","",_xll.IMDP("STK",$AF17,"전일대비"))</f>
        <v>-150</v>
      </c>
      <c r="AJ17" s="49">
        <f>IF(AF17="","",_xll.IMDP("STK",$AF17,"등락률"))</f>
        <v>-0.53</v>
      </c>
      <c r="AK17" s="48">
        <f>IF(AF17="","",_xll.IMDP("STK",$AF17,"시가총액"))</f>
        <v>517460699700</v>
      </c>
      <c r="AL17" s="20" t="str">
        <f t="shared" si="1"/>
        <v>002870</v>
      </c>
      <c r="AM17" s="21" t="str">
        <f>IF(AL17="","",_xll.IMDP("STK",$AL17,"한글종목명"))</f>
        <v>신풍</v>
      </c>
      <c r="AN17" s="48">
        <f>IF(AL17="","",_xll.IMDP("STK",$AL17,"현재가"))</f>
        <v>888</v>
      </c>
      <c r="AO17" s="48">
        <f>IF(AL17="","",_xll.IMDP("STK",$AL17,"전일대비"))</f>
        <v>-8</v>
      </c>
      <c r="AP17" s="49">
        <f>IF(AL17="","",_xll.IMDP("STK",$AL17,"등락률"))</f>
        <v>-0.89</v>
      </c>
      <c r="AQ17" s="48">
        <f>IF(AL17="","",_xll.IMDP("STK",$AL17,"시가총액"))</f>
        <v>31043325600</v>
      </c>
    </row>
    <row r="18" spans="2:43" x14ac:dyDescent="0.25">
      <c r="B18" s="22" t="s">
        <v>1086</v>
      </c>
      <c r="C18" s="22">
        <v>13</v>
      </c>
      <c r="D18" s="25" t="s">
        <v>186</v>
      </c>
      <c r="E18" s="25" t="s">
        <v>234</v>
      </c>
      <c r="F18" s="25" t="s">
        <v>373</v>
      </c>
      <c r="G18" s="25" t="s">
        <v>262</v>
      </c>
      <c r="H18" s="25" t="s">
        <v>395</v>
      </c>
      <c r="I18" s="25" t="s">
        <v>445</v>
      </c>
      <c r="J18" s="25" t="s">
        <v>476</v>
      </c>
      <c r="K18" s="25" t="s">
        <v>526</v>
      </c>
      <c r="L18" s="25" t="s">
        <v>570</v>
      </c>
      <c r="N18" s="25" t="s">
        <v>644</v>
      </c>
      <c r="O18" s="25" t="s">
        <v>704</v>
      </c>
      <c r="Q18" s="25" t="s">
        <v>778</v>
      </c>
      <c r="R18" s="25" t="s">
        <v>818</v>
      </c>
      <c r="T18" s="25" t="s">
        <v>848</v>
      </c>
      <c r="V18" s="25" t="s">
        <v>898</v>
      </c>
      <c r="W18" s="25" t="s">
        <v>973</v>
      </c>
      <c r="X18" s="25" t="s">
        <v>994</v>
      </c>
      <c r="Y18" s="25" t="s">
        <v>383</v>
      </c>
      <c r="Z18" s="20" t="str">
        <f t="shared" si="0"/>
        <v>001790</v>
      </c>
      <c r="AA18" s="21" t="str">
        <f>IF(Z18="","",_xll.IMDP("STK",$Z18,"한글종목명"))</f>
        <v>대한제당</v>
      </c>
      <c r="AB18" s="48">
        <f>IF(Z18="","",_xll.IMDP("STK",$Z18,"현재가"))</f>
        <v>3220</v>
      </c>
      <c r="AC18" s="48">
        <f>IF(Z18="","",_xll.IMDP("STK",$Z18,"전일대비"))</f>
        <v>-35</v>
      </c>
      <c r="AD18" s="49">
        <f>IF(Z18="","",_xll.IMDP("STK",$Z18,"등락률"))</f>
        <v>-1.08</v>
      </c>
      <c r="AE18" s="48">
        <f>IF(Z18="","",_xll.IMDP("STK",Z18,"시가총액"))</f>
        <v>288822987600</v>
      </c>
      <c r="AF18" s="20" t="str">
        <f t="shared" si="2"/>
        <v>210980</v>
      </c>
      <c r="AG18" s="21" t="str">
        <f>IF(AF18="","",_xll.IMDP("STK",$AF18,"한글종목명"))</f>
        <v>SK디앤디</v>
      </c>
      <c r="AH18" s="48">
        <f>IF(AF18="","",_xll.IMDP("STK",$AF18,"현재가"))</f>
        <v>21100</v>
      </c>
      <c r="AI18" s="48">
        <f>IF(AF18="","",_xll.IMDP("STK",$AF18,"전일대비"))</f>
        <v>100</v>
      </c>
      <c r="AJ18" s="49">
        <f>IF(AF18="","",_xll.IMDP("STK",$AF18,"등락률"))</f>
        <v>0.48</v>
      </c>
      <c r="AK18" s="48">
        <f>IF(AF18="","",_xll.IMDP("STK",$AF18,"시가총액"))</f>
        <v>468212460400</v>
      </c>
      <c r="AL18" s="20" t="str">
        <f t="shared" si="1"/>
        <v>002310</v>
      </c>
      <c r="AM18" s="21" t="str">
        <f>IF(AL18="","",_xll.IMDP("STK",$AL18,"한글종목명"))</f>
        <v>아세아제지</v>
      </c>
      <c r="AN18" s="48">
        <f>IF(AL18="","",_xll.IMDP("STK",$AL18,"현재가"))</f>
        <v>37950</v>
      </c>
      <c r="AO18" s="48">
        <f>IF(AL18="","",_xll.IMDP("STK",$AL18,"전일대비"))</f>
        <v>50</v>
      </c>
      <c r="AP18" s="49">
        <f>IF(AL18="","",_xll.IMDP("STK",$AL18,"등락률"))</f>
        <v>0.13</v>
      </c>
      <c r="AQ18" s="48">
        <f>IF(AL18="","",_xll.IMDP("STK",$AL18,"시가총액"))</f>
        <v>339899250900</v>
      </c>
    </row>
    <row r="19" spans="2:43" x14ac:dyDescent="0.25">
      <c r="B19" s="22" t="s">
        <v>1087</v>
      </c>
      <c r="C19" s="22">
        <v>14</v>
      </c>
      <c r="D19" s="25" t="s">
        <v>187</v>
      </c>
      <c r="E19" s="25" t="s">
        <v>235</v>
      </c>
      <c r="F19" s="25" t="s">
        <v>374</v>
      </c>
      <c r="G19" s="25" t="s">
        <v>263</v>
      </c>
      <c r="H19" s="25" t="s">
        <v>396</v>
      </c>
      <c r="I19" s="25" t="s">
        <v>446</v>
      </c>
      <c r="J19" s="25" t="s">
        <v>477</v>
      </c>
      <c r="K19" s="25" t="s">
        <v>527</v>
      </c>
      <c r="L19" s="25" t="s">
        <v>571</v>
      </c>
      <c r="N19" s="25" t="s">
        <v>645</v>
      </c>
      <c r="O19" s="25" t="s">
        <v>705</v>
      </c>
      <c r="Q19" s="25" t="s">
        <v>779</v>
      </c>
      <c r="R19" s="25" t="s">
        <v>819</v>
      </c>
      <c r="T19" s="25" t="s">
        <v>849</v>
      </c>
      <c r="V19" s="25" t="s">
        <v>899</v>
      </c>
      <c r="W19" s="25" t="s">
        <v>975</v>
      </c>
      <c r="X19" s="25" t="s">
        <v>995</v>
      </c>
      <c r="Y19" s="25" t="s">
        <v>384</v>
      </c>
      <c r="Z19" s="20" t="str">
        <f t="shared" si="0"/>
        <v>001799</v>
      </c>
      <c r="AA19" s="21" t="str">
        <f>IF(Z19="","",_xll.IMDP("STK",$Z19,"한글종목명"))</f>
        <v>대한제당3우B</v>
      </c>
      <c r="AB19" s="48" t="str">
        <f>IF(Z19="","",_xll.IMDP("STK",$Z19,"현재가"))</f>
        <v/>
      </c>
      <c r="AC19" s="48" t="str">
        <f>IF(Z19="","",_xll.IMDP("STK",$Z19,"전일대비"))</f>
        <v/>
      </c>
      <c r="AD19" s="49" t="str">
        <f>IF(Z19="","",_xll.IMDP("STK",$Z19,"등락률"))</f>
        <v/>
      </c>
      <c r="AE19" s="48" t="str">
        <f>IF(Z19="","",_xll.IMDP("STK",Z19,"시가총액"))</f>
        <v/>
      </c>
      <c r="AF19" s="20" t="str">
        <f t="shared" si="2"/>
        <v>035250</v>
      </c>
      <c r="AG19" s="21" t="str">
        <f>IF(AF19="","",_xll.IMDP("STK",$AF19,"한글종목명"))</f>
        <v>강원랜드</v>
      </c>
      <c r="AH19" s="48">
        <f>IF(AF19="","",_xll.IMDP("STK",$AF19,"현재가"))</f>
        <v>15570</v>
      </c>
      <c r="AI19" s="48">
        <f>IF(AF19="","",_xll.IMDP("STK",$AF19,"전일대비"))</f>
        <v>-110</v>
      </c>
      <c r="AJ19" s="49">
        <f>IF(AF19="","",_xll.IMDP("STK",$AF19,"등락률"))</f>
        <v>-0.7</v>
      </c>
      <c r="AK19" s="48">
        <f>IF(AF19="","",_xll.IMDP("STK",$AF19,"시가총액"))</f>
        <v>3331053585000</v>
      </c>
      <c r="AL19" s="20" t="str">
        <f t="shared" si="1"/>
        <v>006740</v>
      </c>
      <c r="AM19" s="21" t="str">
        <f>IF(AL19="","",_xll.IMDP("STK",$AL19,"한글종목명"))</f>
        <v>영풍제지</v>
      </c>
      <c r="AN19" s="48">
        <f>IF(AL19="","",_xll.IMDP("STK",$AL19,"현재가"))</f>
        <v>48950</v>
      </c>
      <c r="AO19" s="48">
        <f>IF(AL19="","",_xll.IMDP("STK",$AL19,"전일대비"))</f>
        <v>300</v>
      </c>
      <c r="AP19" s="49">
        <f>IF(AL19="","",_xll.IMDP("STK",$AL19,"등락률"))</f>
        <v>0.62</v>
      </c>
      <c r="AQ19" s="48">
        <f>IF(AL19="","",_xll.IMDP("STK",$AL19,"시가총액"))</f>
        <v>2275301144600</v>
      </c>
    </row>
    <row r="20" spans="2:43" x14ac:dyDescent="0.25">
      <c r="B20" s="22" t="s">
        <v>1088</v>
      </c>
      <c r="C20" s="22">
        <v>15</v>
      </c>
      <c r="D20" s="25" t="s">
        <v>188</v>
      </c>
      <c r="E20" s="25" t="s">
        <v>236</v>
      </c>
      <c r="F20" s="25" t="s">
        <v>375</v>
      </c>
      <c r="G20" s="25" t="s">
        <v>264</v>
      </c>
      <c r="H20" s="25" t="s">
        <v>397</v>
      </c>
      <c r="I20" s="25" t="s">
        <v>447</v>
      </c>
      <c r="J20" s="25" t="s">
        <v>478</v>
      </c>
      <c r="K20" s="25" t="s">
        <v>528</v>
      </c>
      <c r="L20" s="25" t="s">
        <v>572</v>
      </c>
      <c r="N20" s="25" t="s">
        <v>646</v>
      </c>
      <c r="O20" s="25" t="s">
        <v>706</v>
      </c>
      <c r="Q20" s="25" t="s">
        <v>780</v>
      </c>
      <c r="R20" s="25" t="s">
        <v>820</v>
      </c>
      <c r="T20" s="25" t="s">
        <v>850</v>
      </c>
      <c r="V20" s="25" t="s">
        <v>900</v>
      </c>
      <c r="W20" s="25" t="s">
        <v>976</v>
      </c>
      <c r="X20" s="25" t="s">
        <v>996</v>
      </c>
      <c r="Y20" s="25" t="s">
        <v>385</v>
      </c>
      <c r="Z20" s="20" t="str">
        <f t="shared" si="0"/>
        <v>001795</v>
      </c>
      <c r="AA20" s="21" t="str">
        <f>IF(Z20="","",_xll.IMDP("STK",$Z20,"한글종목명"))</f>
        <v>대한제당우</v>
      </c>
      <c r="AB20" s="48">
        <f>IF(Z20="","",_xll.IMDP("STK",$Z20,"현재가"))</f>
        <v>2675</v>
      </c>
      <c r="AC20" s="48">
        <f>IF(Z20="","",_xll.IMDP("STK",$Z20,"전일대비"))</f>
        <v>40</v>
      </c>
      <c r="AD20" s="49">
        <f>IF(Z20="","",_xll.IMDP("STK",$Z20,"등락률"))</f>
        <v>1.52</v>
      </c>
      <c r="AE20" s="48">
        <f>IF(Z20="","",_xll.IMDP("STK",Z20,"시가총액"))</f>
        <v>17341383000</v>
      </c>
      <c r="AF20" s="20" t="str">
        <f t="shared" si="2"/>
        <v>011420</v>
      </c>
      <c r="AG20" s="21" t="str">
        <f>IF(AF20="","",_xll.IMDP("STK",$AF20,"한글종목명"))</f>
        <v>갤럭시아에스엠</v>
      </c>
      <c r="AH20" s="48">
        <f>IF(AF20="","",_xll.IMDP("STK",$AF20,"현재가"))</f>
        <v>1952</v>
      </c>
      <c r="AI20" s="48">
        <f>IF(AF20="","",_xll.IMDP("STK",$AF20,"전일대비"))</f>
        <v>-19</v>
      </c>
      <c r="AJ20" s="49">
        <f>IF(AF20="","",_xll.IMDP("STK",$AF20,"등락률"))</f>
        <v>-0.96</v>
      </c>
      <c r="AK20" s="48">
        <f>IF(AF20="","",_xll.IMDP("STK",$AF20,"시가총액"))</f>
        <v>53776905088</v>
      </c>
      <c r="AL20" s="20" t="str">
        <f t="shared" si="1"/>
        <v>008250</v>
      </c>
      <c r="AM20" s="21" t="str">
        <f>IF(AL20="","",_xll.IMDP("STK",$AL20,"한글종목명"))</f>
        <v>이건산업</v>
      </c>
      <c r="AN20" s="48">
        <f>IF(AL20="","",_xll.IMDP("STK",$AL20,"현재가"))</f>
        <v>6980</v>
      </c>
      <c r="AO20" s="48">
        <f>IF(AL20="","",_xll.IMDP("STK",$AL20,"전일대비"))</f>
        <v>10</v>
      </c>
      <c r="AP20" s="49">
        <f>IF(AL20="","",_xll.IMDP("STK",$AL20,"등락률"))</f>
        <v>0.14000000000000001</v>
      </c>
      <c r="AQ20" s="48">
        <f>IF(AL20="","",_xll.IMDP("STK",$AL20,"시가총액"))</f>
        <v>76449392300</v>
      </c>
    </row>
    <row r="21" spans="2:43" x14ac:dyDescent="0.25">
      <c r="B21" s="22" t="s">
        <v>1089</v>
      </c>
      <c r="C21" s="22">
        <v>16</v>
      </c>
      <c r="D21" s="25" t="s">
        <v>189</v>
      </c>
      <c r="E21" s="25" t="s">
        <v>237</v>
      </c>
      <c r="F21" s="25" t="s">
        <v>376</v>
      </c>
      <c r="G21" s="25" t="s">
        <v>265</v>
      </c>
      <c r="H21" s="25" t="s">
        <v>398</v>
      </c>
      <c r="I21" s="25" t="s">
        <v>448</v>
      </c>
      <c r="J21" s="25" t="s">
        <v>479</v>
      </c>
      <c r="K21" s="25" t="s">
        <v>529</v>
      </c>
      <c r="L21" s="25" t="s">
        <v>573</v>
      </c>
      <c r="N21" s="25" t="s">
        <v>647</v>
      </c>
      <c r="O21" s="25" t="s">
        <v>707</v>
      </c>
      <c r="Q21" s="25" t="s">
        <v>781</v>
      </c>
      <c r="R21" s="25" t="s">
        <v>821</v>
      </c>
      <c r="T21" s="25" t="s">
        <v>851</v>
      </c>
      <c r="V21" s="25" t="s">
        <v>903</v>
      </c>
      <c r="W21" s="25" t="s">
        <v>977</v>
      </c>
      <c r="X21" s="25" t="s">
        <v>997</v>
      </c>
      <c r="Y21" s="25" t="s">
        <v>386</v>
      </c>
      <c r="Z21" s="20" t="str">
        <f t="shared" si="0"/>
        <v>001130</v>
      </c>
      <c r="AA21" s="21" t="str">
        <f>IF(Z21="","",_xll.IMDP("STK",$Z21,"한글종목명"))</f>
        <v>대한제분</v>
      </c>
      <c r="AB21" s="48">
        <f>IF(Z21="","",_xll.IMDP("STK",$Z21,"현재가"))</f>
        <v>130100</v>
      </c>
      <c r="AC21" s="48">
        <f>IF(Z21="","",_xll.IMDP("STK",$Z21,"전일대비"))</f>
        <v>-1200</v>
      </c>
      <c r="AD21" s="49">
        <f>IF(Z21="","",_xll.IMDP("STK",$Z21,"등락률"))</f>
        <v>-0.91</v>
      </c>
      <c r="AE21" s="48">
        <f>IF(Z21="","",_xll.IMDP("STK",Z21,"시가총액"))</f>
        <v>219869000000</v>
      </c>
      <c r="AF21" s="20" t="str">
        <f t="shared" si="2"/>
        <v>251270</v>
      </c>
      <c r="AG21" s="21" t="str">
        <f>IF(AF21="","",_xll.IMDP("STK",$AF21,"한글종목명"))</f>
        <v>넷마블</v>
      </c>
      <c r="AH21" s="48">
        <f>IF(AF21="","",_xll.IMDP("STK",$AF21,"현재가"))</f>
        <v>42850</v>
      </c>
      <c r="AI21" s="48">
        <f>IF(AF21="","",_xll.IMDP("STK",$AF21,"전일대비"))</f>
        <v>-900</v>
      </c>
      <c r="AJ21" s="49">
        <f>IF(AF21="","",_xll.IMDP("STK",$AF21,"등락률"))</f>
        <v>-2.06</v>
      </c>
      <c r="AK21" s="48">
        <f>IF(AF21="","",_xll.IMDP("STK",$AF21,"시가총액"))</f>
        <v>3683107560700</v>
      </c>
      <c r="AL21" s="20" t="str">
        <f t="shared" si="1"/>
        <v>109070</v>
      </c>
      <c r="AM21" s="21" t="str">
        <f>IF(AL21="","",_xll.IMDP("STK",$AL21,"한글종목명"))</f>
        <v>컨버즈</v>
      </c>
      <c r="AN21" s="48">
        <f>IF(AL21="","",_xll.IMDP("STK",$AL21,"현재가"))</f>
        <v>4100</v>
      </c>
      <c r="AO21" s="48">
        <f>IF(AL21="","",_xll.IMDP("STK",$AL21,"전일대비"))</f>
        <v>0</v>
      </c>
      <c r="AP21" s="49">
        <f>IF(AL21="","",_xll.IMDP("STK",$AL21,"등락률"))</f>
        <v>0</v>
      </c>
      <c r="AQ21" s="48">
        <f>IF(AL21="","",_xll.IMDP("STK",$AL21,"시가총액"))</f>
        <v>150921943000</v>
      </c>
    </row>
    <row r="22" spans="2:43" x14ac:dyDescent="0.25">
      <c r="B22" s="22" t="s">
        <v>1090</v>
      </c>
      <c r="C22" s="22">
        <v>17</v>
      </c>
      <c r="D22" s="25" t="s">
        <v>190</v>
      </c>
      <c r="E22" s="25" t="s">
        <v>238</v>
      </c>
      <c r="F22" s="25" t="s">
        <v>377</v>
      </c>
      <c r="G22" s="25" t="s">
        <v>266</v>
      </c>
      <c r="H22" s="25" t="s">
        <v>399</v>
      </c>
      <c r="I22" s="25" t="s">
        <v>449</v>
      </c>
      <c r="J22" s="25" t="s">
        <v>480</v>
      </c>
      <c r="K22" s="25" t="s">
        <v>530</v>
      </c>
      <c r="L22" s="25" t="s">
        <v>574</v>
      </c>
      <c r="N22" s="25" t="s">
        <v>648</v>
      </c>
      <c r="O22" s="25" t="s">
        <v>708</v>
      </c>
      <c r="Q22" s="25" t="s">
        <v>782</v>
      </c>
      <c r="R22" s="25" t="s">
        <v>822</v>
      </c>
      <c r="T22" s="25" t="s">
        <v>852</v>
      </c>
      <c r="V22" s="25" t="s">
        <v>904</v>
      </c>
      <c r="X22" s="25" t="s">
        <v>998</v>
      </c>
      <c r="Y22" s="25" t="s">
        <v>251</v>
      </c>
      <c r="Z22" s="20" t="str">
        <f t="shared" si="0"/>
        <v>049770</v>
      </c>
      <c r="AA22" s="21" t="str">
        <f>IF(Z22="","",_xll.IMDP("STK",$Z22,"한글종목명"))</f>
        <v>동원F&amp;B</v>
      </c>
      <c r="AB22" s="48">
        <f>IF(Z22="","",_xll.IMDP("STK",$Z22,"현재가"))</f>
        <v>29500</v>
      </c>
      <c r="AC22" s="48">
        <f>IF(Z22="","",_xll.IMDP("STK",$Z22,"전일대비"))</f>
        <v>-300</v>
      </c>
      <c r="AD22" s="49">
        <f>IF(Z22="","",_xll.IMDP("STK",$Z22,"등락률"))</f>
        <v>-1.01</v>
      </c>
      <c r="AE22" s="48">
        <f>IF(Z22="","",_xll.IMDP("STK",Z22,"시가총액"))</f>
        <v>569220790000</v>
      </c>
      <c r="AF22" s="20" t="str">
        <f t="shared" si="2"/>
        <v>005250</v>
      </c>
      <c r="AG22" s="21" t="str">
        <f>IF(AF22="","",_xll.IMDP("STK",$AF22,"한글종목명"))</f>
        <v>녹십자홀딩스</v>
      </c>
      <c r="AH22" s="48">
        <f>IF(AF22="","",_xll.IMDP("STK",$AF22,"현재가"))</f>
        <v>13900</v>
      </c>
      <c r="AI22" s="48">
        <f>IF(AF22="","",_xll.IMDP("STK",$AF22,"전일대비"))</f>
        <v>-100</v>
      </c>
      <c r="AJ22" s="49">
        <f>IF(AF22="","",_xll.IMDP("STK",$AF22,"등락률"))</f>
        <v>-0.71</v>
      </c>
      <c r="AK22" s="48">
        <f>IF(AF22="","",_xll.IMDP("STK",$AF22,"시가총액"))</f>
        <v>653692119000</v>
      </c>
      <c r="AL22" s="20" t="str">
        <f t="shared" si="1"/>
        <v>011280</v>
      </c>
      <c r="AM22" s="21" t="str">
        <f>IF(AL22="","",_xll.IMDP("STK",$AL22,"한글종목명"))</f>
        <v>태림포장</v>
      </c>
      <c r="AN22" s="48">
        <f>IF(AL22="","",_xll.IMDP("STK",$AL22,"현재가"))</f>
        <v>2485</v>
      </c>
      <c r="AO22" s="48">
        <f>IF(AL22="","",_xll.IMDP("STK",$AL22,"전일대비"))</f>
        <v>0</v>
      </c>
      <c r="AP22" s="49">
        <f>IF(AL22="","",_xll.IMDP("STK",$AL22,"등락률"))</f>
        <v>0</v>
      </c>
      <c r="AQ22" s="48">
        <f>IF(AL22="","",_xll.IMDP("STK",$AL22,"시가총액"))</f>
        <v>175952760900</v>
      </c>
    </row>
    <row r="23" spans="2:43" x14ac:dyDescent="0.25">
      <c r="B23" s="22" t="s">
        <v>1091</v>
      </c>
      <c r="C23" s="22">
        <v>18</v>
      </c>
      <c r="D23" s="25" t="s">
        <v>191</v>
      </c>
      <c r="E23" s="25" t="s">
        <v>239</v>
      </c>
      <c r="F23" s="25" t="s">
        <v>378</v>
      </c>
      <c r="G23" s="25" t="s">
        <v>267</v>
      </c>
      <c r="H23" s="25" t="s">
        <v>400</v>
      </c>
      <c r="I23" s="25" t="s">
        <v>450</v>
      </c>
      <c r="J23" s="25" t="s">
        <v>481</v>
      </c>
      <c r="K23" s="25" t="s">
        <v>531</v>
      </c>
      <c r="L23" s="25" t="s">
        <v>575</v>
      </c>
      <c r="N23" s="25" t="s">
        <v>649</v>
      </c>
      <c r="O23" s="25" t="s">
        <v>709</v>
      </c>
      <c r="Q23" s="25" t="s">
        <v>783</v>
      </c>
      <c r="R23" s="25" t="s">
        <v>823</v>
      </c>
      <c r="T23" s="25" t="s">
        <v>853</v>
      </c>
      <c r="V23" s="25" t="s">
        <v>906</v>
      </c>
      <c r="X23" s="25" t="s">
        <v>999</v>
      </c>
      <c r="Y23" s="25" t="s">
        <v>514</v>
      </c>
      <c r="Z23" s="20" t="str">
        <f t="shared" si="0"/>
        <v>280360</v>
      </c>
      <c r="AA23" s="21" t="str">
        <f>IF(Z23="","",_xll.IMDP("STK",$Z23,"한글종목명"))</f>
        <v>롯데웰푸드</v>
      </c>
      <c r="AB23" s="48">
        <f>IF(Z23="","",_xll.IMDP("STK",$Z23,"현재가"))</f>
        <v>109800</v>
      </c>
      <c r="AC23" s="48">
        <f>IF(Z23="","",_xll.IMDP("STK",$Z23,"전일대비"))</f>
        <v>-1700</v>
      </c>
      <c r="AD23" s="49">
        <f>IF(Z23="","",_xll.IMDP("STK",$Z23,"등락률"))</f>
        <v>-1.52</v>
      </c>
      <c r="AE23" s="48">
        <f>IF(Z23="","",_xll.IMDP("STK",Z23,"시가총액"))</f>
        <v>1035916225200</v>
      </c>
      <c r="AF23" s="20" t="str">
        <f t="shared" si="2"/>
        <v>005257</v>
      </c>
      <c r="AG23" s="21" t="str">
        <f>IF(AF23="","",_xll.IMDP("STK",$AF23,"한글종목명"))</f>
        <v>녹십자홀딩스2우</v>
      </c>
      <c r="AH23" s="48">
        <f>IF(AF23="","",_xll.IMDP("STK",$AF23,"현재가"))</f>
        <v>28250</v>
      </c>
      <c r="AI23" s="48">
        <f>IF(AF23="","",_xll.IMDP("STK",$AF23,"전일대비"))</f>
        <v>100</v>
      </c>
      <c r="AJ23" s="49">
        <f>IF(AF23="","",_xll.IMDP("STK",$AF23,"등락률"))</f>
        <v>0.36</v>
      </c>
      <c r="AK23" s="48">
        <f>IF(AF23="","",_xll.IMDP("STK",$AF23,"시가총액"))</f>
        <v>23899217500</v>
      </c>
      <c r="AL23" s="20" t="str">
        <f t="shared" si="1"/>
        <v>001020</v>
      </c>
      <c r="AM23" s="21" t="str">
        <f>IF(AL23="","",_xll.IMDP("STK",$AL23,"한글종목명"))</f>
        <v>페이퍼코리아</v>
      </c>
      <c r="AN23" s="48">
        <f>IF(AL23="","",_xll.IMDP("STK",$AL23,"현재가"))</f>
        <v>865</v>
      </c>
      <c r="AO23" s="48">
        <f>IF(AL23="","",_xll.IMDP("STK",$AL23,"전일대비"))</f>
        <v>5</v>
      </c>
      <c r="AP23" s="49">
        <f>IF(AL23="","",_xll.IMDP("STK",$AL23,"등락률"))</f>
        <v>0.57999999999999996</v>
      </c>
      <c r="AQ23" s="48">
        <f>IF(AL23="","",_xll.IMDP("STK",$AL23,"시가총액"))</f>
        <v>41145290650</v>
      </c>
    </row>
    <row r="24" spans="2:43" x14ac:dyDescent="0.25">
      <c r="B24" s="22" t="s">
        <v>1092</v>
      </c>
      <c r="C24" s="22">
        <v>19</v>
      </c>
      <c r="D24" s="25" t="s">
        <v>192</v>
      </c>
      <c r="E24" s="25" t="s">
        <v>240</v>
      </c>
      <c r="F24" s="25" t="s">
        <v>379</v>
      </c>
      <c r="G24" s="25" t="s">
        <v>268</v>
      </c>
      <c r="H24" s="25" t="s">
        <v>401</v>
      </c>
      <c r="I24" s="25" t="s">
        <v>451</v>
      </c>
      <c r="J24" s="25" t="s">
        <v>482</v>
      </c>
      <c r="K24" s="25" t="s">
        <v>532</v>
      </c>
      <c r="L24" s="25" t="s">
        <v>576</v>
      </c>
      <c r="N24" s="25" t="s">
        <v>650</v>
      </c>
      <c r="O24" s="25" t="s">
        <v>710</v>
      </c>
      <c r="Q24" s="25" t="s">
        <v>784</v>
      </c>
      <c r="R24" s="25" t="s">
        <v>824</v>
      </c>
      <c r="T24" s="25" t="s">
        <v>854</v>
      </c>
      <c r="V24" s="25" t="s">
        <v>916</v>
      </c>
      <c r="X24" s="25" t="s">
        <v>1000</v>
      </c>
      <c r="Y24" s="25" t="s">
        <v>560</v>
      </c>
      <c r="Z24" s="20" t="str">
        <f t="shared" si="0"/>
        <v>005300</v>
      </c>
      <c r="AA24" s="21" t="str">
        <f>IF(Z24="","",_xll.IMDP("STK",$Z24,"한글종목명"))</f>
        <v>롯데칠성</v>
      </c>
      <c r="AB24" s="48">
        <f>IF(Z24="","",_xll.IMDP("STK",$Z24,"현재가"))</f>
        <v>130700</v>
      </c>
      <c r="AC24" s="48">
        <f>IF(Z24="","",_xll.IMDP("STK",$Z24,"전일대비"))</f>
        <v>100</v>
      </c>
      <c r="AD24" s="49">
        <f>IF(Z24="","",_xll.IMDP("STK",$Z24,"등락률"))</f>
        <v>0.08</v>
      </c>
      <c r="AE24" s="48">
        <f>IF(Z24="","",_xll.IMDP("STK",Z24,"시가총액"))</f>
        <v>1212750138800</v>
      </c>
      <c r="AF24" s="20" t="str">
        <f t="shared" si="2"/>
        <v>023590</v>
      </c>
      <c r="AG24" s="21" t="str">
        <f>IF(AF24="","",_xll.IMDP("STK",$AF24,"한글종목명"))</f>
        <v>다우기술</v>
      </c>
      <c r="AH24" s="48">
        <f>IF(AF24="","",_xll.IMDP("STK",$AF24,"현재가"))</f>
        <v>18470</v>
      </c>
      <c r="AI24" s="48">
        <f>IF(AF24="","",_xll.IMDP("STK",$AF24,"전일대비"))</f>
        <v>-180</v>
      </c>
      <c r="AJ24" s="49">
        <f>IF(AF24="","",_xll.IMDP("STK",$AF24,"등락률"))</f>
        <v>-0.97</v>
      </c>
      <c r="AK24" s="48">
        <f>IF(AF24="","",_xll.IMDP("STK",$AF24,"시가총액"))</f>
        <v>828686415990</v>
      </c>
      <c r="AL24" s="20" t="str">
        <f t="shared" si="1"/>
        <v>002300</v>
      </c>
      <c r="AM24" s="21" t="str">
        <f>IF(AL24="","",_xll.IMDP("STK",$AL24,"한글종목명"))</f>
        <v>한국제지</v>
      </c>
      <c r="AN24" s="48" t="str">
        <f>IF(AL24="","",_xll.IMDP("STK",$AL24,"현재가"))</f>
        <v/>
      </c>
      <c r="AO24" s="48" t="str">
        <f>IF(AL24="","",_xll.IMDP("STK",$AL24,"전일대비"))</f>
        <v/>
      </c>
      <c r="AP24" s="49" t="str">
        <f>IF(AL24="","",_xll.IMDP("STK",$AL24,"등락률"))</f>
        <v/>
      </c>
      <c r="AQ24" s="48" t="str">
        <f>IF(AL24="","",_xll.IMDP("STK",$AL24,"시가총액"))</f>
        <v/>
      </c>
    </row>
    <row r="25" spans="2:43" x14ac:dyDescent="0.25">
      <c r="B25" s="22" t="s">
        <v>1093</v>
      </c>
      <c r="C25" s="22">
        <v>20</v>
      </c>
      <c r="D25" s="25" t="s">
        <v>193</v>
      </c>
      <c r="E25" s="25" t="s">
        <v>241</v>
      </c>
      <c r="F25" s="25" t="s">
        <v>380</v>
      </c>
      <c r="G25" s="25" t="s">
        <v>269</v>
      </c>
      <c r="H25" s="25" t="s">
        <v>402</v>
      </c>
      <c r="I25" s="25" t="s">
        <v>452</v>
      </c>
      <c r="J25" s="25" t="s">
        <v>483</v>
      </c>
      <c r="K25" s="25" t="s">
        <v>533</v>
      </c>
      <c r="L25" s="25" t="s">
        <v>577</v>
      </c>
      <c r="N25" s="25" t="s">
        <v>651</v>
      </c>
      <c r="O25" s="25" t="s">
        <v>711</v>
      </c>
      <c r="Q25" s="25" t="s">
        <v>785</v>
      </c>
      <c r="R25" s="25" t="s">
        <v>825</v>
      </c>
      <c r="T25" s="25" t="s">
        <v>855</v>
      </c>
      <c r="V25" s="25" t="s">
        <v>917</v>
      </c>
      <c r="X25" s="25" t="s">
        <v>1001</v>
      </c>
      <c r="Y25" s="25" t="s">
        <v>252</v>
      </c>
      <c r="Z25" s="20" t="str">
        <f t="shared" si="0"/>
        <v>005305</v>
      </c>
      <c r="AA25" s="21" t="str">
        <f>IF(Z25="","",_xll.IMDP("STK",$Z25,"한글종목명"))</f>
        <v>롯데칠성우</v>
      </c>
      <c r="AB25" s="48">
        <f>IF(Z25="","",_xll.IMDP("STK",$Z25,"현재가"))</f>
        <v>66500</v>
      </c>
      <c r="AC25" s="48">
        <f>IF(Z25="","",_xll.IMDP("STK",$Z25,"전일대비"))</f>
        <v>400</v>
      </c>
      <c r="AD25" s="49">
        <f>IF(Z25="","",_xll.IMDP("STK",$Z25,"등락률"))</f>
        <v>0.61</v>
      </c>
      <c r="AE25" s="48">
        <f>IF(Z25="","",_xll.IMDP("STK",Z25,"시가총액"))</f>
        <v>51558115000</v>
      </c>
      <c r="AF25" s="20" t="str">
        <f t="shared" si="2"/>
        <v>019680</v>
      </c>
      <c r="AG25" s="21" t="str">
        <f>IF(AF25="","",_xll.IMDP("STK",$AF25,"한글종목명"))</f>
        <v>대교</v>
      </c>
      <c r="AH25" s="48">
        <f>IF(AF25="","",_xll.IMDP("STK",$AF25,"현재가"))</f>
        <v>2355</v>
      </c>
      <c r="AI25" s="48">
        <f>IF(AF25="","",_xll.IMDP("STK",$AF25,"전일대비"))</f>
        <v>-10</v>
      </c>
      <c r="AJ25" s="49">
        <f>IF(AF25="","",_xll.IMDP("STK",$AF25,"등락률"))</f>
        <v>-0.42</v>
      </c>
      <c r="AK25" s="48">
        <f>IF(AF25="","",_xll.IMDP("STK",$AF25,"시가총액"))</f>
        <v>199475211750</v>
      </c>
      <c r="AL25" s="20" t="str">
        <f t="shared" si="1"/>
        <v>213500</v>
      </c>
      <c r="AM25" s="21" t="str">
        <f>IF(AL25="","",_xll.IMDP("STK",$AL25,"한글종목명"))</f>
        <v>한솔제지</v>
      </c>
      <c r="AN25" s="48">
        <f>IF(AL25="","",_xll.IMDP("STK",$AL25,"현재가"))</f>
        <v>10590</v>
      </c>
      <c r="AO25" s="48">
        <f>IF(AL25="","",_xll.IMDP("STK",$AL25,"전일대비"))</f>
        <v>30</v>
      </c>
      <c r="AP25" s="49">
        <f>IF(AL25="","",_xll.IMDP("STK",$AL25,"등락률"))</f>
        <v>0.28000000000000003</v>
      </c>
      <c r="AQ25" s="48">
        <f>IF(AL25="","",_xll.IMDP("STK",$AL25,"시가총액"))</f>
        <v>252048099840</v>
      </c>
    </row>
    <row r="26" spans="2:43" x14ac:dyDescent="0.25">
      <c r="B26" s="22" t="s">
        <v>1094</v>
      </c>
      <c r="C26" s="22">
        <v>21</v>
      </c>
      <c r="D26" s="25" t="s">
        <v>194</v>
      </c>
      <c r="E26" s="25" t="s">
        <v>242</v>
      </c>
      <c r="F26" s="25" t="s">
        <v>381</v>
      </c>
      <c r="G26" s="25" t="s">
        <v>270</v>
      </c>
      <c r="H26" s="25" t="s">
        <v>403</v>
      </c>
      <c r="I26" s="25" t="s">
        <v>453</v>
      </c>
      <c r="J26" s="25" t="s">
        <v>484</v>
      </c>
      <c r="K26" s="25" t="s">
        <v>534</v>
      </c>
      <c r="L26" s="25" t="s">
        <v>578</v>
      </c>
      <c r="N26" s="25" t="s">
        <v>652</v>
      </c>
      <c r="O26" s="25" t="s">
        <v>712</v>
      </c>
      <c r="Q26" s="25" t="s">
        <v>786</v>
      </c>
      <c r="R26" s="25" t="s">
        <v>826</v>
      </c>
      <c r="T26" s="25" t="s">
        <v>856</v>
      </c>
      <c r="V26" s="25" t="s">
        <v>928</v>
      </c>
      <c r="X26" s="25" t="s">
        <v>1002</v>
      </c>
      <c r="Y26" s="25" t="s">
        <v>253</v>
      </c>
      <c r="Z26" s="20" t="str">
        <f t="shared" si="0"/>
        <v>002270</v>
      </c>
      <c r="AA26" s="21" t="str">
        <f>IF(Z26="","",_xll.IMDP("STK",$Z26,"한글종목명"))</f>
        <v>롯데푸드</v>
      </c>
      <c r="AB26" s="48" t="str">
        <f>IF(Z26="","",_xll.IMDP("STK",$Z26,"현재가"))</f>
        <v/>
      </c>
      <c r="AC26" s="48" t="str">
        <f>IF(Z26="","",_xll.IMDP("STK",$Z26,"전일대비"))</f>
        <v/>
      </c>
      <c r="AD26" s="49" t="str">
        <f>IF(Z26="","",_xll.IMDP("STK",$Z26,"등락률"))</f>
        <v/>
      </c>
      <c r="AE26" s="48" t="str">
        <f>IF(Z26="","",_xll.IMDP("STK",Z26,"시가총액"))</f>
        <v/>
      </c>
      <c r="AF26" s="20" t="str">
        <f t="shared" si="2"/>
        <v>019685</v>
      </c>
      <c r="AG26" s="21" t="str">
        <f>IF(AF26="","",_xll.IMDP("STK",$AF26,"한글종목명"))</f>
        <v>대교우B</v>
      </c>
      <c r="AH26" s="48">
        <f>IF(AF26="","",_xll.IMDP("STK",$AF26,"현재가"))</f>
        <v>1682</v>
      </c>
      <c r="AI26" s="48">
        <f>IF(AF26="","",_xll.IMDP("STK",$AF26,"전일대비"))</f>
        <v>-1</v>
      </c>
      <c r="AJ26" s="49">
        <f>IF(AF26="","",_xll.IMDP("STK",$AF26,"등락률"))</f>
        <v>-0.06</v>
      </c>
      <c r="AK26" s="48">
        <f>IF(AF26="","",_xll.IMDP("STK",$AF26,"시가총액"))</f>
        <v>32676197180</v>
      </c>
      <c r="AL26" s="20" t="str">
        <f t="shared" si="1"/>
        <v>025750</v>
      </c>
      <c r="AM26" s="21" t="str">
        <f>IF(AL26="","",_xll.IMDP("STK",$AL26,"한글종목명"))</f>
        <v>한솔홈데코</v>
      </c>
      <c r="AN26" s="48">
        <f>IF(AL26="","",_xll.IMDP("STK",$AL26,"현재가"))</f>
        <v>963</v>
      </c>
      <c r="AO26" s="48">
        <f>IF(AL26="","",_xll.IMDP("STK",$AL26,"전일대비"))</f>
        <v>-7</v>
      </c>
      <c r="AP26" s="49">
        <f>IF(AL26="","",_xll.IMDP("STK",$AL26,"등락률"))</f>
        <v>-0.72</v>
      </c>
      <c r="AQ26" s="48">
        <f>IF(AL26="","",_xll.IMDP("STK",$AL26,"시가총액"))</f>
        <v>77584238487</v>
      </c>
    </row>
    <row r="27" spans="2:43" x14ac:dyDescent="0.25">
      <c r="B27" s="22" t="s">
        <v>1095</v>
      </c>
      <c r="C27" s="22">
        <v>22</v>
      </c>
      <c r="D27" s="25" t="s">
        <v>195</v>
      </c>
      <c r="E27" s="25" t="s">
        <v>243</v>
      </c>
      <c r="F27" s="25" t="s">
        <v>382</v>
      </c>
      <c r="G27" s="25" t="s">
        <v>271</v>
      </c>
      <c r="H27" s="25" t="s">
        <v>404</v>
      </c>
      <c r="I27" s="25" t="s">
        <v>454</v>
      </c>
      <c r="J27" s="25" t="s">
        <v>485</v>
      </c>
      <c r="K27" s="25" t="s">
        <v>535</v>
      </c>
      <c r="L27" s="25" t="s">
        <v>579</v>
      </c>
      <c r="N27" s="25" t="s">
        <v>653</v>
      </c>
      <c r="O27" s="25" t="s">
        <v>713</v>
      </c>
      <c r="Q27" s="25" t="s">
        <v>787</v>
      </c>
      <c r="R27" s="25" t="s">
        <v>827</v>
      </c>
      <c r="T27" s="25" t="s">
        <v>857</v>
      </c>
      <c r="V27" s="25" t="s">
        <v>929</v>
      </c>
      <c r="X27" s="25" t="s">
        <v>1003</v>
      </c>
      <c r="Y27" s="25" t="s">
        <v>632</v>
      </c>
      <c r="Z27" s="20" t="str">
        <f t="shared" si="0"/>
        <v>027740</v>
      </c>
      <c r="AA27" s="21" t="str">
        <f>IF(Z27="","",_xll.IMDP("STK",$Z27,"한글종목명"))</f>
        <v>마니커</v>
      </c>
      <c r="AB27" s="48">
        <f>IF(Z27="","",_xll.IMDP("STK",$Z27,"현재가"))</f>
        <v>1252</v>
      </c>
      <c r="AC27" s="48">
        <f>IF(Z27="","",_xll.IMDP("STK",$Z27,"전일대비"))</f>
        <v>-35</v>
      </c>
      <c r="AD27" s="49">
        <f>IF(Z27="","",_xll.IMDP("STK",$Z27,"등락률"))</f>
        <v>-2.72</v>
      </c>
      <c r="AE27" s="48">
        <f>IF(Z27="","",_xll.IMDP("STK",Z27,"시가총액"))</f>
        <v>79516057456</v>
      </c>
      <c r="AF27" s="20" t="str">
        <f t="shared" si="2"/>
        <v>016710</v>
      </c>
      <c r="AG27" s="21" t="str">
        <f>IF(AF27="","",_xll.IMDP("STK",$AF27,"한글종목명"))</f>
        <v>대성홀딩스</v>
      </c>
      <c r="AH27" s="48">
        <f>IF(AF27="","",_xll.IMDP("STK",$AF27,"현재가"))</f>
        <v>13270</v>
      </c>
      <c r="AI27" s="48">
        <f>IF(AF27="","",_xll.IMDP("STK",$AF27,"전일대비"))</f>
        <v>-270</v>
      </c>
      <c r="AJ27" s="49">
        <f>IF(AF27="","",_xll.IMDP("STK",$AF27,"등락률"))</f>
        <v>-1.99</v>
      </c>
      <c r="AK27" s="48">
        <f>IF(AF27="","",_xll.IMDP("STK",$AF27,"시가총액"))</f>
        <v>213507120930</v>
      </c>
      <c r="AL27" s="20" t="str">
        <f t="shared" si="1"/>
        <v>009460</v>
      </c>
      <c r="AM27" s="21" t="str">
        <f>IF(AL27="","",_xll.IMDP("STK",$AL27,"한글종목명"))</f>
        <v>한창제지</v>
      </c>
      <c r="AN27" s="48">
        <f>IF(AL27="","",_xll.IMDP("STK",$AL27,"현재가"))</f>
        <v>999</v>
      </c>
      <c r="AO27" s="48">
        <f>IF(AL27="","",_xll.IMDP("STK",$AL27,"전일대비"))</f>
        <v>-5</v>
      </c>
      <c r="AP27" s="49">
        <f>IF(AL27="","",_xll.IMDP("STK",$AL27,"등락률"))</f>
        <v>-0.5</v>
      </c>
      <c r="AQ27" s="48">
        <f>IF(AL27="","",_xll.IMDP("STK",$AL27,"시가총액"))</f>
        <v>59607818514</v>
      </c>
    </row>
    <row r="28" spans="2:43" x14ac:dyDescent="0.25">
      <c r="C28" s="22">
        <v>23</v>
      </c>
      <c r="D28" s="25" t="s">
        <v>196</v>
      </c>
      <c r="E28" s="25" t="s">
        <v>244</v>
      </c>
      <c r="F28" s="25"/>
      <c r="G28" s="25" t="s">
        <v>272</v>
      </c>
      <c r="H28" s="25" t="s">
        <v>405</v>
      </c>
      <c r="I28" s="25" t="s">
        <v>455</v>
      </c>
      <c r="J28" s="25" t="s">
        <v>486</v>
      </c>
      <c r="K28" s="25" t="s">
        <v>536</v>
      </c>
      <c r="L28" s="25" t="s">
        <v>580</v>
      </c>
      <c r="N28" s="25" t="s">
        <v>654</v>
      </c>
      <c r="O28" s="25" t="s">
        <v>714</v>
      </c>
      <c r="Q28" s="25" t="s">
        <v>788</v>
      </c>
      <c r="R28" s="25" t="s">
        <v>828</v>
      </c>
      <c r="T28" s="25" t="s">
        <v>858</v>
      </c>
      <c r="V28" s="25" t="s">
        <v>930</v>
      </c>
      <c r="X28" s="25" t="s">
        <v>1004</v>
      </c>
      <c r="Y28" s="25" t="s">
        <v>1061</v>
      </c>
      <c r="Z28" s="20" t="str">
        <f t="shared" si="0"/>
        <v>033920</v>
      </c>
      <c r="AA28" s="21" t="str">
        <f>IF(Z28="","",_xll.IMDP("STK",$Z28,"한글종목명"))</f>
        <v>무학</v>
      </c>
      <c r="AB28" s="48">
        <f>IF(Z28="","",_xll.IMDP("STK",$Z28,"현재가"))</f>
        <v>5730</v>
      </c>
      <c r="AC28" s="48">
        <f>IF(Z28="","",_xll.IMDP("STK",$Z28,"전일대비"))</f>
        <v>30</v>
      </c>
      <c r="AD28" s="49">
        <f>IF(Z28="","",_xll.IMDP("STK",$Z28,"등락률"))</f>
        <v>0.53</v>
      </c>
      <c r="AE28" s="48">
        <f>IF(Z28="","",_xll.IMDP("STK",Z28,"시가총액"))</f>
        <v>163305000000</v>
      </c>
      <c r="AF28" s="20" t="str">
        <f t="shared" si="2"/>
        <v>012510</v>
      </c>
      <c r="AG28" s="21" t="str">
        <f>IF(AF28="","",_xll.IMDP("STK",$AF28,"한글종목명"))</f>
        <v>더존비즈온</v>
      </c>
      <c r="AH28" s="48">
        <f>IF(AF28="","",_xll.IMDP("STK",$AF28,"현재가"))</f>
        <v>33250</v>
      </c>
      <c r="AI28" s="48">
        <f>IF(AF28="","",_xll.IMDP("STK",$AF28,"전일대비"))</f>
        <v>-150</v>
      </c>
      <c r="AJ28" s="49">
        <f>IF(AF28="","",_xll.IMDP("STK",$AF28,"등락률"))</f>
        <v>-0.45</v>
      </c>
      <c r="AK28" s="48">
        <f>IF(AF28="","",_xll.IMDP("STK",$AF28,"시가총액"))</f>
        <v>1010227568000</v>
      </c>
      <c r="AL28" s="20" t="str">
        <f t="shared" si="1"/>
        <v/>
      </c>
      <c r="AM28" s="21" t="str">
        <f>IF(AL28="","",_xll.IMDP("STK",$AL28,"한글종목명"))</f>
        <v/>
      </c>
      <c r="AN28" s="48" t="str">
        <f>IF(AL28="","",_xll.IMDP("STK",$AL28,"현재가"))</f>
        <v/>
      </c>
      <c r="AO28" s="48" t="str">
        <f>IF(AL28="","",_xll.IMDP("STK",$AL28,"전일대비"))</f>
        <v/>
      </c>
      <c r="AP28" s="49" t="str">
        <f>IF(AL28="","",_xll.IMDP("STK",$AL28,"등락률"))</f>
        <v/>
      </c>
      <c r="AQ28" s="48" t="str">
        <f>IF(AL28="","",_xll.IMDP("STK",$AL28,"시가총액"))</f>
        <v/>
      </c>
    </row>
    <row r="29" spans="2:43" x14ac:dyDescent="0.25">
      <c r="C29" s="22">
        <v>24</v>
      </c>
      <c r="D29" s="25" t="s">
        <v>197</v>
      </c>
      <c r="E29" s="25" t="s">
        <v>245</v>
      </c>
      <c r="F29" s="25"/>
      <c r="G29" s="25" t="s">
        <v>273</v>
      </c>
      <c r="H29" s="25" t="s">
        <v>406</v>
      </c>
      <c r="I29" s="25" t="s">
        <v>456</v>
      </c>
      <c r="J29" s="25" t="s">
        <v>487</v>
      </c>
      <c r="K29" s="25" t="s">
        <v>537</v>
      </c>
      <c r="L29" s="25" t="s">
        <v>581</v>
      </c>
      <c r="N29" s="25" t="s">
        <v>655</v>
      </c>
      <c r="O29" s="25" t="s">
        <v>715</v>
      </c>
      <c r="Q29" s="25" t="s">
        <v>789</v>
      </c>
      <c r="R29" s="25" t="s">
        <v>829</v>
      </c>
      <c r="T29" s="25" t="s">
        <v>859</v>
      </c>
      <c r="V29" s="25" t="s">
        <v>931</v>
      </c>
      <c r="X29" s="25" t="s">
        <v>1005</v>
      </c>
      <c r="Y29" s="25" t="s">
        <v>225</v>
      </c>
      <c r="Z29" s="20" t="str">
        <f t="shared" si="0"/>
        <v>000890</v>
      </c>
      <c r="AA29" s="21" t="str">
        <f>IF(Z29="","",_xll.IMDP("STK",$Z29,"한글종목명"))</f>
        <v>보해양조</v>
      </c>
      <c r="AB29" s="48">
        <f>IF(Z29="","",_xll.IMDP("STK",$Z29,"현재가"))</f>
        <v>563</v>
      </c>
      <c r="AC29" s="48">
        <f>IF(Z29="","",_xll.IMDP("STK",$Z29,"전일대비"))</f>
        <v>-9</v>
      </c>
      <c r="AD29" s="49">
        <f>IF(Z29="","",_xll.IMDP("STK",$Z29,"등락률"))</f>
        <v>-1.57</v>
      </c>
      <c r="AE29" s="48">
        <f>IF(Z29="","",_xll.IMDP("STK",Z29,"시가총액"))</f>
        <v>78324632627</v>
      </c>
      <c r="AF29" s="20" t="str">
        <f t="shared" si="2"/>
        <v>002150</v>
      </c>
      <c r="AG29" s="21" t="str">
        <f>IF(AF29="","",_xll.IMDP("STK",$AF29,"한글종목명"))</f>
        <v>도화엔지니어링</v>
      </c>
      <c r="AH29" s="48">
        <f>IF(AF29="","",_xll.IMDP("STK",$AF29,"현재가"))</f>
        <v>8110</v>
      </c>
      <c r="AI29" s="48">
        <f>IF(AF29="","",_xll.IMDP("STK",$AF29,"전일대비"))</f>
        <v>-100</v>
      </c>
      <c r="AJ29" s="49">
        <f>IF(AF29="","",_xll.IMDP("STK",$AF29,"등락률"))</f>
        <v>-1.22</v>
      </c>
      <c r="AK29" s="48">
        <f>IF(AF29="","",_xll.IMDP("STK",$AF29,"시가총액"))</f>
        <v>273469200000</v>
      </c>
      <c r="AL29" s="20" t="str">
        <f t="shared" si="1"/>
        <v/>
      </c>
      <c r="AM29" s="21" t="str">
        <f>IF(AL29="","",_xll.IMDP("STK",$AL29,"한글종목명"))</f>
        <v/>
      </c>
      <c r="AN29" s="48" t="str">
        <f>IF(AL29="","",_xll.IMDP("STK",$AL29,"현재가"))</f>
        <v/>
      </c>
      <c r="AO29" s="48" t="str">
        <f>IF(AL29="","",_xll.IMDP("STK",$AL29,"전일대비"))</f>
        <v/>
      </c>
      <c r="AP29" s="49" t="str">
        <f>IF(AL29="","",_xll.IMDP("STK",$AL29,"등락률"))</f>
        <v/>
      </c>
      <c r="AQ29" s="48" t="str">
        <f>IF(AL29="","",_xll.IMDP("STK",$AL29,"시가총액"))</f>
        <v/>
      </c>
    </row>
    <row r="30" spans="2:43" x14ac:dyDescent="0.25">
      <c r="C30" s="22">
        <v>25</v>
      </c>
      <c r="D30" s="25" t="s">
        <v>198</v>
      </c>
      <c r="E30" s="25" t="s">
        <v>246</v>
      </c>
      <c r="F30" s="25"/>
      <c r="G30" s="25" t="s">
        <v>274</v>
      </c>
      <c r="H30" s="25" t="s">
        <v>407</v>
      </c>
      <c r="I30" s="25" t="s">
        <v>457</v>
      </c>
      <c r="J30" s="25" t="s">
        <v>488</v>
      </c>
      <c r="K30" s="25" t="s">
        <v>538</v>
      </c>
      <c r="L30" s="25" t="s">
        <v>582</v>
      </c>
      <c r="N30" s="25" t="s">
        <v>656</v>
      </c>
      <c r="O30" s="25" t="s">
        <v>716</v>
      </c>
      <c r="Q30" s="25" t="s">
        <v>790</v>
      </c>
      <c r="T30" s="25" t="s">
        <v>860</v>
      </c>
      <c r="V30" s="25" t="s">
        <v>932</v>
      </c>
      <c r="X30" s="25" t="s">
        <v>1006</v>
      </c>
      <c r="Y30" s="25" t="s">
        <v>561</v>
      </c>
      <c r="Z30" s="20" t="str">
        <f t="shared" si="0"/>
        <v>005180</v>
      </c>
      <c r="AA30" s="21" t="str">
        <f>IF(Z30="","",_xll.IMDP("STK",$Z30,"한글종목명"))</f>
        <v>빙그레</v>
      </c>
      <c r="AB30" s="48">
        <f>IF(Z30="","",_xll.IMDP("STK",$Z30,"현재가"))</f>
        <v>55500</v>
      </c>
      <c r="AC30" s="48">
        <f>IF(Z30="","",_xll.IMDP("STK",$Z30,"전일대비"))</f>
        <v>900</v>
      </c>
      <c r="AD30" s="49">
        <f>IF(Z30="","",_xll.IMDP("STK",$Z30,"등락률"))</f>
        <v>1.65</v>
      </c>
      <c r="AE30" s="48">
        <f>IF(Z30="","",_xll.IMDP("STK",Z30,"시가총액"))</f>
        <v>546743875500</v>
      </c>
      <c r="AF30" s="20" t="str">
        <f t="shared" si="2"/>
        <v>083370</v>
      </c>
      <c r="AG30" s="21" t="str">
        <f>IF(AF30="","",_xll.IMDP("STK",$AF30,"한글종목명"))</f>
        <v>동북아12호</v>
      </c>
      <c r="AH30" s="48" t="str">
        <f>IF(AF30="","",_xll.IMDP("STK",$AF30,"현재가"))</f>
        <v/>
      </c>
      <c r="AI30" s="48" t="str">
        <f>IF(AF30="","",_xll.IMDP("STK",$AF30,"전일대비"))</f>
        <v/>
      </c>
      <c r="AJ30" s="49" t="str">
        <f>IF(AF30="","",_xll.IMDP("STK",$AF30,"등락률"))</f>
        <v/>
      </c>
      <c r="AK30" s="48" t="str">
        <f>IF(AF30="","",_xll.IMDP("STK",$AF30,"시가총액"))</f>
        <v/>
      </c>
      <c r="AL30" s="20" t="str">
        <f t="shared" si="1"/>
        <v/>
      </c>
      <c r="AM30" s="21" t="str">
        <f>IF(AL30="","",_xll.IMDP("STK",$AL30,"한글종목명"))</f>
        <v/>
      </c>
      <c r="AN30" s="48" t="str">
        <f>IF(AL30="","",_xll.IMDP("STK",$AL30,"현재가"))</f>
        <v/>
      </c>
      <c r="AO30" s="48" t="str">
        <f>IF(AL30="","",_xll.IMDP("STK",$AL30,"전일대비"))</f>
        <v/>
      </c>
      <c r="AP30" s="49" t="str">
        <f>IF(AL30="","",_xll.IMDP("STK",$AL30,"등락률"))</f>
        <v/>
      </c>
      <c r="AQ30" s="48" t="str">
        <f>IF(AL30="","",_xll.IMDP("STK",$AL30,"시가총액"))</f>
        <v/>
      </c>
    </row>
    <row r="31" spans="2:43" x14ac:dyDescent="0.25">
      <c r="C31" s="22">
        <v>26</v>
      </c>
      <c r="D31" s="25" t="s">
        <v>199</v>
      </c>
      <c r="E31" s="25" t="s">
        <v>247</v>
      </c>
      <c r="F31" s="25"/>
      <c r="G31" s="25" t="s">
        <v>275</v>
      </c>
      <c r="H31" s="25" t="s">
        <v>408</v>
      </c>
      <c r="I31" s="25" t="s">
        <v>458</v>
      </c>
      <c r="J31" s="25" t="s">
        <v>489</v>
      </c>
      <c r="K31" s="25" t="s">
        <v>539</v>
      </c>
      <c r="L31" s="25" t="s">
        <v>583</v>
      </c>
      <c r="N31" s="25" t="s">
        <v>657</v>
      </c>
      <c r="O31" s="25" t="s">
        <v>717</v>
      </c>
      <c r="Q31" s="25" t="s">
        <v>791</v>
      </c>
      <c r="T31" s="25" t="s">
        <v>861</v>
      </c>
      <c r="V31" s="25" t="s">
        <v>944</v>
      </c>
      <c r="X31" s="25" t="s">
        <v>1007</v>
      </c>
      <c r="Y31" s="25" t="s">
        <v>254</v>
      </c>
      <c r="Z31" s="20" t="str">
        <f t="shared" si="0"/>
        <v>003960</v>
      </c>
      <c r="AA31" s="21" t="str">
        <f>IF(Z31="","",_xll.IMDP("STK",$Z31,"한글종목명"))</f>
        <v>사조대림</v>
      </c>
      <c r="AB31" s="48">
        <f>IF(Z31="","",_xll.IMDP("STK",$Z31,"현재가"))</f>
        <v>28350</v>
      </c>
      <c r="AC31" s="48">
        <f>IF(Z31="","",_xll.IMDP("STK",$Z31,"전일대비"))</f>
        <v>150</v>
      </c>
      <c r="AD31" s="49">
        <f>IF(Z31="","",_xll.IMDP("STK",$Z31,"등락률"))</f>
        <v>0.53</v>
      </c>
      <c r="AE31" s="48">
        <f>IF(Z31="","",_xll.IMDP("STK",Z31,"시가총액"))</f>
        <v>259812639450</v>
      </c>
      <c r="AF31" s="20" t="str">
        <f t="shared" si="2"/>
        <v>083380</v>
      </c>
      <c r="AG31" s="21" t="str">
        <f>IF(AF31="","",_xll.IMDP("STK",$AF31,"한글종목명"))</f>
        <v>동북아13호</v>
      </c>
      <c r="AH31" s="48" t="str">
        <f>IF(AF31="","",_xll.IMDP("STK",$AF31,"현재가"))</f>
        <v/>
      </c>
      <c r="AI31" s="48" t="str">
        <f>IF(AF31="","",_xll.IMDP("STK",$AF31,"전일대비"))</f>
        <v/>
      </c>
      <c r="AJ31" s="49" t="str">
        <f>IF(AF31="","",_xll.IMDP("STK",$AF31,"등락률"))</f>
        <v/>
      </c>
      <c r="AK31" s="48" t="str">
        <f>IF(AF31="","",_xll.IMDP("STK",$AF31,"시가총액"))</f>
        <v/>
      </c>
      <c r="AL31" s="20" t="str">
        <f t="shared" si="1"/>
        <v/>
      </c>
      <c r="AM31" s="21" t="str">
        <f>IF(AL31="","",_xll.IMDP("STK",$AL31,"한글종목명"))</f>
        <v/>
      </c>
      <c r="AN31" s="48" t="str">
        <f>IF(AL31="","",_xll.IMDP("STK",$AL31,"현재가"))</f>
        <v/>
      </c>
      <c r="AO31" s="48" t="str">
        <f>IF(AL31="","",_xll.IMDP("STK",$AL31,"전일대비"))</f>
        <v/>
      </c>
      <c r="AP31" s="49" t="str">
        <f>IF(AL31="","",_xll.IMDP("STK",$AL31,"등락률"))</f>
        <v/>
      </c>
      <c r="AQ31" s="48" t="str">
        <f>IF(AL31="","",_xll.IMDP("STK",$AL31,"시가총액"))</f>
        <v/>
      </c>
    </row>
    <row r="32" spans="2:43" x14ac:dyDescent="0.25">
      <c r="C32" s="22">
        <v>27</v>
      </c>
      <c r="D32" s="25" t="s">
        <v>200</v>
      </c>
      <c r="E32" s="25" t="s">
        <v>248</v>
      </c>
      <c r="F32" s="25"/>
      <c r="G32" s="25" t="s">
        <v>276</v>
      </c>
      <c r="H32" s="25" t="s">
        <v>409</v>
      </c>
      <c r="I32" s="25" t="s">
        <v>459</v>
      </c>
      <c r="J32" s="25" t="s">
        <v>490</v>
      </c>
      <c r="K32" s="25" t="s">
        <v>540</v>
      </c>
      <c r="L32" s="25" t="s">
        <v>584</v>
      </c>
      <c r="N32" s="25" t="s">
        <v>658</v>
      </c>
      <c r="O32" s="25" t="s">
        <v>718</v>
      </c>
      <c r="Q32" s="25" t="s">
        <v>792</v>
      </c>
      <c r="T32" s="25" t="s">
        <v>862</v>
      </c>
      <c r="V32" s="25" t="s">
        <v>962</v>
      </c>
      <c r="X32" s="25" t="s">
        <v>1008</v>
      </c>
      <c r="Y32" s="25" t="s">
        <v>255</v>
      </c>
      <c r="Z32" s="20" t="str">
        <f t="shared" si="0"/>
        <v>008040</v>
      </c>
      <c r="AA32" s="21" t="str">
        <f>IF(Z32="","",_xll.IMDP("STK",$Z32,"한글종목명"))</f>
        <v>사조동아원</v>
      </c>
      <c r="AB32" s="48">
        <f>IF(Z32="","",_xll.IMDP("STK",$Z32,"현재가"))</f>
        <v>1053</v>
      </c>
      <c r="AC32" s="48">
        <f>IF(Z32="","",_xll.IMDP("STK",$Z32,"전일대비"))</f>
        <v>6</v>
      </c>
      <c r="AD32" s="49">
        <f>IF(Z32="","",_xll.IMDP("STK",$Z32,"등락률"))</f>
        <v>0.56999999999999995</v>
      </c>
      <c r="AE32" s="48">
        <f>IF(Z32="","",_xll.IMDP("STK",Z32,"시가총액"))</f>
        <v>148625263800</v>
      </c>
      <c r="AF32" s="20" t="str">
        <f t="shared" si="2"/>
        <v>102260</v>
      </c>
      <c r="AG32" s="21" t="str">
        <f>IF(AF32="","",_xll.IMDP("STK",$AF32,"한글종목명"))</f>
        <v>동성케미컬</v>
      </c>
      <c r="AH32" s="48">
        <f>IF(AF32="","",_xll.IMDP("STK",$AF32,"현재가"))</f>
        <v>4735</v>
      </c>
      <c r="AI32" s="48">
        <f>IF(AF32="","",_xll.IMDP("STK",$AF32,"전일대비"))</f>
        <v>-35</v>
      </c>
      <c r="AJ32" s="49">
        <f>IF(AF32="","",_xll.IMDP("STK",$AF32,"등락률"))</f>
        <v>-0.73</v>
      </c>
      <c r="AK32" s="48">
        <f>IF(AF32="","",_xll.IMDP("STK",$AF32,"시가총액"))</f>
        <v>235280862080</v>
      </c>
      <c r="AL32" s="20" t="str">
        <f t="shared" si="1"/>
        <v/>
      </c>
      <c r="AM32" s="21" t="str">
        <f>IF(AL32="","",_xll.IMDP("STK",$AL32,"한글종목명"))</f>
        <v/>
      </c>
      <c r="AN32" s="48" t="str">
        <f>IF(AL32="","",_xll.IMDP("STK",$AL32,"현재가"))</f>
        <v/>
      </c>
      <c r="AO32" s="48" t="str">
        <f>IF(AL32="","",_xll.IMDP("STK",$AL32,"전일대비"))</f>
        <v/>
      </c>
      <c r="AP32" s="49" t="str">
        <f>IF(AL32="","",_xll.IMDP("STK",$AL32,"등락률"))</f>
        <v/>
      </c>
      <c r="AQ32" s="48" t="str">
        <f>IF(AL32="","",_xll.IMDP("STK",$AL32,"시가총액"))</f>
        <v/>
      </c>
    </row>
    <row r="33" spans="3:43" x14ac:dyDescent="0.25">
      <c r="C33" s="22">
        <v>28</v>
      </c>
      <c r="D33" s="25" t="s">
        <v>201</v>
      </c>
      <c r="G33" s="25" t="s">
        <v>277</v>
      </c>
      <c r="H33" s="25" t="s">
        <v>410</v>
      </c>
      <c r="I33" s="25" t="s">
        <v>460</v>
      </c>
      <c r="J33" s="25" t="s">
        <v>491</v>
      </c>
      <c r="K33" s="25" t="s">
        <v>541</v>
      </c>
      <c r="L33" s="25" t="s">
        <v>585</v>
      </c>
      <c r="N33" s="25" t="s">
        <v>659</v>
      </c>
      <c r="O33" s="25" t="s">
        <v>719</v>
      </c>
      <c r="Q33" s="25" t="s">
        <v>793</v>
      </c>
      <c r="T33" s="25" t="s">
        <v>863</v>
      </c>
      <c r="V33" s="25" t="s">
        <v>963</v>
      </c>
      <c r="X33" s="25" t="s">
        <v>1009</v>
      </c>
      <c r="Y33" s="25" t="s">
        <v>562</v>
      </c>
      <c r="Z33" s="20" t="str">
        <f t="shared" si="0"/>
        <v>014710</v>
      </c>
      <c r="AA33" s="21" t="str">
        <f>IF(Z33="","",_xll.IMDP("STK",$Z33,"한글종목명"))</f>
        <v>사조씨푸드</v>
      </c>
      <c r="AB33" s="48">
        <f>IF(Z33="","",_xll.IMDP("STK",$Z33,"현재가"))</f>
        <v>4535</v>
      </c>
      <c r="AC33" s="48">
        <f>IF(Z33="","",_xll.IMDP("STK",$Z33,"전일대비"))</f>
        <v>-25</v>
      </c>
      <c r="AD33" s="49">
        <f>IF(Z33="","",_xll.IMDP("STK",$Z33,"등락률"))</f>
        <v>-0.55000000000000004</v>
      </c>
      <c r="AE33" s="48">
        <f>IF(Z33="","",_xll.IMDP("STK",Z33,"시가총액"))</f>
        <v>78086092505</v>
      </c>
      <c r="AF33" s="20" t="str">
        <f t="shared" si="2"/>
        <v>030790</v>
      </c>
      <c r="AG33" s="21" t="str">
        <f>IF(AF33="","",_xll.IMDP("STK",$AF33,"한글종목명"))</f>
        <v>비케이탑스</v>
      </c>
      <c r="AH33" s="48">
        <f>IF(AF33="","",_xll.IMDP("STK",$AF33,"현재가"))</f>
        <v>904</v>
      </c>
      <c r="AI33" s="48">
        <f>IF(AF33="","",_xll.IMDP("STK",$AF33,"전일대비"))</f>
        <v>0</v>
      </c>
      <c r="AJ33" s="49">
        <f>IF(AF33="","",_xll.IMDP("STK",$AF33,"등락률"))</f>
        <v>0</v>
      </c>
      <c r="AK33" s="48">
        <f>IF(AF33="","",_xll.IMDP("STK",$AF33,"시가총액"))</f>
        <v>19208323080</v>
      </c>
      <c r="AL33" s="20" t="str">
        <f t="shared" si="1"/>
        <v/>
      </c>
      <c r="AM33" s="21" t="str">
        <f>IF(AL33="","",_xll.IMDP("STK",$AL33,"한글종목명"))</f>
        <v/>
      </c>
      <c r="AN33" s="48" t="str">
        <f>IF(AL33="","",_xll.IMDP("STK",$AL33,"현재가"))</f>
        <v/>
      </c>
      <c r="AO33" s="48" t="str">
        <f>IF(AL33="","",_xll.IMDP("STK",$AL33,"전일대비"))</f>
        <v/>
      </c>
      <c r="AP33" s="49" t="str">
        <f>IF(AL33="","",_xll.IMDP("STK",$AL33,"등락률"))</f>
        <v/>
      </c>
      <c r="AQ33" s="48" t="str">
        <f>IF(AL33="","",_xll.IMDP("STK",$AL33,"시가총액"))</f>
        <v/>
      </c>
    </row>
    <row r="34" spans="3:43" x14ac:dyDescent="0.25">
      <c r="C34" s="22">
        <v>29</v>
      </c>
      <c r="D34" s="25" t="s">
        <v>202</v>
      </c>
      <c r="G34" s="25" t="s">
        <v>278</v>
      </c>
      <c r="H34" s="25" t="s">
        <v>411</v>
      </c>
      <c r="I34" s="25" t="s">
        <v>461</v>
      </c>
      <c r="J34" s="25" t="s">
        <v>492</v>
      </c>
      <c r="K34" s="25" t="s">
        <v>542</v>
      </c>
      <c r="L34" s="25" t="s">
        <v>586</v>
      </c>
      <c r="N34" s="25" t="s">
        <v>660</v>
      </c>
      <c r="O34" s="25" t="s">
        <v>720</v>
      </c>
      <c r="Q34" s="25" t="s">
        <v>794</v>
      </c>
      <c r="T34" s="25" t="s">
        <v>864</v>
      </c>
      <c r="V34" s="25" t="s">
        <v>969</v>
      </c>
      <c r="X34" s="25" t="s">
        <v>1010</v>
      </c>
      <c r="Y34" s="25" t="s">
        <v>563</v>
      </c>
      <c r="Z34" s="20" t="str">
        <f t="shared" si="0"/>
        <v>006090</v>
      </c>
      <c r="AA34" s="21" t="str">
        <f>IF(Z34="","",_xll.IMDP("STK",$Z34,"한글종목명"))</f>
        <v>사조오양</v>
      </c>
      <c r="AB34" s="48">
        <f>IF(Z34="","",_xll.IMDP("STK",$Z34,"현재가"))</f>
        <v>8510</v>
      </c>
      <c r="AC34" s="48">
        <f>IF(Z34="","",_xll.IMDP("STK",$Z34,"전일대비"))</f>
        <v>-90</v>
      </c>
      <c r="AD34" s="49">
        <f>IF(Z34="","",_xll.IMDP("STK",$Z34,"등락률"))</f>
        <v>-1.05</v>
      </c>
      <c r="AE34" s="48">
        <f>IF(Z34="","",_xll.IMDP("STK",Z34,"시가총액"))</f>
        <v>80187508890</v>
      </c>
      <c r="AF34" s="20" t="str">
        <f t="shared" si="2"/>
        <v>000150</v>
      </c>
      <c r="AG34" s="21" t="str">
        <f>IF(AF34="","",_xll.IMDP("STK",$AF34,"한글종목명"))</f>
        <v>두산</v>
      </c>
      <c r="AH34" s="48">
        <f>IF(AF34="","",_xll.IMDP("STK",$AF34,"현재가"))</f>
        <v>113700</v>
      </c>
      <c r="AI34" s="48">
        <f>IF(AF34="","",_xll.IMDP("STK",$AF34,"전일대비"))</f>
        <v>200</v>
      </c>
      <c r="AJ34" s="49">
        <f>IF(AF34="","",_xll.IMDP("STK",$AF34,"등락률"))</f>
        <v>0.18</v>
      </c>
      <c r="AK34" s="48">
        <f>IF(AF34="","",_xll.IMDP("STK",$AF34,"시가총액"))</f>
        <v>1878760039500</v>
      </c>
      <c r="AL34" s="20" t="str">
        <f t="shared" si="1"/>
        <v/>
      </c>
      <c r="AM34" s="21" t="str">
        <f>IF(AL34="","",_xll.IMDP("STK",$AL34,"한글종목명"))</f>
        <v/>
      </c>
      <c r="AN34" s="48" t="str">
        <f>IF(AL34="","",_xll.IMDP("STK",$AL34,"현재가"))</f>
        <v/>
      </c>
      <c r="AO34" s="48" t="str">
        <f>IF(AL34="","",_xll.IMDP("STK",$AL34,"전일대비"))</f>
        <v/>
      </c>
      <c r="AP34" s="49" t="str">
        <f>IF(AL34="","",_xll.IMDP("STK",$AL34,"등락률"))</f>
        <v/>
      </c>
      <c r="AQ34" s="48" t="str">
        <f>IF(AL34="","",_xll.IMDP("STK",$AL34,"시가총액"))</f>
        <v/>
      </c>
    </row>
    <row r="35" spans="3:43" x14ac:dyDescent="0.25">
      <c r="C35" s="22">
        <v>30</v>
      </c>
      <c r="D35" s="25" t="s">
        <v>203</v>
      </c>
      <c r="G35" s="25" t="s">
        <v>279</v>
      </c>
      <c r="H35" s="25" t="s">
        <v>412</v>
      </c>
      <c r="I35" s="25" t="s">
        <v>462</v>
      </c>
      <c r="J35" s="25" t="s">
        <v>493</v>
      </c>
      <c r="K35" s="25" t="s">
        <v>543</v>
      </c>
      <c r="L35" s="25" t="s">
        <v>587</v>
      </c>
      <c r="N35" s="25" t="s">
        <v>661</v>
      </c>
      <c r="O35" s="25" t="s">
        <v>721</v>
      </c>
      <c r="Q35" s="25" t="s">
        <v>795</v>
      </c>
      <c r="T35" s="25" t="s">
        <v>865</v>
      </c>
      <c r="V35" s="25" t="s">
        <v>970</v>
      </c>
      <c r="X35" s="25" t="s">
        <v>1011</v>
      </c>
      <c r="Y35" s="25" t="s">
        <v>564</v>
      </c>
      <c r="Z35" s="20" t="str">
        <f t="shared" si="0"/>
        <v>079660</v>
      </c>
      <c r="AA35" s="21" t="str">
        <f>IF(Z35="","",_xll.IMDP("STK",$Z35,"한글종목명"))</f>
        <v>사조해표</v>
      </c>
      <c r="AB35" s="48" t="str">
        <f>IF(Z35="","",_xll.IMDP("STK",$Z35,"현재가"))</f>
        <v/>
      </c>
      <c r="AC35" s="48" t="str">
        <f>IF(Z35="","",_xll.IMDP("STK",$Z35,"전일대비"))</f>
        <v/>
      </c>
      <c r="AD35" s="49" t="str">
        <f>IF(Z35="","",_xll.IMDP("STK",$Z35,"등락률"))</f>
        <v/>
      </c>
      <c r="AE35" s="48" t="str">
        <f>IF(Z35="","",_xll.IMDP("STK",Z35,"시가총액"))</f>
        <v/>
      </c>
      <c r="AF35" s="20" t="str">
        <f t="shared" si="2"/>
        <v>000157</v>
      </c>
      <c r="AG35" s="21" t="str">
        <f>IF(AF35="","",_xll.IMDP("STK",$AF35,"한글종목명"))</f>
        <v>두산2우B</v>
      </c>
      <c r="AH35" s="48">
        <f>IF(AF35="","",_xll.IMDP("STK",$AF35,"현재가"))</f>
        <v>96300</v>
      </c>
      <c r="AI35" s="48">
        <f>IF(AF35="","",_xll.IMDP("STK",$AF35,"전일대비"))</f>
        <v>-400</v>
      </c>
      <c r="AJ35" s="49">
        <f>IF(AF35="","",_xll.IMDP("STK",$AF35,"등락률"))</f>
        <v>-0.41</v>
      </c>
      <c r="AK35" s="48">
        <f>IF(AF35="","",_xll.IMDP("STK",$AF35,"시가총액"))</f>
        <v>85999559400</v>
      </c>
      <c r="AL35" s="20" t="str">
        <f t="shared" si="1"/>
        <v/>
      </c>
      <c r="AM35" s="21" t="str">
        <f>IF(AL35="","",_xll.IMDP("STK",$AL35,"한글종목명"))</f>
        <v/>
      </c>
      <c r="AN35" s="48" t="str">
        <f>IF(AL35="","",_xll.IMDP("STK",$AL35,"현재가"))</f>
        <v/>
      </c>
      <c r="AO35" s="48" t="str">
        <f>IF(AL35="","",_xll.IMDP("STK",$AL35,"전일대비"))</f>
        <v/>
      </c>
      <c r="AP35" s="49" t="str">
        <f>IF(AL35="","",_xll.IMDP("STK",$AL35,"등락률"))</f>
        <v/>
      </c>
      <c r="AQ35" s="48" t="str">
        <f>IF(AL35="","",_xll.IMDP("STK",$AL35,"시가총액"))</f>
        <v/>
      </c>
    </row>
    <row r="36" spans="3:43" x14ac:dyDescent="0.25">
      <c r="C36" s="22">
        <v>31</v>
      </c>
      <c r="D36" s="25" t="s">
        <v>204</v>
      </c>
      <c r="G36" s="25" t="s">
        <v>280</v>
      </c>
      <c r="H36" s="25" t="s">
        <v>413</v>
      </c>
      <c r="J36" s="25" t="s">
        <v>494</v>
      </c>
      <c r="K36" s="25" t="s">
        <v>544</v>
      </c>
      <c r="L36" s="25" t="s">
        <v>588</v>
      </c>
      <c r="N36" s="25" t="s">
        <v>662</v>
      </c>
      <c r="O36" s="25" t="s">
        <v>722</v>
      </c>
      <c r="Q36" s="25" t="s">
        <v>796</v>
      </c>
      <c r="T36" s="25" t="s">
        <v>866</v>
      </c>
      <c r="V36" s="25" t="s">
        <v>972</v>
      </c>
      <c r="X36" s="25" t="s">
        <v>1012</v>
      </c>
      <c r="Y36" s="25" t="s">
        <v>256</v>
      </c>
      <c r="Z36" s="20" t="str">
        <f t="shared" si="0"/>
        <v>145990</v>
      </c>
      <c r="AA36" s="21" t="str">
        <f>IF(Z36="","",_xll.IMDP("STK",$Z36,"한글종목명"))</f>
        <v>삼양사</v>
      </c>
      <c r="AB36" s="48">
        <f>IF(Z36="","",_xll.IMDP("STK",$Z36,"현재가"))</f>
        <v>45300</v>
      </c>
      <c r="AC36" s="48">
        <f>IF(Z36="","",_xll.IMDP("STK",$Z36,"전일대비"))</f>
        <v>300</v>
      </c>
      <c r="AD36" s="49">
        <f>IF(Z36="","",_xll.IMDP("STK",$Z36,"등락률"))</f>
        <v>0.67</v>
      </c>
      <c r="AE36" s="48">
        <f>IF(Z36="","",_xll.IMDP("STK",Z36,"시가총액"))</f>
        <v>467199239700</v>
      </c>
      <c r="AF36" s="20" t="str">
        <f t="shared" si="2"/>
        <v>000155</v>
      </c>
      <c r="AG36" s="21" t="str">
        <f>IF(AF36="","",_xll.IMDP("STK",$AF36,"한글종목명"))</f>
        <v>두산우</v>
      </c>
      <c r="AH36" s="48">
        <f>IF(AF36="","",_xll.IMDP("STK",$AF36,"현재가"))</f>
        <v>57100</v>
      </c>
      <c r="AI36" s="48">
        <f>IF(AF36="","",_xll.IMDP("STK",$AF36,"전일대비"))</f>
        <v>-100</v>
      </c>
      <c r="AJ36" s="49">
        <f>IF(AF36="","",_xll.IMDP("STK",$AF36,"등락률"))</f>
        <v>-0.17</v>
      </c>
      <c r="AK36" s="48">
        <f>IF(AF36="","",_xll.IMDP("STK",$AF36,"시가총액"))</f>
        <v>228197980200</v>
      </c>
      <c r="AL36" s="20" t="str">
        <f t="shared" si="1"/>
        <v/>
      </c>
      <c r="AM36" s="21" t="str">
        <f>IF(AL36="","",_xll.IMDP("STK",$AL36,"한글종목명"))</f>
        <v/>
      </c>
      <c r="AN36" s="48" t="str">
        <f>IF(AL36="","",_xll.IMDP("STK",$AL36,"현재가"))</f>
        <v/>
      </c>
      <c r="AO36" s="48" t="str">
        <f>IF(AL36="","",_xll.IMDP("STK",$AL36,"전일대비"))</f>
        <v/>
      </c>
      <c r="AP36" s="49" t="str">
        <f>IF(AL36="","",_xll.IMDP("STK",$AL36,"등락률"))</f>
        <v/>
      </c>
      <c r="AQ36" s="48" t="str">
        <f>IF(AL36="","",_xll.IMDP("STK",$AL36,"시가총액"))</f>
        <v/>
      </c>
    </row>
    <row r="37" spans="3:43" x14ac:dyDescent="0.25">
      <c r="C37" s="22">
        <v>32</v>
      </c>
      <c r="D37" s="25" t="s">
        <v>205</v>
      </c>
      <c r="G37" s="25" t="s">
        <v>281</v>
      </c>
      <c r="H37" s="25" t="s">
        <v>414</v>
      </c>
      <c r="J37" s="25" t="s">
        <v>495</v>
      </c>
      <c r="K37" s="25" t="s">
        <v>545</v>
      </c>
      <c r="L37" s="25" t="s">
        <v>589</v>
      </c>
      <c r="N37" s="25" t="s">
        <v>663</v>
      </c>
      <c r="O37" s="25" t="s">
        <v>723</v>
      </c>
      <c r="Q37" s="25" t="s">
        <v>797</v>
      </c>
      <c r="T37" s="25" t="s">
        <v>867</v>
      </c>
      <c r="X37" s="25" t="s">
        <v>1013</v>
      </c>
      <c r="Y37" s="25" t="s">
        <v>257</v>
      </c>
      <c r="Z37" s="20" t="str">
        <f t="shared" si="0"/>
        <v>145995</v>
      </c>
      <c r="AA37" s="21" t="str">
        <f>IF(Z37="","",_xll.IMDP("STK",$Z37,"한글종목명"))</f>
        <v>삼양사우</v>
      </c>
      <c r="AB37" s="48">
        <f>IF(Z37="","",_xll.IMDP("STK",$Z37,"현재가"))</f>
        <v>24800</v>
      </c>
      <c r="AC37" s="48">
        <f>IF(Z37="","",_xll.IMDP("STK",$Z37,"전일대비"))</f>
        <v>150</v>
      </c>
      <c r="AD37" s="49">
        <f>IF(Z37="","",_xll.IMDP("STK",$Z37,"등락률"))</f>
        <v>0.61</v>
      </c>
      <c r="AE37" s="48">
        <f>IF(Z37="","",_xll.IMDP("STK",Z37,"시가총액"))</f>
        <v>9177736000</v>
      </c>
      <c r="AF37" s="20" t="str">
        <f t="shared" si="2"/>
        <v>032350</v>
      </c>
      <c r="AG37" s="21" t="str">
        <f>IF(AF37="","",_xll.IMDP("STK",$AF37,"한글종목명"))</f>
        <v>롯데관광개발</v>
      </c>
      <c r="AH37" s="48">
        <f>IF(AF37="","",_xll.IMDP("STK",$AF37,"현재가"))</f>
        <v>16860</v>
      </c>
      <c r="AI37" s="48">
        <f>IF(AF37="","",_xll.IMDP("STK",$AF37,"전일대비"))</f>
        <v>-430</v>
      </c>
      <c r="AJ37" s="49">
        <f>IF(AF37="","",_xll.IMDP("STK",$AF37,"등락률"))</f>
        <v>-2.4900000000000002</v>
      </c>
      <c r="AK37" s="48">
        <f>IF(AF37="","",_xll.IMDP("STK",$AF37,"시가총액"))</f>
        <v>1244845016640</v>
      </c>
      <c r="AL37" s="20" t="str">
        <f t="shared" si="1"/>
        <v/>
      </c>
      <c r="AM37" s="21" t="str">
        <f>IF(AL37="","",_xll.IMDP("STK",$AL37,"한글종목명"))</f>
        <v/>
      </c>
      <c r="AN37" s="48" t="str">
        <f>IF(AL37="","",_xll.IMDP("STK",$AL37,"현재가"))</f>
        <v/>
      </c>
      <c r="AO37" s="48" t="str">
        <f>IF(AL37="","",_xll.IMDP("STK",$AL37,"전일대비"))</f>
        <v/>
      </c>
      <c r="AP37" s="49" t="str">
        <f>IF(AL37="","",_xll.IMDP("STK",$AL37,"등락률"))</f>
        <v/>
      </c>
      <c r="AQ37" s="48" t="str">
        <f>IF(AL37="","",_xll.IMDP("STK",$AL37,"시가총액"))</f>
        <v/>
      </c>
    </row>
    <row r="38" spans="3:43" x14ac:dyDescent="0.25">
      <c r="C38" s="22">
        <v>33</v>
      </c>
      <c r="D38" s="25" t="s">
        <v>206</v>
      </c>
      <c r="G38" s="25" t="s">
        <v>282</v>
      </c>
      <c r="H38" s="25" t="s">
        <v>415</v>
      </c>
      <c r="J38" s="25" t="s">
        <v>496</v>
      </c>
      <c r="K38" s="25" t="s">
        <v>546</v>
      </c>
      <c r="L38" s="25" t="s">
        <v>590</v>
      </c>
      <c r="N38" s="25" t="s">
        <v>664</v>
      </c>
      <c r="O38" s="25" t="s">
        <v>724</v>
      </c>
      <c r="Q38" s="25" t="s">
        <v>798</v>
      </c>
      <c r="T38" s="25" t="s">
        <v>868</v>
      </c>
      <c r="X38" s="25" t="s">
        <v>1014</v>
      </c>
      <c r="Y38" s="25" t="s">
        <v>258</v>
      </c>
      <c r="Z38" s="20" t="str">
        <f t="shared" si="0"/>
        <v>003230</v>
      </c>
      <c r="AA38" s="21" t="str">
        <f>IF(Z38="","",_xll.IMDP("STK",$Z38,"한글종목명"))</f>
        <v>삼양식품</v>
      </c>
      <c r="AB38" s="48">
        <f>IF(Z38="","",_xll.IMDP("STK",$Z38,"현재가"))</f>
        <v>192900</v>
      </c>
      <c r="AC38" s="48">
        <f>IF(Z38="","",_xll.IMDP("STK",$Z38,"전일대비"))</f>
        <v>3000</v>
      </c>
      <c r="AD38" s="49">
        <f>IF(Z38="","",_xll.IMDP("STK",$Z38,"등락률"))</f>
        <v>1.58</v>
      </c>
      <c r="AE38" s="48">
        <f>IF(Z38="","",_xll.IMDP("STK",Z38,"시가총액"))</f>
        <v>1453118593500</v>
      </c>
      <c r="AF38" s="20" t="str">
        <f t="shared" si="2"/>
        <v>015540</v>
      </c>
      <c r="AG38" s="21" t="str">
        <f>IF(AF38="","",_xll.IMDP("STK",$AF38,"한글종목명"))</f>
        <v>쎌마테라퓨틱스</v>
      </c>
      <c r="AH38" s="48">
        <f>IF(AF38="","",_xll.IMDP("STK",$AF38,"현재가"))</f>
        <v>6410</v>
      </c>
      <c r="AI38" s="48">
        <f>IF(AF38="","",_xll.IMDP("STK",$AF38,"전일대비"))</f>
        <v>0</v>
      </c>
      <c r="AJ38" s="49">
        <f>IF(AF38="","",_xll.IMDP("STK",$AF38,"등락률"))</f>
        <v>0</v>
      </c>
      <c r="AK38" s="48">
        <f>IF(AF38="","",_xll.IMDP("STK",$AF38,"시가총액"))</f>
        <v>400989543110</v>
      </c>
      <c r="AL38" s="20" t="str">
        <f t="shared" si="1"/>
        <v/>
      </c>
      <c r="AM38" s="21" t="str">
        <f>IF(AL38="","",_xll.IMDP("STK",$AL38,"한글종목명"))</f>
        <v/>
      </c>
      <c r="AN38" s="48" t="str">
        <f>IF(AL38="","",_xll.IMDP("STK",$AL38,"현재가"))</f>
        <v/>
      </c>
      <c r="AO38" s="48" t="str">
        <f>IF(AL38="","",_xll.IMDP("STK",$AL38,"전일대비"))</f>
        <v/>
      </c>
      <c r="AP38" s="49" t="str">
        <f>IF(AL38="","",_xll.IMDP("STK",$AL38,"등락률"))</f>
        <v/>
      </c>
      <c r="AQ38" s="48" t="str">
        <f>IF(AL38="","",_xll.IMDP("STK",$AL38,"시가총액"))</f>
        <v/>
      </c>
    </row>
    <row r="39" spans="3:43" x14ac:dyDescent="0.25">
      <c r="C39" s="22">
        <v>34</v>
      </c>
      <c r="D39" s="25" t="s">
        <v>207</v>
      </c>
      <c r="G39" s="25" t="s">
        <v>283</v>
      </c>
      <c r="H39" s="25" t="s">
        <v>416</v>
      </c>
      <c r="J39" s="25" t="s">
        <v>497</v>
      </c>
      <c r="K39" s="25" t="s">
        <v>547</v>
      </c>
      <c r="L39" s="25" t="s">
        <v>591</v>
      </c>
      <c r="N39" s="25" t="s">
        <v>665</v>
      </c>
      <c r="O39" s="25" t="s">
        <v>725</v>
      </c>
      <c r="Q39" s="25" t="s">
        <v>799</v>
      </c>
      <c r="T39" s="25" t="s">
        <v>869</v>
      </c>
      <c r="X39" s="25" t="s">
        <v>1015</v>
      </c>
      <c r="Y39" s="25" t="s">
        <v>259</v>
      </c>
      <c r="Z39" s="20" t="str">
        <f t="shared" si="0"/>
        <v>248170</v>
      </c>
      <c r="AA39" s="21" t="str">
        <f>IF(Z39="","",_xll.IMDP("STK",$Z39,"한글종목명"))</f>
        <v>샘표식품</v>
      </c>
      <c r="AB39" s="48">
        <f>IF(Z39="","",_xll.IMDP("STK",$Z39,"현재가"))</f>
        <v>33250</v>
      </c>
      <c r="AC39" s="48">
        <f>IF(Z39="","",_xll.IMDP("STK",$Z39,"전일대비"))</f>
        <v>-750</v>
      </c>
      <c r="AD39" s="49">
        <f>IF(Z39="","",_xll.IMDP("STK",$Z39,"등락률"))</f>
        <v>-2.21</v>
      </c>
      <c r="AE39" s="48">
        <f>IF(Z39="","",_xll.IMDP("STK",Z39,"시가총액"))</f>
        <v>151895509500</v>
      </c>
      <c r="AF39" s="20" t="str">
        <f t="shared" si="2"/>
        <v>204210</v>
      </c>
      <c r="AG39" s="21" t="str">
        <f>IF(AF39="","",_xll.IMDP("STK",$AF39,"한글종목명"))</f>
        <v>모두투어리츠</v>
      </c>
      <c r="AH39" s="48">
        <f>IF(AF39="","",_xll.IMDP("STK",$AF39,"현재가"))</f>
        <v>4025</v>
      </c>
      <c r="AI39" s="48">
        <f>IF(AF39="","",_xll.IMDP("STK",$AF39,"전일대비"))</f>
        <v>-10</v>
      </c>
      <c r="AJ39" s="49">
        <f>IF(AF39="","",_xll.IMDP("STK",$AF39,"등락률"))</f>
        <v>-0.25</v>
      </c>
      <c r="AK39" s="48">
        <f>IF(AF39="","",_xll.IMDP("STK",$AF39,"시가총액"))</f>
        <v>31502930375</v>
      </c>
      <c r="AL39" s="20" t="str">
        <f t="shared" si="1"/>
        <v/>
      </c>
      <c r="AM39" s="21" t="str">
        <f>IF(AL39="","",_xll.IMDP("STK",$AL39,"한글종목명"))</f>
        <v/>
      </c>
      <c r="AN39" s="48" t="str">
        <f>IF(AL39="","",_xll.IMDP("STK",$AL39,"현재가"))</f>
        <v/>
      </c>
      <c r="AO39" s="48" t="str">
        <f>IF(AL39="","",_xll.IMDP("STK",$AL39,"전일대비"))</f>
        <v/>
      </c>
      <c r="AP39" s="49" t="str">
        <f>IF(AL39="","",_xll.IMDP("STK",$AL39,"등락률"))</f>
        <v/>
      </c>
      <c r="AQ39" s="48" t="str">
        <f>IF(AL39="","",_xll.IMDP("STK",$AL39,"시가총액"))</f>
        <v/>
      </c>
    </row>
    <row r="40" spans="3:43" x14ac:dyDescent="0.25">
      <c r="C40" s="22">
        <v>35</v>
      </c>
      <c r="D40" s="25" t="s">
        <v>208</v>
      </c>
      <c r="G40" s="25" t="s">
        <v>284</v>
      </c>
      <c r="H40" s="25" t="s">
        <v>417</v>
      </c>
      <c r="J40" s="25" t="s">
        <v>498</v>
      </c>
      <c r="K40" s="25" t="s">
        <v>548</v>
      </c>
      <c r="L40" s="25" t="s">
        <v>592</v>
      </c>
      <c r="N40" s="25" t="s">
        <v>666</v>
      </c>
      <c r="O40" s="25" t="s">
        <v>726</v>
      </c>
      <c r="Q40" s="25" t="s">
        <v>800</v>
      </c>
      <c r="T40" s="25" t="s">
        <v>870</v>
      </c>
      <c r="X40" s="25" t="s">
        <v>1016</v>
      </c>
      <c r="Y40" s="25" t="s">
        <v>515</v>
      </c>
      <c r="Z40" s="20" t="str">
        <f t="shared" si="0"/>
        <v>004410</v>
      </c>
      <c r="AA40" s="21" t="str">
        <f>IF(Z40="","",_xll.IMDP("STK",$Z40,"한글종목명"))</f>
        <v>서울식품</v>
      </c>
      <c r="AB40" s="48">
        <f>IF(Z40="","",_xll.IMDP("STK",$Z40,"현재가"))</f>
        <v>202</v>
      </c>
      <c r="AC40" s="48">
        <f>IF(Z40="","",_xll.IMDP("STK",$Z40,"전일대비"))</f>
        <v>0</v>
      </c>
      <c r="AD40" s="49">
        <f>IF(Z40="","",_xll.IMDP("STK",$Z40,"등락률"))</f>
        <v>0</v>
      </c>
      <c r="AE40" s="48">
        <f>IF(Z40="","",_xll.IMDP("STK",Z40,"시가총액"))</f>
        <v>75700622918</v>
      </c>
      <c r="AF40" s="20" t="str">
        <f t="shared" si="2"/>
        <v>007120</v>
      </c>
      <c r="AG40" s="21" t="str">
        <f>IF(AF40="","",_xll.IMDP("STK",$AF40,"한글종목명"))</f>
        <v>미래아이앤지</v>
      </c>
      <c r="AH40" s="48">
        <f>IF(AF40="","",_xll.IMDP("STK",$AF40,"현재가"))</f>
        <v>1407</v>
      </c>
      <c r="AI40" s="48">
        <f>IF(AF40="","",_xll.IMDP("STK",$AF40,"전일대비"))</f>
        <v>-9</v>
      </c>
      <c r="AJ40" s="49">
        <f>IF(AF40="","",_xll.IMDP("STK",$AF40,"등락률"))</f>
        <v>-0.64</v>
      </c>
      <c r="AK40" s="48">
        <f>IF(AF40="","",_xll.IMDP("STK",$AF40,"시가총액"))</f>
        <v>39232202688</v>
      </c>
      <c r="AL40" s="20" t="str">
        <f t="shared" si="1"/>
        <v/>
      </c>
      <c r="AM40" s="21" t="str">
        <f>IF(AL40="","",_xll.IMDP("STK",$AL40,"한글종목명"))</f>
        <v/>
      </c>
      <c r="AN40" s="48" t="str">
        <f>IF(AL40="","",_xll.IMDP("STK",$AL40,"현재가"))</f>
        <v/>
      </c>
      <c r="AO40" s="48" t="str">
        <f>IF(AL40="","",_xll.IMDP("STK",$AL40,"전일대비"))</f>
        <v/>
      </c>
      <c r="AP40" s="49" t="str">
        <f>IF(AL40="","",_xll.IMDP("STK",$AL40,"등락률"))</f>
        <v/>
      </c>
      <c r="AQ40" s="48" t="str">
        <f>IF(AL40="","",_xll.IMDP("STK",$AL40,"시가총액"))</f>
        <v/>
      </c>
    </row>
    <row r="41" spans="3:43" x14ac:dyDescent="0.25">
      <c r="C41" s="22">
        <v>36</v>
      </c>
      <c r="D41" s="25" t="s">
        <v>209</v>
      </c>
      <c r="G41" s="25" t="s">
        <v>285</v>
      </c>
      <c r="H41" s="25" t="s">
        <v>418</v>
      </c>
      <c r="J41" s="25" t="s">
        <v>499</v>
      </c>
      <c r="K41" s="25" t="s">
        <v>549</v>
      </c>
      <c r="L41" s="25" t="s">
        <v>593</v>
      </c>
      <c r="N41" s="25" t="s">
        <v>667</v>
      </c>
      <c r="O41" s="25" t="s">
        <v>727</v>
      </c>
      <c r="Q41" s="25" t="s">
        <v>801</v>
      </c>
      <c r="T41" s="25" t="s">
        <v>871</v>
      </c>
      <c r="X41" s="25" t="s">
        <v>1017</v>
      </c>
      <c r="Y41" s="25" t="s">
        <v>565</v>
      </c>
      <c r="Z41" s="20" t="str">
        <f t="shared" si="0"/>
        <v>004415</v>
      </c>
      <c r="AA41" s="21" t="str">
        <f>IF(Z41="","",_xll.IMDP("STK",$Z41,"한글종목명"))</f>
        <v>서울식품우</v>
      </c>
      <c r="AB41" s="48">
        <f>IF(Z41="","",_xll.IMDP("STK",$Z41,"현재가"))</f>
        <v>1816</v>
      </c>
      <c r="AC41" s="48">
        <f>IF(Z41="","",_xll.IMDP("STK",$Z41,"전일대비"))</f>
        <v>28</v>
      </c>
      <c r="AD41" s="49">
        <f>IF(Z41="","",_xll.IMDP("STK",$Z41,"등락률"))</f>
        <v>1.57</v>
      </c>
      <c r="AE41" s="48">
        <f>IF(Z41="","",_xll.IMDP("STK",Z41,"시가총액"))</f>
        <v>4039692000</v>
      </c>
      <c r="AF41" s="20" t="str">
        <f t="shared" si="2"/>
        <v>155900</v>
      </c>
      <c r="AG41" s="21" t="str">
        <f>IF(AF41="","",_xll.IMDP("STK",$AF41,"한글종목명"))</f>
        <v>바다로19호</v>
      </c>
      <c r="AH41" s="48">
        <f>IF(AF41="","",_xll.IMDP("STK",$AF41,"현재가"))</f>
        <v>2980</v>
      </c>
      <c r="AI41" s="48">
        <f>IF(AF41="","",_xll.IMDP("STK",$AF41,"전일대비"))</f>
        <v>-10</v>
      </c>
      <c r="AJ41" s="49">
        <f>IF(AF41="","",_xll.IMDP("STK",$AF41,"등락률"))</f>
        <v>-0.33</v>
      </c>
      <c r="AK41" s="48">
        <f>IF(AF41="","",_xll.IMDP("STK",$AF41,"시가총액"))</f>
        <v>45296011920</v>
      </c>
      <c r="AL41" s="20" t="str">
        <f t="shared" si="1"/>
        <v/>
      </c>
      <c r="AM41" s="21" t="str">
        <f>IF(AL41="","",_xll.IMDP("STK",$AL41,"한글종목명"))</f>
        <v/>
      </c>
      <c r="AN41" s="48" t="str">
        <f>IF(AL41="","",_xll.IMDP("STK",$AL41,"현재가"))</f>
        <v/>
      </c>
      <c r="AO41" s="48" t="str">
        <f>IF(AL41="","",_xll.IMDP("STK",$AL41,"전일대비"))</f>
        <v/>
      </c>
      <c r="AP41" s="49" t="str">
        <f>IF(AL41="","",_xll.IMDP("STK",$AL41,"등락률"))</f>
        <v/>
      </c>
      <c r="AQ41" s="48" t="str">
        <f>IF(AL41="","",_xll.IMDP("STK",$AL41,"시가총액"))</f>
        <v/>
      </c>
    </row>
    <row r="42" spans="3:43" x14ac:dyDescent="0.25">
      <c r="C42" s="22">
        <v>37</v>
      </c>
      <c r="D42" s="25" t="s">
        <v>210</v>
      </c>
      <c r="G42" s="25" t="s">
        <v>286</v>
      </c>
      <c r="H42" s="25" t="s">
        <v>419</v>
      </c>
      <c r="J42" s="25" t="s">
        <v>500</v>
      </c>
      <c r="K42" s="25" t="s">
        <v>550</v>
      </c>
      <c r="L42" s="25" t="s">
        <v>594</v>
      </c>
      <c r="N42" s="25" t="s">
        <v>668</v>
      </c>
      <c r="O42" s="25" t="s">
        <v>728</v>
      </c>
      <c r="Q42" s="25" t="s">
        <v>802</v>
      </c>
      <c r="T42" s="25" t="s">
        <v>872</v>
      </c>
      <c r="X42" s="25" t="s">
        <v>1018</v>
      </c>
      <c r="Y42" s="25" t="s">
        <v>178</v>
      </c>
      <c r="Z42" s="20" t="str">
        <f t="shared" si="0"/>
        <v>136490</v>
      </c>
      <c r="AA42" s="21" t="str">
        <f>IF(Z42="","",_xll.IMDP("STK",$Z42,"한글종목명"))</f>
        <v>선진</v>
      </c>
      <c r="AB42" s="48">
        <f>IF(Z42="","",_xll.IMDP("STK",$Z42,"현재가"))</f>
        <v>8210</v>
      </c>
      <c r="AC42" s="48">
        <f>IF(Z42="","",_xll.IMDP("STK",$Z42,"전일대비"))</f>
        <v>-20</v>
      </c>
      <c r="AD42" s="49">
        <f>IF(Z42="","",_xll.IMDP("STK",$Z42,"등락률"))</f>
        <v>-0.24</v>
      </c>
      <c r="AE42" s="48">
        <f>IF(Z42="","",_xll.IMDP("STK",Z42,"시가총액"))</f>
        <v>195230548840</v>
      </c>
      <c r="AF42" s="20" t="str">
        <f t="shared" si="2"/>
        <v>100220</v>
      </c>
      <c r="AG42" s="21" t="str">
        <f>IF(AF42="","",_xll.IMDP("STK",$AF42,"한글종목명"))</f>
        <v>비상교육</v>
      </c>
      <c r="AH42" s="48">
        <f>IF(AF42="","",_xll.IMDP("STK",$AF42,"현재가"))</f>
        <v>4800</v>
      </c>
      <c r="AI42" s="48">
        <f>IF(AF42="","",_xll.IMDP("STK",$AF42,"전일대비"))</f>
        <v>95</v>
      </c>
      <c r="AJ42" s="49">
        <f>IF(AF42="","",_xll.IMDP("STK",$AF42,"등락률"))</f>
        <v>2.02</v>
      </c>
      <c r="AK42" s="48">
        <f>IF(AF42="","",_xll.IMDP("STK",$AF42,"시가총액"))</f>
        <v>62384356800</v>
      </c>
      <c r="AL42" s="20" t="str">
        <f t="shared" si="1"/>
        <v/>
      </c>
      <c r="AM42" s="21" t="str">
        <f>IF(AL42="","",_xll.IMDP("STK",$AL42,"한글종목명"))</f>
        <v/>
      </c>
      <c r="AN42" s="48" t="str">
        <f>IF(AL42="","",_xll.IMDP("STK",$AL42,"현재가"))</f>
        <v/>
      </c>
      <c r="AO42" s="48" t="str">
        <f>IF(AL42="","",_xll.IMDP("STK",$AL42,"전일대비"))</f>
        <v/>
      </c>
      <c r="AP42" s="49" t="str">
        <f>IF(AL42="","",_xll.IMDP("STK",$AL42,"등락률"))</f>
        <v/>
      </c>
      <c r="AQ42" s="48" t="str">
        <f>IF(AL42="","",_xll.IMDP("STK",$AL42,"시가총액"))</f>
        <v/>
      </c>
    </row>
    <row r="43" spans="3:43" x14ac:dyDescent="0.25">
      <c r="C43" s="22">
        <v>38</v>
      </c>
      <c r="D43" s="25" t="s">
        <v>211</v>
      </c>
      <c r="G43" s="25" t="s">
        <v>287</v>
      </c>
      <c r="H43" s="25" t="s">
        <v>420</v>
      </c>
      <c r="J43" s="25" t="s">
        <v>501</v>
      </c>
      <c r="K43" s="25" t="s">
        <v>551</v>
      </c>
      <c r="L43" s="25" t="s">
        <v>595</v>
      </c>
      <c r="N43" s="25" t="s">
        <v>669</v>
      </c>
      <c r="O43" s="25" t="s">
        <v>729</v>
      </c>
      <c r="Q43" s="25" t="s">
        <v>803</v>
      </c>
      <c r="T43" s="25" t="s">
        <v>873</v>
      </c>
      <c r="X43" s="25" t="s">
        <v>1019</v>
      </c>
      <c r="Y43" s="25" t="s">
        <v>466</v>
      </c>
      <c r="Z43" s="20" t="str">
        <f t="shared" si="0"/>
        <v>007310</v>
      </c>
      <c r="AA43" s="21" t="str">
        <f>IF(Z43="","",_xll.IMDP("STK",$Z43,"한글종목명"))</f>
        <v>오뚜기</v>
      </c>
      <c r="AB43" s="48">
        <f>IF(Z43="","",_xll.IMDP("STK",$Z43,"현재가"))</f>
        <v>365500</v>
      </c>
      <c r="AC43" s="48">
        <f>IF(Z43="","",_xll.IMDP("STK",$Z43,"전일대비"))</f>
        <v>-3000</v>
      </c>
      <c r="AD43" s="49">
        <f>IF(Z43="","",_xll.IMDP("STK",$Z43,"등락률"))</f>
        <v>-0.81</v>
      </c>
      <c r="AE43" s="48">
        <f>IF(Z43="","",_xll.IMDP("STK",Z43,"시가총액"))</f>
        <v>1464861865000</v>
      </c>
      <c r="AF43" s="20" t="str">
        <f t="shared" si="2"/>
        <v>018260</v>
      </c>
      <c r="AG43" s="21" t="str">
        <f>IF(AF43="","",_xll.IMDP("STK",$AF43,"한글종목명"))</f>
        <v>삼성에스디에스</v>
      </c>
      <c r="AH43" s="48">
        <f>IF(AF43="","",_xll.IMDP("STK",$AF43,"현재가"))</f>
        <v>140800</v>
      </c>
      <c r="AI43" s="48">
        <f>IF(AF43="","",_xll.IMDP("STK",$AF43,"전일대비"))</f>
        <v>-1400</v>
      </c>
      <c r="AJ43" s="49">
        <f>IF(AF43="","",_xll.IMDP("STK",$AF43,"등락률"))</f>
        <v>-0.98</v>
      </c>
      <c r="AK43" s="48">
        <f>IF(AF43="","",_xll.IMDP("STK",$AF43,"시가총액"))</f>
        <v>10894794240000</v>
      </c>
      <c r="AL43" s="20" t="str">
        <f t="shared" si="1"/>
        <v/>
      </c>
      <c r="AM43" s="21" t="str">
        <f>IF(AL43="","",_xll.IMDP("STK",$AL43,"한글종목명"))</f>
        <v/>
      </c>
      <c r="AN43" s="48" t="str">
        <f>IF(AL43="","",_xll.IMDP("STK",$AL43,"현재가"))</f>
        <v/>
      </c>
      <c r="AO43" s="48" t="str">
        <f>IF(AL43="","",_xll.IMDP("STK",$AL43,"전일대비"))</f>
        <v/>
      </c>
      <c r="AP43" s="49" t="str">
        <f>IF(AL43="","",_xll.IMDP("STK",$AL43,"등락률"))</f>
        <v/>
      </c>
      <c r="AQ43" s="48" t="str">
        <f>IF(AL43="","",_xll.IMDP("STK",$AL43,"시가총액"))</f>
        <v/>
      </c>
    </row>
    <row r="44" spans="3:43" x14ac:dyDescent="0.25">
      <c r="C44" s="22">
        <v>39</v>
      </c>
      <c r="D44" s="25" t="s">
        <v>212</v>
      </c>
      <c r="G44" s="25" t="s">
        <v>288</v>
      </c>
      <c r="H44" s="25" t="s">
        <v>421</v>
      </c>
      <c r="J44" s="25" t="s">
        <v>502</v>
      </c>
      <c r="K44" s="25" t="s">
        <v>552</v>
      </c>
      <c r="L44" s="25" t="s">
        <v>596</v>
      </c>
      <c r="N44" s="25" t="s">
        <v>670</v>
      </c>
      <c r="O44" s="25" t="s">
        <v>730</v>
      </c>
      <c r="Q44" s="25" t="s">
        <v>804</v>
      </c>
      <c r="T44" s="25" t="s">
        <v>874</v>
      </c>
      <c r="X44" s="25" t="s">
        <v>1020</v>
      </c>
      <c r="Y44" s="25" t="s">
        <v>260</v>
      </c>
      <c r="Z44" s="20" t="str">
        <f t="shared" si="0"/>
        <v>271560</v>
      </c>
      <c r="AA44" s="21" t="str">
        <f>IF(Z44="","",_xll.IMDP("STK",$Z44,"한글종목명"))</f>
        <v>오리온</v>
      </c>
      <c r="AB44" s="48">
        <f>IF(Z44="","",_xll.IMDP("STK",$Z44,"현재가"))</f>
        <v>120900</v>
      </c>
      <c r="AC44" s="48">
        <f>IF(Z44="","",_xll.IMDP("STK",$Z44,"전일대비"))</f>
        <v>-1600</v>
      </c>
      <c r="AD44" s="49">
        <f>IF(Z44="","",_xll.IMDP("STK",$Z44,"등락률"))</f>
        <v>-1.31</v>
      </c>
      <c r="AE44" s="48">
        <f>IF(Z44="","",_xll.IMDP("STK",Z44,"시가총액"))</f>
        <v>4779918358800</v>
      </c>
      <c r="AF44" s="20" t="str">
        <f t="shared" si="2"/>
        <v>028050</v>
      </c>
      <c r="AG44" s="21" t="str">
        <f>IF(AF44="","",_xll.IMDP("STK",$AF44,"한글종목명"))</f>
        <v>삼성엔지니어링</v>
      </c>
      <c r="AH44" s="48">
        <f>IF(AF44="","",_xll.IMDP("STK",$AF44,"현재가"))</f>
        <v>34050</v>
      </c>
      <c r="AI44" s="48">
        <f>IF(AF44="","",_xll.IMDP("STK",$AF44,"전일대비"))</f>
        <v>-1300</v>
      </c>
      <c r="AJ44" s="49">
        <f>IF(AF44="","",_xll.IMDP("STK",$AF44,"등락률"))</f>
        <v>-3.68</v>
      </c>
      <c r="AK44" s="48">
        <f>IF(AF44="","",_xll.IMDP("STK",$AF44,"시가총액"))</f>
        <v>6673800000000</v>
      </c>
      <c r="AL44" s="20" t="str">
        <f t="shared" si="1"/>
        <v/>
      </c>
      <c r="AM44" s="21" t="str">
        <f>IF(AL44="","",_xll.IMDP("STK",$AL44,"한글종목명"))</f>
        <v/>
      </c>
      <c r="AN44" s="48" t="str">
        <f>IF(AL44="","",_xll.IMDP("STK",$AL44,"현재가"))</f>
        <v/>
      </c>
      <c r="AO44" s="48" t="str">
        <f>IF(AL44="","",_xll.IMDP("STK",$AL44,"전일대비"))</f>
        <v/>
      </c>
      <c r="AP44" s="49" t="str">
        <f>IF(AL44="","",_xll.IMDP("STK",$AL44,"등락률"))</f>
        <v/>
      </c>
      <c r="AQ44" s="48" t="str">
        <f>IF(AL44="","",_xll.IMDP("STK",$AL44,"시가총액"))</f>
        <v/>
      </c>
    </row>
    <row r="45" spans="3:43" x14ac:dyDescent="0.25">
      <c r="C45" s="22">
        <v>40</v>
      </c>
      <c r="D45" s="25" t="s">
        <v>213</v>
      </c>
      <c r="G45" s="25" t="s">
        <v>289</v>
      </c>
      <c r="H45" s="25" t="s">
        <v>422</v>
      </c>
      <c r="J45" s="25" t="s">
        <v>503</v>
      </c>
      <c r="K45" s="25" t="s">
        <v>553</v>
      </c>
      <c r="L45" s="25" t="s">
        <v>597</v>
      </c>
      <c r="N45" s="25" t="s">
        <v>671</v>
      </c>
      <c r="O45" s="25" t="s">
        <v>731</v>
      </c>
      <c r="T45" s="25" t="s">
        <v>875</v>
      </c>
      <c r="X45" s="25" t="s">
        <v>1021</v>
      </c>
      <c r="Y45" s="25" t="s">
        <v>261</v>
      </c>
      <c r="Z45" s="20" t="str">
        <f t="shared" si="0"/>
        <v>006980</v>
      </c>
      <c r="AA45" s="21" t="str">
        <f>IF(Z45="","",_xll.IMDP("STK",$Z45,"한글종목명"))</f>
        <v>우성</v>
      </c>
      <c r="AB45" s="48">
        <f>IF(Z45="","",_xll.IMDP("STK",$Z45,"현재가"))</f>
        <v>22000</v>
      </c>
      <c r="AC45" s="48">
        <f>IF(Z45="","",_xll.IMDP("STK",$Z45,"전일대비"))</f>
        <v>-400</v>
      </c>
      <c r="AD45" s="49">
        <f>IF(Z45="","",_xll.IMDP("STK",$Z45,"등락률"))</f>
        <v>-1.79</v>
      </c>
      <c r="AE45" s="48">
        <f>IF(Z45="","",_xll.IMDP("STK",Z45,"시가총액"))</f>
        <v>67980000000</v>
      </c>
      <c r="AF45" s="20" t="str">
        <f t="shared" si="2"/>
        <v>068290</v>
      </c>
      <c r="AG45" s="21" t="str">
        <f>IF(AF45="","",_xll.IMDP("STK",$AF45,"한글종목명"))</f>
        <v>삼성출판사</v>
      </c>
      <c r="AH45" s="48">
        <f>IF(AF45="","",_xll.IMDP("STK",$AF45,"현재가"))</f>
        <v>18250</v>
      </c>
      <c r="AI45" s="48">
        <f>IF(AF45="","",_xll.IMDP("STK",$AF45,"전일대비"))</f>
        <v>-220</v>
      </c>
      <c r="AJ45" s="49">
        <f>IF(AF45="","",_xll.IMDP("STK",$AF45,"등락률"))</f>
        <v>-1.19</v>
      </c>
      <c r="AK45" s="48">
        <f>IF(AF45="","",_xll.IMDP("STK",$AF45,"시가총액"))</f>
        <v>182500000000</v>
      </c>
      <c r="AL45" s="20" t="str">
        <f t="shared" si="1"/>
        <v/>
      </c>
      <c r="AM45" s="21" t="str">
        <f>IF(AL45="","",_xll.IMDP("STK",$AL45,"한글종목명"))</f>
        <v/>
      </c>
      <c r="AN45" s="48" t="str">
        <f>IF(AL45="","",_xll.IMDP("STK",$AL45,"현재가"))</f>
        <v/>
      </c>
      <c r="AO45" s="48" t="str">
        <f>IF(AL45="","",_xll.IMDP("STK",$AL45,"전일대비"))</f>
        <v/>
      </c>
      <c r="AP45" s="49" t="str">
        <f>IF(AL45="","",_xll.IMDP("STK",$AL45,"등락률"))</f>
        <v/>
      </c>
      <c r="AQ45" s="48" t="str">
        <f>IF(AL45="","",_xll.IMDP("STK",$AL45,"시가총액"))</f>
        <v/>
      </c>
    </row>
    <row r="46" spans="3:43" x14ac:dyDescent="0.25">
      <c r="C46" s="22">
        <v>41</v>
      </c>
      <c r="D46" s="25" t="s">
        <v>214</v>
      </c>
      <c r="G46" s="25" t="s">
        <v>290</v>
      </c>
      <c r="H46" s="25" t="s">
        <v>423</v>
      </c>
      <c r="J46" s="25" t="s">
        <v>504</v>
      </c>
      <c r="K46" s="25" t="s">
        <v>554</v>
      </c>
      <c r="L46" s="25" t="s">
        <v>598</v>
      </c>
      <c r="N46" s="25" t="s">
        <v>672</v>
      </c>
      <c r="O46" s="25" t="s">
        <v>732</v>
      </c>
      <c r="T46" s="25" t="s">
        <v>876</v>
      </c>
      <c r="X46" s="25" t="s">
        <v>1022</v>
      </c>
      <c r="Y46" s="25" t="s">
        <v>262</v>
      </c>
      <c r="Z46" s="20" t="str">
        <f t="shared" si="0"/>
        <v>002600</v>
      </c>
      <c r="AA46" s="21" t="str">
        <f>IF(Z46="","",_xll.IMDP("STK",$Z46,"한글종목명"))</f>
        <v>조흥</v>
      </c>
      <c r="AB46" s="48">
        <f>IF(Z46="","",_xll.IMDP("STK",$Z46,"현재가"))</f>
        <v>184900</v>
      </c>
      <c r="AC46" s="48">
        <f>IF(Z46="","",_xll.IMDP("STK",$Z46,"전일대비"))</f>
        <v>0</v>
      </c>
      <c r="AD46" s="49">
        <f>IF(Z46="","",_xll.IMDP("STK",$Z46,"등락률"))</f>
        <v>0</v>
      </c>
      <c r="AE46" s="48">
        <f>IF(Z46="","",_xll.IMDP("STK",Z46,"시가총액"))</f>
        <v>110940000000</v>
      </c>
      <c r="AF46" s="20" t="str">
        <f t="shared" si="2"/>
        <v>000180</v>
      </c>
      <c r="AG46" s="21" t="str">
        <f>IF(AF46="","",_xll.IMDP("STK",$AF46,"한글종목명"))</f>
        <v>성창기업지주</v>
      </c>
      <c r="AH46" s="48">
        <f>IF(AF46="","",_xll.IMDP("STK",$AF46,"현재가"))</f>
        <v>2055</v>
      </c>
      <c r="AI46" s="48">
        <f>IF(AF46="","",_xll.IMDP("STK",$AF46,"전일대비"))</f>
        <v>15</v>
      </c>
      <c r="AJ46" s="49">
        <f>IF(AF46="","",_xll.IMDP("STK",$AF46,"등락률"))</f>
        <v>0.74</v>
      </c>
      <c r="AK46" s="48">
        <f>IF(AF46="","",_xll.IMDP("STK",$AF46,"시가총액"))</f>
        <v>143339538000</v>
      </c>
      <c r="AL46" s="20" t="str">
        <f t="shared" si="1"/>
        <v/>
      </c>
      <c r="AM46" s="21" t="str">
        <f>IF(AL46="","",_xll.IMDP("STK",$AL46,"한글종목명"))</f>
        <v/>
      </c>
      <c r="AN46" s="48" t="str">
        <f>IF(AL46="","",_xll.IMDP("STK",$AL46,"현재가"))</f>
        <v/>
      </c>
      <c r="AO46" s="48" t="str">
        <f>IF(AL46="","",_xll.IMDP("STK",$AL46,"전일대비"))</f>
        <v/>
      </c>
      <c r="AP46" s="49" t="str">
        <f>IF(AL46="","",_xll.IMDP("STK",$AL46,"등락률"))</f>
        <v/>
      </c>
      <c r="AQ46" s="48" t="str">
        <f>IF(AL46="","",_xll.IMDP("STK",$AL46,"시가총액"))</f>
        <v/>
      </c>
    </row>
    <row r="47" spans="3:43" x14ac:dyDescent="0.25">
      <c r="C47" s="22">
        <v>42</v>
      </c>
      <c r="D47" s="25" t="s">
        <v>215</v>
      </c>
      <c r="G47" s="25" t="s">
        <v>291</v>
      </c>
      <c r="H47" s="25" t="s">
        <v>424</v>
      </c>
      <c r="J47" s="25" t="s">
        <v>505</v>
      </c>
      <c r="K47" s="25" t="s">
        <v>555</v>
      </c>
      <c r="L47" s="25" t="s">
        <v>599</v>
      </c>
      <c r="N47" s="25" t="s">
        <v>673</v>
      </c>
      <c r="O47" s="25" t="s">
        <v>733</v>
      </c>
      <c r="T47" s="25" t="s">
        <v>877</v>
      </c>
      <c r="X47" s="25" t="s">
        <v>1023</v>
      </c>
      <c r="Y47" s="25" t="s">
        <v>467</v>
      </c>
      <c r="Z47" s="20" t="str">
        <f t="shared" si="0"/>
        <v>264900</v>
      </c>
      <c r="AA47" s="21" t="str">
        <f>IF(Z47="","",_xll.IMDP("STK",$Z47,"한글종목명"))</f>
        <v>크라운제과</v>
      </c>
      <c r="AB47" s="48">
        <f>IF(Z47="","",_xll.IMDP("STK",$Z47,"현재가"))</f>
        <v>8740</v>
      </c>
      <c r="AC47" s="48">
        <f>IF(Z47="","",_xll.IMDP("STK",$Z47,"전일대비"))</f>
        <v>-30</v>
      </c>
      <c r="AD47" s="49">
        <f>IF(Z47="","",_xll.IMDP("STK",$Z47,"등락률"))</f>
        <v>-0.34</v>
      </c>
      <c r="AE47" s="48">
        <f>IF(Z47="","",_xll.IMDP("STK",Z47,"시가총액"))</f>
        <v>109458449000</v>
      </c>
      <c r="AF47" s="20" t="str">
        <f t="shared" si="2"/>
        <v>002420</v>
      </c>
      <c r="AG47" s="21" t="str">
        <f>IF(AF47="","",_xll.IMDP("STK",$AF47,"한글종목명"))</f>
        <v>세기상사</v>
      </c>
      <c r="AH47" s="48">
        <f>IF(AF47="","",_xll.IMDP("STK",$AF47,"현재가"))</f>
        <v>7290</v>
      </c>
      <c r="AI47" s="48">
        <f>IF(AF47="","",_xll.IMDP("STK",$AF47,"전일대비"))</f>
        <v>0</v>
      </c>
      <c r="AJ47" s="49">
        <f>IF(AF47="","",_xll.IMDP("STK",$AF47,"등락률"))</f>
        <v>0</v>
      </c>
      <c r="AK47" s="48">
        <f>IF(AF47="","",_xll.IMDP("STK",$AF47,"시가총액"))</f>
        <v>40524001920</v>
      </c>
      <c r="AL47" s="20" t="str">
        <f t="shared" si="1"/>
        <v/>
      </c>
      <c r="AM47" s="21" t="str">
        <f>IF(AL47="","",_xll.IMDP("STK",$AL47,"한글종목명"))</f>
        <v/>
      </c>
      <c r="AN47" s="48" t="str">
        <f>IF(AL47="","",_xll.IMDP("STK",$AL47,"현재가"))</f>
        <v/>
      </c>
      <c r="AO47" s="48" t="str">
        <f>IF(AL47="","",_xll.IMDP("STK",$AL47,"전일대비"))</f>
        <v/>
      </c>
      <c r="AP47" s="49" t="str">
        <f>IF(AL47="","",_xll.IMDP("STK",$AL47,"등락률"))</f>
        <v/>
      </c>
      <c r="AQ47" s="48" t="str">
        <f>IF(AL47="","",_xll.IMDP("STK",$AL47,"시가총액"))</f>
        <v/>
      </c>
    </row>
    <row r="48" spans="3:43" x14ac:dyDescent="0.25">
      <c r="C48" s="22">
        <v>43</v>
      </c>
      <c r="D48" s="25" t="s">
        <v>216</v>
      </c>
      <c r="G48" s="25" t="s">
        <v>292</v>
      </c>
      <c r="H48" s="25" t="s">
        <v>425</v>
      </c>
      <c r="J48" s="25" t="s">
        <v>506</v>
      </c>
      <c r="L48" s="25" t="s">
        <v>600</v>
      </c>
      <c r="N48" s="25" t="s">
        <v>674</v>
      </c>
      <c r="O48" s="25" t="s">
        <v>734</v>
      </c>
      <c r="T48" s="25" t="s">
        <v>878</v>
      </c>
      <c r="X48" s="25" t="s">
        <v>1024</v>
      </c>
      <c r="Y48" s="25" t="s">
        <v>516</v>
      </c>
      <c r="Z48" s="20" t="str">
        <f t="shared" si="0"/>
        <v>26490K</v>
      </c>
      <c r="AA48" s="21" t="str">
        <f>IF(Z48="","",_xll.IMDP("STK",$Z48,"한글종목명"))</f>
        <v>크라운제과우</v>
      </c>
      <c r="AB48" s="48">
        <f>IF(Z48="","",_xll.IMDP("STK",$Z48,"현재가"))</f>
        <v>11120</v>
      </c>
      <c r="AC48" s="48">
        <f>IF(Z48="","",_xll.IMDP("STK",$Z48,"전일대비"))</f>
        <v>90</v>
      </c>
      <c r="AD48" s="49">
        <f>IF(Z48="","",_xll.IMDP("STK",$Z48,"등락률"))</f>
        <v>0.82</v>
      </c>
      <c r="AE48" s="48">
        <f>IF(Z48="","",_xll.IMDP("STK",Z48,"시가총액"))</f>
        <v>8601987200</v>
      </c>
      <c r="AF48" s="20" t="str">
        <f t="shared" si="2"/>
        <v>053210</v>
      </c>
      <c r="AG48" s="21" t="str">
        <f>IF(AF48="","",_xll.IMDP("STK",$AF48,"한글종목명"))</f>
        <v>스카이라이프</v>
      </c>
      <c r="AH48" s="48">
        <f>IF(AF48="","",_xll.IMDP("STK",$AF48,"현재가"))</f>
        <v>6380</v>
      </c>
      <c r="AI48" s="48">
        <f>IF(AF48="","",_xll.IMDP("STK",$AF48,"전일대비"))</f>
        <v>30</v>
      </c>
      <c r="AJ48" s="49">
        <f>IF(AF48="","",_xll.IMDP("STK",$AF48,"등락률"))</f>
        <v>0.47</v>
      </c>
      <c r="AK48" s="48">
        <f>IF(AF48="","",_xll.IMDP("STK",$AF48,"시가총액"))</f>
        <v>305104143080</v>
      </c>
      <c r="AL48" s="20" t="str">
        <f t="shared" si="1"/>
        <v/>
      </c>
      <c r="AM48" s="21" t="str">
        <f>IF(AL48="","",_xll.IMDP("STK",$AL48,"한글종목명"))</f>
        <v/>
      </c>
      <c r="AN48" s="48" t="str">
        <f>IF(AL48="","",_xll.IMDP("STK",$AL48,"현재가"))</f>
        <v/>
      </c>
      <c r="AO48" s="48" t="str">
        <f>IF(AL48="","",_xll.IMDP("STK",$AL48,"전일대비"))</f>
        <v/>
      </c>
      <c r="AP48" s="49" t="str">
        <f>IF(AL48="","",_xll.IMDP("STK",$AL48,"등락률"))</f>
        <v/>
      </c>
      <c r="AQ48" s="48" t="str">
        <f>IF(AL48="","",_xll.IMDP("STK",$AL48,"시가총액"))</f>
        <v/>
      </c>
    </row>
    <row r="49" spans="3:43" x14ac:dyDescent="0.25">
      <c r="C49" s="22">
        <v>44</v>
      </c>
      <c r="D49" s="25" t="s">
        <v>217</v>
      </c>
      <c r="G49" s="25" t="s">
        <v>293</v>
      </c>
      <c r="H49" s="25" t="s">
        <v>426</v>
      </c>
      <c r="J49" s="25" t="s">
        <v>507</v>
      </c>
      <c r="L49" s="25" t="s">
        <v>601</v>
      </c>
      <c r="N49" s="25" t="s">
        <v>675</v>
      </c>
      <c r="O49" s="25" t="s">
        <v>735</v>
      </c>
      <c r="T49" s="25" t="s">
        <v>879</v>
      </c>
      <c r="X49" s="25" t="s">
        <v>1025</v>
      </c>
      <c r="Y49" s="25" t="s">
        <v>633</v>
      </c>
      <c r="Z49" s="20" t="str">
        <f t="shared" si="0"/>
        <v>036580</v>
      </c>
      <c r="AA49" s="21" t="str">
        <f>IF(Z49="","",_xll.IMDP("STK",$Z49,"한글종목명"))</f>
        <v>팜스코</v>
      </c>
      <c r="AB49" s="48">
        <f>IF(Z49="","",_xll.IMDP("STK",$Z49,"현재가"))</f>
        <v>3650</v>
      </c>
      <c r="AC49" s="48">
        <f>IF(Z49="","",_xll.IMDP("STK",$Z49,"전일대비"))</f>
        <v>-80</v>
      </c>
      <c r="AD49" s="49">
        <f>IF(Z49="","",_xll.IMDP("STK",$Z49,"등락률"))</f>
        <v>-2.14</v>
      </c>
      <c r="AE49" s="48">
        <f>IF(Z49="","",_xll.IMDP("STK",Z49,"시가총액"))</f>
        <v>134056991950</v>
      </c>
      <c r="AF49" s="20" t="str">
        <f t="shared" si="2"/>
        <v>035510</v>
      </c>
      <c r="AG49" s="21" t="str">
        <f>IF(AF49="","",_xll.IMDP("STK",$AF49,"한글종목명"))</f>
        <v>신세계 I&amp;C</v>
      </c>
      <c r="AH49" s="48">
        <f>IF(AF49="","",_xll.IMDP("STK",$AF49,"현재가"))</f>
        <v>13510</v>
      </c>
      <c r="AI49" s="48">
        <f>IF(AF49="","",_xll.IMDP("STK",$AF49,"전일대비"))</f>
        <v>90</v>
      </c>
      <c r="AJ49" s="49">
        <f>IF(AF49="","",_xll.IMDP("STK",$AF49,"등락률"))</f>
        <v>0.67</v>
      </c>
      <c r="AK49" s="48">
        <f>IF(AF49="","",_xll.IMDP("STK",$AF49,"시가총액"))</f>
        <v>232372000000</v>
      </c>
      <c r="AL49" s="20" t="str">
        <f t="shared" si="1"/>
        <v/>
      </c>
      <c r="AM49" s="21" t="str">
        <f>IF(AL49="","",_xll.IMDP("STK",$AL49,"한글종목명"))</f>
        <v/>
      </c>
      <c r="AN49" s="48" t="str">
        <f>IF(AL49="","",_xll.IMDP("STK",$AL49,"현재가"))</f>
        <v/>
      </c>
      <c r="AO49" s="48" t="str">
        <f>IF(AL49="","",_xll.IMDP("STK",$AL49,"전일대비"))</f>
        <v/>
      </c>
      <c r="AP49" s="49" t="str">
        <f>IF(AL49="","",_xll.IMDP("STK",$AL49,"등락률"))</f>
        <v/>
      </c>
      <c r="AQ49" s="48" t="str">
        <f>IF(AL49="","",_xll.IMDP("STK",$AL49,"시가총액"))</f>
        <v/>
      </c>
    </row>
    <row r="50" spans="3:43" x14ac:dyDescent="0.25">
      <c r="C50" s="22">
        <v>45</v>
      </c>
      <c r="D50" s="25" t="s">
        <v>218</v>
      </c>
      <c r="G50" s="25" t="s">
        <v>294</v>
      </c>
      <c r="H50" s="25" t="s">
        <v>427</v>
      </c>
      <c r="J50" s="25" t="s">
        <v>508</v>
      </c>
      <c r="L50" s="25" t="s">
        <v>602</v>
      </c>
      <c r="N50" s="25" t="s">
        <v>676</v>
      </c>
      <c r="O50" s="25" t="s">
        <v>736</v>
      </c>
      <c r="T50" s="25" t="s">
        <v>880</v>
      </c>
      <c r="X50" s="25" t="s">
        <v>1026</v>
      </c>
      <c r="Y50" s="25" t="s">
        <v>634</v>
      </c>
      <c r="Z50" s="20" t="str">
        <f t="shared" si="0"/>
        <v>000080</v>
      </c>
      <c r="AA50" s="21" t="str">
        <f>IF(Z50="","",_xll.IMDP("STK",$Z50,"한글종목명"))</f>
        <v>하이트진로</v>
      </c>
      <c r="AB50" s="48">
        <f>IF(Z50="","",_xll.IMDP("STK",$Z50,"현재가"))</f>
        <v>19190</v>
      </c>
      <c r="AC50" s="48">
        <f>IF(Z50="","",_xll.IMDP("STK",$Z50,"전일대비"))</f>
        <v>-250</v>
      </c>
      <c r="AD50" s="49">
        <f>IF(Z50="","",_xll.IMDP("STK",$Z50,"등락률"))</f>
        <v>-1.29</v>
      </c>
      <c r="AE50" s="48">
        <f>IF(Z50="","",_xll.IMDP("STK",Z50,"시가총액"))</f>
        <v>1345863995090</v>
      </c>
      <c r="AF50" s="20" t="str">
        <f t="shared" si="2"/>
        <v>031440</v>
      </c>
      <c r="AG50" s="21" t="str">
        <f>IF(AF50="","",_xll.IMDP("STK",$AF50,"한글종목명"))</f>
        <v>신세계푸드</v>
      </c>
      <c r="AH50" s="48">
        <f>IF(AF50="","",_xll.IMDP("STK",$AF50,"현재가"))</f>
        <v>40100</v>
      </c>
      <c r="AI50" s="48">
        <f>IF(AF50="","",_xll.IMDP("STK",$AF50,"전일대비"))</f>
        <v>-350</v>
      </c>
      <c r="AJ50" s="49">
        <f>IF(AF50="","",_xll.IMDP("STK",$AF50,"등락률"))</f>
        <v>-0.87</v>
      </c>
      <c r="AK50" s="48">
        <f>IF(AF50="","",_xll.IMDP("STK",$AF50,"시가총액"))</f>
        <v>155286448000</v>
      </c>
      <c r="AL50" s="20" t="str">
        <f t="shared" si="1"/>
        <v/>
      </c>
      <c r="AM50" s="21" t="str">
        <f>IF(AL50="","",_xll.IMDP("STK",$AL50,"한글종목명"))</f>
        <v/>
      </c>
      <c r="AN50" s="48" t="str">
        <f>IF(AL50="","",_xll.IMDP("STK",$AL50,"현재가"))</f>
        <v/>
      </c>
      <c r="AO50" s="48" t="str">
        <f>IF(AL50="","",_xll.IMDP("STK",$AL50,"전일대비"))</f>
        <v/>
      </c>
      <c r="AP50" s="49" t="str">
        <f>IF(AL50="","",_xll.IMDP("STK",$AL50,"등락률"))</f>
        <v/>
      </c>
      <c r="AQ50" s="48" t="str">
        <f>IF(AL50="","",_xll.IMDP("STK",$AL50,"시가총액"))</f>
        <v/>
      </c>
    </row>
    <row r="51" spans="3:43" x14ac:dyDescent="0.25">
      <c r="C51" s="22">
        <v>46</v>
      </c>
      <c r="D51" s="25" t="s">
        <v>219</v>
      </c>
      <c r="G51" s="25" t="s">
        <v>295</v>
      </c>
      <c r="H51" s="25" t="s">
        <v>428</v>
      </c>
      <c r="J51" s="25" t="s">
        <v>509</v>
      </c>
      <c r="L51" s="25" t="s">
        <v>603</v>
      </c>
      <c r="N51" s="25" t="s">
        <v>677</v>
      </c>
      <c r="O51" s="25" t="s">
        <v>737</v>
      </c>
      <c r="T51" s="25" t="s">
        <v>881</v>
      </c>
      <c r="X51" s="25" t="s">
        <v>1027</v>
      </c>
      <c r="Y51" s="25" t="s">
        <v>263</v>
      </c>
      <c r="Z51" s="20" t="str">
        <f t="shared" si="0"/>
        <v>000087</v>
      </c>
      <c r="AA51" s="21" t="str">
        <f>IF(Z51="","",_xll.IMDP("STK",$Z51,"한글종목명"))</f>
        <v>하이트진로2우B</v>
      </c>
      <c r="AB51" s="48">
        <f>IF(Z51="","",_xll.IMDP("STK",$Z51,"현재가"))</f>
        <v>15000</v>
      </c>
      <c r="AC51" s="48">
        <f>IF(Z51="","",_xll.IMDP("STK",$Z51,"전일대비"))</f>
        <v>-30</v>
      </c>
      <c r="AD51" s="49">
        <f>IF(Z51="","",_xll.IMDP("STK",$Z51,"등락률"))</f>
        <v>-0.2</v>
      </c>
      <c r="AE51" s="48">
        <f>IF(Z51="","",_xll.IMDP("STK",Z51,"시가총액"))</f>
        <v>16952070000</v>
      </c>
      <c r="AF51" s="20" t="str">
        <f t="shared" si="2"/>
        <v>002030</v>
      </c>
      <c r="AG51" s="21" t="str">
        <f>IF(AF51="","",_xll.IMDP("STK",$AF51,"한글종목명"))</f>
        <v>아세아</v>
      </c>
      <c r="AH51" s="48">
        <f>IF(AF51="","",_xll.IMDP("STK",$AF51,"현재가"))</f>
        <v>168700</v>
      </c>
      <c r="AI51" s="48">
        <f>IF(AF51="","",_xll.IMDP("STK",$AF51,"전일대비"))</f>
        <v>-1400</v>
      </c>
      <c r="AJ51" s="49">
        <f>IF(AF51="","",_xll.IMDP("STK",$AF51,"등락률"))</f>
        <v>-0.82</v>
      </c>
      <c r="AK51" s="48">
        <f>IF(AF51="","",_xll.IMDP("STK",$AF51,"시가총액"))</f>
        <v>360343874800</v>
      </c>
      <c r="AL51" s="20" t="str">
        <f t="shared" si="1"/>
        <v/>
      </c>
      <c r="AM51" s="21" t="str">
        <f>IF(AL51="","",_xll.IMDP("STK",$AL51,"한글종목명"))</f>
        <v/>
      </c>
      <c r="AN51" s="48" t="str">
        <f>IF(AL51="","",_xll.IMDP("STK",$AL51,"현재가"))</f>
        <v/>
      </c>
      <c r="AO51" s="48" t="str">
        <f>IF(AL51="","",_xll.IMDP("STK",$AL51,"전일대비"))</f>
        <v/>
      </c>
      <c r="AP51" s="49" t="str">
        <f>IF(AL51="","",_xll.IMDP("STK",$AL51,"등락률"))</f>
        <v/>
      </c>
      <c r="AQ51" s="48" t="str">
        <f>IF(AL51="","",_xll.IMDP("STK",$AL51,"시가총액"))</f>
        <v/>
      </c>
    </row>
    <row r="52" spans="3:43" x14ac:dyDescent="0.25">
      <c r="C52" s="22">
        <v>47</v>
      </c>
      <c r="D52" s="25" t="s">
        <v>220</v>
      </c>
      <c r="G52" s="25" t="s">
        <v>296</v>
      </c>
      <c r="H52" s="25" t="s">
        <v>429</v>
      </c>
      <c r="J52" s="25" t="s">
        <v>510</v>
      </c>
      <c r="L52" s="25" t="s">
        <v>604</v>
      </c>
      <c r="N52" s="25" t="s">
        <v>678</v>
      </c>
      <c r="O52" s="25" t="s">
        <v>738</v>
      </c>
      <c r="T52" s="25" t="s">
        <v>882</v>
      </c>
      <c r="X52" s="25" t="s">
        <v>1028</v>
      </c>
      <c r="Y52" s="25" t="s">
        <v>264</v>
      </c>
      <c r="Z52" s="20" t="str">
        <f t="shared" si="0"/>
        <v>003680</v>
      </c>
      <c r="AA52" s="21" t="str">
        <f>IF(Z52="","",_xll.IMDP("STK",$Z52,"한글종목명"))</f>
        <v>한성기업</v>
      </c>
      <c r="AB52" s="48">
        <f>IF(Z52="","",_xll.IMDP("STK",$Z52,"현재가"))</f>
        <v>5400</v>
      </c>
      <c r="AC52" s="48">
        <f>IF(Z52="","",_xll.IMDP("STK",$Z52,"전일대비"))</f>
        <v>-190</v>
      </c>
      <c r="AD52" s="49">
        <f>IF(Z52="","",_xll.IMDP("STK",$Z52,"등락률"))</f>
        <v>-3.4</v>
      </c>
      <c r="AE52" s="48">
        <f>IF(Z52="","",_xll.IMDP("STK",Z52,"시가총액"))</f>
        <v>33531381000</v>
      </c>
      <c r="AF52" s="20" t="str">
        <f t="shared" si="2"/>
        <v>012750</v>
      </c>
      <c r="AG52" s="21" t="str">
        <f>IF(AF52="","",_xll.IMDP("STK",$AF52,"한글종목명"))</f>
        <v>에스원</v>
      </c>
      <c r="AH52" s="48">
        <f>IF(AF52="","",_xll.IMDP("STK",$AF52,"현재가"))</f>
        <v>55600</v>
      </c>
      <c r="AI52" s="48">
        <f>IF(AF52="","",_xll.IMDP("STK",$AF52,"전일대비"))</f>
        <v>100</v>
      </c>
      <c r="AJ52" s="49">
        <f>IF(AF52="","",_xll.IMDP("STK",$AF52,"등락률"))</f>
        <v>0.18</v>
      </c>
      <c r="AK52" s="48">
        <f>IF(AF52="","",_xll.IMDP("STK",$AF52,"시가총액"))</f>
        <v>2112754296800</v>
      </c>
      <c r="AL52" s="20" t="str">
        <f t="shared" si="1"/>
        <v/>
      </c>
      <c r="AM52" s="21" t="str">
        <f>IF(AL52="","",_xll.IMDP("STK",$AL52,"한글종목명"))</f>
        <v/>
      </c>
      <c r="AN52" s="48" t="str">
        <f>IF(AL52="","",_xll.IMDP("STK",$AL52,"현재가"))</f>
        <v/>
      </c>
      <c r="AO52" s="48" t="str">
        <f>IF(AL52="","",_xll.IMDP("STK",$AL52,"전일대비"))</f>
        <v/>
      </c>
      <c r="AP52" s="49" t="str">
        <f>IF(AL52="","",_xll.IMDP("STK",$AL52,"등락률"))</f>
        <v/>
      </c>
      <c r="AQ52" s="48" t="str">
        <f>IF(AL52="","",_xll.IMDP("STK",$AL52,"시가총액"))</f>
        <v/>
      </c>
    </row>
    <row r="53" spans="3:43" x14ac:dyDescent="0.25">
      <c r="C53" s="22">
        <v>48</v>
      </c>
      <c r="D53" s="25" t="s">
        <v>221</v>
      </c>
      <c r="G53" s="25" t="s">
        <v>297</v>
      </c>
      <c r="H53" s="25" t="s">
        <v>430</v>
      </c>
      <c r="J53" s="25" t="s">
        <v>511</v>
      </c>
      <c r="L53" s="25" t="s">
        <v>605</v>
      </c>
      <c r="N53" s="25" t="s">
        <v>679</v>
      </c>
      <c r="O53" s="25" t="s">
        <v>739</v>
      </c>
      <c r="T53" s="25" t="s">
        <v>883</v>
      </c>
      <c r="X53" s="25" t="s">
        <v>1029</v>
      </c>
      <c r="Y53" s="25" t="s">
        <v>635</v>
      </c>
      <c r="Z53" s="20" t="str">
        <f t="shared" si="0"/>
        <v>101530</v>
      </c>
      <c r="AA53" s="21" t="str">
        <f>IF(Z53="","",_xll.IMDP("STK",$Z53,"한글종목명"))</f>
        <v>해태제과식품</v>
      </c>
      <c r="AB53" s="48">
        <f>IF(Z53="","",_xll.IMDP("STK",$Z53,"현재가"))</f>
        <v>5720</v>
      </c>
      <c r="AC53" s="48">
        <f>IF(Z53="","",_xll.IMDP("STK",$Z53,"전일대비"))</f>
        <v>10</v>
      </c>
      <c r="AD53" s="49">
        <f>IF(Z53="","",_xll.IMDP("STK",$Z53,"등락률"))</f>
        <v>0.18</v>
      </c>
      <c r="AE53" s="48">
        <f>IF(Z53="","",_xll.IMDP("STK",Z53,"시가총액"))</f>
        <v>166548221840</v>
      </c>
      <c r="AF53" s="20" t="str">
        <f t="shared" si="2"/>
        <v>140910</v>
      </c>
      <c r="AG53" s="21" t="str">
        <f>IF(AF53="","",_xll.IMDP("STK",$AF53,"한글종목명"))</f>
        <v>에이리츠</v>
      </c>
      <c r="AH53" s="48">
        <f>IF(AF53="","",_xll.IMDP("STK",$AF53,"현재가"))</f>
        <v>3685</v>
      </c>
      <c r="AI53" s="48">
        <f>IF(AF53="","",_xll.IMDP("STK",$AF53,"전일대비"))</f>
        <v>-60</v>
      </c>
      <c r="AJ53" s="49">
        <f>IF(AF53="","",_xll.IMDP("STK",$AF53,"등락률"))</f>
        <v>-1.6</v>
      </c>
      <c r="AK53" s="48">
        <f>IF(AF53="","",_xll.IMDP("STK",$AF53,"시가총액"))</f>
        <v>16446272920</v>
      </c>
      <c r="AL53" s="20" t="str">
        <f t="shared" si="1"/>
        <v/>
      </c>
      <c r="AM53" s="21" t="str">
        <f>IF(AL53="","",_xll.IMDP("STK",$AL53,"한글종목명"))</f>
        <v/>
      </c>
      <c r="AN53" s="48" t="str">
        <f>IF(AL53="","",_xll.IMDP("STK",$AL53,"현재가"))</f>
        <v/>
      </c>
      <c r="AO53" s="48" t="str">
        <f>IF(AL53="","",_xll.IMDP("STK",$AL53,"전일대비"))</f>
        <v/>
      </c>
      <c r="AP53" s="49" t="str">
        <f>IF(AL53="","",_xll.IMDP("STK",$AL53,"등락률"))</f>
        <v/>
      </c>
      <c r="AQ53" s="48" t="str">
        <f>IF(AL53="","",_xll.IMDP("STK",$AL53,"시가총액"))</f>
        <v/>
      </c>
    </row>
    <row r="54" spans="3:43" x14ac:dyDescent="0.25">
      <c r="C54" s="22">
        <v>49</v>
      </c>
      <c r="G54" s="25" t="s">
        <v>298</v>
      </c>
      <c r="H54" s="25" t="s">
        <v>431</v>
      </c>
      <c r="J54" s="25" t="s">
        <v>512</v>
      </c>
      <c r="L54" s="25" t="s">
        <v>606</v>
      </c>
      <c r="N54" s="25" t="s">
        <v>680</v>
      </c>
      <c r="O54" s="25" t="s">
        <v>740</v>
      </c>
      <c r="T54" s="25" t="s">
        <v>884</v>
      </c>
      <c r="X54" s="25" t="s">
        <v>1030</v>
      </c>
      <c r="Y54" s="25" t="s">
        <v>265</v>
      </c>
      <c r="Z54" s="20" t="str">
        <f t="shared" si="0"/>
        <v/>
      </c>
      <c r="AA54" s="21" t="str">
        <f>IF(Z54="","",_xll.IMDP("STK",$Z54,"한글종목명"))</f>
        <v/>
      </c>
      <c r="AB54" s="48" t="str">
        <f>IF(Z54="","",_xll.IMDP("STK",$Z54,"현재가"))</f>
        <v/>
      </c>
      <c r="AC54" s="48" t="str">
        <f>IF(Z54="","",_xll.IMDP("STK",$Z54,"전일대비"))</f>
        <v/>
      </c>
      <c r="AD54" s="49" t="str">
        <f>IF(Z54="","",_xll.IMDP("STK",$Z54,"등락률"))</f>
        <v/>
      </c>
      <c r="AE54" s="48" t="str">
        <f>IF(Z54="","",_xll.IMDP("STK",Z54,"시가총액"))</f>
        <v/>
      </c>
      <c r="AF54" s="20" t="str">
        <f t="shared" si="2"/>
        <v>036570</v>
      </c>
      <c r="AG54" s="21" t="str">
        <f>IF(AF54="","",_xll.IMDP("STK",$AF54,"한글종목명"))</f>
        <v>엔씨소프트</v>
      </c>
      <c r="AH54" s="48">
        <f>IF(AF54="","",_xll.IMDP("STK",$AF54,"현재가"))</f>
        <v>252000</v>
      </c>
      <c r="AI54" s="48">
        <f>IF(AF54="","",_xll.IMDP("STK",$AF54,"전일대비"))</f>
        <v>-3000</v>
      </c>
      <c r="AJ54" s="49">
        <f>IF(AF54="","",_xll.IMDP("STK",$AF54,"등락률"))</f>
        <v>-1.18</v>
      </c>
      <c r="AK54" s="48">
        <f>IF(AF54="","",_xll.IMDP("STK",$AF54,"시가총액"))</f>
        <v>5532413544000</v>
      </c>
      <c r="AL54" s="20" t="str">
        <f t="shared" si="1"/>
        <v/>
      </c>
      <c r="AM54" s="21" t="str">
        <f>IF(AL54="","",_xll.IMDP("STK",$AL54,"한글종목명"))</f>
        <v/>
      </c>
      <c r="AN54" s="48" t="str">
        <f>IF(AL54="","",_xll.IMDP("STK",$AL54,"현재가"))</f>
        <v/>
      </c>
      <c r="AO54" s="48" t="str">
        <f>IF(AL54="","",_xll.IMDP("STK",$AL54,"전일대비"))</f>
        <v/>
      </c>
      <c r="AP54" s="49" t="str">
        <f>IF(AL54="","",_xll.IMDP("STK",$AL54,"등락률"))</f>
        <v/>
      </c>
      <c r="AQ54" s="48" t="str">
        <f>IF(AL54="","",_xll.IMDP("STK",$AL54,"시가총액"))</f>
        <v/>
      </c>
    </row>
    <row r="55" spans="3:43" x14ac:dyDescent="0.25">
      <c r="C55" s="22">
        <v>50</v>
      </c>
      <c r="G55" s="25" t="s">
        <v>299</v>
      </c>
      <c r="L55" s="25" t="s">
        <v>607</v>
      </c>
      <c r="N55" s="25" t="s">
        <v>681</v>
      </c>
      <c r="O55" s="25" t="s">
        <v>741</v>
      </c>
      <c r="T55" s="25" t="s">
        <v>885</v>
      </c>
      <c r="X55" s="25" t="s">
        <v>1031</v>
      </c>
      <c r="Y55" s="25" t="s">
        <v>517</v>
      </c>
      <c r="Z55" s="20" t="str">
        <f t="shared" si="0"/>
        <v/>
      </c>
      <c r="AA55" s="21" t="str">
        <f>IF(Z55="","",_xll.IMDP("STK",$Z55,"한글종목명"))</f>
        <v/>
      </c>
      <c r="AB55" s="48" t="str">
        <f>IF(Z55="","",_xll.IMDP("STK",$Z55,"현재가"))</f>
        <v/>
      </c>
      <c r="AC55" s="48" t="str">
        <f>IF(Z55="","",_xll.IMDP("STK",$Z55,"전일대비"))</f>
        <v/>
      </c>
      <c r="AD55" s="49" t="str">
        <f>IF(Z55="","",_xll.IMDP("STK",$Z55,"등락률"))</f>
        <v/>
      </c>
      <c r="AE55" s="48" t="str">
        <f>IF(Z55="","",_xll.IMDP("STK",Z55,"시가총액"))</f>
        <v/>
      </c>
      <c r="AF55" s="20" t="str">
        <f t="shared" si="2"/>
        <v>070960</v>
      </c>
      <c r="AG55" s="21" t="str">
        <f>IF(AF55="","",_xll.IMDP("STK",$AF55,"한글종목명"))</f>
        <v>용평리조트</v>
      </c>
      <c r="AH55" s="48">
        <f>IF(AF55="","",_xll.IMDP("STK",$AF55,"현재가"))</f>
        <v>3320</v>
      </c>
      <c r="AI55" s="48">
        <f>IF(AF55="","",_xll.IMDP("STK",$AF55,"전일대비"))</f>
        <v>5</v>
      </c>
      <c r="AJ55" s="49">
        <f>IF(AF55="","",_xll.IMDP("STK",$AF55,"등락률"))</f>
        <v>0.15</v>
      </c>
      <c r="AK55" s="48">
        <f>IF(AF55="","",_xll.IMDP("STK",$AF55,"시가총액"))</f>
        <v>159802665560</v>
      </c>
      <c r="AL55" s="20" t="str">
        <f t="shared" si="1"/>
        <v/>
      </c>
      <c r="AM55" s="21" t="str">
        <f>IF(AL55="","",_xll.IMDP("STK",$AL55,"한글종목명"))</f>
        <v/>
      </c>
      <c r="AN55" s="48" t="str">
        <f>IF(AL55="","",_xll.IMDP("STK",$AL55,"현재가"))</f>
        <v/>
      </c>
      <c r="AO55" s="48" t="str">
        <f>IF(AL55="","",_xll.IMDP("STK",$AL55,"전일대비"))</f>
        <v/>
      </c>
      <c r="AP55" s="49" t="str">
        <f>IF(AL55="","",_xll.IMDP("STK",$AL55,"등락률"))</f>
        <v/>
      </c>
      <c r="AQ55" s="48" t="str">
        <f>IF(AL55="","",_xll.IMDP("STK",$AL55,"시가총액"))</f>
        <v/>
      </c>
    </row>
    <row r="56" spans="3:43" x14ac:dyDescent="0.25">
      <c r="C56" s="22">
        <v>51</v>
      </c>
      <c r="G56" s="25" t="s">
        <v>300</v>
      </c>
      <c r="L56" s="25" t="s">
        <v>608</v>
      </c>
      <c r="N56" s="25" t="s">
        <v>682</v>
      </c>
      <c r="O56" s="25" t="s">
        <v>742</v>
      </c>
      <c r="T56" s="25" t="s">
        <v>886</v>
      </c>
      <c r="X56" s="25" t="s">
        <v>1032</v>
      </c>
      <c r="Y56" s="25" t="s">
        <v>636</v>
      </c>
      <c r="Z56" s="20" t="str">
        <f t="shared" si="0"/>
        <v/>
      </c>
      <c r="AA56" s="21" t="str">
        <f>IF(Z56="","",_xll.IMDP("STK",$Z56,"한글종목명"))</f>
        <v/>
      </c>
      <c r="AB56" s="48" t="str">
        <f>IF(Z56="","",_xll.IMDP("STK",$Z56,"현재가"))</f>
        <v/>
      </c>
      <c r="AC56" s="48" t="str">
        <f>IF(Z56="","",_xll.IMDP("STK",$Z56,"전일대비"))</f>
        <v/>
      </c>
      <c r="AD56" s="49" t="str">
        <f>IF(Z56="","",_xll.IMDP("STK",$Z56,"등락률"))</f>
        <v/>
      </c>
      <c r="AE56" s="48" t="str">
        <f>IF(Z56="","",_xll.IMDP("STK",Z56,"시가총액"))</f>
        <v/>
      </c>
      <c r="AF56" s="20" t="str">
        <f t="shared" si="2"/>
        <v>095720</v>
      </c>
      <c r="AG56" s="21" t="str">
        <f>IF(AF56="","",_xll.IMDP("STK",$AF56,"한글종목명"))</f>
        <v>웅진씽크빅</v>
      </c>
      <c r="AH56" s="48">
        <f>IF(AF56="","",_xll.IMDP("STK",$AF56,"현재가"))</f>
        <v>2485</v>
      </c>
      <c r="AI56" s="48">
        <f>IF(AF56="","",_xll.IMDP("STK",$AF56,"전일대비"))</f>
        <v>30</v>
      </c>
      <c r="AJ56" s="49">
        <f>IF(AF56="","",_xll.IMDP("STK",$AF56,"등락률"))</f>
        <v>1.22</v>
      </c>
      <c r="AK56" s="48">
        <f>IF(AF56="","",_xll.IMDP("STK",$AF56,"시가총액"))</f>
        <v>287032372725</v>
      </c>
      <c r="AL56" s="20" t="str">
        <f t="shared" si="1"/>
        <v/>
      </c>
      <c r="AM56" s="21" t="str">
        <f>IF(AL56="","",_xll.IMDP("STK",$AL56,"한글종목명"))</f>
        <v/>
      </c>
      <c r="AN56" s="48" t="str">
        <f>IF(AL56="","",_xll.IMDP("STK",$AL56,"현재가"))</f>
        <v/>
      </c>
      <c r="AO56" s="48" t="str">
        <f>IF(AL56="","",_xll.IMDP("STK",$AL56,"전일대비"))</f>
        <v/>
      </c>
      <c r="AP56" s="49" t="str">
        <f>IF(AL56="","",_xll.IMDP("STK",$AL56,"등락률"))</f>
        <v/>
      </c>
      <c r="AQ56" s="48" t="str">
        <f>IF(AL56="","",_xll.IMDP("STK",$AL56,"시가총액"))</f>
        <v/>
      </c>
    </row>
    <row r="57" spans="3:43" x14ac:dyDescent="0.25">
      <c r="C57" s="22">
        <v>52</v>
      </c>
      <c r="G57" s="25" t="s">
        <v>301</v>
      </c>
      <c r="L57" s="25" t="s">
        <v>609</v>
      </c>
      <c r="N57" s="25" t="s">
        <v>683</v>
      </c>
      <c r="O57" s="25" t="s">
        <v>743</v>
      </c>
      <c r="T57" s="25" t="s">
        <v>887</v>
      </c>
      <c r="X57" s="25" t="s">
        <v>1033</v>
      </c>
      <c r="Y57" s="25" t="s">
        <v>266</v>
      </c>
      <c r="Z57" s="20" t="str">
        <f t="shared" si="0"/>
        <v/>
      </c>
      <c r="AA57" s="21" t="str">
        <f>IF(Z57="","",_xll.IMDP("STK",$Z57,"한글종목명"))</f>
        <v/>
      </c>
      <c r="AB57" s="48" t="str">
        <f>IF(Z57="","",_xll.IMDP("STK",$Z57,"현재가"))</f>
        <v/>
      </c>
      <c r="AC57" s="48" t="str">
        <f>IF(Z57="","",_xll.IMDP("STK",$Z57,"전일대비"))</f>
        <v/>
      </c>
      <c r="AD57" s="49" t="str">
        <f>IF(Z57="","",_xll.IMDP("STK",$Z57,"등락률"))</f>
        <v/>
      </c>
      <c r="AE57" s="48" t="str">
        <f>IF(Z57="","",_xll.IMDP("STK",Z57,"시가총액"))</f>
        <v/>
      </c>
      <c r="AF57" s="20" t="str">
        <f t="shared" si="2"/>
        <v>000700</v>
      </c>
      <c r="AG57" s="21" t="str">
        <f>IF(AF57="","",_xll.IMDP("STK",$AF57,"한글종목명"))</f>
        <v>유수홀딩스</v>
      </c>
      <c r="AH57" s="48">
        <f>IF(AF57="","",_xll.IMDP("STK",$AF57,"현재가"))</f>
        <v>5900</v>
      </c>
      <c r="AI57" s="48">
        <f>IF(AF57="","",_xll.IMDP("STK",$AF57,"전일대비"))</f>
        <v>-10</v>
      </c>
      <c r="AJ57" s="49">
        <f>IF(AF57="","",_xll.IMDP("STK",$AF57,"등락률"))</f>
        <v>-0.17</v>
      </c>
      <c r="AK57" s="48">
        <f>IF(AF57="","",_xll.IMDP("STK",$AF57,"시가총액"))</f>
        <v>153646690800</v>
      </c>
      <c r="AL57" s="20" t="str">
        <f t="shared" si="1"/>
        <v/>
      </c>
      <c r="AM57" s="21" t="str">
        <f>IF(AL57="","",_xll.IMDP("STK",$AL57,"한글종목명"))</f>
        <v/>
      </c>
      <c r="AN57" s="48" t="str">
        <f>IF(AL57="","",_xll.IMDP("STK",$AL57,"현재가"))</f>
        <v/>
      </c>
      <c r="AO57" s="48" t="str">
        <f>IF(AL57="","",_xll.IMDP("STK",$AL57,"전일대비"))</f>
        <v/>
      </c>
      <c r="AP57" s="49" t="str">
        <f>IF(AL57="","",_xll.IMDP("STK",$AL57,"등락률"))</f>
        <v/>
      </c>
      <c r="AQ57" s="48" t="str">
        <f>IF(AL57="","",_xll.IMDP("STK",$AL57,"시가총액"))</f>
        <v/>
      </c>
    </row>
    <row r="58" spans="3:43" x14ac:dyDescent="0.25">
      <c r="C58" s="22">
        <v>53</v>
      </c>
      <c r="G58" s="25" t="s">
        <v>302</v>
      </c>
      <c r="L58" s="25" t="s">
        <v>610</v>
      </c>
      <c r="N58" s="25" t="s">
        <v>684</v>
      </c>
      <c r="O58" s="25" t="s">
        <v>744</v>
      </c>
      <c r="T58" s="25" t="s">
        <v>888</v>
      </c>
      <c r="X58" s="25" t="s">
        <v>1034</v>
      </c>
      <c r="Y58" s="25" t="s">
        <v>267</v>
      </c>
      <c r="Z58" s="20" t="str">
        <f t="shared" si="0"/>
        <v/>
      </c>
      <c r="AA58" s="21" t="str">
        <f>IF(Z58="","",_xll.IMDP("STK",$Z58,"한글종목명"))</f>
        <v/>
      </c>
      <c r="AB58" s="48" t="str">
        <f>IF(Z58="","",_xll.IMDP("STK",$Z58,"현재가"))</f>
        <v/>
      </c>
      <c r="AC58" s="48" t="str">
        <f>IF(Z58="","",_xll.IMDP("STK",$Z58,"전일대비"))</f>
        <v/>
      </c>
      <c r="AD58" s="49" t="str">
        <f>IF(Z58="","",_xll.IMDP("STK",$Z58,"등락률"))</f>
        <v/>
      </c>
      <c r="AE58" s="48" t="str">
        <f>IF(Z58="","",_xll.IMDP("STK",Z58,"시가총액"))</f>
        <v/>
      </c>
      <c r="AF58" s="20" t="str">
        <f t="shared" si="2"/>
        <v>072130</v>
      </c>
      <c r="AG58" s="21" t="str">
        <f>IF(AF58="","",_xll.IMDP("STK",$AF58,"한글종목명"))</f>
        <v>유엔젤</v>
      </c>
      <c r="AH58" s="48">
        <f>IF(AF58="","",_xll.IMDP("STK",$AF58,"현재가"))</f>
        <v>3720</v>
      </c>
      <c r="AI58" s="48">
        <f>IF(AF58="","",_xll.IMDP("STK",$AF58,"전일대비"))</f>
        <v>20</v>
      </c>
      <c r="AJ58" s="49">
        <f>IF(AF58="","",_xll.IMDP("STK",$AF58,"등락률"))</f>
        <v>0.54</v>
      </c>
      <c r="AK58" s="48">
        <f>IF(AF58="","",_xll.IMDP("STK",$AF58,"시가총액"))</f>
        <v>49087088880</v>
      </c>
      <c r="AL58" s="20" t="str">
        <f t="shared" si="1"/>
        <v/>
      </c>
      <c r="AM58" s="21" t="str">
        <f>IF(AL58="","",_xll.IMDP("STK",$AL58,"한글종목명"))</f>
        <v/>
      </c>
      <c r="AN58" s="48" t="str">
        <f>IF(AL58="","",_xll.IMDP("STK",$AL58,"현재가"))</f>
        <v/>
      </c>
      <c r="AO58" s="48" t="str">
        <f>IF(AL58="","",_xll.IMDP("STK",$AL58,"전일대비"))</f>
        <v/>
      </c>
      <c r="AP58" s="49" t="str">
        <f>IF(AL58="","",_xll.IMDP("STK",$AL58,"등락률"))</f>
        <v/>
      </c>
      <c r="AQ58" s="48" t="str">
        <f>IF(AL58="","",_xll.IMDP("STK",$AL58,"시가총액"))</f>
        <v/>
      </c>
    </row>
    <row r="59" spans="3:43" x14ac:dyDescent="0.25">
      <c r="C59" s="22">
        <v>54</v>
      </c>
      <c r="G59" s="25" t="s">
        <v>303</v>
      </c>
      <c r="L59" s="25" t="s">
        <v>611</v>
      </c>
      <c r="N59" s="25" t="s">
        <v>685</v>
      </c>
      <c r="O59" s="25" t="s">
        <v>745</v>
      </c>
      <c r="T59" s="25" t="s">
        <v>889</v>
      </c>
      <c r="X59" s="25" t="s">
        <v>1035</v>
      </c>
      <c r="Y59" s="25" t="s">
        <v>268</v>
      </c>
      <c r="Z59" s="20" t="str">
        <f t="shared" si="0"/>
        <v/>
      </c>
      <c r="AA59" s="21" t="str">
        <f>IF(Z59="","",_xll.IMDP("STK",$Z59,"한글종목명"))</f>
        <v/>
      </c>
      <c r="AB59" s="48" t="str">
        <f>IF(Z59="","",_xll.IMDP("STK",$Z59,"현재가"))</f>
        <v/>
      </c>
      <c r="AC59" s="48" t="str">
        <f>IF(Z59="","",_xll.IMDP("STK",$Z59,"전일대비"))</f>
        <v/>
      </c>
      <c r="AD59" s="49" t="str">
        <f>IF(Z59="","",_xll.IMDP("STK",$Z59,"등락률"))</f>
        <v/>
      </c>
      <c r="AE59" s="48" t="str">
        <f>IF(Z59="","",_xll.IMDP("STK",Z59,"시가총액"))</f>
        <v/>
      </c>
      <c r="AF59" s="20" t="str">
        <f t="shared" si="2"/>
        <v>214320</v>
      </c>
      <c r="AG59" s="21" t="str">
        <f>IF(AF59="","",_xll.IMDP("STK",$AF59,"한글종목명"))</f>
        <v>이노션</v>
      </c>
      <c r="AH59" s="48">
        <f>IF(AF59="","",_xll.IMDP("STK",$AF59,"현재가"))</f>
        <v>40100</v>
      </c>
      <c r="AI59" s="48">
        <f>IF(AF59="","",_xll.IMDP("STK",$AF59,"전일대비"))</f>
        <v>-350</v>
      </c>
      <c r="AJ59" s="49">
        <f>IF(AF59="","",_xll.IMDP("STK",$AF59,"등락률"))</f>
        <v>-0.87</v>
      </c>
      <c r="AK59" s="48">
        <f>IF(AF59="","",_xll.IMDP("STK",$AF59,"시가총액"))</f>
        <v>802000000000</v>
      </c>
      <c r="AL59" s="20" t="str">
        <f t="shared" si="1"/>
        <v/>
      </c>
      <c r="AM59" s="21" t="str">
        <f>IF(AL59="","",_xll.IMDP("STK",$AL59,"한글종목명"))</f>
        <v/>
      </c>
      <c r="AN59" s="48" t="str">
        <f>IF(AL59="","",_xll.IMDP("STK",$AL59,"현재가"))</f>
        <v/>
      </c>
      <c r="AO59" s="48" t="str">
        <f>IF(AL59="","",_xll.IMDP("STK",$AL59,"전일대비"))</f>
        <v/>
      </c>
      <c r="AP59" s="49" t="str">
        <f>IF(AL59="","",_xll.IMDP("STK",$AL59,"등락률"))</f>
        <v/>
      </c>
      <c r="AQ59" s="48" t="str">
        <f>IF(AL59="","",_xll.IMDP("STK",$AL59,"시가총액"))</f>
        <v/>
      </c>
    </row>
    <row r="60" spans="3:43" x14ac:dyDescent="0.25">
      <c r="C60" s="22">
        <v>55</v>
      </c>
      <c r="G60" s="25" t="s">
        <v>304</v>
      </c>
      <c r="L60" s="25" t="s">
        <v>612</v>
      </c>
      <c r="N60" s="25" t="s">
        <v>686</v>
      </c>
      <c r="O60" s="25" t="s">
        <v>746</v>
      </c>
      <c r="T60" s="25" t="s">
        <v>890</v>
      </c>
      <c r="X60" s="25" t="s">
        <v>1036</v>
      </c>
      <c r="Y60" s="25" t="s">
        <v>566</v>
      </c>
      <c r="Z60" s="20" t="str">
        <f t="shared" si="0"/>
        <v/>
      </c>
      <c r="AA60" s="21" t="str">
        <f>IF(Z60="","",_xll.IMDP("STK",$Z60,"한글종목명"))</f>
        <v/>
      </c>
      <c r="AB60" s="48" t="str">
        <f>IF(Z60="","",_xll.IMDP("STK",$Z60,"현재가"))</f>
        <v/>
      </c>
      <c r="AC60" s="48" t="str">
        <f>IF(Z60="","",_xll.IMDP("STK",$Z60,"전일대비"))</f>
        <v/>
      </c>
      <c r="AD60" s="49" t="str">
        <f>IF(Z60="","",_xll.IMDP("STK",$Z60,"등락률"))</f>
        <v/>
      </c>
      <c r="AE60" s="48" t="str">
        <f>IF(Z60="","",_xll.IMDP("STK",Z60,"시가총액"))</f>
        <v/>
      </c>
      <c r="AF60" s="20" t="str">
        <f t="shared" si="2"/>
        <v>015020</v>
      </c>
      <c r="AG60" s="21" t="str">
        <f>IF(AF60="","",_xll.IMDP("STK",$AF60,"한글종목명"))</f>
        <v>이스타코</v>
      </c>
      <c r="AH60" s="48">
        <f>IF(AF60="","",_xll.IMDP("STK",$AF60,"현재가"))</f>
        <v>751</v>
      </c>
      <c r="AI60" s="48">
        <f>IF(AF60="","",_xll.IMDP("STK",$AF60,"전일대비"))</f>
        <v>6</v>
      </c>
      <c r="AJ60" s="49">
        <f>IF(AF60="","",_xll.IMDP("STK",$AF60,"등락률"))</f>
        <v>0.81</v>
      </c>
      <c r="AK60" s="48">
        <f>IF(AF60="","",_xll.IMDP("STK",$AF60,"시가총액"))</f>
        <v>32181551600</v>
      </c>
      <c r="AL60" s="20" t="str">
        <f t="shared" si="1"/>
        <v/>
      </c>
      <c r="AM60" s="21" t="str">
        <f>IF(AL60="","",_xll.IMDP("STK",$AL60,"한글종목명"))</f>
        <v/>
      </c>
      <c r="AN60" s="48" t="str">
        <f>IF(AL60="","",_xll.IMDP("STK",$AL60,"현재가"))</f>
        <v/>
      </c>
      <c r="AO60" s="48" t="str">
        <f>IF(AL60="","",_xll.IMDP("STK",$AL60,"전일대비"))</f>
        <v/>
      </c>
      <c r="AP60" s="49" t="str">
        <f>IF(AL60="","",_xll.IMDP("STK",$AL60,"등락률"))</f>
        <v/>
      </c>
      <c r="AQ60" s="48" t="str">
        <f>IF(AL60="","",_xll.IMDP("STK",$AL60,"시가총액"))</f>
        <v/>
      </c>
    </row>
    <row r="61" spans="3:43" x14ac:dyDescent="0.25">
      <c r="C61" s="22">
        <v>56</v>
      </c>
      <c r="G61" s="25" t="s">
        <v>305</v>
      </c>
      <c r="L61" s="25" t="s">
        <v>613</v>
      </c>
      <c r="N61" s="25" t="s">
        <v>687</v>
      </c>
      <c r="O61" s="25" t="s">
        <v>747</v>
      </c>
      <c r="T61" s="25" t="s">
        <v>891</v>
      </c>
      <c r="X61" s="25" t="s">
        <v>1037</v>
      </c>
      <c r="Y61" s="25" t="s">
        <v>179</v>
      </c>
      <c r="Z61" s="20" t="str">
        <f t="shared" si="0"/>
        <v/>
      </c>
      <c r="AA61" s="21" t="str">
        <f>IF(Z61="","",_xll.IMDP("STK",$Z61,"한글종목명"))</f>
        <v/>
      </c>
      <c r="AB61" s="48" t="str">
        <f>IF(Z61="","",_xll.IMDP("STK",$Z61,"현재가"))</f>
        <v/>
      </c>
      <c r="AC61" s="48" t="str">
        <f>IF(Z61="","",_xll.IMDP("STK",$Z61,"전일대비"))</f>
        <v/>
      </c>
      <c r="AD61" s="49" t="str">
        <f>IF(Z61="","",_xll.IMDP("STK",$Z61,"등락률"))</f>
        <v/>
      </c>
      <c r="AE61" s="48" t="str">
        <f>IF(Z61="","",_xll.IMDP("STK",Z61,"시가총액"))</f>
        <v/>
      </c>
      <c r="AF61" s="20" t="str">
        <f t="shared" si="2"/>
        <v>084680</v>
      </c>
      <c r="AG61" s="21" t="str">
        <f>IF(AF61="","",_xll.IMDP("STK",$AF61,"한글종목명"))</f>
        <v>이월드</v>
      </c>
      <c r="AH61" s="48">
        <f>IF(AF61="","",_xll.IMDP("STK",$AF61,"현재가"))</f>
        <v>1360</v>
      </c>
      <c r="AI61" s="48">
        <f>IF(AF61="","",_xll.IMDP("STK",$AF61,"전일대비"))</f>
        <v>4</v>
      </c>
      <c r="AJ61" s="49">
        <f>IF(AF61="","",_xll.IMDP("STK",$AF61,"등락률"))</f>
        <v>0.28999999999999998</v>
      </c>
      <c r="AK61" s="48">
        <f>IF(AF61="","",_xll.IMDP("STK",$AF61,"시가총액"))</f>
        <v>192856422480</v>
      </c>
      <c r="AL61" s="20" t="str">
        <f t="shared" si="1"/>
        <v/>
      </c>
      <c r="AM61" s="21" t="str">
        <f>IF(AL61="","",_xll.IMDP("STK",$AL61,"한글종목명"))</f>
        <v/>
      </c>
      <c r="AN61" s="48" t="str">
        <f>IF(AL61="","",_xll.IMDP("STK",$AL61,"현재가"))</f>
        <v/>
      </c>
      <c r="AO61" s="48" t="str">
        <f>IF(AL61="","",_xll.IMDP("STK",$AL61,"전일대비"))</f>
        <v/>
      </c>
      <c r="AP61" s="49" t="str">
        <f>IF(AL61="","",_xll.IMDP("STK",$AL61,"등락률"))</f>
        <v/>
      </c>
      <c r="AQ61" s="48" t="str">
        <f>IF(AL61="","",_xll.IMDP("STK",$AL61,"시가총액"))</f>
        <v/>
      </c>
    </row>
    <row r="62" spans="3:43" x14ac:dyDescent="0.25">
      <c r="C62" s="22">
        <v>57</v>
      </c>
      <c r="G62" s="25" t="s">
        <v>306</v>
      </c>
      <c r="L62" s="25" t="s">
        <v>614</v>
      </c>
      <c r="N62" s="25" t="s">
        <v>688</v>
      </c>
      <c r="O62" s="25" t="s">
        <v>748</v>
      </c>
      <c r="T62" s="25" t="s">
        <v>892</v>
      </c>
      <c r="X62" s="25" t="s">
        <v>1038</v>
      </c>
      <c r="Y62" s="25" t="s">
        <v>518</v>
      </c>
      <c r="Z62" s="20" t="str">
        <f t="shared" si="0"/>
        <v/>
      </c>
      <c r="AA62" s="21" t="str">
        <f>IF(Z62="","",_xll.IMDP("STK",$Z62,"한글종목명"))</f>
        <v/>
      </c>
      <c r="AB62" s="48" t="str">
        <f>IF(Z62="","",_xll.IMDP("STK",$Z62,"현재가"))</f>
        <v/>
      </c>
      <c r="AC62" s="48" t="str">
        <f>IF(Z62="","",_xll.IMDP("STK",$Z62,"전일대비"))</f>
        <v/>
      </c>
      <c r="AD62" s="49" t="str">
        <f>IF(Z62="","",_xll.IMDP("STK",$Z62,"등락률"))</f>
        <v/>
      </c>
      <c r="AE62" s="48" t="str">
        <f>IF(Z62="","",_xll.IMDP("STK",Z62,"시가총액"))</f>
        <v/>
      </c>
      <c r="AF62" s="20" t="str">
        <f t="shared" si="2"/>
        <v>030000</v>
      </c>
      <c r="AG62" s="21" t="str">
        <f>IF(AF62="","",_xll.IMDP("STK",$AF62,"한글종목명"))</f>
        <v>제일기획</v>
      </c>
      <c r="AH62" s="48">
        <f>IF(AF62="","",_xll.IMDP("STK",$AF62,"현재가"))</f>
        <v>19020</v>
      </c>
      <c r="AI62" s="48">
        <f>IF(AF62="","",_xll.IMDP("STK",$AF62,"전일대비"))</f>
        <v>-10</v>
      </c>
      <c r="AJ62" s="49">
        <f>IF(AF62="","",_xll.IMDP("STK",$AF62,"등락률"))</f>
        <v>-0.05</v>
      </c>
      <c r="AK62" s="48">
        <f>IF(AF62="","",_xll.IMDP("STK",$AF62,"시가총액"))</f>
        <v>2188084099500</v>
      </c>
      <c r="AL62" s="20" t="str">
        <f t="shared" si="1"/>
        <v/>
      </c>
      <c r="AM62" s="21" t="str">
        <f>IF(AL62="","",_xll.IMDP("STK",$AL62,"한글종목명"))</f>
        <v/>
      </c>
      <c r="AN62" s="48" t="str">
        <f>IF(AL62="","",_xll.IMDP("STK",$AL62,"현재가"))</f>
        <v/>
      </c>
      <c r="AO62" s="48" t="str">
        <f>IF(AL62="","",_xll.IMDP("STK",$AL62,"전일대비"))</f>
        <v/>
      </c>
      <c r="AP62" s="49" t="str">
        <f>IF(AL62="","",_xll.IMDP("STK",$AL62,"등락률"))</f>
        <v/>
      </c>
      <c r="AQ62" s="48" t="str">
        <f>IF(AL62="","",_xll.IMDP("STK",$AL62,"시가총액"))</f>
        <v/>
      </c>
    </row>
    <row r="63" spans="3:43" x14ac:dyDescent="0.25">
      <c r="C63" s="22">
        <v>58</v>
      </c>
      <c r="G63" s="25" t="s">
        <v>307</v>
      </c>
      <c r="L63" s="25" t="s">
        <v>615</v>
      </c>
      <c r="N63" s="25" t="s">
        <v>689</v>
      </c>
      <c r="O63" s="25" t="s">
        <v>749</v>
      </c>
      <c r="T63" s="25" t="s">
        <v>893</v>
      </c>
      <c r="X63" s="25" t="s">
        <v>1039</v>
      </c>
      <c r="Y63" s="25" t="s">
        <v>519</v>
      </c>
      <c r="Z63" s="20" t="str">
        <f t="shared" si="0"/>
        <v/>
      </c>
      <c r="AA63" s="21" t="str">
        <f>IF(Z63="","",_xll.IMDP("STK",$Z63,"한글종목명"))</f>
        <v/>
      </c>
      <c r="AB63" s="48" t="str">
        <f>IF(Z63="","",_xll.IMDP("STK",$Z63,"현재가"))</f>
        <v/>
      </c>
      <c r="AC63" s="48" t="str">
        <f>IF(Z63="","",_xll.IMDP("STK",$Z63,"전일대비"))</f>
        <v/>
      </c>
      <c r="AD63" s="49" t="str">
        <f>IF(Z63="","",_xll.IMDP("STK",$Z63,"등락률"))</f>
        <v/>
      </c>
      <c r="AE63" s="48" t="str">
        <f>IF(Z63="","",_xll.IMDP("STK",Z63,"시가총액"))</f>
        <v/>
      </c>
      <c r="AF63" s="20" t="str">
        <f t="shared" si="2"/>
        <v>002620</v>
      </c>
      <c r="AG63" s="21" t="str">
        <f>IF(AF63="","",_xll.IMDP("STK",$AF63,"한글종목명"))</f>
        <v>제일파마홀딩스</v>
      </c>
      <c r="AH63" s="48">
        <f>IF(AF63="","",_xll.IMDP("STK",$AF63,"현재가"))</f>
        <v>11160</v>
      </c>
      <c r="AI63" s="48">
        <f>IF(AF63="","",_xll.IMDP("STK",$AF63,"전일대비"))</f>
        <v>-40</v>
      </c>
      <c r="AJ63" s="49">
        <f>IF(AF63="","",_xll.IMDP("STK",$AF63,"등락률"))</f>
        <v>-0.36</v>
      </c>
      <c r="AK63" s="48">
        <f>IF(AF63="","",_xll.IMDP("STK",$AF63,"시가총액"))</f>
        <v>178262641800</v>
      </c>
      <c r="AL63" s="20" t="str">
        <f t="shared" si="1"/>
        <v/>
      </c>
      <c r="AM63" s="21" t="str">
        <f>IF(AL63="","",_xll.IMDP("STK",$AL63,"한글종목명"))</f>
        <v/>
      </c>
      <c r="AN63" s="48" t="str">
        <f>IF(AL63="","",_xll.IMDP("STK",$AL63,"현재가"))</f>
        <v/>
      </c>
      <c r="AO63" s="48" t="str">
        <f>IF(AL63="","",_xll.IMDP("STK",$AL63,"전일대비"))</f>
        <v/>
      </c>
      <c r="AP63" s="49" t="str">
        <f>IF(AL63="","",_xll.IMDP("STK",$AL63,"등락률"))</f>
        <v/>
      </c>
      <c r="AQ63" s="48" t="str">
        <f>IF(AL63="","",_xll.IMDP("STK",$AL63,"시가총액"))</f>
        <v/>
      </c>
    </row>
    <row r="64" spans="3:43" x14ac:dyDescent="0.25">
      <c r="C64" s="22">
        <v>59</v>
      </c>
      <c r="G64" s="25" t="s">
        <v>308</v>
      </c>
      <c r="L64" s="25" t="s">
        <v>616</v>
      </c>
      <c r="N64" s="25" t="s">
        <v>690</v>
      </c>
      <c r="O64" s="25" t="s">
        <v>750</v>
      </c>
      <c r="T64" s="25" t="s">
        <v>894</v>
      </c>
      <c r="X64" s="25" t="s">
        <v>1040</v>
      </c>
      <c r="Y64" s="25" t="s">
        <v>226</v>
      </c>
      <c r="Z64" s="20" t="str">
        <f t="shared" si="0"/>
        <v/>
      </c>
      <c r="AA64" s="21" t="str">
        <f>IF(Z64="","",_xll.IMDP("STK",$Z64,"한글종목명"))</f>
        <v/>
      </c>
      <c r="AB64" s="48" t="str">
        <f>IF(Z64="","",_xll.IMDP("STK",$Z64,"현재가"))</f>
        <v/>
      </c>
      <c r="AC64" s="48" t="str">
        <f>IF(Z64="","",_xll.IMDP("STK",$Z64,"전일대비"))</f>
        <v/>
      </c>
      <c r="AD64" s="49" t="str">
        <f>IF(Z64="","",_xll.IMDP("STK",$Z64,"등락률"))</f>
        <v/>
      </c>
      <c r="AE64" s="48" t="str">
        <f>IF(Z64="","",_xll.IMDP("STK",Z64,"시가총액"))</f>
        <v/>
      </c>
      <c r="AF64" s="20" t="str">
        <f t="shared" si="2"/>
        <v>035000</v>
      </c>
      <c r="AG64" s="21" t="str">
        <f>IF(AF64="","",_xll.IMDP("STK",$AF64,"한글종목명"))</f>
        <v>HS애드</v>
      </c>
      <c r="AH64" s="48">
        <f>IF(AF64="","",_xll.IMDP("STK",$AF64,"현재가"))</f>
        <v>5980</v>
      </c>
      <c r="AI64" s="48">
        <f>IF(AF64="","",_xll.IMDP("STK",$AF64,"전일대비"))</f>
        <v>20</v>
      </c>
      <c r="AJ64" s="49">
        <f>IF(AF64="","",_xll.IMDP("STK",$AF64,"등락률"))</f>
        <v>0.34</v>
      </c>
      <c r="AK64" s="48">
        <f>IF(AF64="","",_xll.IMDP("STK",$AF64,"시가총액"))</f>
        <v>99073105820</v>
      </c>
      <c r="AL64" s="20" t="str">
        <f t="shared" si="1"/>
        <v/>
      </c>
      <c r="AM64" s="21" t="str">
        <f>IF(AL64="","",_xll.IMDP("STK",$AL64,"한글종목명"))</f>
        <v/>
      </c>
      <c r="AN64" s="48" t="str">
        <f>IF(AL64="","",_xll.IMDP("STK",$AL64,"현재가"))</f>
        <v/>
      </c>
      <c r="AO64" s="48" t="str">
        <f>IF(AL64="","",_xll.IMDP("STK",$AL64,"전일대비"))</f>
        <v/>
      </c>
      <c r="AP64" s="49" t="str">
        <f>IF(AL64="","",_xll.IMDP("STK",$AL64,"등락률"))</f>
        <v/>
      </c>
      <c r="AQ64" s="48" t="str">
        <f>IF(AL64="","",_xll.IMDP("STK",$AL64,"시가총액"))</f>
        <v/>
      </c>
    </row>
    <row r="65" spans="3:43" x14ac:dyDescent="0.25">
      <c r="C65" s="22">
        <v>60</v>
      </c>
      <c r="G65" s="25" t="s">
        <v>309</v>
      </c>
      <c r="L65" s="25" t="s">
        <v>617</v>
      </c>
      <c r="O65" s="25" t="s">
        <v>751</v>
      </c>
      <c r="T65" s="25" t="s">
        <v>895</v>
      </c>
      <c r="X65" s="25" t="s">
        <v>1041</v>
      </c>
      <c r="Y65" s="25" t="s">
        <v>468</v>
      </c>
      <c r="Z65" s="20" t="str">
        <f t="shared" si="0"/>
        <v/>
      </c>
      <c r="AA65" s="21" t="str">
        <f>IF(Z65="","",_xll.IMDP("STK",$Z65,"한글종목명"))</f>
        <v/>
      </c>
      <c r="AB65" s="48" t="str">
        <f>IF(Z65="","",_xll.IMDP("STK",$Z65,"현재가"))</f>
        <v/>
      </c>
      <c r="AC65" s="48" t="str">
        <f>IF(Z65="","",_xll.IMDP("STK",$Z65,"전일대비"))</f>
        <v/>
      </c>
      <c r="AD65" s="49" t="str">
        <f>IF(Z65="","",_xll.IMDP("STK",$Z65,"등락률"))</f>
        <v/>
      </c>
      <c r="AE65" s="48" t="str">
        <f>IF(Z65="","",_xll.IMDP("STK",Z65,"시가총액"))</f>
        <v/>
      </c>
      <c r="AF65" s="20" t="str">
        <f t="shared" si="2"/>
        <v>035720</v>
      </c>
      <c r="AG65" s="21" t="str">
        <f>IF(AF65="","",_xll.IMDP("STK",$AF65,"한글종목명"))</f>
        <v>카카오</v>
      </c>
      <c r="AH65" s="48">
        <f>IF(AF65="","",_xll.IMDP("STK",$AF65,"현재가"))</f>
        <v>48350</v>
      </c>
      <c r="AI65" s="48">
        <f>IF(AF65="","",_xll.IMDP("STK",$AF65,"전일대비"))</f>
        <v>-650</v>
      </c>
      <c r="AJ65" s="49">
        <f>IF(AF65="","",_xll.IMDP("STK",$AF65,"등락률"))</f>
        <v>-1.33</v>
      </c>
      <c r="AK65" s="48">
        <f>IF(AF65="","",_xll.IMDP("STK",$AF65,"시가총액"))</f>
        <v>21484375201500</v>
      </c>
      <c r="AL65" s="20" t="str">
        <f t="shared" si="1"/>
        <v/>
      </c>
      <c r="AM65" s="21" t="str">
        <f>IF(AL65="","",_xll.IMDP("STK",$AL65,"한글종목명"))</f>
        <v/>
      </c>
      <c r="AN65" s="48" t="str">
        <f>IF(AL65="","",_xll.IMDP("STK",$AL65,"현재가"))</f>
        <v/>
      </c>
      <c r="AO65" s="48" t="str">
        <f>IF(AL65="","",_xll.IMDP("STK",$AL65,"전일대비"))</f>
        <v/>
      </c>
      <c r="AP65" s="49" t="str">
        <f>IF(AL65="","",_xll.IMDP("STK",$AL65,"등락률"))</f>
        <v/>
      </c>
      <c r="AQ65" s="48" t="str">
        <f>IF(AL65="","",_xll.IMDP("STK",$AL65,"시가총액"))</f>
        <v/>
      </c>
    </row>
    <row r="66" spans="3:43" x14ac:dyDescent="0.25">
      <c r="C66" s="22">
        <v>61</v>
      </c>
      <c r="G66" s="25" t="s">
        <v>310</v>
      </c>
      <c r="L66" s="25" t="s">
        <v>618</v>
      </c>
      <c r="O66" s="25" t="s">
        <v>752</v>
      </c>
      <c r="T66" s="25" t="s">
        <v>896</v>
      </c>
      <c r="X66" s="25" t="s">
        <v>1042</v>
      </c>
      <c r="Y66" s="25" t="s">
        <v>269</v>
      </c>
      <c r="Z66" s="20" t="str">
        <f t="shared" si="0"/>
        <v/>
      </c>
      <c r="AA66" s="21" t="str">
        <f>IF(Z66="","",_xll.IMDP("STK",$Z66,"한글종목명"))</f>
        <v/>
      </c>
      <c r="AB66" s="48" t="str">
        <f>IF(Z66="","",_xll.IMDP("STK",$Z66,"현재가"))</f>
        <v/>
      </c>
      <c r="AC66" s="48" t="str">
        <f>IF(Z66="","",_xll.IMDP("STK",$Z66,"전일대비"))</f>
        <v/>
      </c>
      <c r="AD66" s="49" t="str">
        <f>IF(Z66="","",_xll.IMDP("STK",$Z66,"등락률"))</f>
        <v/>
      </c>
      <c r="AE66" s="48" t="str">
        <f>IF(Z66="","",_xll.IMDP("STK",Z66,"시가총액"))</f>
        <v/>
      </c>
      <c r="AF66" s="20" t="str">
        <f t="shared" si="2"/>
        <v>145270</v>
      </c>
      <c r="AG66" s="21" t="str">
        <f>IF(AF66="","",_xll.IMDP("STK",$AF66,"한글종목명"))</f>
        <v>케이탑리츠</v>
      </c>
      <c r="AH66" s="48">
        <f>IF(AF66="","",_xll.IMDP("STK",$AF66,"현재가"))</f>
        <v>1002</v>
      </c>
      <c r="AI66" s="48">
        <f>IF(AF66="","",_xll.IMDP("STK",$AF66,"전일대비"))</f>
        <v>0</v>
      </c>
      <c r="AJ66" s="49">
        <f>IF(AF66="","",_xll.IMDP("STK",$AF66,"등락률"))</f>
        <v>0</v>
      </c>
      <c r="AK66" s="48">
        <f>IF(AF66="","",_xll.IMDP("STK",$AF66,"시가총액"))</f>
        <v>48156895548</v>
      </c>
      <c r="AL66" s="20" t="str">
        <f t="shared" si="1"/>
        <v/>
      </c>
      <c r="AM66" s="21" t="str">
        <f>IF(AL66="","",_xll.IMDP("STK",$AL66,"한글종목명"))</f>
        <v/>
      </c>
      <c r="AN66" s="48" t="str">
        <f>IF(AL66="","",_xll.IMDP("STK",$AL66,"현재가"))</f>
        <v/>
      </c>
      <c r="AO66" s="48" t="str">
        <f>IF(AL66="","",_xll.IMDP("STK",$AL66,"전일대비"))</f>
        <v/>
      </c>
      <c r="AP66" s="49" t="str">
        <f>IF(AL66="","",_xll.IMDP("STK",$AL66,"등락률"))</f>
        <v/>
      </c>
      <c r="AQ66" s="48" t="str">
        <f>IF(AL66="","",_xll.IMDP("STK",$AL66,"시가총액"))</f>
        <v/>
      </c>
    </row>
    <row r="67" spans="3:43" x14ac:dyDescent="0.25">
      <c r="C67" s="22">
        <v>62</v>
      </c>
      <c r="G67" s="25" t="s">
        <v>311</v>
      </c>
      <c r="L67" s="25" t="s">
        <v>619</v>
      </c>
      <c r="O67" s="25" t="s">
        <v>753</v>
      </c>
      <c r="T67" s="25" t="s">
        <v>897</v>
      </c>
      <c r="X67" s="25" t="s">
        <v>1043</v>
      </c>
      <c r="Y67" s="25" t="s">
        <v>1062</v>
      </c>
      <c r="Z67" s="20" t="str">
        <f t="shared" si="0"/>
        <v/>
      </c>
      <c r="AA67" s="21" t="str">
        <f>IF(Z67="","",_xll.IMDP("STK",$Z67,"한글종목명"))</f>
        <v/>
      </c>
      <c r="AB67" s="48" t="str">
        <f>IF(Z67="","",_xll.IMDP("STK",$Z67,"현재가"))</f>
        <v/>
      </c>
      <c r="AC67" s="48" t="str">
        <f>IF(Z67="","",_xll.IMDP("STK",$Z67,"전일대비"))</f>
        <v/>
      </c>
      <c r="AD67" s="49" t="str">
        <f>IF(Z67="","",_xll.IMDP("STK",$Z67,"등락률"))</f>
        <v/>
      </c>
      <c r="AE67" s="48" t="str">
        <f>IF(Z67="","",_xll.IMDP("STK",Z67,"시가총액"))</f>
        <v/>
      </c>
      <c r="AF67" s="20" t="str">
        <f t="shared" si="2"/>
        <v>058860</v>
      </c>
      <c r="AG67" s="21" t="str">
        <f>IF(AF67="","",_xll.IMDP("STK",$AF67,"한글종목명"))</f>
        <v>KTis</v>
      </c>
      <c r="AH67" s="48">
        <f>IF(AF67="","",_xll.IMDP("STK",$AF67,"현재가"))</f>
        <v>3245</v>
      </c>
      <c r="AI67" s="48">
        <f>IF(AF67="","",_xll.IMDP("STK",$AF67,"전일대비"))</f>
        <v>-95</v>
      </c>
      <c r="AJ67" s="49">
        <f>IF(AF67="","",_xll.IMDP("STK",$AF67,"등락률"))</f>
        <v>-2.84</v>
      </c>
      <c r="AK67" s="48">
        <f>IF(AF67="","",_xll.IMDP("STK",$AF67,"시가총액"))</f>
        <v>112932490000</v>
      </c>
      <c r="AL67" s="20" t="str">
        <f t="shared" si="1"/>
        <v/>
      </c>
      <c r="AM67" s="21" t="str">
        <f>IF(AL67="","",_xll.IMDP("STK",$AL67,"한글종목명"))</f>
        <v/>
      </c>
      <c r="AN67" s="48" t="str">
        <f>IF(AL67="","",_xll.IMDP("STK",$AL67,"현재가"))</f>
        <v/>
      </c>
      <c r="AO67" s="48" t="str">
        <f>IF(AL67="","",_xll.IMDP("STK",$AL67,"전일대비"))</f>
        <v/>
      </c>
      <c r="AP67" s="49" t="str">
        <f>IF(AL67="","",_xll.IMDP("STK",$AL67,"등락률"))</f>
        <v/>
      </c>
      <c r="AQ67" s="48" t="str">
        <f>IF(AL67="","",_xll.IMDP("STK",$AL67,"시가총액"))</f>
        <v/>
      </c>
    </row>
    <row r="68" spans="3:43" x14ac:dyDescent="0.25">
      <c r="C68" s="22">
        <v>63</v>
      </c>
      <c r="G68" s="25" t="s">
        <v>312</v>
      </c>
      <c r="L68" s="25" t="s">
        <v>620</v>
      </c>
      <c r="T68" s="25" t="s">
        <v>898</v>
      </c>
      <c r="X68" s="25" t="s">
        <v>1044</v>
      </c>
      <c r="Y68" s="25" t="s">
        <v>567</v>
      </c>
      <c r="Z68" s="20" t="str">
        <f t="shared" si="0"/>
        <v/>
      </c>
      <c r="AA68" s="21" t="str">
        <f>IF(Z68="","",_xll.IMDP("STK",$Z68,"한글종목명"))</f>
        <v/>
      </c>
      <c r="AB68" s="48" t="str">
        <f>IF(Z68="","",_xll.IMDP("STK",$Z68,"현재가"))</f>
        <v/>
      </c>
      <c r="AC68" s="48" t="str">
        <f>IF(Z68="","",_xll.IMDP("STK",$Z68,"전일대비"))</f>
        <v/>
      </c>
      <c r="AD68" s="49" t="str">
        <f>IF(Z68="","",_xll.IMDP("STK",$Z68,"등락률"))</f>
        <v/>
      </c>
      <c r="AE68" s="48" t="str">
        <f>IF(Z68="","",_xll.IMDP("STK",Z68,"시가총액"))</f>
        <v/>
      </c>
      <c r="AF68" s="20" t="str">
        <f t="shared" si="2"/>
        <v>021240</v>
      </c>
      <c r="AG68" s="21" t="str">
        <f>IF(AF68="","",_xll.IMDP("STK",$AF68,"한글종목명"))</f>
        <v>코웨이</v>
      </c>
      <c r="AH68" s="48">
        <f>IF(AF68="","",_xll.IMDP("STK",$AF68,"현재가"))</f>
        <v>41950</v>
      </c>
      <c r="AI68" s="48">
        <f>IF(AF68="","",_xll.IMDP("STK",$AF68,"전일대비"))</f>
        <v>-1000</v>
      </c>
      <c r="AJ68" s="49">
        <f>IF(AF68="","",_xll.IMDP("STK",$AF68,"등락률"))</f>
        <v>-2.33</v>
      </c>
      <c r="AK68" s="48">
        <f>IF(AF68="","",_xll.IMDP("STK",$AF68,"시가총액"))</f>
        <v>3095894017050</v>
      </c>
      <c r="AL68" s="20" t="str">
        <f t="shared" si="1"/>
        <v/>
      </c>
      <c r="AM68" s="21" t="str">
        <f>IF(AL68="","",_xll.IMDP("STK",$AL68,"한글종목명"))</f>
        <v/>
      </c>
      <c r="AN68" s="48" t="str">
        <f>IF(AL68="","",_xll.IMDP("STK",$AL68,"현재가"))</f>
        <v/>
      </c>
      <c r="AO68" s="48" t="str">
        <f>IF(AL68="","",_xll.IMDP("STK",$AL68,"전일대비"))</f>
        <v/>
      </c>
      <c r="AP68" s="49" t="str">
        <f>IF(AL68="","",_xll.IMDP("STK",$AL68,"등락률"))</f>
        <v/>
      </c>
      <c r="AQ68" s="48" t="str">
        <f>IF(AL68="","",_xll.IMDP("STK",$AL68,"시가총액"))</f>
        <v/>
      </c>
    </row>
    <row r="69" spans="3:43" x14ac:dyDescent="0.25">
      <c r="C69" s="22">
        <v>64</v>
      </c>
      <c r="G69" s="25" t="s">
        <v>313</v>
      </c>
      <c r="L69" s="25" t="s">
        <v>621</v>
      </c>
      <c r="T69" s="25" t="s">
        <v>899</v>
      </c>
      <c r="X69" s="25" t="s">
        <v>1045</v>
      </c>
      <c r="Y69" s="25" t="s">
        <v>270</v>
      </c>
      <c r="Z69" s="20" t="str">
        <f t="shared" si="0"/>
        <v/>
      </c>
      <c r="AA69" s="21" t="str">
        <f>IF(Z69="","",_xll.IMDP("STK",$Z69,"한글종목명"))</f>
        <v/>
      </c>
      <c r="AB69" s="48" t="str">
        <f>IF(Z69="","",_xll.IMDP("STK",$Z69,"현재가"))</f>
        <v/>
      </c>
      <c r="AC69" s="48" t="str">
        <f>IF(Z69="","",_xll.IMDP("STK",$Z69,"전일대비"))</f>
        <v/>
      </c>
      <c r="AD69" s="49" t="str">
        <f>IF(Z69="","",_xll.IMDP("STK",$Z69,"등락률"))</f>
        <v/>
      </c>
      <c r="AE69" s="48" t="str">
        <f>IF(Z69="","",_xll.IMDP("STK",Z69,"시가총액"))</f>
        <v/>
      </c>
      <c r="AF69" s="20" t="str">
        <f t="shared" si="2"/>
        <v>031820</v>
      </c>
      <c r="AG69" s="21" t="str">
        <f>IF(AF69="","",_xll.IMDP("STK",$AF69,"한글종목명"))</f>
        <v>콤텍시스템</v>
      </c>
      <c r="AH69" s="48">
        <f>IF(AF69="","",_xll.IMDP("STK",$AF69,"현재가"))</f>
        <v>796</v>
      </c>
      <c r="AI69" s="48">
        <f>IF(AF69="","",_xll.IMDP("STK",$AF69,"전일대비"))</f>
        <v>-11</v>
      </c>
      <c r="AJ69" s="49">
        <f>IF(AF69="","",_xll.IMDP("STK",$AF69,"등락률"))</f>
        <v>-1.36</v>
      </c>
      <c r="AK69" s="48">
        <f>IF(AF69="","",_xll.IMDP("STK",$AF69,"시가총액"))</f>
        <v>96356966936</v>
      </c>
      <c r="AL69" s="20" t="str">
        <f t="shared" si="1"/>
        <v/>
      </c>
      <c r="AM69" s="21" t="str">
        <f>IF(AL69="","",_xll.IMDP("STK",$AL69,"한글종목명"))</f>
        <v/>
      </c>
      <c r="AN69" s="48" t="str">
        <f>IF(AL69="","",_xll.IMDP("STK",$AL69,"현재가"))</f>
        <v/>
      </c>
      <c r="AO69" s="48" t="str">
        <f>IF(AL69="","",_xll.IMDP("STK",$AL69,"전일대비"))</f>
        <v/>
      </c>
      <c r="AP69" s="49" t="str">
        <f>IF(AL69="","",_xll.IMDP("STK",$AL69,"등락률"))</f>
        <v/>
      </c>
      <c r="AQ69" s="48" t="str">
        <f>IF(AL69="","",_xll.IMDP("STK",$AL69,"시가총액"))</f>
        <v/>
      </c>
    </row>
    <row r="70" spans="3:43" x14ac:dyDescent="0.25">
      <c r="C70" s="22">
        <v>65</v>
      </c>
      <c r="G70" s="25" t="s">
        <v>314</v>
      </c>
      <c r="L70" s="25" t="s">
        <v>622</v>
      </c>
      <c r="T70" s="25" t="s">
        <v>900</v>
      </c>
      <c r="X70" s="25" t="s">
        <v>1046</v>
      </c>
      <c r="Y70" s="25" t="s">
        <v>271</v>
      </c>
      <c r="Z70" s="20" t="str">
        <f t="shared" ref="Z70:Z133" si="3">IF(INDEX($D$6:$Y$525,$C70,$AA$4)=0,"",INDEX($D$6:$Y$525,$C70,$AA$4))</f>
        <v/>
      </c>
      <c r="AA70" s="21" t="str">
        <f>IF(Z70="","",_xll.IMDP("STK",$Z70,"한글종목명"))</f>
        <v/>
      </c>
      <c r="AB70" s="48" t="str">
        <f>IF(Z70="","",_xll.IMDP("STK",$Z70,"현재가"))</f>
        <v/>
      </c>
      <c r="AC70" s="48" t="str">
        <f>IF(Z70="","",_xll.IMDP("STK",$Z70,"전일대비"))</f>
        <v/>
      </c>
      <c r="AD70" s="49" t="str">
        <f>IF(Z70="","",_xll.IMDP("STK",$Z70,"등락률"))</f>
        <v/>
      </c>
      <c r="AE70" s="48" t="str">
        <f>IF(Z70="","",_xll.IMDP("STK",Z70,"시가총액"))</f>
        <v/>
      </c>
      <c r="AF70" s="20" t="str">
        <f t="shared" si="2"/>
        <v>284740</v>
      </c>
      <c r="AG70" s="21" t="str">
        <f>IF(AF70="","",_xll.IMDP("STK",$AF70,"한글종목명"))</f>
        <v>쿠쿠홈시스</v>
      </c>
      <c r="AH70" s="48">
        <f>IF(AF70="","",_xll.IMDP("STK",$AF70,"현재가"))</f>
        <v>22350</v>
      </c>
      <c r="AI70" s="48">
        <f>IF(AF70="","",_xll.IMDP("STK",$AF70,"전일대비"))</f>
        <v>300</v>
      </c>
      <c r="AJ70" s="49">
        <f>IF(AF70="","",_xll.IMDP("STK",$AF70,"등락률"))</f>
        <v>1.36</v>
      </c>
      <c r="AK70" s="48">
        <f>IF(AF70="","",_xll.IMDP("STK",$AF70,"시가총액"))</f>
        <v>501474325500</v>
      </c>
      <c r="AL70" s="20" t="str">
        <f t="shared" ref="AL70:AL133" si="4">IF(INDEX($D$6:$Y$525,$C70,$AM$4)=0,"",INDEX($D$6:$Y$525,$C70,$AM$4))</f>
        <v/>
      </c>
      <c r="AM70" s="21" t="str">
        <f>IF(AL70="","",_xll.IMDP("STK",$AL70,"한글종목명"))</f>
        <v/>
      </c>
      <c r="AN70" s="48" t="str">
        <f>IF(AL70="","",_xll.IMDP("STK",$AL70,"현재가"))</f>
        <v/>
      </c>
      <c r="AO70" s="48" t="str">
        <f>IF(AL70="","",_xll.IMDP("STK",$AL70,"전일대비"))</f>
        <v/>
      </c>
      <c r="AP70" s="49" t="str">
        <f>IF(AL70="","",_xll.IMDP("STK",$AL70,"등락률"))</f>
        <v/>
      </c>
      <c r="AQ70" s="48" t="str">
        <f>IF(AL70="","",_xll.IMDP("STK",$AL70,"시가총액"))</f>
        <v/>
      </c>
    </row>
    <row r="71" spans="3:43" x14ac:dyDescent="0.25">
      <c r="C71" s="22">
        <v>66</v>
      </c>
      <c r="G71" s="25" t="s">
        <v>315</v>
      </c>
      <c r="L71" s="25" t="s">
        <v>623</v>
      </c>
      <c r="T71" s="25" t="s">
        <v>901</v>
      </c>
      <c r="X71" s="25" t="s">
        <v>1047</v>
      </c>
      <c r="Y71" s="25" t="s">
        <v>568</v>
      </c>
      <c r="Z71" s="20" t="str">
        <f t="shared" si="3"/>
        <v/>
      </c>
      <c r="AA71" s="21" t="str">
        <f>IF(Z71="","",_xll.IMDP("STK",$Z71,"한글종목명"))</f>
        <v/>
      </c>
      <c r="AB71" s="48" t="str">
        <f>IF(Z71="","",_xll.IMDP("STK",$Z71,"현재가"))</f>
        <v/>
      </c>
      <c r="AC71" s="48" t="str">
        <f>IF(Z71="","",_xll.IMDP("STK",$Z71,"전일대비"))</f>
        <v/>
      </c>
      <c r="AD71" s="49" t="str">
        <f>IF(Z71="","",_xll.IMDP("STK",$Z71,"등락률"))</f>
        <v/>
      </c>
      <c r="AE71" s="48" t="str">
        <f>IF(Z71="","",_xll.IMDP("STK",Z71,"시가총액"))</f>
        <v/>
      </c>
      <c r="AF71" s="20" t="str">
        <f t="shared" ref="AF71:AF134" si="5">IF(INDEX($D$6:$Y$525,$C71,$AG$4)=0,"",INDEX($D$6:$Y$525,$C71,$AG$4))</f>
        <v>020120</v>
      </c>
      <c r="AG71" s="21" t="str">
        <f>IF(AF71="","",_xll.IMDP("STK",$AF71,"한글종목명"))</f>
        <v>키다리스튜디오</v>
      </c>
      <c r="AH71" s="48">
        <f>IF(AF71="","",_xll.IMDP("STK",$AF71,"현재가"))</f>
        <v>6000</v>
      </c>
      <c r="AI71" s="48">
        <f>IF(AF71="","",_xll.IMDP("STK",$AF71,"전일대비"))</f>
        <v>90</v>
      </c>
      <c r="AJ71" s="49">
        <f>IF(AF71="","",_xll.IMDP("STK",$AF71,"등락률"))</f>
        <v>1.52</v>
      </c>
      <c r="AK71" s="48">
        <f>IF(AF71="","",_xll.IMDP("STK",$AF71,"시가총액"))</f>
        <v>221944596000</v>
      </c>
      <c r="AL71" s="20" t="str">
        <f t="shared" si="4"/>
        <v/>
      </c>
      <c r="AM71" s="21" t="str">
        <f>IF(AL71="","",_xll.IMDP("STK",$AL71,"한글종목명"))</f>
        <v/>
      </c>
      <c r="AN71" s="48" t="str">
        <f>IF(AL71="","",_xll.IMDP("STK",$AL71,"현재가"))</f>
        <v/>
      </c>
      <c r="AO71" s="48" t="str">
        <f>IF(AL71="","",_xll.IMDP("STK",$AL71,"전일대비"))</f>
        <v/>
      </c>
      <c r="AP71" s="49" t="str">
        <f>IF(AL71="","",_xll.IMDP("STK",$AL71,"등락률"))</f>
        <v/>
      </c>
      <c r="AQ71" s="48" t="str">
        <f>IF(AL71="","",_xll.IMDP("STK",$AL71,"시가총액"))</f>
        <v/>
      </c>
    </row>
    <row r="72" spans="3:43" x14ac:dyDescent="0.25">
      <c r="C72" s="22">
        <v>67</v>
      </c>
      <c r="G72" s="25" t="s">
        <v>316</v>
      </c>
      <c r="T72" s="25" t="s">
        <v>902</v>
      </c>
      <c r="X72" s="25" t="s">
        <v>1048</v>
      </c>
      <c r="Y72" s="25" t="s">
        <v>227</v>
      </c>
      <c r="Z72" s="20" t="str">
        <f t="shared" si="3"/>
        <v/>
      </c>
      <c r="AA72" s="21" t="str">
        <f>IF(Z72="","",_xll.IMDP("STK",$Z72,"한글종목명"))</f>
        <v/>
      </c>
      <c r="AB72" s="48" t="str">
        <f>IF(Z72="","",_xll.IMDP("STK",$Z72,"현재가"))</f>
        <v/>
      </c>
      <c r="AC72" s="48" t="str">
        <f>IF(Z72="","",_xll.IMDP("STK",$Z72,"전일대비"))</f>
        <v/>
      </c>
      <c r="AD72" s="49" t="str">
        <f>IF(Z72="","",_xll.IMDP("STK",$Z72,"등락률"))</f>
        <v/>
      </c>
      <c r="AE72" s="48" t="str">
        <f>IF(Z72="","",_xll.IMDP("STK",Z72,"시가총액"))</f>
        <v/>
      </c>
      <c r="AF72" s="20" t="str">
        <f t="shared" si="5"/>
        <v>078000</v>
      </c>
      <c r="AG72" s="21" t="str">
        <f>IF(AF72="","",_xll.IMDP("STK",$AF72,"한글종목명"))</f>
        <v>텔코웨어</v>
      </c>
      <c r="AH72" s="48">
        <f>IF(AF72="","",_xll.IMDP("STK",$AF72,"현재가"))</f>
        <v>9480</v>
      </c>
      <c r="AI72" s="48">
        <f>IF(AF72="","",_xll.IMDP("STK",$AF72,"전일대비"))</f>
        <v>30</v>
      </c>
      <c r="AJ72" s="49">
        <f>IF(AF72="","",_xll.IMDP("STK",$AF72,"등락률"))</f>
        <v>0.32</v>
      </c>
      <c r="AK72" s="48">
        <f>IF(AF72="","",_xll.IMDP("STK",$AF72,"시가총액"))</f>
        <v>91981652880</v>
      </c>
      <c r="AL72" s="20" t="str">
        <f t="shared" si="4"/>
        <v/>
      </c>
      <c r="AM72" s="21" t="str">
        <f>IF(AL72="","",_xll.IMDP("STK",$AL72,"한글종목명"))</f>
        <v/>
      </c>
      <c r="AN72" s="48" t="str">
        <f>IF(AL72="","",_xll.IMDP("STK",$AL72,"현재가"))</f>
        <v/>
      </c>
      <c r="AO72" s="48" t="str">
        <f>IF(AL72="","",_xll.IMDP("STK",$AL72,"전일대비"))</f>
        <v/>
      </c>
      <c r="AP72" s="49" t="str">
        <f>IF(AL72="","",_xll.IMDP("STK",$AL72,"등락률"))</f>
        <v/>
      </c>
      <c r="AQ72" s="48" t="str">
        <f>IF(AL72="","",_xll.IMDP("STK",$AL72,"시가총액"))</f>
        <v/>
      </c>
    </row>
    <row r="73" spans="3:43" x14ac:dyDescent="0.25">
      <c r="C73" s="22">
        <v>68</v>
      </c>
      <c r="G73" s="25" t="s">
        <v>317</v>
      </c>
      <c r="T73" s="25" t="s">
        <v>903</v>
      </c>
      <c r="X73" s="25" t="s">
        <v>1049</v>
      </c>
      <c r="Y73" s="25" t="s">
        <v>387</v>
      </c>
      <c r="Z73" s="20" t="str">
        <f t="shared" si="3"/>
        <v/>
      </c>
      <c r="AA73" s="21" t="str">
        <f>IF(Z73="","",_xll.IMDP("STK",$Z73,"한글종목명"))</f>
        <v/>
      </c>
      <c r="AB73" s="48" t="str">
        <f>IF(Z73="","",_xll.IMDP("STK",$Z73,"현재가"))</f>
        <v/>
      </c>
      <c r="AC73" s="48" t="str">
        <f>IF(Z73="","",_xll.IMDP("STK",$Z73,"전일대비"))</f>
        <v/>
      </c>
      <c r="AD73" s="49" t="str">
        <f>IF(Z73="","",_xll.IMDP("STK",$Z73,"등락률"))</f>
        <v/>
      </c>
      <c r="AE73" s="48" t="str">
        <f>IF(Z73="","",_xll.IMDP("STK",Z73,"시가총액"))</f>
        <v/>
      </c>
      <c r="AF73" s="20" t="str">
        <f t="shared" si="5"/>
        <v>140890</v>
      </c>
      <c r="AG73" s="21" t="str">
        <f>IF(AF73="","",_xll.IMDP("STK",$AF73,"한글종목명"))</f>
        <v>트러스제7호</v>
      </c>
      <c r="AH73" s="48" t="str">
        <f>IF(AF73="","",_xll.IMDP("STK",$AF73,"현재가"))</f>
        <v/>
      </c>
      <c r="AI73" s="48" t="str">
        <f>IF(AF73="","",_xll.IMDP("STK",$AF73,"전일대비"))</f>
        <v/>
      </c>
      <c r="AJ73" s="49" t="str">
        <f>IF(AF73="","",_xll.IMDP("STK",$AF73,"등락률"))</f>
        <v/>
      </c>
      <c r="AK73" s="48" t="str">
        <f>IF(AF73="","",_xll.IMDP("STK",$AF73,"시가총액"))</f>
        <v/>
      </c>
      <c r="AL73" s="20" t="str">
        <f t="shared" si="4"/>
        <v/>
      </c>
      <c r="AM73" s="21" t="str">
        <f>IF(AL73="","",_xll.IMDP("STK",$AL73,"한글종목명"))</f>
        <v/>
      </c>
      <c r="AN73" s="48" t="str">
        <f>IF(AL73="","",_xll.IMDP("STK",$AL73,"현재가"))</f>
        <v/>
      </c>
      <c r="AO73" s="48" t="str">
        <f>IF(AL73="","",_xll.IMDP("STK",$AL73,"전일대비"))</f>
        <v/>
      </c>
      <c r="AP73" s="49" t="str">
        <f>IF(AL73="","",_xll.IMDP("STK",$AL73,"등락률"))</f>
        <v/>
      </c>
      <c r="AQ73" s="48" t="str">
        <f>IF(AL73="","",_xll.IMDP("STK",$AL73,"시가총액"))</f>
        <v/>
      </c>
    </row>
    <row r="74" spans="3:43" x14ac:dyDescent="0.25">
      <c r="C74" s="22">
        <v>69</v>
      </c>
      <c r="G74" s="25" t="s">
        <v>318</v>
      </c>
      <c r="T74" s="25" t="s">
        <v>904</v>
      </c>
      <c r="X74" s="25" t="s">
        <v>1050</v>
      </c>
      <c r="Y74" s="25" t="s">
        <v>272</v>
      </c>
      <c r="Z74" s="20" t="str">
        <f t="shared" si="3"/>
        <v/>
      </c>
      <c r="AA74" s="21" t="str">
        <f>IF(Z74="","",_xll.IMDP("STK",$Z74,"한글종목명"))</f>
        <v/>
      </c>
      <c r="AB74" s="48" t="str">
        <f>IF(Z74="","",_xll.IMDP("STK",$Z74,"현재가"))</f>
        <v/>
      </c>
      <c r="AC74" s="48" t="str">
        <f>IF(Z74="","",_xll.IMDP("STK",$Z74,"전일대비"))</f>
        <v/>
      </c>
      <c r="AD74" s="49" t="str">
        <f>IF(Z74="","",_xll.IMDP("STK",$Z74,"등락률"))</f>
        <v/>
      </c>
      <c r="AE74" s="48" t="str">
        <f>IF(Z74="","",_xll.IMDP("STK",Z74,"시가총액"))</f>
        <v/>
      </c>
      <c r="AF74" s="20" t="str">
        <f t="shared" si="5"/>
        <v>039130</v>
      </c>
      <c r="AG74" s="21" t="str">
        <f>IF(AF74="","",_xll.IMDP("STK",$AF74,"한글종목명"))</f>
        <v>하나투어</v>
      </c>
      <c r="AH74" s="48">
        <f>IF(AF74="","",_xll.IMDP("STK",$AF74,"현재가"))</f>
        <v>48750</v>
      </c>
      <c r="AI74" s="48">
        <f>IF(AF74="","",_xll.IMDP("STK",$AF74,"전일대비"))</f>
        <v>50</v>
      </c>
      <c r="AJ74" s="49">
        <f>IF(AF74="","",_xll.IMDP("STK",$AF74,"등락률"))</f>
        <v>0.1</v>
      </c>
      <c r="AK74" s="48">
        <f>IF(AF74="","",_xll.IMDP("STK",$AF74,"시가총액"))</f>
        <v>781910268750</v>
      </c>
      <c r="AL74" s="20" t="str">
        <f t="shared" si="4"/>
        <v/>
      </c>
      <c r="AM74" s="21" t="str">
        <f>IF(AL74="","",_xll.IMDP("STK",$AL74,"한글종목명"))</f>
        <v/>
      </c>
      <c r="AN74" s="48" t="str">
        <f>IF(AL74="","",_xll.IMDP("STK",$AL74,"현재가"))</f>
        <v/>
      </c>
      <c r="AO74" s="48" t="str">
        <f>IF(AL74="","",_xll.IMDP("STK",$AL74,"전일대비"))</f>
        <v/>
      </c>
      <c r="AP74" s="49" t="str">
        <f>IF(AL74="","",_xll.IMDP("STK",$AL74,"등락률"))</f>
        <v/>
      </c>
      <c r="AQ74" s="48" t="str">
        <f>IF(AL74="","",_xll.IMDP("STK",$AL74,"시가총액"))</f>
        <v/>
      </c>
    </row>
    <row r="75" spans="3:43" x14ac:dyDescent="0.25">
      <c r="C75" s="22">
        <v>70</v>
      </c>
      <c r="G75" s="25" t="s">
        <v>319</v>
      </c>
      <c r="T75" s="25" t="s">
        <v>905</v>
      </c>
      <c r="X75" s="25" t="s">
        <v>1051</v>
      </c>
      <c r="Y75" s="25" t="s">
        <v>569</v>
      </c>
      <c r="Z75" s="20" t="str">
        <f t="shared" si="3"/>
        <v/>
      </c>
      <c r="AA75" s="21" t="str">
        <f>IF(Z75="","",_xll.IMDP("STK",$Z75,"한글종목명"))</f>
        <v/>
      </c>
      <c r="AB75" s="48" t="str">
        <f>IF(Z75="","",_xll.IMDP("STK",$Z75,"현재가"))</f>
        <v/>
      </c>
      <c r="AC75" s="48" t="str">
        <f>IF(Z75="","",_xll.IMDP("STK",$Z75,"전일대비"))</f>
        <v/>
      </c>
      <c r="AD75" s="49" t="str">
        <f>IF(Z75="","",_xll.IMDP("STK",$Z75,"등락률"))</f>
        <v/>
      </c>
      <c r="AE75" s="48" t="str">
        <f>IF(Z75="","",_xll.IMDP("STK",Z75,"시가총액"))</f>
        <v/>
      </c>
      <c r="AF75" s="20" t="str">
        <f t="shared" si="5"/>
        <v>172580</v>
      </c>
      <c r="AG75" s="21" t="str">
        <f>IF(AF75="","",_xll.IMDP("STK",$AF75,"한글종목명"))</f>
        <v>하이골드12호</v>
      </c>
      <c r="AH75" s="48" t="str">
        <f>IF(AF75="","",_xll.IMDP("STK",$AF75,"현재가"))</f>
        <v/>
      </c>
      <c r="AI75" s="48" t="str">
        <f>IF(AF75="","",_xll.IMDP("STK",$AF75,"전일대비"))</f>
        <v/>
      </c>
      <c r="AJ75" s="49" t="str">
        <f>IF(AF75="","",_xll.IMDP("STK",$AF75,"등락률"))</f>
        <v/>
      </c>
      <c r="AK75" s="48" t="str">
        <f>IF(AF75="","",_xll.IMDP("STK",$AF75,"시가총액"))</f>
        <v/>
      </c>
      <c r="AL75" s="20" t="str">
        <f t="shared" si="4"/>
        <v/>
      </c>
      <c r="AM75" s="21" t="str">
        <f>IF(AL75="","",_xll.IMDP("STK",$AL75,"한글종목명"))</f>
        <v/>
      </c>
      <c r="AN75" s="48" t="str">
        <f>IF(AL75="","",_xll.IMDP("STK",$AL75,"현재가"))</f>
        <v/>
      </c>
      <c r="AO75" s="48" t="str">
        <f>IF(AL75="","",_xll.IMDP("STK",$AL75,"전일대비"))</f>
        <v/>
      </c>
      <c r="AP75" s="49" t="str">
        <f>IF(AL75="","",_xll.IMDP("STK",$AL75,"등락률"))</f>
        <v/>
      </c>
      <c r="AQ75" s="48" t="str">
        <f>IF(AL75="","",_xll.IMDP("STK",$AL75,"시가총액"))</f>
        <v/>
      </c>
    </row>
    <row r="76" spans="3:43" x14ac:dyDescent="0.25">
      <c r="C76" s="22">
        <v>71</v>
      </c>
      <c r="G76" s="25" t="s">
        <v>320</v>
      </c>
      <c r="T76" s="25" t="s">
        <v>906</v>
      </c>
      <c r="X76" s="25" t="s">
        <v>1052</v>
      </c>
      <c r="Y76" s="25" t="s">
        <v>520</v>
      </c>
      <c r="Z76" s="20" t="str">
        <f t="shared" si="3"/>
        <v/>
      </c>
      <c r="AA76" s="21" t="str">
        <f>IF(Z76="","",_xll.IMDP("STK",$Z76,"한글종목명"))</f>
        <v/>
      </c>
      <c r="AB76" s="48" t="str">
        <f>IF(Z76="","",_xll.IMDP("STK",$Z76,"현재가"))</f>
        <v/>
      </c>
      <c r="AC76" s="48" t="str">
        <f>IF(Z76="","",_xll.IMDP("STK",$Z76,"전일대비"))</f>
        <v/>
      </c>
      <c r="AD76" s="49" t="str">
        <f>IF(Z76="","",_xll.IMDP("STK",$Z76,"등락률"))</f>
        <v/>
      </c>
      <c r="AE76" s="48" t="str">
        <f>IF(Z76="","",_xll.IMDP("STK",Z76,"시가총액"))</f>
        <v/>
      </c>
      <c r="AF76" s="20" t="str">
        <f t="shared" si="5"/>
        <v>153360</v>
      </c>
      <c r="AG76" s="21" t="str">
        <f>IF(AF76="","",_xll.IMDP("STK",$AF76,"한글종목명"))</f>
        <v>하이골드3호</v>
      </c>
      <c r="AH76" s="48" t="str">
        <f>IF(AF76="","",_xll.IMDP("STK",$AF76,"현재가"))</f>
        <v/>
      </c>
      <c r="AI76" s="48" t="str">
        <f>IF(AF76="","",_xll.IMDP("STK",$AF76,"전일대비"))</f>
        <v/>
      </c>
      <c r="AJ76" s="49" t="str">
        <f>IF(AF76="","",_xll.IMDP("STK",$AF76,"등락률"))</f>
        <v/>
      </c>
      <c r="AK76" s="48" t="str">
        <f>IF(AF76="","",_xll.IMDP("STK",$AF76,"시가총액"))</f>
        <v/>
      </c>
      <c r="AL76" s="20" t="str">
        <f t="shared" si="4"/>
        <v/>
      </c>
      <c r="AM76" s="21" t="str">
        <f>IF(AL76="","",_xll.IMDP("STK",$AL76,"한글종목명"))</f>
        <v/>
      </c>
      <c r="AN76" s="48" t="str">
        <f>IF(AL76="","",_xll.IMDP("STK",$AL76,"현재가"))</f>
        <v/>
      </c>
      <c r="AO76" s="48" t="str">
        <f>IF(AL76="","",_xll.IMDP("STK",$AL76,"전일대비"))</f>
        <v/>
      </c>
      <c r="AP76" s="49" t="str">
        <f>IF(AL76="","",_xll.IMDP("STK",$AL76,"등락률"))</f>
        <v/>
      </c>
      <c r="AQ76" s="48" t="str">
        <f>IF(AL76="","",_xll.IMDP("STK",$AL76,"시가총액"))</f>
        <v/>
      </c>
    </row>
    <row r="77" spans="3:43" x14ac:dyDescent="0.25">
      <c r="C77" s="22">
        <v>72</v>
      </c>
      <c r="G77" s="25" t="s">
        <v>321</v>
      </c>
      <c r="T77" s="25" t="s">
        <v>907</v>
      </c>
      <c r="X77" s="25" t="s">
        <v>1053</v>
      </c>
      <c r="Y77" s="25" t="s">
        <v>521</v>
      </c>
      <c r="Z77" s="20" t="str">
        <f t="shared" si="3"/>
        <v/>
      </c>
      <c r="AA77" s="21" t="str">
        <f>IF(Z77="","",_xll.IMDP("STK",$Z77,"한글종목명"))</f>
        <v/>
      </c>
      <c r="AB77" s="48" t="str">
        <f>IF(Z77="","",_xll.IMDP("STK",$Z77,"현재가"))</f>
        <v/>
      </c>
      <c r="AC77" s="48" t="str">
        <f>IF(Z77="","",_xll.IMDP("STK",$Z77,"전일대비"))</f>
        <v/>
      </c>
      <c r="AD77" s="49" t="str">
        <f>IF(Z77="","",_xll.IMDP("STK",$Z77,"등락률"))</f>
        <v/>
      </c>
      <c r="AE77" s="48" t="str">
        <f>IF(Z77="","",_xll.IMDP("STK",Z77,"시가총액"))</f>
        <v/>
      </c>
      <c r="AF77" s="20" t="str">
        <f t="shared" si="5"/>
        <v>159650</v>
      </c>
      <c r="AG77" s="21" t="str">
        <f>IF(AF77="","",_xll.IMDP("STK",$AF77,"한글종목명"))</f>
        <v>하이골드8호</v>
      </c>
      <c r="AH77" s="48" t="str">
        <f>IF(AF77="","",_xll.IMDP("STK",$AF77,"현재가"))</f>
        <v/>
      </c>
      <c r="AI77" s="48" t="str">
        <f>IF(AF77="","",_xll.IMDP("STK",$AF77,"전일대비"))</f>
        <v/>
      </c>
      <c r="AJ77" s="49" t="str">
        <f>IF(AF77="","",_xll.IMDP("STK",$AF77,"등락률"))</f>
        <v/>
      </c>
      <c r="AK77" s="48" t="str">
        <f>IF(AF77="","",_xll.IMDP("STK",$AF77,"시가총액"))</f>
        <v/>
      </c>
      <c r="AL77" s="20" t="str">
        <f t="shared" si="4"/>
        <v/>
      </c>
      <c r="AM77" s="21" t="str">
        <f>IF(AL77="","",_xll.IMDP("STK",$AL77,"한글종목명"))</f>
        <v/>
      </c>
      <c r="AN77" s="48" t="str">
        <f>IF(AL77="","",_xll.IMDP("STK",$AL77,"현재가"))</f>
        <v/>
      </c>
      <c r="AO77" s="48" t="str">
        <f>IF(AL77="","",_xll.IMDP("STK",$AL77,"전일대비"))</f>
        <v/>
      </c>
      <c r="AP77" s="49" t="str">
        <f>IF(AL77="","",_xll.IMDP("STK",$AL77,"등락률"))</f>
        <v/>
      </c>
      <c r="AQ77" s="48" t="str">
        <f>IF(AL77="","",_xll.IMDP("STK",$AL77,"시가총액"))</f>
        <v/>
      </c>
    </row>
    <row r="78" spans="3:43" x14ac:dyDescent="0.25">
      <c r="C78" s="22">
        <v>73</v>
      </c>
      <c r="G78" s="25" t="s">
        <v>322</v>
      </c>
      <c r="T78" s="25" t="s">
        <v>908</v>
      </c>
      <c r="X78" s="25" t="s">
        <v>1054</v>
      </c>
      <c r="Y78" s="25" t="s">
        <v>180</v>
      </c>
      <c r="Z78" s="20" t="str">
        <f t="shared" si="3"/>
        <v/>
      </c>
      <c r="AA78" s="21" t="str">
        <f>IF(Z78="","",_xll.IMDP("STK",$Z78,"한글종목명"))</f>
        <v/>
      </c>
      <c r="AB78" s="48" t="str">
        <f>IF(Z78="","",_xll.IMDP("STK",$Z78,"현재가"))</f>
        <v/>
      </c>
      <c r="AC78" s="48" t="str">
        <f>IF(Z78="","",_xll.IMDP("STK",$Z78,"전일대비"))</f>
        <v/>
      </c>
      <c r="AD78" s="49" t="str">
        <f>IF(Z78="","",_xll.IMDP("STK",$Z78,"등락률"))</f>
        <v/>
      </c>
      <c r="AE78" s="48" t="str">
        <f>IF(Z78="","",_xll.IMDP("STK",Z78,"시가총액"))</f>
        <v/>
      </c>
      <c r="AF78" s="20" t="str">
        <f t="shared" si="5"/>
        <v>023350</v>
      </c>
      <c r="AG78" s="21" t="str">
        <f>IF(AF78="","",_xll.IMDP("STK",$AF78,"한글종목명"))</f>
        <v>한국종합기술</v>
      </c>
      <c r="AH78" s="48">
        <f>IF(AF78="","",_xll.IMDP("STK",$AF78,"현재가"))</f>
        <v>5960</v>
      </c>
      <c r="AI78" s="48">
        <f>IF(AF78="","",_xll.IMDP("STK",$AF78,"전일대비"))</f>
        <v>-80</v>
      </c>
      <c r="AJ78" s="49">
        <f>IF(AF78="","",_xll.IMDP("STK",$AF78,"등락률"))</f>
        <v>-1.32</v>
      </c>
      <c r="AK78" s="48">
        <f>IF(AF78="","",_xll.IMDP("STK",$AF78,"시가총액"))</f>
        <v>65262000000</v>
      </c>
      <c r="AL78" s="20" t="str">
        <f t="shared" si="4"/>
        <v/>
      </c>
      <c r="AM78" s="21" t="str">
        <f>IF(AL78="","",_xll.IMDP("STK",$AL78,"한글종목명"))</f>
        <v/>
      </c>
      <c r="AN78" s="48" t="str">
        <f>IF(AL78="","",_xll.IMDP("STK",$AL78,"현재가"))</f>
        <v/>
      </c>
      <c r="AO78" s="48" t="str">
        <f>IF(AL78="","",_xll.IMDP("STK",$AL78,"전일대비"))</f>
        <v/>
      </c>
      <c r="AP78" s="49" t="str">
        <f>IF(AL78="","",_xll.IMDP("STK",$AL78,"등락률"))</f>
        <v/>
      </c>
      <c r="AQ78" s="48" t="str">
        <f>IF(AL78="","",_xll.IMDP("STK",$AL78,"시가총액"))</f>
        <v/>
      </c>
    </row>
    <row r="79" spans="3:43" x14ac:dyDescent="0.25">
      <c r="C79" s="22">
        <v>74</v>
      </c>
      <c r="G79" s="25" t="s">
        <v>323</v>
      </c>
      <c r="T79" s="25" t="s">
        <v>909</v>
      </c>
      <c r="X79" s="25" t="s">
        <v>1055</v>
      </c>
      <c r="Y79" s="25" t="s">
        <v>469</v>
      </c>
      <c r="Z79" s="20" t="str">
        <f t="shared" si="3"/>
        <v/>
      </c>
      <c r="AA79" s="21" t="str">
        <f>IF(Z79="","",_xll.IMDP("STK",$Z79,"한글종목명"))</f>
        <v/>
      </c>
      <c r="AB79" s="48" t="str">
        <f>IF(Z79="","",_xll.IMDP("STK",$Z79,"현재가"))</f>
        <v/>
      </c>
      <c r="AC79" s="48" t="str">
        <f>IF(Z79="","",_xll.IMDP("STK",$Z79,"전일대비"))</f>
        <v/>
      </c>
      <c r="AD79" s="49" t="str">
        <f>IF(Z79="","",_xll.IMDP("STK",$Z79,"등락률"))</f>
        <v/>
      </c>
      <c r="AE79" s="48" t="str">
        <f>IF(Z79="","",_xll.IMDP("STK",Z79,"시가총액"))</f>
        <v/>
      </c>
      <c r="AF79" s="20" t="str">
        <f t="shared" si="5"/>
        <v>053690</v>
      </c>
      <c r="AG79" s="21" t="str">
        <f>IF(AF79="","",_xll.IMDP("STK",$AF79,"한글종목명"))</f>
        <v>한미글로벌</v>
      </c>
      <c r="AH79" s="48">
        <f>IF(AF79="","",_xll.IMDP("STK",$AF79,"현재가"))</f>
        <v>24150</v>
      </c>
      <c r="AI79" s="48">
        <f>IF(AF79="","",_xll.IMDP("STK",$AF79,"전일대비"))</f>
        <v>50</v>
      </c>
      <c r="AJ79" s="49">
        <f>IF(AF79="","",_xll.IMDP("STK",$AF79,"등락률"))</f>
        <v>0.21</v>
      </c>
      <c r="AK79" s="48">
        <f>IF(AF79="","",_xll.IMDP("STK",$AF79,"시가총액"))</f>
        <v>264624832500</v>
      </c>
      <c r="AL79" s="20" t="str">
        <f t="shared" si="4"/>
        <v/>
      </c>
      <c r="AM79" s="21" t="str">
        <f>IF(AL79="","",_xll.IMDP("STK",$AL79,"한글종목명"))</f>
        <v/>
      </c>
      <c r="AN79" s="48" t="str">
        <f>IF(AL79="","",_xll.IMDP("STK",$AL79,"현재가"))</f>
        <v/>
      </c>
      <c r="AO79" s="48" t="str">
        <f>IF(AL79="","",_xll.IMDP("STK",$AL79,"전일대비"))</f>
        <v/>
      </c>
      <c r="AP79" s="49" t="str">
        <f>IF(AL79="","",_xll.IMDP("STK",$AL79,"등락률"))</f>
        <v/>
      </c>
      <c r="AQ79" s="48" t="str">
        <f>IF(AL79="","",_xll.IMDP("STK",$AL79,"시가총액"))</f>
        <v/>
      </c>
    </row>
    <row r="80" spans="3:43" x14ac:dyDescent="0.25">
      <c r="C80" s="22">
        <v>75</v>
      </c>
      <c r="G80" s="25" t="s">
        <v>324</v>
      </c>
      <c r="T80" s="25" t="s">
        <v>910</v>
      </c>
      <c r="X80" s="25" t="s">
        <v>1056</v>
      </c>
      <c r="Y80" s="25" t="s">
        <v>470</v>
      </c>
      <c r="Z80" s="20" t="str">
        <f t="shared" si="3"/>
        <v/>
      </c>
      <c r="AA80" s="21" t="str">
        <f>IF(Z80="","",_xll.IMDP("STK",$Z80,"한글종목명"))</f>
        <v/>
      </c>
      <c r="AB80" s="48" t="str">
        <f>IF(Z80="","",_xll.IMDP("STK",$Z80,"현재가"))</f>
        <v/>
      </c>
      <c r="AC80" s="48" t="str">
        <f>IF(Z80="","",_xll.IMDP("STK",$Z80,"전일대비"))</f>
        <v/>
      </c>
      <c r="AD80" s="49" t="str">
        <f>IF(Z80="","",_xll.IMDP("STK",$Z80,"등락률"))</f>
        <v/>
      </c>
      <c r="AE80" s="48" t="str">
        <f>IF(Z80="","",_xll.IMDP("STK",Z80,"시가총액"))</f>
        <v/>
      </c>
      <c r="AF80" s="20" t="str">
        <f t="shared" si="5"/>
        <v>052690</v>
      </c>
      <c r="AG80" s="21" t="str">
        <f>IF(AF80="","",_xll.IMDP("STK",$AF80,"한글종목명"))</f>
        <v>한전기술</v>
      </c>
      <c r="AH80" s="48">
        <f>IF(AF80="","",_xll.IMDP("STK",$AF80,"현재가"))</f>
        <v>67700</v>
      </c>
      <c r="AI80" s="48">
        <f>IF(AF80="","",_xll.IMDP("STK",$AF80,"전일대비"))</f>
        <v>-4700</v>
      </c>
      <c r="AJ80" s="49">
        <f>IF(AF80="","",_xll.IMDP("STK",$AF80,"등락률"))</f>
        <v>-6.49</v>
      </c>
      <c r="AK80" s="48">
        <f>IF(AF80="","",_xll.IMDP("STK",$AF80,"시가총액"))</f>
        <v>2587494000000</v>
      </c>
      <c r="AL80" s="20" t="str">
        <f t="shared" si="4"/>
        <v/>
      </c>
      <c r="AM80" s="21" t="str">
        <f>IF(AL80="","",_xll.IMDP("STK",$AL80,"한글종목명"))</f>
        <v/>
      </c>
      <c r="AN80" s="48" t="str">
        <f>IF(AL80="","",_xll.IMDP("STK",$AL80,"현재가"))</f>
        <v/>
      </c>
      <c r="AO80" s="48" t="str">
        <f>IF(AL80="","",_xll.IMDP("STK",$AL80,"전일대비"))</f>
        <v/>
      </c>
      <c r="AP80" s="49" t="str">
        <f>IF(AL80="","",_xll.IMDP("STK",$AL80,"등락률"))</f>
        <v/>
      </c>
      <c r="AQ80" s="48" t="str">
        <f>IF(AL80="","",_xll.IMDP("STK",$AL80,"시가총액"))</f>
        <v/>
      </c>
    </row>
    <row r="81" spans="3:43" x14ac:dyDescent="0.25">
      <c r="C81" s="22">
        <v>76</v>
      </c>
      <c r="G81" s="25" t="s">
        <v>325</v>
      </c>
      <c r="T81" s="25" t="s">
        <v>911</v>
      </c>
      <c r="X81" s="25" t="s">
        <v>1057</v>
      </c>
      <c r="Y81" s="25" t="s">
        <v>388</v>
      </c>
      <c r="Z81" s="20" t="str">
        <f t="shared" si="3"/>
        <v/>
      </c>
      <c r="AA81" s="21" t="str">
        <f>IF(Z81="","",_xll.IMDP("STK",$Z81,"한글종목명"))</f>
        <v/>
      </c>
      <c r="AB81" s="48" t="str">
        <f>IF(Z81="","",_xll.IMDP("STK",$Z81,"현재가"))</f>
        <v/>
      </c>
      <c r="AC81" s="48" t="str">
        <f>IF(Z81="","",_xll.IMDP("STK",$Z81,"전일대비"))</f>
        <v/>
      </c>
      <c r="AD81" s="49" t="str">
        <f>IF(Z81="","",_xll.IMDP("STK",$Z81,"등락률"))</f>
        <v/>
      </c>
      <c r="AE81" s="48" t="str">
        <f>IF(Z81="","",_xll.IMDP("STK",Z81,"시가총액"))</f>
        <v/>
      </c>
      <c r="AF81" s="20" t="str">
        <f t="shared" si="5"/>
        <v>130660</v>
      </c>
      <c r="AG81" s="21" t="str">
        <f>IF(AF81="","",_xll.IMDP("STK",$AF81,"한글종목명"))</f>
        <v>한전산업</v>
      </c>
      <c r="AH81" s="48">
        <f>IF(AF81="","",_xll.IMDP("STK",$AF81,"현재가"))</f>
        <v>8470</v>
      </c>
      <c r="AI81" s="48">
        <f>IF(AF81="","",_xll.IMDP("STK",$AF81,"전일대비"))</f>
        <v>30</v>
      </c>
      <c r="AJ81" s="49">
        <f>IF(AF81="","",_xll.IMDP("STK",$AF81,"등락률"))</f>
        <v>0.36</v>
      </c>
      <c r="AK81" s="48">
        <f>IF(AF81="","",_xll.IMDP("STK",$AF81,"시가총액"))</f>
        <v>276122000000</v>
      </c>
      <c r="AL81" s="20" t="str">
        <f t="shared" si="4"/>
        <v/>
      </c>
      <c r="AM81" s="21" t="str">
        <f>IF(AL81="","",_xll.IMDP("STK",$AL81,"한글종목명"))</f>
        <v/>
      </c>
      <c r="AN81" s="48" t="str">
        <f>IF(AL81="","",_xll.IMDP("STK",$AL81,"현재가"))</f>
        <v/>
      </c>
      <c r="AO81" s="48" t="str">
        <f>IF(AL81="","",_xll.IMDP("STK",$AL81,"전일대비"))</f>
        <v/>
      </c>
      <c r="AP81" s="49" t="str">
        <f>IF(AL81="","",_xll.IMDP("STK",$AL81,"등락률"))</f>
        <v/>
      </c>
      <c r="AQ81" s="48" t="str">
        <f>IF(AL81="","",_xll.IMDP("STK",$AL81,"시가총액"))</f>
        <v/>
      </c>
    </row>
    <row r="82" spans="3:43" x14ac:dyDescent="0.25">
      <c r="C82" s="22">
        <v>77</v>
      </c>
      <c r="G82" s="25" t="s">
        <v>326</v>
      </c>
      <c r="T82" s="25" t="s">
        <v>912</v>
      </c>
      <c r="X82" s="25" t="s">
        <v>1058</v>
      </c>
      <c r="Y82" s="25" t="s">
        <v>570</v>
      </c>
      <c r="Z82" s="20" t="str">
        <f t="shared" si="3"/>
        <v/>
      </c>
      <c r="AA82" s="21" t="str">
        <f>IF(Z82="","",_xll.IMDP("STK",$Z82,"한글종목명"))</f>
        <v/>
      </c>
      <c r="AB82" s="48" t="str">
        <f>IF(Z82="","",_xll.IMDP("STK",$Z82,"현재가"))</f>
        <v/>
      </c>
      <c r="AC82" s="48" t="str">
        <f>IF(Z82="","",_xll.IMDP("STK",$Z82,"전일대비"))</f>
        <v/>
      </c>
      <c r="AD82" s="49" t="str">
        <f>IF(Z82="","",_xll.IMDP("STK",$Z82,"등락률"))</f>
        <v/>
      </c>
      <c r="AE82" s="48" t="str">
        <f>IF(Z82="","",_xll.IMDP("STK",Z82,"시가총액"))</f>
        <v/>
      </c>
      <c r="AF82" s="20" t="str">
        <f t="shared" si="5"/>
        <v>126560</v>
      </c>
      <c r="AG82" s="21" t="str">
        <f>IF(AF82="","",_xll.IMDP("STK",$AF82,"한글종목명"))</f>
        <v>현대퓨처넷</v>
      </c>
      <c r="AH82" s="48">
        <f>IF(AF82="","",_xll.IMDP("STK",$AF82,"현재가"))</f>
        <v>3150</v>
      </c>
      <c r="AI82" s="48">
        <f>IF(AF82="","",_xll.IMDP("STK",$AF82,"전일대비"))</f>
        <v>25</v>
      </c>
      <c r="AJ82" s="49">
        <f>IF(AF82="","",_xll.IMDP("STK",$AF82,"등락률"))</f>
        <v>0.8</v>
      </c>
      <c r="AK82" s="48">
        <f>IF(AF82="","",_xll.IMDP("STK",$AF82,"시가총액"))</f>
        <v>347139276750</v>
      </c>
      <c r="AL82" s="20" t="str">
        <f t="shared" si="4"/>
        <v/>
      </c>
      <c r="AM82" s="21" t="str">
        <f>IF(AL82="","",_xll.IMDP("STK",$AL82,"한글종목명"))</f>
        <v/>
      </c>
      <c r="AN82" s="48" t="str">
        <f>IF(AL82="","",_xll.IMDP("STK",$AL82,"현재가"))</f>
        <v/>
      </c>
      <c r="AO82" s="48" t="str">
        <f>IF(AL82="","",_xll.IMDP("STK",$AL82,"전일대비"))</f>
        <v/>
      </c>
      <c r="AP82" s="49" t="str">
        <f>IF(AL82="","",_xll.IMDP("STK",$AL82,"등락률"))</f>
        <v/>
      </c>
      <c r="AQ82" s="48" t="str">
        <f>IF(AL82="","",_xll.IMDP("STK",$AL82,"시가총액"))</f>
        <v/>
      </c>
    </row>
    <row r="83" spans="3:43" x14ac:dyDescent="0.25">
      <c r="C83" s="22">
        <v>78</v>
      </c>
      <c r="G83" s="25" t="s">
        <v>327</v>
      </c>
      <c r="T83" s="25" t="s">
        <v>913</v>
      </c>
      <c r="X83" s="25" t="s">
        <v>1059</v>
      </c>
      <c r="Y83" s="25" t="s">
        <v>571</v>
      </c>
      <c r="Z83" s="20" t="str">
        <f t="shared" si="3"/>
        <v/>
      </c>
      <c r="AA83" s="21" t="str">
        <f>IF(Z83="","",_xll.IMDP("STK",$Z83,"한글종목명"))</f>
        <v/>
      </c>
      <c r="AB83" s="48" t="str">
        <f>IF(Z83="","",_xll.IMDP("STK",$Z83,"현재가"))</f>
        <v/>
      </c>
      <c r="AC83" s="48" t="str">
        <f>IF(Z83="","",_xll.IMDP("STK",$Z83,"전일대비"))</f>
        <v/>
      </c>
      <c r="AD83" s="49" t="str">
        <f>IF(Z83="","",_xll.IMDP("STK",$Z83,"등락률"))</f>
        <v/>
      </c>
      <c r="AE83" s="48" t="str">
        <f>IF(Z83="","",_xll.IMDP("STK",Z83,"시가총액"))</f>
        <v/>
      </c>
      <c r="AF83" s="20" t="str">
        <f t="shared" si="5"/>
        <v>094280</v>
      </c>
      <c r="AG83" s="21" t="str">
        <f>IF(AF83="","",_xll.IMDP("STK",$AF83,"한글종목명"))</f>
        <v>효성ITX</v>
      </c>
      <c r="AH83" s="48">
        <f>IF(AF83="","",_xll.IMDP("STK",$AF83,"현재가"))</f>
        <v>12450</v>
      </c>
      <c r="AI83" s="48">
        <f>IF(AF83="","",_xll.IMDP("STK",$AF83,"전일대비"))</f>
        <v>90</v>
      </c>
      <c r="AJ83" s="49">
        <f>IF(AF83="","",_xll.IMDP("STK",$AF83,"등락률"))</f>
        <v>0.73</v>
      </c>
      <c r="AK83" s="48">
        <f>IF(AF83="","",_xll.IMDP("STK",$AF83,"시가총액"))</f>
        <v>143899590000</v>
      </c>
      <c r="AL83" s="20" t="str">
        <f t="shared" si="4"/>
        <v/>
      </c>
      <c r="AM83" s="21" t="str">
        <f>IF(AL83="","",_xll.IMDP("STK",$AL83,"한글종목명"))</f>
        <v/>
      </c>
      <c r="AN83" s="48" t="str">
        <f>IF(AL83="","",_xll.IMDP("STK",$AL83,"현재가"))</f>
        <v/>
      </c>
      <c r="AO83" s="48" t="str">
        <f>IF(AL83="","",_xll.IMDP("STK",$AL83,"전일대비"))</f>
        <v/>
      </c>
      <c r="AP83" s="49" t="str">
        <f>IF(AL83="","",_xll.IMDP("STK",$AL83,"등락률"))</f>
        <v/>
      </c>
      <c r="AQ83" s="48" t="str">
        <f>IF(AL83="","",_xll.IMDP("STK",$AL83,"시가총액"))</f>
        <v/>
      </c>
    </row>
    <row r="84" spans="3:43" x14ac:dyDescent="0.25">
      <c r="C84" s="22">
        <v>79</v>
      </c>
      <c r="G84" s="25" t="s">
        <v>328</v>
      </c>
      <c r="T84" s="25" t="s">
        <v>914</v>
      </c>
      <c r="Y84" s="25" t="s">
        <v>273</v>
      </c>
      <c r="Z84" s="20" t="str">
        <f t="shared" si="3"/>
        <v/>
      </c>
      <c r="AA84" s="21" t="str">
        <f>IF(Z84="","",_xll.IMDP("STK",$Z84,"한글종목명"))</f>
        <v/>
      </c>
      <c r="AB84" s="48" t="str">
        <f>IF(Z84="","",_xll.IMDP("STK",$Z84,"현재가"))</f>
        <v/>
      </c>
      <c r="AC84" s="48" t="str">
        <f>IF(Z84="","",_xll.IMDP("STK",$Z84,"전일대비"))</f>
        <v/>
      </c>
      <c r="AD84" s="49" t="str">
        <f>IF(Z84="","",_xll.IMDP("STK",$Z84,"등락률"))</f>
        <v/>
      </c>
      <c r="AE84" s="48" t="str">
        <f>IF(Z84="","",_xll.IMDP("STK",Z84,"시가총액"))</f>
        <v/>
      </c>
      <c r="AF84" s="20" t="str">
        <f t="shared" si="5"/>
        <v/>
      </c>
      <c r="AG84" s="21" t="str">
        <f>IF(AF84="","",_xll.IMDP("STK",$AF84,"한글종목명"))</f>
        <v/>
      </c>
      <c r="AH84" s="48" t="str">
        <f>IF(AF84="","",_xll.IMDP("STK",$AF84,"현재가"))</f>
        <v/>
      </c>
      <c r="AI84" s="48" t="str">
        <f>IF(AF84="","",_xll.IMDP("STK",$AF84,"전일대비"))</f>
        <v/>
      </c>
      <c r="AJ84" s="49" t="str">
        <f>IF(AF84="","",_xll.IMDP("STK",$AF84,"등락률"))</f>
        <v/>
      </c>
      <c r="AK84" s="48" t="str">
        <f>IF(AF84="","",_xll.IMDP("STK",$AF84,"시가총액"))</f>
        <v/>
      </c>
      <c r="AL84" s="20" t="str">
        <f t="shared" si="4"/>
        <v/>
      </c>
      <c r="AM84" s="21" t="str">
        <f>IF(AL84="","",_xll.IMDP("STK",$AL84,"한글종목명"))</f>
        <v/>
      </c>
      <c r="AN84" s="48" t="str">
        <f>IF(AL84="","",_xll.IMDP("STK",$AL84,"현재가"))</f>
        <v/>
      </c>
      <c r="AO84" s="48" t="str">
        <f>IF(AL84="","",_xll.IMDP("STK",$AL84,"전일대비"))</f>
        <v/>
      </c>
      <c r="AP84" s="49" t="str">
        <f>IF(AL84="","",_xll.IMDP("STK",$AL84,"등락률"))</f>
        <v/>
      </c>
      <c r="AQ84" s="48" t="str">
        <f>IF(AL84="","",_xll.IMDP("STK",$AL84,"시가총액"))</f>
        <v/>
      </c>
    </row>
    <row r="85" spans="3:43" x14ac:dyDescent="0.25">
      <c r="C85" s="22">
        <v>80</v>
      </c>
      <c r="G85" s="25" t="s">
        <v>329</v>
      </c>
      <c r="T85" s="25" t="s">
        <v>915</v>
      </c>
      <c r="Y85" s="25" t="s">
        <v>389</v>
      </c>
      <c r="Z85" s="20" t="str">
        <f t="shared" si="3"/>
        <v/>
      </c>
      <c r="AA85" s="21" t="str">
        <f>IF(Z85="","",_xll.IMDP("STK",$Z85,"한글종목명"))</f>
        <v/>
      </c>
      <c r="AB85" s="48" t="str">
        <f>IF(Z85="","",_xll.IMDP("STK",$Z85,"현재가"))</f>
        <v/>
      </c>
      <c r="AC85" s="48" t="str">
        <f>IF(Z85="","",_xll.IMDP("STK",$Z85,"전일대비"))</f>
        <v/>
      </c>
      <c r="AD85" s="49" t="str">
        <f>IF(Z85="","",_xll.IMDP("STK",$Z85,"등락률"))</f>
        <v/>
      </c>
      <c r="AE85" s="48" t="str">
        <f>IF(Z85="","",_xll.IMDP("STK",Z85,"시가총액"))</f>
        <v/>
      </c>
      <c r="AF85" s="20" t="str">
        <f t="shared" si="5"/>
        <v/>
      </c>
      <c r="AG85" s="21" t="str">
        <f>IF(AF85="","",_xll.IMDP("STK",$AF85,"한글종목명"))</f>
        <v/>
      </c>
      <c r="AH85" s="48" t="str">
        <f>IF(AF85="","",_xll.IMDP("STK",$AF85,"현재가"))</f>
        <v/>
      </c>
      <c r="AI85" s="48" t="str">
        <f>IF(AF85="","",_xll.IMDP("STK",$AF85,"전일대비"))</f>
        <v/>
      </c>
      <c r="AJ85" s="49" t="str">
        <f>IF(AF85="","",_xll.IMDP("STK",$AF85,"등락률"))</f>
        <v/>
      </c>
      <c r="AK85" s="48" t="str">
        <f>IF(AF85="","",_xll.IMDP("STK",$AF85,"시가총액"))</f>
        <v/>
      </c>
      <c r="AL85" s="20" t="str">
        <f t="shared" si="4"/>
        <v/>
      </c>
      <c r="AM85" s="21" t="str">
        <f>IF(AL85="","",_xll.IMDP("STK",$AL85,"한글종목명"))</f>
        <v/>
      </c>
      <c r="AN85" s="48" t="str">
        <f>IF(AL85="","",_xll.IMDP("STK",$AL85,"현재가"))</f>
        <v/>
      </c>
      <c r="AO85" s="48" t="str">
        <f>IF(AL85="","",_xll.IMDP("STK",$AL85,"전일대비"))</f>
        <v/>
      </c>
      <c r="AP85" s="49" t="str">
        <f>IF(AL85="","",_xll.IMDP("STK",$AL85,"등락률"))</f>
        <v/>
      </c>
      <c r="AQ85" s="48" t="str">
        <f>IF(AL85="","",_xll.IMDP("STK",$AL85,"시가총액"))</f>
        <v/>
      </c>
    </row>
    <row r="86" spans="3:43" x14ac:dyDescent="0.25">
      <c r="C86" s="22">
        <v>81</v>
      </c>
      <c r="G86" s="25" t="s">
        <v>330</v>
      </c>
      <c r="T86" s="25" t="s">
        <v>916</v>
      </c>
      <c r="Y86" s="25" t="s">
        <v>274</v>
      </c>
      <c r="Z86" s="20" t="str">
        <f t="shared" si="3"/>
        <v/>
      </c>
      <c r="AA86" s="21" t="str">
        <f>IF(Z86="","",_xll.IMDP("STK",$Z86,"한글종목명"))</f>
        <v/>
      </c>
      <c r="AB86" s="48" t="str">
        <f>IF(Z86="","",_xll.IMDP("STK",$Z86,"현재가"))</f>
        <v/>
      </c>
      <c r="AC86" s="48" t="str">
        <f>IF(Z86="","",_xll.IMDP("STK",$Z86,"전일대비"))</f>
        <v/>
      </c>
      <c r="AD86" s="49" t="str">
        <f>IF(Z86="","",_xll.IMDP("STK",$Z86,"등락률"))</f>
        <v/>
      </c>
      <c r="AE86" s="48" t="str">
        <f>IF(Z86="","",_xll.IMDP("STK",Z86,"시가총액"))</f>
        <v/>
      </c>
      <c r="AF86" s="20" t="str">
        <f t="shared" si="5"/>
        <v/>
      </c>
      <c r="AG86" s="21" t="str">
        <f>IF(AF86="","",_xll.IMDP("STK",$AF86,"한글종목명"))</f>
        <v/>
      </c>
      <c r="AH86" s="48" t="str">
        <f>IF(AF86="","",_xll.IMDP("STK",$AF86,"현재가"))</f>
        <v/>
      </c>
      <c r="AI86" s="48" t="str">
        <f>IF(AF86="","",_xll.IMDP("STK",$AF86,"전일대비"))</f>
        <v/>
      </c>
      <c r="AJ86" s="49" t="str">
        <f>IF(AF86="","",_xll.IMDP("STK",$AF86,"등락률"))</f>
        <v/>
      </c>
      <c r="AK86" s="48" t="str">
        <f>IF(AF86="","",_xll.IMDP("STK",$AF86,"시가총액"))</f>
        <v/>
      </c>
      <c r="AL86" s="20" t="str">
        <f t="shared" si="4"/>
        <v/>
      </c>
      <c r="AM86" s="21" t="str">
        <f>IF(AL86="","",_xll.IMDP("STK",$AL86,"한글종목명"))</f>
        <v/>
      </c>
      <c r="AN86" s="48" t="str">
        <f>IF(AL86="","",_xll.IMDP("STK",$AL86,"현재가"))</f>
        <v/>
      </c>
      <c r="AO86" s="48" t="str">
        <f>IF(AL86="","",_xll.IMDP("STK",$AL86,"전일대비"))</f>
        <v/>
      </c>
      <c r="AP86" s="49" t="str">
        <f>IF(AL86="","",_xll.IMDP("STK",$AL86,"등락률"))</f>
        <v/>
      </c>
      <c r="AQ86" s="48" t="str">
        <f>IF(AL86="","",_xll.IMDP("STK",$AL86,"시가총액"))</f>
        <v/>
      </c>
    </row>
    <row r="87" spans="3:43" x14ac:dyDescent="0.25">
      <c r="C87" s="22">
        <v>82</v>
      </c>
      <c r="G87" s="25" t="s">
        <v>331</v>
      </c>
      <c r="T87" s="25" t="s">
        <v>917</v>
      </c>
      <c r="Y87" s="25" t="s">
        <v>275</v>
      </c>
      <c r="Z87" s="20" t="str">
        <f t="shared" si="3"/>
        <v/>
      </c>
      <c r="AA87" s="21" t="str">
        <f>IF(Z87="","",_xll.IMDP("STK",$Z87,"한글종목명"))</f>
        <v/>
      </c>
      <c r="AB87" s="48" t="str">
        <f>IF(Z87="","",_xll.IMDP("STK",$Z87,"현재가"))</f>
        <v/>
      </c>
      <c r="AC87" s="48" t="str">
        <f>IF(Z87="","",_xll.IMDP("STK",$Z87,"전일대비"))</f>
        <v/>
      </c>
      <c r="AD87" s="49" t="str">
        <f>IF(Z87="","",_xll.IMDP("STK",$Z87,"등락률"))</f>
        <v/>
      </c>
      <c r="AE87" s="48" t="str">
        <f>IF(Z87="","",_xll.IMDP("STK",Z87,"시가총액"))</f>
        <v/>
      </c>
      <c r="AF87" s="20" t="str">
        <f t="shared" si="5"/>
        <v/>
      </c>
      <c r="AG87" s="21" t="str">
        <f>IF(AF87="","",_xll.IMDP("STK",$AF87,"한글종목명"))</f>
        <v/>
      </c>
      <c r="AH87" s="48" t="str">
        <f>IF(AF87="","",_xll.IMDP("STK",$AF87,"현재가"))</f>
        <v/>
      </c>
      <c r="AI87" s="48" t="str">
        <f>IF(AF87="","",_xll.IMDP("STK",$AF87,"전일대비"))</f>
        <v/>
      </c>
      <c r="AJ87" s="49" t="str">
        <f>IF(AF87="","",_xll.IMDP("STK",$AF87,"등락률"))</f>
        <v/>
      </c>
      <c r="AK87" s="48" t="str">
        <f>IF(AF87="","",_xll.IMDP("STK",$AF87,"시가총액"))</f>
        <v/>
      </c>
      <c r="AL87" s="20" t="str">
        <f t="shared" si="4"/>
        <v/>
      </c>
      <c r="AM87" s="21" t="str">
        <f>IF(AL87="","",_xll.IMDP("STK",$AL87,"한글종목명"))</f>
        <v/>
      </c>
      <c r="AN87" s="48" t="str">
        <f>IF(AL87="","",_xll.IMDP("STK",$AL87,"현재가"))</f>
        <v/>
      </c>
      <c r="AO87" s="48" t="str">
        <f>IF(AL87="","",_xll.IMDP("STK",$AL87,"전일대비"))</f>
        <v/>
      </c>
      <c r="AP87" s="49" t="str">
        <f>IF(AL87="","",_xll.IMDP("STK",$AL87,"등락률"))</f>
        <v/>
      </c>
      <c r="AQ87" s="48" t="str">
        <f>IF(AL87="","",_xll.IMDP("STK",$AL87,"시가총액"))</f>
        <v/>
      </c>
    </row>
    <row r="88" spans="3:43" x14ac:dyDescent="0.25">
      <c r="C88" s="22">
        <v>83</v>
      </c>
      <c r="G88" s="25" t="s">
        <v>332</v>
      </c>
      <c r="T88" s="25" t="s">
        <v>918</v>
      </c>
      <c r="Y88" s="25" t="s">
        <v>471</v>
      </c>
      <c r="Z88" s="20" t="str">
        <f t="shared" si="3"/>
        <v/>
      </c>
      <c r="AA88" s="21" t="str">
        <f>IF(Z88="","",_xll.IMDP("STK",$Z88,"한글종목명"))</f>
        <v/>
      </c>
      <c r="AB88" s="48" t="str">
        <f>IF(Z88="","",_xll.IMDP("STK",$Z88,"현재가"))</f>
        <v/>
      </c>
      <c r="AC88" s="48" t="str">
        <f>IF(Z88="","",_xll.IMDP("STK",$Z88,"전일대비"))</f>
        <v/>
      </c>
      <c r="AD88" s="49" t="str">
        <f>IF(Z88="","",_xll.IMDP("STK",$Z88,"등락률"))</f>
        <v/>
      </c>
      <c r="AE88" s="48" t="str">
        <f>IF(Z88="","",_xll.IMDP("STK",Z88,"시가총액"))</f>
        <v/>
      </c>
      <c r="AF88" s="20" t="str">
        <f t="shared" si="5"/>
        <v/>
      </c>
      <c r="AG88" s="21" t="str">
        <f>IF(AF88="","",_xll.IMDP("STK",$AF88,"한글종목명"))</f>
        <v/>
      </c>
      <c r="AH88" s="48" t="str">
        <f>IF(AF88="","",_xll.IMDP("STK",$AF88,"현재가"))</f>
        <v/>
      </c>
      <c r="AI88" s="48" t="str">
        <f>IF(AF88="","",_xll.IMDP("STK",$AF88,"전일대비"))</f>
        <v/>
      </c>
      <c r="AJ88" s="49" t="str">
        <f>IF(AF88="","",_xll.IMDP("STK",$AF88,"등락률"))</f>
        <v/>
      </c>
      <c r="AK88" s="48" t="str">
        <f>IF(AF88="","",_xll.IMDP("STK",$AF88,"시가총액"))</f>
        <v/>
      </c>
      <c r="AL88" s="20" t="str">
        <f t="shared" si="4"/>
        <v/>
      </c>
      <c r="AM88" s="21" t="str">
        <f>IF(AL88="","",_xll.IMDP("STK",$AL88,"한글종목명"))</f>
        <v/>
      </c>
      <c r="AN88" s="48" t="str">
        <f>IF(AL88="","",_xll.IMDP("STK",$AL88,"현재가"))</f>
        <v/>
      </c>
      <c r="AO88" s="48" t="str">
        <f>IF(AL88="","",_xll.IMDP("STK",$AL88,"전일대비"))</f>
        <v/>
      </c>
      <c r="AP88" s="49" t="str">
        <f>IF(AL88="","",_xll.IMDP("STK",$AL88,"등락률"))</f>
        <v/>
      </c>
      <c r="AQ88" s="48" t="str">
        <f>IF(AL88="","",_xll.IMDP("STK",$AL88,"시가총액"))</f>
        <v/>
      </c>
    </row>
    <row r="89" spans="3:43" x14ac:dyDescent="0.25">
      <c r="C89" s="22">
        <v>84</v>
      </c>
      <c r="G89" s="25" t="s">
        <v>333</v>
      </c>
      <c r="T89" s="25" t="s">
        <v>919</v>
      </c>
      <c r="Y89" s="25" t="s">
        <v>472</v>
      </c>
      <c r="Z89" s="20" t="str">
        <f t="shared" si="3"/>
        <v/>
      </c>
      <c r="AA89" s="21" t="str">
        <f>IF(Z89="","",_xll.IMDP("STK",$Z89,"한글종목명"))</f>
        <v/>
      </c>
      <c r="AB89" s="48" t="str">
        <f>IF(Z89="","",_xll.IMDP("STK",$Z89,"현재가"))</f>
        <v/>
      </c>
      <c r="AC89" s="48" t="str">
        <f>IF(Z89="","",_xll.IMDP("STK",$Z89,"전일대비"))</f>
        <v/>
      </c>
      <c r="AD89" s="49" t="str">
        <f>IF(Z89="","",_xll.IMDP("STK",$Z89,"등락률"))</f>
        <v/>
      </c>
      <c r="AE89" s="48" t="str">
        <f>IF(Z89="","",_xll.IMDP("STK",Z89,"시가총액"))</f>
        <v/>
      </c>
      <c r="AF89" s="20" t="str">
        <f t="shared" si="5"/>
        <v/>
      </c>
      <c r="AG89" s="21" t="str">
        <f>IF(AF89="","",_xll.IMDP("STK",$AF89,"한글종목명"))</f>
        <v/>
      </c>
      <c r="AH89" s="48" t="str">
        <f>IF(AF89="","",_xll.IMDP("STK",$AF89,"현재가"))</f>
        <v/>
      </c>
      <c r="AI89" s="48" t="str">
        <f>IF(AF89="","",_xll.IMDP("STK",$AF89,"전일대비"))</f>
        <v/>
      </c>
      <c r="AJ89" s="49" t="str">
        <f>IF(AF89="","",_xll.IMDP("STK",$AF89,"등락률"))</f>
        <v/>
      </c>
      <c r="AK89" s="48" t="str">
        <f>IF(AF89="","",_xll.IMDP("STK",$AF89,"시가총액"))</f>
        <v/>
      </c>
      <c r="AL89" s="20" t="str">
        <f t="shared" si="4"/>
        <v/>
      </c>
      <c r="AM89" s="21" t="str">
        <f>IF(AL89="","",_xll.IMDP("STK",$AL89,"한글종목명"))</f>
        <v/>
      </c>
      <c r="AN89" s="48" t="str">
        <f>IF(AL89="","",_xll.IMDP("STK",$AL89,"현재가"))</f>
        <v/>
      </c>
      <c r="AO89" s="48" t="str">
        <f>IF(AL89="","",_xll.IMDP("STK",$AL89,"전일대비"))</f>
        <v/>
      </c>
      <c r="AP89" s="49" t="str">
        <f>IF(AL89="","",_xll.IMDP("STK",$AL89,"등락률"))</f>
        <v/>
      </c>
      <c r="AQ89" s="48" t="str">
        <f>IF(AL89="","",_xll.IMDP("STK",$AL89,"시가총액"))</f>
        <v/>
      </c>
    </row>
    <row r="90" spans="3:43" x14ac:dyDescent="0.25">
      <c r="C90" s="22">
        <v>85</v>
      </c>
      <c r="G90" s="25" t="s">
        <v>334</v>
      </c>
      <c r="T90" s="25" t="s">
        <v>920</v>
      </c>
      <c r="Y90" s="25" t="s">
        <v>433</v>
      </c>
      <c r="Z90" s="20" t="str">
        <f t="shared" si="3"/>
        <v/>
      </c>
      <c r="AA90" s="21" t="str">
        <f>IF(Z90="","",_xll.IMDP("STK",$Z90,"한글종목명"))</f>
        <v/>
      </c>
      <c r="AB90" s="48" t="str">
        <f>IF(Z90="","",_xll.IMDP("STK",$Z90,"현재가"))</f>
        <v/>
      </c>
      <c r="AC90" s="48" t="str">
        <f>IF(Z90="","",_xll.IMDP("STK",$Z90,"전일대비"))</f>
        <v/>
      </c>
      <c r="AD90" s="49" t="str">
        <f>IF(Z90="","",_xll.IMDP("STK",$Z90,"등락률"))</f>
        <v/>
      </c>
      <c r="AE90" s="48" t="str">
        <f>IF(Z90="","",_xll.IMDP("STK",Z90,"시가총액"))</f>
        <v/>
      </c>
      <c r="AF90" s="20" t="str">
        <f t="shared" si="5"/>
        <v/>
      </c>
      <c r="AG90" s="21" t="str">
        <f>IF(AF90="","",_xll.IMDP("STK",$AF90,"한글종목명"))</f>
        <v/>
      </c>
      <c r="AH90" s="48" t="str">
        <f>IF(AF90="","",_xll.IMDP("STK",$AF90,"현재가"))</f>
        <v/>
      </c>
      <c r="AI90" s="48" t="str">
        <f>IF(AF90="","",_xll.IMDP("STK",$AF90,"전일대비"))</f>
        <v/>
      </c>
      <c r="AJ90" s="49" t="str">
        <f>IF(AF90="","",_xll.IMDP("STK",$AF90,"등락률"))</f>
        <v/>
      </c>
      <c r="AK90" s="48" t="str">
        <f>IF(AF90="","",_xll.IMDP("STK",$AF90,"시가총액"))</f>
        <v/>
      </c>
      <c r="AL90" s="20" t="str">
        <f t="shared" si="4"/>
        <v/>
      </c>
      <c r="AM90" s="21" t="str">
        <f>IF(AL90="","",_xll.IMDP("STK",$AL90,"한글종목명"))</f>
        <v/>
      </c>
      <c r="AN90" s="48" t="str">
        <f>IF(AL90="","",_xll.IMDP("STK",$AL90,"현재가"))</f>
        <v/>
      </c>
      <c r="AO90" s="48" t="str">
        <f>IF(AL90="","",_xll.IMDP("STK",$AL90,"전일대비"))</f>
        <v/>
      </c>
      <c r="AP90" s="49" t="str">
        <f>IF(AL90="","",_xll.IMDP("STK",$AL90,"등락률"))</f>
        <v/>
      </c>
      <c r="AQ90" s="48" t="str">
        <f>IF(AL90="","",_xll.IMDP("STK",$AL90,"시가총액"))</f>
        <v/>
      </c>
    </row>
    <row r="91" spans="3:43" x14ac:dyDescent="0.25">
      <c r="C91" s="22">
        <v>86</v>
      </c>
      <c r="G91" s="25" t="s">
        <v>335</v>
      </c>
      <c r="T91" s="25" t="s">
        <v>921</v>
      </c>
      <c r="Y91" s="25" t="s">
        <v>276</v>
      </c>
      <c r="Z91" s="20" t="str">
        <f t="shared" si="3"/>
        <v/>
      </c>
      <c r="AA91" s="21" t="str">
        <f>IF(Z91="","",_xll.IMDP("STK",$Z91,"한글종목명"))</f>
        <v/>
      </c>
      <c r="AB91" s="48" t="str">
        <f>IF(Z91="","",_xll.IMDP("STK",$Z91,"현재가"))</f>
        <v/>
      </c>
      <c r="AC91" s="48" t="str">
        <f>IF(Z91="","",_xll.IMDP("STK",$Z91,"전일대비"))</f>
        <v/>
      </c>
      <c r="AD91" s="49" t="str">
        <f>IF(Z91="","",_xll.IMDP("STK",$Z91,"등락률"))</f>
        <v/>
      </c>
      <c r="AE91" s="48" t="str">
        <f>IF(Z91="","",_xll.IMDP("STK",Z91,"시가총액"))</f>
        <v/>
      </c>
      <c r="AF91" s="20" t="str">
        <f t="shared" si="5"/>
        <v/>
      </c>
      <c r="AG91" s="21" t="str">
        <f>IF(AF91="","",_xll.IMDP("STK",$AF91,"한글종목명"))</f>
        <v/>
      </c>
      <c r="AH91" s="48" t="str">
        <f>IF(AF91="","",_xll.IMDP("STK",$AF91,"현재가"))</f>
        <v/>
      </c>
      <c r="AI91" s="48" t="str">
        <f>IF(AF91="","",_xll.IMDP("STK",$AF91,"전일대비"))</f>
        <v/>
      </c>
      <c r="AJ91" s="49" t="str">
        <f>IF(AF91="","",_xll.IMDP("STK",$AF91,"등락률"))</f>
        <v/>
      </c>
      <c r="AK91" s="48" t="str">
        <f>IF(AF91="","",_xll.IMDP("STK",$AF91,"시가총액"))</f>
        <v/>
      </c>
      <c r="AL91" s="20" t="str">
        <f t="shared" si="4"/>
        <v/>
      </c>
      <c r="AM91" s="21" t="str">
        <f>IF(AL91="","",_xll.IMDP("STK",$AL91,"한글종목명"))</f>
        <v/>
      </c>
      <c r="AN91" s="48" t="str">
        <f>IF(AL91="","",_xll.IMDP("STK",$AL91,"현재가"))</f>
        <v/>
      </c>
      <c r="AO91" s="48" t="str">
        <f>IF(AL91="","",_xll.IMDP("STK",$AL91,"전일대비"))</f>
        <v/>
      </c>
      <c r="AP91" s="49" t="str">
        <f>IF(AL91="","",_xll.IMDP("STK",$AL91,"등락률"))</f>
        <v/>
      </c>
      <c r="AQ91" s="48" t="str">
        <f>IF(AL91="","",_xll.IMDP("STK",$AL91,"시가총액"))</f>
        <v/>
      </c>
    </row>
    <row r="92" spans="3:43" x14ac:dyDescent="0.25">
      <c r="C92" s="22">
        <v>87</v>
      </c>
      <c r="G92" s="25" t="s">
        <v>336</v>
      </c>
      <c r="T92" s="25" t="s">
        <v>922</v>
      </c>
      <c r="Y92" s="25" t="s">
        <v>277</v>
      </c>
      <c r="Z92" s="20" t="str">
        <f t="shared" si="3"/>
        <v/>
      </c>
      <c r="AA92" s="21" t="str">
        <f>IF(Z92="","",_xll.IMDP("STK",$Z92,"한글종목명"))</f>
        <v/>
      </c>
      <c r="AB92" s="48" t="str">
        <f>IF(Z92="","",_xll.IMDP("STK",$Z92,"현재가"))</f>
        <v/>
      </c>
      <c r="AC92" s="48" t="str">
        <f>IF(Z92="","",_xll.IMDP("STK",$Z92,"전일대비"))</f>
        <v/>
      </c>
      <c r="AD92" s="49" t="str">
        <f>IF(Z92="","",_xll.IMDP("STK",$Z92,"등락률"))</f>
        <v/>
      </c>
      <c r="AE92" s="48" t="str">
        <f>IF(Z92="","",_xll.IMDP("STK",Z92,"시가총액"))</f>
        <v/>
      </c>
      <c r="AF92" s="20" t="str">
        <f t="shared" si="5"/>
        <v/>
      </c>
      <c r="AG92" s="21" t="str">
        <f>IF(AF92="","",_xll.IMDP("STK",$AF92,"한글종목명"))</f>
        <v/>
      </c>
      <c r="AH92" s="48" t="str">
        <f>IF(AF92="","",_xll.IMDP("STK",$AF92,"현재가"))</f>
        <v/>
      </c>
      <c r="AI92" s="48" t="str">
        <f>IF(AF92="","",_xll.IMDP("STK",$AF92,"전일대비"))</f>
        <v/>
      </c>
      <c r="AJ92" s="49" t="str">
        <f>IF(AF92="","",_xll.IMDP("STK",$AF92,"등락률"))</f>
        <v/>
      </c>
      <c r="AK92" s="48" t="str">
        <f>IF(AF92="","",_xll.IMDP("STK",$AF92,"시가총액"))</f>
        <v/>
      </c>
      <c r="AL92" s="20" t="str">
        <f t="shared" si="4"/>
        <v/>
      </c>
      <c r="AM92" s="21" t="str">
        <f>IF(AL92="","",_xll.IMDP("STK",$AL92,"한글종목명"))</f>
        <v/>
      </c>
      <c r="AN92" s="48" t="str">
        <f>IF(AL92="","",_xll.IMDP("STK",$AL92,"현재가"))</f>
        <v/>
      </c>
      <c r="AO92" s="48" t="str">
        <f>IF(AL92="","",_xll.IMDP("STK",$AL92,"전일대비"))</f>
        <v/>
      </c>
      <c r="AP92" s="49" t="str">
        <f>IF(AL92="","",_xll.IMDP("STK",$AL92,"등락률"))</f>
        <v/>
      </c>
      <c r="AQ92" s="48" t="str">
        <f>IF(AL92="","",_xll.IMDP("STK",$AL92,"시가총액"))</f>
        <v/>
      </c>
    </row>
    <row r="93" spans="3:43" x14ac:dyDescent="0.25">
      <c r="C93" s="22">
        <v>88</v>
      </c>
      <c r="G93" s="25" t="s">
        <v>337</v>
      </c>
      <c r="T93" s="25" t="s">
        <v>923</v>
      </c>
      <c r="Y93" s="25" t="s">
        <v>278</v>
      </c>
      <c r="Z93" s="20" t="str">
        <f t="shared" si="3"/>
        <v/>
      </c>
      <c r="AA93" s="21" t="str">
        <f>IF(Z93="","",_xll.IMDP("STK",$Z93,"한글종목명"))</f>
        <v/>
      </c>
      <c r="AB93" s="48" t="str">
        <f>IF(Z93="","",_xll.IMDP("STK",$Z93,"현재가"))</f>
        <v/>
      </c>
      <c r="AC93" s="48" t="str">
        <f>IF(Z93="","",_xll.IMDP("STK",$Z93,"전일대비"))</f>
        <v/>
      </c>
      <c r="AD93" s="49" t="str">
        <f>IF(Z93="","",_xll.IMDP("STK",$Z93,"등락률"))</f>
        <v/>
      </c>
      <c r="AE93" s="48" t="str">
        <f>IF(Z93="","",_xll.IMDP("STK",Z93,"시가총액"))</f>
        <v/>
      </c>
      <c r="AF93" s="20" t="str">
        <f t="shared" si="5"/>
        <v/>
      </c>
      <c r="AG93" s="21" t="str">
        <f>IF(AF93="","",_xll.IMDP("STK",$AF93,"한글종목명"))</f>
        <v/>
      </c>
      <c r="AH93" s="48" t="str">
        <f>IF(AF93="","",_xll.IMDP("STK",$AF93,"현재가"))</f>
        <v/>
      </c>
      <c r="AI93" s="48" t="str">
        <f>IF(AF93="","",_xll.IMDP("STK",$AF93,"전일대비"))</f>
        <v/>
      </c>
      <c r="AJ93" s="49" t="str">
        <f>IF(AF93="","",_xll.IMDP("STK",$AF93,"등락률"))</f>
        <v/>
      </c>
      <c r="AK93" s="48" t="str">
        <f>IF(AF93="","",_xll.IMDP("STK",$AF93,"시가총액"))</f>
        <v/>
      </c>
      <c r="AL93" s="20" t="str">
        <f t="shared" si="4"/>
        <v/>
      </c>
      <c r="AM93" s="21" t="str">
        <f>IF(AL93="","",_xll.IMDP("STK",$AL93,"한글종목명"))</f>
        <v/>
      </c>
      <c r="AN93" s="48" t="str">
        <f>IF(AL93="","",_xll.IMDP("STK",$AL93,"현재가"))</f>
        <v/>
      </c>
      <c r="AO93" s="48" t="str">
        <f>IF(AL93="","",_xll.IMDP("STK",$AL93,"전일대비"))</f>
        <v/>
      </c>
      <c r="AP93" s="49" t="str">
        <f>IF(AL93="","",_xll.IMDP("STK",$AL93,"등락률"))</f>
        <v/>
      </c>
      <c r="AQ93" s="48" t="str">
        <f>IF(AL93="","",_xll.IMDP("STK",$AL93,"시가총액"))</f>
        <v/>
      </c>
    </row>
    <row r="94" spans="3:43" x14ac:dyDescent="0.25">
      <c r="C94" s="22">
        <v>89</v>
      </c>
      <c r="G94" s="25" t="s">
        <v>338</v>
      </c>
      <c r="T94" s="25" t="s">
        <v>924</v>
      </c>
      <c r="Y94" s="25" t="s">
        <v>637</v>
      </c>
      <c r="Z94" s="20" t="str">
        <f t="shared" si="3"/>
        <v/>
      </c>
      <c r="AA94" s="21" t="str">
        <f>IF(Z94="","",_xll.IMDP("STK",$Z94,"한글종목명"))</f>
        <v/>
      </c>
      <c r="AB94" s="48" t="str">
        <f>IF(Z94="","",_xll.IMDP("STK",$Z94,"현재가"))</f>
        <v/>
      </c>
      <c r="AC94" s="48" t="str">
        <f>IF(Z94="","",_xll.IMDP("STK",$Z94,"전일대비"))</f>
        <v/>
      </c>
      <c r="AD94" s="49" t="str">
        <f>IF(Z94="","",_xll.IMDP("STK",$Z94,"등락률"))</f>
        <v/>
      </c>
      <c r="AE94" s="48" t="str">
        <f>IF(Z94="","",_xll.IMDP("STK",Z94,"시가총액"))</f>
        <v/>
      </c>
      <c r="AF94" s="20" t="str">
        <f t="shared" si="5"/>
        <v/>
      </c>
      <c r="AG94" s="21" t="str">
        <f>IF(AF94="","",_xll.IMDP("STK",$AF94,"한글종목명"))</f>
        <v/>
      </c>
      <c r="AH94" s="48" t="str">
        <f>IF(AF94="","",_xll.IMDP("STK",$AF94,"현재가"))</f>
        <v/>
      </c>
      <c r="AI94" s="48" t="str">
        <f>IF(AF94="","",_xll.IMDP("STK",$AF94,"전일대비"))</f>
        <v/>
      </c>
      <c r="AJ94" s="49" t="str">
        <f>IF(AF94="","",_xll.IMDP("STK",$AF94,"등락률"))</f>
        <v/>
      </c>
      <c r="AK94" s="48" t="str">
        <f>IF(AF94="","",_xll.IMDP("STK",$AF94,"시가총액"))</f>
        <v/>
      </c>
      <c r="AL94" s="20" t="str">
        <f t="shared" si="4"/>
        <v/>
      </c>
      <c r="AM94" s="21" t="str">
        <f>IF(AL94="","",_xll.IMDP("STK",$AL94,"한글종목명"))</f>
        <v/>
      </c>
      <c r="AN94" s="48" t="str">
        <f>IF(AL94="","",_xll.IMDP("STK",$AL94,"현재가"))</f>
        <v/>
      </c>
      <c r="AO94" s="48" t="str">
        <f>IF(AL94="","",_xll.IMDP("STK",$AL94,"전일대비"))</f>
        <v/>
      </c>
      <c r="AP94" s="49" t="str">
        <f>IF(AL94="","",_xll.IMDP("STK",$AL94,"등락률"))</f>
        <v/>
      </c>
      <c r="AQ94" s="48" t="str">
        <f>IF(AL94="","",_xll.IMDP("STK",$AL94,"시가총액"))</f>
        <v/>
      </c>
    </row>
    <row r="95" spans="3:43" x14ac:dyDescent="0.25">
      <c r="C95" s="22">
        <v>90</v>
      </c>
      <c r="G95" s="25" t="s">
        <v>339</v>
      </c>
      <c r="T95" s="25" t="s">
        <v>925</v>
      </c>
      <c r="Y95" s="25" t="s">
        <v>572</v>
      </c>
      <c r="Z95" s="20" t="str">
        <f t="shared" si="3"/>
        <v/>
      </c>
      <c r="AA95" s="21" t="str">
        <f>IF(Z95="","",_xll.IMDP("STK",$Z95,"한글종목명"))</f>
        <v/>
      </c>
      <c r="AB95" s="48" t="str">
        <f>IF(Z95="","",_xll.IMDP("STK",$Z95,"현재가"))</f>
        <v/>
      </c>
      <c r="AC95" s="48" t="str">
        <f>IF(Z95="","",_xll.IMDP("STK",$Z95,"전일대비"))</f>
        <v/>
      </c>
      <c r="AD95" s="49" t="str">
        <f>IF(Z95="","",_xll.IMDP("STK",$Z95,"등락률"))</f>
        <v/>
      </c>
      <c r="AE95" s="48" t="str">
        <f>IF(Z95="","",_xll.IMDP("STK",Z95,"시가총액"))</f>
        <v/>
      </c>
      <c r="AF95" s="20" t="str">
        <f t="shared" si="5"/>
        <v/>
      </c>
      <c r="AG95" s="21" t="str">
        <f>IF(AF95="","",_xll.IMDP("STK",$AF95,"한글종목명"))</f>
        <v/>
      </c>
      <c r="AH95" s="48" t="str">
        <f>IF(AF95="","",_xll.IMDP("STK",$AF95,"현재가"))</f>
        <v/>
      </c>
      <c r="AI95" s="48" t="str">
        <f>IF(AF95="","",_xll.IMDP("STK",$AF95,"전일대비"))</f>
        <v/>
      </c>
      <c r="AJ95" s="49" t="str">
        <f>IF(AF95="","",_xll.IMDP("STK",$AF95,"등락률"))</f>
        <v/>
      </c>
      <c r="AK95" s="48" t="str">
        <f>IF(AF95="","",_xll.IMDP("STK",$AF95,"시가총액"))</f>
        <v/>
      </c>
      <c r="AL95" s="20" t="str">
        <f t="shared" si="4"/>
        <v/>
      </c>
      <c r="AM95" s="21" t="str">
        <f>IF(AL95="","",_xll.IMDP("STK",$AL95,"한글종목명"))</f>
        <v/>
      </c>
      <c r="AN95" s="48" t="str">
        <f>IF(AL95="","",_xll.IMDP("STK",$AL95,"현재가"))</f>
        <v/>
      </c>
      <c r="AO95" s="48" t="str">
        <f>IF(AL95="","",_xll.IMDP("STK",$AL95,"전일대비"))</f>
        <v/>
      </c>
      <c r="AP95" s="49" t="str">
        <f>IF(AL95="","",_xll.IMDP("STK",$AL95,"등락률"))</f>
        <v/>
      </c>
      <c r="AQ95" s="48" t="str">
        <f>IF(AL95="","",_xll.IMDP("STK",$AL95,"시가총액"))</f>
        <v/>
      </c>
    </row>
    <row r="96" spans="3:43" x14ac:dyDescent="0.25">
      <c r="C96" s="22">
        <v>91</v>
      </c>
      <c r="G96" s="25" t="s">
        <v>340</v>
      </c>
      <c r="T96" s="25" t="s">
        <v>926</v>
      </c>
      <c r="Y96" s="25" t="s">
        <v>279</v>
      </c>
      <c r="Z96" s="20" t="str">
        <f t="shared" si="3"/>
        <v/>
      </c>
      <c r="AA96" s="21" t="str">
        <f>IF(Z96="","",_xll.IMDP("STK",$Z96,"한글종목명"))</f>
        <v/>
      </c>
      <c r="AB96" s="48" t="str">
        <f>IF(Z96="","",_xll.IMDP("STK",$Z96,"현재가"))</f>
        <v/>
      </c>
      <c r="AC96" s="48" t="str">
        <f>IF(Z96="","",_xll.IMDP("STK",$Z96,"전일대비"))</f>
        <v/>
      </c>
      <c r="AD96" s="49" t="str">
        <f>IF(Z96="","",_xll.IMDP("STK",$Z96,"등락률"))</f>
        <v/>
      </c>
      <c r="AE96" s="48" t="str">
        <f>IF(Z96="","",_xll.IMDP("STK",Z96,"시가총액"))</f>
        <v/>
      </c>
      <c r="AF96" s="20" t="str">
        <f t="shared" si="5"/>
        <v/>
      </c>
      <c r="AG96" s="21" t="str">
        <f>IF(AF96="","",_xll.IMDP("STK",$AF96,"한글종목명"))</f>
        <v/>
      </c>
      <c r="AH96" s="48" t="str">
        <f>IF(AF96="","",_xll.IMDP("STK",$AF96,"현재가"))</f>
        <v/>
      </c>
      <c r="AI96" s="48" t="str">
        <f>IF(AF96="","",_xll.IMDP("STK",$AF96,"전일대비"))</f>
        <v/>
      </c>
      <c r="AJ96" s="49" t="str">
        <f>IF(AF96="","",_xll.IMDP("STK",$AF96,"등락률"))</f>
        <v/>
      </c>
      <c r="AK96" s="48" t="str">
        <f>IF(AF96="","",_xll.IMDP("STK",$AF96,"시가총액"))</f>
        <v/>
      </c>
      <c r="AL96" s="20" t="str">
        <f t="shared" si="4"/>
        <v/>
      </c>
      <c r="AM96" s="21" t="str">
        <f>IF(AL96="","",_xll.IMDP("STK",$AL96,"한글종목명"))</f>
        <v/>
      </c>
      <c r="AN96" s="48" t="str">
        <f>IF(AL96="","",_xll.IMDP("STK",$AL96,"현재가"))</f>
        <v/>
      </c>
      <c r="AO96" s="48" t="str">
        <f>IF(AL96="","",_xll.IMDP("STK",$AL96,"전일대비"))</f>
        <v/>
      </c>
      <c r="AP96" s="49" t="str">
        <f>IF(AL96="","",_xll.IMDP("STK",$AL96,"등락률"))</f>
        <v/>
      </c>
      <c r="AQ96" s="48" t="str">
        <f>IF(AL96="","",_xll.IMDP("STK",$AL96,"시가총액"))</f>
        <v/>
      </c>
    </row>
    <row r="97" spans="3:43" x14ac:dyDescent="0.25">
      <c r="C97" s="22">
        <v>92</v>
      </c>
      <c r="G97" s="25" t="s">
        <v>341</v>
      </c>
      <c r="T97" s="25" t="s">
        <v>927</v>
      </c>
      <c r="Y97" s="25" t="s">
        <v>522</v>
      </c>
      <c r="Z97" s="20" t="str">
        <f t="shared" si="3"/>
        <v/>
      </c>
      <c r="AA97" s="21" t="str">
        <f>IF(Z97="","",_xll.IMDP("STK",$Z97,"한글종목명"))</f>
        <v/>
      </c>
      <c r="AB97" s="48" t="str">
        <f>IF(Z97="","",_xll.IMDP("STK",$Z97,"현재가"))</f>
        <v/>
      </c>
      <c r="AC97" s="48" t="str">
        <f>IF(Z97="","",_xll.IMDP("STK",$Z97,"전일대비"))</f>
        <v/>
      </c>
      <c r="AD97" s="49" t="str">
        <f>IF(Z97="","",_xll.IMDP("STK",$Z97,"등락률"))</f>
        <v/>
      </c>
      <c r="AE97" s="48" t="str">
        <f>IF(Z97="","",_xll.IMDP("STK",Z97,"시가총액"))</f>
        <v/>
      </c>
      <c r="AF97" s="20" t="str">
        <f t="shared" si="5"/>
        <v/>
      </c>
      <c r="AG97" s="21" t="str">
        <f>IF(AF97="","",_xll.IMDP("STK",$AF97,"한글종목명"))</f>
        <v/>
      </c>
      <c r="AH97" s="48" t="str">
        <f>IF(AF97="","",_xll.IMDP("STK",$AF97,"현재가"))</f>
        <v/>
      </c>
      <c r="AI97" s="48" t="str">
        <f>IF(AF97="","",_xll.IMDP("STK",$AF97,"전일대비"))</f>
        <v/>
      </c>
      <c r="AJ97" s="49" t="str">
        <f>IF(AF97="","",_xll.IMDP("STK",$AF97,"등락률"))</f>
        <v/>
      </c>
      <c r="AK97" s="48" t="str">
        <f>IF(AF97="","",_xll.IMDP("STK",$AF97,"시가총액"))</f>
        <v/>
      </c>
      <c r="AL97" s="20" t="str">
        <f t="shared" si="4"/>
        <v/>
      </c>
      <c r="AM97" s="21" t="str">
        <f>IF(AL97="","",_xll.IMDP("STK",$AL97,"한글종목명"))</f>
        <v/>
      </c>
      <c r="AN97" s="48" t="str">
        <f>IF(AL97="","",_xll.IMDP("STK",$AL97,"현재가"))</f>
        <v/>
      </c>
      <c r="AO97" s="48" t="str">
        <f>IF(AL97="","",_xll.IMDP("STK",$AL97,"전일대비"))</f>
        <v/>
      </c>
      <c r="AP97" s="49" t="str">
        <f>IF(AL97="","",_xll.IMDP("STK",$AL97,"등락률"))</f>
        <v/>
      </c>
      <c r="AQ97" s="48" t="str">
        <f>IF(AL97="","",_xll.IMDP("STK",$AL97,"시가총액"))</f>
        <v/>
      </c>
    </row>
    <row r="98" spans="3:43" x14ac:dyDescent="0.25">
      <c r="C98" s="22">
        <v>93</v>
      </c>
      <c r="G98" s="25" t="s">
        <v>342</v>
      </c>
      <c r="T98" s="25" t="s">
        <v>928</v>
      </c>
      <c r="Y98" s="25" t="s">
        <v>638</v>
      </c>
      <c r="Z98" s="20" t="str">
        <f t="shared" si="3"/>
        <v/>
      </c>
      <c r="AA98" s="21" t="str">
        <f>IF(Z98="","",_xll.IMDP("STK",$Z98,"한글종목명"))</f>
        <v/>
      </c>
      <c r="AB98" s="48" t="str">
        <f>IF(Z98="","",_xll.IMDP("STK",$Z98,"현재가"))</f>
        <v/>
      </c>
      <c r="AC98" s="48" t="str">
        <f>IF(Z98="","",_xll.IMDP("STK",$Z98,"전일대비"))</f>
        <v/>
      </c>
      <c r="AD98" s="49" t="str">
        <f>IF(Z98="","",_xll.IMDP("STK",$Z98,"등락률"))</f>
        <v/>
      </c>
      <c r="AE98" s="48" t="str">
        <f>IF(Z98="","",_xll.IMDP("STK",Z98,"시가총액"))</f>
        <v/>
      </c>
      <c r="AF98" s="20" t="str">
        <f t="shared" si="5"/>
        <v/>
      </c>
      <c r="AG98" s="21" t="str">
        <f>IF(AF98="","",_xll.IMDP("STK",$AF98,"한글종목명"))</f>
        <v/>
      </c>
      <c r="AH98" s="48" t="str">
        <f>IF(AF98="","",_xll.IMDP("STK",$AF98,"현재가"))</f>
        <v/>
      </c>
      <c r="AI98" s="48" t="str">
        <f>IF(AF98="","",_xll.IMDP("STK",$AF98,"전일대비"))</f>
        <v/>
      </c>
      <c r="AJ98" s="49" t="str">
        <f>IF(AF98="","",_xll.IMDP("STK",$AF98,"등락률"))</f>
        <v/>
      </c>
      <c r="AK98" s="48" t="str">
        <f>IF(AF98="","",_xll.IMDP("STK",$AF98,"시가총액"))</f>
        <v/>
      </c>
      <c r="AL98" s="20" t="str">
        <f t="shared" si="4"/>
        <v/>
      </c>
      <c r="AM98" s="21" t="str">
        <f>IF(AL98="","",_xll.IMDP("STK",$AL98,"한글종목명"))</f>
        <v/>
      </c>
      <c r="AN98" s="48" t="str">
        <f>IF(AL98="","",_xll.IMDP("STK",$AL98,"현재가"))</f>
        <v/>
      </c>
      <c r="AO98" s="48" t="str">
        <f>IF(AL98="","",_xll.IMDP("STK",$AL98,"전일대비"))</f>
        <v/>
      </c>
      <c r="AP98" s="49" t="str">
        <f>IF(AL98="","",_xll.IMDP("STK",$AL98,"등락률"))</f>
        <v/>
      </c>
      <c r="AQ98" s="48" t="str">
        <f>IF(AL98="","",_xll.IMDP("STK",$AL98,"시가총액"))</f>
        <v/>
      </c>
    </row>
    <row r="99" spans="3:43" x14ac:dyDescent="0.25">
      <c r="C99" s="22">
        <v>94</v>
      </c>
      <c r="G99" s="25" t="s">
        <v>343</v>
      </c>
      <c r="T99" s="25" t="s">
        <v>929</v>
      </c>
      <c r="Y99" s="25" t="s">
        <v>361</v>
      </c>
      <c r="Z99" s="20" t="str">
        <f t="shared" si="3"/>
        <v/>
      </c>
      <c r="AA99" s="21" t="str">
        <f>IF(Z99="","",_xll.IMDP("STK",$Z99,"한글종목명"))</f>
        <v/>
      </c>
      <c r="AB99" s="48" t="str">
        <f>IF(Z99="","",_xll.IMDP("STK",$Z99,"현재가"))</f>
        <v/>
      </c>
      <c r="AC99" s="48" t="str">
        <f>IF(Z99="","",_xll.IMDP("STK",$Z99,"전일대비"))</f>
        <v/>
      </c>
      <c r="AD99" s="49" t="str">
        <f>IF(Z99="","",_xll.IMDP("STK",$Z99,"등락률"))</f>
        <v/>
      </c>
      <c r="AE99" s="48" t="str">
        <f>IF(Z99="","",_xll.IMDP("STK",Z99,"시가총액"))</f>
        <v/>
      </c>
      <c r="AF99" s="20" t="str">
        <f t="shared" si="5"/>
        <v/>
      </c>
      <c r="AG99" s="21" t="str">
        <f>IF(AF99="","",_xll.IMDP("STK",$AF99,"한글종목명"))</f>
        <v/>
      </c>
      <c r="AH99" s="48" t="str">
        <f>IF(AF99="","",_xll.IMDP("STK",$AF99,"현재가"))</f>
        <v/>
      </c>
      <c r="AI99" s="48" t="str">
        <f>IF(AF99="","",_xll.IMDP("STK",$AF99,"전일대비"))</f>
        <v/>
      </c>
      <c r="AJ99" s="49" t="str">
        <f>IF(AF99="","",_xll.IMDP("STK",$AF99,"등락률"))</f>
        <v/>
      </c>
      <c r="AK99" s="48" t="str">
        <f>IF(AF99="","",_xll.IMDP("STK",$AF99,"시가총액"))</f>
        <v/>
      </c>
      <c r="AL99" s="20" t="str">
        <f t="shared" si="4"/>
        <v/>
      </c>
      <c r="AM99" s="21" t="str">
        <f>IF(AL99="","",_xll.IMDP("STK",$AL99,"한글종목명"))</f>
        <v/>
      </c>
      <c r="AN99" s="48" t="str">
        <f>IF(AL99="","",_xll.IMDP("STK",$AL99,"현재가"))</f>
        <v/>
      </c>
      <c r="AO99" s="48" t="str">
        <f>IF(AL99="","",_xll.IMDP("STK",$AL99,"전일대비"))</f>
        <v/>
      </c>
      <c r="AP99" s="49" t="str">
        <f>IF(AL99="","",_xll.IMDP("STK",$AL99,"등락률"))</f>
        <v/>
      </c>
      <c r="AQ99" s="48" t="str">
        <f>IF(AL99="","",_xll.IMDP("STK",$AL99,"시가총액"))</f>
        <v/>
      </c>
    </row>
    <row r="100" spans="3:43" x14ac:dyDescent="0.25">
      <c r="C100" s="22">
        <v>95</v>
      </c>
      <c r="G100" s="25" t="s">
        <v>344</v>
      </c>
      <c r="T100" s="25" t="s">
        <v>930</v>
      </c>
      <c r="Y100" s="25" t="s">
        <v>362</v>
      </c>
      <c r="Z100" s="20" t="str">
        <f t="shared" si="3"/>
        <v/>
      </c>
      <c r="AA100" s="21" t="str">
        <f>IF(Z100="","",_xll.IMDP("STK",$Z100,"한글종목명"))</f>
        <v/>
      </c>
      <c r="AB100" s="48" t="str">
        <f>IF(Z100="","",_xll.IMDP("STK",$Z100,"현재가"))</f>
        <v/>
      </c>
      <c r="AC100" s="48" t="str">
        <f>IF(Z100="","",_xll.IMDP("STK",$Z100,"전일대비"))</f>
        <v/>
      </c>
      <c r="AD100" s="49" t="str">
        <f>IF(Z100="","",_xll.IMDP("STK",$Z100,"등락률"))</f>
        <v/>
      </c>
      <c r="AE100" s="48" t="str">
        <f>IF(Z100="","",_xll.IMDP("STK",Z100,"시가총액"))</f>
        <v/>
      </c>
      <c r="AF100" s="20" t="str">
        <f t="shared" si="5"/>
        <v/>
      </c>
      <c r="AG100" s="21" t="str">
        <f>IF(AF100="","",_xll.IMDP("STK",$AF100,"한글종목명"))</f>
        <v/>
      </c>
      <c r="AH100" s="48" t="str">
        <f>IF(AF100="","",_xll.IMDP("STK",$AF100,"현재가"))</f>
        <v/>
      </c>
      <c r="AI100" s="48" t="str">
        <f>IF(AF100="","",_xll.IMDP("STK",$AF100,"전일대비"))</f>
        <v/>
      </c>
      <c r="AJ100" s="49" t="str">
        <f>IF(AF100="","",_xll.IMDP("STK",$AF100,"등락률"))</f>
        <v/>
      </c>
      <c r="AK100" s="48" t="str">
        <f>IF(AF100="","",_xll.IMDP("STK",$AF100,"시가총액"))</f>
        <v/>
      </c>
      <c r="AL100" s="20" t="str">
        <f t="shared" si="4"/>
        <v/>
      </c>
      <c r="AM100" s="21" t="str">
        <f>IF(AL100="","",_xll.IMDP("STK",$AL100,"한글종목명"))</f>
        <v/>
      </c>
      <c r="AN100" s="48" t="str">
        <f>IF(AL100="","",_xll.IMDP("STK",$AL100,"현재가"))</f>
        <v/>
      </c>
      <c r="AO100" s="48" t="str">
        <f>IF(AL100="","",_xll.IMDP("STK",$AL100,"전일대비"))</f>
        <v/>
      </c>
      <c r="AP100" s="49" t="str">
        <f>IF(AL100="","",_xll.IMDP("STK",$AL100,"등락률"))</f>
        <v/>
      </c>
      <c r="AQ100" s="48" t="str">
        <f>IF(AL100="","",_xll.IMDP("STK",$AL100,"시가총액"))</f>
        <v/>
      </c>
    </row>
    <row r="101" spans="3:43" x14ac:dyDescent="0.25">
      <c r="C101" s="22">
        <v>96</v>
      </c>
      <c r="G101" s="25" t="s">
        <v>345</v>
      </c>
      <c r="T101" s="25" t="s">
        <v>931</v>
      </c>
      <c r="Y101" s="25" t="s">
        <v>523</v>
      </c>
      <c r="Z101" s="20" t="str">
        <f t="shared" si="3"/>
        <v/>
      </c>
      <c r="AA101" s="21" t="str">
        <f>IF(Z101="","",_xll.IMDP("STK",$Z101,"한글종목명"))</f>
        <v/>
      </c>
      <c r="AB101" s="48" t="str">
        <f>IF(Z101="","",_xll.IMDP("STK",$Z101,"현재가"))</f>
        <v/>
      </c>
      <c r="AC101" s="48" t="str">
        <f>IF(Z101="","",_xll.IMDP("STK",$Z101,"전일대비"))</f>
        <v/>
      </c>
      <c r="AD101" s="49" t="str">
        <f>IF(Z101="","",_xll.IMDP("STK",$Z101,"등락률"))</f>
        <v/>
      </c>
      <c r="AE101" s="48" t="str">
        <f>IF(Z101="","",_xll.IMDP("STK",Z101,"시가총액"))</f>
        <v/>
      </c>
      <c r="AF101" s="20" t="str">
        <f t="shared" si="5"/>
        <v/>
      </c>
      <c r="AG101" s="21" t="str">
        <f>IF(AF101="","",_xll.IMDP("STK",$AF101,"한글종목명"))</f>
        <v/>
      </c>
      <c r="AH101" s="48" t="str">
        <f>IF(AF101="","",_xll.IMDP("STK",$AF101,"현재가"))</f>
        <v/>
      </c>
      <c r="AI101" s="48" t="str">
        <f>IF(AF101="","",_xll.IMDP("STK",$AF101,"전일대비"))</f>
        <v/>
      </c>
      <c r="AJ101" s="49" t="str">
        <f>IF(AF101="","",_xll.IMDP("STK",$AF101,"등락률"))</f>
        <v/>
      </c>
      <c r="AK101" s="48" t="str">
        <f>IF(AF101="","",_xll.IMDP("STK",$AF101,"시가총액"))</f>
        <v/>
      </c>
      <c r="AL101" s="20" t="str">
        <f t="shared" si="4"/>
        <v/>
      </c>
      <c r="AM101" s="21" t="str">
        <f>IF(AL101="","",_xll.IMDP("STK",$AL101,"한글종목명"))</f>
        <v/>
      </c>
      <c r="AN101" s="48" t="str">
        <f>IF(AL101="","",_xll.IMDP("STK",$AL101,"현재가"))</f>
        <v/>
      </c>
      <c r="AO101" s="48" t="str">
        <f>IF(AL101="","",_xll.IMDP("STK",$AL101,"전일대비"))</f>
        <v/>
      </c>
      <c r="AP101" s="49" t="str">
        <f>IF(AL101="","",_xll.IMDP("STK",$AL101,"등락률"))</f>
        <v/>
      </c>
      <c r="AQ101" s="48" t="str">
        <f>IF(AL101="","",_xll.IMDP("STK",$AL101,"시가총액"))</f>
        <v/>
      </c>
    </row>
    <row r="102" spans="3:43" x14ac:dyDescent="0.25">
      <c r="C102" s="22">
        <v>97</v>
      </c>
      <c r="G102" s="25" t="s">
        <v>346</v>
      </c>
      <c r="T102" s="25" t="s">
        <v>932</v>
      </c>
      <c r="Y102" s="25" t="s">
        <v>473</v>
      </c>
      <c r="Z102" s="20" t="str">
        <f t="shared" si="3"/>
        <v/>
      </c>
      <c r="AA102" s="21" t="str">
        <f>IF(Z102="","",_xll.IMDP("STK",$Z102,"한글종목명"))</f>
        <v/>
      </c>
      <c r="AB102" s="48" t="str">
        <f>IF(Z102="","",_xll.IMDP("STK",$Z102,"현재가"))</f>
        <v/>
      </c>
      <c r="AC102" s="48" t="str">
        <f>IF(Z102="","",_xll.IMDP("STK",$Z102,"전일대비"))</f>
        <v/>
      </c>
      <c r="AD102" s="49" t="str">
        <f>IF(Z102="","",_xll.IMDP("STK",$Z102,"등락률"))</f>
        <v/>
      </c>
      <c r="AE102" s="48" t="str">
        <f>IF(Z102="","",_xll.IMDP("STK",Z102,"시가총액"))</f>
        <v/>
      </c>
      <c r="AF102" s="20" t="str">
        <f t="shared" si="5"/>
        <v/>
      </c>
      <c r="AG102" s="21" t="str">
        <f>IF(AF102="","",_xll.IMDP("STK",$AF102,"한글종목명"))</f>
        <v/>
      </c>
      <c r="AH102" s="48" t="str">
        <f>IF(AF102="","",_xll.IMDP("STK",$AF102,"현재가"))</f>
        <v/>
      </c>
      <c r="AI102" s="48" t="str">
        <f>IF(AF102="","",_xll.IMDP("STK",$AF102,"전일대비"))</f>
        <v/>
      </c>
      <c r="AJ102" s="49" t="str">
        <f>IF(AF102="","",_xll.IMDP("STK",$AF102,"등락률"))</f>
        <v/>
      </c>
      <c r="AK102" s="48" t="str">
        <f>IF(AF102="","",_xll.IMDP("STK",$AF102,"시가총액"))</f>
        <v/>
      </c>
      <c r="AL102" s="20" t="str">
        <f t="shared" si="4"/>
        <v/>
      </c>
      <c r="AM102" s="21" t="str">
        <f>IF(AL102="","",_xll.IMDP("STK",$AL102,"한글종목명"))</f>
        <v/>
      </c>
      <c r="AN102" s="48" t="str">
        <f>IF(AL102="","",_xll.IMDP("STK",$AL102,"현재가"))</f>
        <v/>
      </c>
      <c r="AO102" s="48" t="str">
        <f>IF(AL102="","",_xll.IMDP("STK",$AL102,"전일대비"))</f>
        <v/>
      </c>
      <c r="AP102" s="49" t="str">
        <f>IF(AL102="","",_xll.IMDP("STK",$AL102,"등락률"))</f>
        <v/>
      </c>
      <c r="AQ102" s="48" t="str">
        <f>IF(AL102="","",_xll.IMDP("STK",$AL102,"시가총액"))</f>
        <v/>
      </c>
    </row>
    <row r="103" spans="3:43" x14ac:dyDescent="0.25">
      <c r="C103" s="22">
        <v>98</v>
      </c>
      <c r="G103" s="25" t="s">
        <v>347</v>
      </c>
      <c r="T103" s="25" t="s">
        <v>933</v>
      </c>
      <c r="Y103" s="25" t="s">
        <v>474</v>
      </c>
      <c r="Z103" s="20" t="str">
        <f t="shared" si="3"/>
        <v/>
      </c>
      <c r="AA103" s="21" t="str">
        <f>IF(Z103="","",_xll.IMDP("STK",$Z103,"한글종목명"))</f>
        <v/>
      </c>
      <c r="AB103" s="48" t="str">
        <f>IF(Z103="","",_xll.IMDP("STK",$Z103,"현재가"))</f>
        <v/>
      </c>
      <c r="AC103" s="48" t="str">
        <f>IF(Z103="","",_xll.IMDP("STK",$Z103,"전일대비"))</f>
        <v/>
      </c>
      <c r="AD103" s="49" t="str">
        <f>IF(Z103="","",_xll.IMDP("STK",$Z103,"등락률"))</f>
        <v/>
      </c>
      <c r="AE103" s="48" t="str">
        <f>IF(Z103="","",_xll.IMDP("STK",Z103,"시가총액"))</f>
        <v/>
      </c>
      <c r="AF103" s="20" t="str">
        <f t="shared" si="5"/>
        <v/>
      </c>
      <c r="AG103" s="21" t="str">
        <f>IF(AF103="","",_xll.IMDP("STK",$AF103,"한글종목명"))</f>
        <v/>
      </c>
      <c r="AH103" s="48" t="str">
        <f>IF(AF103="","",_xll.IMDP("STK",$AF103,"현재가"))</f>
        <v/>
      </c>
      <c r="AI103" s="48" t="str">
        <f>IF(AF103="","",_xll.IMDP("STK",$AF103,"전일대비"))</f>
        <v/>
      </c>
      <c r="AJ103" s="49" t="str">
        <f>IF(AF103="","",_xll.IMDP("STK",$AF103,"등락률"))</f>
        <v/>
      </c>
      <c r="AK103" s="48" t="str">
        <f>IF(AF103="","",_xll.IMDP("STK",$AF103,"시가총액"))</f>
        <v/>
      </c>
      <c r="AL103" s="20" t="str">
        <f t="shared" si="4"/>
        <v/>
      </c>
      <c r="AM103" s="21" t="str">
        <f>IF(AL103="","",_xll.IMDP("STK",$AL103,"한글종목명"))</f>
        <v/>
      </c>
      <c r="AN103" s="48" t="str">
        <f>IF(AL103="","",_xll.IMDP("STK",$AL103,"현재가"))</f>
        <v/>
      </c>
      <c r="AO103" s="48" t="str">
        <f>IF(AL103="","",_xll.IMDP("STK",$AL103,"전일대비"))</f>
        <v/>
      </c>
      <c r="AP103" s="49" t="str">
        <f>IF(AL103="","",_xll.IMDP("STK",$AL103,"등락률"))</f>
        <v/>
      </c>
      <c r="AQ103" s="48" t="str">
        <f>IF(AL103="","",_xll.IMDP("STK",$AL103,"시가총액"))</f>
        <v/>
      </c>
    </row>
    <row r="104" spans="3:43" x14ac:dyDescent="0.25">
      <c r="C104" s="22">
        <v>99</v>
      </c>
      <c r="G104" s="25" t="s">
        <v>348</v>
      </c>
      <c r="T104" s="25" t="s">
        <v>934</v>
      </c>
      <c r="Y104" s="25" t="s">
        <v>181</v>
      </c>
      <c r="Z104" s="20" t="str">
        <f t="shared" si="3"/>
        <v/>
      </c>
      <c r="AA104" s="21" t="str">
        <f>IF(Z104="","",_xll.IMDP("STK",$Z104,"한글종목명"))</f>
        <v/>
      </c>
      <c r="AB104" s="48" t="str">
        <f>IF(Z104="","",_xll.IMDP("STK",$Z104,"현재가"))</f>
        <v/>
      </c>
      <c r="AC104" s="48" t="str">
        <f>IF(Z104="","",_xll.IMDP("STK",$Z104,"전일대비"))</f>
        <v/>
      </c>
      <c r="AD104" s="49" t="str">
        <f>IF(Z104="","",_xll.IMDP("STK",$Z104,"등락률"))</f>
        <v/>
      </c>
      <c r="AE104" s="48" t="str">
        <f>IF(Z104="","",_xll.IMDP("STK",Z104,"시가총액"))</f>
        <v/>
      </c>
      <c r="AF104" s="20" t="str">
        <f t="shared" si="5"/>
        <v/>
      </c>
      <c r="AG104" s="21" t="str">
        <f>IF(AF104="","",_xll.IMDP("STK",$AF104,"한글종목명"))</f>
        <v/>
      </c>
      <c r="AH104" s="48" t="str">
        <f>IF(AF104="","",_xll.IMDP("STK",$AF104,"현재가"))</f>
        <v/>
      </c>
      <c r="AI104" s="48" t="str">
        <f>IF(AF104="","",_xll.IMDP("STK",$AF104,"전일대비"))</f>
        <v/>
      </c>
      <c r="AJ104" s="49" t="str">
        <f>IF(AF104="","",_xll.IMDP("STK",$AF104,"등락률"))</f>
        <v/>
      </c>
      <c r="AK104" s="48" t="str">
        <f>IF(AF104="","",_xll.IMDP("STK",$AF104,"시가총액"))</f>
        <v/>
      </c>
      <c r="AL104" s="20" t="str">
        <f t="shared" si="4"/>
        <v/>
      </c>
      <c r="AM104" s="21" t="str">
        <f>IF(AL104="","",_xll.IMDP("STK",$AL104,"한글종목명"))</f>
        <v/>
      </c>
      <c r="AN104" s="48" t="str">
        <f>IF(AL104="","",_xll.IMDP("STK",$AL104,"현재가"))</f>
        <v/>
      </c>
      <c r="AO104" s="48" t="str">
        <f>IF(AL104="","",_xll.IMDP("STK",$AL104,"전일대비"))</f>
        <v/>
      </c>
      <c r="AP104" s="49" t="str">
        <f>IF(AL104="","",_xll.IMDP("STK",$AL104,"등락률"))</f>
        <v/>
      </c>
      <c r="AQ104" s="48" t="str">
        <f>IF(AL104="","",_xll.IMDP("STK",$AL104,"시가총액"))</f>
        <v/>
      </c>
    </row>
    <row r="105" spans="3:43" x14ac:dyDescent="0.25">
      <c r="C105" s="22">
        <v>100</v>
      </c>
      <c r="G105" s="25" t="s">
        <v>349</v>
      </c>
      <c r="T105" s="25" t="s">
        <v>935</v>
      </c>
      <c r="Y105" s="25" t="s">
        <v>182</v>
      </c>
      <c r="Z105" s="20" t="str">
        <f t="shared" si="3"/>
        <v/>
      </c>
      <c r="AA105" s="21" t="str">
        <f>IF(Z105="","",_xll.IMDP("STK",$Z105,"한글종목명"))</f>
        <v/>
      </c>
      <c r="AB105" s="48" t="str">
        <f>IF(Z105="","",_xll.IMDP("STK",$Z105,"현재가"))</f>
        <v/>
      </c>
      <c r="AC105" s="48" t="str">
        <f>IF(Z105="","",_xll.IMDP("STK",$Z105,"전일대비"))</f>
        <v/>
      </c>
      <c r="AD105" s="49" t="str">
        <f>IF(Z105="","",_xll.IMDP("STK",$Z105,"등락률"))</f>
        <v/>
      </c>
      <c r="AE105" s="48" t="str">
        <f>IF(Z105="","",_xll.IMDP("STK",Z105,"시가총액"))</f>
        <v/>
      </c>
      <c r="AF105" s="20" t="str">
        <f t="shared" si="5"/>
        <v/>
      </c>
      <c r="AG105" s="21" t="str">
        <f>IF(AF105="","",_xll.IMDP("STK",$AF105,"한글종목명"))</f>
        <v/>
      </c>
      <c r="AH105" s="48" t="str">
        <f>IF(AF105="","",_xll.IMDP("STK",$AF105,"현재가"))</f>
        <v/>
      </c>
      <c r="AI105" s="48" t="str">
        <f>IF(AF105="","",_xll.IMDP("STK",$AF105,"전일대비"))</f>
        <v/>
      </c>
      <c r="AJ105" s="49" t="str">
        <f>IF(AF105="","",_xll.IMDP("STK",$AF105,"등락률"))</f>
        <v/>
      </c>
      <c r="AK105" s="48" t="str">
        <f>IF(AF105="","",_xll.IMDP("STK",$AF105,"시가총액"))</f>
        <v/>
      </c>
      <c r="AL105" s="20" t="str">
        <f t="shared" si="4"/>
        <v/>
      </c>
      <c r="AM105" s="21" t="str">
        <f>IF(AL105="","",_xll.IMDP("STK",$AL105,"한글종목명"))</f>
        <v/>
      </c>
      <c r="AN105" s="48" t="str">
        <f>IF(AL105="","",_xll.IMDP("STK",$AL105,"현재가"))</f>
        <v/>
      </c>
      <c r="AO105" s="48" t="str">
        <f>IF(AL105="","",_xll.IMDP("STK",$AL105,"전일대비"))</f>
        <v/>
      </c>
      <c r="AP105" s="49" t="str">
        <f>IF(AL105="","",_xll.IMDP("STK",$AL105,"등락률"))</f>
        <v/>
      </c>
      <c r="AQ105" s="48" t="str">
        <f>IF(AL105="","",_xll.IMDP("STK",$AL105,"시가총액"))</f>
        <v/>
      </c>
    </row>
    <row r="106" spans="3:43" x14ac:dyDescent="0.25">
      <c r="C106" s="22">
        <v>101</v>
      </c>
      <c r="G106" s="25" t="s">
        <v>350</v>
      </c>
      <c r="T106" s="25" t="s">
        <v>936</v>
      </c>
      <c r="Y106" s="25" t="s">
        <v>228</v>
      </c>
      <c r="Z106" s="20" t="str">
        <f t="shared" si="3"/>
        <v/>
      </c>
      <c r="AA106" s="21" t="str">
        <f>IF(Z106="","",_xll.IMDP("STK",$Z106,"한글종목명"))</f>
        <v/>
      </c>
      <c r="AB106" s="48" t="str">
        <f>IF(Z106="","",_xll.IMDP("STK",$Z106,"현재가"))</f>
        <v/>
      </c>
      <c r="AC106" s="48" t="str">
        <f>IF(Z106="","",_xll.IMDP("STK",$Z106,"전일대비"))</f>
        <v/>
      </c>
      <c r="AD106" s="49" t="str">
        <f>IF(Z106="","",_xll.IMDP("STK",$Z106,"등락률"))</f>
        <v/>
      </c>
      <c r="AE106" s="48" t="str">
        <f>IF(Z106="","",_xll.IMDP("STK",Z106,"시가총액"))</f>
        <v/>
      </c>
      <c r="AF106" s="20" t="str">
        <f t="shared" si="5"/>
        <v/>
      </c>
      <c r="AG106" s="21" t="str">
        <f>IF(AF106="","",_xll.IMDP("STK",$AF106,"한글종목명"))</f>
        <v/>
      </c>
      <c r="AH106" s="48" t="str">
        <f>IF(AF106="","",_xll.IMDP("STK",$AF106,"현재가"))</f>
        <v/>
      </c>
      <c r="AI106" s="48" t="str">
        <f>IF(AF106="","",_xll.IMDP("STK",$AF106,"전일대비"))</f>
        <v/>
      </c>
      <c r="AJ106" s="49" t="str">
        <f>IF(AF106="","",_xll.IMDP("STK",$AF106,"등락률"))</f>
        <v/>
      </c>
      <c r="AK106" s="48" t="str">
        <f>IF(AF106="","",_xll.IMDP("STK",$AF106,"시가총액"))</f>
        <v/>
      </c>
      <c r="AL106" s="20" t="str">
        <f t="shared" si="4"/>
        <v/>
      </c>
      <c r="AM106" s="21" t="str">
        <f>IF(AL106="","",_xll.IMDP("STK",$AL106,"한글종목명"))</f>
        <v/>
      </c>
      <c r="AN106" s="48" t="str">
        <f>IF(AL106="","",_xll.IMDP("STK",$AL106,"현재가"))</f>
        <v/>
      </c>
      <c r="AO106" s="48" t="str">
        <f>IF(AL106="","",_xll.IMDP("STK",$AL106,"전일대비"))</f>
        <v/>
      </c>
      <c r="AP106" s="49" t="str">
        <f>IF(AL106="","",_xll.IMDP("STK",$AL106,"등락률"))</f>
        <v/>
      </c>
      <c r="AQ106" s="48" t="str">
        <f>IF(AL106="","",_xll.IMDP("STK",$AL106,"시가총액"))</f>
        <v/>
      </c>
    </row>
    <row r="107" spans="3:43" x14ac:dyDescent="0.25">
      <c r="C107" s="22">
        <v>102</v>
      </c>
      <c r="G107" s="25" t="s">
        <v>351</v>
      </c>
      <c r="T107" s="25" t="s">
        <v>937</v>
      </c>
      <c r="Y107" s="25" t="s">
        <v>280</v>
      </c>
      <c r="Z107" s="20" t="str">
        <f t="shared" si="3"/>
        <v/>
      </c>
      <c r="AA107" s="21" t="str">
        <f>IF(Z107="","",_xll.IMDP("STK",$Z107,"한글종목명"))</f>
        <v/>
      </c>
      <c r="AB107" s="48" t="str">
        <f>IF(Z107="","",_xll.IMDP("STK",$Z107,"현재가"))</f>
        <v/>
      </c>
      <c r="AC107" s="48" t="str">
        <f>IF(Z107="","",_xll.IMDP("STK",$Z107,"전일대비"))</f>
        <v/>
      </c>
      <c r="AD107" s="49" t="str">
        <f>IF(Z107="","",_xll.IMDP("STK",$Z107,"등락률"))</f>
        <v/>
      </c>
      <c r="AE107" s="48" t="str">
        <f>IF(Z107="","",_xll.IMDP("STK",Z107,"시가총액"))</f>
        <v/>
      </c>
      <c r="AF107" s="20" t="str">
        <f t="shared" si="5"/>
        <v/>
      </c>
      <c r="AG107" s="21" t="str">
        <f>IF(AF107="","",_xll.IMDP("STK",$AF107,"한글종목명"))</f>
        <v/>
      </c>
      <c r="AH107" s="48" t="str">
        <f>IF(AF107="","",_xll.IMDP("STK",$AF107,"현재가"))</f>
        <v/>
      </c>
      <c r="AI107" s="48" t="str">
        <f>IF(AF107="","",_xll.IMDP("STK",$AF107,"전일대비"))</f>
        <v/>
      </c>
      <c r="AJ107" s="49" t="str">
        <f>IF(AF107="","",_xll.IMDP("STK",$AF107,"등락률"))</f>
        <v/>
      </c>
      <c r="AK107" s="48" t="str">
        <f>IF(AF107="","",_xll.IMDP("STK",$AF107,"시가총액"))</f>
        <v/>
      </c>
      <c r="AL107" s="20" t="str">
        <f t="shared" si="4"/>
        <v/>
      </c>
      <c r="AM107" s="21" t="str">
        <f>IF(AL107="","",_xll.IMDP("STK",$AL107,"한글종목명"))</f>
        <v/>
      </c>
      <c r="AN107" s="48" t="str">
        <f>IF(AL107="","",_xll.IMDP("STK",$AL107,"현재가"))</f>
        <v/>
      </c>
      <c r="AO107" s="48" t="str">
        <f>IF(AL107="","",_xll.IMDP("STK",$AL107,"전일대비"))</f>
        <v/>
      </c>
      <c r="AP107" s="49" t="str">
        <f>IF(AL107="","",_xll.IMDP("STK",$AL107,"등락률"))</f>
        <v/>
      </c>
      <c r="AQ107" s="48" t="str">
        <f>IF(AL107="","",_xll.IMDP("STK",$AL107,"시가총액"))</f>
        <v/>
      </c>
    </row>
    <row r="108" spans="3:43" x14ac:dyDescent="0.25">
      <c r="C108" s="22">
        <v>103</v>
      </c>
      <c r="G108" s="25" t="s">
        <v>352</v>
      </c>
      <c r="T108" s="25" t="s">
        <v>938</v>
      </c>
      <c r="Y108" s="25" t="s">
        <v>281</v>
      </c>
      <c r="Z108" s="20" t="str">
        <f t="shared" si="3"/>
        <v/>
      </c>
      <c r="AA108" s="21" t="str">
        <f>IF(Z108="","",_xll.IMDP("STK",$Z108,"한글종목명"))</f>
        <v/>
      </c>
      <c r="AB108" s="48" t="str">
        <f>IF(Z108="","",_xll.IMDP("STK",$Z108,"현재가"))</f>
        <v/>
      </c>
      <c r="AC108" s="48" t="str">
        <f>IF(Z108="","",_xll.IMDP("STK",$Z108,"전일대비"))</f>
        <v/>
      </c>
      <c r="AD108" s="49" t="str">
        <f>IF(Z108="","",_xll.IMDP("STK",$Z108,"등락률"))</f>
        <v/>
      </c>
      <c r="AE108" s="48" t="str">
        <f>IF(Z108="","",_xll.IMDP("STK",Z108,"시가총액"))</f>
        <v/>
      </c>
      <c r="AF108" s="20" t="str">
        <f t="shared" si="5"/>
        <v/>
      </c>
      <c r="AG108" s="21" t="str">
        <f>IF(AF108="","",_xll.IMDP("STK",$AF108,"한글종목명"))</f>
        <v/>
      </c>
      <c r="AH108" s="48" t="str">
        <f>IF(AF108="","",_xll.IMDP("STK",$AF108,"현재가"))</f>
        <v/>
      </c>
      <c r="AI108" s="48" t="str">
        <f>IF(AF108="","",_xll.IMDP("STK",$AF108,"전일대비"))</f>
        <v/>
      </c>
      <c r="AJ108" s="49" t="str">
        <f>IF(AF108="","",_xll.IMDP("STK",$AF108,"등락률"))</f>
        <v/>
      </c>
      <c r="AK108" s="48" t="str">
        <f>IF(AF108="","",_xll.IMDP("STK",$AF108,"시가총액"))</f>
        <v/>
      </c>
      <c r="AL108" s="20" t="str">
        <f t="shared" si="4"/>
        <v/>
      </c>
      <c r="AM108" s="21" t="str">
        <f>IF(AL108="","",_xll.IMDP("STK",$AL108,"한글종목명"))</f>
        <v/>
      </c>
      <c r="AN108" s="48" t="str">
        <f>IF(AL108="","",_xll.IMDP("STK",$AL108,"현재가"))</f>
        <v/>
      </c>
      <c r="AO108" s="48" t="str">
        <f>IF(AL108="","",_xll.IMDP("STK",$AL108,"전일대비"))</f>
        <v/>
      </c>
      <c r="AP108" s="49" t="str">
        <f>IF(AL108="","",_xll.IMDP("STK",$AL108,"등락률"))</f>
        <v/>
      </c>
      <c r="AQ108" s="48" t="str">
        <f>IF(AL108="","",_xll.IMDP("STK",$AL108,"시가총액"))</f>
        <v/>
      </c>
    </row>
    <row r="109" spans="3:43" x14ac:dyDescent="0.25">
      <c r="C109" s="22">
        <v>104</v>
      </c>
      <c r="G109" s="25" t="s">
        <v>353</v>
      </c>
      <c r="T109" s="25" t="s">
        <v>939</v>
      </c>
      <c r="Y109" s="25" t="s">
        <v>282</v>
      </c>
      <c r="Z109" s="20" t="str">
        <f t="shared" si="3"/>
        <v/>
      </c>
      <c r="AA109" s="21" t="str">
        <f>IF(Z109="","",_xll.IMDP("STK",$Z109,"한글종목명"))</f>
        <v/>
      </c>
      <c r="AB109" s="48" t="str">
        <f>IF(Z109="","",_xll.IMDP("STK",$Z109,"현재가"))</f>
        <v/>
      </c>
      <c r="AC109" s="48" t="str">
        <f>IF(Z109="","",_xll.IMDP("STK",$Z109,"전일대비"))</f>
        <v/>
      </c>
      <c r="AD109" s="49" t="str">
        <f>IF(Z109="","",_xll.IMDP("STK",$Z109,"등락률"))</f>
        <v/>
      </c>
      <c r="AE109" s="48" t="str">
        <f>IF(Z109="","",_xll.IMDP("STK",Z109,"시가총액"))</f>
        <v/>
      </c>
      <c r="AF109" s="20" t="str">
        <f t="shared" si="5"/>
        <v/>
      </c>
      <c r="AG109" s="21" t="str">
        <f>IF(AF109="","",_xll.IMDP("STK",$AF109,"한글종목명"))</f>
        <v/>
      </c>
      <c r="AH109" s="48" t="str">
        <f>IF(AF109="","",_xll.IMDP("STK",$AF109,"현재가"))</f>
        <v/>
      </c>
      <c r="AI109" s="48" t="str">
        <f>IF(AF109="","",_xll.IMDP("STK",$AF109,"전일대비"))</f>
        <v/>
      </c>
      <c r="AJ109" s="49" t="str">
        <f>IF(AF109="","",_xll.IMDP("STK",$AF109,"등락률"))</f>
        <v/>
      </c>
      <c r="AK109" s="48" t="str">
        <f>IF(AF109="","",_xll.IMDP("STK",$AF109,"시가총액"))</f>
        <v/>
      </c>
      <c r="AL109" s="20" t="str">
        <f t="shared" si="4"/>
        <v/>
      </c>
      <c r="AM109" s="21" t="str">
        <f>IF(AL109="","",_xll.IMDP("STK",$AL109,"한글종목명"))</f>
        <v/>
      </c>
      <c r="AN109" s="48" t="str">
        <f>IF(AL109="","",_xll.IMDP("STK",$AL109,"현재가"))</f>
        <v/>
      </c>
      <c r="AO109" s="48" t="str">
        <f>IF(AL109="","",_xll.IMDP("STK",$AL109,"전일대비"))</f>
        <v/>
      </c>
      <c r="AP109" s="49" t="str">
        <f>IF(AL109="","",_xll.IMDP("STK",$AL109,"등락률"))</f>
        <v/>
      </c>
      <c r="AQ109" s="48" t="str">
        <f>IF(AL109="","",_xll.IMDP("STK",$AL109,"시가총액"))</f>
        <v/>
      </c>
    </row>
    <row r="110" spans="3:43" x14ac:dyDescent="0.25">
      <c r="C110" s="22">
        <v>105</v>
      </c>
      <c r="G110" s="25" t="s">
        <v>354</v>
      </c>
      <c r="T110" s="25" t="s">
        <v>940</v>
      </c>
      <c r="Y110" s="25" t="s">
        <v>283</v>
      </c>
      <c r="Z110" s="20" t="str">
        <f t="shared" si="3"/>
        <v/>
      </c>
      <c r="AA110" s="21" t="str">
        <f>IF(Z110="","",_xll.IMDP("STK",$Z110,"한글종목명"))</f>
        <v/>
      </c>
      <c r="AB110" s="48" t="str">
        <f>IF(Z110="","",_xll.IMDP("STK",$Z110,"현재가"))</f>
        <v/>
      </c>
      <c r="AC110" s="48" t="str">
        <f>IF(Z110="","",_xll.IMDP("STK",$Z110,"전일대비"))</f>
        <v/>
      </c>
      <c r="AD110" s="49" t="str">
        <f>IF(Z110="","",_xll.IMDP("STK",$Z110,"등락률"))</f>
        <v/>
      </c>
      <c r="AE110" s="48" t="str">
        <f>IF(Z110="","",_xll.IMDP("STK",Z110,"시가총액"))</f>
        <v/>
      </c>
      <c r="AF110" s="20" t="str">
        <f t="shared" si="5"/>
        <v/>
      </c>
      <c r="AG110" s="21" t="str">
        <f>IF(AF110="","",_xll.IMDP("STK",$AF110,"한글종목명"))</f>
        <v/>
      </c>
      <c r="AH110" s="48" t="str">
        <f>IF(AF110="","",_xll.IMDP("STK",$AF110,"현재가"))</f>
        <v/>
      </c>
      <c r="AI110" s="48" t="str">
        <f>IF(AF110="","",_xll.IMDP("STK",$AF110,"전일대비"))</f>
        <v/>
      </c>
      <c r="AJ110" s="49" t="str">
        <f>IF(AF110="","",_xll.IMDP("STK",$AF110,"등락률"))</f>
        <v/>
      </c>
      <c r="AK110" s="48" t="str">
        <f>IF(AF110="","",_xll.IMDP("STK",$AF110,"시가총액"))</f>
        <v/>
      </c>
      <c r="AL110" s="20" t="str">
        <f t="shared" si="4"/>
        <v/>
      </c>
      <c r="AM110" s="21" t="str">
        <f>IF(AL110="","",_xll.IMDP("STK",$AL110,"한글종목명"))</f>
        <v/>
      </c>
      <c r="AN110" s="48" t="str">
        <f>IF(AL110="","",_xll.IMDP("STK",$AL110,"현재가"))</f>
        <v/>
      </c>
      <c r="AO110" s="48" t="str">
        <f>IF(AL110="","",_xll.IMDP("STK",$AL110,"전일대비"))</f>
        <v/>
      </c>
      <c r="AP110" s="49" t="str">
        <f>IF(AL110="","",_xll.IMDP("STK",$AL110,"등락률"))</f>
        <v/>
      </c>
      <c r="AQ110" s="48" t="str">
        <f>IF(AL110="","",_xll.IMDP("STK",$AL110,"시가총액"))</f>
        <v/>
      </c>
    </row>
    <row r="111" spans="3:43" x14ac:dyDescent="0.25">
      <c r="C111" s="22">
        <v>106</v>
      </c>
      <c r="G111" s="25" t="s">
        <v>355</v>
      </c>
      <c r="T111" s="25" t="s">
        <v>941</v>
      </c>
      <c r="Y111" s="25" t="s">
        <v>284</v>
      </c>
      <c r="Z111" s="20" t="str">
        <f t="shared" si="3"/>
        <v/>
      </c>
      <c r="AA111" s="21" t="str">
        <f>IF(Z111="","",_xll.IMDP("STK",$Z111,"한글종목명"))</f>
        <v/>
      </c>
      <c r="AB111" s="48" t="str">
        <f>IF(Z111="","",_xll.IMDP("STK",$Z111,"현재가"))</f>
        <v/>
      </c>
      <c r="AC111" s="48" t="str">
        <f>IF(Z111="","",_xll.IMDP("STK",$Z111,"전일대비"))</f>
        <v/>
      </c>
      <c r="AD111" s="49" t="str">
        <f>IF(Z111="","",_xll.IMDP("STK",$Z111,"등락률"))</f>
        <v/>
      </c>
      <c r="AE111" s="48" t="str">
        <f>IF(Z111="","",_xll.IMDP("STK",Z111,"시가총액"))</f>
        <v/>
      </c>
      <c r="AF111" s="20" t="str">
        <f t="shared" si="5"/>
        <v/>
      </c>
      <c r="AG111" s="21" t="str">
        <f>IF(AF111="","",_xll.IMDP("STK",$AF111,"한글종목명"))</f>
        <v/>
      </c>
      <c r="AH111" s="48" t="str">
        <f>IF(AF111="","",_xll.IMDP("STK",$AF111,"현재가"))</f>
        <v/>
      </c>
      <c r="AI111" s="48" t="str">
        <f>IF(AF111="","",_xll.IMDP("STK",$AF111,"전일대비"))</f>
        <v/>
      </c>
      <c r="AJ111" s="49" t="str">
        <f>IF(AF111="","",_xll.IMDP("STK",$AF111,"등락률"))</f>
        <v/>
      </c>
      <c r="AK111" s="48" t="str">
        <f>IF(AF111="","",_xll.IMDP("STK",$AF111,"시가총액"))</f>
        <v/>
      </c>
      <c r="AL111" s="20" t="str">
        <f t="shared" si="4"/>
        <v/>
      </c>
      <c r="AM111" s="21" t="str">
        <f>IF(AL111="","",_xll.IMDP("STK",$AL111,"한글종목명"))</f>
        <v/>
      </c>
      <c r="AN111" s="48" t="str">
        <f>IF(AL111="","",_xll.IMDP("STK",$AL111,"현재가"))</f>
        <v/>
      </c>
      <c r="AO111" s="48" t="str">
        <f>IF(AL111="","",_xll.IMDP("STK",$AL111,"전일대비"))</f>
        <v/>
      </c>
      <c r="AP111" s="49" t="str">
        <f>IF(AL111="","",_xll.IMDP("STK",$AL111,"등락률"))</f>
        <v/>
      </c>
      <c r="AQ111" s="48" t="str">
        <f>IF(AL111="","",_xll.IMDP("STK",$AL111,"시가총액"))</f>
        <v/>
      </c>
    </row>
    <row r="112" spans="3:43" x14ac:dyDescent="0.25">
      <c r="C112" s="22">
        <v>107</v>
      </c>
      <c r="G112" s="25" t="s">
        <v>356</v>
      </c>
      <c r="T112" s="25" t="s">
        <v>942</v>
      </c>
      <c r="Y112" s="25" t="s">
        <v>390</v>
      </c>
      <c r="Z112" s="20" t="str">
        <f t="shared" si="3"/>
        <v/>
      </c>
      <c r="AA112" s="21" t="str">
        <f>IF(Z112="","",_xll.IMDP("STK",$Z112,"한글종목명"))</f>
        <v/>
      </c>
      <c r="AB112" s="48" t="str">
        <f>IF(Z112="","",_xll.IMDP("STK",$Z112,"현재가"))</f>
        <v/>
      </c>
      <c r="AC112" s="48" t="str">
        <f>IF(Z112="","",_xll.IMDP("STK",$Z112,"전일대비"))</f>
        <v/>
      </c>
      <c r="AD112" s="49" t="str">
        <f>IF(Z112="","",_xll.IMDP("STK",$Z112,"등락률"))</f>
        <v/>
      </c>
      <c r="AE112" s="48" t="str">
        <f>IF(Z112="","",_xll.IMDP("STK",Z112,"시가총액"))</f>
        <v/>
      </c>
      <c r="AF112" s="20" t="str">
        <f t="shared" si="5"/>
        <v/>
      </c>
      <c r="AG112" s="21" t="str">
        <f>IF(AF112="","",_xll.IMDP("STK",$AF112,"한글종목명"))</f>
        <v/>
      </c>
      <c r="AH112" s="48" t="str">
        <f>IF(AF112="","",_xll.IMDP("STK",$AF112,"현재가"))</f>
        <v/>
      </c>
      <c r="AI112" s="48" t="str">
        <f>IF(AF112="","",_xll.IMDP("STK",$AF112,"전일대비"))</f>
        <v/>
      </c>
      <c r="AJ112" s="49" t="str">
        <f>IF(AF112="","",_xll.IMDP("STK",$AF112,"등락률"))</f>
        <v/>
      </c>
      <c r="AK112" s="48" t="str">
        <f>IF(AF112="","",_xll.IMDP("STK",$AF112,"시가총액"))</f>
        <v/>
      </c>
      <c r="AL112" s="20" t="str">
        <f t="shared" si="4"/>
        <v/>
      </c>
      <c r="AM112" s="21" t="str">
        <f>IF(AL112="","",_xll.IMDP("STK",$AL112,"한글종목명"))</f>
        <v/>
      </c>
      <c r="AN112" s="48" t="str">
        <f>IF(AL112="","",_xll.IMDP("STK",$AL112,"현재가"))</f>
        <v/>
      </c>
      <c r="AO112" s="48" t="str">
        <f>IF(AL112="","",_xll.IMDP("STK",$AL112,"전일대비"))</f>
        <v/>
      </c>
      <c r="AP112" s="49" t="str">
        <f>IF(AL112="","",_xll.IMDP("STK",$AL112,"등락률"))</f>
        <v/>
      </c>
      <c r="AQ112" s="48" t="str">
        <f>IF(AL112="","",_xll.IMDP("STK",$AL112,"시가총액"))</f>
        <v/>
      </c>
    </row>
    <row r="113" spans="3:43" x14ac:dyDescent="0.25">
      <c r="C113" s="22">
        <v>108</v>
      </c>
      <c r="G113" s="25" t="s">
        <v>357</v>
      </c>
      <c r="T113" s="25" t="s">
        <v>943</v>
      </c>
      <c r="Y113" s="25" t="s">
        <v>183</v>
      </c>
      <c r="Z113" s="20" t="str">
        <f t="shared" si="3"/>
        <v/>
      </c>
      <c r="AA113" s="21" t="str">
        <f>IF(Z113="","",_xll.IMDP("STK",$Z113,"한글종목명"))</f>
        <v/>
      </c>
      <c r="AB113" s="48" t="str">
        <f>IF(Z113="","",_xll.IMDP("STK",$Z113,"현재가"))</f>
        <v/>
      </c>
      <c r="AC113" s="48" t="str">
        <f>IF(Z113="","",_xll.IMDP("STK",$Z113,"전일대비"))</f>
        <v/>
      </c>
      <c r="AD113" s="49" t="str">
        <f>IF(Z113="","",_xll.IMDP("STK",$Z113,"등락률"))</f>
        <v/>
      </c>
      <c r="AE113" s="48" t="str">
        <f>IF(Z113="","",_xll.IMDP("STK",Z113,"시가총액"))</f>
        <v/>
      </c>
      <c r="AF113" s="20" t="str">
        <f t="shared" si="5"/>
        <v/>
      </c>
      <c r="AG113" s="21" t="str">
        <f>IF(AF113="","",_xll.IMDP("STK",$AF113,"한글종목명"))</f>
        <v/>
      </c>
      <c r="AH113" s="48" t="str">
        <f>IF(AF113="","",_xll.IMDP("STK",$AF113,"현재가"))</f>
        <v/>
      </c>
      <c r="AI113" s="48" t="str">
        <f>IF(AF113="","",_xll.IMDP("STK",$AF113,"전일대비"))</f>
        <v/>
      </c>
      <c r="AJ113" s="49" t="str">
        <f>IF(AF113="","",_xll.IMDP("STK",$AF113,"등락률"))</f>
        <v/>
      </c>
      <c r="AK113" s="48" t="str">
        <f>IF(AF113="","",_xll.IMDP("STK",$AF113,"시가총액"))</f>
        <v/>
      </c>
      <c r="AL113" s="20" t="str">
        <f t="shared" si="4"/>
        <v/>
      </c>
      <c r="AM113" s="21" t="str">
        <f>IF(AL113="","",_xll.IMDP("STK",$AL113,"한글종목명"))</f>
        <v/>
      </c>
      <c r="AN113" s="48" t="str">
        <f>IF(AL113="","",_xll.IMDP("STK",$AL113,"현재가"))</f>
        <v/>
      </c>
      <c r="AO113" s="48" t="str">
        <f>IF(AL113="","",_xll.IMDP("STK",$AL113,"전일대비"))</f>
        <v/>
      </c>
      <c r="AP113" s="49" t="str">
        <f>IF(AL113="","",_xll.IMDP("STK",$AL113,"등락률"))</f>
        <v/>
      </c>
      <c r="AQ113" s="48" t="str">
        <f>IF(AL113="","",_xll.IMDP("STK",$AL113,"시가총액"))</f>
        <v/>
      </c>
    </row>
    <row r="114" spans="3:43" x14ac:dyDescent="0.25">
      <c r="C114" s="22">
        <v>109</v>
      </c>
      <c r="G114" s="25" t="s">
        <v>358</v>
      </c>
      <c r="T114" s="25" t="s">
        <v>944</v>
      </c>
      <c r="Y114" s="25" t="s">
        <v>524</v>
      </c>
      <c r="Z114" s="20" t="str">
        <f t="shared" si="3"/>
        <v/>
      </c>
      <c r="AA114" s="21" t="str">
        <f>IF(Z114="","",_xll.IMDP("STK",$Z114,"한글종목명"))</f>
        <v/>
      </c>
      <c r="AB114" s="48" t="str">
        <f>IF(Z114="","",_xll.IMDP("STK",$Z114,"현재가"))</f>
        <v/>
      </c>
      <c r="AC114" s="48" t="str">
        <f>IF(Z114="","",_xll.IMDP("STK",$Z114,"전일대비"))</f>
        <v/>
      </c>
      <c r="AD114" s="49" t="str">
        <f>IF(Z114="","",_xll.IMDP("STK",$Z114,"등락률"))</f>
        <v/>
      </c>
      <c r="AE114" s="48" t="str">
        <f>IF(Z114="","",_xll.IMDP("STK",Z114,"시가총액"))</f>
        <v/>
      </c>
      <c r="AF114" s="20" t="str">
        <f t="shared" si="5"/>
        <v/>
      </c>
      <c r="AG114" s="21" t="str">
        <f>IF(AF114="","",_xll.IMDP("STK",$AF114,"한글종목명"))</f>
        <v/>
      </c>
      <c r="AH114" s="48" t="str">
        <f>IF(AF114="","",_xll.IMDP("STK",$AF114,"현재가"))</f>
        <v/>
      </c>
      <c r="AI114" s="48" t="str">
        <f>IF(AF114="","",_xll.IMDP("STK",$AF114,"전일대비"))</f>
        <v/>
      </c>
      <c r="AJ114" s="49" t="str">
        <f>IF(AF114="","",_xll.IMDP("STK",$AF114,"등락률"))</f>
        <v/>
      </c>
      <c r="AK114" s="48" t="str">
        <f>IF(AF114="","",_xll.IMDP("STK",$AF114,"시가총액"))</f>
        <v/>
      </c>
      <c r="AL114" s="20" t="str">
        <f t="shared" si="4"/>
        <v/>
      </c>
      <c r="AM114" s="21" t="str">
        <f>IF(AL114="","",_xll.IMDP("STK",$AL114,"한글종목명"))</f>
        <v/>
      </c>
      <c r="AN114" s="48" t="str">
        <f>IF(AL114="","",_xll.IMDP("STK",$AL114,"현재가"))</f>
        <v/>
      </c>
      <c r="AO114" s="48" t="str">
        <f>IF(AL114="","",_xll.IMDP("STK",$AL114,"전일대비"))</f>
        <v/>
      </c>
      <c r="AP114" s="49" t="str">
        <f>IF(AL114="","",_xll.IMDP("STK",$AL114,"등락률"))</f>
        <v/>
      </c>
      <c r="AQ114" s="48" t="str">
        <f>IF(AL114="","",_xll.IMDP("STK",$AL114,"시가총액"))</f>
        <v/>
      </c>
    </row>
    <row r="115" spans="3:43" x14ac:dyDescent="0.25">
      <c r="C115" s="22">
        <v>110</v>
      </c>
      <c r="T115" s="25" t="s">
        <v>945</v>
      </c>
      <c r="Y115" s="25" t="s">
        <v>573</v>
      </c>
      <c r="Z115" s="20" t="str">
        <f t="shared" si="3"/>
        <v/>
      </c>
      <c r="AA115" s="21" t="str">
        <f>IF(Z115="","",_xll.IMDP("STK",$Z115,"한글종목명"))</f>
        <v/>
      </c>
      <c r="AB115" s="48" t="str">
        <f>IF(Z115="","",_xll.IMDP("STK",$Z115,"현재가"))</f>
        <v/>
      </c>
      <c r="AC115" s="48" t="str">
        <f>IF(Z115="","",_xll.IMDP("STK",$Z115,"전일대비"))</f>
        <v/>
      </c>
      <c r="AD115" s="49" t="str">
        <f>IF(Z115="","",_xll.IMDP("STK",$Z115,"등락률"))</f>
        <v/>
      </c>
      <c r="AE115" s="48" t="str">
        <f>IF(Z115="","",_xll.IMDP("STK",Z115,"시가총액"))</f>
        <v/>
      </c>
      <c r="AF115" s="20" t="str">
        <f t="shared" si="5"/>
        <v/>
      </c>
      <c r="AG115" s="21" t="str">
        <f>IF(AF115="","",_xll.IMDP("STK",$AF115,"한글종목명"))</f>
        <v/>
      </c>
      <c r="AH115" s="48" t="str">
        <f>IF(AF115="","",_xll.IMDP("STK",$AF115,"현재가"))</f>
        <v/>
      </c>
      <c r="AI115" s="48" t="str">
        <f>IF(AF115="","",_xll.IMDP("STK",$AF115,"전일대비"))</f>
        <v/>
      </c>
      <c r="AJ115" s="49" t="str">
        <f>IF(AF115="","",_xll.IMDP("STK",$AF115,"등락률"))</f>
        <v/>
      </c>
      <c r="AK115" s="48" t="str">
        <f>IF(AF115="","",_xll.IMDP("STK",$AF115,"시가총액"))</f>
        <v/>
      </c>
      <c r="AL115" s="20" t="str">
        <f t="shared" si="4"/>
        <v/>
      </c>
      <c r="AM115" s="21" t="str">
        <f>IF(AL115="","",_xll.IMDP("STK",$AL115,"한글종목명"))</f>
        <v/>
      </c>
      <c r="AN115" s="48" t="str">
        <f>IF(AL115="","",_xll.IMDP("STK",$AL115,"현재가"))</f>
        <v/>
      </c>
      <c r="AO115" s="48" t="str">
        <f>IF(AL115="","",_xll.IMDP("STK",$AL115,"전일대비"))</f>
        <v/>
      </c>
      <c r="AP115" s="49" t="str">
        <f>IF(AL115="","",_xll.IMDP("STK",$AL115,"등락률"))</f>
        <v/>
      </c>
      <c r="AQ115" s="48" t="str">
        <f>IF(AL115="","",_xll.IMDP("STK",$AL115,"시가총액"))</f>
        <v/>
      </c>
    </row>
    <row r="116" spans="3:43" x14ac:dyDescent="0.25">
      <c r="C116" s="22">
        <v>111</v>
      </c>
      <c r="T116" s="25" t="s">
        <v>946</v>
      </c>
      <c r="Y116" s="25" t="s">
        <v>574</v>
      </c>
      <c r="Z116" s="20" t="str">
        <f t="shared" si="3"/>
        <v/>
      </c>
      <c r="AA116" s="21" t="str">
        <f>IF(Z116="","",_xll.IMDP("STK",$Z116,"한글종목명"))</f>
        <v/>
      </c>
      <c r="AB116" s="48" t="str">
        <f>IF(Z116="","",_xll.IMDP("STK",$Z116,"현재가"))</f>
        <v/>
      </c>
      <c r="AC116" s="48" t="str">
        <f>IF(Z116="","",_xll.IMDP("STK",$Z116,"전일대비"))</f>
        <v/>
      </c>
      <c r="AD116" s="49" t="str">
        <f>IF(Z116="","",_xll.IMDP("STK",$Z116,"등락률"))</f>
        <v/>
      </c>
      <c r="AE116" s="48" t="str">
        <f>IF(Z116="","",_xll.IMDP("STK",Z116,"시가총액"))</f>
        <v/>
      </c>
      <c r="AF116" s="20" t="str">
        <f t="shared" si="5"/>
        <v/>
      </c>
      <c r="AG116" s="21" t="str">
        <f>IF(AF116="","",_xll.IMDP("STK",$AF116,"한글종목명"))</f>
        <v/>
      </c>
      <c r="AH116" s="48" t="str">
        <f>IF(AF116="","",_xll.IMDP("STK",$AF116,"현재가"))</f>
        <v/>
      </c>
      <c r="AI116" s="48" t="str">
        <f>IF(AF116="","",_xll.IMDP("STK",$AF116,"전일대비"))</f>
        <v/>
      </c>
      <c r="AJ116" s="49" t="str">
        <f>IF(AF116="","",_xll.IMDP("STK",$AF116,"등락률"))</f>
        <v/>
      </c>
      <c r="AK116" s="48" t="str">
        <f>IF(AF116="","",_xll.IMDP("STK",$AF116,"시가총액"))</f>
        <v/>
      </c>
      <c r="AL116" s="20" t="str">
        <f t="shared" si="4"/>
        <v/>
      </c>
      <c r="AM116" s="21" t="str">
        <f>IF(AL116="","",_xll.IMDP("STK",$AL116,"한글종목명"))</f>
        <v/>
      </c>
      <c r="AN116" s="48" t="str">
        <f>IF(AL116="","",_xll.IMDP("STK",$AL116,"현재가"))</f>
        <v/>
      </c>
      <c r="AO116" s="48" t="str">
        <f>IF(AL116="","",_xll.IMDP("STK",$AL116,"전일대비"))</f>
        <v/>
      </c>
      <c r="AP116" s="49" t="str">
        <f>IF(AL116="","",_xll.IMDP("STK",$AL116,"등락률"))</f>
        <v/>
      </c>
      <c r="AQ116" s="48" t="str">
        <f>IF(AL116="","",_xll.IMDP("STK",$AL116,"시가총액"))</f>
        <v/>
      </c>
    </row>
    <row r="117" spans="3:43" x14ac:dyDescent="0.25">
      <c r="C117" s="22">
        <v>112</v>
      </c>
      <c r="T117" s="25" t="s">
        <v>947</v>
      </c>
      <c r="Y117" s="25" t="s">
        <v>575</v>
      </c>
      <c r="Z117" s="20" t="str">
        <f t="shared" si="3"/>
        <v/>
      </c>
      <c r="AA117" s="21" t="str">
        <f>IF(Z117="","",_xll.IMDP("STK",$Z117,"한글종목명"))</f>
        <v/>
      </c>
      <c r="AB117" s="48" t="str">
        <f>IF(Z117="","",_xll.IMDP("STK",$Z117,"현재가"))</f>
        <v/>
      </c>
      <c r="AC117" s="48" t="str">
        <f>IF(Z117="","",_xll.IMDP("STK",$Z117,"전일대비"))</f>
        <v/>
      </c>
      <c r="AD117" s="49" t="str">
        <f>IF(Z117="","",_xll.IMDP("STK",$Z117,"등락률"))</f>
        <v/>
      </c>
      <c r="AE117" s="48" t="str">
        <f>IF(Z117="","",_xll.IMDP("STK",Z117,"시가총액"))</f>
        <v/>
      </c>
      <c r="AF117" s="20" t="str">
        <f t="shared" si="5"/>
        <v/>
      </c>
      <c r="AG117" s="21" t="str">
        <f>IF(AF117="","",_xll.IMDP("STK",$AF117,"한글종목명"))</f>
        <v/>
      </c>
      <c r="AH117" s="48" t="str">
        <f>IF(AF117="","",_xll.IMDP("STK",$AF117,"현재가"))</f>
        <v/>
      </c>
      <c r="AI117" s="48" t="str">
        <f>IF(AF117="","",_xll.IMDP("STK",$AF117,"전일대비"))</f>
        <v/>
      </c>
      <c r="AJ117" s="49" t="str">
        <f>IF(AF117="","",_xll.IMDP("STK",$AF117,"등락률"))</f>
        <v/>
      </c>
      <c r="AK117" s="48" t="str">
        <f>IF(AF117="","",_xll.IMDP("STK",$AF117,"시가총액"))</f>
        <v/>
      </c>
      <c r="AL117" s="20" t="str">
        <f t="shared" si="4"/>
        <v/>
      </c>
      <c r="AM117" s="21" t="str">
        <f>IF(AL117="","",_xll.IMDP("STK",$AL117,"한글종목명"))</f>
        <v/>
      </c>
      <c r="AN117" s="48" t="str">
        <f>IF(AL117="","",_xll.IMDP("STK",$AL117,"현재가"))</f>
        <v/>
      </c>
      <c r="AO117" s="48" t="str">
        <f>IF(AL117="","",_xll.IMDP("STK",$AL117,"전일대비"))</f>
        <v/>
      </c>
      <c r="AP117" s="49" t="str">
        <f>IF(AL117="","",_xll.IMDP("STK",$AL117,"등락률"))</f>
        <v/>
      </c>
      <c r="AQ117" s="48" t="str">
        <f>IF(AL117="","",_xll.IMDP("STK",$AL117,"시가총액"))</f>
        <v/>
      </c>
    </row>
    <row r="118" spans="3:43" x14ac:dyDescent="0.25">
      <c r="C118" s="22">
        <v>113</v>
      </c>
      <c r="T118" s="25" t="s">
        <v>948</v>
      </c>
      <c r="Y118" s="25" t="s">
        <v>525</v>
      </c>
      <c r="Z118" s="20" t="str">
        <f t="shared" si="3"/>
        <v/>
      </c>
      <c r="AA118" s="21" t="str">
        <f>IF(Z118="","",_xll.IMDP("STK",$Z118,"한글종목명"))</f>
        <v/>
      </c>
      <c r="AB118" s="48" t="str">
        <f>IF(Z118="","",_xll.IMDP("STK",$Z118,"현재가"))</f>
        <v/>
      </c>
      <c r="AC118" s="48" t="str">
        <f>IF(Z118="","",_xll.IMDP("STK",$Z118,"전일대비"))</f>
        <v/>
      </c>
      <c r="AD118" s="49" t="str">
        <f>IF(Z118="","",_xll.IMDP("STK",$Z118,"등락률"))</f>
        <v/>
      </c>
      <c r="AE118" s="48" t="str">
        <f>IF(Z118="","",_xll.IMDP("STK",Z118,"시가총액"))</f>
        <v/>
      </c>
      <c r="AF118" s="20" t="str">
        <f t="shared" si="5"/>
        <v/>
      </c>
      <c r="AG118" s="21" t="str">
        <f>IF(AF118="","",_xll.IMDP("STK",$AF118,"한글종목명"))</f>
        <v/>
      </c>
      <c r="AH118" s="48" t="str">
        <f>IF(AF118="","",_xll.IMDP("STK",$AF118,"현재가"))</f>
        <v/>
      </c>
      <c r="AI118" s="48" t="str">
        <f>IF(AF118="","",_xll.IMDP("STK",$AF118,"전일대비"))</f>
        <v/>
      </c>
      <c r="AJ118" s="49" t="str">
        <f>IF(AF118="","",_xll.IMDP("STK",$AF118,"등락률"))</f>
        <v/>
      </c>
      <c r="AK118" s="48" t="str">
        <f>IF(AF118="","",_xll.IMDP("STK",$AF118,"시가총액"))</f>
        <v/>
      </c>
      <c r="AL118" s="20" t="str">
        <f t="shared" si="4"/>
        <v/>
      </c>
      <c r="AM118" s="21" t="str">
        <f>IF(AL118="","",_xll.IMDP("STK",$AL118,"한글종목명"))</f>
        <v/>
      </c>
      <c r="AN118" s="48" t="str">
        <f>IF(AL118="","",_xll.IMDP("STK",$AL118,"현재가"))</f>
        <v/>
      </c>
      <c r="AO118" s="48" t="str">
        <f>IF(AL118="","",_xll.IMDP("STK",$AL118,"전일대비"))</f>
        <v/>
      </c>
      <c r="AP118" s="49" t="str">
        <f>IF(AL118="","",_xll.IMDP("STK",$AL118,"등락률"))</f>
        <v/>
      </c>
      <c r="AQ118" s="48" t="str">
        <f>IF(AL118="","",_xll.IMDP("STK",$AL118,"시가총액"))</f>
        <v/>
      </c>
    </row>
    <row r="119" spans="3:43" x14ac:dyDescent="0.25">
      <c r="C119" s="22">
        <v>114</v>
      </c>
      <c r="T119" s="25" t="s">
        <v>949</v>
      </c>
      <c r="Y119" s="25" t="s">
        <v>576</v>
      </c>
      <c r="Z119" s="20" t="str">
        <f t="shared" si="3"/>
        <v/>
      </c>
      <c r="AA119" s="21" t="str">
        <f>IF(Z119="","",_xll.IMDP("STK",$Z119,"한글종목명"))</f>
        <v/>
      </c>
      <c r="AB119" s="48" t="str">
        <f>IF(Z119="","",_xll.IMDP("STK",$Z119,"현재가"))</f>
        <v/>
      </c>
      <c r="AC119" s="48" t="str">
        <f>IF(Z119="","",_xll.IMDP("STK",$Z119,"전일대비"))</f>
        <v/>
      </c>
      <c r="AD119" s="49" t="str">
        <f>IF(Z119="","",_xll.IMDP("STK",$Z119,"등락률"))</f>
        <v/>
      </c>
      <c r="AE119" s="48" t="str">
        <f>IF(Z119="","",_xll.IMDP("STK",Z119,"시가총액"))</f>
        <v/>
      </c>
      <c r="AF119" s="20" t="str">
        <f t="shared" si="5"/>
        <v/>
      </c>
      <c r="AG119" s="21" t="str">
        <f>IF(AF119="","",_xll.IMDP("STK",$AF119,"한글종목명"))</f>
        <v/>
      </c>
      <c r="AH119" s="48" t="str">
        <f>IF(AF119="","",_xll.IMDP("STK",$AF119,"현재가"))</f>
        <v/>
      </c>
      <c r="AI119" s="48" t="str">
        <f>IF(AF119="","",_xll.IMDP("STK",$AF119,"전일대비"))</f>
        <v/>
      </c>
      <c r="AJ119" s="49" t="str">
        <f>IF(AF119="","",_xll.IMDP("STK",$AF119,"등락률"))</f>
        <v/>
      </c>
      <c r="AK119" s="48" t="str">
        <f>IF(AF119="","",_xll.IMDP("STK",$AF119,"시가총액"))</f>
        <v/>
      </c>
      <c r="AL119" s="20" t="str">
        <f t="shared" si="4"/>
        <v/>
      </c>
      <c r="AM119" s="21" t="str">
        <f>IF(AL119="","",_xll.IMDP("STK",$AL119,"한글종목명"))</f>
        <v/>
      </c>
      <c r="AN119" s="48" t="str">
        <f>IF(AL119="","",_xll.IMDP("STK",$AL119,"현재가"))</f>
        <v/>
      </c>
      <c r="AO119" s="48" t="str">
        <f>IF(AL119="","",_xll.IMDP("STK",$AL119,"전일대비"))</f>
        <v/>
      </c>
      <c r="AP119" s="49" t="str">
        <f>IF(AL119="","",_xll.IMDP("STK",$AL119,"등락률"))</f>
        <v/>
      </c>
      <c r="AQ119" s="48" t="str">
        <f>IF(AL119="","",_xll.IMDP("STK",$AL119,"시가총액"))</f>
        <v/>
      </c>
    </row>
    <row r="120" spans="3:43" x14ac:dyDescent="0.25">
      <c r="C120" s="22">
        <v>115</v>
      </c>
      <c r="T120" s="25" t="s">
        <v>950</v>
      </c>
      <c r="Y120" s="25" t="s">
        <v>434</v>
      </c>
      <c r="Z120" s="20" t="str">
        <f t="shared" si="3"/>
        <v/>
      </c>
      <c r="AA120" s="21" t="str">
        <f>IF(Z120="","",_xll.IMDP("STK",$Z120,"한글종목명"))</f>
        <v/>
      </c>
      <c r="AB120" s="48" t="str">
        <f>IF(Z120="","",_xll.IMDP("STK",$Z120,"현재가"))</f>
        <v/>
      </c>
      <c r="AC120" s="48" t="str">
        <f>IF(Z120="","",_xll.IMDP("STK",$Z120,"전일대비"))</f>
        <v/>
      </c>
      <c r="AD120" s="49" t="str">
        <f>IF(Z120="","",_xll.IMDP("STK",$Z120,"등락률"))</f>
        <v/>
      </c>
      <c r="AE120" s="48" t="str">
        <f>IF(Z120="","",_xll.IMDP("STK",Z120,"시가총액"))</f>
        <v/>
      </c>
      <c r="AF120" s="20" t="str">
        <f t="shared" si="5"/>
        <v/>
      </c>
      <c r="AG120" s="21" t="str">
        <f>IF(AF120="","",_xll.IMDP("STK",$AF120,"한글종목명"))</f>
        <v/>
      </c>
      <c r="AH120" s="48" t="str">
        <f>IF(AF120="","",_xll.IMDP("STK",$AF120,"현재가"))</f>
        <v/>
      </c>
      <c r="AI120" s="48" t="str">
        <f>IF(AF120="","",_xll.IMDP("STK",$AF120,"전일대비"))</f>
        <v/>
      </c>
      <c r="AJ120" s="49" t="str">
        <f>IF(AF120="","",_xll.IMDP("STK",$AF120,"등락률"))</f>
        <v/>
      </c>
      <c r="AK120" s="48" t="str">
        <f>IF(AF120="","",_xll.IMDP("STK",$AF120,"시가총액"))</f>
        <v/>
      </c>
      <c r="AL120" s="20" t="str">
        <f t="shared" si="4"/>
        <v/>
      </c>
      <c r="AM120" s="21" t="str">
        <f>IF(AL120="","",_xll.IMDP("STK",$AL120,"한글종목명"))</f>
        <v/>
      </c>
      <c r="AN120" s="48" t="str">
        <f>IF(AL120="","",_xll.IMDP("STK",$AL120,"현재가"))</f>
        <v/>
      </c>
      <c r="AO120" s="48" t="str">
        <f>IF(AL120="","",_xll.IMDP("STK",$AL120,"전일대비"))</f>
        <v/>
      </c>
      <c r="AP120" s="49" t="str">
        <f>IF(AL120="","",_xll.IMDP("STK",$AL120,"등락률"))</f>
        <v/>
      </c>
      <c r="AQ120" s="48" t="str">
        <f>IF(AL120="","",_xll.IMDP("STK",$AL120,"시가총액"))</f>
        <v/>
      </c>
    </row>
    <row r="121" spans="3:43" x14ac:dyDescent="0.25">
      <c r="C121" s="22">
        <v>116</v>
      </c>
      <c r="T121" s="25" t="s">
        <v>951</v>
      </c>
      <c r="Y121" s="25" t="s">
        <v>435</v>
      </c>
      <c r="Z121" s="20" t="str">
        <f t="shared" si="3"/>
        <v/>
      </c>
      <c r="AA121" s="21" t="str">
        <f>IF(Z121="","",_xll.IMDP("STK",$Z121,"한글종목명"))</f>
        <v/>
      </c>
      <c r="AB121" s="48" t="str">
        <f>IF(Z121="","",_xll.IMDP("STK",$Z121,"현재가"))</f>
        <v/>
      </c>
      <c r="AC121" s="48" t="str">
        <f>IF(Z121="","",_xll.IMDP("STK",$Z121,"전일대비"))</f>
        <v/>
      </c>
      <c r="AD121" s="49" t="str">
        <f>IF(Z121="","",_xll.IMDP("STK",$Z121,"등락률"))</f>
        <v/>
      </c>
      <c r="AE121" s="48" t="str">
        <f>IF(Z121="","",_xll.IMDP("STK",Z121,"시가총액"))</f>
        <v/>
      </c>
      <c r="AF121" s="20" t="str">
        <f t="shared" si="5"/>
        <v/>
      </c>
      <c r="AG121" s="21" t="str">
        <f>IF(AF121="","",_xll.IMDP("STK",$AF121,"한글종목명"))</f>
        <v/>
      </c>
      <c r="AH121" s="48" t="str">
        <f>IF(AF121="","",_xll.IMDP("STK",$AF121,"현재가"))</f>
        <v/>
      </c>
      <c r="AI121" s="48" t="str">
        <f>IF(AF121="","",_xll.IMDP("STK",$AF121,"전일대비"))</f>
        <v/>
      </c>
      <c r="AJ121" s="49" t="str">
        <f>IF(AF121="","",_xll.IMDP("STK",$AF121,"등락률"))</f>
        <v/>
      </c>
      <c r="AK121" s="48" t="str">
        <f>IF(AF121="","",_xll.IMDP("STK",$AF121,"시가총액"))</f>
        <v/>
      </c>
      <c r="AL121" s="20" t="str">
        <f t="shared" si="4"/>
        <v/>
      </c>
      <c r="AM121" s="21" t="str">
        <f>IF(AL121="","",_xll.IMDP("STK",$AL121,"한글종목명"))</f>
        <v/>
      </c>
      <c r="AN121" s="48" t="str">
        <f>IF(AL121="","",_xll.IMDP("STK",$AL121,"현재가"))</f>
        <v/>
      </c>
      <c r="AO121" s="48" t="str">
        <f>IF(AL121="","",_xll.IMDP("STK",$AL121,"전일대비"))</f>
        <v/>
      </c>
      <c r="AP121" s="49" t="str">
        <f>IF(AL121="","",_xll.IMDP("STK",$AL121,"등락률"))</f>
        <v/>
      </c>
      <c r="AQ121" s="48" t="str">
        <f>IF(AL121="","",_xll.IMDP("STK",$AL121,"시가총액"))</f>
        <v/>
      </c>
    </row>
    <row r="122" spans="3:43" x14ac:dyDescent="0.25">
      <c r="C122" s="22">
        <v>117</v>
      </c>
      <c r="T122" s="25" t="s">
        <v>952</v>
      </c>
      <c r="Y122" s="25" t="s">
        <v>526</v>
      </c>
      <c r="Z122" s="20" t="str">
        <f t="shared" si="3"/>
        <v/>
      </c>
      <c r="AA122" s="21" t="str">
        <f>IF(Z122="","",_xll.IMDP("STK",$Z122,"한글종목명"))</f>
        <v/>
      </c>
      <c r="AB122" s="48" t="str">
        <f>IF(Z122="","",_xll.IMDP("STK",$Z122,"현재가"))</f>
        <v/>
      </c>
      <c r="AC122" s="48" t="str">
        <f>IF(Z122="","",_xll.IMDP("STK",$Z122,"전일대비"))</f>
        <v/>
      </c>
      <c r="AD122" s="49" t="str">
        <f>IF(Z122="","",_xll.IMDP("STK",$Z122,"등락률"))</f>
        <v/>
      </c>
      <c r="AE122" s="48" t="str">
        <f>IF(Z122="","",_xll.IMDP("STK",Z122,"시가총액"))</f>
        <v/>
      </c>
      <c r="AF122" s="20" t="str">
        <f t="shared" si="5"/>
        <v/>
      </c>
      <c r="AG122" s="21" t="str">
        <f>IF(AF122="","",_xll.IMDP("STK",$AF122,"한글종목명"))</f>
        <v/>
      </c>
      <c r="AH122" s="48" t="str">
        <f>IF(AF122="","",_xll.IMDP("STK",$AF122,"현재가"))</f>
        <v/>
      </c>
      <c r="AI122" s="48" t="str">
        <f>IF(AF122="","",_xll.IMDP("STK",$AF122,"전일대비"))</f>
        <v/>
      </c>
      <c r="AJ122" s="49" t="str">
        <f>IF(AF122="","",_xll.IMDP("STK",$AF122,"등락률"))</f>
        <v/>
      </c>
      <c r="AK122" s="48" t="str">
        <f>IF(AF122="","",_xll.IMDP("STK",$AF122,"시가총액"))</f>
        <v/>
      </c>
      <c r="AL122" s="20" t="str">
        <f t="shared" si="4"/>
        <v/>
      </c>
      <c r="AM122" s="21" t="str">
        <f>IF(AL122="","",_xll.IMDP("STK",$AL122,"한글종목명"))</f>
        <v/>
      </c>
      <c r="AN122" s="48" t="str">
        <f>IF(AL122="","",_xll.IMDP("STK",$AL122,"현재가"))</f>
        <v/>
      </c>
      <c r="AO122" s="48" t="str">
        <f>IF(AL122="","",_xll.IMDP("STK",$AL122,"전일대비"))</f>
        <v/>
      </c>
      <c r="AP122" s="49" t="str">
        <f>IF(AL122="","",_xll.IMDP("STK",$AL122,"등락률"))</f>
        <v/>
      </c>
      <c r="AQ122" s="48" t="str">
        <f>IF(AL122="","",_xll.IMDP("STK",$AL122,"시가총액"))</f>
        <v/>
      </c>
    </row>
    <row r="123" spans="3:43" x14ac:dyDescent="0.25">
      <c r="C123" s="22">
        <v>118</v>
      </c>
      <c r="T123" s="25" t="s">
        <v>953</v>
      </c>
      <c r="Y123" s="25" t="s">
        <v>184</v>
      </c>
      <c r="Z123" s="20" t="str">
        <f t="shared" si="3"/>
        <v/>
      </c>
      <c r="AA123" s="21" t="str">
        <f>IF(Z123="","",_xll.IMDP("STK",$Z123,"한글종목명"))</f>
        <v/>
      </c>
      <c r="AB123" s="48" t="str">
        <f>IF(Z123="","",_xll.IMDP("STK",$Z123,"현재가"))</f>
        <v/>
      </c>
      <c r="AC123" s="48" t="str">
        <f>IF(Z123="","",_xll.IMDP("STK",$Z123,"전일대비"))</f>
        <v/>
      </c>
      <c r="AD123" s="49" t="str">
        <f>IF(Z123="","",_xll.IMDP("STK",$Z123,"등락률"))</f>
        <v/>
      </c>
      <c r="AE123" s="48" t="str">
        <f>IF(Z123="","",_xll.IMDP("STK",Z123,"시가총액"))</f>
        <v/>
      </c>
      <c r="AF123" s="20" t="str">
        <f t="shared" si="5"/>
        <v/>
      </c>
      <c r="AG123" s="21" t="str">
        <f>IF(AF123="","",_xll.IMDP("STK",$AF123,"한글종목명"))</f>
        <v/>
      </c>
      <c r="AH123" s="48" t="str">
        <f>IF(AF123="","",_xll.IMDP("STK",$AF123,"현재가"))</f>
        <v/>
      </c>
      <c r="AI123" s="48" t="str">
        <f>IF(AF123="","",_xll.IMDP("STK",$AF123,"전일대비"))</f>
        <v/>
      </c>
      <c r="AJ123" s="49" t="str">
        <f>IF(AF123="","",_xll.IMDP("STK",$AF123,"등락률"))</f>
        <v/>
      </c>
      <c r="AK123" s="48" t="str">
        <f>IF(AF123="","",_xll.IMDP("STK",$AF123,"시가총액"))</f>
        <v/>
      </c>
      <c r="AL123" s="20" t="str">
        <f t="shared" si="4"/>
        <v/>
      </c>
      <c r="AM123" s="21" t="str">
        <f>IF(AL123="","",_xll.IMDP("STK",$AL123,"한글종목명"))</f>
        <v/>
      </c>
      <c r="AN123" s="48" t="str">
        <f>IF(AL123="","",_xll.IMDP("STK",$AL123,"현재가"))</f>
        <v/>
      </c>
      <c r="AO123" s="48" t="str">
        <f>IF(AL123="","",_xll.IMDP("STK",$AL123,"전일대비"))</f>
        <v/>
      </c>
      <c r="AP123" s="49" t="str">
        <f>IF(AL123="","",_xll.IMDP("STK",$AL123,"등락률"))</f>
        <v/>
      </c>
      <c r="AQ123" s="48" t="str">
        <f>IF(AL123="","",_xll.IMDP("STK",$AL123,"시가총액"))</f>
        <v/>
      </c>
    </row>
    <row r="124" spans="3:43" x14ac:dyDescent="0.25">
      <c r="C124" s="22">
        <v>119</v>
      </c>
      <c r="T124" s="25" t="s">
        <v>954</v>
      </c>
      <c r="Y124" s="25" t="s">
        <v>185</v>
      </c>
      <c r="Z124" s="20" t="str">
        <f t="shared" si="3"/>
        <v/>
      </c>
      <c r="AA124" s="21" t="str">
        <f>IF(Z124="","",_xll.IMDP("STK",$Z124,"한글종목명"))</f>
        <v/>
      </c>
      <c r="AB124" s="48" t="str">
        <f>IF(Z124="","",_xll.IMDP("STK",$Z124,"현재가"))</f>
        <v/>
      </c>
      <c r="AC124" s="48" t="str">
        <f>IF(Z124="","",_xll.IMDP("STK",$Z124,"전일대비"))</f>
        <v/>
      </c>
      <c r="AD124" s="49" t="str">
        <f>IF(Z124="","",_xll.IMDP("STK",$Z124,"등락률"))</f>
        <v/>
      </c>
      <c r="AE124" s="48" t="str">
        <f>IF(Z124="","",_xll.IMDP("STK",Z124,"시가총액"))</f>
        <v/>
      </c>
      <c r="AF124" s="20" t="str">
        <f t="shared" si="5"/>
        <v/>
      </c>
      <c r="AG124" s="21" t="str">
        <f>IF(AF124="","",_xll.IMDP("STK",$AF124,"한글종목명"))</f>
        <v/>
      </c>
      <c r="AH124" s="48" t="str">
        <f>IF(AF124="","",_xll.IMDP("STK",$AF124,"현재가"))</f>
        <v/>
      </c>
      <c r="AI124" s="48" t="str">
        <f>IF(AF124="","",_xll.IMDP("STK",$AF124,"전일대비"))</f>
        <v/>
      </c>
      <c r="AJ124" s="49" t="str">
        <f>IF(AF124="","",_xll.IMDP("STK",$AF124,"등락률"))</f>
        <v/>
      </c>
      <c r="AK124" s="48" t="str">
        <f>IF(AF124="","",_xll.IMDP("STK",$AF124,"시가총액"))</f>
        <v/>
      </c>
      <c r="AL124" s="20" t="str">
        <f t="shared" si="4"/>
        <v/>
      </c>
      <c r="AM124" s="21" t="str">
        <f>IF(AL124="","",_xll.IMDP("STK",$AL124,"한글종목명"))</f>
        <v/>
      </c>
      <c r="AN124" s="48" t="str">
        <f>IF(AL124="","",_xll.IMDP("STK",$AL124,"현재가"))</f>
        <v/>
      </c>
      <c r="AO124" s="48" t="str">
        <f>IF(AL124="","",_xll.IMDP("STK",$AL124,"전일대비"))</f>
        <v/>
      </c>
      <c r="AP124" s="49" t="str">
        <f>IF(AL124="","",_xll.IMDP("STK",$AL124,"등락률"))</f>
        <v/>
      </c>
      <c r="AQ124" s="48" t="str">
        <f>IF(AL124="","",_xll.IMDP("STK",$AL124,"시가총액"))</f>
        <v/>
      </c>
    </row>
    <row r="125" spans="3:43" x14ac:dyDescent="0.25">
      <c r="C125" s="22">
        <v>120</v>
      </c>
      <c r="T125" s="25" t="s">
        <v>955</v>
      </c>
      <c r="Y125" s="25" t="s">
        <v>475</v>
      </c>
      <c r="Z125" s="20" t="str">
        <f t="shared" si="3"/>
        <v/>
      </c>
      <c r="AA125" s="21" t="str">
        <f>IF(Z125="","",_xll.IMDP("STK",$Z125,"한글종목명"))</f>
        <v/>
      </c>
      <c r="AB125" s="48" t="str">
        <f>IF(Z125="","",_xll.IMDP("STK",$Z125,"현재가"))</f>
        <v/>
      </c>
      <c r="AC125" s="48" t="str">
        <f>IF(Z125="","",_xll.IMDP("STK",$Z125,"전일대비"))</f>
        <v/>
      </c>
      <c r="AD125" s="49" t="str">
        <f>IF(Z125="","",_xll.IMDP("STK",$Z125,"등락률"))</f>
        <v/>
      </c>
      <c r="AE125" s="48" t="str">
        <f>IF(Z125="","",_xll.IMDP("STK",Z125,"시가총액"))</f>
        <v/>
      </c>
      <c r="AF125" s="20" t="str">
        <f t="shared" si="5"/>
        <v/>
      </c>
      <c r="AG125" s="21" t="str">
        <f>IF(AF125="","",_xll.IMDP("STK",$AF125,"한글종목명"))</f>
        <v/>
      </c>
      <c r="AH125" s="48" t="str">
        <f>IF(AF125="","",_xll.IMDP("STK",$AF125,"현재가"))</f>
        <v/>
      </c>
      <c r="AI125" s="48" t="str">
        <f>IF(AF125="","",_xll.IMDP("STK",$AF125,"전일대비"))</f>
        <v/>
      </c>
      <c r="AJ125" s="49" t="str">
        <f>IF(AF125="","",_xll.IMDP("STK",$AF125,"등락률"))</f>
        <v/>
      </c>
      <c r="AK125" s="48" t="str">
        <f>IF(AF125="","",_xll.IMDP("STK",$AF125,"시가총액"))</f>
        <v/>
      </c>
      <c r="AL125" s="20" t="str">
        <f t="shared" si="4"/>
        <v/>
      </c>
      <c r="AM125" s="21" t="str">
        <f>IF(AL125="","",_xll.IMDP("STK",$AL125,"한글종목명"))</f>
        <v/>
      </c>
      <c r="AN125" s="48" t="str">
        <f>IF(AL125="","",_xll.IMDP("STK",$AL125,"현재가"))</f>
        <v/>
      </c>
      <c r="AO125" s="48" t="str">
        <f>IF(AL125="","",_xll.IMDP("STK",$AL125,"전일대비"))</f>
        <v/>
      </c>
      <c r="AP125" s="49" t="str">
        <f>IF(AL125="","",_xll.IMDP("STK",$AL125,"등락률"))</f>
        <v/>
      </c>
      <c r="AQ125" s="48" t="str">
        <f>IF(AL125="","",_xll.IMDP("STK",$AL125,"시가총액"))</f>
        <v/>
      </c>
    </row>
    <row r="126" spans="3:43" x14ac:dyDescent="0.25">
      <c r="C126" s="22">
        <v>121</v>
      </c>
      <c r="T126" s="25" t="s">
        <v>956</v>
      </c>
      <c r="Y126" s="25" t="s">
        <v>363</v>
      </c>
      <c r="Z126" s="20" t="str">
        <f t="shared" si="3"/>
        <v/>
      </c>
      <c r="AA126" s="21" t="str">
        <f>IF(Z126="","",_xll.IMDP("STK",$Z126,"한글종목명"))</f>
        <v/>
      </c>
      <c r="AB126" s="48" t="str">
        <f>IF(Z126="","",_xll.IMDP("STK",$Z126,"현재가"))</f>
        <v/>
      </c>
      <c r="AC126" s="48" t="str">
        <f>IF(Z126="","",_xll.IMDP("STK",$Z126,"전일대비"))</f>
        <v/>
      </c>
      <c r="AD126" s="49" t="str">
        <f>IF(Z126="","",_xll.IMDP("STK",$Z126,"등락률"))</f>
        <v/>
      </c>
      <c r="AE126" s="48" t="str">
        <f>IF(Z126="","",_xll.IMDP("STK",Z126,"시가총액"))</f>
        <v/>
      </c>
      <c r="AF126" s="20" t="str">
        <f t="shared" si="5"/>
        <v/>
      </c>
      <c r="AG126" s="21" t="str">
        <f>IF(AF126="","",_xll.IMDP("STK",$AF126,"한글종목명"))</f>
        <v/>
      </c>
      <c r="AH126" s="48" t="str">
        <f>IF(AF126="","",_xll.IMDP("STK",$AF126,"현재가"))</f>
        <v/>
      </c>
      <c r="AI126" s="48" t="str">
        <f>IF(AF126="","",_xll.IMDP("STK",$AF126,"전일대비"))</f>
        <v/>
      </c>
      <c r="AJ126" s="49" t="str">
        <f>IF(AF126="","",_xll.IMDP("STK",$AF126,"등락률"))</f>
        <v/>
      </c>
      <c r="AK126" s="48" t="str">
        <f>IF(AF126="","",_xll.IMDP("STK",$AF126,"시가총액"))</f>
        <v/>
      </c>
      <c r="AL126" s="20" t="str">
        <f t="shared" si="4"/>
        <v/>
      </c>
      <c r="AM126" s="21" t="str">
        <f>IF(AL126="","",_xll.IMDP("STK",$AL126,"한글종목명"))</f>
        <v/>
      </c>
      <c r="AN126" s="48" t="str">
        <f>IF(AL126="","",_xll.IMDP("STK",$AL126,"현재가"))</f>
        <v/>
      </c>
      <c r="AO126" s="48" t="str">
        <f>IF(AL126="","",_xll.IMDP("STK",$AL126,"전일대비"))</f>
        <v/>
      </c>
      <c r="AP126" s="49" t="str">
        <f>IF(AL126="","",_xll.IMDP("STK",$AL126,"등락률"))</f>
        <v/>
      </c>
      <c r="AQ126" s="48" t="str">
        <f>IF(AL126="","",_xll.IMDP("STK",$AL126,"시가총액"))</f>
        <v/>
      </c>
    </row>
    <row r="127" spans="3:43" x14ac:dyDescent="0.25">
      <c r="C127" s="22">
        <v>122</v>
      </c>
      <c r="T127" s="25" t="s">
        <v>957</v>
      </c>
      <c r="Y127" s="25" t="s">
        <v>639</v>
      </c>
      <c r="Z127" s="20" t="str">
        <f t="shared" si="3"/>
        <v/>
      </c>
      <c r="AA127" s="21" t="str">
        <f>IF(Z127="","",_xll.IMDP("STK",$Z127,"한글종목명"))</f>
        <v/>
      </c>
      <c r="AB127" s="48" t="str">
        <f>IF(Z127="","",_xll.IMDP("STK",$Z127,"현재가"))</f>
        <v/>
      </c>
      <c r="AC127" s="48" t="str">
        <f>IF(Z127="","",_xll.IMDP("STK",$Z127,"전일대비"))</f>
        <v/>
      </c>
      <c r="AD127" s="49" t="str">
        <f>IF(Z127="","",_xll.IMDP("STK",$Z127,"등락률"))</f>
        <v/>
      </c>
      <c r="AE127" s="48" t="str">
        <f>IF(Z127="","",_xll.IMDP("STK",Z127,"시가총액"))</f>
        <v/>
      </c>
      <c r="AF127" s="20" t="str">
        <f t="shared" si="5"/>
        <v/>
      </c>
      <c r="AG127" s="21" t="str">
        <f>IF(AF127="","",_xll.IMDP("STK",$AF127,"한글종목명"))</f>
        <v/>
      </c>
      <c r="AH127" s="48" t="str">
        <f>IF(AF127="","",_xll.IMDP("STK",$AF127,"현재가"))</f>
        <v/>
      </c>
      <c r="AI127" s="48" t="str">
        <f>IF(AF127="","",_xll.IMDP("STK",$AF127,"전일대비"))</f>
        <v/>
      </c>
      <c r="AJ127" s="49" t="str">
        <f>IF(AF127="","",_xll.IMDP("STK",$AF127,"등락률"))</f>
        <v/>
      </c>
      <c r="AK127" s="48" t="str">
        <f>IF(AF127="","",_xll.IMDP("STK",$AF127,"시가총액"))</f>
        <v/>
      </c>
      <c r="AL127" s="20" t="str">
        <f t="shared" si="4"/>
        <v/>
      </c>
      <c r="AM127" s="21" t="str">
        <f>IF(AL127="","",_xll.IMDP("STK",$AL127,"한글종목명"))</f>
        <v/>
      </c>
      <c r="AN127" s="48" t="str">
        <f>IF(AL127="","",_xll.IMDP("STK",$AL127,"현재가"))</f>
        <v/>
      </c>
      <c r="AO127" s="48" t="str">
        <f>IF(AL127="","",_xll.IMDP("STK",$AL127,"전일대비"))</f>
        <v/>
      </c>
      <c r="AP127" s="49" t="str">
        <f>IF(AL127="","",_xll.IMDP("STK",$AL127,"등락률"))</f>
        <v/>
      </c>
      <c r="AQ127" s="48" t="str">
        <f>IF(AL127="","",_xll.IMDP("STK",$AL127,"시가총액"))</f>
        <v/>
      </c>
    </row>
    <row r="128" spans="3:43" x14ac:dyDescent="0.25">
      <c r="C128" s="22">
        <v>123</v>
      </c>
      <c r="T128" s="25" t="s">
        <v>958</v>
      </c>
      <c r="Y128" s="25" t="s">
        <v>640</v>
      </c>
      <c r="Z128" s="20" t="str">
        <f t="shared" si="3"/>
        <v/>
      </c>
      <c r="AA128" s="21" t="str">
        <f>IF(Z128="","",_xll.IMDP("STK",$Z128,"한글종목명"))</f>
        <v/>
      </c>
      <c r="AB128" s="48" t="str">
        <f>IF(Z128="","",_xll.IMDP("STK",$Z128,"현재가"))</f>
        <v/>
      </c>
      <c r="AC128" s="48" t="str">
        <f>IF(Z128="","",_xll.IMDP("STK",$Z128,"전일대비"))</f>
        <v/>
      </c>
      <c r="AD128" s="49" t="str">
        <f>IF(Z128="","",_xll.IMDP("STK",$Z128,"등락률"))</f>
        <v/>
      </c>
      <c r="AE128" s="48" t="str">
        <f>IF(Z128="","",_xll.IMDP("STK",Z128,"시가총액"))</f>
        <v/>
      </c>
      <c r="AF128" s="20" t="str">
        <f t="shared" si="5"/>
        <v/>
      </c>
      <c r="AG128" s="21" t="str">
        <f>IF(AF128="","",_xll.IMDP("STK",$AF128,"한글종목명"))</f>
        <v/>
      </c>
      <c r="AH128" s="48" t="str">
        <f>IF(AF128="","",_xll.IMDP("STK",$AF128,"현재가"))</f>
        <v/>
      </c>
      <c r="AI128" s="48" t="str">
        <f>IF(AF128="","",_xll.IMDP("STK",$AF128,"전일대비"))</f>
        <v/>
      </c>
      <c r="AJ128" s="49" t="str">
        <f>IF(AF128="","",_xll.IMDP("STK",$AF128,"등락률"))</f>
        <v/>
      </c>
      <c r="AK128" s="48" t="str">
        <f>IF(AF128="","",_xll.IMDP("STK",$AF128,"시가총액"))</f>
        <v/>
      </c>
      <c r="AL128" s="20" t="str">
        <f t="shared" si="4"/>
        <v/>
      </c>
      <c r="AM128" s="21" t="str">
        <f>IF(AL128="","",_xll.IMDP("STK",$AL128,"한글종목명"))</f>
        <v/>
      </c>
      <c r="AN128" s="48" t="str">
        <f>IF(AL128="","",_xll.IMDP("STK",$AL128,"현재가"))</f>
        <v/>
      </c>
      <c r="AO128" s="48" t="str">
        <f>IF(AL128="","",_xll.IMDP("STK",$AL128,"전일대비"))</f>
        <v/>
      </c>
      <c r="AP128" s="49" t="str">
        <f>IF(AL128="","",_xll.IMDP("STK",$AL128,"등락률"))</f>
        <v/>
      </c>
      <c r="AQ128" s="48" t="str">
        <f>IF(AL128="","",_xll.IMDP("STK",$AL128,"시가총액"))</f>
        <v/>
      </c>
    </row>
    <row r="129" spans="3:43" x14ac:dyDescent="0.25">
      <c r="C129" s="22">
        <v>124</v>
      </c>
      <c r="T129" s="25" t="s">
        <v>959</v>
      </c>
      <c r="Y129" s="25" t="s">
        <v>391</v>
      </c>
      <c r="Z129" s="20" t="str">
        <f t="shared" si="3"/>
        <v/>
      </c>
      <c r="AA129" s="21" t="str">
        <f>IF(Z129="","",_xll.IMDP("STK",$Z129,"한글종목명"))</f>
        <v/>
      </c>
      <c r="AB129" s="48" t="str">
        <f>IF(Z129="","",_xll.IMDP("STK",$Z129,"현재가"))</f>
        <v/>
      </c>
      <c r="AC129" s="48" t="str">
        <f>IF(Z129="","",_xll.IMDP("STK",$Z129,"전일대비"))</f>
        <v/>
      </c>
      <c r="AD129" s="49" t="str">
        <f>IF(Z129="","",_xll.IMDP("STK",$Z129,"등락률"))</f>
        <v/>
      </c>
      <c r="AE129" s="48" t="str">
        <f>IF(Z129="","",_xll.IMDP("STK",Z129,"시가총액"))</f>
        <v/>
      </c>
      <c r="AF129" s="20" t="str">
        <f t="shared" si="5"/>
        <v/>
      </c>
      <c r="AG129" s="21" t="str">
        <f>IF(AF129="","",_xll.IMDP("STK",$AF129,"한글종목명"))</f>
        <v/>
      </c>
      <c r="AH129" s="48" t="str">
        <f>IF(AF129="","",_xll.IMDP("STK",$AF129,"현재가"))</f>
        <v/>
      </c>
      <c r="AI129" s="48" t="str">
        <f>IF(AF129="","",_xll.IMDP("STK",$AF129,"전일대비"))</f>
        <v/>
      </c>
      <c r="AJ129" s="49" t="str">
        <f>IF(AF129="","",_xll.IMDP("STK",$AF129,"등락률"))</f>
        <v/>
      </c>
      <c r="AK129" s="48" t="str">
        <f>IF(AF129="","",_xll.IMDP("STK",$AF129,"시가총액"))</f>
        <v/>
      </c>
      <c r="AL129" s="20" t="str">
        <f t="shared" si="4"/>
        <v/>
      </c>
      <c r="AM129" s="21" t="str">
        <f>IF(AL129="","",_xll.IMDP("STK",$AL129,"한글종목명"))</f>
        <v/>
      </c>
      <c r="AN129" s="48" t="str">
        <f>IF(AL129="","",_xll.IMDP("STK",$AL129,"현재가"))</f>
        <v/>
      </c>
      <c r="AO129" s="48" t="str">
        <f>IF(AL129="","",_xll.IMDP("STK",$AL129,"전일대비"))</f>
        <v/>
      </c>
      <c r="AP129" s="49" t="str">
        <f>IF(AL129="","",_xll.IMDP("STK",$AL129,"등락률"))</f>
        <v/>
      </c>
      <c r="AQ129" s="48" t="str">
        <f>IF(AL129="","",_xll.IMDP("STK",$AL129,"시가총액"))</f>
        <v/>
      </c>
    </row>
    <row r="130" spans="3:43" x14ac:dyDescent="0.25">
      <c r="C130" s="22">
        <v>125</v>
      </c>
      <c r="T130" s="25" t="s">
        <v>960</v>
      </c>
      <c r="Y130" s="25" t="s">
        <v>641</v>
      </c>
      <c r="Z130" s="20" t="str">
        <f t="shared" si="3"/>
        <v/>
      </c>
      <c r="AA130" s="21" t="str">
        <f>IF(Z130="","",_xll.IMDP("STK",$Z130,"한글종목명"))</f>
        <v/>
      </c>
      <c r="AB130" s="48" t="str">
        <f>IF(Z130="","",_xll.IMDP("STK",$Z130,"현재가"))</f>
        <v/>
      </c>
      <c r="AC130" s="48" t="str">
        <f>IF(Z130="","",_xll.IMDP("STK",$Z130,"전일대비"))</f>
        <v/>
      </c>
      <c r="AD130" s="49" t="str">
        <f>IF(Z130="","",_xll.IMDP("STK",$Z130,"등락률"))</f>
        <v/>
      </c>
      <c r="AE130" s="48" t="str">
        <f>IF(Z130="","",_xll.IMDP("STK",Z130,"시가총액"))</f>
        <v/>
      </c>
      <c r="AF130" s="20" t="str">
        <f t="shared" si="5"/>
        <v/>
      </c>
      <c r="AG130" s="21" t="str">
        <f>IF(AF130="","",_xll.IMDP("STK",$AF130,"한글종목명"))</f>
        <v/>
      </c>
      <c r="AH130" s="48" t="str">
        <f>IF(AF130="","",_xll.IMDP("STK",$AF130,"현재가"))</f>
        <v/>
      </c>
      <c r="AI130" s="48" t="str">
        <f>IF(AF130="","",_xll.IMDP("STK",$AF130,"전일대비"))</f>
        <v/>
      </c>
      <c r="AJ130" s="49" t="str">
        <f>IF(AF130="","",_xll.IMDP("STK",$AF130,"등락률"))</f>
        <v/>
      </c>
      <c r="AK130" s="48" t="str">
        <f>IF(AF130="","",_xll.IMDP("STK",$AF130,"시가총액"))</f>
        <v/>
      </c>
      <c r="AL130" s="20" t="str">
        <f t="shared" si="4"/>
        <v/>
      </c>
      <c r="AM130" s="21" t="str">
        <f>IF(AL130="","",_xll.IMDP("STK",$AL130,"한글종목명"))</f>
        <v/>
      </c>
      <c r="AN130" s="48" t="str">
        <f>IF(AL130="","",_xll.IMDP("STK",$AL130,"현재가"))</f>
        <v/>
      </c>
      <c r="AO130" s="48" t="str">
        <f>IF(AL130="","",_xll.IMDP("STK",$AL130,"전일대비"))</f>
        <v/>
      </c>
      <c r="AP130" s="49" t="str">
        <f>IF(AL130="","",_xll.IMDP("STK",$AL130,"등락률"))</f>
        <v/>
      </c>
      <c r="AQ130" s="48" t="str">
        <f>IF(AL130="","",_xll.IMDP("STK",$AL130,"시가총액"))</f>
        <v/>
      </c>
    </row>
    <row r="131" spans="3:43" x14ac:dyDescent="0.25">
      <c r="C131" s="22">
        <v>126</v>
      </c>
      <c r="T131" s="25" t="s">
        <v>961</v>
      </c>
      <c r="Y131" s="25" t="s">
        <v>577</v>
      </c>
      <c r="Z131" s="20" t="str">
        <f t="shared" si="3"/>
        <v/>
      </c>
      <c r="AA131" s="21" t="str">
        <f>IF(Z131="","",_xll.IMDP("STK",$Z131,"한글종목명"))</f>
        <v/>
      </c>
      <c r="AB131" s="48" t="str">
        <f>IF(Z131="","",_xll.IMDP("STK",$Z131,"현재가"))</f>
        <v/>
      </c>
      <c r="AC131" s="48" t="str">
        <f>IF(Z131="","",_xll.IMDP("STK",$Z131,"전일대비"))</f>
        <v/>
      </c>
      <c r="AD131" s="49" t="str">
        <f>IF(Z131="","",_xll.IMDP("STK",$Z131,"등락률"))</f>
        <v/>
      </c>
      <c r="AE131" s="48" t="str">
        <f>IF(Z131="","",_xll.IMDP("STK",Z131,"시가총액"))</f>
        <v/>
      </c>
      <c r="AF131" s="20" t="str">
        <f t="shared" si="5"/>
        <v/>
      </c>
      <c r="AG131" s="21" t="str">
        <f>IF(AF131="","",_xll.IMDP("STK",$AF131,"한글종목명"))</f>
        <v/>
      </c>
      <c r="AH131" s="48" t="str">
        <f>IF(AF131="","",_xll.IMDP("STK",$AF131,"현재가"))</f>
        <v/>
      </c>
      <c r="AI131" s="48" t="str">
        <f>IF(AF131="","",_xll.IMDP("STK",$AF131,"전일대비"))</f>
        <v/>
      </c>
      <c r="AJ131" s="49" t="str">
        <f>IF(AF131="","",_xll.IMDP("STK",$AF131,"등락률"))</f>
        <v/>
      </c>
      <c r="AK131" s="48" t="str">
        <f>IF(AF131="","",_xll.IMDP("STK",$AF131,"시가총액"))</f>
        <v/>
      </c>
      <c r="AL131" s="20" t="str">
        <f t="shared" si="4"/>
        <v/>
      </c>
      <c r="AM131" s="21" t="str">
        <f>IF(AL131="","",_xll.IMDP("STK",$AL131,"한글종목명"))</f>
        <v/>
      </c>
      <c r="AN131" s="48" t="str">
        <f>IF(AL131="","",_xll.IMDP("STK",$AL131,"현재가"))</f>
        <v/>
      </c>
      <c r="AO131" s="48" t="str">
        <f>IF(AL131="","",_xll.IMDP("STK",$AL131,"전일대비"))</f>
        <v/>
      </c>
      <c r="AP131" s="49" t="str">
        <f>IF(AL131="","",_xll.IMDP("STK",$AL131,"등락률"))</f>
        <v/>
      </c>
      <c r="AQ131" s="48" t="str">
        <f>IF(AL131="","",_xll.IMDP("STK",$AL131,"시가총액"))</f>
        <v/>
      </c>
    </row>
    <row r="132" spans="3:43" x14ac:dyDescent="0.25">
      <c r="C132" s="22">
        <v>127</v>
      </c>
      <c r="T132" s="25" t="s">
        <v>962</v>
      </c>
      <c r="Y132" s="25" t="s">
        <v>578</v>
      </c>
      <c r="Z132" s="20" t="str">
        <f t="shared" si="3"/>
        <v/>
      </c>
      <c r="AA132" s="21" t="str">
        <f>IF(Z132="","",_xll.IMDP("STK",$Z132,"한글종목명"))</f>
        <v/>
      </c>
      <c r="AB132" s="48" t="str">
        <f>IF(Z132="","",_xll.IMDP("STK",$Z132,"현재가"))</f>
        <v/>
      </c>
      <c r="AC132" s="48" t="str">
        <f>IF(Z132="","",_xll.IMDP("STK",$Z132,"전일대비"))</f>
        <v/>
      </c>
      <c r="AD132" s="49" t="str">
        <f>IF(Z132="","",_xll.IMDP("STK",$Z132,"등락률"))</f>
        <v/>
      </c>
      <c r="AE132" s="48" t="str">
        <f>IF(Z132="","",_xll.IMDP("STK",Z132,"시가총액"))</f>
        <v/>
      </c>
      <c r="AF132" s="20" t="str">
        <f t="shared" si="5"/>
        <v/>
      </c>
      <c r="AG132" s="21" t="str">
        <f>IF(AF132="","",_xll.IMDP("STK",$AF132,"한글종목명"))</f>
        <v/>
      </c>
      <c r="AH132" s="48" t="str">
        <f>IF(AF132="","",_xll.IMDP("STK",$AF132,"현재가"))</f>
        <v/>
      </c>
      <c r="AI132" s="48" t="str">
        <f>IF(AF132="","",_xll.IMDP("STK",$AF132,"전일대비"))</f>
        <v/>
      </c>
      <c r="AJ132" s="49" t="str">
        <f>IF(AF132="","",_xll.IMDP("STK",$AF132,"등락률"))</f>
        <v/>
      </c>
      <c r="AK132" s="48" t="str">
        <f>IF(AF132="","",_xll.IMDP("STK",$AF132,"시가총액"))</f>
        <v/>
      </c>
      <c r="AL132" s="20" t="str">
        <f t="shared" si="4"/>
        <v/>
      </c>
      <c r="AM132" s="21" t="str">
        <f>IF(AL132="","",_xll.IMDP("STK",$AL132,"한글종목명"))</f>
        <v/>
      </c>
      <c r="AN132" s="48" t="str">
        <f>IF(AL132="","",_xll.IMDP("STK",$AL132,"현재가"))</f>
        <v/>
      </c>
      <c r="AO132" s="48" t="str">
        <f>IF(AL132="","",_xll.IMDP("STK",$AL132,"전일대비"))</f>
        <v/>
      </c>
      <c r="AP132" s="49" t="str">
        <f>IF(AL132="","",_xll.IMDP("STK",$AL132,"등락률"))</f>
        <v/>
      </c>
      <c r="AQ132" s="48" t="str">
        <f>IF(AL132="","",_xll.IMDP("STK",$AL132,"시가총액"))</f>
        <v/>
      </c>
    </row>
    <row r="133" spans="3:43" x14ac:dyDescent="0.25">
      <c r="C133" s="22">
        <v>128</v>
      </c>
      <c r="T133" s="25" t="s">
        <v>963</v>
      </c>
      <c r="Y133" s="25" t="s">
        <v>392</v>
      </c>
      <c r="Z133" s="20" t="str">
        <f t="shared" si="3"/>
        <v/>
      </c>
      <c r="AA133" s="21" t="str">
        <f>IF(Z133="","",_xll.IMDP("STK",$Z133,"한글종목명"))</f>
        <v/>
      </c>
      <c r="AB133" s="48" t="str">
        <f>IF(Z133="","",_xll.IMDP("STK",$Z133,"현재가"))</f>
        <v/>
      </c>
      <c r="AC133" s="48" t="str">
        <f>IF(Z133="","",_xll.IMDP("STK",$Z133,"전일대비"))</f>
        <v/>
      </c>
      <c r="AD133" s="49" t="str">
        <f>IF(Z133="","",_xll.IMDP("STK",$Z133,"등락률"))</f>
        <v/>
      </c>
      <c r="AE133" s="48" t="str">
        <f>IF(Z133="","",_xll.IMDP("STK",Z133,"시가총액"))</f>
        <v/>
      </c>
      <c r="AF133" s="20" t="str">
        <f t="shared" si="5"/>
        <v/>
      </c>
      <c r="AG133" s="21" t="str">
        <f>IF(AF133="","",_xll.IMDP("STK",$AF133,"한글종목명"))</f>
        <v/>
      </c>
      <c r="AH133" s="48" t="str">
        <f>IF(AF133="","",_xll.IMDP("STK",$AF133,"현재가"))</f>
        <v/>
      </c>
      <c r="AI133" s="48" t="str">
        <f>IF(AF133="","",_xll.IMDP("STK",$AF133,"전일대비"))</f>
        <v/>
      </c>
      <c r="AJ133" s="49" t="str">
        <f>IF(AF133="","",_xll.IMDP("STK",$AF133,"등락률"))</f>
        <v/>
      </c>
      <c r="AK133" s="48" t="str">
        <f>IF(AF133="","",_xll.IMDP("STK",$AF133,"시가총액"))</f>
        <v/>
      </c>
      <c r="AL133" s="20" t="str">
        <f t="shared" si="4"/>
        <v/>
      </c>
      <c r="AM133" s="21" t="str">
        <f>IF(AL133="","",_xll.IMDP("STK",$AL133,"한글종목명"))</f>
        <v/>
      </c>
      <c r="AN133" s="48" t="str">
        <f>IF(AL133="","",_xll.IMDP("STK",$AL133,"현재가"))</f>
        <v/>
      </c>
      <c r="AO133" s="48" t="str">
        <f>IF(AL133="","",_xll.IMDP("STK",$AL133,"전일대비"))</f>
        <v/>
      </c>
      <c r="AP133" s="49" t="str">
        <f>IF(AL133="","",_xll.IMDP("STK",$AL133,"등락률"))</f>
        <v/>
      </c>
      <c r="AQ133" s="48" t="str">
        <f>IF(AL133="","",_xll.IMDP("STK",$AL133,"시가총액"))</f>
        <v/>
      </c>
    </row>
    <row r="134" spans="3:43" x14ac:dyDescent="0.25">
      <c r="C134" s="22">
        <v>129</v>
      </c>
      <c r="T134" s="25" t="s">
        <v>964</v>
      </c>
      <c r="Y134" s="25" t="s">
        <v>285</v>
      </c>
      <c r="Z134" s="20" t="str">
        <f t="shared" ref="Z134:Z197" si="6">IF(INDEX($D$6:$Y$525,$C134,$AA$4)=0,"",INDEX($D$6:$Y$525,$C134,$AA$4))</f>
        <v/>
      </c>
      <c r="AA134" s="21" t="str">
        <f>IF(Z134="","",_xll.IMDP("STK",$Z134,"한글종목명"))</f>
        <v/>
      </c>
      <c r="AB134" s="48" t="str">
        <f>IF(Z134="","",_xll.IMDP("STK",$Z134,"현재가"))</f>
        <v/>
      </c>
      <c r="AC134" s="48" t="str">
        <f>IF(Z134="","",_xll.IMDP("STK",$Z134,"전일대비"))</f>
        <v/>
      </c>
      <c r="AD134" s="49" t="str">
        <f>IF(Z134="","",_xll.IMDP("STK",$Z134,"등락률"))</f>
        <v/>
      </c>
      <c r="AE134" s="48" t="str">
        <f>IF(Z134="","",_xll.IMDP("STK",Z134,"시가총액"))</f>
        <v/>
      </c>
      <c r="AF134" s="20" t="str">
        <f t="shared" si="5"/>
        <v/>
      </c>
      <c r="AG134" s="21" t="str">
        <f>IF(AF134="","",_xll.IMDP("STK",$AF134,"한글종목명"))</f>
        <v/>
      </c>
      <c r="AH134" s="48" t="str">
        <f>IF(AF134="","",_xll.IMDP("STK",$AF134,"현재가"))</f>
        <v/>
      </c>
      <c r="AI134" s="48" t="str">
        <f>IF(AF134="","",_xll.IMDP("STK",$AF134,"전일대비"))</f>
        <v/>
      </c>
      <c r="AJ134" s="49" t="str">
        <f>IF(AF134="","",_xll.IMDP("STK",$AF134,"등락률"))</f>
        <v/>
      </c>
      <c r="AK134" s="48" t="str">
        <f>IF(AF134="","",_xll.IMDP("STK",$AF134,"시가총액"))</f>
        <v/>
      </c>
      <c r="AL134" s="20" t="str">
        <f t="shared" ref="AL134:AL197" si="7">IF(INDEX($D$6:$Y$525,$C134,$AM$4)=0,"",INDEX($D$6:$Y$525,$C134,$AM$4))</f>
        <v/>
      </c>
      <c r="AM134" s="21" t="str">
        <f>IF(AL134="","",_xll.IMDP("STK",$AL134,"한글종목명"))</f>
        <v/>
      </c>
      <c r="AN134" s="48" t="str">
        <f>IF(AL134="","",_xll.IMDP("STK",$AL134,"현재가"))</f>
        <v/>
      </c>
      <c r="AO134" s="48" t="str">
        <f>IF(AL134="","",_xll.IMDP("STK",$AL134,"전일대비"))</f>
        <v/>
      </c>
      <c r="AP134" s="49" t="str">
        <f>IF(AL134="","",_xll.IMDP("STK",$AL134,"등락률"))</f>
        <v/>
      </c>
      <c r="AQ134" s="48" t="str">
        <f>IF(AL134="","",_xll.IMDP("STK",$AL134,"시가총액"))</f>
        <v/>
      </c>
    </row>
    <row r="135" spans="3:43" x14ac:dyDescent="0.25">
      <c r="C135" s="22">
        <v>130</v>
      </c>
      <c r="T135" s="25" t="s">
        <v>965</v>
      </c>
      <c r="Y135" s="25" t="s">
        <v>642</v>
      </c>
      <c r="Z135" s="20" t="str">
        <f t="shared" si="6"/>
        <v/>
      </c>
      <c r="AA135" s="21" t="str">
        <f>IF(Z135="","",_xll.IMDP("STK",$Z135,"한글종목명"))</f>
        <v/>
      </c>
      <c r="AB135" s="48" t="str">
        <f>IF(Z135="","",_xll.IMDP("STK",$Z135,"현재가"))</f>
        <v/>
      </c>
      <c r="AC135" s="48" t="str">
        <f>IF(Z135="","",_xll.IMDP("STK",$Z135,"전일대비"))</f>
        <v/>
      </c>
      <c r="AD135" s="49" t="str">
        <f>IF(Z135="","",_xll.IMDP("STK",$Z135,"등락률"))</f>
        <v/>
      </c>
      <c r="AE135" s="48" t="str">
        <f>IF(Z135="","",_xll.IMDP("STK",Z135,"시가총액"))</f>
        <v/>
      </c>
      <c r="AF135" s="20" t="str">
        <f t="shared" ref="AF135:AF198" si="8">IF(INDEX($D$6:$Y$525,$C135,$AG$4)=0,"",INDEX($D$6:$Y$525,$C135,$AG$4))</f>
        <v/>
      </c>
      <c r="AG135" s="21" t="str">
        <f>IF(AF135="","",_xll.IMDP("STK",$AF135,"한글종목명"))</f>
        <v/>
      </c>
      <c r="AH135" s="48" t="str">
        <f>IF(AF135="","",_xll.IMDP("STK",$AF135,"현재가"))</f>
        <v/>
      </c>
      <c r="AI135" s="48" t="str">
        <f>IF(AF135="","",_xll.IMDP("STK",$AF135,"전일대비"))</f>
        <v/>
      </c>
      <c r="AJ135" s="49" t="str">
        <f>IF(AF135="","",_xll.IMDP("STK",$AF135,"등락률"))</f>
        <v/>
      </c>
      <c r="AK135" s="48" t="str">
        <f>IF(AF135="","",_xll.IMDP("STK",$AF135,"시가총액"))</f>
        <v/>
      </c>
      <c r="AL135" s="20" t="str">
        <f t="shared" si="7"/>
        <v/>
      </c>
      <c r="AM135" s="21" t="str">
        <f>IF(AL135="","",_xll.IMDP("STK",$AL135,"한글종목명"))</f>
        <v/>
      </c>
      <c r="AN135" s="48" t="str">
        <f>IF(AL135="","",_xll.IMDP("STK",$AL135,"현재가"))</f>
        <v/>
      </c>
      <c r="AO135" s="48" t="str">
        <f>IF(AL135="","",_xll.IMDP("STK",$AL135,"전일대비"))</f>
        <v/>
      </c>
      <c r="AP135" s="49" t="str">
        <f>IF(AL135="","",_xll.IMDP("STK",$AL135,"등락률"))</f>
        <v/>
      </c>
      <c r="AQ135" s="48" t="str">
        <f>IF(AL135="","",_xll.IMDP("STK",$AL135,"시가총액"))</f>
        <v/>
      </c>
    </row>
    <row r="136" spans="3:43" x14ac:dyDescent="0.25">
      <c r="C136" s="22">
        <v>131</v>
      </c>
      <c r="T136" s="25" t="s">
        <v>966</v>
      </c>
      <c r="Y136" s="25" t="s">
        <v>579</v>
      </c>
      <c r="Z136" s="20" t="str">
        <f t="shared" si="6"/>
        <v/>
      </c>
      <c r="AA136" s="21" t="str">
        <f>IF(Z136="","",_xll.IMDP("STK",$Z136,"한글종목명"))</f>
        <v/>
      </c>
      <c r="AB136" s="48" t="str">
        <f>IF(Z136="","",_xll.IMDP("STK",$Z136,"현재가"))</f>
        <v/>
      </c>
      <c r="AC136" s="48" t="str">
        <f>IF(Z136="","",_xll.IMDP("STK",$Z136,"전일대비"))</f>
        <v/>
      </c>
      <c r="AD136" s="49" t="str">
        <f>IF(Z136="","",_xll.IMDP("STK",$Z136,"등락률"))</f>
        <v/>
      </c>
      <c r="AE136" s="48" t="str">
        <f>IF(Z136="","",_xll.IMDP("STK",Z136,"시가총액"))</f>
        <v/>
      </c>
      <c r="AF136" s="20" t="str">
        <f t="shared" si="8"/>
        <v/>
      </c>
      <c r="AG136" s="21" t="str">
        <f>IF(AF136="","",_xll.IMDP("STK",$AF136,"한글종목명"))</f>
        <v/>
      </c>
      <c r="AH136" s="48" t="str">
        <f>IF(AF136="","",_xll.IMDP("STK",$AF136,"현재가"))</f>
        <v/>
      </c>
      <c r="AI136" s="48" t="str">
        <f>IF(AF136="","",_xll.IMDP("STK",$AF136,"전일대비"))</f>
        <v/>
      </c>
      <c r="AJ136" s="49" t="str">
        <f>IF(AF136="","",_xll.IMDP("STK",$AF136,"등락률"))</f>
        <v/>
      </c>
      <c r="AK136" s="48" t="str">
        <f>IF(AF136="","",_xll.IMDP("STK",$AF136,"시가총액"))</f>
        <v/>
      </c>
      <c r="AL136" s="20" t="str">
        <f t="shared" si="7"/>
        <v/>
      </c>
      <c r="AM136" s="21" t="str">
        <f>IF(AL136="","",_xll.IMDP("STK",$AL136,"한글종목명"))</f>
        <v/>
      </c>
      <c r="AN136" s="48" t="str">
        <f>IF(AL136="","",_xll.IMDP("STK",$AL136,"현재가"))</f>
        <v/>
      </c>
      <c r="AO136" s="48" t="str">
        <f>IF(AL136="","",_xll.IMDP("STK",$AL136,"전일대비"))</f>
        <v/>
      </c>
      <c r="AP136" s="49" t="str">
        <f>IF(AL136="","",_xll.IMDP("STK",$AL136,"등락률"))</f>
        <v/>
      </c>
      <c r="AQ136" s="48" t="str">
        <f>IF(AL136="","",_xll.IMDP("STK",$AL136,"시가총액"))</f>
        <v/>
      </c>
    </row>
    <row r="137" spans="3:43" x14ac:dyDescent="0.25">
      <c r="C137" s="22">
        <v>132</v>
      </c>
      <c r="T137" s="25" t="s">
        <v>967</v>
      </c>
      <c r="Y137" s="25" t="s">
        <v>476</v>
      </c>
      <c r="Z137" s="20" t="str">
        <f t="shared" si="6"/>
        <v/>
      </c>
      <c r="AA137" s="21" t="str">
        <f>IF(Z137="","",_xll.IMDP("STK",$Z137,"한글종목명"))</f>
        <v/>
      </c>
      <c r="AB137" s="48" t="str">
        <f>IF(Z137="","",_xll.IMDP("STK",$Z137,"현재가"))</f>
        <v/>
      </c>
      <c r="AC137" s="48" t="str">
        <f>IF(Z137="","",_xll.IMDP("STK",$Z137,"전일대비"))</f>
        <v/>
      </c>
      <c r="AD137" s="49" t="str">
        <f>IF(Z137="","",_xll.IMDP("STK",$Z137,"등락률"))</f>
        <v/>
      </c>
      <c r="AE137" s="48" t="str">
        <f>IF(Z137="","",_xll.IMDP("STK",Z137,"시가총액"))</f>
        <v/>
      </c>
      <c r="AF137" s="20" t="str">
        <f t="shared" si="8"/>
        <v/>
      </c>
      <c r="AG137" s="21" t="str">
        <f>IF(AF137="","",_xll.IMDP("STK",$AF137,"한글종목명"))</f>
        <v/>
      </c>
      <c r="AH137" s="48" t="str">
        <f>IF(AF137="","",_xll.IMDP("STK",$AF137,"현재가"))</f>
        <v/>
      </c>
      <c r="AI137" s="48" t="str">
        <f>IF(AF137="","",_xll.IMDP("STK",$AF137,"전일대비"))</f>
        <v/>
      </c>
      <c r="AJ137" s="49" t="str">
        <f>IF(AF137="","",_xll.IMDP("STK",$AF137,"등락률"))</f>
        <v/>
      </c>
      <c r="AK137" s="48" t="str">
        <f>IF(AF137="","",_xll.IMDP("STK",$AF137,"시가총액"))</f>
        <v/>
      </c>
      <c r="AL137" s="20" t="str">
        <f t="shared" si="7"/>
        <v/>
      </c>
      <c r="AM137" s="21" t="str">
        <f>IF(AL137="","",_xll.IMDP("STK",$AL137,"한글종목명"))</f>
        <v/>
      </c>
      <c r="AN137" s="48" t="str">
        <f>IF(AL137="","",_xll.IMDP("STK",$AL137,"현재가"))</f>
        <v/>
      </c>
      <c r="AO137" s="48" t="str">
        <f>IF(AL137="","",_xll.IMDP("STK",$AL137,"전일대비"))</f>
        <v/>
      </c>
      <c r="AP137" s="49" t="str">
        <f>IF(AL137="","",_xll.IMDP("STK",$AL137,"등락률"))</f>
        <v/>
      </c>
      <c r="AQ137" s="48" t="str">
        <f>IF(AL137="","",_xll.IMDP("STK",$AL137,"시가총액"))</f>
        <v/>
      </c>
    </row>
    <row r="138" spans="3:43" x14ac:dyDescent="0.25">
      <c r="C138" s="22">
        <v>133</v>
      </c>
      <c r="T138" s="25" t="s">
        <v>968</v>
      </c>
      <c r="Y138" s="25" t="s">
        <v>643</v>
      </c>
      <c r="Z138" s="20" t="str">
        <f t="shared" si="6"/>
        <v/>
      </c>
      <c r="AA138" s="21" t="str">
        <f>IF(Z138="","",_xll.IMDP("STK",$Z138,"한글종목명"))</f>
        <v/>
      </c>
      <c r="AB138" s="48" t="str">
        <f>IF(Z138="","",_xll.IMDP("STK",$Z138,"현재가"))</f>
        <v/>
      </c>
      <c r="AC138" s="48" t="str">
        <f>IF(Z138="","",_xll.IMDP("STK",$Z138,"전일대비"))</f>
        <v/>
      </c>
      <c r="AD138" s="49" t="str">
        <f>IF(Z138="","",_xll.IMDP("STK",$Z138,"등락률"))</f>
        <v/>
      </c>
      <c r="AE138" s="48" t="str">
        <f>IF(Z138="","",_xll.IMDP("STK",Z138,"시가총액"))</f>
        <v/>
      </c>
      <c r="AF138" s="20" t="str">
        <f t="shared" si="8"/>
        <v/>
      </c>
      <c r="AG138" s="21" t="str">
        <f>IF(AF138="","",_xll.IMDP("STK",$AF138,"한글종목명"))</f>
        <v/>
      </c>
      <c r="AH138" s="48" t="str">
        <f>IF(AF138="","",_xll.IMDP("STK",$AF138,"현재가"))</f>
        <v/>
      </c>
      <c r="AI138" s="48" t="str">
        <f>IF(AF138="","",_xll.IMDP("STK",$AF138,"전일대비"))</f>
        <v/>
      </c>
      <c r="AJ138" s="49" t="str">
        <f>IF(AF138="","",_xll.IMDP("STK",$AF138,"등락률"))</f>
        <v/>
      </c>
      <c r="AK138" s="48" t="str">
        <f>IF(AF138="","",_xll.IMDP("STK",$AF138,"시가총액"))</f>
        <v/>
      </c>
      <c r="AL138" s="20" t="str">
        <f t="shared" si="7"/>
        <v/>
      </c>
      <c r="AM138" s="21" t="str">
        <f>IF(AL138="","",_xll.IMDP("STK",$AL138,"한글종목명"))</f>
        <v/>
      </c>
      <c r="AN138" s="48" t="str">
        <f>IF(AL138="","",_xll.IMDP("STK",$AL138,"현재가"))</f>
        <v/>
      </c>
      <c r="AO138" s="48" t="str">
        <f>IF(AL138="","",_xll.IMDP("STK",$AL138,"전일대비"))</f>
        <v/>
      </c>
      <c r="AP138" s="49" t="str">
        <f>IF(AL138="","",_xll.IMDP("STK",$AL138,"등락률"))</f>
        <v/>
      </c>
      <c r="AQ138" s="48" t="str">
        <f>IF(AL138="","",_xll.IMDP("STK",$AL138,"시가총액"))</f>
        <v/>
      </c>
    </row>
    <row r="139" spans="3:43" x14ac:dyDescent="0.25">
      <c r="C139" s="22">
        <v>134</v>
      </c>
      <c r="T139" s="25" t="s">
        <v>969</v>
      </c>
      <c r="Y139" s="25" t="s">
        <v>229</v>
      </c>
      <c r="Z139" s="20" t="str">
        <f t="shared" si="6"/>
        <v/>
      </c>
      <c r="AA139" s="21" t="str">
        <f>IF(Z139="","",_xll.IMDP("STK",$Z139,"한글종목명"))</f>
        <v/>
      </c>
      <c r="AB139" s="48" t="str">
        <f>IF(Z139="","",_xll.IMDP("STK",$Z139,"현재가"))</f>
        <v/>
      </c>
      <c r="AC139" s="48" t="str">
        <f>IF(Z139="","",_xll.IMDP("STK",$Z139,"전일대비"))</f>
        <v/>
      </c>
      <c r="AD139" s="49" t="str">
        <f>IF(Z139="","",_xll.IMDP("STK",$Z139,"등락률"))</f>
        <v/>
      </c>
      <c r="AE139" s="48" t="str">
        <f>IF(Z139="","",_xll.IMDP("STK",Z139,"시가총액"))</f>
        <v/>
      </c>
      <c r="AF139" s="20" t="str">
        <f t="shared" si="8"/>
        <v/>
      </c>
      <c r="AG139" s="21" t="str">
        <f>IF(AF139="","",_xll.IMDP("STK",$AF139,"한글종목명"))</f>
        <v/>
      </c>
      <c r="AH139" s="48" t="str">
        <f>IF(AF139="","",_xll.IMDP("STK",$AF139,"현재가"))</f>
        <v/>
      </c>
      <c r="AI139" s="48" t="str">
        <f>IF(AF139="","",_xll.IMDP("STK",$AF139,"전일대비"))</f>
        <v/>
      </c>
      <c r="AJ139" s="49" t="str">
        <f>IF(AF139="","",_xll.IMDP("STK",$AF139,"등락률"))</f>
        <v/>
      </c>
      <c r="AK139" s="48" t="str">
        <f>IF(AF139="","",_xll.IMDP("STK",$AF139,"시가총액"))</f>
        <v/>
      </c>
      <c r="AL139" s="20" t="str">
        <f t="shared" si="7"/>
        <v/>
      </c>
      <c r="AM139" s="21" t="str">
        <f>IF(AL139="","",_xll.IMDP("STK",$AL139,"한글종목명"))</f>
        <v/>
      </c>
      <c r="AN139" s="48" t="str">
        <f>IF(AL139="","",_xll.IMDP("STK",$AL139,"현재가"))</f>
        <v/>
      </c>
      <c r="AO139" s="48" t="str">
        <f>IF(AL139="","",_xll.IMDP("STK",$AL139,"전일대비"))</f>
        <v/>
      </c>
      <c r="AP139" s="49" t="str">
        <f>IF(AL139="","",_xll.IMDP("STK",$AL139,"등락률"))</f>
        <v/>
      </c>
      <c r="AQ139" s="48" t="str">
        <f>IF(AL139="","",_xll.IMDP("STK",$AL139,"시가총액"))</f>
        <v/>
      </c>
    </row>
    <row r="140" spans="3:43" x14ac:dyDescent="0.25">
      <c r="C140" s="22">
        <v>135</v>
      </c>
      <c r="T140" s="25" t="s">
        <v>970</v>
      </c>
      <c r="Y140" s="25" t="s">
        <v>286</v>
      </c>
      <c r="Z140" s="20" t="str">
        <f t="shared" si="6"/>
        <v/>
      </c>
      <c r="AA140" s="21" t="str">
        <f>IF(Z140="","",_xll.IMDP("STK",$Z140,"한글종목명"))</f>
        <v/>
      </c>
      <c r="AB140" s="48" t="str">
        <f>IF(Z140="","",_xll.IMDP("STK",$Z140,"현재가"))</f>
        <v/>
      </c>
      <c r="AC140" s="48" t="str">
        <f>IF(Z140="","",_xll.IMDP("STK",$Z140,"전일대비"))</f>
        <v/>
      </c>
      <c r="AD140" s="49" t="str">
        <f>IF(Z140="","",_xll.IMDP("STK",$Z140,"등락률"))</f>
        <v/>
      </c>
      <c r="AE140" s="48" t="str">
        <f>IF(Z140="","",_xll.IMDP("STK",Z140,"시가총액"))</f>
        <v/>
      </c>
      <c r="AF140" s="20" t="str">
        <f t="shared" si="8"/>
        <v/>
      </c>
      <c r="AG140" s="21" t="str">
        <f>IF(AF140="","",_xll.IMDP("STK",$AF140,"한글종목명"))</f>
        <v/>
      </c>
      <c r="AH140" s="48" t="str">
        <f>IF(AF140="","",_xll.IMDP("STK",$AF140,"현재가"))</f>
        <v/>
      </c>
      <c r="AI140" s="48" t="str">
        <f>IF(AF140="","",_xll.IMDP("STK",$AF140,"전일대비"))</f>
        <v/>
      </c>
      <c r="AJ140" s="49" t="str">
        <f>IF(AF140="","",_xll.IMDP("STK",$AF140,"등락률"))</f>
        <v/>
      </c>
      <c r="AK140" s="48" t="str">
        <f>IF(AF140="","",_xll.IMDP("STK",$AF140,"시가총액"))</f>
        <v/>
      </c>
      <c r="AL140" s="20" t="str">
        <f t="shared" si="7"/>
        <v/>
      </c>
      <c r="AM140" s="21" t="str">
        <f>IF(AL140="","",_xll.IMDP("STK",$AL140,"한글종목명"))</f>
        <v/>
      </c>
      <c r="AN140" s="48" t="str">
        <f>IF(AL140="","",_xll.IMDP("STK",$AL140,"현재가"))</f>
        <v/>
      </c>
      <c r="AO140" s="48" t="str">
        <f>IF(AL140="","",_xll.IMDP("STK",$AL140,"전일대비"))</f>
        <v/>
      </c>
      <c r="AP140" s="49" t="str">
        <f>IF(AL140="","",_xll.IMDP("STK",$AL140,"등락률"))</f>
        <v/>
      </c>
      <c r="AQ140" s="48" t="str">
        <f>IF(AL140="","",_xll.IMDP("STK",$AL140,"시가총액"))</f>
        <v/>
      </c>
    </row>
    <row r="141" spans="3:43" x14ac:dyDescent="0.25">
      <c r="C141" s="22">
        <v>136</v>
      </c>
      <c r="T141" s="25" t="s">
        <v>971</v>
      </c>
      <c r="Y141" s="25" t="s">
        <v>580</v>
      </c>
      <c r="Z141" s="20" t="str">
        <f t="shared" si="6"/>
        <v/>
      </c>
      <c r="AA141" s="21" t="str">
        <f>IF(Z141="","",_xll.IMDP("STK",$Z141,"한글종목명"))</f>
        <v/>
      </c>
      <c r="AB141" s="48" t="str">
        <f>IF(Z141="","",_xll.IMDP("STK",$Z141,"현재가"))</f>
        <v/>
      </c>
      <c r="AC141" s="48" t="str">
        <f>IF(Z141="","",_xll.IMDP("STK",$Z141,"전일대비"))</f>
        <v/>
      </c>
      <c r="AD141" s="49" t="str">
        <f>IF(Z141="","",_xll.IMDP("STK",$Z141,"등락률"))</f>
        <v/>
      </c>
      <c r="AE141" s="48" t="str">
        <f>IF(Z141="","",_xll.IMDP("STK",Z141,"시가총액"))</f>
        <v/>
      </c>
      <c r="AF141" s="20" t="str">
        <f t="shared" si="8"/>
        <v/>
      </c>
      <c r="AG141" s="21" t="str">
        <f>IF(AF141="","",_xll.IMDP("STK",$AF141,"한글종목명"))</f>
        <v/>
      </c>
      <c r="AH141" s="48" t="str">
        <f>IF(AF141="","",_xll.IMDP("STK",$AF141,"현재가"))</f>
        <v/>
      </c>
      <c r="AI141" s="48" t="str">
        <f>IF(AF141="","",_xll.IMDP("STK",$AF141,"전일대비"))</f>
        <v/>
      </c>
      <c r="AJ141" s="49" t="str">
        <f>IF(AF141="","",_xll.IMDP("STK",$AF141,"등락률"))</f>
        <v/>
      </c>
      <c r="AK141" s="48" t="str">
        <f>IF(AF141="","",_xll.IMDP("STK",$AF141,"시가총액"))</f>
        <v/>
      </c>
      <c r="AL141" s="20" t="str">
        <f t="shared" si="7"/>
        <v/>
      </c>
      <c r="AM141" s="21" t="str">
        <f>IF(AL141="","",_xll.IMDP("STK",$AL141,"한글종목명"))</f>
        <v/>
      </c>
      <c r="AN141" s="48" t="str">
        <f>IF(AL141="","",_xll.IMDP("STK",$AL141,"현재가"))</f>
        <v/>
      </c>
      <c r="AO141" s="48" t="str">
        <f>IF(AL141="","",_xll.IMDP("STK",$AL141,"전일대비"))</f>
        <v/>
      </c>
      <c r="AP141" s="49" t="str">
        <f>IF(AL141="","",_xll.IMDP("STK",$AL141,"등락률"))</f>
        <v/>
      </c>
      <c r="AQ141" s="48" t="str">
        <f>IF(AL141="","",_xll.IMDP("STK",$AL141,"시가총액"))</f>
        <v/>
      </c>
    </row>
    <row r="142" spans="3:43" x14ac:dyDescent="0.25">
      <c r="C142" s="22">
        <v>137</v>
      </c>
      <c r="T142" s="25" t="s">
        <v>972</v>
      </c>
      <c r="Y142" s="25" t="s">
        <v>477</v>
      </c>
      <c r="Z142" s="20" t="str">
        <f t="shared" si="6"/>
        <v/>
      </c>
      <c r="AA142" s="21" t="str">
        <f>IF(Z142="","",_xll.IMDP("STK",$Z142,"한글종목명"))</f>
        <v/>
      </c>
      <c r="AB142" s="48" t="str">
        <f>IF(Z142="","",_xll.IMDP("STK",$Z142,"현재가"))</f>
        <v/>
      </c>
      <c r="AC142" s="48" t="str">
        <f>IF(Z142="","",_xll.IMDP("STK",$Z142,"전일대비"))</f>
        <v/>
      </c>
      <c r="AD142" s="49" t="str">
        <f>IF(Z142="","",_xll.IMDP("STK",$Z142,"등락률"))</f>
        <v/>
      </c>
      <c r="AE142" s="48" t="str">
        <f>IF(Z142="","",_xll.IMDP("STK",Z142,"시가총액"))</f>
        <v/>
      </c>
      <c r="AF142" s="20" t="str">
        <f t="shared" si="8"/>
        <v/>
      </c>
      <c r="AG142" s="21" t="str">
        <f>IF(AF142="","",_xll.IMDP("STK",$AF142,"한글종목명"))</f>
        <v/>
      </c>
      <c r="AH142" s="48" t="str">
        <f>IF(AF142="","",_xll.IMDP("STK",$AF142,"현재가"))</f>
        <v/>
      </c>
      <c r="AI142" s="48" t="str">
        <f>IF(AF142="","",_xll.IMDP("STK",$AF142,"전일대비"))</f>
        <v/>
      </c>
      <c r="AJ142" s="49" t="str">
        <f>IF(AF142="","",_xll.IMDP("STK",$AF142,"등락률"))</f>
        <v/>
      </c>
      <c r="AK142" s="48" t="str">
        <f>IF(AF142="","",_xll.IMDP("STK",$AF142,"시가총액"))</f>
        <v/>
      </c>
      <c r="AL142" s="20" t="str">
        <f t="shared" si="7"/>
        <v/>
      </c>
      <c r="AM142" s="21" t="str">
        <f>IF(AL142="","",_xll.IMDP("STK",$AL142,"한글종목명"))</f>
        <v/>
      </c>
      <c r="AN142" s="48" t="str">
        <f>IF(AL142="","",_xll.IMDP("STK",$AL142,"현재가"))</f>
        <v/>
      </c>
      <c r="AO142" s="48" t="str">
        <f>IF(AL142="","",_xll.IMDP("STK",$AL142,"전일대비"))</f>
        <v/>
      </c>
      <c r="AP142" s="49" t="str">
        <f>IF(AL142="","",_xll.IMDP("STK",$AL142,"등락률"))</f>
        <v/>
      </c>
      <c r="AQ142" s="48" t="str">
        <f>IF(AL142="","",_xll.IMDP("STK",$AL142,"시가총액"))</f>
        <v/>
      </c>
    </row>
    <row r="143" spans="3:43" x14ac:dyDescent="0.25">
      <c r="C143" s="22">
        <v>138</v>
      </c>
      <c r="T143" s="25" t="s">
        <v>973</v>
      </c>
      <c r="Y143" s="25" t="s">
        <v>186</v>
      </c>
      <c r="Z143" s="20" t="str">
        <f t="shared" si="6"/>
        <v/>
      </c>
      <c r="AA143" s="21" t="str">
        <f>IF(Z143="","",_xll.IMDP("STK",$Z143,"한글종목명"))</f>
        <v/>
      </c>
      <c r="AB143" s="48" t="str">
        <f>IF(Z143="","",_xll.IMDP("STK",$Z143,"현재가"))</f>
        <v/>
      </c>
      <c r="AC143" s="48" t="str">
        <f>IF(Z143="","",_xll.IMDP("STK",$Z143,"전일대비"))</f>
        <v/>
      </c>
      <c r="AD143" s="49" t="str">
        <f>IF(Z143="","",_xll.IMDP("STK",$Z143,"등락률"))</f>
        <v/>
      </c>
      <c r="AE143" s="48" t="str">
        <f>IF(Z143="","",_xll.IMDP("STK",Z143,"시가총액"))</f>
        <v/>
      </c>
      <c r="AF143" s="20" t="str">
        <f t="shared" si="8"/>
        <v/>
      </c>
      <c r="AG143" s="21" t="str">
        <f>IF(AF143="","",_xll.IMDP("STK",$AF143,"한글종목명"))</f>
        <v/>
      </c>
      <c r="AH143" s="48" t="str">
        <f>IF(AF143="","",_xll.IMDP("STK",$AF143,"현재가"))</f>
        <v/>
      </c>
      <c r="AI143" s="48" t="str">
        <f>IF(AF143="","",_xll.IMDP("STK",$AF143,"전일대비"))</f>
        <v/>
      </c>
      <c r="AJ143" s="49" t="str">
        <f>IF(AF143="","",_xll.IMDP("STK",$AF143,"등락률"))</f>
        <v/>
      </c>
      <c r="AK143" s="48" t="str">
        <f>IF(AF143="","",_xll.IMDP("STK",$AF143,"시가총액"))</f>
        <v/>
      </c>
      <c r="AL143" s="20" t="str">
        <f t="shared" si="7"/>
        <v/>
      </c>
      <c r="AM143" s="21" t="str">
        <f>IF(AL143="","",_xll.IMDP("STK",$AL143,"한글종목명"))</f>
        <v/>
      </c>
      <c r="AN143" s="48" t="str">
        <f>IF(AL143="","",_xll.IMDP("STK",$AL143,"현재가"))</f>
        <v/>
      </c>
      <c r="AO143" s="48" t="str">
        <f>IF(AL143="","",_xll.IMDP("STK",$AL143,"전일대비"))</f>
        <v/>
      </c>
      <c r="AP143" s="49" t="str">
        <f>IF(AL143="","",_xll.IMDP("STK",$AL143,"등락률"))</f>
        <v/>
      </c>
      <c r="AQ143" s="48" t="str">
        <f>IF(AL143="","",_xll.IMDP("STK",$AL143,"시가총액"))</f>
        <v/>
      </c>
    </row>
    <row r="144" spans="3:43" x14ac:dyDescent="0.25">
      <c r="C144" s="22">
        <v>139</v>
      </c>
      <c r="T144" s="25" t="s">
        <v>974</v>
      </c>
      <c r="Y144" s="25" t="s">
        <v>187</v>
      </c>
      <c r="Z144" s="20" t="str">
        <f t="shared" si="6"/>
        <v/>
      </c>
      <c r="AA144" s="21" t="str">
        <f>IF(Z144="","",_xll.IMDP("STK",$Z144,"한글종목명"))</f>
        <v/>
      </c>
      <c r="AB144" s="48" t="str">
        <f>IF(Z144="","",_xll.IMDP("STK",$Z144,"현재가"))</f>
        <v/>
      </c>
      <c r="AC144" s="48" t="str">
        <f>IF(Z144="","",_xll.IMDP("STK",$Z144,"전일대비"))</f>
        <v/>
      </c>
      <c r="AD144" s="49" t="str">
        <f>IF(Z144="","",_xll.IMDP("STK",$Z144,"등락률"))</f>
        <v/>
      </c>
      <c r="AE144" s="48" t="str">
        <f>IF(Z144="","",_xll.IMDP("STK",Z144,"시가총액"))</f>
        <v/>
      </c>
      <c r="AF144" s="20" t="str">
        <f t="shared" si="8"/>
        <v/>
      </c>
      <c r="AG144" s="21" t="str">
        <f>IF(AF144="","",_xll.IMDP("STK",$AF144,"한글종목명"))</f>
        <v/>
      </c>
      <c r="AH144" s="48" t="str">
        <f>IF(AF144="","",_xll.IMDP("STK",$AF144,"현재가"))</f>
        <v/>
      </c>
      <c r="AI144" s="48" t="str">
        <f>IF(AF144="","",_xll.IMDP("STK",$AF144,"전일대비"))</f>
        <v/>
      </c>
      <c r="AJ144" s="49" t="str">
        <f>IF(AF144="","",_xll.IMDP("STK",$AF144,"등락률"))</f>
        <v/>
      </c>
      <c r="AK144" s="48" t="str">
        <f>IF(AF144="","",_xll.IMDP("STK",$AF144,"시가총액"))</f>
        <v/>
      </c>
      <c r="AL144" s="20" t="str">
        <f t="shared" si="7"/>
        <v/>
      </c>
      <c r="AM144" s="21" t="str">
        <f>IF(AL144="","",_xll.IMDP("STK",$AL144,"한글종목명"))</f>
        <v/>
      </c>
      <c r="AN144" s="48" t="str">
        <f>IF(AL144="","",_xll.IMDP("STK",$AL144,"현재가"))</f>
        <v/>
      </c>
      <c r="AO144" s="48" t="str">
        <f>IF(AL144="","",_xll.IMDP("STK",$AL144,"전일대비"))</f>
        <v/>
      </c>
      <c r="AP144" s="49" t="str">
        <f>IF(AL144="","",_xll.IMDP("STK",$AL144,"등락률"))</f>
        <v/>
      </c>
      <c r="AQ144" s="48" t="str">
        <f>IF(AL144="","",_xll.IMDP("STK",$AL144,"시가총액"))</f>
        <v/>
      </c>
    </row>
    <row r="145" spans="3:43" x14ac:dyDescent="0.25">
      <c r="C145" s="22">
        <v>140</v>
      </c>
      <c r="T145" s="25" t="s">
        <v>975</v>
      </c>
      <c r="Y145" s="25" t="s">
        <v>188</v>
      </c>
      <c r="Z145" s="20" t="str">
        <f t="shared" si="6"/>
        <v/>
      </c>
      <c r="AA145" s="21" t="str">
        <f>IF(Z145="","",_xll.IMDP("STK",$Z145,"한글종목명"))</f>
        <v/>
      </c>
      <c r="AB145" s="48" t="str">
        <f>IF(Z145="","",_xll.IMDP("STK",$Z145,"현재가"))</f>
        <v/>
      </c>
      <c r="AC145" s="48" t="str">
        <f>IF(Z145="","",_xll.IMDP("STK",$Z145,"전일대비"))</f>
        <v/>
      </c>
      <c r="AD145" s="49" t="str">
        <f>IF(Z145="","",_xll.IMDP("STK",$Z145,"등락률"))</f>
        <v/>
      </c>
      <c r="AE145" s="48" t="str">
        <f>IF(Z145="","",_xll.IMDP("STK",Z145,"시가총액"))</f>
        <v/>
      </c>
      <c r="AF145" s="20" t="str">
        <f t="shared" si="8"/>
        <v/>
      </c>
      <c r="AG145" s="21" t="str">
        <f>IF(AF145="","",_xll.IMDP("STK",$AF145,"한글종목명"))</f>
        <v/>
      </c>
      <c r="AH145" s="48" t="str">
        <f>IF(AF145="","",_xll.IMDP("STK",$AF145,"현재가"))</f>
        <v/>
      </c>
      <c r="AI145" s="48" t="str">
        <f>IF(AF145="","",_xll.IMDP("STK",$AF145,"전일대비"))</f>
        <v/>
      </c>
      <c r="AJ145" s="49" t="str">
        <f>IF(AF145="","",_xll.IMDP("STK",$AF145,"등락률"))</f>
        <v/>
      </c>
      <c r="AK145" s="48" t="str">
        <f>IF(AF145="","",_xll.IMDP("STK",$AF145,"시가총액"))</f>
        <v/>
      </c>
      <c r="AL145" s="20" t="str">
        <f t="shared" si="7"/>
        <v/>
      </c>
      <c r="AM145" s="21" t="str">
        <f>IF(AL145="","",_xll.IMDP("STK",$AL145,"한글종목명"))</f>
        <v/>
      </c>
      <c r="AN145" s="48" t="str">
        <f>IF(AL145="","",_xll.IMDP("STK",$AL145,"현재가"))</f>
        <v/>
      </c>
      <c r="AO145" s="48" t="str">
        <f>IF(AL145="","",_xll.IMDP("STK",$AL145,"전일대비"))</f>
        <v/>
      </c>
      <c r="AP145" s="49" t="str">
        <f>IF(AL145="","",_xll.IMDP("STK",$AL145,"등락률"))</f>
        <v/>
      </c>
      <c r="AQ145" s="48" t="str">
        <f>IF(AL145="","",_xll.IMDP("STK",$AL145,"시가총액"))</f>
        <v/>
      </c>
    </row>
    <row r="146" spans="3:43" x14ac:dyDescent="0.25">
      <c r="C146" s="22">
        <v>141</v>
      </c>
      <c r="T146" s="25" t="s">
        <v>976</v>
      </c>
      <c r="Y146" s="25" t="s">
        <v>189</v>
      </c>
      <c r="Z146" s="20" t="str">
        <f t="shared" si="6"/>
        <v/>
      </c>
      <c r="AA146" s="21" t="str">
        <f>IF(Z146="","",_xll.IMDP("STK",$Z146,"한글종목명"))</f>
        <v/>
      </c>
      <c r="AB146" s="48" t="str">
        <f>IF(Z146="","",_xll.IMDP("STK",$Z146,"현재가"))</f>
        <v/>
      </c>
      <c r="AC146" s="48" t="str">
        <f>IF(Z146="","",_xll.IMDP("STK",$Z146,"전일대비"))</f>
        <v/>
      </c>
      <c r="AD146" s="49" t="str">
        <f>IF(Z146="","",_xll.IMDP("STK",$Z146,"등락률"))</f>
        <v/>
      </c>
      <c r="AE146" s="48" t="str">
        <f>IF(Z146="","",_xll.IMDP("STK",Z146,"시가총액"))</f>
        <v/>
      </c>
      <c r="AF146" s="20" t="str">
        <f t="shared" si="8"/>
        <v/>
      </c>
      <c r="AG146" s="21" t="str">
        <f>IF(AF146="","",_xll.IMDP("STK",$AF146,"한글종목명"))</f>
        <v/>
      </c>
      <c r="AH146" s="48" t="str">
        <f>IF(AF146="","",_xll.IMDP("STK",$AF146,"현재가"))</f>
        <v/>
      </c>
      <c r="AI146" s="48" t="str">
        <f>IF(AF146="","",_xll.IMDP("STK",$AF146,"전일대비"))</f>
        <v/>
      </c>
      <c r="AJ146" s="49" t="str">
        <f>IF(AF146="","",_xll.IMDP("STK",$AF146,"등락률"))</f>
        <v/>
      </c>
      <c r="AK146" s="48" t="str">
        <f>IF(AF146="","",_xll.IMDP("STK",$AF146,"시가총액"))</f>
        <v/>
      </c>
      <c r="AL146" s="20" t="str">
        <f t="shared" si="7"/>
        <v/>
      </c>
      <c r="AM146" s="21" t="str">
        <f>IF(AL146="","",_xll.IMDP("STK",$AL146,"한글종목명"))</f>
        <v/>
      </c>
      <c r="AN146" s="48" t="str">
        <f>IF(AL146="","",_xll.IMDP("STK",$AL146,"현재가"))</f>
        <v/>
      </c>
      <c r="AO146" s="48" t="str">
        <f>IF(AL146="","",_xll.IMDP("STK",$AL146,"전일대비"))</f>
        <v/>
      </c>
      <c r="AP146" s="49" t="str">
        <f>IF(AL146="","",_xll.IMDP("STK",$AL146,"등락률"))</f>
        <v/>
      </c>
      <c r="AQ146" s="48" t="str">
        <f>IF(AL146="","",_xll.IMDP("STK",$AL146,"시가총액"))</f>
        <v/>
      </c>
    </row>
    <row r="147" spans="3:43" x14ac:dyDescent="0.25">
      <c r="C147" s="22">
        <v>142</v>
      </c>
      <c r="T147" s="25" t="s">
        <v>977</v>
      </c>
      <c r="Y147" s="25" t="s">
        <v>287</v>
      </c>
      <c r="Z147" s="20" t="str">
        <f t="shared" si="6"/>
        <v/>
      </c>
      <c r="AA147" s="21" t="str">
        <f>IF(Z147="","",_xll.IMDP("STK",$Z147,"한글종목명"))</f>
        <v/>
      </c>
      <c r="AB147" s="48" t="str">
        <f>IF(Z147="","",_xll.IMDP("STK",$Z147,"현재가"))</f>
        <v/>
      </c>
      <c r="AC147" s="48" t="str">
        <f>IF(Z147="","",_xll.IMDP("STK",$Z147,"전일대비"))</f>
        <v/>
      </c>
      <c r="AD147" s="49" t="str">
        <f>IF(Z147="","",_xll.IMDP("STK",$Z147,"등락률"))</f>
        <v/>
      </c>
      <c r="AE147" s="48" t="str">
        <f>IF(Z147="","",_xll.IMDP("STK",Z147,"시가총액"))</f>
        <v/>
      </c>
      <c r="AF147" s="20" t="str">
        <f t="shared" si="8"/>
        <v/>
      </c>
      <c r="AG147" s="21" t="str">
        <f>IF(AF147="","",_xll.IMDP("STK",$AF147,"한글종목명"))</f>
        <v/>
      </c>
      <c r="AH147" s="48" t="str">
        <f>IF(AF147="","",_xll.IMDP("STK",$AF147,"현재가"))</f>
        <v/>
      </c>
      <c r="AI147" s="48" t="str">
        <f>IF(AF147="","",_xll.IMDP("STK",$AF147,"전일대비"))</f>
        <v/>
      </c>
      <c r="AJ147" s="49" t="str">
        <f>IF(AF147="","",_xll.IMDP("STK",$AF147,"등락률"))</f>
        <v/>
      </c>
      <c r="AK147" s="48" t="str">
        <f>IF(AF147="","",_xll.IMDP("STK",$AF147,"시가총액"))</f>
        <v/>
      </c>
      <c r="AL147" s="20" t="str">
        <f t="shared" si="7"/>
        <v/>
      </c>
      <c r="AM147" s="21" t="str">
        <f>IF(AL147="","",_xll.IMDP("STK",$AL147,"한글종목명"))</f>
        <v/>
      </c>
      <c r="AN147" s="48" t="str">
        <f>IF(AL147="","",_xll.IMDP("STK",$AL147,"현재가"))</f>
        <v/>
      </c>
      <c r="AO147" s="48" t="str">
        <f>IF(AL147="","",_xll.IMDP("STK",$AL147,"전일대비"))</f>
        <v/>
      </c>
      <c r="AP147" s="49" t="str">
        <f>IF(AL147="","",_xll.IMDP("STK",$AL147,"등락률"))</f>
        <v/>
      </c>
      <c r="AQ147" s="48" t="str">
        <f>IF(AL147="","",_xll.IMDP("STK",$AL147,"시가총액"))</f>
        <v/>
      </c>
    </row>
    <row r="148" spans="3:43" x14ac:dyDescent="0.25">
      <c r="C148" s="22">
        <v>143</v>
      </c>
      <c r="Y148" s="25" t="s">
        <v>230</v>
      </c>
      <c r="Z148" s="20" t="str">
        <f t="shared" si="6"/>
        <v/>
      </c>
      <c r="AA148" s="21" t="str">
        <f>IF(Z148="","",_xll.IMDP("STK",$Z148,"한글종목명"))</f>
        <v/>
      </c>
      <c r="AB148" s="48" t="str">
        <f>IF(Z148="","",_xll.IMDP("STK",$Z148,"현재가"))</f>
        <v/>
      </c>
      <c r="AC148" s="48" t="str">
        <f>IF(Z148="","",_xll.IMDP("STK",$Z148,"전일대비"))</f>
        <v/>
      </c>
      <c r="AD148" s="49" t="str">
        <f>IF(Z148="","",_xll.IMDP("STK",$Z148,"등락률"))</f>
        <v/>
      </c>
      <c r="AE148" s="48" t="str">
        <f>IF(Z148="","",_xll.IMDP("STK",Z148,"시가총액"))</f>
        <v/>
      </c>
      <c r="AF148" s="20" t="str">
        <f t="shared" si="8"/>
        <v/>
      </c>
      <c r="AG148" s="21" t="str">
        <f>IF(AF148="","",_xll.IMDP("STK",$AF148,"한글종목명"))</f>
        <v/>
      </c>
      <c r="AH148" s="48" t="str">
        <f>IF(AF148="","",_xll.IMDP("STK",$AF148,"현재가"))</f>
        <v/>
      </c>
      <c r="AI148" s="48" t="str">
        <f>IF(AF148="","",_xll.IMDP("STK",$AF148,"전일대비"))</f>
        <v/>
      </c>
      <c r="AJ148" s="49" t="str">
        <f>IF(AF148="","",_xll.IMDP("STK",$AF148,"등락률"))</f>
        <v/>
      </c>
      <c r="AK148" s="48" t="str">
        <f>IF(AF148="","",_xll.IMDP("STK",$AF148,"시가총액"))</f>
        <v/>
      </c>
      <c r="AL148" s="20" t="str">
        <f t="shared" si="7"/>
        <v/>
      </c>
      <c r="AM148" s="21" t="str">
        <f>IF(AL148="","",_xll.IMDP("STK",$AL148,"한글종목명"))</f>
        <v/>
      </c>
      <c r="AN148" s="48" t="str">
        <f>IF(AL148="","",_xll.IMDP("STK",$AL148,"현재가"))</f>
        <v/>
      </c>
      <c r="AO148" s="48" t="str">
        <f>IF(AL148="","",_xll.IMDP("STK",$AL148,"전일대비"))</f>
        <v/>
      </c>
      <c r="AP148" s="49" t="str">
        <f>IF(AL148="","",_xll.IMDP("STK",$AL148,"등락률"))</f>
        <v/>
      </c>
      <c r="AQ148" s="48" t="str">
        <f>IF(AL148="","",_xll.IMDP("STK",$AL148,"시가총액"))</f>
        <v/>
      </c>
    </row>
    <row r="149" spans="3:43" x14ac:dyDescent="0.25">
      <c r="C149" s="22">
        <v>144</v>
      </c>
      <c r="Y149" s="25" t="s">
        <v>478</v>
      </c>
      <c r="Z149" s="20" t="str">
        <f t="shared" si="6"/>
        <v/>
      </c>
      <c r="AA149" s="21" t="str">
        <f>IF(Z149="","",_xll.IMDP("STK",$Z149,"한글종목명"))</f>
        <v/>
      </c>
      <c r="AB149" s="48" t="str">
        <f>IF(Z149="","",_xll.IMDP("STK",$Z149,"현재가"))</f>
        <v/>
      </c>
      <c r="AC149" s="48" t="str">
        <f>IF(Z149="","",_xll.IMDP("STK",$Z149,"전일대비"))</f>
        <v/>
      </c>
      <c r="AD149" s="49" t="str">
        <f>IF(Z149="","",_xll.IMDP("STK",$Z149,"등락률"))</f>
        <v/>
      </c>
      <c r="AE149" s="48" t="str">
        <f>IF(Z149="","",_xll.IMDP("STK",Z149,"시가총액"))</f>
        <v/>
      </c>
      <c r="AF149" s="20" t="str">
        <f t="shared" si="8"/>
        <v/>
      </c>
      <c r="AG149" s="21" t="str">
        <f>IF(AF149="","",_xll.IMDP("STK",$AF149,"한글종목명"))</f>
        <v/>
      </c>
      <c r="AH149" s="48" t="str">
        <f>IF(AF149="","",_xll.IMDP("STK",$AF149,"현재가"))</f>
        <v/>
      </c>
      <c r="AI149" s="48" t="str">
        <f>IF(AF149="","",_xll.IMDP("STK",$AF149,"전일대비"))</f>
        <v/>
      </c>
      <c r="AJ149" s="49" t="str">
        <f>IF(AF149="","",_xll.IMDP("STK",$AF149,"등락률"))</f>
        <v/>
      </c>
      <c r="AK149" s="48" t="str">
        <f>IF(AF149="","",_xll.IMDP("STK",$AF149,"시가총액"))</f>
        <v/>
      </c>
      <c r="AL149" s="20" t="str">
        <f t="shared" si="7"/>
        <v/>
      </c>
      <c r="AM149" s="21" t="str">
        <f>IF(AL149="","",_xll.IMDP("STK",$AL149,"한글종목명"))</f>
        <v/>
      </c>
      <c r="AN149" s="48" t="str">
        <f>IF(AL149="","",_xll.IMDP("STK",$AL149,"현재가"))</f>
        <v/>
      </c>
      <c r="AO149" s="48" t="str">
        <f>IF(AL149="","",_xll.IMDP("STK",$AL149,"전일대비"))</f>
        <v/>
      </c>
      <c r="AP149" s="49" t="str">
        <f>IF(AL149="","",_xll.IMDP("STK",$AL149,"등락률"))</f>
        <v/>
      </c>
      <c r="AQ149" s="48" t="str">
        <f>IF(AL149="","",_xll.IMDP("STK",$AL149,"시가총액"))</f>
        <v/>
      </c>
    </row>
    <row r="150" spans="3:43" x14ac:dyDescent="0.25">
      <c r="C150" s="22">
        <v>145</v>
      </c>
      <c r="Y150" s="25" t="s">
        <v>288</v>
      </c>
      <c r="Z150" s="20" t="str">
        <f t="shared" si="6"/>
        <v/>
      </c>
      <c r="AA150" s="21" t="str">
        <f>IF(Z150="","",_xll.IMDP("STK",$Z150,"한글종목명"))</f>
        <v/>
      </c>
      <c r="AB150" s="48" t="str">
        <f>IF(Z150="","",_xll.IMDP("STK",$Z150,"현재가"))</f>
        <v/>
      </c>
      <c r="AC150" s="48" t="str">
        <f>IF(Z150="","",_xll.IMDP("STK",$Z150,"전일대비"))</f>
        <v/>
      </c>
      <c r="AD150" s="49" t="str">
        <f>IF(Z150="","",_xll.IMDP("STK",$Z150,"등락률"))</f>
        <v/>
      </c>
      <c r="AE150" s="48" t="str">
        <f>IF(Z150="","",_xll.IMDP("STK",Z150,"시가총액"))</f>
        <v/>
      </c>
      <c r="AF150" s="20" t="str">
        <f t="shared" si="8"/>
        <v/>
      </c>
      <c r="AG150" s="21" t="str">
        <f>IF(AF150="","",_xll.IMDP("STK",$AF150,"한글종목명"))</f>
        <v/>
      </c>
      <c r="AH150" s="48" t="str">
        <f>IF(AF150="","",_xll.IMDP("STK",$AF150,"현재가"))</f>
        <v/>
      </c>
      <c r="AI150" s="48" t="str">
        <f>IF(AF150="","",_xll.IMDP("STK",$AF150,"전일대비"))</f>
        <v/>
      </c>
      <c r="AJ150" s="49" t="str">
        <f>IF(AF150="","",_xll.IMDP("STK",$AF150,"등락률"))</f>
        <v/>
      </c>
      <c r="AK150" s="48" t="str">
        <f>IF(AF150="","",_xll.IMDP("STK",$AF150,"시가총액"))</f>
        <v/>
      </c>
      <c r="AL150" s="20" t="str">
        <f t="shared" si="7"/>
        <v/>
      </c>
      <c r="AM150" s="21" t="str">
        <f>IF(AL150="","",_xll.IMDP("STK",$AL150,"한글종목명"))</f>
        <v/>
      </c>
      <c r="AN150" s="48" t="str">
        <f>IF(AL150="","",_xll.IMDP("STK",$AL150,"현재가"))</f>
        <v/>
      </c>
      <c r="AO150" s="48" t="str">
        <f>IF(AL150="","",_xll.IMDP("STK",$AL150,"전일대비"))</f>
        <v/>
      </c>
      <c r="AP150" s="49" t="str">
        <f>IF(AL150="","",_xll.IMDP("STK",$AL150,"등락률"))</f>
        <v/>
      </c>
      <c r="AQ150" s="48" t="str">
        <f>IF(AL150="","",_xll.IMDP("STK",$AL150,"시가총액"))</f>
        <v/>
      </c>
    </row>
    <row r="151" spans="3:43" x14ac:dyDescent="0.25">
      <c r="C151" s="22">
        <v>146</v>
      </c>
      <c r="Y151" s="25" t="s">
        <v>289</v>
      </c>
      <c r="Z151" s="20" t="str">
        <f t="shared" si="6"/>
        <v/>
      </c>
      <c r="AA151" s="21" t="str">
        <f>IF(Z151="","",_xll.IMDP("STK",$Z151,"한글종목명"))</f>
        <v/>
      </c>
      <c r="AB151" s="48" t="str">
        <f>IF(Z151="","",_xll.IMDP("STK",$Z151,"현재가"))</f>
        <v/>
      </c>
      <c r="AC151" s="48" t="str">
        <f>IF(Z151="","",_xll.IMDP("STK",$Z151,"전일대비"))</f>
        <v/>
      </c>
      <c r="AD151" s="49" t="str">
        <f>IF(Z151="","",_xll.IMDP("STK",$Z151,"등락률"))</f>
        <v/>
      </c>
      <c r="AE151" s="48" t="str">
        <f>IF(Z151="","",_xll.IMDP("STK",Z151,"시가총액"))</f>
        <v/>
      </c>
      <c r="AF151" s="20" t="str">
        <f t="shared" si="8"/>
        <v/>
      </c>
      <c r="AG151" s="21" t="str">
        <f>IF(AF151="","",_xll.IMDP("STK",$AF151,"한글종목명"))</f>
        <v/>
      </c>
      <c r="AH151" s="48" t="str">
        <f>IF(AF151="","",_xll.IMDP("STK",$AF151,"현재가"))</f>
        <v/>
      </c>
      <c r="AI151" s="48" t="str">
        <f>IF(AF151="","",_xll.IMDP("STK",$AF151,"전일대비"))</f>
        <v/>
      </c>
      <c r="AJ151" s="49" t="str">
        <f>IF(AF151="","",_xll.IMDP("STK",$AF151,"등락률"))</f>
        <v/>
      </c>
      <c r="AK151" s="48" t="str">
        <f>IF(AF151="","",_xll.IMDP("STK",$AF151,"시가총액"))</f>
        <v/>
      </c>
      <c r="AL151" s="20" t="str">
        <f t="shared" si="7"/>
        <v/>
      </c>
      <c r="AM151" s="21" t="str">
        <f>IF(AL151="","",_xll.IMDP("STK",$AL151,"한글종목명"))</f>
        <v/>
      </c>
      <c r="AN151" s="48" t="str">
        <f>IF(AL151="","",_xll.IMDP("STK",$AL151,"현재가"))</f>
        <v/>
      </c>
      <c r="AO151" s="48" t="str">
        <f>IF(AL151="","",_xll.IMDP("STK",$AL151,"전일대비"))</f>
        <v/>
      </c>
      <c r="AP151" s="49" t="str">
        <f>IF(AL151="","",_xll.IMDP("STK",$AL151,"등락률"))</f>
        <v/>
      </c>
      <c r="AQ151" s="48" t="str">
        <f>IF(AL151="","",_xll.IMDP("STK",$AL151,"시가총액"))</f>
        <v/>
      </c>
    </row>
    <row r="152" spans="3:43" x14ac:dyDescent="0.25">
      <c r="C152" s="22">
        <v>147</v>
      </c>
      <c r="Y152" s="25" t="s">
        <v>644</v>
      </c>
      <c r="Z152" s="20" t="str">
        <f t="shared" si="6"/>
        <v/>
      </c>
      <c r="AA152" s="21" t="str">
        <f>IF(Z152="","",_xll.IMDP("STK",$Z152,"한글종목명"))</f>
        <v/>
      </c>
      <c r="AB152" s="48" t="str">
        <f>IF(Z152="","",_xll.IMDP("STK",$Z152,"현재가"))</f>
        <v/>
      </c>
      <c r="AC152" s="48" t="str">
        <f>IF(Z152="","",_xll.IMDP("STK",$Z152,"전일대비"))</f>
        <v/>
      </c>
      <c r="AD152" s="49" t="str">
        <f>IF(Z152="","",_xll.IMDP("STK",$Z152,"등락률"))</f>
        <v/>
      </c>
      <c r="AE152" s="48" t="str">
        <f>IF(Z152="","",_xll.IMDP("STK",Z152,"시가총액"))</f>
        <v/>
      </c>
      <c r="AF152" s="20" t="str">
        <f t="shared" si="8"/>
        <v/>
      </c>
      <c r="AG152" s="21" t="str">
        <f>IF(AF152="","",_xll.IMDP("STK",$AF152,"한글종목명"))</f>
        <v/>
      </c>
      <c r="AH152" s="48" t="str">
        <f>IF(AF152="","",_xll.IMDP("STK",$AF152,"현재가"))</f>
        <v/>
      </c>
      <c r="AI152" s="48" t="str">
        <f>IF(AF152="","",_xll.IMDP("STK",$AF152,"전일대비"))</f>
        <v/>
      </c>
      <c r="AJ152" s="49" t="str">
        <f>IF(AF152="","",_xll.IMDP("STK",$AF152,"등락률"))</f>
        <v/>
      </c>
      <c r="AK152" s="48" t="str">
        <f>IF(AF152="","",_xll.IMDP("STK",$AF152,"시가총액"))</f>
        <v/>
      </c>
      <c r="AL152" s="20" t="str">
        <f t="shared" si="7"/>
        <v/>
      </c>
      <c r="AM152" s="21" t="str">
        <f>IF(AL152="","",_xll.IMDP("STK",$AL152,"한글종목명"))</f>
        <v/>
      </c>
      <c r="AN152" s="48" t="str">
        <f>IF(AL152="","",_xll.IMDP("STK",$AL152,"현재가"))</f>
        <v/>
      </c>
      <c r="AO152" s="48" t="str">
        <f>IF(AL152="","",_xll.IMDP("STK",$AL152,"전일대비"))</f>
        <v/>
      </c>
      <c r="AP152" s="49" t="str">
        <f>IF(AL152="","",_xll.IMDP("STK",$AL152,"등락률"))</f>
        <v/>
      </c>
      <c r="AQ152" s="48" t="str">
        <f>IF(AL152="","",_xll.IMDP("STK",$AL152,"시가총액"))</f>
        <v/>
      </c>
    </row>
    <row r="153" spans="3:43" x14ac:dyDescent="0.25">
      <c r="C153" s="22">
        <v>148</v>
      </c>
      <c r="Y153" s="25" t="s">
        <v>625</v>
      </c>
      <c r="Z153" s="20" t="str">
        <f t="shared" si="6"/>
        <v/>
      </c>
      <c r="AA153" s="21" t="str">
        <f>IF(Z153="","",_xll.IMDP("STK",$Z153,"한글종목명"))</f>
        <v/>
      </c>
      <c r="AB153" s="48" t="str">
        <f>IF(Z153="","",_xll.IMDP("STK",$Z153,"현재가"))</f>
        <v/>
      </c>
      <c r="AC153" s="48" t="str">
        <f>IF(Z153="","",_xll.IMDP("STK",$Z153,"전일대비"))</f>
        <v/>
      </c>
      <c r="AD153" s="49" t="str">
        <f>IF(Z153="","",_xll.IMDP("STK",$Z153,"등락률"))</f>
        <v/>
      </c>
      <c r="AE153" s="48" t="str">
        <f>IF(Z153="","",_xll.IMDP("STK",Z153,"시가총액"))</f>
        <v/>
      </c>
      <c r="AF153" s="20" t="str">
        <f t="shared" si="8"/>
        <v/>
      </c>
      <c r="AG153" s="21" t="str">
        <f>IF(AF153="","",_xll.IMDP("STK",$AF153,"한글종목명"))</f>
        <v/>
      </c>
      <c r="AH153" s="48" t="str">
        <f>IF(AF153="","",_xll.IMDP("STK",$AF153,"현재가"))</f>
        <v/>
      </c>
      <c r="AI153" s="48" t="str">
        <f>IF(AF153="","",_xll.IMDP("STK",$AF153,"전일대비"))</f>
        <v/>
      </c>
      <c r="AJ153" s="49" t="str">
        <f>IF(AF153="","",_xll.IMDP("STK",$AF153,"등락률"))</f>
        <v/>
      </c>
      <c r="AK153" s="48" t="str">
        <f>IF(AF153="","",_xll.IMDP("STK",$AF153,"시가총액"))</f>
        <v/>
      </c>
      <c r="AL153" s="20" t="str">
        <f t="shared" si="7"/>
        <v/>
      </c>
      <c r="AM153" s="21" t="str">
        <f>IF(AL153="","",_xll.IMDP("STK",$AL153,"한글종목명"))</f>
        <v/>
      </c>
      <c r="AN153" s="48" t="str">
        <f>IF(AL153="","",_xll.IMDP("STK",$AL153,"현재가"))</f>
        <v/>
      </c>
      <c r="AO153" s="48" t="str">
        <f>IF(AL153="","",_xll.IMDP("STK",$AL153,"전일대비"))</f>
        <v/>
      </c>
      <c r="AP153" s="49" t="str">
        <f>IF(AL153="","",_xll.IMDP("STK",$AL153,"등락률"))</f>
        <v/>
      </c>
      <c r="AQ153" s="48" t="str">
        <f>IF(AL153="","",_xll.IMDP("STK",$AL153,"시가총액"))</f>
        <v/>
      </c>
    </row>
    <row r="154" spans="3:43" x14ac:dyDescent="0.25">
      <c r="C154" s="22">
        <v>149</v>
      </c>
      <c r="Y154" s="25" t="s">
        <v>645</v>
      </c>
      <c r="Z154" s="20" t="str">
        <f t="shared" si="6"/>
        <v/>
      </c>
      <c r="AA154" s="21" t="str">
        <f>IF(Z154="","",_xll.IMDP("STK",$Z154,"한글종목명"))</f>
        <v/>
      </c>
      <c r="AB154" s="48" t="str">
        <f>IF(Z154="","",_xll.IMDP("STK",$Z154,"현재가"))</f>
        <v/>
      </c>
      <c r="AC154" s="48" t="str">
        <f>IF(Z154="","",_xll.IMDP("STK",$Z154,"전일대비"))</f>
        <v/>
      </c>
      <c r="AD154" s="49" t="str">
        <f>IF(Z154="","",_xll.IMDP("STK",$Z154,"등락률"))</f>
        <v/>
      </c>
      <c r="AE154" s="48" t="str">
        <f>IF(Z154="","",_xll.IMDP("STK",Z154,"시가총액"))</f>
        <v/>
      </c>
      <c r="AF154" s="20" t="str">
        <f t="shared" si="8"/>
        <v/>
      </c>
      <c r="AG154" s="21" t="str">
        <f>IF(AF154="","",_xll.IMDP("STK",$AF154,"한글종목명"))</f>
        <v/>
      </c>
      <c r="AH154" s="48" t="str">
        <f>IF(AF154="","",_xll.IMDP("STK",$AF154,"현재가"))</f>
        <v/>
      </c>
      <c r="AI154" s="48" t="str">
        <f>IF(AF154="","",_xll.IMDP("STK",$AF154,"전일대비"))</f>
        <v/>
      </c>
      <c r="AJ154" s="49" t="str">
        <f>IF(AF154="","",_xll.IMDP("STK",$AF154,"등락률"))</f>
        <v/>
      </c>
      <c r="AK154" s="48" t="str">
        <f>IF(AF154="","",_xll.IMDP("STK",$AF154,"시가총액"))</f>
        <v/>
      </c>
      <c r="AL154" s="20" t="str">
        <f t="shared" si="7"/>
        <v/>
      </c>
      <c r="AM154" s="21" t="str">
        <f>IF(AL154="","",_xll.IMDP("STK",$AL154,"한글종목명"))</f>
        <v/>
      </c>
      <c r="AN154" s="48" t="str">
        <f>IF(AL154="","",_xll.IMDP("STK",$AL154,"현재가"))</f>
        <v/>
      </c>
      <c r="AO154" s="48" t="str">
        <f>IF(AL154="","",_xll.IMDP("STK",$AL154,"전일대비"))</f>
        <v/>
      </c>
      <c r="AP154" s="49" t="str">
        <f>IF(AL154="","",_xll.IMDP("STK",$AL154,"등락률"))</f>
        <v/>
      </c>
      <c r="AQ154" s="48" t="str">
        <f>IF(AL154="","",_xll.IMDP("STK",$AL154,"시가총액"))</f>
        <v/>
      </c>
    </row>
    <row r="155" spans="3:43" x14ac:dyDescent="0.25">
      <c r="C155" s="22">
        <v>150</v>
      </c>
      <c r="Y155" s="25" t="s">
        <v>479</v>
      </c>
      <c r="Z155" s="20" t="str">
        <f t="shared" si="6"/>
        <v/>
      </c>
      <c r="AA155" s="21" t="str">
        <f>IF(Z155="","",_xll.IMDP("STK",$Z155,"한글종목명"))</f>
        <v/>
      </c>
      <c r="AB155" s="48" t="str">
        <f>IF(Z155="","",_xll.IMDP("STK",$Z155,"현재가"))</f>
        <v/>
      </c>
      <c r="AC155" s="48" t="str">
        <f>IF(Z155="","",_xll.IMDP("STK",$Z155,"전일대비"))</f>
        <v/>
      </c>
      <c r="AD155" s="49" t="str">
        <f>IF(Z155="","",_xll.IMDP("STK",$Z155,"등락률"))</f>
        <v/>
      </c>
      <c r="AE155" s="48" t="str">
        <f>IF(Z155="","",_xll.IMDP("STK",Z155,"시가총액"))</f>
        <v/>
      </c>
      <c r="AF155" s="20" t="str">
        <f t="shared" si="8"/>
        <v/>
      </c>
      <c r="AG155" s="21" t="str">
        <f>IF(AF155="","",_xll.IMDP("STK",$AF155,"한글종목명"))</f>
        <v/>
      </c>
      <c r="AH155" s="48" t="str">
        <f>IF(AF155="","",_xll.IMDP("STK",$AF155,"현재가"))</f>
        <v/>
      </c>
      <c r="AI155" s="48" t="str">
        <f>IF(AF155="","",_xll.IMDP("STK",$AF155,"전일대비"))</f>
        <v/>
      </c>
      <c r="AJ155" s="49" t="str">
        <f>IF(AF155="","",_xll.IMDP("STK",$AF155,"등락률"))</f>
        <v/>
      </c>
      <c r="AK155" s="48" t="str">
        <f>IF(AF155="","",_xll.IMDP("STK",$AF155,"시가총액"))</f>
        <v/>
      </c>
      <c r="AL155" s="20" t="str">
        <f t="shared" si="7"/>
        <v/>
      </c>
      <c r="AM155" s="21" t="str">
        <f>IF(AL155="","",_xll.IMDP("STK",$AL155,"한글종목명"))</f>
        <v/>
      </c>
      <c r="AN155" s="48" t="str">
        <f>IF(AL155="","",_xll.IMDP("STK",$AL155,"현재가"))</f>
        <v/>
      </c>
      <c r="AO155" s="48" t="str">
        <f>IF(AL155="","",_xll.IMDP("STK",$AL155,"전일대비"))</f>
        <v/>
      </c>
      <c r="AP155" s="49" t="str">
        <f>IF(AL155="","",_xll.IMDP("STK",$AL155,"등락률"))</f>
        <v/>
      </c>
      <c r="AQ155" s="48" t="str">
        <f>IF(AL155="","",_xll.IMDP("STK",$AL155,"시가총액"))</f>
        <v/>
      </c>
    </row>
    <row r="156" spans="3:43" x14ac:dyDescent="0.25">
      <c r="C156" s="22">
        <v>151</v>
      </c>
      <c r="Y156" s="25" t="s">
        <v>290</v>
      </c>
      <c r="Z156" s="20" t="str">
        <f t="shared" si="6"/>
        <v/>
      </c>
      <c r="AA156" s="21" t="str">
        <f>IF(Z156="","",_xll.IMDP("STK",$Z156,"한글종목명"))</f>
        <v/>
      </c>
      <c r="AB156" s="48" t="str">
        <f>IF(Z156="","",_xll.IMDP("STK",$Z156,"현재가"))</f>
        <v/>
      </c>
      <c r="AC156" s="48" t="str">
        <f>IF(Z156="","",_xll.IMDP("STK",$Z156,"전일대비"))</f>
        <v/>
      </c>
      <c r="AD156" s="49" t="str">
        <f>IF(Z156="","",_xll.IMDP("STK",$Z156,"등락률"))</f>
        <v/>
      </c>
      <c r="AE156" s="48" t="str">
        <f>IF(Z156="","",_xll.IMDP("STK",Z156,"시가총액"))</f>
        <v/>
      </c>
      <c r="AF156" s="20" t="str">
        <f t="shared" si="8"/>
        <v/>
      </c>
      <c r="AG156" s="21" t="str">
        <f>IF(AF156="","",_xll.IMDP("STK",$AF156,"한글종목명"))</f>
        <v/>
      </c>
      <c r="AH156" s="48" t="str">
        <f>IF(AF156="","",_xll.IMDP("STK",$AF156,"현재가"))</f>
        <v/>
      </c>
      <c r="AI156" s="48" t="str">
        <f>IF(AF156="","",_xll.IMDP("STK",$AF156,"전일대비"))</f>
        <v/>
      </c>
      <c r="AJ156" s="49" t="str">
        <f>IF(AF156="","",_xll.IMDP("STK",$AF156,"등락률"))</f>
        <v/>
      </c>
      <c r="AK156" s="48" t="str">
        <f>IF(AF156="","",_xll.IMDP("STK",$AF156,"시가총액"))</f>
        <v/>
      </c>
      <c r="AL156" s="20" t="str">
        <f t="shared" si="7"/>
        <v/>
      </c>
      <c r="AM156" s="21" t="str">
        <f>IF(AL156="","",_xll.IMDP("STK",$AL156,"한글종목명"))</f>
        <v/>
      </c>
      <c r="AN156" s="48" t="str">
        <f>IF(AL156="","",_xll.IMDP("STK",$AL156,"현재가"))</f>
        <v/>
      </c>
      <c r="AO156" s="48" t="str">
        <f>IF(AL156="","",_xll.IMDP("STK",$AL156,"전일대비"))</f>
        <v/>
      </c>
      <c r="AP156" s="49" t="str">
        <f>IF(AL156="","",_xll.IMDP("STK",$AL156,"등락률"))</f>
        <v/>
      </c>
      <c r="AQ156" s="48" t="str">
        <f>IF(AL156="","",_xll.IMDP("STK",$AL156,"시가총액"))</f>
        <v/>
      </c>
    </row>
    <row r="157" spans="3:43" x14ac:dyDescent="0.25">
      <c r="C157" s="22">
        <v>152</v>
      </c>
      <c r="Y157" s="25" t="s">
        <v>291</v>
      </c>
      <c r="Z157" s="20" t="str">
        <f t="shared" si="6"/>
        <v/>
      </c>
      <c r="AA157" s="21" t="str">
        <f>IF(Z157="","",_xll.IMDP("STK",$Z157,"한글종목명"))</f>
        <v/>
      </c>
      <c r="AB157" s="48" t="str">
        <f>IF(Z157="","",_xll.IMDP("STK",$Z157,"현재가"))</f>
        <v/>
      </c>
      <c r="AC157" s="48" t="str">
        <f>IF(Z157="","",_xll.IMDP("STK",$Z157,"전일대비"))</f>
        <v/>
      </c>
      <c r="AD157" s="49" t="str">
        <f>IF(Z157="","",_xll.IMDP("STK",$Z157,"등락률"))</f>
        <v/>
      </c>
      <c r="AE157" s="48" t="str">
        <f>IF(Z157="","",_xll.IMDP("STK",Z157,"시가총액"))</f>
        <v/>
      </c>
      <c r="AF157" s="20" t="str">
        <f t="shared" si="8"/>
        <v/>
      </c>
      <c r="AG157" s="21" t="str">
        <f>IF(AF157="","",_xll.IMDP("STK",$AF157,"한글종목명"))</f>
        <v/>
      </c>
      <c r="AH157" s="48" t="str">
        <f>IF(AF157="","",_xll.IMDP("STK",$AF157,"현재가"))</f>
        <v/>
      </c>
      <c r="AI157" s="48" t="str">
        <f>IF(AF157="","",_xll.IMDP("STK",$AF157,"전일대비"))</f>
        <v/>
      </c>
      <c r="AJ157" s="49" t="str">
        <f>IF(AF157="","",_xll.IMDP("STK",$AF157,"등락률"))</f>
        <v/>
      </c>
      <c r="AK157" s="48" t="str">
        <f>IF(AF157="","",_xll.IMDP("STK",$AF157,"시가총액"))</f>
        <v/>
      </c>
      <c r="AL157" s="20" t="str">
        <f t="shared" si="7"/>
        <v/>
      </c>
      <c r="AM157" s="21" t="str">
        <f>IF(AL157="","",_xll.IMDP("STK",$AL157,"한글종목명"))</f>
        <v/>
      </c>
      <c r="AN157" s="48" t="str">
        <f>IF(AL157="","",_xll.IMDP("STK",$AL157,"현재가"))</f>
        <v/>
      </c>
      <c r="AO157" s="48" t="str">
        <f>IF(AL157="","",_xll.IMDP("STK",$AL157,"전일대비"))</f>
        <v/>
      </c>
      <c r="AP157" s="49" t="str">
        <f>IF(AL157="","",_xll.IMDP("STK",$AL157,"등락률"))</f>
        <v/>
      </c>
      <c r="AQ157" s="48" t="str">
        <f>IF(AL157="","",_xll.IMDP("STK",$AL157,"시가총액"))</f>
        <v/>
      </c>
    </row>
    <row r="158" spans="3:43" x14ac:dyDescent="0.25">
      <c r="C158" s="22">
        <v>153</v>
      </c>
      <c r="Y158" s="25" t="s">
        <v>480</v>
      </c>
      <c r="Z158" s="20" t="str">
        <f t="shared" si="6"/>
        <v/>
      </c>
      <c r="AA158" s="21" t="str">
        <f>IF(Z158="","",_xll.IMDP("STK",$Z158,"한글종목명"))</f>
        <v/>
      </c>
      <c r="AB158" s="48" t="str">
        <f>IF(Z158="","",_xll.IMDP("STK",$Z158,"현재가"))</f>
        <v/>
      </c>
      <c r="AC158" s="48" t="str">
        <f>IF(Z158="","",_xll.IMDP("STK",$Z158,"전일대비"))</f>
        <v/>
      </c>
      <c r="AD158" s="49" t="str">
        <f>IF(Z158="","",_xll.IMDP("STK",$Z158,"등락률"))</f>
        <v/>
      </c>
      <c r="AE158" s="48" t="str">
        <f>IF(Z158="","",_xll.IMDP("STK",Z158,"시가총액"))</f>
        <v/>
      </c>
      <c r="AF158" s="20" t="str">
        <f t="shared" si="8"/>
        <v/>
      </c>
      <c r="AG158" s="21" t="str">
        <f>IF(AF158="","",_xll.IMDP("STK",$AF158,"한글종목명"))</f>
        <v/>
      </c>
      <c r="AH158" s="48" t="str">
        <f>IF(AF158="","",_xll.IMDP("STK",$AF158,"현재가"))</f>
        <v/>
      </c>
      <c r="AI158" s="48" t="str">
        <f>IF(AF158="","",_xll.IMDP("STK",$AF158,"전일대비"))</f>
        <v/>
      </c>
      <c r="AJ158" s="49" t="str">
        <f>IF(AF158="","",_xll.IMDP("STK",$AF158,"등락률"))</f>
        <v/>
      </c>
      <c r="AK158" s="48" t="str">
        <f>IF(AF158="","",_xll.IMDP("STK",$AF158,"시가총액"))</f>
        <v/>
      </c>
      <c r="AL158" s="20" t="str">
        <f t="shared" si="7"/>
        <v/>
      </c>
      <c r="AM158" s="21" t="str">
        <f>IF(AL158="","",_xll.IMDP("STK",$AL158,"한글종목명"))</f>
        <v/>
      </c>
      <c r="AN158" s="48" t="str">
        <f>IF(AL158="","",_xll.IMDP("STK",$AL158,"현재가"))</f>
        <v/>
      </c>
      <c r="AO158" s="48" t="str">
        <f>IF(AL158="","",_xll.IMDP("STK",$AL158,"전일대비"))</f>
        <v/>
      </c>
      <c r="AP158" s="49" t="str">
        <f>IF(AL158="","",_xll.IMDP("STK",$AL158,"등락률"))</f>
        <v/>
      </c>
      <c r="AQ158" s="48" t="str">
        <f>IF(AL158="","",_xll.IMDP("STK",$AL158,"시가총액"))</f>
        <v/>
      </c>
    </row>
    <row r="159" spans="3:43" x14ac:dyDescent="0.25">
      <c r="C159" s="22">
        <v>154</v>
      </c>
      <c r="Y159" s="25" t="s">
        <v>481</v>
      </c>
      <c r="Z159" s="20" t="str">
        <f t="shared" si="6"/>
        <v/>
      </c>
      <c r="AA159" s="21" t="str">
        <f>IF(Z159="","",_xll.IMDP("STK",$Z159,"한글종목명"))</f>
        <v/>
      </c>
      <c r="AB159" s="48" t="str">
        <f>IF(Z159="","",_xll.IMDP("STK",$Z159,"현재가"))</f>
        <v/>
      </c>
      <c r="AC159" s="48" t="str">
        <f>IF(Z159="","",_xll.IMDP("STK",$Z159,"전일대비"))</f>
        <v/>
      </c>
      <c r="AD159" s="49" t="str">
        <f>IF(Z159="","",_xll.IMDP("STK",$Z159,"등락률"))</f>
        <v/>
      </c>
      <c r="AE159" s="48" t="str">
        <f>IF(Z159="","",_xll.IMDP("STK",Z159,"시가총액"))</f>
        <v/>
      </c>
      <c r="AF159" s="20" t="str">
        <f t="shared" si="8"/>
        <v/>
      </c>
      <c r="AG159" s="21" t="str">
        <f>IF(AF159="","",_xll.IMDP("STK",$AF159,"한글종목명"))</f>
        <v/>
      </c>
      <c r="AH159" s="48" t="str">
        <f>IF(AF159="","",_xll.IMDP("STK",$AF159,"현재가"))</f>
        <v/>
      </c>
      <c r="AI159" s="48" t="str">
        <f>IF(AF159="","",_xll.IMDP("STK",$AF159,"전일대비"))</f>
        <v/>
      </c>
      <c r="AJ159" s="49" t="str">
        <f>IF(AF159="","",_xll.IMDP("STK",$AF159,"등락률"))</f>
        <v/>
      </c>
      <c r="AK159" s="48" t="str">
        <f>IF(AF159="","",_xll.IMDP("STK",$AF159,"시가총액"))</f>
        <v/>
      </c>
      <c r="AL159" s="20" t="str">
        <f t="shared" si="7"/>
        <v/>
      </c>
      <c r="AM159" s="21" t="str">
        <f>IF(AL159="","",_xll.IMDP("STK",$AL159,"한글종목명"))</f>
        <v/>
      </c>
      <c r="AN159" s="48" t="str">
        <f>IF(AL159="","",_xll.IMDP("STK",$AL159,"현재가"))</f>
        <v/>
      </c>
      <c r="AO159" s="48" t="str">
        <f>IF(AL159="","",_xll.IMDP("STK",$AL159,"전일대비"))</f>
        <v/>
      </c>
      <c r="AP159" s="49" t="str">
        <f>IF(AL159="","",_xll.IMDP("STK",$AL159,"등락률"))</f>
        <v/>
      </c>
      <c r="AQ159" s="48" t="str">
        <f>IF(AL159="","",_xll.IMDP("STK",$AL159,"시가총액"))</f>
        <v/>
      </c>
    </row>
    <row r="160" spans="3:43" x14ac:dyDescent="0.25">
      <c r="C160" s="22">
        <v>155</v>
      </c>
      <c r="Y160" s="25" t="s">
        <v>393</v>
      </c>
      <c r="Z160" s="20" t="str">
        <f t="shared" si="6"/>
        <v/>
      </c>
      <c r="AA160" s="21" t="str">
        <f>IF(Z160="","",_xll.IMDP("STK",$Z160,"한글종목명"))</f>
        <v/>
      </c>
      <c r="AB160" s="48" t="str">
        <f>IF(Z160="","",_xll.IMDP("STK",$Z160,"현재가"))</f>
        <v/>
      </c>
      <c r="AC160" s="48" t="str">
        <f>IF(Z160="","",_xll.IMDP("STK",$Z160,"전일대비"))</f>
        <v/>
      </c>
      <c r="AD160" s="49" t="str">
        <f>IF(Z160="","",_xll.IMDP("STK",$Z160,"등락률"))</f>
        <v/>
      </c>
      <c r="AE160" s="48" t="str">
        <f>IF(Z160="","",_xll.IMDP("STK",Z160,"시가총액"))</f>
        <v/>
      </c>
      <c r="AF160" s="20" t="str">
        <f t="shared" si="8"/>
        <v/>
      </c>
      <c r="AG160" s="21" t="str">
        <f>IF(AF160="","",_xll.IMDP("STK",$AF160,"한글종목명"))</f>
        <v/>
      </c>
      <c r="AH160" s="48" t="str">
        <f>IF(AF160="","",_xll.IMDP("STK",$AF160,"현재가"))</f>
        <v/>
      </c>
      <c r="AI160" s="48" t="str">
        <f>IF(AF160="","",_xll.IMDP("STK",$AF160,"전일대비"))</f>
        <v/>
      </c>
      <c r="AJ160" s="49" t="str">
        <f>IF(AF160="","",_xll.IMDP("STK",$AF160,"등락률"))</f>
        <v/>
      </c>
      <c r="AK160" s="48" t="str">
        <f>IF(AF160="","",_xll.IMDP("STK",$AF160,"시가총액"))</f>
        <v/>
      </c>
      <c r="AL160" s="20" t="str">
        <f t="shared" si="7"/>
        <v/>
      </c>
      <c r="AM160" s="21" t="str">
        <f>IF(AL160="","",_xll.IMDP("STK",$AL160,"한글종목명"))</f>
        <v/>
      </c>
      <c r="AN160" s="48" t="str">
        <f>IF(AL160="","",_xll.IMDP("STK",$AL160,"현재가"))</f>
        <v/>
      </c>
      <c r="AO160" s="48" t="str">
        <f>IF(AL160="","",_xll.IMDP("STK",$AL160,"전일대비"))</f>
        <v/>
      </c>
      <c r="AP160" s="49" t="str">
        <f>IF(AL160="","",_xll.IMDP("STK",$AL160,"등락률"))</f>
        <v/>
      </c>
      <c r="AQ160" s="48" t="str">
        <f>IF(AL160="","",_xll.IMDP("STK",$AL160,"시가총액"))</f>
        <v/>
      </c>
    </row>
    <row r="161" spans="3:43" x14ac:dyDescent="0.25">
      <c r="C161" s="22">
        <v>156</v>
      </c>
      <c r="Y161" s="25" t="s">
        <v>292</v>
      </c>
      <c r="Z161" s="20" t="str">
        <f t="shared" si="6"/>
        <v/>
      </c>
      <c r="AA161" s="21" t="str">
        <f>IF(Z161="","",_xll.IMDP("STK",$Z161,"한글종목명"))</f>
        <v/>
      </c>
      <c r="AB161" s="48" t="str">
        <f>IF(Z161="","",_xll.IMDP("STK",$Z161,"현재가"))</f>
        <v/>
      </c>
      <c r="AC161" s="48" t="str">
        <f>IF(Z161="","",_xll.IMDP("STK",$Z161,"전일대비"))</f>
        <v/>
      </c>
      <c r="AD161" s="49" t="str">
        <f>IF(Z161="","",_xll.IMDP("STK",$Z161,"등락률"))</f>
        <v/>
      </c>
      <c r="AE161" s="48" t="str">
        <f>IF(Z161="","",_xll.IMDP("STK",Z161,"시가총액"))</f>
        <v/>
      </c>
      <c r="AF161" s="20" t="str">
        <f t="shared" si="8"/>
        <v/>
      </c>
      <c r="AG161" s="21" t="str">
        <f>IF(AF161="","",_xll.IMDP("STK",$AF161,"한글종목명"))</f>
        <v/>
      </c>
      <c r="AH161" s="48" t="str">
        <f>IF(AF161="","",_xll.IMDP("STK",$AF161,"현재가"))</f>
        <v/>
      </c>
      <c r="AI161" s="48" t="str">
        <f>IF(AF161="","",_xll.IMDP("STK",$AF161,"전일대비"))</f>
        <v/>
      </c>
      <c r="AJ161" s="49" t="str">
        <f>IF(AF161="","",_xll.IMDP("STK",$AF161,"등락률"))</f>
        <v/>
      </c>
      <c r="AK161" s="48" t="str">
        <f>IF(AF161="","",_xll.IMDP("STK",$AF161,"시가총액"))</f>
        <v/>
      </c>
      <c r="AL161" s="20" t="str">
        <f t="shared" si="7"/>
        <v/>
      </c>
      <c r="AM161" s="21" t="str">
        <f>IF(AL161="","",_xll.IMDP("STK",$AL161,"한글종목명"))</f>
        <v/>
      </c>
      <c r="AN161" s="48" t="str">
        <f>IF(AL161="","",_xll.IMDP("STK",$AL161,"현재가"))</f>
        <v/>
      </c>
      <c r="AO161" s="48" t="str">
        <f>IF(AL161="","",_xll.IMDP("STK",$AL161,"전일대비"))</f>
        <v/>
      </c>
      <c r="AP161" s="49" t="str">
        <f>IF(AL161="","",_xll.IMDP("STK",$AL161,"등락률"))</f>
        <v/>
      </c>
      <c r="AQ161" s="48" t="str">
        <f>IF(AL161="","",_xll.IMDP("STK",$AL161,"시가총액"))</f>
        <v/>
      </c>
    </row>
    <row r="162" spans="3:43" x14ac:dyDescent="0.25">
      <c r="C162" s="22">
        <v>157</v>
      </c>
      <c r="Y162" s="25" t="s">
        <v>394</v>
      </c>
      <c r="Z162" s="20" t="str">
        <f t="shared" si="6"/>
        <v/>
      </c>
      <c r="AA162" s="21" t="str">
        <f>IF(Z162="","",_xll.IMDP("STK",$Z162,"한글종목명"))</f>
        <v/>
      </c>
      <c r="AB162" s="48" t="str">
        <f>IF(Z162="","",_xll.IMDP("STK",$Z162,"현재가"))</f>
        <v/>
      </c>
      <c r="AC162" s="48" t="str">
        <f>IF(Z162="","",_xll.IMDP("STK",$Z162,"전일대비"))</f>
        <v/>
      </c>
      <c r="AD162" s="49" t="str">
        <f>IF(Z162="","",_xll.IMDP("STK",$Z162,"등락률"))</f>
        <v/>
      </c>
      <c r="AE162" s="48" t="str">
        <f>IF(Z162="","",_xll.IMDP("STK",Z162,"시가총액"))</f>
        <v/>
      </c>
      <c r="AF162" s="20" t="str">
        <f t="shared" si="8"/>
        <v/>
      </c>
      <c r="AG162" s="21" t="str">
        <f>IF(AF162="","",_xll.IMDP("STK",$AF162,"한글종목명"))</f>
        <v/>
      </c>
      <c r="AH162" s="48" t="str">
        <f>IF(AF162="","",_xll.IMDP("STK",$AF162,"현재가"))</f>
        <v/>
      </c>
      <c r="AI162" s="48" t="str">
        <f>IF(AF162="","",_xll.IMDP("STK",$AF162,"전일대비"))</f>
        <v/>
      </c>
      <c r="AJ162" s="49" t="str">
        <f>IF(AF162="","",_xll.IMDP("STK",$AF162,"등락률"))</f>
        <v/>
      </c>
      <c r="AK162" s="48" t="str">
        <f>IF(AF162="","",_xll.IMDP("STK",$AF162,"시가총액"))</f>
        <v/>
      </c>
      <c r="AL162" s="20" t="str">
        <f t="shared" si="7"/>
        <v/>
      </c>
      <c r="AM162" s="21" t="str">
        <f>IF(AL162="","",_xll.IMDP("STK",$AL162,"한글종목명"))</f>
        <v/>
      </c>
      <c r="AN162" s="48" t="str">
        <f>IF(AL162="","",_xll.IMDP("STK",$AL162,"현재가"))</f>
        <v/>
      </c>
      <c r="AO162" s="48" t="str">
        <f>IF(AL162="","",_xll.IMDP("STK",$AL162,"전일대비"))</f>
        <v/>
      </c>
      <c r="AP162" s="49" t="str">
        <f>IF(AL162="","",_xll.IMDP("STK",$AL162,"등락률"))</f>
        <v/>
      </c>
      <c r="AQ162" s="48" t="str">
        <f>IF(AL162="","",_xll.IMDP("STK",$AL162,"시가총액"))</f>
        <v/>
      </c>
    </row>
    <row r="163" spans="3:43" x14ac:dyDescent="0.25">
      <c r="C163" s="22">
        <v>158</v>
      </c>
      <c r="Y163" s="25" t="s">
        <v>293</v>
      </c>
      <c r="Z163" s="20" t="str">
        <f t="shared" si="6"/>
        <v/>
      </c>
      <c r="AA163" s="21" t="str">
        <f>IF(Z163="","",_xll.IMDP("STK",$Z163,"한글종목명"))</f>
        <v/>
      </c>
      <c r="AB163" s="48" t="str">
        <f>IF(Z163="","",_xll.IMDP("STK",$Z163,"현재가"))</f>
        <v/>
      </c>
      <c r="AC163" s="48" t="str">
        <f>IF(Z163="","",_xll.IMDP("STK",$Z163,"전일대비"))</f>
        <v/>
      </c>
      <c r="AD163" s="49" t="str">
        <f>IF(Z163="","",_xll.IMDP("STK",$Z163,"등락률"))</f>
        <v/>
      </c>
      <c r="AE163" s="48" t="str">
        <f>IF(Z163="","",_xll.IMDP("STK",Z163,"시가총액"))</f>
        <v/>
      </c>
      <c r="AF163" s="20" t="str">
        <f t="shared" si="8"/>
        <v/>
      </c>
      <c r="AG163" s="21" t="str">
        <f>IF(AF163="","",_xll.IMDP("STK",$AF163,"한글종목명"))</f>
        <v/>
      </c>
      <c r="AH163" s="48" t="str">
        <f>IF(AF163="","",_xll.IMDP("STK",$AF163,"현재가"))</f>
        <v/>
      </c>
      <c r="AI163" s="48" t="str">
        <f>IF(AF163="","",_xll.IMDP("STK",$AF163,"전일대비"))</f>
        <v/>
      </c>
      <c r="AJ163" s="49" t="str">
        <f>IF(AF163="","",_xll.IMDP("STK",$AF163,"등락률"))</f>
        <v/>
      </c>
      <c r="AK163" s="48" t="str">
        <f>IF(AF163="","",_xll.IMDP("STK",$AF163,"시가총액"))</f>
        <v/>
      </c>
      <c r="AL163" s="20" t="str">
        <f t="shared" si="7"/>
        <v/>
      </c>
      <c r="AM163" s="21" t="str">
        <f>IF(AL163="","",_xll.IMDP("STK",$AL163,"한글종목명"))</f>
        <v/>
      </c>
      <c r="AN163" s="48" t="str">
        <f>IF(AL163="","",_xll.IMDP("STK",$AL163,"현재가"))</f>
        <v/>
      </c>
      <c r="AO163" s="48" t="str">
        <f>IF(AL163="","",_xll.IMDP("STK",$AL163,"전일대비"))</f>
        <v/>
      </c>
      <c r="AP163" s="49" t="str">
        <f>IF(AL163="","",_xll.IMDP("STK",$AL163,"등락률"))</f>
        <v/>
      </c>
      <c r="AQ163" s="48" t="str">
        <f>IF(AL163="","",_xll.IMDP("STK",$AL163,"시가총액"))</f>
        <v/>
      </c>
    </row>
    <row r="164" spans="3:43" x14ac:dyDescent="0.25">
      <c r="C164" s="22">
        <v>159</v>
      </c>
      <c r="Y164" s="25" t="s">
        <v>436</v>
      </c>
      <c r="Z164" s="20" t="str">
        <f t="shared" si="6"/>
        <v/>
      </c>
      <c r="AA164" s="21" t="str">
        <f>IF(Z164="","",_xll.IMDP("STK",$Z164,"한글종목명"))</f>
        <v/>
      </c>
      <c r="AB164" s="48" t="str">
        <f>IF(Z164="","",_xll.IMDP("STK",$Z164,"현재가"))</f>
        <v/>
      </c>
      <c r="AC164" s="48" t="str">
        <f>IF(Z164="","",_xll.IMDP("STK",$Z164,"전일대비"))</f>
        <v/>
      </c>
      <c r="AD164" s="49" t="str">
        <f>IF(Z164="","",_xll.IMDP("STK",$Z164,"등락률"))</f>
        <v/>
      </c>
      <c r="AE164" s="48" t="str">
        <f>IF(Z164="","",_xll.IMDP("STK",Z164,"시가총액"))</f>
        <v/>
      </c>
      <c r="AF164" s="20" t="str">
        <f t="shared" si="8"/>
        <v/>
      </c>
      <c r="AG164" s="21" t="str">
        <f>IF(AF164="","",_xll.IMDP("STK",$AF164,"한글종목명"))</f>
        <v/>
      </c>
      <c r="AH164" s="48" t="str">
        <f>IF(AF164="","",_xll.IMDP("STK",$AF164,"현재가"))</f>
        <v/>
      </c>
      <c r="AI164" s="48" t="str">
        <f>IF(AF164="","",_xll.IMDP("STK",$AF164,"전일대비"))</f>
        <v/>
      </c>
      <c r="AJ164" s="49" t="str">
        <f>IF(AF164="","",_xll.IMDP("STK",$AF164,"등락률"))</f>
        <v/>
      </c>
      <c r="AK164" s="48" t="str">
        <f>IF(AF164="","",_xll.IMDP("STK",$AF164,"시가총액"))</f>
        <v/>
      </c>
      <c r="AL164" s="20" t="str">
        <f t="shared" si="7"/>
        <v/>
      </c>
      <c r="AM164" s="21" t="str">
        <f>IF(AL164="","",_xll.IMDP("STK",$AL164,"한글종목명"))</f>
        <v/>
      </c>
      <c r="AN164" s="48" t="str">
        <f>IF(AL164="","",_xll.IMDP("STK",$AL164,"현재가"))</f>
        <v/>
      </c>
      <c r="AO164" s="48" t="str">
        <f>IF(AL164="","",_xll.IMDP("STK",$AL164,"전일대비"))</f>
        <v/>
      </c>
      <c r="AP164" s="49" t="str">
        <f>IF(AL164="","",_xll.IMDP("STK",$AL164,"등락률"))</f>
        <v/>
      </c>
      <c r="AQ164" s="48" t="str">
        <f>IF(AL164="","",_xll.IMDP("STK",$AL164,"시가총액"))</f>
        <v/>
      </c>
    </row>
    <row r="165" spans="3:43" x14ac:dyDescent="0.25">
      <c r="C165" s="22">
        <v>160</v>
      </c>
      <c r="Y165" s="25" t="s">
        <v>437</v>
      </c>
      <c r="Z165" s="20" t="str">
        <f t="shared" si="6"/>
        <v/>
      </c>
      <c r="AA165" s="21" t="str">
        <f>IF(Z165="","",_xll.IMDP("STK",$Z165,"한글종목명"))</f>
        <v/>
      </c>
      <c r="AB165" s="48" t="str">
        <f>IF(Z165="","",_xll.IMDP("STK",$Z165,"현재가"))</f>
        <v/>
      </c>
      <c r="AC165" s="48" t="str">
        <f>IF(Z165="","",_xll.IMDP("STK",$Z165,"전일대비"))</f>
        <v/>
      </c>
      <c r="AD165" s="49" t="str">
        <f>IF(Z165="","",_xll.IMDP("STK",$Z165,"등락률"))</f>
        <v/>
      </c>
      <c r="AE165" s="48" t="str">
        <f>IF(Z165="","",_xll.IMDP("STK",Z165,"시가총액"))</f>
        <v/>
      </c>
      <c r="AF165" s="20" t="str">
        <f t="shared" si="8"/>
        <v/>
      </c>
      <c r="AG165" s="21" t="str">
        <f>IF(AF165="","",_xll.IMDP("STK",$AF165,"한글종목명"))</f>
        <v/>
      </c>
      <c r="AH165" s="48" t="str">
        <f>IF(AF165="","",_xll.IMDP("STK",$AF165,"현재가"))</f>
        <v/>
      </c>
      <c r="AI165" s="48" t="str">
        <f>IF(AF165="","",_xll.IMDP("STK",$AF165,"전일대비"))</f>
        <v/>
      </c>
      <c r="AJ165" s="49" t="str">
        <f>IF(AF165="","",_xll.IMDP("STK",$AF165,"등락률"))</f>
        <v/>
      </c>
      <c r="AK165" s="48" t="str">
        <f>IF(AF165="","",_xll.IMDP("STK",$AF165,"시가총액"))</f>
        <v/>
      </c>
      <c r="AL165" s="20" t="str">
        <f t="shared" si="7"/>
        <v/>
      </c>
      <c r="AM165" s="21" t="str">
        <f>IF(AL165="","",_xll.IMDP("STK",$AL165,"한글종목명"))</f>
        <v/>
      </c>
      <c r="AN165" s="48" t="str">
        <f>IF(AL165="","",_xll.IMDP("STK",$AL165,"현재가"))</f>
        <v/>
      </c>
      <c r="AO165" s="48" t="str">
        <f>IF(AL165="","",_xll.IMDP("STK",$AL165,"전일대비"))</f>
        <v/>
      </c>
      <c r="AP165" s="49" t="str">
        <f>IF(AL165="","",_xll.IMDP("STK",$AL165,"등락률"))</f>
        <v/>
      </c>
      <c r="AQ165" s="48" t="str">
        <f>IF(AL165="","",_xll.IMDP("STK",$AL165,"시가총액"))</f>
        <v/>
      </c>
    </row>
    <row r="166" spans="3:43" x14ac:dyDescent="0.25">
      <c r="C166" s="22">
        <v>161</v>
      </c>
      <c r="Y166" s="25" t="s">
        <v>438</v>
      </c>
      <c r="Z166" s="20" t="str">
        <f t="shared" si="6"/>
        <v/>
      </c>
      <c r="AA166" s="21" t="str">
        <f>IF(Z166="","",_xll.IMDP("STK",$Z166,"한글종목명"))</f>
        <v/>
      </c>
      <c r="AB166" s="48" t="str">
        <f>IF(Z166="","",_xll.IMDP("STK",$Z166,"현재가"))</f>
        <v/>
      </c>
      <c r="AC166" s="48" t="str">
        <f>IF(Z166="","",_xll.IMDP("STK",$Z166,"전일대비"))</f>
        <v/>
      </c>
      <c r="AD166" s="49" t="str">
        <f>IF(Z166="","",_xll.IMDP("STK",$Z166,"등락률"))</f>
        <v/>
      </c>
      <c r="AE166" s="48" t="str">
        <f>IF(Z166="","",_xll.IMDP("STK",Z166,"시가총액"))</f>
        <v/>
      </c>
      <c r="AF166" s="20" t="str">
        <f t="shared" si="8"/>
        <v/>
      </c>
      <c r="AG166" s="21" t="str">
        <f>IF(AF166="","",_xll.IMDP("STK",$AF166,"한글종목명"))</f>
        <v/>
      </c>
      <c r="AH166" s="48" t="str">
        <f>IF(AF166="","",_xll.IMDP("STK",$AF166,"현재가"))</f>
        <v/>
      </c>
      <c r="AI166" s="48" t="str">
        <f>IF(AF166="","",_xll.IMDP("STK",$AF166,"전일대비"))</f>
        <v/>
      </c>
      <c r="AJ166" s="49" t="str">
        <f>IF(AF166="","",_xll.IMDP("STK",$AF166,"등락률"))</f>
        <v/>
      </c>
      <c r="AK166" s="48" t="str">
        <f>IF(AF166="","",_xll.IMDP("STK",$AF166,"시가총액"))</f>
        <v/>
      </c>
      <c r="AL166" s="20" t="str">
        <f t="shared" si="7"/>
        <v/>
      </c>
      <c r="AM166" s="21" t="str">
        <f>IF(AL166="","",_xll.IMDP("STK",$AL166,"한글종목명"))</f>
        <v/>
      </c>
      <c r="AN166" s="48" t="str">
        <f>IF(AL166="","",_xll.IMDP("STK",$AL166,"현재가"))</f>
        <v/>
      </c>
      <c r="AO166" s="48" t="str">
        <f>IF(AL166="","",_xll.IMDP("STK",$AL166,"전일대비"))</f>
        <v/>
      </c>
      <c r="AP166" s="49" t="str">
        <f>IF(AL166="","",_xll.IMDP("STK",$AL166,"등락률"))</f>
        <v/>
      </c>
      <c r="AQ166" s="48" t="str">
        <f>IF(AL166="","",_xll.IMDP("STK",$AL166,"시가총액"))</f>
        <v/>
      </c>
    </row>
    <row r="167" spans="3:43" x14ac:dyDescent="0.25">
      <c r="C167" s="22">
        <v>162</v>
      </c>
      <c r="Y167" s="25" t="s">
        <v>527</v>
      </c>
      <c r="Z167" s="20" t="str">
        <f t="shared" si="6"/>
        <v/>
      </c>
      <c r="AA167" s="21" t="str">
        <f>IF(Z167="","",_xll.IMDP("STK",$Z167,"한글종목명"))</f>
        <v/>
      </c>
      <c r="AB167" s="48" t="str">
        <f>IF(Z167="","",_xll.IMDP("STK",$Z167,"현재가"))</f>
        <v/>
      </c>
      <c r="AC167" s="48" t="str">
        <f>IF(Z167="","",_xll.IMDP("STK",$Z167,"전일대비"))</f>
        <v/>
      </c>
      <c r="AD167" s="49" t="str">
        <f>IF(Z167="","",_xll.IMDP("STK",$Z167,"등락률"))</f>
        <v/>
      </c>
      <c r="AE167" s="48" t="str">
        <f>IF(Z167="","",_xll.IMDP("STK",Z167,"시가총액"))</f>
        <v/>
      </c>
      <c r="AF167" s="20" t="str">
        <f t="shared" si="8"/>
        <v/>
      </c>
      <c r="AG167" s="21" t="str">
        <f>IF(AF167="","",_xll.IMDP("STK",$AF167,"한글종목명"))</f>
        <v/>
      </c>
      <c r="AH167" s="48" t="str">
        <f>IF(AF167="","",_xll.IMDP("STK",$AF167,"현재가"))</f>
        <v/>
      </c>
      <c r="AI167" s="48" t="str">
        <f>IF(AF167="","",_xll.IMDP("STK",$AF167,"전일대비"))</f>
        <v/>
      </c>
      <c r="AJ167" s="49" t="str">
        <f>IF(AF167="","",_xll.IMDP("STK",$AF167,"등락률"))</f>
        <v/>
      </c>
      <c r="AK167" s="48" t="str">
        <f>IF(AF167="","",_xll.IMDP("STK",$AF167,"시가총액"))</f>
        <v/>
      </c>
      <c r="AL167" s="20" t="str">
        <f t="shared" si="7"/>
        <v/>
      </c>
      <c r="AM167" s="21" t="str">
        <f>IF(AL167="","",_xll.IMDP("STK",$AL167,"한글종목명"))</f>
        <v/>
      </c>
      <c r="AN167" s="48" t="str">
        <f>IF(AL167="","",_xll.IMDP("STK",$AL167,"현재가"))</f>
        <v/>
      </c>
      <c r="AO167" s="48" t="str">
        <f>IF(AL167="","",_xll.IMDP("STK",$AL167,"전일대비"))</f>
        <v/>
      </c>
      <c r="AP167" s="49" t="str">
        <f>IF(AL167="","",_xll.IMDP("STK",$AL167,"등락률"))</f>
        <v/>
      </c>
      <c r="AQ167" s="48" t="str">
        <f>IF(AL167="","",_xll.IMDP("STK",$AL167,"시가총액"))</f>
        <v/>
      </c>
    </row>
    <row r="168" spans="3:43" x14ac:dyDescent="0.25">
      <c r="C168" s="22">
        <v>163</v>
      </c>
      <c r="Y168" s="25" t="s">
        <v>439</v>
      </c>
      <c r="Z168" s="20" t="str">
        <f t="shared" si="6"/>
        <v/>
      </c>
      <c r="AA168" s="21" t="str">
        <f>IF(Z168="","",_xll.IMDP("STK",$Z168,"한글종목명"))</f>
        <v/>
      </c>
      <c r="AB168" s="48" t="str">
        <f>IF(Z168="","",_xll.IMDP("STK",$Z168,"현재가"))</f>
        <v/>
      </c>
      <c r="AC168" s="48" t="str">
        <f>IF(Z168="","",_xll.IMDP("STK",$Z168,"전일대비"))</f>
        <v/>
      </c>
      <c r="AD168" s="49" t="str">
        <f>IF(Z168="","",_xll.IMDP("STK",$Z168,"등락률"))</f>
        <v/>
      </c>
      <c r="AE168" s="48" t="str">
        <f>IF(Z168="","",_xll.IMDP("STK",Z168,"시가총액"))</f>
        <v/>
      </c>
      <c r="AF168" s="20" t="str">
        <f t="shared" si="8"/>
        <v/>
      </c>
      <c r="AG168" s="21" t="str">
        <f>IF(AF168="","",_xll.IMDP("STK",$AF168,"한글종목명"))</f>
        <v/>
      </c>
      <c r="AH168" s="48" t="str">
        <f>IF(AF168="","",_xll.IMDP("STK",$AF168,"현재가"))</f>
        <v/>
      </c>
      <c r="AI168" s="48" t="str">
        <f>IF(AF168="","",_xll.IMDP("STK",$AF168,"전일대비"))</f>
        <v/>
      </c>
      <c r="AJ168" s="49" t="str">
        <f>IF(AF168="","",_xll.IMDP("STK",$AF168,"등락률"))</f>
        <v/>
      </c>
      <c r="AK168" s="48" t="str">
        <f>IF(AF168="","",_xll.IMDP("STK",$AF168,"시가총액"))</f>
        <v/>
      </c>
      <c r="AL168" s="20" t="str">
        <f t="shared" si="7"/>
        <v/>
      </c>
      <c r="AM168" s="21" t="str">
        <f>IF(AL168="","",_xll.IMDP("STK",$AL168,"한글종목명"))</f>
        <v/>
      </c>
      <c r="AN168" s="48" t="str">
        <f>IF(AL168="","",_xll.IMDP("STK",$AL168,"현재가"))</f>
        <v/>
      </c>
      <c r="AO168" s="48" t="str">
        <f>IF(AL168="","",_xll.IMDP("STK",$AL168,"전일대비"))</f>
        <v/>
      </c>
      <c r="AP168" s="49" t="str">
        <f>IF(AL168="","",_xll.IMDP("STK",$AL168,"등락률"))</f>
        <v/>
      </c>
      <c r="AQ168" s="48" t="str">
        <f>IF(AL168="","",_xll.IMDP("STK",$AL168,"시가총액"))</f>
        <v/>
      </c>
    </row>
    <row r="169" spans="3:43" x14ac:dyDescent="0.25">
      <c r="C169" s="22">
        <v>164</v>
      </c>
      <c r="Y169" s="25" t="s">
        <v>482</v>
      </c>
      <c r="Z169" s="20" t="str">
        <f t="shared" si="6"/>
        <v/>
      </c>
      <c r="AA169" s="21" t="str">
        <f>IF(Z169="","",_xll.IMDP("STK",$Z169,"한글종목명"))</f>
        <v/>
      </c>
      <c r="AB169" s="48" t="str">
        <f>IF(Z169="","",_xll.IMDP("STK",$Z169,"현재가"))</f>
        <v/>
      </c>
      <c r="AC169" s="48" t="str">
        <f>IF(Z169="","",_xll.IMDP("STK",$Z169,"전일대비"))</f>
        <v/>
      </c>
      <c r="AD169" s="49" t="str">
        <f>IF(Z169="","",_xll.IMDP("STK",$Z169,"등락률"))</f>
        <v/>
      </c>
      <c r="AE169" s="48" t="str">
        <f>IF(Z169="","",_xll.IMDP("STK",Z169,"시가총액"))</f>
        <v/>
      </c>
      <c r="AF169" s="20" t="str">
        <f t="shared" si="8"/>
        <v/>
      </c>
      <c r="AG169" s="21" t="str">
        <f>IF(AF169="","",_xll.IMDP("STK",$AF169,"한글종목명"))</f>
        <v/>
      </c>
      <c r="AH169" s="48" t="str">
        <f>IF(AF169="","",_xll.IMDP("STK",$AF169,"현재가"))</f>
        <v/>
      </c>
      <c r="AI169" s="48" t="str">
        <f>IF(AF169="","",_xll.IMDP("STK",$AF169,"전일대비"))</f>
        <v/>
      </c>
      <c r="AJ169" s="49" t="str">
        <f>IF(AF169="","",_xll.IMDP("STK",$AF169,"등락률"))</f>
        <v/>
      </c>
      <c r="AK169" s="48" t="str">
        <f>IF(AF169="","",_xll.IMDP("STK",$AF169,"시가총액"))</f>
        <v/>
      </c>
      <c r="AL169" s="20" t="str">
        <f t="shared" si="7"/>
        <v/>
      </c>
      <c r="AM169" s="21" t="str">
        <f>IF(AL169="","",_xll.IMDP("STK",$AL169,"한글종목명"))</f>
        <v/>
      </c>
      <c r="AN169" s="48" t="str">
        <f>IF(AL169="","",_xll.IMDP("STK",$AL169,"현재가"))</f>
        <v/>
      </c>
      <c r="AO169" s="48" t="str">
        <f>IF(AL169="","",_xll.IMDP("STK",$AL169,"전일대비"))</f>
        <v/>
      </c>
      <c r="AP169" s="49" t="str">
        <f>IF(AL169="","",_xll.IMDP("STK",$AL169,"등락률"))</f>
        <v/>
      </c>
      <c r="AQ169" s="48" t="str">
        <f>IF(AL169="","",_xll.IMDP("STK",$AL169,"시가총액"))</f>
        <v/>
      </c>
    </row>
    <row r="170" spans="3:43" x14ac:dyDescent="0.25">
      <c r="C170" s="22">
        <v>165</v>
      </c>
      <c r="Y170" s="25" t="s">
        <v>646</v>
      </c>
      <c r="Z170" s="20" t="str">
        <f t="shared" si="6"/>
        <v/>
      </c>
      <c r="AA170" s="21" t="str">
        <f>IF(Z170="","",_xll.IMDP("STK",$Z170,"한글종목명"))</f>
        <v/>
      </c>
      <c r="AB170" s="48" t="str">
        <f>IF(Z170="","",_xll.IMDP("STK",$Z170,"현재가"))</f>
        <v/>
      </c>
      <c r="AC170" s="48" t="str">
        <f>IF(Z170="","",_xll.IMDP("STK",$Z170,"전일대비"))</f>
        <v/>
      </c>
      <c r="AD170" s="49" t="str">
        <f>IF(Z170="","",_xll.IMDP("STK",$Z170,"등락률"))</f>
        <v/>
      </c>
      <c r="AE170" s="48" t="str">
        <f>IF(Z170="","",_xll.IMDP("STK",Z170,"시가총액"))</f>
        <v/>
      </c>
      <c r="AF170" s="20" t="str">
        <f t="shared" si="8"/>
        <v/>
      </c>
      <c r="AG170" s="21" t="str">
        <f>IF(AF170="","",_xll.IMDP("STK",$AF170,"한글종목명"))</f>
        <v/>
      </c>
      <c r="AH170" s="48" t="str">
        <f>IF(AF170="","",_xll.IMDP("STK",$AF170,"현재가"))</f>
        <v/>
      </c>
      <c r="AI170" s="48" t="str">
        <f>IF(AF170="","",_xll.IMDP("STK",$AF170,"전일대비"))</f>
        <v/>
      </c>
      <c r="AJ170" s="49" t="str">
        <f>IF(AF170="","",_xll.IMDP("STK",$AF170,"등락률"))</f>
        <v/>
      </c>
      <c r="AK170" s="48" t="str">
        <f>IF(AF170="","",_xll.IMDP("STK",$AF170,"시가총액"))</f>
        <v/>
      </c>
      <c r="AL170" s="20" t="str">
        <f t="shared" si="7"/>
        <v/>
      </c>
      <c r="AM170" s="21" t="str">
        <f>IF(AL170="","",_xll.IMDP("STK",$AL170,"한글종목명"))</f>
        <v/>
      </c>
      <c r="AN170" s="48" t="str">
        <f>IF(AL170="","",_xll.IMDP("STK",$AL170,"현재가"))</f>
        <v/>
      </c>
      <c r="AO170" s="48" t="str">
        <f>IF(AL170="","",_xll.IMDP("STK",$AL170,"전일대비"))</f>
        <v/>
      </c>
      <c r="AP170" s="49" t="str">
        <f>IF(AL170="","",_xll.IMDP("STK",$AL170,"등락률"))</f>
        <v/>
      </c>
      <c r="AQ170" s="48" t="str">
        <f>IF(AL170="","",_xll.IMDP("STK",$AL170,"시가총액"))</f>
        <v/>
      </c>
    </row>
    <row r="171" spans="3:43" x14ac:dyDescent="0.25">
      <c r="C171" s="22">
        <v>166</v>
      </c>
      <c r="Y171" s="25" t="s">
        <v>190</v>
      </c>
      <c r="Z171" s="20" t="str">
        <f t="shared" si="6"/>
        <v/>
      </c>
      <c r="AA171" s="21" t="str">
        <f>IF(Z171="","",_xll.IMDP("STK",$Z171,"한글종목명"))</f>
        <v/>
      </c>
      <c r="AB171" s="48" t="str">
        <f>IF(Z171="","",_xll.IMDP("STK",$Z171,"현재가"))</f>
        <v/>
      </c>
      <c r="AC171" s="48" t="str">
        <f>IF(Z171="","",_xll.IMDP("STK",$Z171,"전일대비"))</f>
        <v/>
      </c>
      <c r="AD171" s="49" t="str">
        <f>IF(Z171="","",_xll.IMDP("STK",$Z171,"등락률"))</f>
        <v/>
      </c>
      <c r="AE171" s="48" t="str">
        <f>IF(Z171="","",_xll.IMDP("STK",Z171,"시가총액"))</f>
        <v/>
      </c>
      <c r="AF171" s="20" t="str">
        <f t="shared" si="8"/>
        <v/>
      </c>
      <c r="AG171" s="21" t="str">
        <f>IF(AF171="","",_xll.IMDP("STK",$AF171,"한글종목명"))</f>
        <v/>
      </c>
      <c r="AH171" s="48" t="str">
        <f>IF(AF171="","",_xll.IMDP("STK",$AF171,"현재가"))</f>
        <v/>
      </c>
      <c r="AI171" s="48" t="str">
        <f>IF(AF171="","",_xll.IMDP("STK",$AF171,"전일대비"))</f>
        <v/>
      </c>
      <c r="AJ171" s="49" t="str">
        <f>IF(AF171="","",_xll.IMDP("STK",$AF171,"등락률"))</f>
        <v/>
      </c>
      <c r="AK171" s="48" t="str">
        <f>IF(AF171="","",_xll.IMDP("STK",$AF171,"시가총액"))</f>
        <v/>
      </c>
      <c r="AL171" s="20" t="str">
        <f t="shared" si="7"/>
        <v/>
      </c>
      <c r="AM171" s="21" t="str">
        <f>IF(AL171="","",_xll.IMDP("STK",$AL171,"한글종목명"))</f>
        <v/>
      </c>
      <c r="AN171" s="48" t="str">
        <f>IF(AL171="","",_xll.IMDP("STK",$AL171,"현재가"))</f>
        <v/>
      </c>
      <c r="AO171" s="48" t="str">
        <f>IF(AL171="","",_xll.IMDP("STK",$AL171,"전일대비"))</f>
        <v/>
      </c>
      <c r="AP171" s="49" t="str">
        <f>IF(AL171="","",_xll.IMDP("STK",$AL171,"등락률"))</f>
        <v/>
      </c>
      <c r="AQ171" s="48" t="str">
        <f>IF(AL171="","",_xll.IMDP("STK",$AL171,"시가총액"))</f>
        <v/>
      </c>
    </row>
    <row r="172" spans="3:43" x14ac:dyDescent="0.25">
      <c r="C172" s="22">
        <v>167</v>
      </c>
      <c r="Y172" s="25" t="s">
        <v>647</v>
      </c>
      <c r="Z172" s="20" t="str">
        <f t="shared" si="6"/>
        <v/>
      </c>
      <c r="AA172" s="21" t="str">
        <f>IF(Z172="","",_xll.IMDP("STK",$Z172,"한글종목명"))</f>
        <v/>
      </c>
      <c r="AB172" s="48" t="str">
        <f>IF(Z172="","",_xll.IMDP("STK",$Z172,"현재가"))</f>
        <v/>
      </c>
      <c r="AC172" s="48" t="str">
        <f>IF(Z172="","",_xll.IMDP("STK",$Z172,"전일대비"))</f>
        <v/>
      </c>
      <c r="AD172" s="49" t="str">
        <f>IF(Z172="","",_xll.IMDP("STK",$Z172,"등락률"))</f>
        <v/>
      </c>
      <c r="AE172" s="48" t="str">
        <f>IF(Z172="","",_xll.IMDP("STK",Z172,"시가총액"))</f>
        <v/>
      </c>
      <c r="AF172" s="20" t="str">
        <f t="shared" si="8"/>
        <v/>
      </c>
      <c r="AG172" s="21" t="str">
        <f>IF(AF172="","",_xll.IMDP("STK",$AF172,"한글종목명"))</f>
        <v/>
      </c>
      <c r="AH172" s="48" t="str">
        <f>IF(AF172="","",_xll.IMDP("STK",$AF172,"현재가"))</f>
        <v/>
      </c>
      <c r="AI172" s="48" t="str">
        <f>IF(AF172="","",_xll.IMDP("STK",$AF172,"전일대비"))</f>
        <v/>
      </c>
      <c r="AJ172" s="49" t="str">
        <f>IF(AF172="","",_xll.IMDP("STK",$AF172,"등락률"))</f>
        <v/>
      </c>
      <c r="AK172" s="48" t="str">
        <f>IF(AF172="","",_xll.IMDP("STK",$AF172,"시가총액"))</f>
        <v/>
      </c>
      <c r="AL172" s="20" t="str">
        <f t="shared" si="7"/>
        <v/>
      </c>
      <c r="AM172" s="21" t="str">
        <f>IF(AL172="","",_xll.IMDP("STK",$AL172,"한글종목명"))</f>
        <v/>
      </c>
      <c r="AN172" s="48" t="str">
        <f>IF(AL172="","",_xll.IMDP("STK",$AL172,"현재가"))</f>
        <v/>
      </c>
      <c r="AO172" s="48" t="str">
        <f>IF(AL172="","",_xll.IMDP("STK",$AL172,"전일대비"))</f>
        <v/>
      </c>
      <c r="AP172" s="49" t="str">
        <f>IF(AL172="","",_xll.IMDP("STK",$AL172,"등락률"))</f>
        <v/>
      </c>
      <c r="AQ172" s="48" t="str">
        <f>IF(AL172="","",_xll.IMDP("STK",$AL172,"시가총액"))</f>
        <v/>
      </c>
    </row>
    <row r="173" spans="3:43" x14ac:dyDescent="0.25">
      <c r="C173" s="22">
        <v>168</v>
      </c>
      <c r="Y173" s="25" t="s">
        <v>294</v>
      </c>
      <c r="Z173" s="20" t="str">
        <f t="shared" si="6"/>
        <v/>
      </c>
      <c r="AA173" s="21" t="str">
        <f>IF(Z173="","",_xll.IMDP("STK",$Z173,"한글종목명"))</f>
        <v/>
      </c>
      <c r="AB173" s="48" t="str">
        <f>IF(Z173="","",_xll.IMDP("STK",$Z173,"현재가"))</f>
        <v/>
      </c>
      <c r="AC173" s="48" t="str">
        <f>IF(Z173="","",_xll.IMDP("STK",$Z173,"전일대비"))</f>
        <v/>
      </c>
      <c r="AD173" s="49" t="str">
        <f>IF(Z173="","",_xll.IMDP("STK",$Z173,"등락률"))</f>
        <v/>
      </c>
      <c r="AE173" s="48" t="str">
        <f>IF(Z173="","",_xll.IMDP("STK",Z173,"시가총액"))</f>
        <v/>
      </c>
      <c r="AF173" s="20" t="str">
        <f t="shared" si="8"/>
        <v/>
      </c>
      <c r="AG173" s="21" t="str">
        <f>IF(AF173="","",_xll.IMDP("STK",$AF173,"한글종목명"))</f>
        <v/>
      </c>
      <c r="AH173" s="48" t="str">
        <f>IF(AF173="","",_xll.IMDP("STK",$AF173,"현재가"))</f>
        <v/>
      </c>
      <c r="AI173" s="48" t="str">
        <f>IF(AF173="","",_xll.IMDP("STK",$AF173,"전일대비"))</f>
        <v/>
      </c>
      <c r="AJ173" s="49" t="str">
        <f>IF(AF173="","",_xll.IMDP("STK",$AF173,"등락률"))</f>
        <v/>
      </c>
      <c r="AK173" s="48" t="str">
        <f>IF(AF173="","",_xll.IMDP("STK",$AF173,"시가총액"))</f>
        <v/>
      </c>
      <c r="AL173" s="20" t="str">
        <f t="shared" si="7"/>
        <v/>
      </c>
      <c r="AM173" s="21" t="str">
        <f>IF(AL173="","",_xll.IMDP("STK",$AL173,"한글종목명"))</f>
        <v/>
      </c>
      <c r="AN173" s="48" t="str">
        <f>IF(AL173="","",_xll.IMDP("STK",$AL173,"현재가"))</f>
        <v/>
      </c>
      <c r="AO173" s="48" t="str">
        <f>IF(AL173="","",_xll.IMDP("STK",$AL173,"전일대비"))</f>
        <v/>
      </c>
      <c r="AP173" s="49" t="str">
        <f>IF(AL173="","",_xll.IMDP("STK",$AL173,"등락률"))</f>
        <v/>
      </c>
      <c r="AQ173" s="48" t="str">
        <f>IF(AL173="","",_xll.IMDP("STK",$AL173,"시가총액"))</f>
        <v/>
      </c>
    </row>
    <row r="174" spans="3:43" x14ac:dyDescent="0.25">
      <c r="C174" s="22">
        <v>169</v>
      </c>
      <c r="Y174" s="25" t="s">
        <v>295</v>
      </c>
      <c r="Z174" s="20" t="str">
        <f t="shared" si="6"/>
        <v/>
      </c>
      <c r="AA174" s="21" t="str">
        <f>IF(Z174="","",_xll.IMDP("STK",$Z174,"한글종목명"))</f>
        <v/>
      </c>
      <c r="AB174" s="48" t="str">
        <f>IF(Z174="","",_xll.IMDP("STK",$Z174,"현재가"))</f>
        <v/>
      </c>
      <c r="AC174" s="48" t="str">
        <f>IF(Z174="","",_xll.IMDP("STK",$Z174,"전일대비"))</f>
        <v/>
      </c>
      <c r="AD174" s="49" t="str">
        <f>IF(Z174="","",_xll.IMDP("STK",$Z174,"등락률"))</f>
        <v/>
      </c>
      <c r="AE174" s="48" t="str">
        <f>IF(Z174="","",_xll.IMDP("STK",Z174,"시가총액"))</f>
        <v/>
      </c>
      <c r="AF174" s="20" t="str">
        <f t="shared" si="8"/>
        <v/>
      </c>
      <c r="AG174" s="21" t="str">
        <f>IF(AF174="","",_xll.IMDP("STK",$AF174,"한글종목명"))</f>
        <v/>
      </c>
      <c r="AH174" s="48" t="str">
        <f>IF(AF174="","",_xll.IMDP("STK",$AF174,"현재가"))</f>
        <v/>
      </c>
      <c r="AI174" s="48" t="str">
        <f>IF(AF174="","",_xll.IMDP("STK",$AF174,"전일대비"))</f>
        <v/>
      </c>
      <c r="AJ174" s="49" t="str">
        <f>IF(AF174="","",_xll.IMDP("STK",$AF174,"등락률"))</f>
        <v/>
      </c>
      <c r="AK174" s="48" t="str">
        <f>IF(AF174="","",_xll.IMDP("STK",$AF174,"시가총액"))</f>
        <v/>
      </c>
      <c r="AL174" s="20" t="str">
        <f t="shared" si="7"/>
        <v/>
      </c>
      <c r="AM174" s="21" t="str">
        <f>IF(AL174="","",_xll.IMDP("STK",$AL174,"한글종목명"))</f>
        <v/>
      </c>
      <c r="AN174" s="48" t="str">
        <f>IF(AL174="","",_xll.IMDP("STK",$AL174,"현재가"))</f>
        <v/>
      </c>
      <c r="AO174" s="48" t="str">
        <f>IF(AL174="","",_xll.IMDP("STK",$AL174,"전일대비"))</f>
        <v/>
      </c>
      <c r="AP174" s="49" t="str">
        <f>IF(AL174="","",_xll.IMDP("STK",$AL174,"등락률"))</f>
        <v/>
      </c>
      <c r="AQ174" s="48" t="str">
        <f>IF(AL174="","",_xll.IMDP("STK",$AL174,"시가총액"))</f>
        <v/>
      </c>
    </row>
    <row r="175" spans="3:43" x14ac:dyDescent="0.25">
      <c r="C175" s="22">
        <v>170</v>
      </c>
      <c r="Y175" s="25" t="s">
        <v>296</v>
      </c>
      <c r="Z175" s="20" t="str">
        <f t="shared" si="6"/>
        <v/>
      </c>
      <c r="AA175" s="21" t="str">
        <f>IF(Z175="","",_xll.IMDP("STK",$Z175,"한글종목명"))</f>
        <v/>
      </c>
      <c r="AB175" s="48" t="str">
        <f>IF(Z175="","",_xll.IMDP("STK",$Z175,"현재가"))</f>
        <v/>
      </c>
      <c r="AC175" s="48" t="str">
        <f>IF(Z175="","",_xll.IMDP("STK",$Z175,"전일대비"))</f>
        <v/>
      </c>
      <c r="AD175" s="49" t="str">
        <f>IF(Z175="","",_xll.IMDP("STK",$Z175,"등락률"))</f>
        <v/>
      </c>
      <c r="AE175" s="48" t="str">
        <f>IF(Z175="","",_xll.IMDP("STK",Z175,"시가총액"))</f>
        <v/>
      </c>
      <c r="AF175" s="20" t="str">
        <f t="shared" si="8"/>
        <v/>
      </c>
      <c r="AG175" s="21" t="str">
        <f>IF(AF175="","",_xll.IMDP("STK",$AF175,"한글종목명"))</f>
        <v/>
      </c>
      <c r="AH175" s="48" t="str">
        <f>IF(AF175="","",_xll.IMDP("STK",$AF175,"현재가"))</f>
        <v/>
      </c>
      <c r="AI175" s="48" t="str">
        <f>IF(AF175="","",_xll.IMDP("STK",$AF175,"전일대비"))</f>
        <v/>
      </c>
      <c r="AJ175" s="49" t="str">
        <f>IF(AF175="","",_xll.IMDP("STK",$AF175,"등락률"))</f>
        <v/>
      </c>
      <c r="AK175" s="48" t="str">
        <f>IF(AF175="","",_xll.IMDP("STK",$AF175,"시가총액"))</f>
        <v/>
      </c>
      <c r="AL175" s="20" t="str">
        <f t="shared" si="7"/>
        <v/>
      </c>
      <c r="AM175" s="21" t="str">
        <f>IF(AL175="","",_xll.IMDP("STK",$AL175,"한글종목명"))</f>
        <v/>
      </c>
      <c r="AN175" s="48" t="str">
        <f>IF(AL175="","",_xll.IMDP("STK",$AL175,"현재가"))</f>
        <v/>
      </c>
      <c r="AO175" s="48" t="str">
        <f>IF(AL175="","",_xll.IMDP("STK",$AL175,"전일대비"))</f>
        <v/>
      </c>
      <c r="AP175" s="49" t="str">
        <f>IF(AL175="","",_xll.IMDP("STK",$AL175,"등락률"))</f>
        <v/>
      </c>
      <c r="AQ175" s="48" t="str">
        <f>IF(AL175="","",_xll.IMDP("STK",$AL175,"시가총액"))</f>
        <v/>
      </c>
    </row>
    <row r="176" spans="3:43" x14ac:dyDescent="0.25">
      <c r="C176" s="22">
        <v>171</v>
      </c>
      <c r="Y176" s="25" t="s">
        <v>231</v>
      </c>
      <c r="Z176" s="20" t="str">
        <f t="shared" si="6"/>
        <v/>
      </c>
      <c r="AA176" s="21" t="str">
        <f>IF(Z176="","",_xll.IMDP("STK",$Z176,"한글종목명"))</f>
        <v/>
      </c>
      <c r="AB176" s="48" t="str">
        <f>IF(Z176="","",_xll.IMDP("STK",$Z176,"현재가"))</f>
        <v/>
      </c>
      <c r="AC176" s="48" t="str">
        <f>IF(Z176="","",_xll.IMDP("STK",$Z176,"전일대비"))</f>
        <v/>
      </c>
      <c r="AD176" s="49" t="str">
        <f>IF(Z176="","",_xll.IMDP("STK",$Z176,"등락률"))</f>
        <v/>
      </c>
      <c r="AE176" s="48" t="str">
        <f>IF(Z176="","",_xll.IMDP("STK",Z176,"시가총액"))</f>
        <v/>
      </c>
      <c r="AF176" s="20" t="str">
        <f t="shared" si="8"/>
        <v/>
      </c>
      <c r="AG176" s="21" t="str">
        <f>IF(AF176="","",_xll.IMDP("STK",$AF176,"한글종목명"))</f>
        <v/>
      </c>
      <c r="AH176" s="48" t="str">
        <f>IF(AF176="","",_xll.IMDP("STK",$AF176,"현재가"))</f>
        <v/>
      </c>
      <c r="AI176" s="48" t="str">
        <f>IF(AF176="","",_xll.IMDP("STK",$AF176,"전일대비"))</f>
        <v/>
      </c>
      <c r="AJ176" s="49" t="str">
        <f>IF(AF176="","",_xll.IMDP("STK",$AF176,"등락률"))</f>
        <v/>
      </c>
      <c r="AK176" s="48" t="str">
        <f>IF(AF176="","",_xll.IMDP("STK",$AF176,"시가총액"))</f>
        <v/>
      </c>
      <c r="AL176" s="20" t="str">
        <f t="shared" si="7"/>
        <v/>
      </c>
      <c r="AM176" s="21" t="str">
        <f>IF(AL176="","",_xll.IMDP("STK",$AL176,"한글종목명"))</f>
        <v/>
      </c>
      <c r="AN176" s="48" t="str">
        <f>IF(AL176="","",_xll.IMDP("STK",$AL176,"현재가"))</f>
        <v/>
      </c>
      <c r="AO176" s="48" t="str">
        <f>IF(AL176="","",_xll.IMDP("STK",$AL176,"전일대비"))</f>
        <v/>
      </c>
      <c r="AP176" s="49" t="str">
        <f>IF(AL176="","",_xll.IMDP("STK",$AL176,"등락률"))</f>
        <v/>
      </c>
      <c r="AQ176" s="48" t="str">
        <f>IF(AL176="","",_xll.IMDP("STK",$AL176,"시가총액"))</f>
        <v/>
      </c>
    </row>
    <row r="177" spans="3:43" x14ac:dyDescent="0.25">
      <c r="C177" s="22">
        <v>172</v>
      </c>
      <c r="Y177" s="25" t="s">
        <v>483</v>
      </c>
      <c r="Z177" s="20" t="str">
        <f t="shared" si="6"/>
        <v/>
      </c>
      <c r="AA177" s="21" t="str">
        <f>IF(Z177="","",_xll.IMDP("STK",$Z177,"한글종목명"))</f>
        <v/>
      </c>
      <c r="AB177" s="48" t="str">
        <f>IF(Z177="","",_xll.IMDP("STK",$Z177,"현재가"))</f>
        <v/>
      </c>
      <c r="AC177" s="48" t="str">
        <f>IF(Z177="","",_xll.IMDP("STK",$Z177,"전일대비"))</f>
        <v/>
      </c>
      <c r="AD177" s="49" t="str">
        <f>IF(Z177="","",_xll.IMDP("STK",$Z177,"등락률"))</f>
        <v/>
      </c>
      <c r="AE177" s="48" t="str">
        <f>IF(Z177="","",_xll.IMDP("STK",Z177,"시가총액"))</f>
        <v/>
      </c>
      <c r="AF177" s="20" t="str">
        <f t="shared" si="8"/>
        <v/>
      </c>
      <c r="AG177" s="21" t="str">
        <f>IF(AF177="","",_xll.IMDP("STK",$AF177,"한글종목명"))</f>
        <v/>
      </c>
      <c r="AH177" s="48" t="str">
        <f>IF(AF177="","",_xll.IMDP("STK",$AF177,"현재가"))</f>
        <v/>
      </c>
      <c r="AI177" s="48" t="str">
        <f>IF(AF177="","",_xll.IMDP("STK",$AF177,"전일대비"))</f>
        <v/>
      </c>
      <c r="AJ177" s="49" t="str">
        <f>IF(AF177="","",_xll.IMDP("STK",$AF177,"등락률"))</f>
        <v/>
      </c>
      <c r="AK177" s="48" t="str">
        <f>IF(AF177="","",_xll.IMDP("STK",$AF177,"시가총액"))</f>
        <v/>
      </c>
      <c r="AL177" s="20" t="str">
        <f t="shared" si="7"/>
        <v/>
      </c>
      <c r="AM177" s="21" t="str">
        <f>IF(AL177="","",_xll.IMDP("STK",$AL177,"한글종목명"))</f>
        <v/>
      </c>
      <c r="AN177" s="48" t="str">
        <f>IF(AL177="","",_xll.IMDP("STK",$AL177,"현재가"))</f>
        <v/>
      </c>
      <c r="AO177" s="48" t="str">
        <f>IF(AL177="","",_xll.IMDP("STK",$AL177,"전일대비"))</f>
        <v/>
      </c>
      <c r="AP177" s="49" t="str">
        <f>IF(AL177="","",_xll.IMDP("STK",$AL177,"등락률"))</f>
        <v/>
      </c>
      <c r="AQ177" s="48" t="str">
        <f>IF(AL177="","",_xll.IMDP("STK",$AL177,"시가총액"))</f>
        <v/>
      </c>
    </row>
    <row r="178" spans="3:43" x14ac:dyDescent="0.25">
      <c r="C178" s="22">
        <v>173</v>
      </c>
      <c r="Y178" s="25" t="s">
        <v>484</v>
      </c>
      <c r="Z178" s="20" t="str">
        <f t="shared" si="6"/>
        <v/>
      </c>
      <c r="AA178" s="21" t="str">
        <f>IF(Z178="","",_xll.IMDP("STK",$Z178,"한글종목명"))</f>
        <v/>
      </c>
      <c r="AB178" s="48" t="str">
        <f>IF(Z178="","",_xll.IMDP("STK",$Z178,"현재가"))</f>
        <v/>
      </c>
      <c r="AC178" s="48" t="str">
        <f>IF(Z178="","",_xll.IMDP("STK",$Z178,"전일대비"))</f>
        <v/>
      </c>
      <c r="AD178" s="49" t="str">
        <f>IF(Z178="","",_xll.IMDP("STK",$Z178,"등락률"))</f>
        <v/>
      </c>
      <c r="AE178" s="48" t="str">
        <f>IF(Z178="","",_xll.IMDP("STK",Z178,"시가총액"))</f>
        <v/>
      </c>
      <c r="AF178" s="20" t="str">
        <f t="shared" si="8"/>
        <v/>
      </c>
      <c r="AG178" s="21" t="str">
        <f>IF(AF178="","",_xll.IMDP("STK",$AF178,"한글종목명"))</f>
        <v/>
      </c>
      <c r="AH178" s="48" t="str">
        <f>IF(AF178="","",_xll.IMDP("STK",$AF178,"현재가"))</f>
        <v/>
      </c>
      <c r="AI178" s="48" t="str">
        <f>IF(AF178="","",_xll.IMDP("STK",$AF178,"전일대비"))</f>
        <v/>
      </c>
      <c r="AJ178" s="49" t="str">
        <f>IF(AF178="","",_xll.IMDP("STK",$AF178,"등락률"))</f>
        <v/>
      </c>
      <c r="AK178" s="48" t="str">
        <f>IF(AF178="","",_xll.IMDP("STK",$AF178,"시가총액"))</f>
        <v/>
      </c>
      <c r="AL178" s="20" t="str">
        <f t="shared" si="7"/>
        <v/>
      </c>
      <c r="AM178" s="21" t="str">
        <f>IF(AL178="","",_xll.IMDP("STK",$AL178,"한글종목명"))</f>
        <v/>
      </c>
      <c r="AN178" s="48" t="str">
        <f>IF(AL178="","",_xll.IMDP("STK",$AL178,"현재가"))</f>
        <v/>
      </c>
      <c r="AO178" s="48" t="str">
        <f>IF(AL178="","",_xll.IMDP("STK",$AL178,"전일대비"))</f>
        <v/>
      </c>
      <c r="AP178" s="49" t="str">
        <f>IF(AL178="","",_xll.IMDP("STK",$AL178,"등락률"))</f>
        <v/>
      </c>
      <c r="AQ178" s="48" t="str">
        <f>IF(AL178="","",_xll.IMDP("STK",$AL178,"시가총액"))</f>
        <v/>
      </c>
    </row>
    <row r="179" spans="3:43" x14ac:dyDescent="0.25">
      <c r="C179" s="22">
        <v>174</v>
      </c>
      <c r="Y179" s="25" t="s">
        <v>395</v>
      </c>
      <c r="Z179" s="20" t="str">
        <f t="shared" si="6"/>
        <v/>
      </c>
      <c r="AA179" s="21" t="str">
        <f>IF(Z179="","",_xll.IMDP("STK",$Z179,"한글종목명"))</f>
        <v/>
      </c>
      <c r="AB179" s="48" t="str">
        <f>IF(Z179="","",_xll.IMDP("STK",$Z179,"현재가"))</f>
        <v/>
      </c>
      <c r="AC179" s="48" t="str">
        <f>IF(Z179="","",_xll.IMDP("STK",$Z179,"전일대비"))</f>
        <v/>
      </c>
      <c r="AD179" s="49" t="str">
        <f>IF(Z179="","",_xll.IMDP("STK",$Z179,"등락률"))</f>
        <v/>
      </c>
      <c r="AE179" s="48" t="str">
        <f>IF(Z179="","",_xll.IMDP("STK",Z179,"시가총액"))</f>
        <v/>
      </c>
      <c r="AF179" s="20" t="str">
        <f t="shared" si="8"/>
        <v/>
      </c>
      <c r="AG179" s="21" t="str">
        <f>IF(AF179="","",_xll.IMDP("STK",$AF179,"한글종목명"))</f>
        <v/>
      </c>
      <c r="AH179" s="48" t="str">
        <f>IF(AF179="","",_xll.IMDP("STK",$AF179,"현재가"))</f>
        <v/>
      </c>
      <c r="AI179" s="48" t="str">
        <f>IF(AF179="","",_xll.IMDP("STK",$AF179,"전일대비"))</f>
        <v/>
      </c>
      <c r="AJ179" s="49" t="str">
        <f>IF(AF179="","",_xll.IMDP("STK",$AF179,"등락률"))</f>
        <v/>
      </c>
      <c r="AK179" s="48" t="str">
        <f>IF(AF179="","",_xll.IMDP("STK",$AF179,"시가총액"))</f>
        <v/>
      </c>
      <c r="AL179" s="20" t="str">
        <f t="shared" si="7"/>
        <v/>
      </c>
      <c r="AM179" s="21" t="str">
        <f>IF(AL179="","",_xll.IMDP("STK",$AL179,"한글종목명"))</f>
        <v/>
      </c>
      <c r="AN179" s="48" t="str">
        <f>IF(AL179="","",_xll.IMDP("STK",$AL179,"현재가"))</f>
        <v/>
      </c>
      <c r="AO179" s="48" t="str">
        <f>IF(AL179="","",_xll.IMDP("STK",$AL179,"전일대비"))</f>
        <v/>
      </c>
      <c r="AP179" s="49" t="str">
        <f>IF(AL179="","",_xll.IMDP("STK",$AL179,"등락률"))</f>
        <v/>
      </c>
      <c r="AQ179" s="48" t="str">
        <f>IF(AL179="","",_xll.IMDP("STK",$AL179,"시가총액"))</f>
        <v/>
      </c>
    </row>
    <row r="180" spans="3:43" x14ac:dyDescent="0.25">
      <c r="C180" s="22">
        <v>175</v>
      </c>
      <c r="Y180" s="25" t="s">
        <v>528</v>
      </c>
      <c r="Z180" s="20" t="str">
        <f t="shared" si="6"/>
        <v/>
      </c>
      <c r="AA180" s="21" t="str">
        <f>IF(Z180="","",_xll.IMDP("STK",$Z180,"한글종목명"))</f>
        <v/>
      </c>
      <c r="AB180" s="48" t="str">
        <f>IF(Z180="","",_xll.IMDP("STK",$Z180,"현재가"))</f>
        <v/>
      </c>
      <c r="AC180" s="48" t="str">
        <f>IF(Z180="","",_xll.IMDP("STK",$Z180,"전일대비"))</f>
        <v/>
      </c>
      <c r="AD180" s="49" t="str">
        <f>IF(Z180="","",_xll.IMDP("STK",$Z180,"등락률"))</f>
        <v/>
      </c>
      <c r="AE180" s="48" t="str">
        <f>IF(Z180="","",_xll.IMDP("STK",Z180,"시가총액"))</f>
        <v/>
      </c>
      <c r="AF180" s="20" t="str">
        <f t="shared" si="8"/>
        <v/>
      </c>
      <c r="AG180" s="21" t="str">
        <f>IF(AF180="","",_xll.IMDP("STK",$AF180,"한글종목명"))</f>
        <v/>
      </c>
      <c r="AH180" s="48" t="str">
        <f>IF(AF180="","",_xll.IMDP("STK",$AF180,"현재가"))</f>
        <v/>
      </c>
      <c r="AI180" s="48" t="str">
        <f>IF(AF180="","",_xll.IMDP("STK",$AF180,"전일대비"))</f>
        <v/>
      </c>
      <c r="AJ180" s="49" t="str">
        <f>IF(AF180="","",_xll.IMDP("STK",$AF180,"등락률"))</f>
        <v/>
      </c>
      <c r="AK180" s="48" t="str">
        <f>IF(AF180="","",_xll.IMDP("STK",$AF180,"시가총액"))</f>
        <v/>
      </c>
      <c r="AL180" s="20" t="str">
        <f t="shared" si="7"/>
        <v/>
      </c>
      <c r="AM180" s="21" t="str">
        <f>IF(AL180="","",_xll.IMDP("STK",$AL180,"한글종목명"))</f>
        <v/>
      </c>
      <c r="AN180" s="48" t="str">
        <f>IF(AL180="","",_xll.IMDP("STK",$AL180,"현재가"))</f>
        <v/>
      </c>
      <c r="AO180" s="48" t="str">
        <f>IF(AL180="","",_xll.IMDP("STK",$AL180,"전일대비"))</f>
        <v/>
      </c>
      <c r="AP180" s="49" t="str">
        <f>IF(AL180="","",_xll.IMDP("STK",$AL180,"등락률"))</f>
        <v/>
      </c>
      <c r="AQ180" s="48" t="str">
        <f>IF(AL180="","",_xll.IMDP("STK",$AL180,"시가총액"))</f>
        <v/>
      </c>
    </row>
    <row r="181" spans="3:43" x14ac:dyDescent="0.25">
      <c r="C181" s="22">
        <v>176</v>
      </c>
      <c r="Y181" s="25" t="s">
        <v>529</v>
      </c>
      <c r="Z181" s="20" t="str">
        <f t="shared" si="6"/>
        <v/>
      </c>
      <c r="AA181" s="21" t="str">
        <f>IF(Z181="","",_xll.IMDP("STK",$Z181,"한글종목명"))</f>
        <v/>
      </c>
      <c r="AB181" s="48" t="str">
        <f>IF(Z181="","",_xll.IMDP("STK",$Z181,"현재가"))</f>
        <v/>
      </c>
      <c r="AC181" s="48" t="str">
        <f>IF(Z181="","",_xll.IMDP("STK",$Z181,"전일대비"))</f>
        <v/>
      </c>
      <c r="AD181" s="49" t="str">
        <f>IF(Z181="","",_xll.IMDP("STK",$Z181,"등락률"))</f>
        <v/>
      </c>
      <c r="AE181" s="48" t="str">
        <f>IF(Z181="","",_xll.IMDP("STK",Z181,"시가총액"))</f>
        <v/>
      </c>
      <c r="AF181" s="20" t="str">
        <f t="shared" si="8"/>
        <v/>
      </c>
      <c r="AG181" s="21" t="str">
        <f>IF(AF181="","",_xll.IMDP("STK",$AF181,"한글종목명"))</f>
        <v/>
      </c>
      <c r="AH181" s="48" t="str">
        <f>IF(AF181="","",_xll.IMDP("STK",$AF181,"현재가"))</f>
        <v/>
      </c>
      <c r="AI181" s="48" t="str">
        <f>IF(AF181="","",_xll.IMDP("STK",$AF181,"전일대비"))</f>
        <v/>
      </c>
      <c r="AJ181" s="49" t="str">
        <f>IF(AF181="","",_xll.IMDP("STK",$AF181,"등락률"))</f>
        <v/>
      </c>
      <c r="AK181" s="48" t="str">
        <f>IF(AF181="","",_xll.IMDP("STK",$AF181,"시가총액"))</f>
        <v/>
      </c>
      <c r="AL181" s="20" t="str">
        <f t="shared" si="7"/>
        <v/>
      </c>
      <c r="AM181" s="21" t="str">
        <f>IF(AL181="","",_xll.IMDP("STK",$AL181,"한글종목명"))</f>
        <v/>
      </c>
      <c r="AN181" s="48" t="str">
        <f>IF(AL181="","",_xll.IMDP("STK",$AL181,"현재가"))</f>
        <v/>
      </c>
      <c r="AO181" s="48" t="str">
        <f>IF(AL181="","",_xll.IMDP("STK",$AL181,"전일대비"))</f>
        <v/>
      </c>
      <c r="AP181" s="49" t="str">
        <f>IF(AL181="","",_xll.IMDP("STK",$AL181,"등락률"))</f>
        <v/>
      </c>
      <c r="AQ181" s="48" t="str">
        <f>IF(AL181="","",_xll.IMDP("STK",$AL181,"시가총액"))</f>
        <v/>
      </c>
    </row>
    <row r="182" spans="3:43" x14ac:dyDescent="0.25">
      <c r="C182" s="22">
        <v>177</v>
      </c>
      <c r="Y182" s="25" t="s">
        <v>530</v>
      </c>
      <c r="Z182" s="20" t="str">
        <f t="shared" si="6"/>
        <v/>
      </c>
      <c r="AA182" s="21" t="str">
        <f>IF(Z182="","",_xll.IMDP("STK",$Z182,"한글종목명"))</f>
        <v/>
      </c>
      <c r="AB182" s="48" t="str">
        <f>IF(Z182="","",_xll.IMDP("STK",$Z182,"현재가"))</f>
        <v/>
      </c>
      <c r="AC182" s="48" t="str">
        <f>IF(Z182="","",_xll.IMDP("STK",$Z182,"전일대비"))</f>
        <v/>
      </c>
      <c r="AD182" s="49" t="str">
        <f>IF(Z182="","",_xll.IMDP("STK",$Z182,"등락률"))</f>
        <v/>
      </c>
      <c r="AE182" s="48" t="str">
        <f>IF(Z182="","",_xll.IMDP("STK",Z182,"시가총액"))</f>
        <v/>
      </c>
      <c r="AF182" s="20" t="str">
        <f t="shared" si="8"/>
        <v/>
      </c>
      <c r="AG182" s="21" t="str">
        <f>IF(AF182="","",_xll.IMDP("STK",$AF182,"한글종목명"))</f>
        <v/>
      </c>
      <c r="AH182" s="48" t="str">
        <f>IF(AF182="","",_xll.IMDP("STK",$AF182,"현재가"))</f>
        <v/>
      </c>
      <c r="AI182" s="48" t="str">
        <f>IF(AF182="","",_xll.IMDP("STK",$AF182,"전일대비"))</f>
        <v/>
      </c>
      <c r="AJ182" s="49" t="str">
        <f>IF(AF182="","",_xll.IMDP("STK",$AF182,"등락률"))</f>
        <v/>
      </c>
      <c r="AK182" s="48" t="str">
        <f>IF(AF182="","",_xll.IMDP("STK",$AF182,"시가총액"))</f>
        <v/>
      </c>
      <c r="AL182" s="20" t="str">
        <f t="shared" si="7"/>
        <v/>
      </c>
      <c r="AM182" s="21" t="str">
        <f>IF(AL182="","",_xll.IMDP("STK",$AL182,"한글종목명"))</f>
        <v/>
      </c>
      <c r="AN182" s="48" t="str">
        <f>IF(AL182="","",_xll.IMDP("STK",$AL182,"현재가"))</f>
        <v/>
      </c>
      <c r="AO182" s="48" t="str">
        <f>IF(AL182="","",_xll.IMDP("STK",$AL182,"전일대비"))</f>
        <v/>
      </c>
      <c r="AP182" s="49" t="str">
        <f>IF(AL182="","",_xll.IMDP("STK",$AL182,"등락률"))</f>
        <v/>
      </c>
      <c r="AQ182" s="48" t="str">
        <f>IF(AL182="","",_xll.IMDP("STK",$AL182,"시가총액"))</f>
        <v/>
      </c>
    </row>
    <row r="183" spans="3:43" x14ac:dyDescent="0.25">
      <c r="C183" s="22">
        <v>178</v>
      </c>
      <c r="Y183" s="25" t="s">
        <v>648</v>
      </c>
      <c r="Z183" s="20" t="str">
        <f t="shared" si="6"/>
        <v/>
      </c>
      <c r="AA183" s="21" t="str">
        <f>IF(Z183="","",_xll.IMDP("STK",$Z183,"한글종목명"))</f>
        <v/>
      </c>
      <c r="AB183" s="48" t="str">
        <f>IF(Z183="","",_xll.IMDP("STK",$Z183,"현재가"))</f>
        <v/>
      </c>
      <c r="AC183" s="48" t="str">
        <f>IF(Z183="","",_xll.IMDP("STK",$Z183,"전일대비"))</f>
        <v/>
      </c>
      <c r="AD183" s="49" t="str">
        <f>IF(Z183="","",_xll.IMDP("STK",$Z183,"등락률"))</f>
        <v/>
      </c>
      <c r="AE183" s="48" t="str">
        <f>IF(Z183="","",_xll.IMDP("STK",Z183,"시가총액"))</f>
        <v/>
      </c>
      <c r="AF183" s="20" t="str">
        <f t="shared" si="8"/>
        <v/>
      </c>
      <c r="AG183" s="21" t="str">
        <f>IF(AF183="","",_xll.IMDP("STK",$AF183,"한글종목명"))</f>
        <v/>
      </c>
      <c r="AH183" s="48" t="str">
        <f>IF(AF183="","",_xll.IMDP("STK",$AF183,"현재가"))</f>
        <v/>
      </c>
      <c r="AI183" s="48" t="str">
        <f>IF(AF183="","",_xll.IMDP("STK",$AF183,"전일대비"))</f>
        <v/>
      </c>
      <c r="AJ183" s="49" t="str">
        <f>IF(AF183="","",_xll.IMDP("STK",$AF183,"등락률"))</f>
        <v/>
      </c>
      <c r="AK183" s="48" t="str">
        <f>IF(AF183="","",_xll.IMDP("STK",$AF183,"시가총액"))</f>
        <v/>
      </c>
      <c r="AL183" s="20" t="str">
        <f t="shared" si="7"/>
        <v/>
      </c>
      <c r="AM183" s="21" t="str">
        <f>IF(AL183="","",_xll.IMDP("STK",$AL183,"한글종목명"))</f>
        <v/>
      </c>
      <c r="AN183" s="48" t="str">
        <f>IF(AL183="","",_xll.IMDP("STK",$AL183,"현재가"))</f>
        <v/>
      </c>
      <c r="AO183" s="48" t="str">
        <f>IF(AL183="","",_xll.IMDP("STK",$AL183,"전일대비"))</f>
        <v/>
      </c>
      <c r="AP183" s="49" t="str">
        <f>IF(AL183="","",_xll.IMDP("STK",$AL183,"등락률"))</f>
        <v/>
      </c>
      <c r="AQ183" s="48" t="str">
        <f>IF(AL183="","",_xll.IMDP("STK",$AL183,"시가총액"))</f>
        <v/>
      </c>
    </row>
    <row r="184" spans="3:43" x14ac:dyDescent="0.25">
      <c r="C184" s="22">
        <v>179</v>
      </c>
      <c r="Y184" s="25" t="s">
        <v>485</v>
      </c>
      <c r="Z184" s="20" t="str">
        <f t="shared" si="6"/>
        <v/>
      </c>
      <c r="AA184" s="21" t="str">
        <f>IF(Z184="","",_xll.IMDP("STK",$Z184,"한글종목명"))</f>
        <v/>
      </c>
      <c r="AB184" s="48" t="str">
        <f>IF(Z184="","",_xll.IMDP("STK",$Z184,"현재가"))</f>
        <v/>
      </c>
      <c r="AC184" s="48" t="str">
        <f>IF(Z184="","",_xll.IMDP("STK",$Z184,"전일대비"))</f>
        <v/>
      </c>
      <c r="AD184" s="49" t="str">
        <f>IF(Z184="","",_xll.IMDP("STK",$Z184,"등락률"))</f>
        <v/>
      </c>
      <c r="AE184" s="48" t="str">
        <f>IF(Z184="","",_xll.IMDP("STK",Z184,"시가총액"))</f>
        <v/>
      </c>
      <c r="AF184" s="20" t="str">
        <f t="shared" si="8"/>
        <v/>
      </c>
      <c r="AG184" s="21" t="str">
        <f>IF(AF184="","",_xll.IMDP("STK",$AF184,"한글종목명"))</f>
        <v/>
      </c>
      <c r="AH184" s="48" t="str">
        <f>IF(AF184="","",_xll.IMDP("STK",$AF184,"현재가"))</f>
        <v/>
      </c>
      <c r="AI184" s="48" t="str">
        <f>IF(AF184="","",_xll.IMDP("STK",$AF184,"전일대비"))</f>
        <v/>
      </c>
      <c r="AJ184" s="49" t="str">
        <f>IF(AF184="","",_xll.IMDP("STK",$AF184,"등락률"))</f>
        <v/>
      </c>
      <c r="AK184" s="48" t="str">
        <f>IF(AF184="","",_xll.IMDP("STK",$AF184,"시가총액"))</f>
        <v/>
      </c>
      <c r="AL184" s="20" t="str">
        <f t="shared" si="7"/>
        <v/>
      </c>
      <c r="AM184" s="21" t="str">
        <f>IF(AL184="","",_xll.IMDP("STK",$AL184,"한글종목명"))</f>
        <v/>
      </c>
      <c r="AN184" s="48" t="str">
        <f>IF(AL184="","",_xll.IMDP("STK",$AL184,"현재가"))</f>
        <v/>
      </c>
      <c r="AO184" s="48" t="str">
        <f>IF(AL184="","",_xll.IMDP("STK",$AL184,"전일대비"))</f>
        <v/>
      </c>
      <c r="AP184" s="49" t="str">
        <f>IF(AL184="","",_xll.IMDP("STK",$AL184,"등락률"))</f>
        <v/>
      </c>
      <c r="AQ184" s="48" t="str">
        <f>IF(AL184="","",_xll.IMDP("STK",$AL184,"시가총액"))</f>
        <v/>
      </c>
    </row>
    <row r="185" spans="3:43" x14ac:dyDescent="0.25">
      <c r="C185" s="22">
        <v>180</v>
      </c>
      <c r="Y185" s="25" t="s">
        <v>626</v>
      </c>
      <c r="Z185" s="20" t="str">
        <f t="shared" si="6"/>
        <v/>
      </c>
      <c r="AA185" s="21" t="str">
        <f>IF(Z185="","",_xll.IMDP("STK",$Z185,"한글종목명"))</f>
        <v/>
      </c>
      <c r="AB185" s="48" t="str">
        <f>IF(Z185="","",_xll.IMDP("STK",$Z185,"현재가"))</f>
        <v/>
      </c>
      <c r="AC185" s="48" t="str">
        <f>IF(Z185="","",_xll.IMDP("STK",$Z185,"전일대비"))</f>
        <v/>
      </c>
      <c r="AD185" s="49" t="str">
        <f>IF(Z185="","",_xll.IMDP("STK",$Z185,"등락률"))</f>
        <v/>
      </c>
      <c r="AE185" s="48" t="str">
        <f>IF(Z185="","",_xll.IMDP("STK",Z185,"시가총액"))</f>
        <v/>
      </c>
      <c r="AF185" s="20" t="str">
        <f t="shared" si="8"/>
        <v/>
      </c>
      <c r="AG185" s="21" t="str">
        <f>IF(AF185="","",_xll.IMDP("STK",$AF185,"한글종목명"))</f>
        <v/>
      </c>
      <c r="AH185" s="48" t="str">
        <f>IF(AF185="","",_xll.IMDP("STK",$AF185,"현재가"))</f>
        <v/>
      </c>
      <c r="AI185" s="48" t="str">
        <f>IF(AF185="","",_xll.IMDP("STK",$AF185,"전일대비"))</f>
        <v/>
      </c>
      <c r="AJ185" s="49" t="str">
        <f>IF(AF185="","",_xll.IMDP("STK",$AF185,"등락률"))</f>
        <v/>
      </c>
      <c r="AK185" s="48" t="str">
        <f>IF(AF185="","",_xll.IMDP("STK",$AF185,"시가총액"))</f>
        <v/>
      </c>
      <c r="AL185" s="20" t="str">
        <f t="shared" si="7"/>
        <v/>
      </c>
      <c r="AM185" s="21" t="str">
        <f>IF(AL185="","",_xll.IMDP("STK",$AL185,"한글종목명"))</f>
        <v/>
      </c>
      <c r="AN185" s="48" t="str">
        <f>IF(AL185="","",_xll.IMDP("STK",$AL185,"현재가"))</f>
        <v/>
      </c>
      <c r="AO185" s="48" t="str">
        <f>IF(AL185="","",_xll.IMDP("STK",$AL185,"전일대비"))</f>
        <v/>
      </c>
      <c r="AP185" s="49" t="str">
        <f>IF(AL185="","",_xll.IMDP("STK",$AL185,"등락률"))</f>
        <v/>
      </c>
      <c r="AQ185" s="48" t="str">
        <f>IF(AL185="","",_xll.IMDP("STK",$AL185,"시가총액"))</f>
        <v/>
      </c>
    </row>
    <row r="186" spans="3:43" x14ac:dyDescent="0.25">
      <c r="C186" s="22">
        <v>181</v>
      </c>
      <c r="Y186" s="25" t="s">
        <v>649</v>
      </c>
      <c r="Z186" s="20" t="str">
        <f t="shared" si="6"/>
        <v/>
      </c>
      <c r="AA186" s="21" t="str">
        <f>IF(Z186="","",_xll.IMDP("STK",$Z186,"한글종목명"))</f>
        <v/>
      </c>
      <c r="AB186" s="48" t="str">
        <f>IF(Z186="","",_xll.IMDP("STK",$Z186,"현재가"))</f>
        <v/>
      </c>
      <c r="AC186" s="48" t="str">
        <f>IF(Z186="","",_xll.IMDP("STK",$Z186,"전일대비"))</f>
        <v/>
      </c>
      <c r="AD186" s="49" t="str">
        <f>IF(Z186="","",_xll.IMDP("STK",$Z186,"등락률"))</f>
        <v/>
      </c>
      <c r="AE186" s="48" t="str">
        <f>IF(Z186="","",_xll.IMDP("STK",Z186,"시가총액"))</f>
        <v/>
      </c>
      <c r="AF186" s="20" t="str">
        <f t="shared" si="8"/>
        <v/>
      </c>
      <c r="AG186" s="21" t="str">
        <f>IF(AF186="","",_xll.IMDP("STK",$AF186,"한글종목명"))</f>
        <v/>
      </c>
      <c r="AH186" s="48" t="str">
        <f>IF(AF186="","",_xll.IMDP("STK",$AF186,"현재가"))</f>
        <v/>
      </c>
      <c r="AI186" s="48" t="str">
        <f>IF(AF186="","",_xll.IMDP("STK",$AF186,"전일대비"))</f>
        <v/>
      </c>
      <c r="AJ186" s="49" t="str">
        <f>IF(AF186="","",_xll.IMDP("STK",$AF186,"등락률"))</f>
        <v/>
      </c>
      <c r="AK186" s="48" t="str">
        <f>IF(AF186="","",_xll.IMDP("STK",$AF186,"시가총액"))</f>
        <v/>
      </c>
      <c r="AL186" s="20" t="str">
        <f t="shared" si="7"/>
        <v/>
      </c>
      <c r="AM186" s="21" t="str">
        <f>IF(AL186="","",_xll.IMDP("STK",$AL186,"한글종목명"))</f>
        <v/>
      </c>
      <c r="AN186" s="48" t="str">
        <f>IF(AL186="","",_xll.IMDP("STK",$AL186,"현재가"))</f>
        <v/>
      </c>
      <c r="AO186" s="48" t="str">
        <f>IF(AL186="","",_xll.IMDP("STK",$AL186,"전일대비"))</f>
        <v/>
      </c>
      <c r="AP186" s="49" t="str">
        <f>IF(AL186="","",_xll.IMDP("STK",$AL186,"등락률"))</f>
        <v/>
      </c>
      <c r="AQ186" s="48" t="str">
        <f>IF(AL186="","",_xll.IMDP("STK",$AL186,"시가총액"))</f>
        <v/>
      </c>
    </row>
    <row r="187" spans="3:43" x14ac:dyDescent="0.25">
      <c r="C187" s="22">
        <v>182</v>
      </c>
      <c r="Y187" s="25" t="s">
        <v>531</v>
      </c>
      <c r="Z187" s="20" t="str">
        <f t="shared" si="6"/>
        <v/>
      </c>
      <c r="AA187" s="21" t="str">
        <f>IF(Z187="","",_xll.IMDP("STK",$Z187,"한글종목명"))</f>
        <v/>
      </c>
      <c r="AB187" s="48" t="str">
        <f>IF(Z187="","",_xll.IMDP("STK",$Z187,"현재가"))</f>
        <v/>
      </c>
      <c r="AC187" s="48" t="str">
        <f>IF(Z187="","",_xll.IMDP("STK",$Z187,"전일대비"))</f>
        <v/>
      </c>
      <c r="AD187" s="49" t="str">
        <f>IF(Z187="","",_xll.IMDP("STK",$Z187,"등락률"))</f>
        <v/>
      </c>
      <c r="AE187" s="48" t="str">
        <f>IF(Z187="","",_xll.IMDP("STK",Z187,"시가총액"))</f>
        <v/>
      </c>
      <c r="AF187" s="20" t="str">
        <f t="shared" si="8"/>
        <v/>
      </c>
      <c r="AG187" s="21" t="str">
        <f>IF(AF187="","",_xll.IMDP("STK",$AF187,"한글종목명"))</f>
        <v/>
      </c>
      <c r="AH187" s="48" t="str">
        <f>IF(AF187="","",_xll.IMDP("STK",$AF187,"현재가"))</f>
        <v/>
      </c>
      <c r="AI187" s="48" t="str">
        <f>IF(AF187="","",_xll.IMDP("STK",$AF187,"전일대비"))</f>
        <v/>
      </c>
      <c r="AJ187" s="49" t="str">
        <f>IF(AF187="","",_xll.IMDP("STK",$AF187,"등락률"))</f>
        <v/>
      </c>
      <c r="AK187" s="48" t="str">
        <f>IF(AF187="","",_xll.IMDP("STK",$AF187,"시가총액"))</f>
        <v/>
      </c>
      <c r="AL187" s="20" t="str">
        <f t="shared" si="7"/>
        <v/>
      </c>
      <c r="AM187" s="21" t="str">
        <f>IF(AL187="","",_xll.IMDP("STK",$AL187,"한글종목명"))</f>
        <v/>
      </c>
      <c r="AN187" s="48" t="str">
        <f>IF(AL187="","",_xll.IMDP("STK",$AL187,"현재가"))</f>
        <v/>
      </c>
      <c r="AO187" s="48" t="str">
        <f>IF(AL187="","",_xll.IMDP("STK",$AL187,"전일대비"))</f>
        <v/>
      </c>
      <c r="AP187" s="49" t="str">
        <f>IF(AL187="","",_xll.IMDP("STK",$AL187,"등락률"))</f>
        <v/>
      </c>
      <c r="AQ187" s="48" t="str">
        <f>IF(AL187="","",_xll.IMDP("STK",$AL187,"시가총액"))</f>
        <v/>
      </c>
    </row>
    <row r="188" spans="3:43" x14ac:dyDescent="0.25">
      <c r="C188" s="22">
        <v>183</v>
      </c>
      <c r="Y188" s="25" t="s">
        <v>581</v>
      </c>
      <c r="Z188" s="20" t="str">
        <f t="shared" si="6"/>
        <v/>
      </c>
      <c r="AA188" s="21" t="str">
        <f>IF(Z188="","",_xll.IMDP("STK",$Z188,"한글종목명"))</f>
        <v/>
      </c>
      <c r="AB188" s="48" t="str">
        <f>IF(Z188="","",_xll.IMDP("STK",$Z188,"현재가"))</f>
        <v/>
      </c>
      <c r="AC188" s="48" t="str">
        <f>IF(Z188="","",_xll.IMDP("STK",$Z188,"전일대비"))</f>
        <v/>
      </c>
      <c r="AD188" s="49" t="str">
        <f>IF(Z188="","",_xll.IMDP("STK",$Z188,"등락률"))</f>
        <v/>
      </c>
      <c r="AE188" s="48" t="str">
        <f>IF(Z188="","",_xll.IMDP("STK",Z188,"시가총액"))</f>
        <v/>
      </c>
      <c r="AF188" s="20" t="str">
        <f t="shared" si="8"/>
        <v/>
      </c>
      <c r="AG188" s="21" t="str">
        <f>IF(AF188="","",_xll.IMDP("STK",$AF188,"한글종목명"))</f>
        <v/>
      </c>
      <c r="AH188" s="48" t="str">
        <f>IF(AF188="","",_xll.IMDP("STK",$AF188,"현재가"))</f>
        <v/>
      </c>
      <c r="AI188" s="48" t="str">
        <f>IF(AF188="","",_xll.IMDP("STK",$AF188,"전일대비"))</f>
        <v/>
      </c>
      <c r="AJ188" s="49" t="str">
        <f>IF(AF188="","",_xll.IMDP("STK",$AF188,"등락률"))</f>
        <v/>
      </c>
      <c r="AK188" s="48" t="str">
        <f>IF(AF188="","",_xll.IMDP("STK",$AF188,"시가총액"))</f>
        <v/>
      </c>
      <c r="AL188" s="20" t="str">
        <f t="shared" si="7"/>
        <v/>
      </c>
      <c r="AM188" s="21" t="str">
        <f>IF(AL188="","",_xll.IMDP("STK",$AL188,"한글종목명"))</f>
        <v/>
      </c>
      <c r="AN188" s="48" t="str">
        <f>IF(AL188="","",_xll.IMDP("STK",$AL188,"현재가"))</f>
        <v/>
      </c>
      <c r="AO188" s="48" t="str">
        <f>IF(AL188="","",_xll.IMDP("STK",$AL188,"전일대비"))</f>
        <v/>
      </c>
      <c r="AP188" s="49" t="str">
        <f>IF(AL188="","",_xll.IMDP("STK",$AL188,"등락률"))</f>
        <v/>
      </c>
      <c r="AQ188" s="48" t="str">
        <f>IF(AL188="","",_xll.IMDP("STK",$AL188,"시가총액"))</f>
        <v/>
      </c>
    </row>
    <row r="189" spans="3:43" x14ac:dyDescent="0.25">
      <c r="C189" s="22">
        <v>184</v>
      </c>
      <c r="Y189" s="25" t="s">
        <v>582</v>
      </c>
      <c r="Z189" s="20" t="str">
        <f t="shared" si="6"/>
        <v/>
      </c>
      <c r="AA189" s="21" t="str">
        <f>IF(Z189="","",_xll.IMDP("STK",$Z189,"한글종목명"))</f>
        <v/>
      </c>
      <c r="AB189" s="48" t="str">
        <f>IF(Z189="","",_xll.IMDP("STK",$Z189,"현재가"))</f>
        <v/>
      </c>
      <c r="AC189" s="48" t="str">
        <f>IF(Z189="","",_xll.IMDP("STK",$Z189,"전일대비"))</f>
        <v/>
      </c>
      <c r="AD189" s="49" t="str">
        <f>IF(Z189="","",_xll.IMDP("STK",$Z189,"등락률"))</f>
        <v/>
      </c>
      <c r="AE189" s="48" t="str">
        <f>IF(Z189="","",_xll.IMDP("STK",Z189,"시가총액"))</f>
        <v/>
      </c>
      <c r="AF189" s="20" t="str">
        <f t="shared" si="8"/>
        <v/>
      </c>
      <c r="AG189" s="21" t="str">
        <f>IF(AF189="","",_xll.IMDP("STK",$AF189,"한글종목명"))</f>
        <v/>
      </c>
      <c r="AH189" s="48" t="str">
        <f>IF(AF189="","",_xll.IMDP("STK",$AF189,"현재가"))</f>
        <v/>
      </c>
      <c r="AI189" s="48" t="str">
        <f>IF(AF189="","",_xll.IMDP("STK",$AF189,"전일대비"))</f>
        <v/>
      </c>
      <c r="AJ189" s="49" t="str">
        <f>IF(AF189="","",_xll.IMDP("STK",$AF189,"등락률"))</f>
        <v/>
      </c>
      <c r="AK189" s="48" t="str">
        <f>IF(AF189="","",_xll.IMDP("STK",$AF189,"시가총액"))</f>
        <v/>
      </c>
      <c r="AL189" s="20" t="str">
        <f t="shared" si="7"/>
        <v/>
      </c>
      <c r="AM189" s="21" t="str">
        <f>IF(AL189="","",_xll.IMDP("STK",$AL189,"한글종목명"))</f>
        <v/>
      </c>
      <c r="AN189" s="48" t="str">
        <f>IF(AL189="","",_xll.IMDP("STK",$AL189,"현재가"))</f>
        <v/>
      </c>
      <c r="AO189" s="48" t="str">
        <f>IF(AL189="","",_xll.IMDP("STK",$AL189,"전일대비"))</f>
        <v/>
      </c>
      <c r="AP189" s="49" t="str">
        <f>IF(AL189="","",_xll.IMDP("STK",$AL189,"등락률"))</f>
        <v/>
      </c>
      <c r="AQ189" s="48" t="str">
        <f>IF(AL189="","",_xll.IMDP("STK",$AL189,"시가총액"))</f>
        <v/>
      </c>
    </row>
    <row r="190" spans="3:43" x14ac:dyDescent="0.25">
      <c r="C190" s="22">
        <v>185</v>
      </c>
      <c r="Y190" s="25" t="s">
        <v>297</v>
      </c>
      <c r="Z190" s="20" t="str">
        <f t="shared" si="6"/>
        <v/>
      </c>
      <c r="AA190" s="21" t="str">
        <f>IF(Z190="","",_xll.IMDP("STK",$Z190,"한글종목명"))</f>
        <v/>
      </c>
      <c r="AB190" s="48" t="str">
        <f>IF(Z190="","",_xll.IMDP("STK",$Z190,"현재가"))</f>
        <v/>
      </c>
      <c r="AC190" s="48" t="str">
        <f>IF(Z190="","",_xll.IMDP("STK",$Z190,"전일대비"))</f>
        <v/>
      </c>
      <c r="AD190" s="49" t="str">
        <f>IF(Z190="","",_xll.IMDP("STK",$Z190,"등락률"))</f>
        <v/>
      </c>
      <c r="AE190" s="48" t="str">
        <f>IF(Z190="","",_xll.IMDP("STK",Z190,"시가총액"))</f>
        <v/>
      </c>
      <c r="AF190" s="20" t="str">
        <f t="shared" si="8"/>
        <v/>
      </c>
      <c r="AG190" s="21" t="str">
        <f>IF(AF190="","",_xll.IMDP("STK",$AF190,"한글종목명"))</f>
        <v/>
      </c>
      <c r="AH190" s="48" t="str">
        <f>IF(AF190="","",_xll.IMDP("STK",$AF190,"현재가"))</f>
        <v/>
      </c>
      <c r="AI190" s="48" t="str">
        <f>IF(AF190="","",_xll.IMDP("STK",$AF190,"전일대비"))</f>
        <v/>
      </c>
      <c r="AJ190" s="49" t="str">
        <f>IF(AF190="","",_xll.IMDP("STK",$AF190,"등락률"))</f>
        <v/>
      </c>
      <c r="AK190" s="48" t="str">
        <f>IF(AF190="","",_xll.IMDP("STK",$AF190,"시가총액"))</f>
        <v/>
      </c>
      <c r="AL190" s="20" t="str">
        <f t="shared" si="7"/>
        <v/>
      </c>
      <c r="AM190" s="21" t="str">
        <f>IF(AL190="","",_xll.IMDP("STK",$AL190,"한글종목명"))</f>
        <v/>
      </c>
      <c r="AN190" s="48" t="str">
        <f>IF(AL190="","",_xll.IMDP("STK",$AL190,"현재가"))</f>
        <v/>
      </c>
      <c r="AO190" s="48" t="str">
        <f>IF(AL190="","",_xll.IMDP("STK",$AL190,"전일대비"))</f>
        <v/>
      </c>
      <c r="AP190" s="49" t="str">
        <f>IF(AL190="","",_xll.IMDP("STK",$AL190,"등락률"))</f>
        <v/>
      </c>
      <c r="AQ190" s="48" t="str">
        <f>IF(AL190="","",_xll.IMDP("STK",$AL190,"시가총액"))</f>
        <v/>
      </c>
    </row>
    <row r="191" spans="3:43" x14ac:dyDescent="0.25">
      <c r="C191" s="22">
        <v>186</v>
      </c>
      <c r="Y191" s="25" t="s">
        <v>298</v>
      </c>
      <c r="Z191" s="20" t="str">
        <f t="shared" si="6"/>
        <v/>
      </c>
      <c r="AA191" s="21" t="str">
        <f>IF(Z191="","",_xll.IMDP("STK",$Z191,"한글종목명"))</f>
        <v/>
      </c>
      <c r="AB191" s="48" t="str">
        <f>IF(Z191="","",_xll.IMDP("STK",$Z191,"현재가"))</f>
        <v/>
      </c>
      <c r="AC191" s="48" t="str">
        <f>IF(Z191="","",_xll.IMDP("STK",$Z191,"전일대비"))</f>
        <v/>
      </c>
      <c r="AD191" s="49" t="str">
        <f>IF(Z191="","",_xll.IMDP("STK",$Z191,"등락률"))</f>
        <v/>
      </c>
      <c r="AE191" s="48" t="str">
        <f>IF(Z191="","",_xll.IMDP("STK",Z191,"시가총액"))</f>
        <v/>
      </c>
      <c r="AF191" s="20" t="str">
        <f t="shared" si="8"/>
        <v/>
      </c>
      <c r="AG191" s="21" t="str">
        <f>IF(AF191="","",_xll.IMDP("STK",$AF191,"한글종목명"))</f>
        <v/>
      </c>
      <c r="AH191" s="48" t="str">
        <f>IF(AF191="","",_xll.IMDP("STK",$AF191,"현재가"))</f>
        <v/>
      </c>
      <c r="AI191" s="48" t="str">
        <f>IF(AF191="","",_xll.IMDP("STK",$AF191,"전일대비"))</f>
        <v/>
      </c>
      <c r="AJ191" s="49" t="str">
        <f>IF(AF191="","",_xll.IMDP("STK",$AF191,"등락률"))</f>
        <v/>
      </c>
      <c r="AK191" s="48" t="str">
        <f>IF(AF191="","",_xll.IMDP("STK",$AF191,"시가총액"))</f>
        <v/>
      </c>
      <c r="AL191" s="20" t="str">
        <f t="shared" si="7"/>
        <v/>
      </c>
      <c r="AM191" s="21" t="str">
        <f>IF(AL191="","",_xll.IMDP("STK",$AL191,"한글종목명"))</f>
        <v/>
      </c>
      <c r="AN191" s="48" t="str">
        <f>IF(AL191="","",_xll.IMDP("STK",$AL191,"현재가"))</f>
        <v/>
      </c>
      <c r="AO191" s="48" t="str">
        <f>IF(AL191="","",_xll.IMDP("STK",$AL191,"전일대비"))</f>
        <v/>
      </c>
      <c r="AP191" s="49" t="str">
        <f>IF(AL191="","",_xll.IMDP("STK",$AL191,"등락률"))</f>
        <v/>
      </c>
      <c r="AQ191" s="48" t="str">
        <f>IF(AL191="","",_xll.IMDP("STK",$AL191,"시가총액"))</f>
        <v/>
      </c>
    </row>
    <row r="192" spans="3:43" x14ac:dyDescent="0.25">
      <c r="C192" s="22">
        <v>187</v>
      </c>
      <c r="Y192" s="25" t="s">
        <v>191</v>
      </c>
      <c r="Z192" s="20" t="str">
        <f t="shared" si="6"/>
        <v/>
      </c>
      <c r="AA192" s="21" t="str">
        <f>IF(Z192="","",_xll.IMDP("STK",$Z192,"한글종목명"))</f>
        <v/>
      </c>
      <c r="AB192" s="48" t="str">
        <f>IF(Z192="","",_xll.IMDP("STK",$Z192,"현재가"))</f>
        <v/>
      </c>
      <c r="AC192" s="48" t="str">
        <f>IF(Z192="","",_xll.IMDP("STK",$Z192,"전일대비"))</f>
        <v/>
      </c>
      <c r="AD192" s="49" t="str">
        <f>IF(Z192="","",_xll.IMDP("STK",$Z192,"등락률"))</f>
        <v/>
      </c>
      <c r="AE192" s="48" t="str">
        <f>IF(Z192="","",_xll.IMDP("STK",Z192,"시가총액"))</f>
        <v/>
      </c>
      <c r="AF192" s="20" t="str">
        <f t="shared" si="8"/>
        <v/>
      </c>
      <c r="AG192" s="21" t="str">
        <f>IF(AF192="","",_xll.IMDP("STK",$AF192,"한글종목명"))</f>
        <v/>
      </c>
      <c r="AH192" s="48" t="str">
        <f>IF(AF192="","",_xll.IMDP("STK",$AF192,"현재가"))</f>
        <v/>
      </c>
      <c r="AI192" s="48" t="str">
        <f>IF(AF192="","",_xll.IMDP("STK",$AF192,"전일대비"))</f>
        <v/>
      </c>
      <c r="AJ192" s="49" t="str">
        <f>IF(AF192="","",_xll.IMDP("STK",$AF192,"등락률"))</f>
        <v/>
      </c>
      <c r="AK192" s="48" t="str">
        <f>IF(AF192="","",_xll.IMDP("STK",$AF192,"시가총액"))</f>
        <v/>
      </c>
      <c r="AL192" s="20" t="str">
        <f t="shared" si="7"/>
        <v/>
      </c>
      <c r="AM192" s="21" t="str">
        <f>IF(AL192="","",_xll.IMDP("STK",$AL192,"한글종목명"))</f>
        <v/>
      </c>
      <c r="AN192" s="48" t="str">
        <f>IF(AL192="","",_xll.IMDP("STK",$AL192,"현재가"))</f>
        <v/>
      </c>
      <c r="AO192" s="48" t="str">
        <f>IF(AL192="","",_xll.IMDP("STK",$AL192,"전일대비"))</f>
        <v/>
      </c>
      <c r="AP192" s="49" t="str">
        <f>IF(AL192="","",_xll.IMDP("STK",$AL192,"등락률"))</f>
        <v/>
      </c>
      <c r="AQ192" s="48" t="str">
        <f>IF(AL192="","",_xll.IMDP("STK",$AL192,"시가총액"))</f>
        <v/>
      </c>
    </row>
    <row r="193" spans="3:43" x14ac:dyDescent="0.25">
      <c r="C193" s="22">
        <v>188</v>
      </c>
      <c r="Y193" s="25" t="s">
        <v>192</v>
      </c>
      <c r="Z193" s="20" t="str">
        <f t="shared" si="6"/>
        <v/>
      </c>
      <c r="AA193" s="21" t="str">
        <f>IF(Z193="","",_xll.IMDP("STK",$Z193,"한글종목명"))</f>
        <v/>
      </c>
      <c r="AB193" s="48" t="str">
        <f>IF(Z193="","",_xll.IMDP("STK",$Z193,"현재가"))</f>
        <v/>
      </c>
      <c r="AC193" s="48" t="str">
        <f>IF(Z193="","",_xll.IMDP("STK",$Z193,"전일대비"))</f>
        <v/>
      </c>
      <c r="AD193" s="49" t="str">
        <f>IF(Z193="","",_xll.IMDP("STK",$Z193,"등락률"))</f>
        <v/>
      </c>
      <c r="AE193" s="48" t="str">
        <f>IF(Z193="","",_xll.IMDP("STK",Z193,"시가총액"))</f>
        <v/>
      </c>
      <c r="AF193" s="20" t="str">
        <f t="shared" si="8"/>
        <v/>
      </c>
      <c r="AG193" s="21" t="str">
        <f>IF(AF193="","",_xll.IMDP("STK",$AF193,"한글종목명"))</f>
        <v/>
      </c>
      <c r="AH193" s="48" t="str">
        <f>IF(AF193="","",_xll.IMDP("STK",$AF193,"현재가"))</f>
        <v/>
      </c>
      <c r="AI193" s="48" t="str">
        <f>IF(AF193="","",_xll.IMDP("STK",$AF193,"전일대비"))</f>
        <v/>
      </c>
      <c r="AJ193" s="49" t="str">
        <f>IF(AF193="","",_xll.IMDP("STK",$AF193,"등락률"))</f>
        <v/>
      </c>
      <c r="AK193" s="48" t="str">
        <f>IF(AF193="","",_xll.IMDP("STK",$AF193,"시가총액"))</f>
        <v/>
      </c>
      <c r="AL193" s="20" t="str">
        <f t="shared" si="7"/>
        <v/>
      </c>
      <c r="AM193" s="21" t="str">
        <f>IF(AL193="","",_xll.IMDP("STK",$AL193,"한글종목명"))</f>
        <v/>
      </c>
      <c r="AN193" s="48" t="str">
        <f>IF(AL193="","",_xll.IMDP("STK",$AL193,"현재가"))</f>
        <v/>
      </c>
      <c r="AO193" s="48" t="str">
        <f>IF(AL193="","",_xll.IMDP("STK",$AL193,"전일대비"))</f>
        <v/>
      </c>
      <c r="AP193" s="49" t="str">
        <f>IF(AL193="","",_xll.IMDP("STK",$AL193,"등락률"))</f>
        <v/>
      </c>
      <c r="AQ193" s="48" t="str">
        <f>IF(AL193="","",_xll.IMDP("STK",$AL193,"시가총액"))</f>
        <v/>
      </c>
    </row>
    <row r="194" spans="3:43" x14ac:dyDescent="0.25">
      <c r="C194" s="22">
        <v>189</v>
      </c>
      <c r="Y194" s="25" t="s">
        <v>193</v>
      </c>
      <c r="Z194" s="20" t="str">
        <f t="shared" si="6"/>
        <v/>
      </c>
      <c r="AA194" s="21" t="str">
        <f>IF(Z194="","",_xll.IMDP("STK",$Z194,"한글종목명"))</f>
        <v/>
      </c>
      <c r="AB194" s="48" t="str">
        <f>IF(Z194="","",_xll.IMDP("STK",$Z194,"현재가"))</f>
        <v/>
      </c>
      <c r="AC194" s="48" t="str">
        <f>IF(Z194="","",_xll.IMDP("STK",$Z194,"전일대비"))</f>
        <v/>
      </c>
      <c r="AD194" s="49" t="str">
        <f>IF(Z194="","",_xll.IMDP("STK",$Z194,"등락률"))</f>
        <v/>
      </c>
      <c r="AE194" s="48" t="str">
        <f>IF(Z194="","",_xll.IMDP("STK",Z194,"시가총액"))</f>
        <v/>
      </c>
      <c r="AF194" s="20" t="str">
        <f t="shared" si="8"/>
        <v/>
      </c>
      <c r="AG194" s="21" t="str">
        <f>IF(AF194="","",_xll.IMDP("STK",$AF194,"한글종목명"))</f>
        <v/>
      </c>
      <c r="AH194" s="48" t="str">
        <f>IF(AF194="","",_xll.IMDP("STK",$AF194,"현재가"))</f>
        <v/>
      </c>
      <c r="AI194" s="48" t="str">
        <f>IF(AF194="","",_xll.IMDP("STK",$AF194,"전일대비"))</f>
        <v/>
      </c>
      <c r="AJ194" s="49" t="str">
        <f>IF(AF194="","",_xll.IMDP("STK",$AF194,"등락률"))</f>
        <v/>
      </c>
      <c r="AK194" s="48" t="str">
        <f>IF(AF194="","",_xll.IMDP("STK",$AF194,"시가총액"))</f>
        <v/>
      </c>
      <c r="AL194" s="20" t="str">
        <f t="shared" si="7"/>
        <v/>
      </c>
      <c r="AM194" s="21" t="str">
        <f>IF(AL194="","",_xll.IMDP("STK",$AL194,"한글종목명"))</f>
        <v/>
      </c>
      <c r="AN194" s="48" t="str">
        <f>IF(AL194="","",_xll.IMDP("STK",$AL194,"현재가"))</f>
        <v/>
      </c>
      <c r="AO194" s="48" t="str">
        <f>IF(AL194="","",_xll.IMDP("STK",$AL194,"전일대비"))</f>
        <v/>
      </c>
      <c r="AP194" s="49" t="str">
        <f>IF(AL194="","",_xll.IMDP("STK",$AL194,"등락률"))</f>
        <v/>
      </c>
      <c r="AQ194" s="48" t="str">
        <f>IF(AL194="","",_xll.IMDP("STK",$AL194,"시가총액"))</f>
        <v/>
      </c>
    </row>
    <row r="195" spans="3:43" x14ac:dyDescent="0.25">
      <c r="C195" s="22">
        <v>190</v>
      </c>
      <c r="Y195" s="25" t="s">
        <v>299</v>
      </c>
      <c r="Z195" s="20" t="str">
        <f t="shared" si="6"/>
        <v/>
      </c>
      <c r="AA195" s="21" t="str">
        <f>IF(Z195="","",_xll.IMDP("STK",$Z195,"한글종목명"))</f>
        <v/>
      </c>
      <c r="AB195" s="48" t="str">
        <f>IF(Z195="","",_xll.IMDP("STK",$Z195,"현재가"))</f>
        <v/>
      </c>
      <c r="AC195" s="48" t="str">
        <f>IF(Z195="","",_xll.IMDP("STK",$Z195,"전일대비"))</f>
        <v/>
      </c>
      <c r="AD195" s="49" t="str">
        <f>IF(Z195="","",_xll.IMDP("STK",$Z195,"등락률"))</f>
        <v/>
      </c>
      <c r="AE195" s="48" t="str">
        <f>IF(Z195="","",_xll.IMDP("STK",Z195,"시가총액"))</f>
        <v/>
      </c>
      <c r="AF195" s="20" t="str">
        <f t="shared" si="8"/>
        <v/>
      </c>
      <c r="AG195" s="21" t="str">
        <f>IF(AF195="","",_xll.IMDP("STK",$AF195,"한글종목명"))</f>
        <v/>
      </c>
      <c r="AH195" s="48" t="str">
        <f>IF(AF195="","",_xll.IMDP("STK",$AF195,"현재가"))</f>
        <v/>
      </c>
      <c r="AI195" s="48" t="str">
        <f>IF(AF195="","",_xll.IMDP("STK",$AF195,"전일대비"))</f>
        <v/>
      </c>
      <c r="AJ195" s="49" t="str">
        <f>IF(AF195="","",_xll.IMDP("STK",$AF195,"등락률"))</f>
        <v/>
      </c>
      <c r="AK195" s="48" t="str">
        <f>IF(AF195="","",_xll.IMDP("STK",$AF195,"시가총액"))</f>
        <v/>
      </c>
      <c r="AL195" s="20" t="str">
        <f t="shared" si="7"/>
        <v/>
      </c>
      <c r="AM195" s="21" t="str">
        <f>IF(AL195="","",_xll.IMDP("STK",$AL195,"한글종목명"))</f>
        <v/>
      </c>
      <c r="AN195" s="48" t="str">
        <f>IF(AL195="","",_xll.IMDP("STK",$AL195,"현재가"))</f>
        <v/>
      </c>
      <c r="AO195" s="48" t="str">
        <f>IF(AL195="","",_xll.IMDP("STK",$AL195,"전일대비"))</f>
        <v/>
      </c>
      <c r="AP195" s="49" t="str">
        <f>IF(AL195="","",_xll.IMDP("STK",$AL195,"등락률"))</f>
        <v/>
      </c>
      <c r="AQ195" s="48" t="str">
        <f>IF(AL195="","",_xll.IMDP("STK",$AL195,"시가총액"))</f>
        <v/>
      </c>
    </row>
    <row r="196" spans="3:43" x14ac:dyDescent="0.25">
      <c r="C196" s="22">
        <v>191</v>
      </c>
      <c r="Y196" s="25" t="s">
        <v>194</v>
      </c>
      <c r="Z196" s="20" t="str">
        <f t="shared" si="6"/>
        <v/>
      </c>
      <c r="AA196" s="21" t="str">
        <f>IF(Z196="","",_xll.IMDP("STK",$Z196,"한글종목명"))</f>
        <v/>
      </c>
      <c r="AB196" s="48" t="str">
        <f>IF(Z196="","",_xll.IMDP("STK",$Z196,"현재가"))</f>
        <v/>
      </c>
      <c r="AC196" s="48" t="str">
        <f>IF(Z196="","",_xll.IMDP("STK",$Z196,"전일대비"))</f>
        <v/>
      </c>
      <c r="AD196" s="49" t="str">
        <f>IF(Z196="","",_xll.IMDP("STK",$Z196,"등락률"))</f>
        <v/>
      </c>
      <c r="AE196" s="48" t="str">
        <f>IF(Z196="","",_xll.IMDP("STK",Z196,"시가총액"))</f>
        <v/>
      </c>
      <c r="AF196" s="20" t="str">
        <f t="shared" si="8"/>
        <v/>
      </c>
      <c r="AG196" s="21" t="str">
        <f>IF(AF196="","",_xll.IMDP("STK",$AF196,"한글종목명"))</f>
        <v/>
      </c>
      <c r="AH196" s="48" t="str">
        <f>IF(AF196="","",_xll.IMDP("STK",$AF196,"현재가"))</f>
        <v/>
      </c>
      <c r="AI196" s="48" t="str">
        <f>IF(AF196="","",_xll.IMDP("STK",$AF196,"전일대비"))</f>
        <v/>
      </c>
      <c r="AJ196" s="49" t="str">
        <f>IF(AF196="","",_xll.IMDP("STK",$AF196,"등락률"))</f>
        <v/>
      </c>
      <c r="AK196" s="48" t="str">
        <f>IF(AF196="","",_xll.IMDP("STK",$AF196,"시가총액"))</f>
        <v/>
      </c>
      <c r="AL196" s="20" t="str">
        <f t="shared" si="7"/>
        <v/>
      </c>
      <c r="AM196" s="21" t="str">
        <f>IF(AL196="","",_xll.IMDP("STK",$AL196,"한글종목명"))</f>
        <v/>
      </c>
      <c r="AN196" s="48" t="str">
        <f>IF(AL196="","",_xll.IMDP("STK",$AL196,"현재가"))</f>
        <v/>
      </c>
      <c r="AO196" s="48" t="str">
        <f>IF(AL196="","",_xll.IMDP("STK",$AL196,"전일대비"))</f>
        <v/>
      </c>
      <c r="AP196" s="49" t="str">
        <f>IF(AL196="","",_xll.IMDP("STK",$AL196,"등락률"))</f>
        <v/>
      </c>
      <c r="AQ196" s="48" t="str">
        <f>IF(AL196="","",_xll.IMDP("STK",$AL196,"시가총액"))</f>
        <v/>
      </c>
    </row>
    <row r="197" spans="3:43" x14ac:dyDescent="0.25">
      <c r="C197" s="22">
        <v>192</v>
      </c>
      <c r="Y197" s="25" t="s">
        <v>195</v>
      </c>
      <c r="Z197" s="20" t="str">
        <f t="shared" si="6"/>
        <v/>
      </c>
      <c r="AA197" s="21" t="str">
        <f>IF(Z197="","",_xll.IMDP("STK",$Z197,"한글종목명"))</f>
        <v/>
      </c>
      <c r="AB197" s="48" t="str">
        <f>IF(Z197="","",_xll.IMDP("STK",$Z197,"현재가"))</f>
        <v/>
      </c>
      <c r="AC197" s="48" t="str">
        <f>IF(Z197="","",_xll.IMDP("STK",$Z197,"전일대비"))</f>
        <v/>
      </c>
      <c r="AD197" s="49" t="str">
        <f>IF(Z197="","",_xll.IMDP("STK",$Z197,"등락률"))</f>
        <v/>
      </c>
      <c r="AE197" s="48" t="str">
        <f>IF(Z197="","",_xll.IMDP("STK",Z197,"시가총액"))</f>
        <v/>
      </c>
      <c r="AF197" s="20" t="str">
        <f t="shared" si="8"/>
        <v/>
      </c>
      <c r="AG197" s="21" t="str">
        <f>IF(AF197="","",_xll.IMDP("STK",$AF197,"한글종목명"))</f>
        <v/>
      </c>
      <c r="AH197" s="48" t="str">
        <f>IF(AF197="","",_xll.IMDP("STK",$AF197,"현재가"))</f>
        <v/>
      </c>
      <c r="AI197" s="48" t="str">
        <f>IF(AF197="","",_xll.IMDP("STK",$AF197,"전일대비"))</f>
        <v/>
      </c>
      <c r="AJ197" s="49" t="str">
        <f>IF(AF197="","",_xll.IMDP("STK",$AF197,"등락률"))</f>
        <v/>
      </c>
      <c r="AK197" s="48" t="str">
        <f>IF(AF197="","",_xll.IMDP("STK",$AF197,"시가총액"))</f>
        <v/>
      </c>
      <c r="AL197" s="20" t="str">
        <f t="shared" si="7"/>
        <v/>
      </c>
      <c r="AM197" s="21" t="str">
        <f>IF(AL197="","",_xll.IMDP("STK",$AL197,"한글종목명"))</f>
        <v/>
      </c>
      <c r="AN197" s="48" t="str">
        <f>IF(AL197="","",_xll.IMDP("STK",$AL197,"현재가"))</f>
        <v/>
      </c>
      <c r="AO197" s="48" t="str">
        <f>IF(AL197="","",_xll.IMDP("STK",$AL197,"전일대비"))</f>
        <v/>
      </c>
      <c r="AP197" s="49" t="str">
        <f>IF(AL197="","",_xll.IMDP("STK",$AL197,"등락률"))</f>
        <v/>
      </c>
      <c r="AQ197" s="48" t="str">
        <f>IF(AL197="","",_xll.IMDP("STK",$AL197,"시가총액"))</f>
        <v/>
      </c>
    </row>
    <row r="198" spans="3:43" x14ac:dyDescent="0.25">
      <c r="C198" s="22">
        <v>193</v>
      </c>
      <c r="Y198" s="25" t="s">
        <v>650</v>
      </c>
      <c r="Z198" s="20" t="str">
        <f t="shared" ref="Z198:Z261" si="9">IF(INDEX($D$6:$Y$525,$C198,$AA$4)=0,"",INDEX($D$6:$Y$525,$C198,$AA$4))</f>
        <v/>
      </c>
      <c r="AA198" s="21" t="str">
        <f>IF(Z198="","",_xll.IMDP("STK",$Z198,"한글종목명"))</f>
        <v/>
      </c>
      <c r="AB198" s="48" t="str">
        <f>IF(Z198="","",_xll.IMDP("STK",$Z198,"현재가"))</f>
        <v/>
      </c>
      <c r="AC198" s="48" t="str">
        <f>IF(Z198="","",_xll.IMDP("STK",$Z198,"전일대비"))</f>
        <v/>
      </c>
      <c r="AD198" s="49" t="str">
        <f>IF(Z198="","",_xll.IMDP("STK",$Z198,"등락률"))</f>
        <v/>
      </c>
      <c r="AE198" s="48" t="str">
        <f>IF(Z198="","",_xll.IMDP("STK",Z198,"시가총액"))</f>
        <v/>
      </c>
      <c r="AF198" s="20" t="str">
        <f t="shared" si="8"/>
        <v/>
      </c>
      <c r="AG198" s="21" t="str">
        <f>IF(AF198="","",_xll.IMDP("STK",$AF198,"한글종목명"))</f>
        <v/>
      </c>
      <c r="AH198" s="48" t="str">
        <f>IF(AF198="","",_xll.IMDP("STK",$AF198,"현재가"))</f>
        <v/>
      </c>
      <c r="AI198" s="48" t="str">
        <f>IF(AF198="","",_xll.IMDP("STK",$AF198,"전일대비"))</f>
        <v/>
      </c>
      <c r="AJ198" s="49" t="str">
        <f>IF(AF198="","",_xll.IMDP("STK",$AF198,"등락률"))</f>
        <v/>
      </c>
      <c r="AK198" s="48" t="str">
        <f>IF(AF198="","",_xll.IMDP("STK",$AF198,"시가총액"))</f>
        <v/>
      </c>
      <c r="AL198" s="20" t="str">
        <f t="shared" ref="AL198:AL261" si="10">IF(INDEX($D$6:$Y$525,$C198,$AM$4)=0,"",INDEX($D$6:$Y$525,$C198,$AM$4))</f>
        <v/>
      </c>
      <c r="AM198" s="21" t="str">
        <f>IF(AL198="","",_xll.IMDP("STK",$AL198,"한글종목명"))</f>
        <v/>
      </c>
      <c r="AN198" s="48" t="str">
        <f>IF(AL198="","",_xll.IMDP("STK",$AL198,"현재가"))</f>
        <v/>
      </c>
      <c r="AO198" s="48" t="str">
        <f>IF(AL198="","",_xll.IMDP("STK",$AL198,"전일대비"))</f>
        <v/>
      </c>
      <c r="AP198" s="49" t="str">
        <f>IF(AL198="","",_xll.IMDP("STK",$AL198,"등락률"))</f>
        <v/>
      </c>
      <c r="AQ198" s="48" t="str">
        <f>IF(AL198="","",_xll.IMDP("STK",$AL198,"시가총액"))</f>
        <v/>
      </c>
    </row>
    <row r="199" spans="3:43" x14ac:dyDescent="0.25">
      <c r="C199" s="22">
        <v>194</v>
      </c>
      <c r="Y199" s="25" t="s">
        <v>486</v>
      </c>
      <c r="Z199" s="20" t="str">
        <f t="shared" si="9"/>
        <v/>
      </c>
      <c r="AA199" s="21" t="str">
        <f>IF(Z199="","",_xll.IMDP("STK",$Z199,"한글종목명"))</f>
        <v/>
      </c>
      <c r="AB199" s="48" t="str">
        <f>IF(Z199="","",_xll.IMDP("STK",$Z199,"현재가"))</f>
        <v/>
      </c>
      <c r="AC199" s="48" t="str">
        <f>IF(Z199="","",_xll.IMDP("STK",$Z199,"전일대비"))</f>
        <v/>
      </c>
      <c r="AD199" s="49" t="str">
        <f>IF(Z199="","",_xll.IMDP("STK",$Z199,"등락률"))</f>
        <v/>
      </c>
      <c r="AE199" s="48" t="str">
        <f>IF(Z199="","",_xll.IMDP("STK",Z199,"시가총액"))</f>
        <v/>
      </c>
      <c r="AF199" s="20" t="str">
        <f t="shared" ref="AF199:AF262" si="11">IF(INDEX($D$6:$Y$525,$C199,$AG$4)=0,"",INDEX($D$6:$Y$525,$C199,$AG$4))</f>
        <v/>
      </c>
      <c r="AG199" s="21" t="str">
        <f>IF(AF199="","",_xll.IMDP("STK",$AF199,"한글종목명"))</f>
        <v/>
      </c>
      <c r="AH199" s="48" t="str">
        <f>IF(AF199="","",_xll.IMDP("STK",$AF199,"현재가"))</f>
        <v/>
      </c>
      <c r="AI199" s="48" t="str">
        <f>IF(AF199="","",_xll.IMDP("STK",$AF199,"전일대비"))</f>
        <v/>
      </c>
      <c r="AJ199" s="49" t="str">
        <f>IF(AF199="","",_xll.IMDP("STK",$AF199,"등락률"))</f>
        <v/>
      </c>
      <c r="AK199" s="48" t="str">
        <f>IF(AF199="","",_xll.IMDP("STK",$AF199,"시가총액"))</f>
        <v/>
      </c>
      <c r="AL199" s="20" t="str">
        <f t="shared" si="10"/>
        <v/>
      </c>
      <c r="AM199" s="21" t="str">
        <f>IF(AL199="","",_xll.IMDP("STK",$AL199,"한글종목명"))</f>
        <v/>
      </c>
      <c r="AN199" s="48" t="str">
        <f>IF(AL199="","",_xll.IMDP("STK",$AL199,"현재가"))</f>
        <v/>
      </c>
      <c r="AO199" s="48" t="str">
        <f>IF(AL199="","",_xll.IMDP("STK",$AL199,"전일대비"))</f>
        <v/>
      </c>
      <c r="AP199" s="49" t="str">
        <f>IF(AL199="","",_xll.IMDP("STK",$AL199,"등락률"))</f>
        <v/>
      </c>
      <c r="AQ199" s="48" t="str">
        <f>IF(AL199="","",_xll.IMDP("STK",$AL199,"시가총액"))</f>
        <v/>
      </c>
    </row>
    <row r="200" spans="3:43" x14ac:dyDescent="0.25">
      <c r="C200" s="22">
        <v>195</v>
      </c>
      <c r="Y200" s="25" t="s">
        <v>232</v>
      </c>
      <c r="Z200" s="20" t="str">
        <f t="shared" si="9"/>
        <v/>
      </c>
      <c r="AA200" s="21" t="str">
        <f>IF(Z200="","",_xll.IMDP("STK",$Z200,"한글종목명"))</f>
        <v/>
      </c>
      <c r="AB200" s="48" t="str">
        <f>IF(Z200="","",_xll.IMDP("STK",$Z200,"현재가"))</f>
        <v/>
      </c>
      <c r="AC200" s="48" t="str">
        <f>IF(Z200="","",_xll.IMDP("STK",$Z200,"전일대비"))</f>
        <v/>
      </c>
      <c r="AD200" s="49" t="str">
        <f>IF(Z200="","",_xll.IMDP("STK",$Z200,"등락률"))</f>
        <v/>
      </c>
      <c r="AE200" s="48" t="str">
        <f>IF(Z200="","",_xll.IMDP("STK",Z200,"시가총액"))</f>
        <v/>
      </c>
      <c r="AF200" s="20" t="str">
        <f t="shared" si="11"/>
        <v/>
      </c>
      <c r="AG200" s="21" t="str">
        <f>IF(AF200="","",_xll.IMDP("STK",$AF200,"한글종목명"))</f>
        <v/>
      </c>
      <c r="AH200" s="48" t="str">
        <f>IF(AF200="","",_xll.IMDP("STK",$AF200,"현재가"))</f>
        <v/>
      </c>
      <c r="AI200" s="48" t="str">
        <f>IF(AF200="","",_xll.IMDP("STK",$AF200,"전일대비"))</f>
        <v/>
      </c>
      <c r="AJ200" s="49" t="str">
        <f>IF(AF200="","",_xll.IMDP("STK",$AF200,"등락률"))</f>
        <v/>
      </c>
      <c r="AK200" s="48" t="str">
        <f>IF(AF200="","",_xll.IMDP("STK",$AF200,"시가총액"))</f>
        <v/>
      </c>
      <c r="AL200" s="20" t="str">
        <f t="shared" si="10"/>
        <v/>
      </c>
      <c r="AM200" s="21" t="str">
        <f>IF(AL200="","",_xll.IMDP("STK",$AL200,"한글종목명"))</f>
        <v/>
      </c>
      <c r="AN200" s="48" t="str">
        <f>IF(AL200="","",_xll.IMDP("STK",$AL200,"현재가"))</f>
        <v/>
      </c>
      <c r="AO200" s="48" t="str">
        <f>IF(AL200="","",_xll.IMDP("STK",$AL200,"전일대비"))</f>
        <v/>
      </c>
      <c r="AP200" s="49" t="str">
        <f>IF(AL200="","",_xll.IMDP("STK",$AL200,"등락률"))</f>
        <v/>
      </c>
      <c r="AQ200" s="48" t="str">
        <f>IF(AL200="","",_xll.IMDP("STK",$AL200,"시가총액"))</f>
        <v/>
      </c>
    </row>
    <row r="201" spans="3:43" x14ac:dyDescent="0.25">
      <c r="C201" s="22">
        <v>196</v>
      </c>
      <c r="Y201" s="25" t="s">
        <v>396</v>
      </c>
      <c r="Z201" s="20" t="str">
        <f t="shared" si="9"/>
        <v/>
      </c>
      <c r="AA201" s="21" t="str">
        <f>IF(Z201="","",_xll.IMDP("STK",$Z201,"한글종목명"))</f>
        <v/>
      </c>
      <c r="AB201" s="48" t="str">
        <f>IF(Z201="","",_xll.IMDP("STK",$Z201,"현재가"))</f>
        <v/>
      </c>
      <c r="AC201" s="48" t="str">
        <f>IF(Z201="","",_xll.IMDP("STK",$Z201,"전일대비"))</f>
        <v/>
      </c>
      <c r="AD201" s="49" t="str">
        <f>IF(Z201="","",_xll.IMDP("STK",$Z201,"등락률"))</f>
        <v/>
      </c>
      <c r="AE201" s="48" t="str">
        <f>IF(Z201="","",_xll.IMDP("STK",Z201,"시가총액"))</f>
        <v/>
      </c>
      <c r="AF201" s="20" t="str">
        <f t="shared" si="11"/>
        <v/>
      </c>
      <c r="AG201" s="21" t="str">
        <f>IF(AF201="","",_xll.IMDP("STK",$AF201,"한글종목명"))</f>
        <v/>
      </c>
      <c r="AH201" s="48" t="str">
        <f>IF(AF201="","",_xll.IMDP("STK",$AF201,"현재가"))</f>
        <v/>
      </c>
      <c r="AI201" s="48" t="str">
        <f>IF(AF201="","",_xll.IMDP("STK",$AF201,"전일대비"))</f>
        <v/>
      </c>
      <c r="AJ201" s="49" t="str">
        <f>IF(AF201="","",_xll.IMDP("STK",$AF201,"등락률"))</f>
        <v/>
      </c>
      <c r="AK201" s="48" t="str">
        <f>IF(AF201="","",_xll.IMDP("STK",$AF201,"시가총액"))</f>
        <v/>
      </c>
      <c r="AL201" s="20" t="str">
        <f t="shared" si="10"/>
        <v/>
      </c>
      <c r="AM201" s="21" t="str">
        <f>IF(AL201="","",_xll.IMDP("STK",$AL201,"한글종목명"))</f>
        <v/>
      </c>
      <c r="AN201" s="48" t="str">
        <f>IF(AL201="","",_xll.IMDP("STK",$AL201,"현재가"))</f>
        <v/>
      </c>
      <c r="AO201" s="48" t="str">
        <f>IF(AL201="","",_xll.IMDP("STK",$AL201,"전일대비"))</f>
        <v/>
      </c>
      <c r="AP201" s="49" t="str">
        <f>IF(AL201="","",_xll.IMDP("STK",$AL201,"등락률"))</f>
        <v/>
      </c>
      <c r="AQ201" s="48" t="str">
        <f>IF(AL201="","",_xll.IMDP("STK",$AL201,"시가총액"))</f>
        <v/>
      </c>
    </row>
    <row r="202" spans="3:43" x14ac:dyDescent="0.25">
      <c r="C202" s="22">
        <v>197</v>
      </c>
      <c r="Y202" s="25" t="s">
        <v>364</v>
      </c>
      <c r="Z202" s="20" t="str">
        <f t="shared" si="9"/>
        <v/>
      </c>
      <c r="AA202" s="21" t="str">
        <f>IF(Z202="","",_xll.IMDP("STK",$Z202,"한글종목명"))</f>
        <v/>
      </c>
      <c r="AB202" s="48" t="str">
        <f>IF(Z202="","",_xll.IMDP("STK",$Z202,"현재가"))</f>
        <v/>
      </c>
      <c r="AC202" s="48" t="str">
        <f>IF(Z202="","",_xll.IMDP("STK",$Z202,"전일대비"))</f>
        <v/>
      </c>
      <c r="AD202" s="49" t="str">
        <f>IF(Z202="","",_xll.IMDP("STK",$Z202,"등락률"))</f>
        <v/>
      </c>
      <c r="AE202" s="48" t="str">
        <f>IF(Z202="","",_xll.IMDP("STK",Z202,"시가총액"))</f>
        <v/>
      </c>
      <c r="AF202" s="20" t="str">
        <f t="shared" si="11"/>
        <v/>
      </c>
      <c r="AG202" s="21" t="str">
        <f>IF(AF202="","",_xll.IMDP("STK",$AF202,"한글종목명"))</f>
        <v/>
      </c>
      <c r="AH202" s="48" t="str">
        <f>IF(AF202="","",_xll.IMDP("STK",$AF202,"현재가"))</f>
        <v/>
      </c>
      <c r="AI202" s="48" t="str">
        <f>IF(AF202="","",_xll.IMDP("STK",$AF202,"전일대비"))</f>
        <v/>
      </c>
      <c r="AJ202" s="49" t="str">
        <f>IF(AF202="","",_xll.IMDP("STK",$AF202,"등락률"))</f>
        <v/>
      </c>
      <c r="AK202" s="48" t="str">
        <f>IF(AF202="","",_xll.IMDP("STK",$AF202,"시가총액"))</f>
        <v/>
      </c>
      <c r="AL202" s="20" t="str">
        <f t="shared" si="10"/>
        <v/>
      </c>
      <c r="AM202" s="21" t="str">
        <f>IF(AL202="","",_xll.IMDP("STK",$AL202,"한글종목명"))</f>
        <v/>
      </c>
      <c r="AN202" s="48" t="str">
        <f>IF(AL202="","",_xll.IMDP("STK",$AL202,"현재가"))</f>
        <v/>
      </c>
      <c r="AO202" s="48" t="str">
        <f>IF(AL202="","",_xll.IMDP("STK",$AL202,"전일대비"))</f>
        <v/>
      </c>
      <c r="AP202" s="49" t="str">
        <f>IF(AL202="","",_xll.IMDP("STK",$AL202,"등락률"))</f>
        <v/>
      </c>
      <c r="AQ202" s="48" t="str">
        <f>IF(AL202="","",_xll.IMDP("STK",$AL202,"시가총액"))</f>
        <v/>
      </c>
    </row>
    <row r="203" spans="3:43" x14ac:dyDescent="0.25">
      <c r="C203" s="22">
        <v>198</v>
      </c>
      <c r="Y203" s="25" t="s">
        <v>651</v>
      </c>
      <c r="Z203" s="20" t="str">
        <f t="shared" si="9"/>
        <v/>
      </c>
      <c r="AA203" s="21" t="str">
        <f>IF(Z203="","",_xll.IMDP("STK",$Z203,"한글종목명"))</f>
        <v/>
      </c>
      <c r="AB203" s="48" t="str">
        <f>IF(Z203="","",_xll.IMDP("STK",$Z203,"현재가"))</f>
        <v/>
      </c>
      <c r="AC203" s="48" t="str">
        <f>IF(Z203="","",_xll.IMDP("STK",$Z203,"전일대비"))</f>
        <v/>
      </c>
      <c r="AD203" s="49" t="str">
        <f>IF(Z203="","",_xll.IMDP("STK",$Z203,"등락률"))</f>
        <v/>
      </c>
      <c r="AE203" s="48" t="str">
        <f>IF(Z203="","",_xll.IMDP("STK",Z203,"시가총액"))</f>
        <v/>
      </c>
      <c r="AF203" s="20" t="str">
        <f t="shared" si="11"/>
        <v/>
      </c>
      <c r="AG203" s="21" t="str">
        <f>IF(AF203="","",_xll.IMDP("STK",$AF203,"한글종목명"))</f>
        <v/>
      </c>
      <c r="AH203" s="48" t="str">
        <f>IF(AF203="","",_xll.IMDP("STK",$AF203,"현재가"))</f>
        <v/>
      </c>
      <c r="AI203" s="48" t="str">
        <f>IF(AF203="","",_xll.IMDP("STK",$AF203,"전일대비"))</f>
        <v/>
      </c>
      <c r="AJ203" s="49" t="str">
        <f>IF(AF203="","",_xll.IMDP("STK",$AF203,"등락률"))</f>
        <v/>
      </c>
      <c r="AK203" s="48" t="str">
        <f>IF(AF203="","",_xll.IMDP("STK",$AF203,"시가총액"))</f>
        <v/>
      </c>
      <c r="AL203" s="20" t="str">
        <f t="shared" si="10"/>
        <v/>
      </c>
      <c r="AM203" s="21" t="str">
        <f>IF(AL203="","",_xll.IMDP("STK",$AL203,"한글종목명"))</f>
        <v/>
      </c>
      <c r="AN203" s="48" t="str">
        <f>IF(AL203="","",_xll.IMDP("STK",$AL203,"현재가"))</f>
        <v/>
      </c>
      <c r="AO203" s="48" t="str">
        <f>IF(AL203="","",_xll.IMDP("STK",$AL203,"전일대비"))</f>
        <v/>
      </c>
      <c r="AP203" s="49" t="str">
        <f>IF(AL203="","",_xll.IMDP("STK",$AL203,"등락률"))</f>
        <v/>
      </c>
      <c r="AQ203" s="48" t="str">
        <f>IF(AL203="","",_xll.IMDP("STK",$AL203,"시가총액"))</f>
        <v/>
      </c>
    </row>
    <row r="204" spans="3:43" x14ac:dyDescent="0.25">
      <c r="C204" s="22">
        <v>199</v>
      </c>
      <c r="Y204" s="25" t="s">
        <v>365</v>
      </c>
      <c r="Z204" s="20" t="str">
        <f t="shared" si="9"/>
        <v/>
      </c>
      <c r="AA204" s="21" t="str">
        <f>IF(Z204="","",_xll.IMDP("STK",$Z204,"한글종목명"))</f>
        <v/>
      </c>
      <c r="AB204" s="48" t="str">
        <f>IF(Z204="","",_xll.IMDP("STK",$Z204,"현재가"))</f>
        <v/>
      </c>
      <c r="AC204" s="48" t="str">
        <f>IF(Z204="","",_xll.IMDP("STK",$Z204,"전일대비"))</f>
        <v/>
      </c>
      <c r="AD204" s="49" t="str">
        <f>IF(Z204="","",_xll.IMDP("STK",$Z204,"등락률"))</f>
        <v/>
      </c>
      <c r="AE204" s="48" t="str">
        <f>IF(Z204="","",_xll.IMDP("STK",Z204,"시가총액"))</f>
        <v/>
      </c>
      <c r="AF204" s="20" t="str">
        <f t="shared" si="11"/>
        <v/>
      </c>
      <c r="AG204" s="21" t="str">
        <f>IF(AF204="","",_xll.IMDP("STK",$AF204,"한글종목명"))</f>
        <v/>
      </c>
      <c r="AH204" s="48" t="str">
        <f>IF(AF204="","",_xll.IMDP("STK",$AF204,"현재가"))</f>
        <v/>
      </c>
      <c r="AI204" s="48" t="str">
        <f>IF(AF204="","",_xll.IMDP("STK",$AF204,"전일대비"))</f>
        <v/>
      </c>
      <c r="AJ204" s="49" t="str">
        <f>IF(AF204="","",_xll.IMDP("STK",$AF204,"등락률"))</f>
        <v/>
      </c>
      <c r="AK204" s="48" t="str">
        <f>IF(AF204="","",_xll.IMDP("STK",$AF204,"시가총액"))</f>
        <v/>
      </c>
      <c r="AL204" s="20" t="str">
        <f t="shared" si="10"/>
        <v/>
      </c>
      <c r="AM204" s="21" t="str">
        <f>IF(AL204="","",_xll.IMDP("STK",$AL204,"한글종목명"))</f>
        <v/>
      </c>
      <c r="AN204" s="48" t="str">
        <f>IF(AL204="","",_xll.IMDP("STK",$AL204,"현재가"))</f>
        <v/>
      </c>
      <c r="AO204" s="48" t="str">
        <f>IF(AL204="","",_xll.IMDP("STK",$AL204,"전일대비"))</f>
        <v/>
      </c>
      <c r="AP204" s="49" t="str">
        <f>IF(AL204="","",_xll.IMDP("STK",$AL204,"등락률"))</f>
        <v/>
      </c>
      <c r="AQ204" s="48" t="str">
        <f>IF(AL204="","",_xll.IMDP("STK",$AL204,"시가총액"))</f>
        <v/>
      </c>
    </row>
    <row r="205" spans="3:43" x14ac:dyDescent="0.25">
      <c r="C205" s="22">
        <v>200</v>
      </c>
      <c r="Y205" s="25" t="s">
        <v>366</v>
      </c>
      <c r="Z205" s="20" t="str">
        <f t="shared" si="9"/>
        <v/>
      </c>
      <c r="AA205" s="21" t="str">
        <f>IF(Z205="","",_xll.IMDP("STK",$Z205,"한글종목명"))</f>
        <v/>
      </c>
      <c r="AB205" s="48" t="str">
        <f>IF(Z205="","",_xll.IMDP("STK",$Z205,"현재가"))</f>
        <v/>
      </c>
      <c r="AC205" s="48" t="str">
        <f>IF(Z205="","",_xll.IMDP("STK",$Z205,"전일대비"))</f>
        <v/>
      </c>
      <c r="AD205" s="49" t="str">
        <f>IF(Z205="","",_xll.IMDP("STK",$Z205,"등락률"))</f>
        <v/>
      </c>
      <c r="AE205" s="48" t="str">
        <f>IF(Z205="","",_xll.IMDP("STK",Z205,"시가총액"))</f>
        <v/>
      </c>
      <c r="AF205" s="20" t="str">
        <f t="shared" si="11"/>
        <v/>
      </c>
      <c r="AG205" s="21" t="str">
        <f>IF(AF205="","",_xll.IMDP("STK",$AF205,"한글종목명"))</f>
        <v/>
      </c>
      <c r="AH205" s="48" t="str">
        <f>IF(AF205="","",_xll.IMDP("STK",$AF205,"현재가"))</f>
        <v/>
      </c>
      <c r="AI205" s="48" t="str">
        <f>IF(AF205="","",_xll.IMDP("STK",$AF205,"전일대비"))</f>
        <v/>
      </c>
      <c r="AJ205" s="49" t="str">
        <f>IF(AF205="","",_xll.IMDP("STK",$AF205,"등락률"))</f>
        <v/>
      </c>
      <c r="AK205" s="48" t="str">
        <f>IF(AF205="","",_xll.IMDP("STK",$AF205,"시가총액"))</f>
        <v/>
      </c>
      <c r="AL205" s="20" t="str">
        <f t="shared" si="10"/>
        <v/>
      </c>
      <c r="AM205" s="21" t="str">
        <f>IF(AL205="","",_xll.IMDP("STK",$AL205,"한글종목명"))</f>
        <v/>
      </c>
      <c r="AN205" s="48" t="str">
        <f>IF(AL205="","",_xll.IMDP("STK",$AL205,"현재가"))</f>
        <v/>
      </c>
      <c r="AO205" s="48" t="str">
        <f>IF(AL205="","",_xll.IMDP("STK",$AL205,"전일대비"))</f>
        <v/>
      </c>
      <c r="AP205" s="49" t="str">
        <f>IF(AL205="","",_xll.IMDP("STK",$AL205,"등락률"))</f>
        <v/>
      </c>
      <c r="AQ205" s="48" t="str">
        <f>IF(AL205="","",_xll.IMDP("STK",$AL205,"시가총액"))</f>
        <v/>
      </c>
    </row>
    <row r="206" spans="3:43" x14ac:dyDescent="0.25">
      <c r="C206" s="22">
        <v>201</v>
      </c>
      <c r="Y206" s="25" t="s">
        <v>196</v>
      </c>
      <c r="Z206" s="20" t="str">
        <f t="shared" si="9"/>
        <v/>
      </c>
      <c r="AA206" s="21" t="str">
        <f>IF(Z206="","",_xll.IMDP("STK",$Z206,"한글종목명"))</f>
        <v/>
      </c>
      <c r="AB206" s="48" t="str">
        <f>IF(Z206="","",_xll.IMDP("STK",$Z206,"현재가"))</f>
        <v/>
      </c>
      <c r="AC206" s="48" t="str">
        <f>IF(Z206="","",_xll.IMDP("STK",$Z206,"전일대비"))</f>
        <v/>
      </c>
      <c r="AD206" s="49" t="str">
        <f>IF(Z206="","",_xll.IMDP("STK",$Z206,"등락률"))</f>
        <v/>
      </c>
      <c r="AE206" s="48" t="str">
        <f>IF(Z206="","",_xll.IMDP("STK",Z206,"시가총액"))</f>
        <v/>
      </c>
      <c r="AF206" s="20" t="str">
        <f t="shared" si="11"/>
        <v/>
      </c>
      <c r="AG206" s="21" t="str">
        <f>IF(AF206="","",_xll.IMDP("STK",$AF206,"한글종목명"))</f>
        <v/>
      </c>
      <c r="AH206" s="48" t="str">
        <f>IF(AF206="","",_xll.IMDP("STK",$AF206,"현재가"))</f>
        <v/>
      </c>
      <c r="AI206" s="48" t="str">
        <f>IF(AF206="","",_xll.IMDP("STK",$AF206,"전일대비"))</f>
        <v/>
      </c>
      <c r="AJ206" s="49" t="str">
        <f>IF(AF206="","",_xll.IMDP("STK",$AF206,"등락률"))</f>
        <v/>
      </c>
      <c r="AK206" s="48" t="str">
        <f>IF(AF206="","",_xll.IMDP("STK",$AF206,"시가총액"))</f>
        <v/>
      </c>
      <c r="AL206" s="20" t="str">
        <f t="shared" si="10"/>
        <v/>
      </c>
      <c r="AM206" s="21" t="str">
        <f>IF(AL206="","",_xll.IMDP("STK",$AL206,"한글종목명"))</f>
        <v/>
      </c>
      <c r="AN206" s="48" t="str">
        <f>IF(AL206="","",_xll.IMDP("STK",$AL206,"현재가"))</f>
        <v/>
      </c>
      <c r="AO206" s="48" t="str">
        <f>IF(AL206="","",_xll.IMDP("STK",$AL206,"전일대비"))</f>
        <v/>
      </c>
      <c r="AP206" s="49" t="str">
        <f>IF(AL206="","",_xll.IMDP("STK",$AL206,"등락률"))</f>
        <v/>
      </c>
      <c r="AQ206" s="48" t="str">
        <f>IF(AL206="","",_xll.IMDP("STK",$AL206,"시가총액"))</f>
        <v/>
      </c>
    </row>
    <row r="207" spans="3:43" x14ac:dyDescent="0.25">
      <c r="C207" s="22">
        <v>202</v>
      </c>
      <c r="Y207" s="25" t="s">
        <v>487</v>
      </c>
      <c r="Z207" s="20" t="str">
        <f t="shared" si="9"/>
        <v/>
      </c>
      <c r="AA207" s="21" t="str">
        <f>IF(Z207="","",_xll.IMDP("STK",$Z207,"한글종목명"))</f>
        <v/>
      </c>
      <c r="AB207" s="48" t="str">
        <f>IF(Z207="","",_xll.IMDP("STK",$Z207,"현재가"))</f>
        <v/>
      </c>
      <c r="AC207" s="48" t="str">
        <f>IF(Z207="","",_xll.IMDP("STK",$Z207,"전일대비"))</f>
        <v/>
      </c>
      <c r="AD207" s="49" t="str">
        <f>IF(Z207="","",_xll.IMDP("STK",$Z207,"등락률"))</f>
        <v/>
      </c>
      <c r="AE207" s="48" t="str">
        <f>IF(Z207="","",_xll.IMDP("STK",Z207,"시가총액"))</f>
        <v/>
      </c>
      <c r="AF207" s="20" t="str">
        <f t="shared" si="11"/>
        <v/>
      </c>
      <c r="AG207" s="21" t="str">
        <f>IF(AF207="","",_xll.IMDP("STK",$AF207,"한글종목명"))</f>
        <v/>
      </c>
      <c r="AH207" s="48" t="str">
        <f>IF(AF207="","",_xll.IMDP("STK",$AF207,"현재가"))</f>
        <v/>
      </c>
      <c r="AI207" s="48" t="str">
        <f>IF(AF207="","",_xll.IMDP("STK",$AF207,"전일대비"))</f>
        <v/>
      </c>
      <c r="AJ207" s="49" t="str">
        <f>IF(AF207="","",_xll.IMDP("STK",$AF207,"등락률"))</f>
        <v/>
      </c>
      <c r="AK207" s="48" t="str">
        <f>IF(AF207="","",_xll.IMDP("STK",$AF207,"시가총액"))</f>
        <v/>
      </c>
      <c r="AL207" s="20" t="str">
        <f t="shared" si="10"/>
        <v/>
      </c>
      <c r="AM207" s="21" t="str">
        <f>IF(AL207="","",_xll.IMDP("STK",$AL207,"한글종목명"))</f>
        <v/>
      </c>
      <c r="AN207" s="48" t="str">
        <f>IF(AL207="","",_xll.IMDP("STK",$AL207,"현재가"))</f>
        <v/>
      </c>
      <c r="AO207" s="48" t="str">
        <f>IF(AL207="","",_xll.IMDP("STK",$AL207,"전일대비"))</f>
        <v/>
      </c>
      <c r="AP207" s="49" t="str">
        <f>IF(AL207="","",_xll.IMDP("STK",$AL207,"등락률"))</f>
        <v/>
      </c>
      <c r="AQ207" s="48" t="str">
        <f>IF(AL207="","",_xll.IMDP("STK",$AL207,"시가총액"))</f>
        <v/>
      </c>
    </row>
    <row r="208" spans="3:43" x14ac:dyDescent="0.25">
      <c r="C208" s="22">
        <v>203</v>
      </c>
      <c r="Y208" s="25" t="s">
        <v>627</v>
      </c>
      <c r="Z208" s="20" t="str">
        <f t="shared" si="9"/>
        <v/>
      </c>
      <c r="AA208" s="21" t="str">
        <f>IF(Z208="","",_xll.IMDP("STK",$Z208,"한글종목명"))</f>
        <v/>
      </c>
      <c r="AB208" s="48" t="str">
        <f>IF(Z208="","",_xll.IMDP("STK",$Z208,"현재가"))</f>
        <v/>
      </c>
      <c r="AC208" s="48" t="str">
        <f>IF(Z208="","",_xll.IMDP("STK",$Z208,"전일대비"))</f>
        <v/>
      </c>
      <c r="AD208" s="49" t="str">
        <f>IF(Z208="","",_xll.IMDP("STK",$Z208,"등락률"))</f>
        <v/>
      </c>
      <c r="AE208" s="48" t="str">
        <f>IF(Z208="","",_xll.IMDP("STK",Z208,"시가총액"))</f>
        <v/>
      </c>
      <c r="AF208" s="20" t="str">
        <f t="shared" si="11"/>
        <v/>
      </c>
      <c r="AG208" s="21" t="str">
        <f>IF(AF208="","",_xll.IMDP("STK",$AF208,"한글종목명"))</f>
        <v/>
      </c>
      <c r="AH208" s="48" t="str">
        <f>IF(AF208="","",_xll.IMDP("STK",$AF208,"현재가"))</f>
        <v/>
      </c>
      <c r="AI208" s="48" t="str">
        <f>IF(AF208="","",_xll.IMDP("STK",$AF208,"전일대비"))</f>
        <v/>
      </c>
      <c r="AJ208" s="49" t="str">
        <f>IF(AF208="","",_xll.IMDP("STK",$AF208,"등락률"))</f>
        <v/>
      </c>
      <c r="AK208" s="48" t="str">
        <f>IF(AF208="","",_xll.IMDP("STK",$AF208,"시가총액"))</f>
        <v/>
      </c>
      <c r="AL208" s="20" t="str">
        <f t="shared" si="10"/>
        <v/>
      </c>
      <c r="AM208" s="21" t="str">
        <f>IF(AL208="","",_xll.IMDP("STK",$AL208,"한글종목명"))</f>
        <v/>
      </c>
      <c r="AN208" s="48" t="str">
        <f>IF(AL208="","",_xll.IMDP("STK",$AL208,"현재가"))</f>
        <v/>
      </c>
      <c r="AO208" s="48" t="str">
        <f>IF(AL208="","",_xll.IMDP("STK",$AL208,"전일대비"))</f>
        <v/>
      </c>
      <c r="AP208" s="49" t="str">
        <f>IF(AL208="","",_xll.IMDP("STK",$AL208,"등락률"))</f>
        <v/>
      </c>
      <c r="AQ208" s="48" t="str">
        <f>IF(AL208="","",_xll.IMDP("STK",$AL208,"시가총액"))</f>
        <v/>
      </c>
    </row>
    <row r="209" spans="3:43" x14ac:dyDescent="0.25">
      <c r="C209" s="22">
        <v>204</v>
      </c>
      <c r="Y209" s="25" t="s">
        <v>300</v>
      </c>
      <c r="Z209" s="20" t="str">
        <f t="shared" si="9"/>
        <v/>
      </c>
      <c r="AA209" s="21" t="str">
        <f>IF(Z209="","",_xll.IMDP("STK",$Z209,"한글종목명"))</f>
        <v/>
      </c>
      <c r="AB209" s="48" t="str">
        <f>IF(Z209="","",_xll.IMDP("STK",$Z209,"현재가"))</f>
        <v/>
      </c>
      <c r="AC209" s="48" t="str">
        <f>IF(Z209="","",_xll.IMDP("STK",$Z209,"전일대비"))</f>
        <v/>
      </c>
      <c r="AD209" s="49" t="str">
        <f>IF(Z209="","",_xll.IMDP("STK",$Z209,"등락률"))</f>
        <v/>
      </c>
      <c r="AE209" s="48" t="str">
        <f>IF(Z209="","",_xll.IMDP("STK",Z209,"시가총액"))</f>
        <v/>
      </c>
      <c r="AF209" s="20" t="str">
        <f t="shared" si="11"/>
        <v/>
      </c>
      <c r="AG209" s="21" t="str">
        <f>IF(AF209="","",_xll.IMDP("STK",$AF209,"한글종목명"))</f>
        <v/>
      </c>
      <c r="AH209" s="48" t="str">
        <f>IF(AF209="","",_xll.IMDP("STK",$AF209,"현재가"))</f>
        <v/>
      </c>
      <c r="AI209" s="48" t="str">
        <f>IF(AF209="","",_xll.IMDP("STK",$AF209,"전일대비"))</f>
        <v/>
      </c>
      <c r="AJ209" s="49" t="str">
        <f>IF(AF209="","",_xll.IMDP("STK",$AF209,"등락률"))</f>
        <v/>
      </c>
      <c r="AK209" s="48" t="str">
        <f>IF(AF209="","",_xll.IMDP("STK",$AF209,"시가총액"))</f>
        <v/>
      </c>
      <c r="AL209" s="20" t="str">
        <f t="shared" si="10"/>
        <v/>
      </c>
      <c r="AM209" s="21" t="str">
        <f>IF(AL209="","",_xll.IMDP("STK",$AL209,"한글종목명"))</f>
        <v/>
      </c>
      <c r="AN209" s="48" t="str">
        <f>IF(AL209="","",_xll.IMDP("STK",$AL209,"현재가"))</f>
        <v/>
      </c>
      <c r="AO209" s="48" t="str">
        <f>IF(AL209="","",_xll.IMDP("STK",$AL209,"전일대비"))</f>
        <v/>
      </c>
      <c r="AP209" s="49" t="str">
        <f>IF(AL209="","",_xll.IMDP("STK",$AL209,"등락률"))</f>
        <v/>
      </c>
      <c r="AQ209" s="48" t="str">
        <f>IF(AL209="","",_xll.IMDP("STK",$AL209,"시가총액"))</f>
        <v/>
      </c>
    </row>
    <row r="210" spans="3:43" x14ac:dyDescent="0.25">
      <c r="C210" s="22">
        <v>205</v>
      </c>
      <c r="Y210" s="25" t="s">
        <v>301</v>
      </c>
      <c r="Z210" s="20" t="str">
        <f t="shared" si="9"/>
        <v/>
      </c>
      <c r="AA210" s="21" t="str">
        <f>IF(Z210="","",_xll.IMDP("STK",$Z210,"한글종목명"))</f>
        <v/>
      </c>
      <c r="AB210" s="48" t="str">
        <f>IF(Z210="","",_xll.IMDP("STK",$Z210,"현재가"))</f>
        <v/>
      </c>
      <c r="AC210" s="48" t="str">
        <f>IF(Z210="","",_xll.IMDP("STK",$Z210,"전일대비"))</f>
        <v/>
      </c>
      <c r="AD210" s="49" t="str">
        <f>IF(Z210="","",_xll.IMDP("STK",$Z210,"등락률"))</f>
        <v/>
      </c>
      <c r="AE210" s="48" t="str">
        <f>IF(Z210="","",_xll.IMDP("STK",Z210,"시가총액"))</f>
        <v/>
      </c>
      <c r="AF210" s="20" t="str">
        <f t="shared" si="11"/>
        <v/>
      </c>
      <c r="AG210" s="21" t="str">
        <f>IF(AF210="","",_xll.IMDP("STK",$AF210,"한글종목명"))</f>
        <v/>
      </c>
      <c r="AH210" s="48" t="str">
        <f>IF(AF210="","",_xll.IMDP("STK",$AF210,"현재가"))</f>
        <v/>
      </c>
      <c r="AI210" s="48" t="str">
        <f>IF(AF210="","",_xll.IMDP("STK",$AF210,"전일대비"))</f>
        <v/>
      </c>
      <c r="AJ210" s="49" t="str">
        <f>IF(AF210="","",_xll.IMDP("STK",$AF210,"등락률"))</f>
        <v/>
      </c>
      <c r="AK210" s="48" t="str">
        <f>IF(AF210="","",_xll.IMDP("STK",$AF210,"시가총액"))</f>
        <v/>
      </c>
      <c r="AL210" s="20" t="str">
        <f t="shared" si="10"/>
        <v/>
      </c>
      <c r="AM210" s="21" t="str">
        <f>IF(AL210="","",_xll.IMDP("STK",$AL210,"한글종목명"))</f>
        <v/>
      </c>
      <c r="AN210" s="48" t="str">
        <f>IF(AL210="","",_xll.IMDP("STK",$AL210,"현재가"))</f>
        <v/>
      </c>
      <c r="AO210" s="48" t="str">
        <f>IF(AL210="","",_xll.IMDP("STK",$AL210,"전일대비"))</f>
        <v/>
      </c>
      <c r="AP210" s="49" t="str">
        <f>IF(AL210="","",_xll.IMDP("STK",$AL210,"등락률"))</f>
        <v/>
      </c>
      <c r="AQ210" s="48" t="str">
        <f>IF(AL210="","",_xll.IMDP("STK",$AL210,"시가총액"))</f>
        <v/>
      </c>
    </row>
    <row r="211" spans="3:43" x14ac:dyDescent="0.25">
      <c r="C211" s="22">
        <v>206</v>
      </c>
      <c r="Y211" s="25" t="s">
        <v>302</v>
      </c>
      <c r="Z211" s="20" t="str">
        <f t="shared" si="9"/>
        <v/>
      </c>
      <c r="AA211" s="21" t="str">
        <f>IF(Z211="","",_xll.IMDP("STK",$Z211,"한글종목명"))</f>
        <v/>
      </c>
      <c r="AB211" s="48" t="str">
        <f>IF(Z211="","",_xll.IMDP("STK",$Z211,"현재가"))</f>
        <v/>
      </c>
      <c r="AC211" s="48" t="str">
        <f>IF(Z211="","",_xll.IMDP("STK",$Z211,"전일대비"))</f>
        <v/>
      </c>
      <c r="AD211" s="49" t="str">
        <f>IF(Z211="","",_xll.IMDP("STK",$Z211,"등락률"))</f>
        <v/>
      </c>
      <c r="AE211" s="48" t="str">
        <f>IF(Z211="","",_xll.IMDP("STK",Z211,"시가총액"))</f>
        <v/>
      </c>
      <c r="AF211" s="20" t="str">
        <f t="shared" si="11"/>
        <v/>
      </c>
      <c r="AG211" s="21" t="str">
        <f>IF(AF211="","",_xll.IMDP("STK",$AF211,"한글종목명"))</f>
        <v/>
      </c>
      <c r="AH211" s="48" t="str">
        <f>IF(AF211="","",_xll.IMDP("STK",$AF211,"현재가"))</f>
        <v/>
      </c>
      <c r="AI211" s="48" t="str">
        <f>IF(AF211="","",_xll.IMDP("STK",$AF211,"전일대비"))</f>
        <v/>
      </c>
      <c r="AJ211" s="49" t="str">
        <f>IF(AF211="","",_xll.IMDP("STK",$AF211,"등락률"))</f>
        <v/>
      </c>
      <c r="AK211" s="48" t="str">
        <f>IF(AF211="","",_xll.IMDP("STK",$AF211,"시가총액"))</f>
        <v/>
      </c>
      <c r="AL211" s="20" t="str">
        <f t="shared" si="10"/>
        <v/>
      </c>
      <c r="AM211" s="21" t="str">
        <f>IF(AL211="","",_xll.IMDP("STK",$AL211,"한글종목명"))</f>
        <v/>
      </c>
      <c r="AN211" s="48" t="str">
        <f>IF(AL211="","",_xll.IMDP("STK",$AL211,"현재가"))</f>
        <v/>
      </c>
      <c r="AO211" s="48" t="str">
        <f>IF(AL211="","",_xll.IMDP("STK",$AL211,"전일대비"))</f>
        <v/>
      </c>
      <c r="AP211" s="49" t="str">
        <f>IF(AL211="","",_xll.IMDP("STK",$AL211,"등락률"))</f>
        <v/>
      </c>
      <c r="AQ211" s="48" t="str">
        <f>IF(AL211="","",_xll.IMDP("STK",$AL211,"시가총액"))</f>
        <v/>
      </c>
    </row>
    <row r="212" spans="3:43" x14ac:dyDescent="0.25">
      <c r="C212" s="22">
        <v>207</v>
      </c>
      <c r="Y212" s="25" t="s">
        <v>303</v>
      </c>
      <c r="Z212" s="20" t="str">
        <f t="shared" si="9"/>
        <v/>
      </c>
      <c r="AA212" s="21" t="str">
        <f>IF(Z212="","",_xll.IMDP("STK",$Z212,"한글종목명"))</f>
        <v/>
      </c>
      <c r="AB212" s="48" t="str">
        <f>IF(Z212="","",_xll.IMDP("STK",$Z212,"현재가"))</f>
        <v/>
      </c>
      <c r="AC212" s="48" t="str">
        <f>IF(Z212="","",_xll.IMDP("STK",$Z212,"전일대비"))</f>
        <v/>
      </c>
      <c r="AD212" s="49" t="str">
        <f>IF(Z212="","",_xll.IMDP("STK",$Z212,"등락률"))</f>
        <v/>
      </c>
      <c r="AE212" s="48" t="str">
        <f>IF(Z212="","",_xll.IMDP("STK",Z212,"시가총액"))</f>
        <v/>
      </c>
      <c r="AF212" s="20" t="str">
        <f t="shared" si="11"/>
        <v/>
      </c>
      <c r="AG212" s="21" t="str">
        <f>IF(AF212="","",_xll.IMDP("STK",$AF212,"한글종목명"))</f>
        <v/>
      </c>
      <c r="AH212" s="48" t="str">
        <f>IF(AF212="","",_xll.IMDP("STK",$AF212,"현재가"))</f>
        <v/>
      </c>
      <c r="AI212" s="48" t="str">
        <f>IF(AF212="","",_xll.IMDP("STK",$AF212,"전일대비"))</f>
        <v/>
      </c>
      <c r="AJ212" s="49" t="str">
        <f>IF(AF212="","",_xll.IMDP("STK",$AF212,"등락률"))</f>
        <v/>
      </c>
      <c r="AK212" s="48" t="str">
        <f>IF(AF212="","",_xll.IMDP("STK",$AF212,"시가총액"))</f>
        <v/>
      </c>
      <c r="AL212" s="20" t="str">
        <f t="shared" si="10"/>
        <v/>
      </c>
      <c r="AM212" s="21" t="str">
        <f>IF(AL212="","",_xll.IMDP("STK",$AL212,"한글종목명"))</f>
        <v/>
      </c>
      <c r="AN212" s="48" t="str">
        <f>IF(AL212="","",_xll.IMDP("STK",$AL212,"현재가"))</f>
        <v/>
      </c>
      <c r="AO212" s="48" t="str">
        <f>IF(AL212="","",_xll.IMDP("STK",$AL212,"전일대비"))</f>
        <v/>
      </c>
      <c r="AP212" s="49" t="str">
        <f>IF(AL212="","",_xll.IMDP("STK",$AL212,"등락률"))</f>
        <v/>
      </c>
      <c r="AQ212" s="48" t="str">
        <f>IF(AL212="","",_xll.IMDP("STK",$AL212,"시가총액"))</f>
        <v/>
      </c>
    </row>
    <row r="213" spans="3:43" x14ac:dyDescent="0.25">
      <c r="C213" s="22">
        <v>208</v>
      </c>
      <c r="Y213" s="25" t="s">
        <v>233</v>
      </c>
      <c r="Z213" s="20" t="str">
        <f t="shared" si="9"/>
        <v/>
      </c>
      <c r="AA213" s="21" t="str">
        <f>IF(Z213="","",_xll.IMDP("STK",$Z213,"한글종목명"))</f>
        <v/>
      </c>
      <c r="AB213" s="48" t="str">
        <f>IF(Z213="","",_xll.IMDP("STK",$Z213,"현재가"))</f>
        <v/>
      </c>
      <c r="AC213" s="48" t="str">
        <f>IF(Z213="","",_xll.IMDP("STK",$Z213,"전일대비"))</f>
        <v/>
      </c>
      <c r="AD213" s="49" t="str">
        <f>IF(Z213="","",_xll.IMDP("STK",$Z213,"등락률"))</f>
        <v/>
      </c>
      <c r="AE213" s="48" t="str">
        <f>IF(Z213="","",_xll.IMDP("STK",Z213,"시가총액"))</f>
        <v/>
      </c>
      <c r="AF213" s="20" t="str">
        <f t="shared" si="11"/>
        <v/>
      </c>
      <c r="AG213" s="21" t="str">
        <f>IF(AF213="","",_xll.IMDP("STK",$AF213,"한글종목명"))</f>
        <v/>
      </c>
      <c r="AH213" s="48" t="str">
        <f>IF(AF213="","",_xll.IMDP("STK",$AF213,"현재가"))</f>
        <v/>
      </c>
      <c r="AI213" s="48" t="str">
        <f>IF(AF213="","",_xll.IMDP("STK",$AF213,"전일대비"))</f>
        <v/>
      </c>
      <c r="AJ213" s="49" t="str">
        <f>IF(AF213="","",_xll.IMDP("STK",$AF213,"등락률"))</f>
        <v/>
      </c>
      <c r="AK213" s="48" t="str">
        <f>IF(AF213="","",_xll.IMDP("STK",$AF213,"시가총액"))</f>
        <v/>
      </c>
      <c r="AL213" s="20" t="str">
        <f t="shared" si="10"/>
        <v/>
      </c>
      <c r="AM213" s="21" t="str">
        <f>IF(AL213="","",_xll.IMDP("STK",$AL213,"한글종목명"))</f>
        <v/>
      </c>
      <c r="AN213" s="48" t="str">
        <f>IF(AL213="","",_xll.IMDP("STK",$AL213,"현재가"))</f>
        <v/>
      </c>
      <c r="AO213" s="48" t="str">
        <f>IF(AL213="","",_xll.IMDP("STK",$AL213,"전일대비"))</f>
        <v/>
      </c>
      <c r="AP213" s="49" t="str">
        <f>IF(AL213="","",_xll.IMDP("STK",$AL213,"등락률"))</f>
        <v/>
      </c>
      <c r="AQ213" s="48" t="str">
        <f>IF(AL213="","",_xll.IMDP("STK",$AL213,"시가총액"))</f>
        <v/>
      </c>
    </row>
    <row r="214" spans="3:43" x14ac:dyDescent="0.25">
      <c r="C214" s="22">
        <v>209</v>
      </c>
      <c r="Y214" s="25" t="s">
        <v>304</v>
      </c>
      <c r="Z214" s="20" t="str">
        <f t="shared" si="9"/>
        <v/>
      </c>
      <c r="AA214" s="21" t="str">
        <f>IF(Z214="","",_xll.IMDP("STK",$Z214,"한글종목명"))</f>
        <v/>
      </c>
      <c r="AB214" s="48" t="str">
        <f>IF(Z214="","",_xll.IMDP("STK",$Z214,"현재가"))</f>
        <v/>
      </c>
      <c r="AC214" s="48" t="str">
        <f>IF(Z214="","",_xll.IMDP("STK",$Z214,"전일대비"))</f>
        <v/>
      </c>
      <c r="AD214" s="49" t="str">
        <f>IF(Z214="","",_xll.IMDP("STK",$Z214,"등락률"))</f>
        <v/>
      </c>
      <c r="AE214" s="48" t="str">
        <f>IF(Z214="","",_xll.IMDP("STK",Z214,"시가총액"))</f>
        <v/>
      </c>
      <c r="AF214" s="20" t="str">
        <f t="shared" si="11"/>
        <v/>
      </c>
      <c r="AG214" s="21" t="str">
        <f>IF(AF214="","",_xll.IMDP("STK",$AF214,"한글종목명"))</f>
        <v/>
      </c>
      <c r="AH214" s="48" t="str">
        <f>IF(AF214="","",_xll.IMDP("STK",$AF214,"현재가"))</f>
        <v/>
      </c>
      <c r="AI214" s="48" t="str">
        <f>IF(AF214="","",_xll.IMDP("STK",$AF214,"전일대비"))</f>
        <v/>
      </c>
      <c r="AJ214" s="49" t="str">
        <f>IF(AF214="","",_xll.IMDP("STK",$AF214,"등락률"))</f>
        <v/>
      </c>
      <c r="AK214" s="48" t="str">
        <f>IF(AF214="","",_xll.IMDP("STK",$AF214,"시가총액"))</f>
        <v/>
      </c>
      <c r="AL214" s="20" t="str">
        <f t="shared" si="10"/>
        <v/>
      </c>
      <c r="AM214" s="21" t="str">
        <f>IF(AL214="","",_xll.IMDP("STK",$AL214,"한글종목명"))</f>
        <v/>
      </c>
      <c r="AN214" s="48" t="str">
        <f>IF(AL214="","",_xll.IMDP("STK",$AL214,"현재가"))</f>
        <v/>
      </c>
      <c r="AO214" s="48" t="str">
        <f>IF(AL214="","",_xll.IMDP("STK",$AL214,"전일대비"))</f>
        <v/>
      </c>
      <c r="AP214" s="49" t="str">
        <f>IF(AL214="","",_xll.IMDP("STK",$AL214,"등락률"))</f>
        <v/>
      </c>
      <c r="AQ214" s="48" t="str">
        <f>IF(AL214="","",_xll.IMDP("STK",$AL214,"시가총액"))</f>
        <v/>
      </c>
    </row>
    <row r="215" spans="3:43" x14ac:dyDescent="0.25">
      <c r="C215" s="22">
        <v>210</v>
      </c>
      <c r="Y215" s="25" t="s">
        <v>440</v>
      </c>
      <c r="Z215" s="20" t="str">
        <f t="shared" si="9"/>
        <v/>
      </c>
      <c r="AA215" s="21" t="str">
        <f>IF(Z215="","",_xll.IMDP("STK",$Z215,"한글종목명"))</f>
        <v/>
      </c>
      <c r="AB215" s="48" t="str">
        <f>IF(Z215="","",_xll.IMDP("STK",$Z215,"현재가"))</f>
        <v/>
      </c>
      <c r="AC215" s="48" t="str">
        <f>IF(Z215="","",_xll.IMDP("STK",$Z215,"전일대비"))</f>
        <v/>
      </c>
      <c r="AD215" s="49" t="str">
        <f>IF(Z215="","",_xll.IMDP("STK",$Z215,"등락률"))</f>
        <v/>
      </c>
      <c r="AE215" s="48" t="str">
        <f>IF(Z215="","",_xll.IMDP("STK",Z215,"시가총액"))</f>
        <v/>
      </c>
      <c r="AF215" s="20" t="str">
        <f t="shared" si="11"/>
        <v/>
      </c>
      <c r="AG215" s="21" t="str">
        <f>IF(AF215="","",_xll.IMDP("STK",$AF215,"한글종목명"))</f>
        <v/>
      </c>
      <c r="AH215" s="48" t="str">
        <f>IF(AF215="","",_xll.IMDP("STK",$AF215,"현재가"))</f>
        <v/>
      </c>
      <c r="AI215" s="48" t="str">
        <f>IF(AF215="","",_xll.IMDP("STK",$AF215,"전일대비"))</f>
        <v/>
      </c>
      <c r="AJ215" s="49" t="str">
        <f>IF(AF215="","",_xll.IMDP("STK",$AF215,"등락률"))</f>
        <v/>
      </c>
      <c r="AK215" s="48" t="str">
        <f>IF(AF215="","",_xll.IMDP("STK",$AF215,"시가총액"))</f>
        <v/>
      </c>
      <c r="AL215" s="20" t="str">
        <f t="shared" si="10"/>
        <v/>
      </c>
      <c r="AM215" s="21" t="str">
        <f>IF(AL215="","",_xll.IMDP("STK",$AL215,"한글종목명"))</f>
        <v/>
      </c>
      <c r="AN215" s="48" t="str">
        <f>IF(AL215="","",_xll.IMDP("STK",$AL215,"현재가"))</f>
        <v/>
      </c>
      <c r="AO215" s="48" t="str">
        <f>IF(AL215="","",_xll.IMDP("STK",$AL215,"전일대비"))</f>
        <v/>
      </c>
      <c r="AP215" s="49" t="str">
        <f>IF(AL215="","",_xll.IMDP("STK",$AL215,"등락률"))</f>
        <v/>
      </c>
      <c r="AQ215" s="48" t="str">
        <f>IF(AL215="","",_xll.IMDP("STK",$AL215,"시가총액"))</f>
        <v/>
      </c>
    </row>
    <row r="216" spans="3:43" x14ac:dyDescent="0.25">
      <c r="C216" s="22">
        <v>211</v>
      </c>
      <c r="Y216" s="25" t="s">
        <v>305</v>
      </c>
      <c r="Z216" s="20" t="str">
        <f t="shared" si="9"/>
        <v/>
      </c>
      <c r="AA216" s="21" t="str">
        <f>IF(Z216="","",_xll.IMDP("STK",$Z216,"한글종목명"))</f>
        <v/>
      </c>
      <c r="AB216" s="48" t="str">
        <f>IF(Z216="","",_xll.IMDP("STK",$Z216,"현재가"))</f>
        <v/>
      </c>
      <c r="AC216" s="48" t="str">
        <f>IF(Z216="","",_xll.IMDP("STK",$Z216,"전일대비"))</f>
        <v/>
      </c>
      <c r="AD216" s="49" t="str">
        <f>IF(Z216="","",_xll.IMDP("STK",$Z216,"등락률"))</f>
        <v/>
      </c>
      <c r="AE216" s="48" t="str">
        <f>IF(Z216="","",_xll.IMDP("STK",Z216,"시가총액"))</f>
        <v/>
      </c>
      <c r="AF216" s="20" t="str">
        <f t="shared" si="11"/>
        <v/>
      </c>
      <c r="AG216" s="21" t="str">
        <f>IF(AF216="","",_xll.IMDP("STK",$AF216,"한글종목명"))</f>
        <v/>
      </c>
      <c r="AH216" s="48" t="str">
        <f>IF(AF216="","",_xll.IMDP("STK",$AF216,"현재가"))</f>
        <v/>
      </c>
      <c r="AI216" s="48" t="str">
        <f>IF(AF216="","",_xll.IMDP("STK",$AF216,"전일대비"))</f>
        <v/>
      </c>
      <c r="AJ216" s="49" t="str">
        <f>IF(AF216="","",_xll.IMDP("STK",$AF216,"등락률"))</f>
        <v/>
      </c>
      <c r="AK216" s="48" t="str">
        <f>IF(AF216="","",_xll.IMDP("STK",$AF216,"시가총액"))</f>
        <v/>
      </c>
      <c r="AL216" s="20" t="str">
        <f t="shared" si="10"/>
        <v/>
      </c>
      <c r="AM216" s="21" t="str">
        <f>IF(AL216="","",_xll.IMDP("STK",$AL216,"한글종목명"))</f>
        <v/>
      </c>
      <c r="AN216" s="48" t="str">
        <f>IF(AL216="","",_xll.IMDP("STK",$AL216,"현재가"))</f>
        <v/>
      </c>
      <c r="AO216" s="48" t="str">
        <f>IF(AL216="","",_xll.IMDP("STK",$AL216,"전일대비"))</f>
        <v/>
      </c>
      <c r="AP216" s="49" t="str">
        <f>IF(AL216="","",_xll.IMDP("STK",$AL216,"등락률"))</f>
        <v/>
      </c>
      <c r="AQ216" s="48" t="str">
        <f>IF(AL216="","",_xll.IMDP("STK",$AL216,"시가총액"))</f>
        <v/>
      </c>
    </row>
    <row r="217" spans="3:43" x14ac:dyDescent="0.25">
      <c r="C217" s="22">
        <v>212</v>
      </c>
      <c r="Y217" s="25" t="s">
        <v>441</v>
      </c>
      <c r="Z217" s="20" t="str">
        <f t="shared" si="9"/>
        <v/>
      </c>
      <c r="AA217" s="21" t="str">
        <f>IF(Z217="","",_xll.IMDP("STK",$Z217,"한글종목명"))</f>
        <v/>
      </c>
      <c r="AB217" s="48" t="str">
        <f>IF(Z217="","",_xll.IMDP("STK",$Z217,"현재가"))</f>
        <v/>
      </c>
      <c r="AC217" s="48" t="str">
        <f>IF(Z217="","",_xll.IMDP("STK",$Z217,"전일대비"))</f>
        <v/>
      </c>
      <c r="AD217" s="49" t="str">
        <f>IF(Z217="","",_xll.IMDP("STK",$Z217,"등락률"))</f>
        <v/>
      </c>
      <c r="AE217" s="48" t="str">
        <f>IF(Z217="","",_xll.IMDP("STK",Z217,"시가총액"))</f>
        <v/>
      </c>
      <c r="AF217" s="20" t="str">
        <f t="shared" si="11"/>
        <v/>
      </c>
      <c r="AG217" s="21" t="str">
        <f>IF(AF217="","",_xll.IMDP("STK",$AF217,"한글종목명"))</f>
        <v/>
      </c>
      <c r="AH217" s="48" t="str">
        <f>IF(AF217="","",_xll.IMDP("STK",$AF217,"현재가"))</f>
        <v/>
      </c>
      <c r="AI217" s="48" t="str">
        <f>IF(AF217="","",_xll.IMDP("STK",$AF217,"전일대비"))</f>
        <v/>
      </c>
      <c r="AJ217" s="49" t="str">
        <f>IF(AF217="","",_xll.IMDP("STK",$AF217,"등락률"))</f>
        <v/>
      </c>
      <c r="AK217" s="48" t="str">
        <f>IF(AF217="","",_xll.IMDP("STK",$AF217,"시가총액"))</f>
        <v/>
      </c>
      <c r="AL217" s="20" t="str">
        <f t="shared" si="10"/>
        <v/>
      </c>
      <c r="AM217" s="21" t="str">
        <f>IF(AL217="","",_xll.IMDP("STK",$AL217,"한글종목명"))</f>
        <v/>
      </c>
      <c r="AN217" s="48" t="str">
        <f>IF(AL217="","",_xll.IMDP("STK",$AL217,"현재가"))</f>
        <v/>
      </c>
      <c r="AO217" s="48" t="str">
        <f>IF(AL217="","",_xll.IMDP("STK",$AL217,"전일대비"))</f>
        <v/>
      </c>
      <c r="AP217" s="49" t="str">
        <f>IF(AL217="","",_xll.IMDP("STK",$AL217,"등락률"))</f>
        <v/>
      </c>
      <c r="AQ217" s="48" t="str">
        <f>IF(AL217="","",_xll.IMDP("STK",$AL217,"시가총액"))</f>
        <v/>
      </c>
    </row>
    <row r="218" spans="3:43" x14ac:dyDescent="0.25">
      <c r="C218" s="22">
        <v>213</v>
      </c>
      <c r="Y218" s="25" t="s">
        <v>306</v>
      </c>
      <c r="Z218" s="20" t="str">
        <f t="shared" si="9"/>
        <v/>
      </c>
      <c r="AA218" s="21" t="str">
        <f>IF(Z218="","",_xll.IMDP("STK",$Z218,"한글종목명"))</f>
        <v/>
      </c>
      <c r="AB218" s="48" t="str">
        <f>IF(Z218="","",_xll.IMDP("STK",$Z218,"현재가"))</f>
        <v/>
      </c>
      <c r="AC218" s="48" t="str">
        <f>IF(Z218="","",_xll.IMDP("STK",$Z218,"전일대비"))</f>
        <v/>
      </c>
      <c r="AD218" s="49" t="str">
        <f>IF(Z218="","",_xll.IMDP("STK",$Z218,"등락률"))</f>
        <v/>
      </c>
      <c r="AE218" s="48" t="str">
        <f>IF(Z218="","",_xll.IMDP("STK",Z218,"시가총액"))</f>
        <v/>
      </c>
      <c r="AF218" s="20" t="str">
        <f t="shared" si="11"/>
        <v/>
      </c>
      <c r="AG218" s="21" t="str">
        <f>IF(AF218="","",_xll.IMDP("STK",$AF218,"한글종목명"))</f>
        <v/>
      </c>
      <c r="AH218" s="48" t="str">
        <f>IF(AF218="","",_xll.IMDP("STK",$AF218,"현재가"))</f>
        <v/>
      </c>
      <c r="AI218" s="48" t="str">
        <f>IF(AF218="","",_xll.IMDP("STK",$AF218,"전일대비"))</f>
        <v/>
      </c>
      <c r="AJ218" s="49" t="str">
        <f>IF(AF218="","",_xll.IMDP("STK",$AF218,"등락률"))</f>
        <v/>
      </c>
      <c r="AK218" s="48" t="str">
        <f>IF(AF218="","",_xll.IMDP("STK",$AF218,"시가총액"))</f>
        <v/>
      </c>
      <c r="AL218" s="20" t="str">
        <f t="shared" si="10"/>
        <v/>
      </c>
      <c r="AM218" s="21" t="str">
        <f>IF(AL218="","",_xll.IMDP("STK",$AL218,"한글종목명"))</f>
        <v/>
      </c>
      <c r="AN218" s="48" t="str">
        <f>IF(AL218="","",_xll.IMDP("STK",$AL218,"현재가"))</f>
        <v/>
      </c>
      <c r="AO218" s="48" t="str">
        <f>IF(AL218="","",_xll.IMDP("STK",$AL218,"전일대비"))</f>
        <v/>
      </c>
      <c r="AP218" s="49" t="str">
        <f>IF(AL218="","",_xll.IMDP("STK",$AL218,"등락률"))</f>
        <v/>
      </c>
      <c r="AQ218" s="48" t="str">
        <f>IF(AL218="","",_xll.IMDP("STK",$AL218,"시가총액"))</f>
        <v/>
      </c>
    </row>
    <row r="219" spans="3:43" x14ac:dyDescent="0.25">
      <c r="C219" s="22">
        <v>214</v>
      </c>
      <c r="Y219" s="25" t="s">
        <v>397</v>
      </c>
      <c r="Z219" s="20" t="str">
        <f t="shared" si="9"/>
        <v/>
      </c>
      <c r="AA219" s="21" t="str">
        <f>IF(Z219="","",_xll.IMDP("STK",$Z219,"한글종목명"))</f>
        <v/>
      </c>
      <c r="AB219" s="48" t="str">
        <f>IF(Z219="","",_xll.IMDP("STK",$Z219,"현재가"))</f>
        <v/>
      </c>
      <c r="AC219" s="48" t="str">
        <f>IF(Z219="","",_xll.IMDP("STK",$Z219,"전일대비"))</f>
        <v/>
      </c>
      <c r="AD219" s="49" t="str">
        <f>IF(Z219="","",_xll.IMDP("STK",$Z219,"등락률"))</f>
        <v/>
      </c>
      <c r="AE219" s="48" t="str">
        <f>IF(Z219="","",_xll.IMDP("STK",Z219,"시가총액"))</f>
        <v/>
      </c>
      <c r="AF219" s="20" t="str">
        <f t="shared" si="11"/>
        <v/>
      </c>
      <c r="AG219" s="21" t="str">
        <f>IF(AF219="","",_xll.IMDP("STK",$AF219,"한글종목명"))</f>
        <v/>
      </c>
      <c r="AH219" s="48" t="str">
        <f>IF(AF219="","",_xll.IMDP("STK",$AF219,"현재가"))</f>
        <v/>
      </c>
      <c r="AI219" s="48" t="str">
        <f>IF(AF219="","",_xll.IMDP("STK",$AF219,"전일대비"))</f>
        <v/>
      </c>
      <c r="AJ219" s="49" t="str">
        <f>IF(AF219="","",_xll.IMDP("STK",$AF219,"등락률"))</f>
        <v/>
      </c>
      <c r="AK219" s="48" t="str">
        <f>IF(AF219="","",_xll.IMDP("STK",$AF219,"시가총액"))</f>
        <v/>
      </c>
      <c r="AL219" s="20" t="str">
        <f t="shared" si="10"/>
        <v/>
      </c>
      <c r="AM219" s="21" t="str">
        <f>IF(AL219="","",_xll.IMDP("STK",$AL219,"한글종목명"))</f>
        <v/>
      </c>
      <c r="AN219" s="48" t="str">
        <f>IF(AL219="","",_xll.IMDP("STK",$AL219,"현재가"))</f>
        <v/>
      </c>
      <c r="AO219" s="48" t="str">
        <f>IF(AL219="","",_xll.IMDP("STK",$AL219,"전일대비"))</f>
        <v/>
      </c>
      <c r="AP219" s="49" t="str">
        <f>IF(AL219="","",_xll.IMDP("STK",$AL219,"등락률"))</f>
        <v/>
      </c>
      <c r="AQ219" s="48" t="str">
        <f>IF(AL219="","",_xll.IMDP("STK",$AL219,"시가총액"))</f>
        <v/>
      </c>
    </row>
    <row r="220" spans="3:43" x14ac:dyDescent="0.25">
      <c r="C220" s="22">
        <v>215</v>
      </c>
      <c r="Y220" s="25" t="s">
        <v>197</v>
      </c>
      <c r="Z220" s="20" t="str">
        <f t="shared" si="9"/>
        <v/>
      </c>
      <c r="AA220" s="21" t="str">
        <f>IF(Z220="","",_xll.IMDP("STK",$Z220,"한글종목명"))</f>
        <v/>
      </c>
      <c r="AB220" s="48" t="str">
        <f>IF(Z220="","",_xll.IMDP("STK",$Z220,"현재가"))</f>
        <v/>
      </c>
      <c r="AC220" s="48" t="str">
        <f>IF(Z220="","",_xll.IMDP("STK",$Z220,"전일대비"))</f>
        <v/>
      </c>
      <c r="AD220" s="49" t="str">
        <f>IF(Z220="","",_xll.IMDP("STK",$Z220,"등락률"))</f>
        <v/>
      </c>
      <c r="AE220" s="48" t="str">
        <f>IF(Z220="","",_xll.IMDP("STK",Z220,"시가총액"))</f>
        <v/>
      </c>
      <c r="AF220" s="20" t="str">
        <f t="shared" si="11"/>
        <v/>
      </c>
      <c r="AG220" s="21" t="str">
        <f>IF(AF220="","",_xll.IMDP("STK",$AF220,"한글종목명"))</f>
        <v/>
      </c>
      <c r="AH220" s="48" t="str">
        <f>IF(AF220="","",_xll.IMDP("STK",$AF220,"현재가"))</f>
        <v/>
      </c>
      <c r="AI220" s="48" t="str">
        <f>IF(AF220="","",_xll.IMDP("STK",$AF220,"전일대비"))</f>
        <v/>
      </c>
      <c r="AJ220" s="49" t="str">
        <f>IF(AF220="","",_xll.IMDP("STK",$AF220,"등락률"))</f>
        <v/>
      </c>
      <c r="AK220" s="48" t="str">
        <f>IF(AF220="","",_xll.IMDP("STK",$AF220,"시가총액"))</f>
        <v/>
      </c>
      <c r="AL220" s="20" t="str">
        <f t="shared" si="10"/>
        <v/>
      </c>
      <c r="AM220" s="21" t="str">
        <f>IF(AL220="","",_xll.IMDP("STK",$AL220,"한글종목명"))</f>
        <v/>
      </c>
      <c r="AN220" s="48" t="str">
        <f>IF(AL220="","",_xll.IMDP("STK",$AL220,"현재가"))</f>
        <v/>
      </c>
      <c r="AO220" s="48" t="str">
        <f>IF(AL220="","",_xll.IMDP("STK",$AL220,"전일대비"))</f>
        <v/>
      </c>
      <c r="AP220" s="49" t="str">
        <f>IF(AL220="","",_xll.IMDP("STK",$AL220,"등락률"))</f>
        <v/>
      </c>
      <c r="AQ220" s="48" t="str">
        <f>IF(AL220="","",_xll.IMDP("STK",$AL220,"시가총액"))</f>
        <v/>
      </c>
    </row>
    <row r="221" spans="3:43" x14ac:dyDescent="0.25">
      <c r="C221" s="22">
        <v>216</v>
      </c>
      <c r="Y221" s="25" t="s">
        <v>398</v>
      </c>
      <c r="Z221" s="20" t="str">
        <f t="shared" si="9"/>
        <v/>
      </c>
      <c r="AA221" s="21" t="str">
        <f>IF(Z221="","",_xll.IMDP("STK",$Z221,"한글종목명"))</f>
        <v/>
      </c>
      <c r="AB221" s="48" t="str">
        <f>IF(Z221="","",_xll.IMDP("STK",$Z221,"현재가"))</f>
        <v/>
      </c>
      <c r="AC221" s="48" t="str">
        <f>IF(Z221="","",_xll.IMDP("STK",$Z221,"전일대비"))</f>
        <v/>
      </c>
      <c r="AD221" s="49" t="str">
        <f>IF(Z221="","",_xll.IMDP("STK",$Z221,"등락률"))</f>
        <v/>
      </c>
      <c r="AE221" s="48" t="str">
        <f>IF(Z221="","",_xll.IMDP("STK",Z221,"시가총액"))</f>
        <v/>
      </c>
      <c r="AF221" s="20" t="str">
        <f t="shared" si="11"/>
        <v/>
      </c>
      <c r="AG221" s="21" t="str">
        <f>IF(AF221="","",_xll.IMDP("STK",$AF221,"한글종목명"))</f>
        <v/>
      </c>
      <c r="AH221" s="48" t="str">
        <f>IF(AF221="","",_xll.IMDP("STK",$AF221,"현재가"))</f>
        <v/>
      </c>
      <c r="AI221" s="48" t="str">
        <f>IF(AF221="","",_xll.IMDP("STK",$AF221,"전일대비"))</f>
        <v/>
      </c>
      <c r="AJ221" s="49" t="str">
        <f>IF(AF221="","",_xll.IMDP("STK",$AF221,"등락률"))</f>
        <v/>
      </c>
      <c r="AK221" s="48" t="str">
        <f>IF(AF221="","",_xll.IMDP("STK",$AF221,"시가총액"))</f>
        <v/>
      </c>
      <c r="AL221" s="20" t="str">
        <f t="shared" si="10"/>
        <v/>
      </c>
      <c r="AM221" s="21" t="str">
        <f>IF(AL221="","",_xll.IMDP("STK",$AL221,"한글종목명"))</f>
        <v/>
      </c>
      <c r="AN221" s="48" t="str">
        <f>IF(AL221="","",_xll.IMDP("STK",$AL221,"현재가"))</f>
        <v/>
      </c>
      <c r="AO221" s="48" t="str">
        <f>IF(AL221="","",_xll.IMDP("STK",$AL221,"전일대비"))</f>
        <v/>
      </c>
      <c r="AP221" s="49" t="str">
        <f>IF(AL221="","",_xll.IMDP("STK",$AL221,"등락률"))</f>
        <v/>
      </c>
      <c r="AQ221" s="48" t="str">
        <f>IF(AL221="","",_xll.IMDP("STK",$AL221,"시가총액"))</f>
        <v/>
      </c>
    </row>
    <row r="222" spans="3:43" x14ac:dyDescent="0.25">
      <c r="C222" s="22">
        <v>217</v>
      </c>
      <c r="Y222" s="25" t="s">
        <v>488</v>
      </c>
      <c r="Z222" s="20" t="str">
        <f t="shared" si="9"/>
        <v/>
      </c>
      <c r="AA222" s="21" t="str">
        <f>IF(Z222="","",_xll.IMDP("STK",$Z222,"한글종목명"))</f>
        <v/>
      </c>
      <c r="AB222" s="48" t="str">
        <f>IF(Z222="","",_xll.IMDP("STK",$Z222,"현재가"))</f>
        <v/>
      </c>
      <c r="AC222" s="48" t="str">
        <f>IF(Z222="","",_xll.IMDP("STK",$Z222,"전일대비"))</f>
        <v/>
      </c>
      <c r="AD222" s="49" t="str">
        <f>IF(Z222="","",_xll.IMDP("STK",$Z222,"등락률"))</f>
        <v/>
      </c>
      <c r="AE222" s="48" t="str">
        <f>IF(Z222="","",_xll.IMDP("STK",Z222,"시가총액"))</f>
        <v/>
      </c>
      <c r="AF222" s="20" t="str">
        <f t="shared" si="11"/>
        <v/>
      </c>
      <c r="AG222" s="21" t="str">
        <f>IF(AF222="","",_xll.IMDP("STK",$AF222,"한글종목명"))</f>
        <v/>
      </c>
      <c r="AH222" s="48" t="str">
        <f>IF(AF222="","",_xll.IMDP("STK",$AF222,"현재가"))</f>
        <v/>
      </c>
      <c r="AI222" s="48" t="str">
        <f>IF(AF222="","",_xll.IMDP("STK",$AF222,"전일대비"))</f>
        <v/>
      </c>
      <c r="AJ222" s="49" t="str">
        <f>IF(AF222="","",_xll.IMDP("STK",$AF222,"등락률"))</f>
        <v/>
      </c>
      <c r="AK222" s="48" t="str">
        <f>IF(AF222="","",_xll.IMDP("STK",$AF222,"시가총액"))</f>
        <v/>
      </c>
      <c r="AL222" s="20" t="str">
        <f t="shared" si="10"/>
        <v/>
      </c>
      <c r="AM222" s="21" t="str">
        <f>IF(AL222="","",_xll.IMDP("STK",$AL222,"한글종목명"))</f>
        <v/>
      </c>
      <c r="AN222" s="48" t="str">
        <f>IF(AL222="","",_xll.IMDP("STK",$AL222,"현재가"))</f>
        <v/>
      </c>
      <c r="AO222" s="48" t="str">
        <f>IF(AL222="","",_xll.IMDP("STK",$AL222,"전일대비"))</f>
        <v/>
      </c>
      <c r="AP222" s="49" t="str">
        <f>IF(AL222="","",_xll.IMDP("STK",$AL222,"등락률"))</f>
        <v/>
      </c>
      <c r="AQ222" s="48" t="str">
        <f>IF(AL222="","",_xll.IMDP("STK",$AL222,"시가총액"))</f>
        <v/>
      </c>
    </row>
    <row r="223" spans="3:43" x14ac:dyDescent="0.25">
      <c r="C223" s="22">
        <v>218</v>
      </c>
      <c r="Y223" s="25" t="s">
        <v>442</v>
      </c>
      <c r="Z223" s="20" t="str">
        <f t="shared" si="9"/>
        <v/>
      </c>
      <c r="AA223" s="21" t="str">
        <f>IF(Z223="","",_xll.IMDP("STK",$Z223,"한글종목명"))</f>
        <v/>
      </c>
      <c r="AB223" s="48" t="str">
        <f>IF(Z223="","",_xll.IMDP("STK",$Z223,"현재가"))</f>
        <v/>
      </c>
      <c r="AC223" s="48" t="str">
        <f>IF(Z223="","",_xll.IMDP("STK",$Z223,"전일대비"))</f>
        <v/>
      </c>
      <c r="AD223" s="49" t="str">
        <f>IF(Z223="","",_xll.IMDP("STK",$Z223,"등락률"))</f>
        <v/>
      </c>
      <c r="AE223" s="48" t="str">
        <f>IF(Z223="","",_xll.IMDP("STK",Z223,"시가총액"))</f>
        <v/>
      </c>
      <c r="AF223" s="20" t="str">
        <f t="shared" si="11"/>
        <v/>
      </c>
      <c r="AG223" s="21" t="str">
        <f>IF(AF223="","",_xll.IMDP("STK",$AF223,"한글종목명"))</f>
        <v/>
      </c>
      <c r="AH223" s="48" t="str">
        <f>IF(AF223="","",_xll.IMDP("STK",$AF223,"현재가"))</f>
        <v/>
      </c>
      <c r="AI223" s="48" t="str">
        <f>IF(AF223="","",_xll.IMDP("STK",$AF223,"전일대비"))</f>
        <v/>
      </c>
      <c r="AJ223" s="49" t="str">
        <f>IF(AF223="","",_xll.IMDP("STK",$AF223,"등락률"))</f>
        <v/>
      </c>
      <c r="AK223" s="48" t="str">
        <f>IF(AF223="","",_xll.IMDP("STK",$AF223,"시가총액"))</f>
        <v/>
      </c>
      <c r="AL223" s="20" t="str">
        <f t="shared" si="10"/>
        <v/>
      </c>
      <c r="AM223" s="21" t="str">
        <f>IF(AL223="","",_xll.IMDP("STK",$AL223,"한글종목명"))</f>
        <v/>
      </c>
      <c r="AN223" s="48" t="str">
        <f>IF(AL223="","",_xll.IMDP("STK",$AL223,"현재가"))</f>
        <v/>
      </c>
      <c r="AO223" s="48" t="str">
        <f>IF(AL223="","",_xll.IMDP("STK",$AL223,"전일대비"))</f>
        <v/>
      </c>
      <c r="AP223" s="49" t="str">
        <f>IF(AL223="","",_xll.IMDP("STK",$AL223,"등락률"))</f>
        <v/>
      </c>
      <c r="AQ223" s="48" t="str">
        <f>IF(AL223="","",_xll.IMDP("STK",$AL223,"시가총액"))</f>
        <v/>
      </c>
    </row>
    <row r="224" spans="3:43" x14ac:dyDescent="0.25">
      <c r="C224" s="22">
        <v>219</v>
      </c>
      <c r="Y224" s="25" t="s">
        <v>652</v>
      </c>
      <c r="Z224" s="20" t="str">
        <f t="shared" si="9"/>
        <v/>
      </c>
      <c r="AA224" s="21" t="str">
        <f>IF(Z224="","",_xll.IMDP("STK",$Z224,"한글종목명"))</f>
        <v/>
      </c>
      <c r="AB224" s="48" t="str">
        <f>IF(Z224="","",_xll.IMDP("STK",$Z224,"현재가"))</f>
        <v/>
      </c>
      <c r="AC224" s="48" t="str">
        <f>IF(Z224="","",_xll.IMDP("STK",$Z224,"전일대비"))</f>
        <v/>
      </c>
      <c r="AD224" s="49" t="str">
        <f>IF(Z224="","",_xll.IMDP("STK",$Z224,"등락률"))</f>
        <v/>
      </c>
      <c r="AE224" s="48" t="str">
        <f>IF(Z224="","",_xll.IMDP("STK",Z224,"시가총액"))</f>
        <v/>
      </c>
      <c r="AF224" s="20" t="str">
        <f t="shared" si="11"/>
        <v/>
      </c>
      <c r="AG224" s="21" t="str">
        <f>IF(AF224="","",_xll.IMDP("STK",$AF224,"한글종목명"))</f>
        <v/>
      </c>
      <c r="AH224" s="48" t="str">
        <f>IF(AF224="","",_xll.IMDP("STK",$AF224,"현재가"))</f>
        <v/>
      </c>
      <c r="AI224" s="48" t="str">
        <f>IF(AF224="","",_xll.IMDP("STK",$AF224,"전일대비"))</f>
        <v/>
      </c>
      <c r="AJ224" s="49" t="str">
        <f>IF(AF224="","",_xll.IMDP("STK",$AF224,"등락률"))</f>
        <v/>
      </c>
      <c r="AK224" s="48" t="str">
        <f>IF(AF224="","",_xll.IMDP("STK",$AF224,"시가총액"))</f>
        <v/>
      </c>
      <c r="AL224" s="20" t="str">
        <f t="shared" si="10"/>
        <v/>
      </c>
      <c r="AM224" s="21" t="str">
        <f>IF(AL224="","",_xll.IMDP("STK",$AL224,"한글종목명"))</f>
        <v/>
      </c>
      <c r="AN224" s="48" t="str">
        <f>IF(AL224="","",_xll.IMDP("STK",$AL224,"현재가"))</f>
        <v/>
      </c>
      <c r="AO224" s="48" t="str">
        <f>IF(AL224="","",_xll.IMDP("STK",$AL224,"전일대비"))</f>
        <v/>
      </c>
      <c r="AP224" s="49" t="str">
        <f>IF(AL224="","",_xll.IMDP("STK",$AL224,"등락률"))</f>
        <v/>
      </c>
      <c r="AQ224" s="48" t="str">
        <f>IF(AL224="","",_xll.IMDP("STK",$AL224,"시가총액"))</f>
        <v/>
      </c>
    </row>
    <row r="225" spans="3:43" x14ac:dyDescent="0.25">
      <c r="C225" s="22">
        <v>220</v>
      </c>
      <c r="Y225" s="25" t="s">
        <v>198</v>
      </c>
      <c r="Z225" s="20" t="str">
        <f t="shared" si="9"/>
        <v/>
      </c>
      <c r="AA225" s="21" t="str">
        <f>IF(Z225="","",_xll.IMDP("STK",$Z225,"한글종목명"))</f>
        <v/>
      </c>
      <c r="AB225" s="48" t="str">
        <f>IF(Z225="","",_xll.IMDP("STK",$Z225,"현재가"))</f>
        <v/>
      </c>
      <c r="AC225" s="48" t="str">
        <f>IF(Z225="","",_xll.IMDP("STK",$Z225,"전일대비"))</f>
        <v/>
      </c>
      <c r="AD225" s="49" t="str">
        <f>IF(Z225="","",_xll.IMDP("STK",$Z225,"등락률"))</f>
        <v/>
      </c>
      <c r="AE225" s="48" t="str">
        <f>IF(Z225="","",_xll.IMDP("STK",Z225,"시가총액"))</f>
        <v/>
      </c>
      <c r="AF225" s="20" t="str">
        <f t="shared" si="11"/>
        <v/>
      </c>
      <c r="AG225" s="21" t="str">
        <f>IF(AF225="","",_xll.IMDP("STK",$AF225,"한글종목명"))</f>
        <v/>
      </c>
      <c r="AH225" s="48" t="str">
        <f>IF(AF225="","",_xll.IMDP("STK",$AF225,"현재가"))</f>
        <v/>
      </c>
      <c r="AI225" s="48" t="str">
        <f>IF(AF225="","",_xll.IMDP("STK",$AF225,"전일대비"))</f>
        <v/>
      </c>
      <c r="AJ225" s="49" t="str">
        <f>IF(AF225="","",_xll.IMDP("STK",$AF225,"등락률"))</f>
        <v/>
      </c>
      <c r="AK225" s="48" t="str">
        <f>IF(AF225="","",_xll.IMDP("STK",$AF225,"시가총액"))</f>
        <v/>
      </c>
      <c r="AL225" s="20" t="str">
        <f t="shared" si="10"/>
        <v/>
      </c>
      <c r="AM225" s="21" t="str">
        <f>IF(AL225="","",_xll.IMDP("STK",$AL225,"한글종목명"))</f>
        <v/>
      </c>
      <c r="AN225" s="48" t="str">
        <f>IF(AL225="","",_xll.IMDP("STK",$AL225,"현재가"))</f>
        <v/>
      </c>
      <c r="AO225" s="48" t="str">
        <f>IF(AL225="","",_xll.IMDP("STK",$AL225,"전일대비"))</f>
        <v/>
      </c>
      <c r="AP225" s="49" t="str">
        <f>IF(AL225="","",_xll.IMDP("STK",$AL225,"등락률"))</f>
        <v/>
      </c>
      <c r="AQ225" s="48" t="str">
        <f>IF(AL225="","",_xll.IMDP("STK",$AL225,"시가총액"))</f>
        <v/>
      </c>
    </row>
    <row r="226" spans="3:43" x14ac:dyDescent="0.25">
      <c r="C226" s="22">
        <v>221</v>
      </c>
      <c r="Y226" s="25" t="s">
        <v>199</v>
      </c>
      <c r="Z226" s="20" t="str">
        <f t="shared" si="9"/>
        <v/>
      </c>
      <c r="AA226" s="21" t="str">
        <f>IF(Z226="","",_xll.IMDP("STK",$Z226,"한글종목명"))</f>
        <v/>
      </c>
      <c r="AB226" s="48" t="str">
        <f>IF(Z226="","",_xll.IMDP("STK",$Z226,"현재가"))</f>
        <v/>
      </c>
      <c r="AC226" s="48" t="str">
        <f>IF(Z226="","",_xll.IMDP("STK",$Z226,"전일대비"))</f>
        <v/>
      </c>
      <c r="AD226" s="49" t="str">
        <f>IF(Z226="","",_xll.IMDP("STK",$Z226,"등락률"))</f>
        <v/>
      </c>
      <c r="AE226" s="48" t="str">
        <f>IF(Z226="","",_xll.IMDP("STK",Z226,"시가총액"))</f>
        <v/>
      </c>
      <c r="AF226" s="20" t="str">
        <f t="shared" si="11"/>
        <v/>
      </c>
      <c r="AG226" s="21" t="str">
        <f>IF(AF226="","",_xll.IMDP("STK",$AF226,"한글종목명"))</f>
        <v/>
      </c>
      <c r="AH226" s="48" t="str">
        <f>IF(AF226="","",_xll.IMDP("STK",$AF226,"현재가"))</f>
        <v/>
      </c>
      <c r="AI226" s="48" t="str">
        <f>IF(AF226="","",_xll.IMDP("STK",$AF226,"전일대비"))</f>
        <v/>
      </c>
      <c r="AJ226" s="49" t="str">
        <f>IF(AF226="","",_xll.IMDP("STK",$AF226,"등락률"))</f>
        <v/>
      </c>
      <c r="AK226" s="48" t="str">
        <f>IF(AF226="","",_xll.IMDP("STK",$AF226,"시가총액"))</f>
        <v/>
      </c>
      <c r="AL226" s="20" t="str">
        <f t="shared" si="10"/>
        <v/>
      </c>
      <c r="AM226" s="21" t="str">
        <f>IF(AL226="","",_xll.IMDP("STK",$AL226,"한글종목명"))</f>
        <v/>
      </c>
      <c r="AN226" s="48" t="str">
        <f>IF(AL226="","",_xll.IMDP("STK",$AL226,"현재가"))</f>
        <v/>
      </c>
      <c r="AO226" s="48" t="str">
        <f>IF(AL226="","",_xll.IMDP("STK",$AL226,"전일대비"))</f>
        <v/>
      </c>
      <c r="AP226" s="49" t="str">
        <f>IF(AL226="","",_xll.IMDP("STK",$AL226,"등락률"))</f>
        <v/>
      </c>
      <c r="AQ226" s="48" t="str">
        <f>IF(AL226="","",_xll.IMDP("STK",$AL226,"시가총액"))</f>
        <v/>
      </c>
    </row>
    <row r="227" spans="3:43" x14ac:dyDescent="0.25">
      <c r="C227" s="22">
        <v>222</v>
      </c>
      <c r="Y227" s="25" t="s">
        <v>200</v>
      </c>
      <c r="Z227" s="20" t="str">
        <f t="shared" si="9"/>
        <v/>
      </c>
      <c r="AA227" s="21" t="str">
        <f>IF(Z227="","",_xll.IMDP("STK",$Z227,"한글종목명"))</f>
        <v/>
      </c>
      <c r="AB227" s="48" t="str">
        <f>IF(Z227="","",_xll.IMDP("STK",$Z227,"현재가"))</f>
        <v/>
      </c>
      <c r="AC227" s="48" t="str">
        <f>IF(Z227="","",_xll.IMDP("STK",$Z227,"전일대비"))</f>
        <v/>
      </c>
      <c r="AD227" s="49" t="str">
        <f>IF(Z227="","",_xll.IMDP("STK",$Z227,"등락률"))</f>
        <v/>
      </c>
      <c r="AE227" s="48" t="str">
        <f>IF(Z227="","",_xll.IMDP("STK",Z227,"시가총액"))</f>
        <v/>
      </c>
      <c r="AF227" s="20" t="str">
        <f t="shared" si="11"/>
        <v/>
      </c>
      <c r="AG227" s="21" t="str">
        <f>IF(AF227="","",_xll.IMDP("STK",$AF227,"한글종목명"))</f>
        <v/>
      </c>
      <c r="AH227" s="48" t="str">
        <f>IF(AF227="","",_xll.IMDP("STK",$AF227,"현재가"))</f>
        <v/>
      </c>
      <c r="AI227" s="48" t="str">
        <f>IF(AF227="","",_xll.IMDP("STK",$AF227,"전일대비"))</f>
        <v/>
      </c>
      <c r="AJ227" s="49" t="str">
        <f>IF(AF227="","",_xll.IMDP("STK",$AF227,"등락률"))</f>
        <v/>
      </c>
      <c r="AK227" s="48" t="str">
        <f>IF(AF227="","",_xll.IMDP("STK",$AF227,"시가총액"))</f>
        <v/>
      </c>
      <c r="AL227" s="20" t="str">
        <f t="shared" si="10"/>
        <v/>
      </c>
      <c r="AM227" s="21" t="str">
        <f>IF(AL227="","",_xll.IMDP("STK",$AL227,"한글종목명"))</f>
        <v/>
      </c>
      <c r="AN227" s="48" t="str">
        <f>IF(AL227="","",_xll.IMDP("STK",$AL227,"현재가"))</f>
        <v/>
      </c>
      <c r="AO227" s="48" t="str">
        <f>IF(AL227="","",_xll.IMDP("STK",$AL227,"전일대비"))</f>
        <v/>
      </c>
      <c r="AP227" s="49" t="str">
        <f>IF(AL227="","",_xll.IMDP("STK",$AL227,"등락률"))</f>
        <v/>
      </c>
      <c r="AQ227" s="48" t="str">
        <f>IF(AL227="","",_xll.IMDP("STK",$AL227,"시가총액"))</f>
        <v/>
      </c>
    </row>
    <row r="228" spans="3:43" x14ac:dyDescent="0.25">
      <c r="C228" s="22">
        <v>223</v>
      </c>
      <c r="Y228" s="25" t="s">
        <v>201</v>
      </c>
      <c r="Z228" s="20" t="str">
        <f t="shared" si="9"/>
        <v/>
      </c>
      <c r="AA228" s="21" t="str">
        <f>IF(Z228="","",_xll.IMDP("STK",$Z228,"한글종목명"))</f>
        <v/>
      </c>
      <c r="AB228" s="48" t="str">
        <f>IF(Z228="","",_xll.IMDP("STK",$Z228,"현재가"))</f>
        <v/>
      </c>
      <c r="AC228" s="48" t="str">
        <f>IF(Z228="","",_xll.IMDP("STK",$Z228,"전일대비"))</f>
        <v/>
      </c>
      <c r="AD228" s="49" t="str">
        <f>IF(Z228="","",_xll.IMDP("STK",$Z228,"등락률"))</f>
        <v/>
      </c>
      <c r="AE228" s="48" t="str">
        <f>IF(Z228="","",_xll.IMDP("STK",Z228,"시가총액"))</f>
        <v/>
      </c>
      <c r="AF228" s="20" t="str">
        <f t="shared" si="11"/>
        <v/>
      </c>
      <c r="AG228" s="21" t="str">
        <f>IF(AF228="","",_xll.IMDP("STK",$AF228,"한글종목명"))</f>
        <v/>
      </c>
      <c r="AH228" s="48" t="str">
        <f>IF(AF228="","",_xll.IMDP("STK",$AF228,"현재가"))</f>
        <v/>
      </c>
      <c r="AI228" s="48" t="str">
        <f>IF(AF228="","",_xll.IMDP("STK",$AF228,"전일대비"))</f>
        <v/>
      </c>
      <c r="AJ228" s="49" t="str">
        <f>IF(AF228="","",_xll.IMDP("STK",$AF228,"등락률"))</f>
        <v/>
      </c>
      <c r="AK228" s="48" t="str">
        <f>IF(AF228="","",_xll.IMDP("STK",$AF228,"시가총액"))</f>
        <v/>
      </c>
      <c r="AL228" s="20" t="str">
        <f t="shared" si="10"/>
        <v/>
      </c>
      <c r="AM228" s="21" t="str">
        <f>IF(AL228="","",_xll.IMDP("STK",$AL228,"한글종목명"))</f>
        <v/>
      </c>
      <c r="AN228" s="48" t="str">
        <f>IF(AL228="","",_xll.IMDP("STK",$AL228,"현재가"))</f>
        <v/>
      </c>
      <c r="AO228" s="48" t="str">
        <f>IF(AL228="","",_xll.IMDP("STK",$AL228,"전일대비"))</f>
        <v/>
      </c>
      <c r="AP228" s="49" t="str">
        <f>IF(AL228="","",_xll.IMDP("STK",$AL228,"등락률"))</f>
        <v/>
      </c>
      <c r="AQ228" s="48" t="str">
        <f>IF(AL228="","",_xll.IMDP("STK",$AL228,"시가총액"))</f>
        <v/>
      </c>
    </row>
    <row r="229" spans="3:43" x14ac:dyDescent="0.25">
      <c r="C229" s="22">
        <v>224</v>
      </c>
      <c r="Y229" s="25" t="s">
        <v>202</v>
      </c>
      <c r="Z229" s="20" t="str">
        <f t="shared" si="9"/>
        <v/>
      </c>
      <c r="AA229" s="21" t="str">
        <f>IF(Z229="","",_xll.IMDP("STK",$Z229,"한글종목명"))</f>
        <v/>
      </c>
      <c r="AB229" s="48" t="str">
        <f>IF(Z229="","",_xll.IMDP("STK",$Z229,"현재가"))</f>
        <v/>
      </c>
      <c r="AC229" s="48" t="str">
        <f>IF(Z229="","",_xll.IMDP("STK",$Z229,"전일대비"))</f>
        <v/>
      </c>
      <c r="AD229" s="49" t="str">
        <f>IF(Z229="","",_xll.IMDP("STK",$Z229,"등락률"))</f>
        <v/>
      </c>
      <c r="AE229" s="48" t="str">
        <f>IF(Z229="","",_xll.IMDP("STK",Z229,"시가총액"))</f>
        <v/>
      </c>
      <c r="AF229" s="20" t="str">
        <f t="shared" si="11"/>
        <v/>
      </c>
      <c r="AG229" s="21" t="str">
        <f>IF(AF229="","",_xll.IMDP("STK",$AF229,"한글종목명"))</f>
        <v/>
      </c>
      <c r="AH229" s="48" t="str">
        <f>IF(AF229="","",_xll.IMDP("STK",$AF229,"현재가"))</f>
        <v/>
      </c>
      <c r="AI229" s="48" t="str">
        <f>IF(AF229="","",_xll.IMDP("STK",$AF229,"전일대비"))</f>
        <v/>
      </c>
      <c r="AJ229" s="49" t="str">
        <f>IF(AF229="","",_xll.IMDP("STK",$AF229,"등락률"))</f>
        <v/>
      </c>
      <c r="AK229" s="48" t="str">
        <f>IF(AF229="","",_xll.IMDP("STK",$AF229,"시가총액"))</f>
        <v/>
      </c>
      <c r="AL229" s="20" t="str">
        <f t="shared" si="10"/>
        <v/>
      </c>
      <c r="AM229" s="21" t="str">
        <f>IF(AL229="","",_xll.IMDP("STK",$AL229,"한글종목명"))</f>
        <v/>
      </c>
      <c r="AN229" s="48" t="str">
        <f>IF(AL229="","",_xll.IMDP("STK",$AL229,"현재가"))</f>
        <v/>
      </c>
      <c r="AO229" s="48" t="str">
        <f>IF(AL229="","",_xll.IMDP("STK",$AL229,"전일대비"))</f>
        <v/>
      </c>
      <c r="AP229" s="49" t="str">
        <f>IF(AL229="","",_xll.IMDP("STK",$AL229,"등락률"))</f>
        <v/>
      </c>
      <c r="AQ229" s="48" t="str">
        <f>IF(AL229="","",_xll.IMDP("STK",$AL229,"시가총액"))</f>
        <v/>
      </c>
    </row>
    <row r="230" spans="3:43" x14ac:dyDescent="0.25">
      <c r="C230" s="22">
        <v>225</v>
      </c>
      <c r="Y230" s="25" t="s">
        <v>203</v>
      </c>
      <c r="Z230" s="20" t="str">
        <f t="shared" si="9"/>
        <v/>
      </c>
      <c r="AA230" s="21" t="str">
        <f>IF(Z230="","",_xll.IMDP("STK",$Z230,"한글종목명"))</f>
        <v/>
      </c>
      <c r="AB230" s="48" t="str">
        <f>IF(Z230="","",_xll.IMDP("STK",$Z230,"현재가"))</f>
        <v/>
      </c>
      <c r="AC230" s="48" t="str">
        <f>IF(Z230="","",_xll.IMDP("STK",$Z230,"전일대비"))</f>
        <v/>
      </c>
      <c r="AD230" s="49" t="str">
        <f>IF(Z230="","",_xll.IMDP("STK",$Z230,"등락률"))</f>
        <v/>
      </c>
      <c r="AE230" s="48" t="str">
        <f>IF(Z230="","",_xll.IMDP("STK",Z230,"시가총액"))</f>
        <v/>
      </c>
      <c r="AF230" s="20" t="str">
        <f t="shared" si="11"/>
        <v/>
      </c>
      <c r="AG230" s="21" t="str">
        <f>IF(AF230="","",_xll.IMDP("STK",$AF230,"한글종목명"))</f>
        <v/>
      </c>
      <c r="AH230" s="48" t="str">
        <f>IF(AF230="","",_xll.IMDP("STK",$AF230,"현재가"))</f>
        <v/>
      </c>
      <c r="AI230" s="48" t="str">
        <f>IF(AF230="","",_xll.IMDP("STK",$AF230,"전일대비"))</f>
        <v/>
      </c>
      <c r="AJ230" s="49" t="str">
        <f>IF(AF230="","",_xll.IMDP("STK",$AF230,"등락률"))</f>
        <v/>
      </c>
      <c r="AK230" s="48" t="str">
        <f>IF(AF230="","",_xll.IMDP("STK",$AF230,"시가총액"))</f>
        <v/>
      </c>
      <c r="AL230" s="20" t="str">
        <f t="shared" si="10"/>
        <v/>
      </c>
      <c r="AM230" s="21" t="str">
        <f>IF(AL230="","",_xll.IMDP("STK",$AL230,"한글종목명"))</f>
        <v/>
      </c>
      <c r="AN230" s="48" t="str">
        <f>IF(AL230="","",_xll.IMDP("STK",$AL230,"현재가"))</f>
        <v/>
      </c>
      <c r="AO230" s="48" t="str">
        <f>IF(AL230="","",_xll.IMDP("STK",$AL230,"전일대비"))</f>
        <v/>
      </c>
      <c r="AP230" s="49" t="str">
        <f>IF(AL230="","",_xll.IMDP("STK",$AL230,"등락률"))</f>
        <v/>
      </c>
      <c r="AQ230" s="48" t="str">
        <f>IF(AL230="","",_xll.IMDP("STK",$AL230,"시가총액"))</f>
        <v/>
      </c>
    </row>
    <row r="231" spans="3:43" x14ac:dyDescent="0.25">
      <c r="C231" s="22">
        <v>226</v>
      </c>
      <c r="Y231" s="25" t="s">
        <v>443</v>
      </c>
      <c r="Z231" s="20" t="str">
        <f t="shared" si="9"/>
        <v/>
      </c>
      <c r="AA231" s="21" t="str">
        <f>IF(Z231="","",_xll.IMDP("STK",$Z231,"한글종목명"))</f>
        <v/>
      </c>
      <c r="AB231" s="48" t="str">
        <f>IF(Z231="","",_xll.IMDP("STK",$Z231,"현재가"))</f>
        <v/>
      </c>
      <c r="AC231" s="48" t="str">
        <f>IF(Z231="","",_xll.IMDP("STK",$Z231,"전일대비"))</f>
        <v/>
      </c>
      <c r="AD231" s="49" t="str">
        <f>IF(Z231="","",_xll.IMDP("STK",$Z231,"등락률"))</f>
        <v/>
      </c>
      <c r="AE231" s="48" t="str">
        <f>IF(Z231="","",_xll.IMDP("STK",Z231,"시가총액"))</f>
        <v/>
      </c>
      <c r="AF231" s="20" t="str">
        <f t="shared" si="11"/>
        <v/>
      </c>
      <c r="AG231" s="21" t="str">
        <f>IF(AF231="","",_xll.IMDP("STK",$AF231,"한글종목명"))</f>
        <v/>
      </c>
      <c r="AH231" s="48" t="str">
        <f>IF(AF231="","",_xll.IMDP("STK",$AF231,"현재가"))</f>
        <v/>
      </c>
      <c r="AI231" s="48" t="str">
        <f>IF(AF231="","",_xll.IMDP("STK",$AF231,"전일대비"))</f>
        <v/>
      </c>
      <c r="AJ231" s="49" t="str">
        <f>IF(AF231="","",_xll.IMDP("STK",$AF231,"등락률"))</f>
        <v/>
      </c>
      <c r="AK231" s="48" t="str">
        <f>IF(AF231="","",_xll.IMDP("STK",$AF231,"시가총액"))</f>
        <v/>
      </c>
      <c r="AL231" s="20" t="str">
        <f t="shared" si="10"/>
        <v/>
      </c>
      <c r="AM231" s="21" t="str">
        <f>IF(AL231="","",_xll.IMDP("STK",$AL231,"한글종목명"))</f>
        <v/>
      </c>
      <c r="AN231" s="48" t="str">
        <f>IF(AL231="","",_xll.IMDP("STK",$AL231,"현재가"))</f>
        <v/>
      </c>
      <c r="AO231" s="48" t="str">
        <f>IF(AL231="","",_xll.IMDP("STK",$AL231,"전일대비"))</f>
        <v/>
      </c>
      <c r="AP231" s="49" t="str">
        <f>IF(AL231="","",_xll.IMDP("STK",$AL231,"등락률"))</f>
        <v/>
      </c>
      <c r="AQ231" s="48" t="str">
        <f>IF(AL231="","",_xll.IMDP("STK",$AL231,"시가총액"))</f>
        <v/>
      </c>
    </row>
    <row r="232" spans="3:43" x14ac:dyDescent="0.25">
      <c r="C232" s="22">
        <v>227</v>
      </c>
      <c r="Y232" s="25" t="s">
        <v>583</v>
      </c>
      <c r="Z232" s="20" t="str">
        <f t="shared" si="9"/>
        <v/>
      </c>
      <c r="AA232" s="21" t="str">
        <f>IF(Z232="","",_xll.IMDP("STK",$Z232,"한글종목명"))</f>
        <v/>
      </c>
      <c r="AB232" s="48" t="str">
        <f>IF(Z232="","",_xll.IMDP("STK",$Z232,"현재가"))</f>
        <v/>
      </c>
      <c r="AC232" s="48" t="str">
        <f>IF(Z232="","",_xll.IMDP("STK",$Z232,"전일대비"))</f>
        <v/>
      </c>
      <c r="AD232" s="49" t="str">
        <f>IF(Z232="","",_xll.IMDP("STK",$Z232,"등락률"))</f>
        <v/>
      </c>
      <c r="AE232" s="48" t="str">
        <f>IF(Z232="","",_xll.IMDP("STK",Z232,"시가총액"))</f>
        <v/>
      </c>
      <c r="AF232" s="20" t="str">
        <f t="shared" si="11"/>
        <v/>
      </c>
      <c r="AG232" s="21" t="str">
        <f>IF(AF232="","",_xll.IMDP("STK",$AF232,"한글종목명"))</f>
        <v/>
      </c>
      <c r="AH232" s="48" t="str">
        <f>IF(AF232="","",_xll.IMDP("STK",$AF232,"현재가"))</f>
        <v/>
      </c>
      <c r="AI232" s="48" t="str">
        <f>IF(AF232="","",_xll.IMDP("STK",$AF232,"전일대비"))</f>
        <v/>
      </c>
      <c r="AJ232" s="49" t="str">
        <f>IF(AF232="","",_xll.IMDP("STK",$AF232,"등락률"))</f>
        <v/>
      </c>
      <c r="AK232" s="48" t="str">
        <f>IF(AF232="","",_xll.IMDP("STK",$AF232,"시가총액"))</f>
        <v/>
      </c>
      <c r="AL232" s="20" t="str">
        <f t="shared" si="10"/>
        <v/>
      </c>
      <c r="AM232" s="21" t="str">
        <f>IF(AL232="","",_xll.IMDP("STK",$AL232,"한글종목명"))</f>
        <v/>
      </c>
      <c r="AN232" s="48" t="str">
        <f>IF(AL232="","",_xll.IMDP("STK",$AL232,"현재가"))</f>
        <v/>
      </c>
      <c r="AO232" s="48" t="str">
        <f>IF(AL232="","",_xll.IMDP("STK",$AL232,"전일대비"))</f>
        <v/>
      </c>
      <c r="AP232" s="49" t="str">
        <f>IF(AL232="","",_xll.IMDP("STK",$AL232,"등락률"))</f>
        <v/>
      </c>
      <c r="AQ232" s="48" t="str">
        <f>IF(AL232="","",_xll.IMDP("STK",$AL232,"시가총액"))</f>
        <v/>
      </c>
    </row>
    <row r="233" spans="3:43" x14ac:dyDescent="0.25">
      <c r="C233" s="22">
        <v>228</v>
      </c>
      <c r="Y233" s="25" t="s">
        <v>584</v>
      </c>
      <c r="Z233" s="20" t="str">
        <f t="shared" si="9"/>
        <v/>
      </c>
      <c r="AA233" s="21" t="str">
        <f>IF(Z233="","",_xll.IMDP("STK",$Z233,"한글종목명"))</f>
        <v/>
      </c>
      <c r="AB233" s="48" t="str">
        <f>IF(Z233="","",_xll.IMDP("STK",$Z233,"현재가"))</f>
        <v/>
      </c>
      <c r="AC233" s="48" t="str">
        <f>IF(Z233="","",_xll.IMDP("STK",$Z233,"전일대비"))</f>
        <v/>
      </c>
      <c r="AD233" s="49" t="str">
        <f>IF(Z233="","",_xll.IMDP("STK",$Z233,"등락률"))</f>
        <v/>
      </c>
      <c r="AE233" s="48" t="str">
        <f>IF(Z233="","",_xll.IMDP("STK",Z233,"시가총액"))</f>
        <v/>
      </c>
      <c r="AF233" s="20" t="str">
        <f t="shared" si="11"/>
        <v/>
      </c>
      <c r="AG233" s="21" t="str">
        <f>IF(AF233="","",_xll.IMDP("STK",$AF233,"한글종목명"))</f>
        <v/>
      </c>
      <c r="AH233" s="48" t="str">
        <f>IF(AF233="","",_xll.IMDP("STK",$AF233,"현재가"))</f>
        <v/>
      </c>
      <c r="AI233" s="48" t="str">
        <f>IF(AF233="","",_xll.IMDP("STK",$AF233,"전일대비"))</f>
        <v/>
      </c>
      <c r="AJ233" s="49" t="str">
        <f>IF(AF233="","",_xll.IMDP("STK",$AF233,"등락률"))</f>
        <v/>
      </c>
      <c r="AK233" s="48" t="str">
        <f>IF(AF233="","",_xll.IMDP("STK",$AF233,"시가총액"))</f>
        <v/>
      </c>
      <c r="AL233" s="20" t="str">
        <f t="shared" si="10"/>
        <v/>
      </c>
      <c r="AM233" s="21" t="str">
        <f>IF(AL233="","",_xll.IMDP("STK",$AL233,"한글종목명"))</f>
        <v/>
      </c>
      <c r="AN233" s="48" t="str">
        <f>IF(AL233="","",_xll.IMDP("STK",$AL233,"현재가"))</f>
        <v/>
      </c>
      <c r="AO233" s="48" t="str">
        <f>IF(AL233="","",_xll.IMDP("STK",$AL233,"전일대비"))</f>
        <v/>
      </c>
      <c r="AP233" s="49" t="str">
        <f>IF(AL233="","",_xll.IMDP("STK",$AL233,"등락률"))</f>
        <v/>
      </c>
      <c r="AQ233" s="48" t="str">
        <f>IF(AL233="","",_xll.IMDP("STK",$AL233,"시가총액"))</f>
        <v/>
      </c>
    </row>
    <row r="234" spans="3:43" x14ac:dyDescent="0.25">
      <c r="C234" s="22">
        <v>229</v>
      </c>
      <c r="Y234" s="25" t="s">
        <v>653</v>
      </c>
      <c r="Z234" s="20" t="str">
        <f t="shared" si="9"/>
        <v/>
      </c>
      <c r="AA234" s="21" t="str">
        <f>IF(Z234="","",_xll.IMDP("STK",$Z234,"한글종목명"))</f>
        <v/>
      </c>
      <c r="AB234" s="48" t="str">
        <f>IF(Z234="","",_xll.IMDP("STK",$Z234,"현재가"))</f>
        <v/>
      </c>
      <c r="AC234" s="48" t="str">
        <f>IF(Z234="","",_xll.IMDP("STK",$Z234,"전일대비"))</f>
        <v/>
      </c>
      <c r="AD234" s="49" t="str">
        <f>IF(Z234="","",_xll.IMDP("STK",$Z234,"등락률"))</f>
        <v/>
      </c>
      <c r="AE234" s="48" t="str">
        <f>IF(Z234="","",_xll.IMDP("STK",Z234,"시가총액"))</f>
        <v/>
      </c>
      <c r="AF234" s="20" t="str">
        <f t="shared" si="11"/>
        <v/>
      </c>
      <c r="AG234" s="21" t="str">
        <f>IF(AF234="","",_xll.IMDP("STK",$AF234,"한글종목명"))</f>
        <v/>
      </c>
      <c r="AH234" s="48" t="str">
        <f>IF(AF234="","",_xll.IMDP("STK",$AF234,"현재가"))</f>
        <v/>
      </c>
      <c r="AI234" s="48" t="str">
        <f>IF(AF234="","",_xll.IMDP("STK",$AF234,"전일대비"))</f>
        <v/>
      </c>
      <c r="AJ234" s="49" t="str">
        <f>IF(AF234="","",_xll.IMDP("STK",$AF234,"등락률"))</f>
        <v/>
      </c>
      <c r="AK234" s="48" t="str">
        <f>IF(AF234="","",_xll.IMDP("STK",$AF234,"시가총액"))</f>
        <v/>
      </c>
      <c r="AL234" s="20" t="str">
        <f t="shared" si="10"/>
        <v/>
      </c>
      <c r="AM234" s="21" t="str">
        <f>IF(AL234="","",_xll.IMDP("STK",$AL234,"한글종목명"))</f>
        <v/>
      </c>
      <c r="AN234" s="48" t="str">
        <f>IF(AL234="","",_xll.IMDP("STK",$AL234,"현재가"))</f>
        <v/>
      </c>
      <c r="AO234" s="48" t="str">
        <f>IF(AL234="","",_xll.IMDP("STK",$AL234,"전일대비"))</f>
        <v/>
      </c>
      <c r="AP234" s="49" t="str">
        <f>IF(AL234="","",_xll.IMDP("STK",$AL234,"등락률"))</f>
        <v/>
      </c>
      <c r="AQ234" s="48" t="str">
        <f>IF(AL234="","",_xll.IMDP("STK",$AL234,"시가총액"))</f>
        <v/>
      </c>
    </row>
    <row r="235" spans="3:43" x14ac:dyDescent="0.25">
      <c r="C235" s="22">
        <v>230</v>
      </c>
      <c r="Y235" s="25" t="s">
        <v>399</v>
      </c>
      <c r="Z235" s="20" t="str">
        <f t="shared" si="9"/>
        <v/>
      </c>
      <c r="AA235" s="21" t="str">
        <f>IF(Z235="","",_xll.IMDP("STK",$Z235,"한글종목명"))</f>
        <v/>
      </c>
      <c r="AB235" s="48" t="str">
        <f>IF(Z235="","",_xll.IMDP("STK",$Z235,"현재가"))</f>
        <v/>
      </c>
      <c r="AC235" s="48" t="str">
        <f>IF(Z235="","",_xll.IMDP("STK",$Z235,"전일대비"))</f>
        <v/>
      </c>
      <c r="AD235" s="49" t="str">
        <f>IF(Z235="","",_xll.IMDP("STK",$Z235,"등락률"))</f>
        <v/>
      </c>
      <c r="AE235" s="48" t="str">
        <f>IF(Z235="","",_xll.IMDP("STK",Z235,"시가총액"))</f>
        <v/>
      </c>
      <c r="AF235" s="20" t="str">
        <f t="shared" si="11"/>
        <v/>
      </c>
      <c r="AG235" s="21" t="str">
        <f>IF(AF235="","",_xll.IMDP("STK",$AF235,"한글종목명"))</f>
        <v/>
      </c>
      <c r="AH235" s="48" t="str">
        <f>IF(AF235="","",_xll.IMDP("STK",$AF235,"현재가"))</f>
        <v/>
      </c>
      <c r="AI235" s="48" t="str">
        <f>IF(AF235="","",_xll.IMDP("STK",$AF235,"전일대비"))</f>
        <v/>
      </c>
      <c r="AJ235" s="49" t="str">
        <f>IF(AF235="","",_xll.IMDP("STK",$AF235,"등락률"))</f>
        <v/>
      </c>
      <c r="AK235" s="48" t="str">
        <f>IF(AF235="","",_xll.IMDP("STK",$AF235,"시가총액"))</f>
        <v/>
      </c>
      <c r="AL235" s="20" t="str">
        <f t="shared" si="10"/>
        <v/>
      </c>
      <c r="AM235" s="21" t="str">
        <f>IF(AL235="","",_xll.IMDP("STK",$AL235,"한글종목명"))</f>
        <v/>
      </c>
      <c r="AN235" s="48" t="str">
        <f>IF(AL235="","",_xll.IMDP("STK",$AL235,"현재가"))</f>
        <v/>
      </c>
      <c r="AO235" s="48" t="str">
        <f>IF(AL235="","",_xll.IMDP("STK",$AL235,"전일대비"))</f>
        <v/>
      </c>
      <c r="AP235" s="49" t="str">
        <f>IF(AL235="","",_xll.IMDP("STK",$AL235,"등락률"))</f>
        <v/>
      </c>
      <c r="AQ235" s="48" t="str">
        <f>IF(AL235="","",_xll.IMDP("STK",$AL235,"시가총액"))</f>
        <v/>
      </c>
    </row>
    <row r="236" spans="3:43" x14ac:dyDescent="0.25">
      <c r="C236" s="22">
        <v>231</v>
      </c>
      <c r="Y236" s="25" t="s">
        <v>585</v>
      </c>
      <c r="Z236" s="20" t="str">
        <f t="shared" si="9"/>
        <v/>
      </c>
      <c r="AA236" s="21" t="str">
        <f>IF(Z236="","",_xll.IMDP("STK",$Z236,"한글종목명"))</f>
        <v/>
      </c>
      <c r="AB236" s="48" t="str">
        <f>IF(Z236="","",_xll.IMDP("STK",$Z236,"현재가"))</f>
        <v/>
      </c>
      <c r="AC236" s="48" t="str">
        <f>IF(Z236="","",_xll.IMDP("STK",$Z236,"전일대비"))</f>
        <v/>
      </c>
      <c r="AD236" s="49" t="str">
        <f>IF(Z236="","",_xll.IMDP("STK",$Z236,"등락률"))</f>
        <v/>
      </c>
      <c r="AE236" s="48" t="str">
        <f>IF(Z236="","",_xll.IMDP("STK",Z236,"시가총액"))</f>
        <v/>
      </c>
      <c r="AF236" s="20" t="str">
        <f t="shared" si="11"/>
        <v/>
      </c>
      <c r="AG236" s="21" t="str">
        <f>IF(AF236="","",_xll.IMDP("STK",$AF236,"한글종목명"))</f>
        <v/>
      </c>
      <c r="AH236" s="48" t="str">
        <f>IF(AF236="","",_xll.IMDP("STK",$AF236,"현재가"))</f>
        <v/>
      </c>
      <c r="AI236" s="48" t="str">
        <f>IF(AF236="","",_xll.IMDP("STK",$AF236,"전일대비"))</f>
        <v/>
      </c>
      <c r="AJ236" s="49" t="str">
        <f>IF(AF236="","",_xll.IMDP("STK",$AF236,"등락률"))</f>
        <v/>
      </c>
      <c r="AK236" s="48" t="str">
        <f>IF(AF236="","",_xll.IMDP("STK",$AF236,"시가총액"))</f>
        <v/>
      </c>
      <c r="AL236" s="20" t="str">
        <f t="shared" si="10"/>
        <v/>
      </c>
      <c r="AM236" s="21" t="str">
        <f>IF(AL236="","",_xll.IMDP("STK",$AL236,"한글종목명"))</f>
        <v/>
      </c>
      <c r="AN236" s="48" t="str">
        <f>IF(AL236="","",_xll.IMDP("STK",$AL236,"현재가"))</f>
        <v/>
      </c>
      <c r="AO236" s="48" t="str">
        <f>IF(AL236="","",_xll.IMDP("STK",$AL236,"전일대비"))</f>
        <v/>
      </c>
      <c r="AP236" s="49" t="str">
        <f>IF(AL236="","",_xll.IMDP("STK",$AL236,"등락률"))</f>
        <v/>
      </c>
      <c r="AQ236" s="48" t="str">
        <f>IF(AL236="","",_xll.IMDP("STK",$AL236,"시가총액"))</f>
        <v/>
      </c>
    </row>
    <row r="237" spans="3:43" x14ac:dyDescent="0.25">
      <c r="C237" s="22">
        <v>232</v>
      </c>
      <c r="Y237" s="25" t="s">
        <v>586</v>
      </c>
      <c r="Z237" s="20" t="str">
        <f t="shared" si="9"/>
        <v/>
      </c>
      <c r="AA237" s="21" t="str">
        <f>IF(Z237="","",_xll.IMDP("STK",$Z237,"한글종목명"))</f>
        <v/>
      </c>
      <c r="AB237" s="48" t="str">
        <f>IF(Z237="","",_xll.IMDP("STK",$Z237,"현재가"))</f>
        <v/>
      </c>
      <c r="AC237" s="48" t="str">
        <f>IF(Z237="","",_xll.IMDP("STK",$Z237,"전일대비"))</f>
        <v/>
      </c>
      <c r="AD237" s="49" t="str">
        <f>IF(Z237="","",_xll.IMDP("STK",$Z237,"등락률"))</f>
        <v/>
      </c>
      <c r="AE237" s="48" t="str">
        <f>IF(Z237="","",_xll.IMDP("STK",Z237,"시가총액"))</f>
        <v/>
      </c>
      <c r="AF237" s="20" t="str">
        <f t="shared" si="11"/>
        <v/>
      </c>
      <c r="AG237" s="21" t="str">
        <f>IF(AF237="","",_xll.IMDP("STK",$AF237,"한글종목명"))</f>
        <v/>
      </c>
      <c r="AH237" s="48" t="str">
        <f>IF(AF237="","",_xll.IMDP("STK",$AF237,"현재가"))</f>
        <v/>
      </c>
      <c r="AI237" s="48" t="str">
        <f>IF(AF237="","",_xll.IMDP("STK",$AF237,"전일대비"))</f>
        <v/>
      </c>
      <c r="AJ237" s="49" t="str">
        <f>IF(AF237="","",_xll.IMDP("STK",$AF237,"등락률"))</f>
        <v/>
      </c>
      <c r="AK237" s="48" t="str">
        <f>IF(AF237="","",_xll.IMDP("STK",$AF237,"시가총액"))</f>
        <v/>
      </c>
      <c r="AL237" s="20" t="str">
        <f t="shared" si="10"/>
        <v/>
      </c>
      <c r="AM237" s="21" t="str">
        <f>IF(AL237="","",_xll.IMDP("STK",$AL237,"한글종목명"))</f>
        <v/>
      </c>
      <c r="AN237" s="48" t="str">
        <f>IF(AL237="","",_xll.IMDP("STK",$AL237,"현재가"))</f>
        <v/>
      </c>
      <c r="AO237" s="48" t="str">
        <f>IF(AL237="","",_xll.IMDP("STK",$AL237,"전일대비"))</f>
        <v/>
      </c>
      <c r="AP237" s="49" t="str">
        <f>IF(AL237="","",_xll.IMDP("STK",$AL237,"등락률"))</f>
        <v/>
      </c>
      <c r="AQ237" s="48" t="str">
        <f>IF(AL237="","",_xll.IMDP("STK",$AL237,"시가총액"))</f>
        <v/>
      </c>
    </row>
    <row r="238" spans="3:43" x14ac:dyDescent="0.25">
      <c r="C238" s="22">
        <v>233</v>
      </c>
      <c r="Y238" s="25" t="s">
        <v>587</v>
      </c>
      <c r="Z238" s="20" t="str">
        <f t="shared" si="9"/>
        <v/>
      </c>
      <c r="AA238" s="21" t="str">
        <f>IF(Z238="","",_xll.IMDP("STK",$Z238,"한글종목명"))</f>
        <v/>
      </c>
      <c r="AB238" s="48" t="str">
        <f>IF(Z238="","",_xll.IMDP("STK",$Z238,"현재가"))</f>
        <v/>
      </c>
      <c r="AC238" s="48" t="str">
        <f>IF(Z238="","",_xll.IMDP("STK",$Z238,"전일대비"))</f>
        <v/>
      </c>
      <c r="AD238" s="49" t="str">
        <f>IF(Z238="","",_xll.IMDP("STK",$Z238,"등락률"))</f>
        <v/>
      </c>
      <c r="AE238" s="48" t="str">
        <f>IF(Z238="","",_xll.IMDP("STK",Z238,"시가총액"))</f>
        <v/>
      </c>
      <c r="AF238" s="20" t="str">
        <f t="shared" si="11"/>
        <v/>
      </c>
      <c r="AG238" s="21" t="str">
        <f>IF(AF238="","",_xll.IMDP("STK",$AF238,"한글종목명"))</f>
        <v/>
      </c>
      <c r="AH238" s="48" t="str">
        <f>IF(AF238="","",_xll.IMDP("STK",$AF238,"현재가"))</f>
        <v/>
      </c>
      <c r="AI238" s="48" t="str">
        <f>IF(AF238="","",_xll.IMDP("STK",$AF238,"전일대비"))</f>
        <v/>
      </c>
      <c r="AJ238" s="49" t="str">
        <f>IF(AF238="","",_xll.IMDP("STK",$AF238,"등락률"))</f>
        <v/>
      </c>
      <c r="AK238" s="48" t="str">
        <f>IF(AF238="","",_xll.IMDP("STK",$AF238,"시가총액"))</f>
        <v/>
      </c>
      <c r="AL238" s="20" t="str">
        <f t="shared" si="10"/>
        <v/>
      </c>
      <c r="AM238" s="21" t="str">
        <f>IF(AL238="","",_xll.IMDP("STK",$AL238,"한글종목명"))</f>
        <v/>
      </c>
      <c r="AN238" s="48" t="str">
        <f>IF(AL238="","",_xll.IMDP("STK",$AL238,"현재가"))</f>
        <v/>
      </c>
      <c r="AO238" s="48" t="str">
        <f>IF(AL238="","",_xll.IMDP("STK",$AL238,"전일대비"))</f>
        <v/>
      </c>
      <c r="AP238" s="49" t="str">
        <f>IF(AL238="","",_xll.IMDP("STK",$AL238,"등락률"))</f>
        <v/>
      </c>
      <c r="AQ238" s="48" t="str">
        <f>IF(AL238="","",_xll.IMDP("STK",$AL238,"시가총액"))</f>
        <v/>
      </c>
    </row>
    <row r="239" spans="3:43" x14ac:dyDescent="0.25">
      <c r="C239" s="22">
        <v>234</v>
      </c>
      <c r="Y239" s="25" t="s">
        <v>588</v>
      </c>
      <c r="Z239" s="20" t="str">
        <f t="shared" si="9"/>
        <v/>
      </c>
      <c r="AA239" s="21" t="str">
        <f>IF(Z239="","",_xll.IMDP("STK",$Z239,"한글종목명"))</f>
        <v/>
      </c>
      <c r="AB239" s="48" t="str">
        <f>IF(Z239="","",_xll.IMDP("STK",$Z239,"현재가"))</f>
        <v/>
      </c>
      <c r="AC239" s="48" t="str">
        <f>IF(Z239="","",_xll.IMDP("STK",$Z239,"전일대비"))</f>
        <v/>
      </c>
      <c r="AD239" s="49" t="str">
        <f>IF(Z239="","",_xll.IMDP("STK",$Z239,"등락률"))</f>
        <v/>
      </c>
      <c r="AE239" s="48" t="str">
        <f>IF(Z239="","",_xll.IMDP("STK",Z239,"시가총액"))</f>
        <v/>
      </c>
      <c r="AF239" s="20" t="str">
        <f t="shared" si="11"/>
        <v/>
      </c>
      <c r="AG239" s="21" t="str">
        <f>IF(AF239="","",_xll.IMDP("STK",$AF239,"한글종목명"))</f>
        <v/>
      </c>
      <c r="AH239" s="48" t="str">
        <f>IF(AF239="","",_xll.IMDP("STK",$AF239,"현재가"))</f>
        <v/>
      </c>
      <c r="AI239" s="48" t="str">
        <f>IF(AF239="","",_xll.IMDP("STK",$AF239,"전일대비"))</f>
        <v/>
      </c>
      <c r="AJ239" s="49" t="str">
        <f>IF(AF239="","",_xll.IMDP("STK",$AF239,"등락률"))</f>
        <v/>
      </c>
      <c r="AK239" s="48" t="str">
        <f>IF(AF239="","",_xll.IMDP("STK",$AF239,"시가총액"))</f>
        <v/>
      </c>
      <c r="AL239" s="20" t="str">
        <f t="shared" si="10"/>
        <v/>
      </c>
      <c r="AM239" s="21" t="str">
        <f>IF(AL239="","",_xll.IMDP("STK",$AL239,"한글종목명"))</f>
        <v/>
      </c>
      <c r="AN239" s="48" t="str">
        <f>IF(AL239="","",_xll.IMDP("STK",$AL239,"현재가"))</f>
        <v/>
      </c>
      <c r="AO239" s="48" t="str">
        <f>IF(AL239="","",_xll.IMDP("STK",$AL239,"전일대비"))</f>
        <v/>
      </c>
      <c r="AP239" s="49" t="str">
        <f>IF(AL239="","",_xll.IMDP("STK",$AL239,"등락률"))</f>
        <v/>
      </c>
      <c r="AQ239" s="48" t="str">
        <f>IF(AL239="","",_xll.IMDP("STK",$AL239,"시가총액"))</f>
        <v/>
      </c>
    </row>
    <row r="240" spans="3:43" x14ac:dyDescent="0.25">
      <c r="C240" s="22">
        <v>235</v>
      </c>
      <c r="Y240" s="25" t="s">
        <v>400</v>
      </c>
      <c r="Z240" s="20" t="str">
        <f t="shared" si="9"/>
        <v/>
      </c>
      <c r="AA240" s="21" t="str">
        <f>IF(Z240="","",_xll.IMDP("STK",$Z240,"한글종목명"))</f>
        <v/>
      </c>
      <c r="AB240" s="48" t="str">
        <f>IF(Z240="","",_xll.IMDP("STK",$Z240,"현재가"))</f>
        <v/>
      </c>
      <c r="AC240" s="48" t="str">
        <f>IF(Z240="","",_xll.IMDP("STK",$Z240,"전일대비"))</f>
        <v/>
      </c>
      <c r="AD240" s="49" t="str">
        <f>IF(Z240="","",_xll.IMDP("STK",$Z240,"등락률"))</f>
        <v/>
      </c>
      <c r="AE240" s="48" t="str">
        <f>IF(Z240="","",_xll.IMDP("STK",Z240,"시가총액"))</f>
        <v/>
      </c>
      <c r="AF240" s="20" t="str">
        <f t="shared" si="11"/>
        <v/>
      </c>
      <c r="AG240" s="21" t="str">
        <f>IF(AF240="","",_xll.IMDP("STK",$AF240,"한글종목명"))</f>
        <v/>
      </c>
      <c r="AH240" s="48" t="str">
        <f>IF(AF240="","",_xll.IMDP("STK",$AF240,"현재가"))</f>
        <v/>
      </c>
      <c r="AI240" s="48" t="str">
        <f>IF(AF240="","",_xll.IMDP("STK",$AF240,"전일대비"))</f>
        <v/>
      </c>
      <c r="AJ240" s="49" t="str">
        <f>IF(AF240="","",_xll.IMDP("STK",$AF240,"등락률"))</f>
        <v/>
      </c>
      <c r="AK240" s="48" t="str">
        <f>IF(AF240="","",_xll.IMDP("STK",$AF240,"시가총액"))</f>
        <v/>
      </c>
      <c r="AL240" s="20" t="str">
        <f t="shared" si="10"/>
        <v/>
      </c>
      <c r="AM240" s="21" t="str">
        <f>IF(AL240="","",_xll.IMDP("STK",$AL240,"한글종목명"))</f>
        <v/>
      </c>
      <c r="AN240" s="48" t="str">
        <f>IF(AL240="","",_xll.IMDP("STK",$AL240,"현재가"))</f>
        <v/>
      </c>
      <c r="AO240" s="48" t="str">
        <f>IF(AL240="","",_xll.IMDP("STK",$AL240,"전일대비"))</f>
        <v/>
      </c>
      <c r="AP240" s="49" t="str">
        <f>IF(AL240="","",_xll.IMDP("STK",$AL240,"등락률"))</f>
        <v/>
      </c>
      <c r="AQ240" s="48" t="str">
        <f>IF(AL240="","",_xll.IMDP("STK",$AL240,"시가총액"))</f>
        <v/>
      </c>
    </row>
    <row r="241" spans="3:43" x14ac:dyDescent="0.25">
      <c r="C241" s="22">
        <v>236</v>
      </c>
      <c r="Y241" s="25" t="s">
        <v>654</v>
      </c>
      <c r="Z241" s="20" t="str">
        <f t="shared" si="9"/>
        <v/>
      </c>
      <c r="AA241" s="21" t="str">
        <f>IF(Z241="","",_xll.IMDP("STK",$Z241,"한글종목명"))</f>
        <v/>
      </c>
      <c r="AB241" s="48" t="str">
        <f>IF(Z241="","",_xll.IMDP("STK",$Z241,"현재가"))</f>
        <v/>
      </c>
      <c r="AC241" s="48" t="str">
        <f>IF(Z241="","",_xll.IMDP("STK",$Z241,"전일대비"))</f>
        <v/>
      </c>
      <c r="AD241" s="49" t="str">
        <f>IF(Z241="","",_xll.IMDP("STK",$Z241,"등락률"))</f>
        <v/>
      </c>
      <c r="AE241" s="48" t="str">
        <f>IF(Z241="","",_xll.IMDP("STK",Z241,"시가총액"))</f>
        <v/>
      </c>
      <c r="AF241" s="20" t="str">
        <f t="shared" si="11"/>
        <v/>
      </c>
      <c r="AG241" s="21" t="str">
        <f>IF(AF241="","",_xll.IMDP("STK",$AF241,"한글종목명"))</f>
        <v/>
      </c>
      <c r="AH241" s="48" t="str">
        <f>IF(AF241="","",_xll.IMDP("STK",$AF241,"현재가"))</f>
        <v/>
      </c>
      <c r="AI241" s="48" t="str">
        <f>IF(AF241="","",_xll.IMDP("STK",$AF241,"전일대비"))</f>
        <v/>
      </c>
      <c r="AJ241" s="49" t="str">
        <f>IF(AF241="","",_xll.IMDP("STK",$AF241,"등락률"))</f>
        <v/>
      </c>
      <c r="AK241" s="48" t="str">
        <f>IF(AF241="","",_xll.IMDP("STK",$AF241,"시가총액"))</f>
        <v/>
      </c>
      <c r="AL241" s="20" t="str">
        <f t="shared" si="10"/>
        <v/>
      </c>
      <c r="AM241" s="21" t="str">
        <f>IF(AL241="","",_xll.IMDP("STK",$AL241,"한글종목명"))</f>
        <v/>
      </c>
      <c r="AN241" s="48" t="str">
        <f>IF(AL241="","",_xll.IMDP("STK",$AL241,"현재가"))</f>
        <v/>
      </c>
      <c r="AO241" s="48" t="str">
        <f>IF(AL241="","",_xll.IMDP("STK",$AL241,"전일대비"))</f>
        <v/>
      </c>
      <c r="AP241" s="49" t="str">
        <f>IF(AL241="","",_xll.IMDP("STK",$AL241,"등락률"))</f>
        <v/>
      </c>
      <c r="AQ241" s="48" t="str">
        <f>IF(AL241="","",_xll.IMDP("STK",$AL241,"시가총액"))</f>
        <v/>
      </c>
    </row>
    <row r="242" spans="3:43" x14ac:dyDescent="0.25">
      <c r="C242" s="22">
        <v>237</v>
      </c>
      <c r="Y242" s="25" t="s">
        <v>655</v>
      </c>
      <c r="Z242" s="20" t="str">
        <f t="shared" si="9"/>
        <v/>
      </c>
      <c r="AA242" s="21" t="str">
        <f>IF(Z242="","",_xll.IMDP("STK",$Z242,"한글종목명"))</f>
        <v/>
      </c>
      <c r="AB242" s="48" t="str">
        <f>IF(Z242="","",_xll.IMDP("STK",$Z242,"현재가"))</f>
        <v/>
      </c>
      <c r="AC242" s="48" t="str">
        <f>IF(Z242="","",_xll.IMDP("STK",$Z242,"전일대비"))</f>
        <v/>
      </c>
      <c r="AD242" s="49" t="str">
        <f>IF(Z242="","",_xll.IMDP("STK",$Z242,"등락률"))</f>
        <v/>
      </c>
      <c r="AE242" s="48" t="str">
        <f>IF(Z242="","",_xll.IMDP("STK",Z242,"시가총액"))</f>
        <v/>
      </c>
      <c r="AF242" s="20" t="str">
        <f t="shared" si="11"/>
        <v/>
      </c>
      <c r="AG242" s="21" t="str">
        <f>IF(AF242="","",_xll.IMDP("STK",$AF242,"한글종목명"))</f>
        <v/>
      </c>
      <c r="AH242" s="48" t="str">
        <f>IF(AF242="","",_xll.IMDP("STK",$AF242,"현재가"))</f>
        <v/>
      </c>
      <c r="AI242" s="48" t="str">
        <f>IF(AF242="","",_xll.IMDP("STK",$AF242,"전일대비"))</f>
        <v/>
      </c>
      <c r="AJ242" s="49" t="str">
        <f>IF(AF242="","",_xll.IMDP("STK",$AF242,"등락률"))</f>
        <v/>
      </c>
      <c r="AK242" s="48" t="str">
        <f>IF(AF242="","",_xll.IMDP("STK",$AF242,"시가총액"))</f>
        <v/>
      </c>
      <c r="AL242" s="20" t="str">
        <f t="shared" si="10"/>
        <v/>
      </c>
      <c r="AM242" s="21" t="str">
        <f>IF(AL242="","",_xll.IMDP("STK",$AL242,"한글종목명"))</f>
        <v/>
      </c>
      <c r="AN242" s="48" t="str">
        <f>IF(AL242="","",_xll.IMDP("STK",$AL242,"현재가"))</f>
        <v/>
      </c>
      <c r="AO242" s="48" t="str">
        <f>IF(AL242="","",_xll.IMDP("STK",$AL242,"전일대비"))</f>
        <v/>
      </c>
      <c r="AP242" s="49" t="str">
        <f>IF(AL242="","",_xll.IMDP("STK",$AL242,"등락률"))</f>
        <v/>
      </c>
      <c r="AQ242" s="48" t="str">
        <f>IF(AL242="","",_xll.IMDP("STK",$AL242,"시가총액"))</f>
        <v/>
      </c>
    </row>
    <row r="243" spans="3:43" x14ac:dyDescent="0.25">
      <c r="C243" s="22">
        <v>238</v>
      </c>
      <c r="Y243" s="25" t="s">
        <v>489</v>
      </c>
      <c r="Z243" s="20" t="str">
        <f t="shared" si="9"/>
        <v/>
      </c>
      <c r="AA243" s="21" t="str">
        <f>IF(Z243="","",_xll.IMDP("STK",$Z243,"한글종목명"))</f>
        <v/>
      </c>
      <c r="AB243" s="48" t="str">
        <f>IF(Z243="","",_xll.IMDP("STK",$Z243,"현재가"))</f>
        <v/>
      </c>
      <c r="AC243" s="48" t="str">
        <f>IF(Z243="","",_xll.IMDP("STK",$Z243,"전일대비"))</f>
        <v/>
      </c>
      <c r="AD243" s="49" t="str">
        <f>IF(Z243="","",_xll.IMDP("STK",$Z243,"등락률"))</f>
        <v/>
      </c>
      <c r="AE243" s="48" t="str">
        <f>IF(Z243="","",_xll.IMDP("STK",Z243,"시가총액"))</f>
        <v/>
      </c>
      <c r="AF243" s="20" t="str">
        <f t="shared" si="11"/>
        <v/>
      </c>
      <c r="AG243" s="21" t="str">
        <f>IF(AF243="","",_xll.IMDP("STK",$AF243,"한글종목명"))</f>
        <v/>
      </c>
      <c r="AH243" s="48" t="str">
        <f>IF(AF243="","",_xll.IMDP("STK",$AF243,"현재가"))</f>
        <v/>
      </c>
      <c r="AI243" s="48" t="str">
        <f>IF(AF243="","",_xll.IMDP("STK",$AF243,"전일대비"))</f>
        <v/>
      </c>
      <c r="AJ243" s="49" t="str">
        <f>IF(AF243="","",_xll.IMDP("STK",$AF243,"등락률"))</f>
        <v/>
      </c>
      <c r="AK243" s="48" t="str">
        <f>IF(AF243="","",_xll.IMDP("STK",$AF243,"시가총액"))</f>
        <v/>
      </c>
      <c r="AL243" s="20" t="str">
        <f t="shared" si="10"/>
        <v/>
      </c>
      <c r="AM243" s="21" t="str">
        <f>IF(AL243="","",_xll.IMDP("STK",$AL243,"한글종목명"))</f>
        <v/>
      </c>
      <c r="AN243" s="48" t="str">
        <f>IF(AL243="","",_xll.IMDP("STK",$AL243,"현재가"))</f>
        <v/>
      </c>
      <c r="AO243" s="48" t="str">
        <f>IF(AL243="","",_xll.IMDP("STK",$AL243,"전일대비"))</f>
        <v/>
      </c>
      <c r="AP243" s="49" t="str">
        <f>IF(AL243="","",_xll.IMDP("STK",$AL243,"등락률"))</f>
        <v/>
      </c>
      <c r="AQ243" s="48" t="str">
        <f>IF(AL243="","",_xll.IMDP("STK",$AL243,"시가총액"))</f>
        <v/>
      </c>
    </row>
    <row r="244" spans="3:43" x14ac:dyDescent="0.25">
      <c r="C244" s="22">
        <v>239</v>
      </c>
      <c r="Y244" s="25" t="s">
        <v>204</v>
      </c>
      <c r="Z244" s="20" t="str">
        <f t="shared" si="9"/>
        <v/>
      </c>
      <c r="AA244" s="21" t="str">
        <f>IF(Z244="","",_xll.IMDP("STK",$Z244,"한글종목명"))</f>
        <v/>
      </c>
      <c r="AB244" s="48" t="str">
        <f>IF(Z244="","",_xll.IMDP("STK",$Z244,"현재가"))</f>
        <v/>
      </c>
      <c r="AC244" s="48" t="str">
        <f>IF(Z244="","",_xll.IMDP("STK",$Z244,"전일대비"))</f>
        <v/>
      </c>
      <c r="AD244" s="49" t="str">
        <f>IF(Z244="","",_xll.IMDP("STK",$Z244,"등락률"))</f>
        <v/>
      </c>
      <c r="AE244" s="48" t="str">
        <f>IF(Z244="","",_xll.IMDP("STK",Z244,"시가총액"))</f>
        <v/>
      </c>
      <c r="AF244" s="20" t="str">
        <f t="shared" si="11"/>
        <v/>
      </c>
      <c r="AG244" s="21" t="str">
        <f>IF(AF244="","",_xll.IMDP("STK",$AF244,"한글종목명"))</f>
        <v/>
      </c>
      <c r="AH244" s="48" t="str">
        <f>IF(AF244="","",_xll.IMDP("STK",$AF244,"현재가"))</f>
        <v/>
      </c>
      <c r="AI244" s="48" t="str">
        <f>IF(AF244="","",_xll.IMDP("STK",$AF244,"전일대비"))</f>
        <v/>
      </c>
      <c r="AJ244" s="49" t="str">
        <f>IF(AF244="","",_xll.IMDP("STK",$AF244,"등락률"))</f>
        <v/>
      </c>
      <c r="AK244" s="48" t="str">
        <f>IF(AF244="","",_xll.IMDP("STK",$AF244,"시가총액"))</f>
        <v/>
      </c>
      <c r="AL244" s="20" t="str">
        <f t="shared" si="10"/>
        <v/>
      </c>
      <c r="AM244" s="21" t="str">
        <f>IF(AL244="","",_xll.IMDP("STK",$AL244,"한글종목명"))</f>
        <v/>
      </c>
      <c r="AN244" s="48" t="str">
        <f>IF(AL244="","",_xll.IMDP("STK",$AL244,"현재가"))</f>
        <v/>
      </c>
      <c r="AO244" s="48" t="str">
        <f>IF(AL244="","",_xll.IMDP("STK",$AL244,"전일대비"))</f>
        <v/>
      </c>
      <c r="AP244" s="49" t="str">
        <f>IF(AL244="","",_xll.IMDP("STK",$AL244,"등락률"))</f>
        <v/>
      </c>
      <c r="AQ244" s="48" t="str">
        <f>IF(AL244="","",_xll.IMDP("STK",$AL244,"시가총액"))</f>
        <v/>
      </c>
    </row>
    <row r="245" spans="3:43" x14ac:dyDescent="0.25">
      <c r="C245" s="22">
        <v>240</v>
      </c>
      <c r="Y245" s="25" t="s">
        <v>205</v>
      </c>
      <c r="Z245" s="20" t="str">
        <f t="shared" si="9"/>
        <v/>
      </c>
      <c r="AA245" s="21" t="str">
        <f>IF(Z245="","",_xll.IMDP("STK",$Z245,"한글종목명"))</f>
        <v/>
      </c>
      <c r="AB245" s="48" t="str">
        <f>IF(Z245="","",_xll.IMDP("STK",$Z245,"현재가"))</f>
        <v/>
      </c>
      <c r="AC245" s="48" t="str">
        <f>IF(Z245="","",_xll.IMDP("STK",$Z245,"전일대비"))</f>
        <v/>
      </c>
      <c r="AD245" s="49" t="str">
        <f>IF(Z245="","",_xll.IMDP("STK",$Z245,"등락률"))</f>
        <v/>
      </c>
      <c r="AE245" s="48" t="str">
        <f>IF(Z245="","",_xll.IMDP("STK",Z245,"시가총액"))</f>
        <v/>
      </c>
      <c r="AF245" s="20" t="str">
        <f t="shared" si="11"/>
        <v/>
      </c>
      <c r="AG245" s="21" t="str">
        <f>IF(AF245="","",_xll.IMDP("STK",$AF245,"한글종목명"))</f>
        <v/>
      </c>
      <c r="AH245" s="48" t="str">
        <f>IF(AF245="","",_xll.IMDP("STK",$AF245,"현재가"))</f>
        <v/>
      </c>
      <c r="AI245" s="48" t="str">
        <f>IF(AF245="","",_xll.IMDP("STK",$AF245,"전일대비"))</f>
        <v/>
      </c>
      <c r="AJ245" s="49" t="str">
        <f>IF(AF245="","",_xll.IMDP("STK",$AF245,"등락률"))</f>
        <v/>
      </c>
      <c r="AK245" s="48" t="str">
        <f>IF(AF245="","",_xll.IMDP("STK",$AF245,"시가총액"))</f>
        <v/>
      </c>
      <c r="AL245" s="20" t="str">
        <f t="shared" si="10"/>
        <v/>
      </c>
      <c r="AM245" s="21" t="str">
        <f>IF(AL245="","",_xll.IMDP("STK",$AL245,"한글종목명"))</f>
        <v/>
      </c>
      <c r="AN245" s="48" t="str">
        <f>IF(AL245="","",_xll.IMDP("STK",$AL245,"현재가"))</f>
        <v/>
      </c>
      <c r="AO245" s="48" t="str">
        <f>IF(AL245="","",_xll.IMDP("STK",$AL245,"전일대비"))</f>
        <v/>
      </c>
      <c r="AP245" s="49" t="str">
        <f>IF(AL245="","",_xll.IMDP("STK",$AL245,"등락률"))</f>
        <v/>
      </c>
      <c r="AQ245" s="48" t="str">
        <f>IF(AL245="","",_xll.IMDP("STK",$AL245,"시가총액"))</f>
        <v/>
      </c>
    </row>
    <row r="246" spans="3:43" x14ac:dyDescent="0.25">
      <c r="C246" s="22">
        <v>241</v>
      </c>
      <c r="Y246" s="25" t="s">
        <v>206</v>
      </c>
      <c r="Z246" s="20" t="str">
        <f t="shared" si="9"/>
        <v/>
      </c>
      <c r="AA246" s="21" t="str">
        <f>IF(Z246="","",_xll.IMDP("STK",$Z246,"한글종목명"))</f>
        <v/>
      </c>
      <c r="AB246" s="48" t="str">
        <f>IF(Z246="","",_xll.IMDP("STK",$Z246,"현재가"))</f>
        <v/>
      </c>
      <c r="AC246" s="48" t="str">
        <f>IF(Z246="","",_xll.IMDP("STK",$Z246,"전일대비"))</f>
        <v/>
      </c>
      <c r="AD246" s="49" t="str">
        <f>IF(Z246="","",_xll.IMDP("STK",$Z246,"등락률"))</f>
        <v/>
      </c>
      <c r="AE246" s="48" t="str">
        <f>IF(Z246="","",_xll.IMDP("STK",Z246,"시가총액"))</f>
        <v/>
      </c>
      <c r="AF246" s="20" t="str">
        <f t="shared" si="11"/>
        <v/>
      </c>
      <c r="AG246" s="21" t="str">
        <f>IF(AF246="","",_xll.IMDP("STK",$AF246,"한글종목명"))</f>
        <v/>
      </c>
      <c r="AH246" s="48" t="str">
        <f>IF(AF246="","",_xll.IMDP("STK",$AF246,"현재가"))</f>
        <v/>
      </c>
      <c r="AI246" s="48" t="str">
        <f>IF(AF246="","",_xll.IMDP("STK",$AF246,"전일대비"))</f>
        <v/>
      </c>
      <c r="AJ246" s="49" t="str">
        <f>IF(AF246="","",_xll.IMDP("STK",$AF246,"등락률"))</f>
        <v/>
      </c>
      <c r="AK246" s="48" t="str">
        <f>IF(AF246="","",_xll.IMDP("STK",$AF246,"시가총액"))</f>
        <v/>
      </c>
      <c r="AL246" s="20" t="str">
        <f t="shared" si="10"/>
        <v/>
      </c>
      <c r="AM246" s="21" t="str">
        <f>IF(AL246="","",_xll.IMDP("STK",$AL246,"한글종목명"))</f>
        <v/>
      </c>
      <c r="AN246" s="48" t="str">
        <f>IF(AL246="","",_xll.IMDP("STK",$AL246,"현재가"))</f>
        <v/>
      </c>
      <c r="AO246" s="48" t="str">
        <f>IF(AL246="","",_xll.IMDP("STK",$AL246,"전일대비"))</f>
        <v/>
      </c>
      <c r="AP246" s="49" t="str">
        <f>IF(AL246="","",_xll.IMDP("STK",$AL246,"등락률"))</f>
        <v/>
      </c>
      <c r="AQ246" s="48" t="str">
        <f>IF(AL246="","",_xll.IMDP("STK",$AL246,"시가총액"))</f>
        <v/>
      </c>
    </row>
    <row r="247" spans="3:43" x14ac:dyDescent="0.25">
      <c r="C247" s="22">
        <v>242</v>
      </c>
      <c r="Y247" s="25" t="s">
        <v>1063</v>
      </c>
      <c r="Z247" s="20" t="str">
        <f t="shared" si="9"/>
        <v/>
      </c>
      <c r="AA247" s="21" t="str">
        <f>IF(Z247="","",_xll.IMDP("STK",$Z247,"한글종목명"))</f>
        <v/>
      </c>
      <c r="AB247" s="48" t="str">
        <f>IF(Z247="","",_xll.IMDP("STK",$Z247,"현재가"))</f>
        <v/>
      </c>
      <c r="AC247" s="48" t="str">
        <f>IF(Z247="","",_xll.IMDP("STK",$Z247,"전일대비"))</f>
        <v/>
      </c>
      <c r="AD247" s="49" t="str">
        <f>IF(Z247="","",_xll.IMDP("STK",$Z247,"등락률"))</f>
        <v/>
      </c>
      <c r="AE247" s="48" t="str">
        <f>IF(Z247="","",_xll.IMDP("STK",Z247,"시가총액"))</f>
        <v/>
      </c>
      <c r="AF247" s="20" t="str">
        <f t="shared" si="11"/>
        <v/>
      </c>
      <c r="AG247" s="21" t="str">
        <f>IF(AF247="","",_xll.IMDP("STK",$AF247,"한글종목명"))</f>
        <v/>
      </c>
      <c r="AH247" s="48" t="str">
        <f>IF(AF247="","",_xll.IMDP("STK",$AF247,"현재가"))</f>
        <v/>
      </c>
      <c r="AI247" s="48" t="str">
        <f>IF(AF247="","",_xll.IMDP("STK",$AF247,"전일대비"))</f>
        <v/>
      </c>
      <c r="AJ247" s="49" t="str">
        <f>IF(AF247="","",_xll.IMDP("STK",$AF247,"등락률"))</f>
        <v/>
      </c>
      <c r="AK247" s="48" t="str">
        <f>IF(AF247="","",_xll.IMDP("STK",$AF247,"시가총액"))</f>
        <v/>
      </c>
      <c r="AL247" s="20" t="str">
        <f t="shared" si="10"/>
        <v/>
      </c>
      <c r="AM247" s="21" t="str">
        <f>IF(AL247="","",_xll.IMDP("STK",$AL247,"한글종목명"))</f>
        <v/>
      </c>
      <c r="AN247" s="48" t="str">
        <f>IF(AL247="","",_xll.IMDP("STK",$AL247,"현재가"))</f>
        <v/>
      </c>
      <c r="AO247" s="48" t="str">
        <f>IF(AL247="","",_xll.IMDP("STK",$AL247,"전일대비"))</f>
        <v/>
      </c>
      <c r="AP247" s="49" t="str">
        <f>IF(AL247="","",_xll.IMDP("STK",$AL247,"등락률"))</f>
        <v/>
      </c>
      <c r="AQ247" s="48" t="str">
        <f>IF(AL247="","",_xll.IMDP("STK",$AL247,"시가총액"))</f>
        <v/>
      </c>
    </row>
    <row r="248" spans="3:43" x14ac:dyDescent="0.25">
      <c r="C248" s="22">
        <v>243</v>
      </c>
      <c r="Y248" s="25" t="s">
        <v>307</v>
      </c>
      <c r="Z248" s="20" t="str">
        <f t="shared" si="9"/>
        <v/>
      </c>
      <c r="AA248" s="21" t="str">
        <f>IF(Z248="","",_xll.IMDP("STK",$Z248,"한글종목명"))</f>
        <v/>
      </c>
      <c r="AB248" s="48" t="str">
        <f>IF(Z248="","",_xll.IMDP("STK",$Z248,"현재가"))</f>
        <v/>
      </c>
      <c r="AC248" s="48" t="str">
        <f>IF(Z248="","",_xll.IMDP("STK",$Z248,"전일대비"))</f>
        <v/>
      </c>
      <c r="AD248" s="49" t="str">
        <f>IF(Z248="","",_xll.IMDP("STK",$Z248,"등락률"))</f>
        <v/>
      </c>
      <c r="AE248" s="48" t="str">
        <f>IF(Z248="","",_xll.IMDP("STK",Z248,"시가총액"))</f>
        <v/>
      </c>
      <c r="AF248" s="20" t="str">
        <f t="shared" si="11"/>
        <v/>
      </c>
      <c r="AG248" s="21" t="str">
        <f>IF(AF248="","",_xll.IMDP("STK",$AF248,"한글종목명"))</f>
        <v/>
      </c>
      <c r="AH248" s="48" t="str">
        <f>IF(AF248="","",_xll.IMDP("STK",$AF248,"현재가"))</f>
        <v/>
      </c>
      <c r="AI248" s="48" t="str">
        <f>IF(AF248="","",_xll.IMDP("STK",$AF248,"전일대비"))</f>
        <v/>
      </c>
      <c r="AJ248" s="49" t="str">
        <f>IF(AF248="","",_xll.IMDP("STK",$AF248,"등락률"))</f>
        <v/>
      </c>
      <c r="AK248" s="48" t="str">
        <f>IF(AF248="","",_xll.IMDP("STK",$AF248,"시가총액"))</f>
        <v/>
      </c>
      <c r="AL248" s="20" t="str">
        <f t="shared" si="10"/>
        <v/>
      </c>
      <c r="AM248" s="21" t="str">
        <f>IF(AL248="","",_xll.IMDP("STK",$AL248,"한글종목명"))</f>
        <v/>
      </c>
      <c r="AN248" s="48" t="str">
        <f>IF(AL248="","",_xll.IMDP("STK",$AL248,"현재가"))</f>
        <v/>
      </c>
      <c r="AO248" s="48" t="str">
        <f>IF(AL248="","",_xll.IMDP("STK",$AL248,"전일대비"))</f>
        <v/>
      </c>
      <c r="AP248" s="49" t="str">
        <f>IF(AL248="","",_xll.IMDP("STK",$AL248,"등락률"))</f>
        <v/>
      </c>
      <c r="AQ248" s="48" t="str">
        <f>IF(AL248="","",_xll.IMDP("STK",$AL248,"시가총액"))</f>
        <v/>
      </c>
    </row>
    <row r="249" spans="3:43" x14ac:dyDescent="0.25">
      <c r="C249" s="22">
        <v>244</v>
      </c>
      <c r="Y249" s="25" t="s">
        <v>589</v>
      </c>
      <c r="Z249" s="20" t="str">
        <f t="shared" si="9"/>
        <v/>
      </c>
      <c r="AA249" s="21" t="str">
        <f>IF(Z249="","",_xll.IMDP("STK",$Z249,"한글종목명"))</f>
        <v/>
      </c>
      <c r="AB249" s="48" t="str">
        <f>IF(Z249="","",_xll.IMDP("STK",$Z249,"현재가"))</f>
        <v/>
      </c>
      <c r="AC249" s="48" t="str">
        <f>IF(Z249="","",_xll.IMDP("STK",$Z249,"전일대비"))</f>
        <v/>
      </c>
      <c r="AD249" s="49" t="str">
        <f>IF(Z249="","",_xll.IMDP("STK",$Z249,"등락률"))</f>
        <v/>
      </c>
      <c r="AE249" s="48" t="str">
        <f>IF(Z249="","",_xll.IMDP("STK",Z249,"시가총액"))</f>
        <v/>
      </c>
      <c r="AF249" s="20" t="str">
        <f t="shared" si="11"/>
        <v/>
      </c>
      <c r="AG249" s="21" t="str">
        <f>IF(AF249="","",_xll.IMDP("STK",$AF249,"한글종목명"))</f>
        <v/>
      </c>
      <c r="AH249" s="48" t="str">
        <f>IF(AF249="","",_xll.IMDP("STK",$AF249,"현재가"))</f>
        <v/>
      </c>
      <c r="AI249" s="48" t="str">
        <f>IF(AF249="","",_xll.IMDP("STK",$AF249,"전일대비"))</f>
        <v/>
      </c>
      <c r="AJ249" s="49" t="str">
        <f>IF(AF249="","",_xll.IMDP("STK",$AF249,"등락률"))</f>
        <v/>
      </c>
      <c r="AK249" s="48" t="str">
        <f>IF(AF249="","",_xll.IMDP("STK",$AF249,"시가총액"))</f>
        <v/>
      </c>
      <c r="AL249" s="20" t="str">
        <f t="shared" si="10"/>
        <v/>
      </c>
      <c r="AM249" s="21" t="str">
        <f>IF(AL249="","",_xll.IMDP("STK",$AL249,"한글종목명"))</f>
        <v/>
      </c>
      <c r="AN249" s="48" t="str">
        <f>IF(AL249="","",_xll.IMDP("STK",$AL249,"현재가"))</f>
        <v/>
      </c>
      <c r="AO249" s="48" t="str">
        <f>IF(AL249="","",_xll.IMDP("STK",$AL249,"전일대비"))</f>
        <v/>
      </c>
      <c r="AP249" s="49" t="str">
        <f>IF(AL249="","",_xll.IMDP("STK",$AL249,"등락률"))</f>
        <v/>
      </c>
      <c r="AQ249" s="48" t="str">
        <f>IF(AL249="","",_xll.IMDP("STK",$AL249,"시가총액"))</f>
        <v/>
      </c>
    </row>
    <row r="250" spans="3:43" x14ac:dyDescent="0.25">
      <c r="C250" s="22">
        <v>245</v>
      </c>
      <c r="Y250" s="25" t="s">
        <v>308</v>
      </c>
      <c r="Z250" s="20" t="str">
        <f t="shared" si="9"/>
        <v/>
      </c>
      <c r="AA250" s="21" t="str">
        <f>IF(Z250="","",_xll.IMDP("STK",$Z250,"한글종목명"))</f>
        <v/>
      </c>
      <c r="AB250" s="48" t="str">
        <f>IF(Z250="","",_xll.IMDP("STK",$Z250,"현재가"))</f>
        <v/>
      </c>
      <c r="AC250" s="48" t="str">
        <f>IF(Z250="","",_xll.IMDP("STK",$Z250,"전일대비"))</f>
        <v/>
      </c>
      <c r="AD250" s="49" t="str">
        <f>IF(Z250="","",_xll.IMDP("STK",$Z250,"등락률"))</f>
        <v/>
      </c>
      <c r="AE250" s="48" t="str">
        <f>IF(Z250="","",_xll.IMDP("STK",Z250,"시가총액"))</f>
        <v/>
      </c>
      <c r="AF250" s="20" t="str">
        <f t="shared" si="11"/>
        <v/>
      </c>
      <c r="AG250" s="21" t="str">
        <f>IF(AF250="","",_xll.IMDP("STK",$AF250,"한글종목명"))</f>
        <v/>
      </c>
      <c r="AH250" s="48" t="str">
        <f>IF(AF250="","",_xll.IMDP("STK",$AF250,"현재가"))</f>
        <v/>
      </c>
      <c r="AI250" s="48" t="str">
        <f>IF(AF250="","",_xll.IMDP("STK",$AF250,"전일대비"))</f>
        <v/>
      </c>
      <c r="AJ250" s="49" t="str">
        <f>IF(AF250="","",_xll.IMDP("STK",$AF250,"등락률"))</f>
        <v/>
      </c>
      <c r="AK250" s="48" t="str">
        <f>IF(AF250="","",_xll.IMDP("STK",$AF250,"시가총액"))</f>
        <v/>
      </c>
      <c r="AL250" s="20" t="str">
        <f t="shared" si="10"/>
        <v/>
      </c>
      <c r="AM250" s="21" t="str">
        <f>IF(AL250="","",_xll.IMDP("STK",$AL250,"한글종목명"))</f>
        <v/>
      </c>
      <c r="AN250" s="48" t="str">
        <f>IF(AL250="","",_xll.IMDP("STK",$AL250,"현재가"))</f>
        <v/>
      </c>
      <c r="AO250" s="48" t="str">
        <f>IF(AL250="","",_xll.IMDP("STK",$AL250,"전일대비"))</f>
        <v/>
      </c>
      <c r="AP250" s="49" t="str">
        <f>IF(AL250="","",_xll.IMDP("STK",$AL250,"등락률"))</f>
        <v/>
      </c>
      <c r="AQ250" s="48" t="str">
        <f>IF(AL250="","",_xll.IMDP("STK",$AL250,"시가총액"))</f>
        <v/>
      </c>
    </row>
    <row r="251" spans="3:43" x14ac:dyDescent="0.25">
      <c r="C251" s="22">
        <v>246</v>
      </c>
      <c r="Y251" s="25" t="s">
        <v>656</v>
      </c>
      <c r="Z251" s="20" t="str">
        <f t="shared" si="9"/>
        <v/>
      </c>
      <c r="AA251" s="21" t="str">
        <f>IF(Z251="","",_xll.IMDP("STK",$Z251,"한글종목명"))</f>
        <v/>
      </c>
      <c r="AB251" s="48" t="str">
        <f>IF(Z251="","",_xll.IMDP("STK",$Z251,"현재가"))</f>
        <v/>
      </c>
      <c r="AC251" s="48" t="str">
        <f>IF(Z251="","",_xll.IMDP("STK",$Z251,"전일대비"))</f>
        <v/>
      </c>
      <c r="AD251" s="49" t="str">
        <f>IF(Z251="","",_xll.IMDP("STK",$Z251,"등락률"))</f>
        <v/>
      </c>
      <c r="AE251" s="48" t="str">
        <f>IF(Z251="","",_xll.IMDP("STK",Z251,"시가총액"))</f>
        <v/>
      </c>
      <c r="AF251" s="20" t="str">
        <f t="shared" si="11"/>
        <v/>
      </c>
      <c r="AG251" s="21" t="str">
        <f>IF(AF251="","",_xll.IMDP("STK",$AF251,"한글종목명"))</f>
        <v/>
      </c>
      <c r="AH251" s="48" t="str">
        <f>IF(AF251="","",_xll.IMDP("STK",$AF251,"현재가"))</f>
        <v/>
      </c>
      <c r="AI251" s="48" t="str">
        <f>IF(AF251="","",_xll.IMDP("STK",$AF251,"전일대비"))</f>
        <v/>
      </c>
      <c r="AJ251" s="49" t="str">
        <f>IF(AF251="","",_xll.IMDP("STK",$AF251,"등락률"))</f>
        <v/>
      </c>
      <c r="AK251" s="48" t="str">
        <f>IF(AF251="","",_xll.IMDP("STK",$AF251,"시가총액"))</f>
        <v/>
      </c>
      <c r="AL251" s="20" t="str">
        <f t="shared" si="10"/>
        <v/>
      </c>
      <c r="AM251" s="21" t="str">
        <f>IF(AL251="","",_xll.IMDP("STK",$AL251,"한글종목명"))</f>
        <v/>
      </c>
      <c r="AN251" s="48" t="str">
        <f>IF(AL251="","",_xll.IMDP("STK",$AL251,"현재가"))</f>
        <v/>
      </c>
      <c r="AO251" s="48" t="str">
        <f>IF(AL251="","",_xll.IMDP("STK",$AL251,"전일대비"))</f>
        <v/>
      </c>
      <c r="AP251" s="49" t="str">
        <f>IF(AL251="","",_xll.IMDP("STK",$AL251,"등락률"))</f>
        <v/>
      </c>
      <c r="AQ251" s="48" t="str">
        <f>IF(AL251="","",_xll.IMDP("STK",$AL251,"시가총액"))</f>
        <v/>
      </c>
    </row>
    <row r="252" spans="3:43" x14ac:dyDescent="0.25">
      <c r="C252" s="22">
        <v>247</v>
      </c>
      <c r="Y252" s="25" t="s">
        <v>532</v>
      </c>
      <c r="Z252" s="20" t="str">
        <f t="shared" si="9"/>
        <v/>
      </c>
      <c r="AA252" s="21" t="str">
        <f>IF(Z252="","",_xll.IMDP("STK",$Z252,"한글종목명"))</f>
        <v/>
      </c>
      <c r="AB252" s="48" t="str">
        <f>IF(Z252="","",_xll.IMDP("STK",$Z252,"현재가"))</f>
        <v/>
      </c>
      <c r="AC252" s="48" t="str">
        <f>IF(Z252="","",_xll.IMDP("STK",$Z252,"전일대비"))</f>
        <v/>
      </c>
      <c r="AD252" s="49" t="str">
        <f>IF(Z252="","",_xll.IMDP("STK",$Z252,"등락률"))</f>
        <v/>
      </c>
      <c r="AE252" s="48" t="str">
        <f>IF(Z252="","",_xll.IMDP("STK",Z252,"시가총액"))</f>
        <v/>
      </c>
      <c r="AF252" s="20" t="str">
        <f t="shared" si="11"/>
        <v/>
      </c>
      <c r="AG252" s="21" t="str">
        <f>IF(AF252="","",_xll.IMDP("STK",$AF252,"한글종목명"))</f>
        <v/>
      </c>
      <c r="AH252" s="48" t="str">
        <f>IF(AF252="","",_xll.IMDP("STK",$AF252,"현재가"))</f>
        <v/>
      </c>
      <c r="AI252" s="48" t="str">
        <f>IF(AF252="","",_xll.IMDP("STK",$AF252,"전일대비"))</f>
        <v/>
      </c>
      <c r="AJ252" s="49" t="str">
        <f>IF(AF252="","",_xll.IMDP("STK",$AF252,"등락률"))</f>
        <v/>
      </c>
      <c r="AK252" s="48" t="str">
        <f>IF(AF252="","",_xll.IMDP("STK",$AF252,"시가총액"))</f>
        <v/>
      </c>
      <c r="AL252" s="20" t="str">
        <f t="shared" si="10"/>
        <v/>
      </c>
      <c r="AM252" s="21" t="str">
        <f>IF(AL252="","",_xll.IMDP("STK",$AL252,"한글종목명"))</f>
        <v/>
      </c>
      <c r="AN252" s="48" t="str">
        <f>IF(AL252="","",_xll.IMDP("STK",$AL252,"현재가"))</f>
        <v/>
      </c>
      <c r="AO252" s="48" t="str">
        <f>IF(AL252="","",_xll.IMDP("STK",$AL252,"전일대비"))</f>
        <v/>
      </c>
      <c r="AP252" s="49" t="str">
        <f>IF(AL252="","",_xll.IMDP("STK",$AL252,"등락률"))</f>
        <v/>
      </c>
      <c r="AQ252" s="48" t="str">
        <f>IF(AL252="","",_xll.IMDP("STK",$AL252,"시가총액"))</f>
        <v/>
      </c>
    </row>
    <row r="253" spans="3:43" x14ac:dyDescent="0.25">
      <c r="C253" s="22">
        <v>248</v>
      </c>
      <c r="Y253" s="25" t="s">
        <v>1064</v>
      </c>
      <c r="Z253" s="20" t="str">
        <f t="shared" si="9"/>
        <v/>
      </c>
      <c r="AA253" s="21" t="str">
        <f>IF(Z253="","",_xll.IMDP("STK",$Z253,"한글종목명"))</f>
        <v/>
      </c>
      <c r="AB253" s="48" t="str">
        <f>IF(Z253="","",_xll.IMDP("STK",$Z253,"현재가"))</f>
        <v/>
      </c>
      <c r="AC253" s="48" t="str">
        <f>IF(Z253="","",_xll.IMDP("STK",$Z253,"전일대비"))</f>
        <v/>
      </c>
      <c r="AD253" s="49" t="str">
        <f>IF(Z253="","",_xll.IMDP("STK",$Z253,"등락률"))</f>
        <v/>
      </c>
      <c r="AE253" s="48" t="str">
        <f>IF(Z253="","",_xll.IMDP("STK",Z253,"시가총액"))</f>
        <v/>
      </c>
      <c r="AF253" s="20" t="str">
        <f t="shared" si="11"/>
        <v/>
      </c>
      <c r="AG253" s="21" t="str">
        <f>IF(AF253="","",_xll.IMDP("STK",$AF253,"한글종목명"))</f>
        <v/>
      </c>
      <c r="AH253" s="48" t="str">
        <f>IF(AF253="","",_xll.IMDP("STK",$AF253,"현재가"))</f>
        <v/>
      </c>
      <c r="AI253" s="48" t="str">
        <f>IF(AF253="","",_xll.IMDP("STK",$AF253,"전일대비"))</f>
        <v/>
      </c>
      <c r="AJ253" s="49" t="str">
        <f>IF(AF253="","",_xll.IMDP("STK",$AF253,"등락률"))</f>
        <v/>
      </c>
      <c r="AK253" s="48" t="str">
        <f>IF(AF253="","",_xll.IMDP("STK",$AF253,"시가총액"))</f>
        <v/>
      </c>
      <c r="AL253" s="20" t="str">
        <f t="shared" si="10"/>
        <v/>
      </c>
      <c r="AM253" s="21" t="str">
        <f>IF(AL253="","",_xll.IMDP("STK",$AL253,"한글종목명"))</f>
        <v/>
      </c>
      <c r="AN253" s="48" t="str">
        <f>IF(AL253="","",_xll.IMDP("STK",$AL253,"현재가"))</f>
        <v/>
      </c>
      <c r="AO253" s="48" t="str">
        <f>IF(AL253="","",_xll.IMDP("STK",$AL253,"전일대비"))</f>
        <v/>
      </c>
      <c r="AP253" s="49" t="str">
        <f>IF(AL253="","",_xll.IMDP("STK",$AL253,"등락률"))</f>
        <v/>
      </c>
      <c r="AQ253" s="48" t="str">
        <f>IF(AL253="","",_xll.IMDP("STK",$AL253,"시가총액"))</f>
        <v/>
      </c>
    </row>
    <row r="254" spans="3:43" x14ac:dyDescent="0.25">
      <c r="C254" s="22">
        <v>249</v>
      </c>
      <c r="Y254" s="25" t="s">
        <v>401</v>
      </c>
      <c r="Z254" s="20" t="str">
        <f t="shared" si="9"/>
        <v/>
      </c>
      <c r="AA254" s="21" t="str">
        <f>IF(Z254="","",_xll.IMDP("STK",$Z254,"한글종목명"))</f>
        <v/>
      </c>
      <c r="AB254" s="48" t="str">
        <f>IF(Z254="","",_xll.IMDP("STK",$Z254,"현재가"))</f>
        <v/>
      </c>
      <c r="AC254" s="48" t="str">
        <f>IF(Z254="","",_xll.IMDP("STK",$Z254,"전일대비"))</f>
        <v/>
      </c>
      <c r="AD254" s="49" t="str">
        <f>IF(Z254="","",_xll.IMDP("STK",$Z254,"등락률"))</f>
        <v/>
      </c>
      <c r="AE254" s="48" t="str">
        <f>IF(Z254="","",_xll.IMDP("STK",Z254,"시가총액"))</f>
        <v/>
      </c>
      <c r="AF254" s="20" t="str">
        <f t="shared" si="11"/>
        <v/>
      </c>
      <c r="AG254" s="21" t="str">
        <f>IF(AF254="","",_xll.IMDP("STK",$AF254,"한글종목명"))</f>
        <v/>
      </c>
      <c r="AH254" s="48" t="str">
        <f>IF(AF254="","",_xll.IMDP("STK",$AF254,"현재가"))</f>
        <v/>
      </c>
      <c r="AI254" s="48" t="str">
        <f>IF(AF254="","",_xll.IMDP("STK",$AF254,"전일대비"))</f>
        <v/>
      </c>
      <c r="AJ254" s="49" t="str">
        <f>IF(AF254="","",_xll.IMDP("STK",$AF254,"등락률"))</f>
        <v/>
      </c>
      <c r="AK254" s="48" t="str">
        <f>IF(AF254="","",_xll.IMDP("STK",$AF254,"시가총액"))</f>
        <v/>
      </c>
      <c r="AL254" s="20" t="str">
        <f t="shared" si="10"/>
        <v/>
      </c>
      <c r="AM254" s="21" t="str">
        <f>IF(AL254="","",_xll.IMDP("STK",$AL254,"한글종목명"))</f>
        <v/>
      </c>
      <c r="AN254" s="48" t="str">
        <f>IF(AL254="","",_xll.IMDP("STK",$AL254,"현재가"))</f>
        <v/>
      </c>
      <c r="AO254" s="48" t="str">
        <f>IF(AL254="","",_xll.IMDP("STK",$AL254,"전일대비"))</f>
        <v/>
      </c>
      <c r="AP254" s="49" t="str">
        <f>IF(AL254="","",_xll.IMDP("STK",$AL254,"등락률"))</f>
        <v/>
      </c>
      <c r="AQ254" s="48" t="str">
        <f>IF(AL254="","",_xll.IMDP("STK",$AL254,"시가총액"))</f>
        <v/>
      </c>
    </row>
    <row r="255" spans="3:43" x14ac:dyDescent="0.25">
      <c r="C255" s="22">
        <v>250</v>
      </c>
      <c r="Y255" s="25" t="s">
        <v>367</v>
      </c>
      <c r="Z255" s="20" t="str">
        <f t="shared" si="9"/>
        <v/>
      </c>
      <c r="AA255" s="21" t="str">
        <f>IF(Z255="","",_xll.IMDP("STK",$Z255,"한글종목명"))</f>
        <v/>
      </c>
      <c r="AB255" s="48" t="str">
        <f>IF(Z255="","",_xll.IMDP("STK",$Z255,"현재가"))</f>
        <v/>
      </c>
      <c r="AC255" s="48" t="str">
        <f>IF(Z255="","",_xll.IMDP("STK",$Z255,"전일대비"))</f>
        <v/>
      </c>
      <c r="AD255" s="49" t="str">
        <f>IF(Z255="","",_xll.IMDP("STK",$Z255,"등락률"))</f>
        <v/>
      </c>
      <c r="AE255" s="48" t="str">
        <f>IF(Z255="","",_xll.IMDP("STK",Z255,"시가총액"))</f>
        <v/>
      </c>
      <c r="AF255" s="20" t="str">
        <f t="shared" si="11"/>
        <v/>
      </c>
      <c r="AG255" s="21" t="str">
        <f>IF(AF255="","",_xll.IMDP("STK",$AF255,"한글종목명"))</f>
        <v/>
      </c>
      <c r="AH255" s="48" t="str">
        <f>IF(AF255="","",_xll.IMDP("STK",$AF255,"현재가"))</f>
        <v/>
      </c>
      <c r="AI255" s="48" t="str">
        <f>IF(AF255="","",_xll.IMDP("STK",$AF255,"전일대비"))</f>
        <v/>
      </c>
      <c r="AJ255" s="49" t="str">
        <f>IF(AF255="","",_xll.IMDP("STK",$AF255,"등락률"))</f>
        <v/>
      </c>
      <c r="AK255" s="48" t="str">
        <f>IF(AF255="","",_xll.IMDP("STK",$AF255,"시가총액"))</f>
        <v/>
      </c>
      <c r="AL255" s="20" t="str">
        <f t="shared" si="10"/>
        <v/>
      </c>
      <c r="AM255" s="21" t="str">
        <f>IF(AL255="","",_xll.IMDP("STK",$AL255,"한글종목명"))</f>
        <v/>
      </c>
      <c r="AN255" s="48" t="str">
        <f>IF(AL255="","",_xll.IMDP("STK",$AL255,"현재가"))</f>
        <v/>
      </c>
      <c r="AO255" s="48" t="str">
        <f>IF(AL255="","",_xll.IMDP("STK",$AL255,"전일대비"))</f>
        <v/>
      </c>
      <c r="AP255" s="49" t="str">
        <f>IF(AL255="","",_xll.IMDP("STK",$AL255,"등락률"))</f>
        <v/>
      </c>
      <c r="AQ255" s="48" t="str">
        <f>IF(AL255="","",_xll.IMDP("STK",$AL255,"시가총액"))</f>
        <v/>
      </c>
    </row>
    <row r="256" spans="3:43" x14ac:dyDescent="0.25">
      <c r="C256" s="22">
        <v>251</v>
      </c>
      <c r="Y256" s="25" t="s">
        <v>402</v>
      </c>
      <c r="Z256" s="20" t="str">
        <f t="shared" si="9"/>
        <v/>
      </c>
      <c r="AA256" s="21" t="str">
        <f>IF(Z256="","",_xll.IMDP("STK",$Z256,"한글종목명"))</f>
        <v/>
      </c>
      <c r="AB256" s="48" t="str">
        <f>IF(Z256="","",_xll.IMDP("STK",$Z256,"현재가"))</f>
        <v/>
      </c>
      <c r="AC256" s="48" t="str">
        <f>IF(Z256="","",_xll.IMDP("STK",$Z256,"전일대비"))</f>
        <v/>
      </c>
      <c r="AD256" s="49" t="str">
        <f>IF(Z256="","",_xll.IMDP("STK",$Z256,"등락률"))</f>
        <v/>
      </c>
      <c r="AE256" s="48" t="str">
        <f>IF(Z256="","",_xll.IMDP("STK",Z256,"시가총액"))</f>
        <v/>
      </c>
      <c r="AF256" s="20" t="str">
        <f t="shared" si="11"/>
        <v/>
      </c>
      <c r="AG256" s="21" t="str">
        <f>IF(AF256="","",_xll.IMDP("STK",$AF256,"한글종목명"))</f>
        <v/>
      </c>
      <c r="AH256" s="48" t="str">
        <f>IF(AF256="","",_xll.IMDP("STK",$AF256,"현재가"))</f>
        <v/>
      </c>
      <c r="AI256" s="48" t="str">
        <f>IF(AF256="","",_xll.IMDP("STK",$AF256,"전일대비"))</f>
        <v/>
      </c>
      <c r="AJ256" s="49" t="str">
        <f>IF(AF256="","",_xll.IMDP("STK",$AF256,"등락률"))</f>
        <v/>
      </c>
      <c r="AK256" s="48" t="str">
        <f>IF(AF256="","",_xll.IMDP("STK",$AF256,"시가총액"))</f>
        <v/>
      </c>
      <c r="AL256" s="20" t="str">
        <f t="shared" si="10"/>
        <v/>
      </c>
      <c r="AM256" s="21" t="str">
        <f>IF(AL256="","",_xll.IMDP("STK",$AL256,"한글종목명"))</f>
        <v/>
      </c>
      <c r="AN256" s="48" t="str">
        <f>IF(AL256="","",_xll.IMDP("STK",$AL256,"현재가"))</f>
        <v/>
      </c>
      <c r="AO256" s="48" t="str">
        <f>IF(AL256="","",_xll.IMDP("STK",$AL256,"전일대비"))</f>
        <v/>
      </c>
      <c r="AP256" s="49" t="str">
        <f>IF(AL256="","",_xll.IMDP("STK",$AL256,"등락률"))</f>
        <v/>
      </c>
      <c r="AQ256" s="48" t="str">
        <f>IF(AL256="","",_xll.IMDP("STK",$AL256,"시가총액"))</f>
        <v/>
      </c>
    </row>
    <row r="257" spans="3:43" x14ac:dyDescent="0.25">
      <c r="C257" s="22">
        <v>252</v>
      </c>
      <c r="Y257" s="25" t="s">
        <v>533</v>
      </c>
      <c r="Z257" s="20" t="str">
        <f t="shared" si="9"/>
        <v/>
      </c>
      <c r="AA257" s="21" t="str">
        <f>IF(Z257="","",_xll.IMDP("STK",$Z257,"한글종목명"))</f>
        <v/>
      </c>
      <c r="AB257" s="48" t="str">
        <f>IF(Z257="","",_xll.IMDP("STK",$Z257,"현재가"))</f>
        <v/>
      </c>
      <c r="AC257" s="48" t="str">
        <f>IF(Z257="","",_xll.IMDP("STK",$Z257,"전일대비"))</f>
        <v/>
      </c>
      <c r="AD257" s="49" t="str">
        <f>IF(Z257="","",_xll.IMDP("STK",$Z257,"등락률"))</f>
        <v/>
      </c>
      <c r="AE257" s="48" t="str">
        <f>IF(Z257="","",_xll.IMDP("STK",Z257,"시가총액"))</f>
        <v/>
      </c>
      <c r="AF257" s="20" t="str">
        <f t="shared" si="11"/>
        <v/>
      </c>
      <c r="AG257" s="21" t="str">
        <f>IF(AF257="","",_xll.IMDP("STK",$AF257,"한글종목명"))</f>
        <v/>
      </c>
      <c r="AH257" s="48" t="str">
        <f>IF(AF257="","",_xll.IMDP("STK",$AF257,"현재가"))</f>
        <v/>
      </c>
      <c r="AI257" s="48" t="str">
        <f>IF(AF257="","",_xll.IMDP("STK",$AF257,"전일대비"))</f>
        <v/>
      </c>
      <c r="AJ257" s="49" t="str">
        <f>IF(AF257="","",_xll.IMDP("STK",$AF257,"등락률"))</f>
        <v/>
      </c>
      <c r="AK257" s="48" t="str">
        <f>IF(AF257="","",_xll.IMDP("STK",$AF257,"시가총액"))</f>
        <v/>
      </c>
      <c r="AL257" s="20" t="str">
        <f t="shared" si="10"/>
        <v/>
      </c>
      <c r="AM257" s="21" t="str">
        <f>IF(AL257="","",_xll.IMDP("STK",$AL257,"한글종목명"))</f>
        <v/>
      </c>
      <c r="AN257" s="48" t="str">
        <f>IF(AL257="","",_xll.IMDP("STK",$AL257,"현재가"))</f>
        <v/>
      </c>
      <c r="AO257" s="48" t="str">
        <f>IF(AL257="","",_xll.IMDP("STK",$AL257,"전일대비"))</f>
        <v/>
      </c>
      <c r="AP257" s="49" t="str">
        <f>IF(AL257="","",_xll.IMDP("STK",$AL257,"등락률"))</f>
        <v/>
      </c>
      <c r="AQ257" s="48" t="str">
        <f>IF(AL257="","",_xll.IMDP("STK",$AL257,"시가총액"))</f>
        <v/>
      </c>
    </row>
    <row r="258" spans="3:43" x14ac:dyDescent="0.25">
      <c r="C258" s="22">
        <v>253</v>
      </c>
      <c r="Y258" s="25" t="s">
        <v>590</v>
      </c>
      <c r="Z258" s="20" t="str">
        <f t="shared" si="9"/>
        <v/>
      </c>
      <c r="AA258" s="21" t="str">
        <f>IF(Z258="","",_xll.IMDP("STK",$Z258,"한글종목명"))</f>
        <v/>
      </c>
      <c r="AB258" s="48" t="str">
        <f>IF(Z258="","",_xll.IMDP("STK",$Z258,"현재가"))</f>
        <v/>
      </c>
      <c r="AC258" s="48" t="str">
        <f>IF(Z258="","",_xll.IMDP("STK",$Z258,"전일대비"))</f>
        <v/>
      </c>
      <c r="AD258" s="49" t="str">
        <f>IF(Z258="","",_xll.IMDP("STK",$Z258,"등락률"))</f>
        <v/>
      </c>
      <c r="AE258" s="48" t="str">
        <f>IF(Z258="","",_xll.IMDP("STK",Z258,"시가총액"))</f>
        <v/>
      </c>
      <c r="AF258" s="20" t="str">
        <f t="shared" si="11"/>
        <v/>
      </c>
      <c r="AG258" s="21" t="str">
        <f>IF(AF258="","",_xll.IMDP("STK",$AF258,"한글종목명"))</f>
        <v/>
      </c>
      <c r="AH258" s="48" t="str">
        <f>IF(AF258="","",_xll.IMDP("STK",$AF258,"현재가"))</f>
        <v/>
      </c>
      <c r="AI258" s="48" t="str">
        <f>IF(AF258="","",_xll.IMDP("STK",$AF258,"전일대비"))</f>
        <v/>
      </c>
      <c r="AJ258" s="49" t="str">
        <f>IF(AF258="","",_xll.IMDP("STK",$AF258,"등락률"))</f>
        <v/>
      </c>
      <c r="AK258" s="48" t="str">
        <f>IF(AF258="","",_xll.IMDP("STK",$AF258,"시가총액"))</f>
        <v/>
      </c>
      <c r="AL258" s="20" t="str">
        <f t="shared" si="10"/>
        <v/>
      </c>
      <c r="AM258" s="21" t="str">
        <f>IF(AL258="","",_xll.IMDP("STK",$AL258,"한글종목명"))</f>
        <v/>
      </c>
      <c r="AN258" s="48" t="str">
        <f>IF(AL258="","",_xll.IMDP("STK",$AL258,"현재가"))</f>
        <v/>
      </c>
      <c r="AO258" s="48" t="str">
        <f>IF(AL258="","",_xll.IMDP("STK",$AL258,"전일대비"))</f>
        <v/>
      </c>
      <c r="AP258" s="49" t="str">
        <f>IF(AL258="","",_xll.IMDP("STK",$AL258,"등락률"))</f>
        <v/>
      </c>
      <c r="AQ258" s="48" t="str">
        <f>IF(AL258="","",_xll.IMDP("STK",$AL258,"시가총액"))</f>
        <v/>
      </c>
    </row>
    <row r="259" spans="3:43" x14ac:dyDescent="0.25">
      <c r="C259" s="22">
        <v>254</v>
      </c>
      <c r="Y259" s="25" t="s">
        <v>591</v>
      </c>
      <c r="Z259" s="20" t="str">
        <f t="shared" si="9"/>
        <v/>
      </c>
      <c r="AA259" s="21" t="str">
        <f>IF(Z259="","",_xll.IMDP("STK",$Z259,"한글종목명"))</f>
        <v/>
      </c>
      <c r="AB259" s="48" t="str">
        <f>IF(Z259="","",_xll.IMDP("STK",$Z259,"현재가"))</f>
        <v/>
      </c>
      <c r="AC259" s="48" t="str">
        <f>IF(Z259="","",_xll.IMDP("STK",$Z259,"전일대비"))</f>
        <v/>
      </c>
      <c r="AD259" s="49" t="str">
        <f>IF(Z259="","",_xll.IMDP("STK",$Z259,"등락률"))</f>
        <v/>
      </c>
      <c r="AE259" s="48" t="str">
        <f>IF(Z259="","",_xll.IMDP("STK",Z259,"시가총액"))</f>
        <v/>
      </c>
      <c r="AF259" s="20" t="str">
        <f t="shared" si="11"/>
        <v/>
      </c>
      <c r="AG259" s="21" t="str">
        <f>IF(AF259="","",_xll.IMDP("STK",$AF259,"한글종목명"))</f>
        <v/>
      </c>
      <c r="AH259" s="48" t="str">
        <f>IF(AF259="","",_xll.IMDP("STK",$AF259,"현재가"))</f>
        <v/>
      </c>
      <c r="AI259" s="48" t="str">
        <f>IF(AF259="","",_xll.IMDP("STK",$AF259,"전일대비"))</f>
        <v/>
      </c>
      <c r="AJ259" s="49" t="str">
        <f>IF(AF259="","",_xll.IMDP("STK",$AF259,"등락률"))</f>
        <v/>
      </c>
      <c r="AK259" s="48" t="str">
        <f>IF(AF259="","",_xll.IMDP("STK",$AF259,"시가총액"))</f>
        <v/>
      </c>
      <c r="AL259" s="20" t="str">
        <f t="shared" si="10"/>
        <v/>
      </c>
      <c r="AM259" s="21" t="str">
        <f>IF(AL259="","",_xll.IMDP("STK",$AL259,"한글종목명"))</f>
        <v/>
      </c>
      <c r="AN259" s="48" t="str">
        <f>IF(AL259="","",_xll.IMDP("STK",$AL259,"현재가"))</f>
        <v/>
      </c>
      <c r="AO259" s="48" t="str">
        <f>IF(AL259="","",_xll.IMDP("STK",$AL259,"전일대비"))</f>
        <v/>
      </c>
      <c r="AP259" s="49" t="str">
        <f>IF(AL259="","",_xll.IMDP("STK",$AL259,"등락률"))</f>
        <v/>
      </c>
      <c r="AQ259" s="48" t="str">
        <f>IF(AL259="","",_xll.IMDP("STK",$AL259,"시가총액"))</f>
        <v/>
      </c>
    </row>
    <row r="260" spans="3:43" x14ac:dyDescent="0.25">
      <c r="C260" s="22">
        <v>255</v>
      </c>
      <c r="Y260" s="25" t="s">
        <v>592</v>
      </c>
      <c r="Z260" s="20" t="str">
        <f t="shared" si="9"/>
        <v/>
      </c>
      <c r="AA260" s="21" t="str">
        <f>IF(Z260="","",_xll.IMDP("STK",$Z260,"한글종목명"))</f>
        <v/>
      </c>
      <c r="AB260" s="48" t="str">
        <f>IF(Z260="","",_xll.IMDP("STK",$Z260,"현재가"))</f>
        <v/>
      </c>
      <c r="AC260" s="48" t="str">
        <f>IF(Z260="","",_xll.IMDP("STK",$Z260,"전일대비"))</f>
        <v/>
      </c>
      <c r="AD260" s="49" t="str">
        <f>IF(Z260="","",_xll.IMDP("STK",$Z260,"등락률"))</f>
        <v/>
      </c>
      <c r="AE260" s="48" t="str">
        <f>IF(Z260="","",_xll.IMDP("STK",Z260,"시가총액"))</f>
        <v/>
      </c>
      <c r="AF260" s="20" t="str">
        <f t="shared" si="11"/>
        <v/>
      </c>
      <c r="AG260" s="21" t="str">
        <f>IF(AF260="","",_xll.IMDP("STK",$AF260,"한글종목명"))</f>
        <v/>
      </c>
      <c r="AH260" s="48" t="str">
        <f>IF(AF260="","",_xll.IMDP("STK",$AF260,"현재가"))</f>
        <v/>
      </c>
      <c r="AI260" s="48" t="str">
        <f>IF(AF260="","",_xll.IMDP("STK",$AF260,"전일대비"))</f>
        <v/>
      </c>
      <c r="AJ260" s="49" t="str">
        <f>IF(AF260="","",_xll.IMDP("STK",$AF260,"등락률"))</f>
        <v/>
      </c>
      <c r="AK260" s="48" t="str">
        <f>IF(AF260="","",_xll.IMDP("STK",$AF260,"시가총액"))</f>
        <v/>
      </c>
      <c r="AL260" s="20" t="str">
        <f t="shared" si="10"/>
        <v/>
      </c>
      <c r="AM260" s="21" t="str">
        <f>IF(AL260="","",_xll.IMDP("STK",$AL260,"한글종목명"))</f>
        <v/>
      </c>
      <c r="AN260" s="48" t="str">
        <f>IF(AL260="","",_xll.IMDP("STK",$AL260,"현재가"))</f>
        <v/>
      </c>
      <c r="AO260" s="48" t="str">
        <f>IF(AL260="","",_xll.IMDP("STK",$AL260,"전일대비"))</f>
        <v/>
      </c>
      <c r="AP260" s="49" t="str">
        <f>IF(AL260="","",_xll.IMDP("STK",$AL260,"등락률"))</f>
        <v/>
      </c>
      <c r="AQ260" s="48" t="str">
        <f>IF(AL260="","",_xll.IMDP("STK",$AL260,"시가총액"))</f>
        <v/>
      </c>
    </row>
    <row r="261" spans="3:43" x14ac:dyDescent="0.25">
      <c r="C261" s="22">
        <v>256</v>
      </c>
      <c r="Y261" s="25" t="s">
        <v>309</v>
      </c>
      <c r="Z261" s="20" t="str">
        <f t="shared" si="9"/>
        <v/>
      </c>
      <c r="AA261" s="21" t="str">
        <f>IF(Z261="","",_xll.IMDP("STK",$Z261,"한글종목명"))</f>
        <v/>
      </c>
      <c r="AB261" s="48" t="str">
        <f>IF(Z261="","",_xll.IMDP("STK",$Z261,"현재가"))</f>
        <v/>
      </c>
      <c r="AC261" s="48" t="str">
        <f>IF(Z261="","",_xll.IMDP("STK",$Z261,"전일대비"))</f>
        <v/>
      </c>
      <c r="AD261" s="49" t="str">
        <f>IF(Z261="","",_xll.IMDP("STK",$Z261,"등락률"))</f>
        <v/>
      </c>
      <c r="AE261" s="48" t="str">
        <f>IF(Z261="","",_xll.IMDP("STK",Z261,"시가총액"))</f>
        <v/>
      </c>
      <c r="AF261" s="20" t="str">
        <f t="shared" si="11"/>
        <v/>
      </c>
      <c r="AG261" s="21" t="str">
        <f>IF(AF261="","",_xll.IMDP("STK",$AF261,"한글종목명"))</f>
        <v/>
      </c>
      <c r="AH261" s="48" t="str">
        <f>IF(AF261="","",_xll.IMDP("STK",$AF261,"현재가"))</f>
        <v/>
      </c>
      <c r="AI261" s="48" t="str">
        <f>IF(AF261="","",_xll.IMDP("STK",$AF261,"전일대비"))</f>
        <v/>
      </c>
      <c r="AJ261" s="49" t="str">
        <f>IF(AF261="","",_xll.IMDP("STK",$AF261,"등락률"))</f>
        <v/>
      </c>
      <c r="AK261" s="48" t="str">
        <f>IF(AF261="","",_xll.IMDP("STK",$AF261,"시가총액"))</f>
        <v/>
      </c>
      <c r="AL261" s="20" t="str">
        <f t="shared" si="10"/>
        <v/>
      </c>
      <c r="AM261" s="21" t="str">
        <f>IF(AL261="","",_xll.IMDP("STK",$AL261,"한글종목명"))</f>
        <v/>
      </c>
      <c r="AN261" s="48" t="str">
        <f>IF(AL261="","",_xll.IMDP("STK",$AL261,"현재가"))</f>
        <v/>
      </c>
      <c r="AO261" s="48" t="str">
        <f>IF(AL261="","",_xll.IMDP("STK",$AL261,"전일대비"))</f>
        <v/>
      </c>
      <c r="AP261" s="49" t="str">
        <f>IF(AL261="","",_xll.IMDP("STK",$AL261,"등락률"))</f>
        <v/>
      </c>
      <c r="AQ261" s="48" t="str">
        <f>IF(AL261="","",_xll.IMDP("STK",$AL261,"시가총액"))</f>
        <v/>
      </c>
    </row>
    <row r="262" spans="3:43" x14ac:dyDescent="0.25">
      <c r="C262" s="22">
        <v>257</v>
      </c>
      <c r="Y262" s="25" t="s">
        <v>657</v>
      </c>
      <c r="Z262" s="20" t="str">
        <f t="shared" ref="Z262:Z325" si="12">IF(INDEX($D$6:$Y$525,$C262,$AA$4)=0,"",INDEX($D$6:$Y$525,$C262,$AA$4))</f>
        <v/>
      </c>
      <c r="AA262" s="21" t="str">
        <f>IF(Z262="","",_xll.IMDP("STK",$Z262,"한글종목명"))</f>
        <v/>
      </c>
      <c r="AB262" s="48" t="str">
        <f>IF(Z262="","",_xll.IMDP("STK",$Z262,"현재가"))</f>
        <v/>
      </c>
      <c r="AC262" s="48" t="str">
        <f>IF(Z262="","",_xll.IMDP("STK",$Z262,"전일대비"))</f>
        <v/>
      </c>
      <c r="AD262" s="49" t="str">
        <f>IF(Z262="","",_xll.IMDP("STK",$Z262,"등락률"))</f>
        <v/>
      </c>
      <c r="AE262" s="48" t="str">
        <f>IF(Z262="","",_xll.IMDP("STK",Z262,"시가총액"))</f>
        <v/>
      </c>
      <c r="AF262" s="20" t="str">
        <f t="shared" si="11"/>
        <v/>
      </c>
      <c r="AG262" s="21" t="str">
        <f>IF(AF262="","",_xll.IMDP("STK",$AF262,"한글종목명"))</f>
        <v/>
      </c>
      <c r="AH262" s="48" t="str">
        <f>IF(AF262="","",_xll.IMDP("STK",$AF262,"현재가"))</f>
        <v/>
      </c>
      <c r="AI262" s="48" t="str">
        <f>IF(AF262="","",_xll.IMDP("STK",$AF262,"전일대비"))</f>
        <v/>
      </c>
      <c r="AJ262" s="49" t="str">
        <f>IF(AF262="","",_xll.IMDP("STK",$AF262,"등락률"))</f>
        <v/>
      </c>
      <c r="AK262" s="48" t="str">
        <f>IF(AF262="","",_xll.IMDP("STK",$AF262,"시가총액"))</f>
        <v/>
      </c>
      <c r="AL262" s="20" t="str">
        <f t="shared" ref="AL262:AL325" si="13">IF(INDEX($D$6:$Y$525,$C262,$AM$4)=0,"",INDEX($D$6:$Y$525,$C262,$AM$4))</f>
        <v/>
      </c>
      <c r="AM262" s="21" t="str">
        <f>IF(AL262="","",_xll.IMDP("STK",$AL262,"한글종목명"))</f>
        <v/>
      </c>
      <c r="AN262" s="48" t="str">
        <f>IF(AL262="","",_xll.IMDP("STK",$AL262,"현재가"))</f>
        <v/>
      </c>
      <c r="AO262" s="48" t="str">
        <f>IF(AL262="","",_xll.IMDP("STK",$AL262,"전일대비"))</f>
        <v/>
      </c>
      <c r="AP262" s="49" t="str">
        <f>IF(AL262="","",_xll.IMDP("STK",$AL262,"등락률"))</f>
        <v/>
      </c>
      <c r="AQ262" s="48" t="str">
        <f>IF(AL262="","",_xll.IMDP("STK",$AL262,"시가총액"))</f>
        <v/>
      </c>
    </row>
    <row r="263" spans="3:43" x14ac:dyDescent="0.25">
      <c r="C263" s="22">
        <v>258</v>
      </c>
      <c r="Y263" s="25" t="s">
        <v>658</v>
      </c>
      <c r="Z263" s="20" t="str">
        <f t="shared" si="12"/>
        <v/>
      </c>
      <c r="AA263" s="21" t="str">
        <f>IF(Z263="","",_xll.IMDP("STK",$Z263,"한글종목명"))</f>
        <v/>
      </c>
      <c r="AB263" s="48" t="str">
        <f>IF(Z263="","",_xll.IMDP("STK",$Z263,"현재가"))</f>
        <v/>
      </c>
      <c r="AC263" s="48" t="str">
        <f>IF(Z263="","",_xll.IMDP("STK",$Z263,"전일대비"))</f>
        <v/>
      </c>
      <c r="AD263" s="49" t="str">
        <f>IF(Z263="","",_xll.IMDP("STK",$Z263,"등락률"))</f>
        <v/>
      </c>
      <c r="AE263" s="48" t="str">
        <f>IF(Z263="","",_xll.IMDP("STK",Z263,"시가총액"))</f>
        <v/>
      </c>
      <c r="AF263" s="20" t="str">
        <f t="shared" ref="AF263:AF326" si="14">IF(INDEX($D$6:$Y$525,$C263,$AG$4)=0,"",INDEX($D$6:$Y$525,$C263,$AG$4))</f>
        <v/>
      </c>
      <c r="AG263" s="21" t="str">
        <f>IF(AF263="","",_xll.IMDP("STK",$AF263,"한글종목명"))</f>
        <v/>
      </c>
      <c r="AH263" s="48" t="str">
        <f>IF(AF263="","",_xll.IMDP("STK",$AF263,"현재가"))</f>
        <v/>
      </c>
      <c r="AI263" s="48" t="str">
        <f>IF(AF263="","",_xll.IMDP("STK",$AF263,"전일대비"))</f>
        <v/>
      </c>
      <c r="AJ263" s="49" t="str">
        <f>IF(AF263="","",_xll.IMDP("STK",$AF263,"등락률"))</f>
        <v/>
      </c>
      <c r="AK263" s="48" t="str">
        <f>IF(AF263="","",_xll.IMDP("STK",$AF263,"시가총액"))</f>
        <v/>
      </c>
      <c r="AL263" s="20" t="str">
        <f t="shared" si="13"/>
        <v/>
      </c>
      <c r="AM263" s="21" t="str">
        <f>IF(AL263="","",_xll.IMDP("STK",$AL263,"한글종목명"))</f>
        <v/>
      </c>
      <c r="AN263" s="48" t="str">
        <f>IF(AL263="","",_xll.IMDP("STK",$AL263,"현재가"))</f>
        <v/>
      </c>
      <c r="AO263" s="48" t="str">
        <f>IF(AL263="","",_xll.IMDP("STK",$AL263,"전일대비"))</f>
        <v/>
      </c>
      <c r="AP263" s="49" t="str">
        <f>IF(AL263="","",_xll.IMDP("STK",$AL263,"등락률"))</f>
        <v/>
      </c>
      <c r="AQ263" s="48" t="str">
        <f>IF(AL263="","",_xll.IMDP("STK",$AL263,"시가총액"))</f>
        <v/>
      </c>
    </row>
    <row r="264" spans="3:43" x14ac:dyDescent="0.25">
      <c r="C264" s="22">
        <v>259</v>
      </c>
      <c r="Y264" s="25" t="s">
        <v>207</v>
      </c>
      <c r="Z264" s="20" t="str">
        <f t="shared" si="12"/>
        <v/>
      </c>
      <c r="AA264" s="21" t="str">
        <f>IF(Z264="","",_xll.IMDP("STK",$Z264,"한글종목명"))</f>
        <v/>
      </c>
      <c r="AB264" s="48" t="str">
        <f>IF(Z264="","",_xll.IMDP("STK",$Z264,"현재가"))</f>
        <v/>
      </c>
      <c r="AC264" s="48" t="str">
        <f>IF(Z264="","",_xll.IMDP("STK",$Z264,"전일대비"))</f>
        <v/>
      </c>
      <c r="AD264" s="49" t="str">
        <f>IF(Z264="","",_xll.IMDP("STK",$Z264,"등락률"))</f>
        <v/>
      </c>
      <c r="AE264" s="48" t="str">
        <f>IF(Z264="","",_xll.IMDP("STK",Z264,"시가총액"))</f>
        <v/>
      </c>
      <c r="AF264" s="20" t="str">
        <f t="shared" si="14"/>
        <v/>
      </c>
      <c r="AG264" s="21" t="str">
        <f>IF(AF264="","",_xll.IMDP("STK",$AF264,"한글종목명"))</f>
        <v/>
      </c>
      <c r="AH264" s="48" t="str">
        <f>IF(AF264="","",_xll.IMDP("STK",$AF264,"현재가"))</f>
        <v/>
      </c>
      <c r="AI264" s="48" t="str">
        <f>IF(AF264="","",_xll.IMDP("STK",$AF264,"전일대비"))</f>
        <v/>
      </c>
      <c r="AJ264" s="49" t="str">
        <f>IF(AF264="","",_xll.IMDP("STK",$AF264,"등락률"))</f>
        <v/>
      </c>
      <c r="AK264" s="48" t="str">
        <f>IF(AF264="","",_xll.IMDP("STK",$AF264,"시가총액"))</f>
        <v/>
      </c>
      <c r="AL264" s="20" t="str">
        <f t="shared" si="13"/>
        <v/>
      </c>
      <c r="AM264" s="21" t="str">
        <f>IF(AL264="","",_xll.IMDP("STK",$AL264,"한글종목명"))</f>
        <v/>
      </c>
      <c r="AN264" s="48" t="str">
        <f>IF(AL264="","",_xll.IMDP("STK",$AL264,"현재가"))</f>
        <v/>
      </c>
      <c r="AO264" s="48" t="str">
        <f>IF(AL264="","",_xll.IMDP("STK",$AL264,"전일대비"))</f>
        <v/>
      </c>
      <c r="AP264" s="49" t="str">
        <f>IF(AL264="","",_xll.IMDP("STK",$AL264,"등락률"))</f>
        <v/>
      </c>
      <c r="AQ264" s="48" t="str">
        <f>IF(AL264="","",_xll.IMDP("STK",$AL264,"시가총액"))</f>
        <v/>
      </c>
    </row>
    <row r="265" spans="3:43" x14ac:dyDescent="0.25">
      <c r="C265" s="22">
        <v>260</v>
      </c>
      <c r="Y265" s="25" t="s">
        <v>659</v>
      </c>
      <c r="Z265" s="20" t="str">
        <f t="shared" si="12"/>
        <v/>
      </c>
      <c r="AA265" s="21" t="str">
        <f>IF(Z265="","",_xll.IMDP("STK",$Z265,"한글종목명"))</f>
        <v/>
      </c>
      <c r="AB265" s="48" t="str">
        <f>IF(Z265="","",_xll.IMDP("STK",$Z265,"현재가"))</f>
        <v/>
      </c>
      <c r="AC265" s="48" t="str">
        <f>IF(Z265="","",_xll.IMDP("STK",$Z265,"전일대비"))</f>
        <v/>
      </c>
      <c r="AD265" s="49" t="str">
        <f>IF(Z265="","",_xll.IMDP("STK",$Z265,"등락률"))</f>
        <v/>
      </c>
      <c r="AE265" s="48" t="str">
        <f>IF(Z265="","",_xll.IMDP("STK",Z265,"시가총액"))</f>
        <v/>
      </c>
      <c r="AF265" s="20" t="str">
        <f t="shared" si="14"/>
        <v/>
      </c>
      <c r="AG265" s="21" t="str">
        <f>IF(AF265="","",_xll.IMDP("STK",$AF265,"한글종목명"))</f>
        <v/>
      </c>
      <c r="AH265" s="48" t="str">
        <f>IF(AF265="","",_xll.IMDP("STK",$AF265,"현재가"))</f>
        <v/>
      </c>
      <c r="AI265" s="48" t="str">
        <f>IF(AF265="","",_xll.IMDP("STK",$AF265,"전일대비"))</f>
        <v/>
      </c>
      <c r="AJ265" s="49" t="str">
        <f>IF(AF265="","",_xll.IMDP("STK",$AF265,"등락률"))</f>
        <v/>
      </c>
      <c r="AK265" s="48" t="str">
        <f>IF(AF265="","",_xll.IMDP("STK",$AF265,"시가총액"))</f>
        <v/>
      </c>
      <c r="AL265" s="20" t="str">
        <f t="shared" si="13"/>
        <v/>
      </c>
      <c r="AM265" s="21" t="str">
        <f>IF(AL265="","",_xll.IMDP("STK",$AL265,"한글종목명"))</f>
        <v/>
      </c>
      <c r="AN265" s="48" t="str">
        <f>IF(AL265="","",_xll.IMDP("STK",$AL265,"현재가"))</f>
        <v/>
      </c>
      <c r="AO265" s="48" t="str">
        <f>IF(AL265="","",_xll.IMDP("STK",$AL265,"전일대비"))</f>
        <v/>
      </c>
      <c r="AP265" s="49" t="str">
        <f>IF(AL265="","",_xll.IMDP("STK",$AL265,"등락률"))</f>
        <v/>
      </c>
      <c r="AQ265" s="48" t="str">
        <f>IF(AL265="","",_xll.IMDP("STK",$AL265,"시가총액"))</f>
        <v/>
      </c>
    </row>
    <row r="266" spans="3:43" x14ac:dyDescent="0.25">
      <c r="C266" s="22">
        <v>261</v>
      </c>
      <c r="Y266" s="25" t="s">
        <v>208</v>
      </c>
      <c r="Z266" s="20" t="str">
        <f t="shared" si="12"/>
        <v/>
      </c>
      <c r="AA266" s="21" t="str">
        <f>IF(Z266="","",_xll.IMDP("STK",$Z266,"한글종목명"))</f>
        <v/>
      </c>
      <c r="AB266" s="48" t="str">
        <f>IF(Z266="","",_xll.IMDP("STK",$Z266,"현재가"))</f>
        <v/>
      </c>
      <c r="AC266" s="48" t="str">
        <f>IF(Z266="","",_xll.IMDP("STK",$Z266,"전일대비"))</f>
        <v/>
      </c>
      <c r="AD266" s="49" t="str">
        <f>IF(Z266="","",_xll.IMDP("STK",$Z266,"등락률"))</f>
        <v/>
      </c>
      <c r="AE266" s="48" t="str">
        <f>IF(Z266="","",_xll.IMDP("STK",Z266,"시가총액"))</f>
        <v/>
      </c>
      <c r="AF266" s="20" t="str">
        <f t="shared" si="14"/>
        <v/>
      </c>
      <c r="AG266" s="21" t="str">
        <f>IF(AF266="","",_xll.IMDP("STK",$AF266,"한글종목명"))</f>
        <v/>
      </c>
      <c r="AH266" s="48" t="str">
        <f>IF(AF266="","",_xll.IMDP("STK",$AF266,"현재가"))</f>
        <v/>
      </c>
      <c r="AI266" s="48" t="str">
        <f>IF(AF266="","",_xll.IMDP("STK",$AF266,"전일대비"))</f>
        <v/>
      </c>
      <c r="AJ266" s="49" t="str">
        <f>IF(AF266="","",_xll.IMDP("STK",$AF266,"등락률"))</f>
        <v/>
      </c>
      <c r="AK266" s="48" t="str">
        <f>IF(AF266="","",_xll.IMDP("STK",$AF266,"시가총액"))</f>
        <v/>
      </c>
      <c r="AL266" s="20" t="str">
        <f t="shared" si="13"/>
        <v/>
      </c>
      <c r="AM266" s="21" t="str">
        <f>IF(AL266="","",_xll.IMDP("STK",$AL266,"한글종목명"))</f>
        <v/>
      </c>
      <c r="AN266" s="48" t="str">
        <f>IF(AL266="","",_xll.IMDP("STK",$AL266,"현재가"))</f>
        <v/>
      </c>
      <c r="AO266" s="48" t="str">
        <f>IF(AL266="","",_xll.IMDP("STK",$AL266,"전일대비"))</f>
        <v/>
      </c>
      <c r="AP266" s="49" t="str">
        <f>IF(AL266="","",_xll.IMDP("STK",$AL266,"등락률"))</f>
        <v/>
      </c>
      <c r="AQ266" s="48" t="str">
        <f>IF(AL266="","",_xll.IMDP("STK",$AL266,"시가총액"))</f>
        <v/>
      </c>
    </row>
    <row r="267" spans="3:43" x14ac:dyDescent="0.25">
      <c r="C267" s="22">
        <v>262</v>
      </c>
      <c r="Y267" s="25" t="s">
        <v>209</v>
      </c>
      <c r="Z267" s="20" t="str">
        <f t="shared" si="12"/>
        <v/>
      </c>
      <c r="AA267" s="21" t="str">
        <f>IF(Z267="","",_xll.IMDP("STK",$Z267,"한글종목명"))</f>
        <v/>
      </c>
      <c r="AB267" s="48" t="str">
        <f>IF(Z267="","",_xll.IMDP("STK",$Z267,"현재가"))</f>
        <v/>
      </c>
      <c r="AC267" s="48" t="str">
        <f>IF(Z267="","",_xll.IMDP("STK",$Z267,"전일대비"))</f>
        <v/>
      </c>
      <c r="AD267" s="49" t="str">
        <f>IF(Z267="","",_xll.IMDP("STK",$Z267,"등락률"))</f>
        <v/>
      </c>
      <c r="AE267" s="48" t="str">
        <f>IF(Z267="","",_xll.IMDP("STK",Z267,"시가총액"))</f>
        <v/>
      </c>
      <c r="AF267" s="20" t="str">
        <f t="shared" si="14"/>
        <v/>
      </c>
      <c r="AG267" s="21" t="str">
        <f>IF(AF267="","",_xll.IMDP("STK",$AF267,"한글종목명"))</f>
        <v/>
      </c>
      <c r="AH267" s="48" t="str">
        <f>IF(AF267="","",_xll.IMDP("STK",$AF267,"현재가"))</f>
        <v/>
      </c>
      <c r="AI267" s="48" t="str">
        <f>IF(AF267="","",_xll.IMDP("STK",$AF267,"전일대비"))</f>
        <v/>
      </c>
      <c r="AJ267" s="49" t="str">
        <f>IF(AF267="","",_xll.IMDP("STK",$AF267,"등락률"))</f>
        <v/>
      </c>
      <c r="AK267" s="48" t="str">
        <f>IF(AF267="","",_xll.IMDP("STK",$AF267,"시가총액"))</f>
        <v/>
      </c>
      <c r="AL267" s="20" t="str">
        <f t="shared" si="13"/>
        <v/>
      </c>
      <c r="AM267" s="21" t="str">
        <f>IF(AL267="","",_xll.IMDP("STK",$AL267,"한글종목명"))</f>
        <v/>
      </c>
      <c r="AN267" s="48" t="str">
        <f>IF(AL267="","",_xll.IMDP("STK",$AL267,"현재가"))</f>
        <v/>
      </c>
      <c r="AO267" s="48" t="str">
        <f>IF(AL267="","",_xll.IMDP("STK",$AL267,"전일대비"))</f>
        <v/>
      </c>
      <c r="AP267" s="49" t="str">
        <f>IF(AL267="","",_xll.IMDP("STK",$AL267,"등락률"))</f>
        <v/>
      </c>
      <c r="AQ267" s="48" t="str">
        <f>IF(AL267="","",_xll.IMDP("STK",$AL267,"시가총액"))</f>
        <v/>
      </c>
    </row>
    <row r="268" spans="3:43" x14ac:dyDescent="0.25">
      <c r="C268" s="22">
        <v>263</v>
      </c>
      <c r="Y268" s="25" t="s">
        <v>490</v>
      </c>
      <c r="Z268" s="20" t="str">
        <f t="shared" si="12"/>
        <v/>
      </c>
      <c r="AA268" s="21" t="str">
        <f>IF(Z268="","",_xll.IMDP("STK",$Z268,"한글종목명"))</f>
        <v/>
      </c>
      <c r="AB268" s="48" t="str">
        <f>IF(Z268="","",_xll.IMDP("STK",$Z268,"현재가"))</f>
        <v/>
      </c>
      <c r="AC268" s="48" t="str">
        <f>IF(Z268="","",_xll.IMDP("STK",$Z268,"전일대비"))</f>
        <v/>
      </c>
      <c r="AD268" s="49" t="str">
        <f>IF(Z268="","",_xll.IMDP("STK",$Z268,"등락률"))</f>
        <v/>
      </c>
      <c r="AE268" s="48" t="str">
        <f>IF(Z268="","",_xll.IMDP("STK",Z268,"시가총액"))</f>
        <v/>
      </c>
      <c r="AF268" s="20" t="str">
        <f t="shared" si="14"/>
        <v/>
      </c>
      <c r="AG268" s="21" t="str">
        <f>IF(AF268="","",_xll.IMDP("STK",$AF268,"한글종목명"))</f>
        <v/>
      </c>
      <c r="AH268" s="48" t="str">
        <f>IF(AF268="","",_xll.IMDP("STK",$AF268,"현재가"))</f>
        <v/>
      </c>
      <c r="AI268" s="48" t="str">
        <f>IF(AF268="","",_xll.IMDP("STK",$AF268,"전일대비"))</f>
        <v/>
      </c>
      <c r="AJ268" s="49" t="str">
        <f>IF(AF268="","",_xll.IMDP("STK",$AF268,"등락률"))</f>
        <v/>
      </c>
      <c r="AK268" s="48" t="str">
        <f>IF(AF268="","",_xll.IMDP("STK",$AF268,"시가총액"))</f>
        <v/>
      </c>
      <c r="AL268" s="20" t="str">
        <f t="shared" si="13"/>
        <v/>
      </c>
      <c r="AM268" s="21" t="str">
        <f>IF(AL268="","",_xll.IMDP("STK",$AL268,"한글종목명"))</f>
        <v/>
      </c>
      <c r="AN268" s="48" t="str">
        <f>IF(AL268="","",_xll.IMDP("STK",$AL268,"현재가"))</f>
        <v/>
      </c>
      <c r="AO268" s="48" t="str">
        <f>IF(AL268="","",_xll.IMDP("STK",$AL268,"전일대비"))</f>
        <v/>
      </c>
      <c r="AP268" s="49" t="str">
        <f>IF(AL268="","",_xll.IMDP("STK",$AL268,"등락률"))</f>
        <v/>
      </c>
      <c r="AQ268" s="48" t="str">
        <f>IF(AL268="","",_xll.IMDP("STK",$AL268,"시가총액"))</f>
        <v/>
      </c>
    </row>
    <row r="269" spans="3:43" x14ac:dyDescent="0.25">
      <c r="C269" s="22">
        <v>264</v>
      </c>
      <c r="Y269" s="25" t="s">
        <v>310</v>
      </c>
      <c r="Z269" s="20" t="str">
        <f t="shared" si="12"/>
        <v/>
      </c>
      <c r="AA269" s="21" t="str">
        <f>IF(Z269="","",_xll.IMDP("STK",$Z269,"한글종목명"))</f>
        <v/>
      </c>
      <c r="AB269" s="48" t="str">
        <f>IF(Z269="","",_xll.IMDP("STK",$Z269,"현재가"))</f>
        <v/>
      </c>
      <c r="AC269" s="48" t="str">
        <f>IF(Z269="","",_xll.IMDP("STK",$Z269,"전일대비"))</f>
        <v/>
      </c>
      <c r="AD269" s="49" t="str">
        <f>IF(Z269="","",_xll.IMDP("STK",$Z269,"등락률"))</f>
        <v/>
      </c>
      <c r="AE269" s="48" t="str">
        <f>IF(Z269="","",_xll.IMDP("STK",Z269,"시가총액"))</f>
        <v/>
      </c>
      <c r="AF269" s="20" t="str">
        <f t="shared" si="14"/>
        <v/>
      </c>
      <c r="AG269" s="21" t="str">
        <f>IF(AF269="","",_xll.IMDP("STK",$AF269,"한글종목명"))</f>
        <v/>
      </c>
      <c r="AH269" s="48" t="str">
        <f>IF(AF269="","",_xll.IMDP("STK",$AF269,"현재가"))</f>
        <v/>
      </c>
      <c r="AI269" s="48" t="str">
        <f>IF(AF269="","",_xll.IMDP("STK",$AF269,"전일대비"))</f>
        <v/>
      </c>
      <c r="AJ269" s="49" t="str">
        <f>IF(AF269="","",_xll.IMDP("STK",$AF269,"등락률"))</f>
        <v/>
      </c>
      <c r="AK269" s="48" t="str">
        <f>IF(AF269="","",_xll.IMDP("STK",$AF269,"시가총액"))</f>
        <v/>
      </c>
      <c r="AL269" s="20" t="str">
        <f t="shared" si="13"/>
        <v/>
      </c>
      <c r="AM269" s="21" t="str">
        <f>IF(AL269="","",_xll.IMDP("STK",$AL269,"한글종목명"))</f>
        <v/>
      </c>
      <c r="AN269" s="48" t="str">
        <f>IF(AL269="","",_xll.IMDP("STK",$AL269,"현재가"))</f>
        <v/>
      </c>
      <c r="AO269" s="48" t="str">
        <f>IF(AL269="","",_xll.IMDP("STK",$AL269,"전일대비"))</f>
        <v/>
      </c>
      <c r="AP269" s="49" t="str">
        <f>IF(AL269="","",_xll.IMDP("STK",$AL269,"등락률"))</f>
        <v/>
      </c>
      <c r="AQ269" s="48" t="str">
        <f>IF(AL269="","",_xll.IMDP("STK",$AL269,"시가총액"))</f>
        <v/>
      </c>
    </row>
    <row r="270" spans="3:43" x14ac:dyDescent="0.25">
      <c r="C270" s="22">
        <v>265</v>
      </c>
      <c r="Y270" s="25" t="s">
        <v>593</v>
      </c>
      <c r="Z270" s="20" t="str">
        <f t="shared" si="12"/>
        <v/>
      </c>
      <c r="AA270" s="21" t="str">
        <f>IF(Z270="","",_xll.IMDP("STK",$Z270,"한글종목명"))</f>
        <v/>
      </c>
      <c r="AB270" s="48" t="str">
        <f>IF(Z270="","",_xll.IMDP("STK",$Z270,"현재가"))</f>
        <v/>
      </c>
      <c r="AC270" s="48" t="str">
        <f>IF(Z270="","",_xll.IMDP("STK",$Z270,"전일대비"))</f>
        <v/>
      </c>
      <c r="AD270" s="49" t="str">
        <f>IF(Z270="","",_xll.IMDP("STK",$Z270,"등락률"))</f>
        <v/>
      </c>
      <c r="AE270" s="48" t="str">
        <f>IF(Z270="","",_xll.IMDP("STK",Z270,"시가총액"))</f>
        <v/>
      </c>
      <c r="AF270" s="20" t="str">
        <f t="shared" si="14"/>
        <v/>
      </c>
      <c r="AG270" s="21" t="str">
        <f>IF(AF270="","",_xll.IMDP("STK",$AF270,"한글종목명"))</f>
        <v/>
      </c>
      <c r="AH270" s="48" t="str">
        <f>IF(AF270="","",_xll.IMDP("STK",$AF270,"현재가"))</f>
        <v/>
      </c>
      <c r="AI270" s="48" t="str">
        <f>IF(AF270="","",_xll.IMDP("STK",$AF270,"전일대비"))</f>
        <v/>
      </c>
      <c r="AJ270" s="49" t="str">
        <f>IF(AF270="","",_xll.IMDP("STK",$AF270,"등락률"))</f>
        <v/>
      </c>
      <c r="AK270" s="48" t="str">
        <f>IF(AF270="","",_xll.IMDP("STK",$AF270,"시가총액"))</f>
        <v/>
      </c>
      <c r="AL270" s="20" t="str">
        <f t="shared" si="13"/>
        <v/>
      </c>
      <c r="AM270" s="21" t="str">
        <f>IF(AL270="","",_xll.IMDP("STK",$AL270,"한글종목명"))</f>
        <v/>
      </c>
      <c r="AN270" s="48" t="str">
        <f>IF(AL270="","",_xll.IMDP("STK",$AL270,"현재가"))</f>
        <v/>
      </c>
      <c r="AO270" s="48" t="str">
        <f>IF(AL270="","",_xll.IMDP("STK",$AL270,"전일대비"))</f>
        <v/>
      </c>
      <c r="AP270" s="49" t="str">
        <f>IF(AL270="","",_xll.IMDP("STK",$AL270,"등락률"))</f>
        <v/>
      </c>
      <c r="AQ270" s="48" t="str">
        <f>IF(AL270="","",_xll.IMDP("STK",$AL270,"시가총액"))</f>
        <v/>
      </c>
    </row>
    <row r="271" spans="3:43" x14ac:dyDescent="0.25">
      <c r="C271" s="22">
        <v>266</v>
      </c>
      <c r="Y271" s="25" t="s">
        <v>210</v>
      </c>
      <c r="Z271" s="20" t="str">
        <f t="shared" si="12"/>
        <v/>
      </c>
      <c r="AA271" s="21" t="str">
        <f>IF(Z271="","",_xll.IMDP("STK",$Z271,"한글종목명"))</f>
        <v/>
      </c>
      <c r="AB271" s="48" t="str">
        <f>IF(Z271="","",_xll.IMDP("STK",$Z271,"현재가"))</f>
        <v/>
      </c>
      <c r="AC271" s="48" t="str">
        <f>IF(Z271="","",_xll.IMDP("STK",$Z271,"전일대비"))</f>
        <v/>
      </c>
      <c r="AD271" s="49" t="str">
        <f>IF(Z271="","",_xll.IMDP("STK",$Z271,"등락률"))</f>
        <v/>
      </c>
      <c r="AE271" s="48" t="str">
        <f>IF(Z271="","",_xll.IMDP("STK",Z271,"시가총액"))</f>
        <v/>
      </c>
      <c r="AF271" s="20" t="str">
        <f t="shared" si="14"/>
        <v/>
      </c>
      <c r="AG271" s="21" t="str">
        <f>IF(AF271="","",_xll.IMDP("STK",$AF271,"한글종목명"))</f>
        <v/>
      </c>
      <c r="AH271" s="48" t="str">
        <f>IF(AF271="","",_xll.IMDP("STK",$AF271,"현재가"))</f>
        <v/>
      </c>
      <c r="AI271" s="48" t="str">
        <f>IF(AF271="","",_xll.IMDP("STK",$AF271,"전일대비"))</f>
        <v/>
      </c>
      <c r="AJ271" s="49" t="str">
        <f>IF(AF271="","",_xll.IMDP("STK",$AF271,"등락률"))</f>
        <v/>
      </c>
      <c r="AK271" s="48" t="str">
        <f>IF(AF271="","",_xll.IMDP("STK",$AF271,"시가총액"))</f>
        <v/>
      </c>
      <c r="AL271" s="20" t="str">
        <f t="shared" si="13"/>
        <v/>
      </c>
      <c r="AM271" s="21" t="str">
        <f>IF(AL271="","",_xll.IMDP("STK",$AL271,"한글종목명"))</f>
        <v/>
      </c>
      <c r="AN271" s="48" t="str">
        <f>IF(AL271="","",_xll.IMDP("STK",$AL271,"현재가"))</f>
        <v/>
      </c>
      <c r="AO271" s="48" t="str">
        <f>IF(AL271="","",_xll.IMDP("STK",$AL271,"전일대비"))</f>
        <v/>
      </c>
      <c r="AP271" s="49" t="str">
        <f>IF(AL271="","",_xll.IMDP("STK",$AL271,"등락률"))</f>
        <v/>
      </c>
      <c r="AQ271" s="48" t="str">
        <f>IF(AL271="","",_xll.IMDP("STK",$AL271,"시가총액"))</f>
        <v/>
      </c>
    </row>
    <row r="272" spans="3:43" x14ac:dyDescent="0.25">
      <c r="C272" s="22">
        <v>267</v>
      </c>
      <c r="Y272" s="25" t="s">
        <v>368</v>
      </c>
      <c r="Z272" s="20" t="str">
        <f t="shared" si="12"/>
        <v/>
      </c>
      <c r="AA272" s="21" t="str">
        <f>IF(Z272="","",_xll.IMDP("STK",$Z272,"한글종목명"))</f>
        <v/>
      </c>
      <c r="AB272" s="48" t="str">
        <f>IF(Z272="","",_xll.IMDP("STK",$Z272,"현재가"))</f>
        <v/>
      </c>
      <c r="AC272" s="48" t="str">
        <f>IF(Z272="","",_xll.IMDP("STK",$Z272,"전일대비"))</f>
        <v/>
      </c>
      <c r="AD272" s="49" t="str">
        <f>IF(Z272="","",_xll.IMDP("STK",$Z272,"등락률"))</f>
        <v/>
      </c>
      <c r="AE272" s="48" t="str">
        <f>IF(Z272="","",_xll.IMDP("STK",Z272,"시가총액"))</f>
        <v/>
      </c>
      <c r="AF272" s="20" t="str">
        <f t="shared" si="14"/>
        <v/>
      </c>
      <c r="AG272" s="21" t="str">
        <f>IF(AF272="","",_xll.IMDP("STK",$AF272,"한글종목명"))</f>
        <v/>
      </c>
      <c r="AH272" s="48" t="str">
        <f>IF(AF272="","",_xll.IMDP("STK",$AF272,"현재가"))</f>
        <v/>
      </c>
      <c r="AI272" s="48" t="str">
        <f>IF(AF272="","",_xll.IMDP("STK",$AF272,"전일대비"))</f>
        <v/>
      </c>
      <c r="AJ272" s="49" t="str">
        <f>IF(AF272="","",_xll.IMDP("STK",$AF272,"등락률"))</f>
        <v/>
      </c>
      <c r="AK272" s="48" t="str">
        <f>IF(AF272="","",_xll.IMDP("STK",$AF272,"시가총액"))</f>
        <v/>
      </c>
      <c r="AL272" s="20" t="str">
        <f t="shared" si="13"/>
        <v/>
      </c>
      <c r="AM272" s="21" t="str">
        <f>IF(AL272="","",_xll.IMDP("STK",$AL272,"한글종목명"))</f>
        <v/>
      </c>
      <c r="AN272" s="48" t="str">
        <f>IF(AL272="","",_xll.IMDP("STK",$AL272,"현재가"))</f>
        <v/>
      </c>
      <c r="AO272" s="48" t="str">
        <f>IF(AL272="","",_xll.IMDP("STK",$AL272,"전일대비"))</f>
        <v/>
      </c>
      <c r="AP272" s="49" t="str">
        <f>IF(AL272="","",_xll.IMDP("STK",$AL272,"등락률"))</f>
        <v/>
      </c>
      <c r="AQ272" s="48" t="str">
        <f>IF(AL272="","",_xll.IMDP("STK",$AL272,"시가총액"))</f>
        <v/>
      </c>
    </row>
    <row r="273" spans="3:43" x14ac:dyDescent="0.25">
      <c r="C273" s="22">
        <v>268</v>
      </c>
      <c r="Y273" s="25" t="s">
        <v>594</v>
      </c>
      <c r="Z273" s="20" t="str">
        <f t="shared" si="12"/>
        <v/>
      </c>
      <c r="AA273" s="21" t="str">
        <f>IF(Z273="","",_xll.IMDP("STK",$Z273,"한글종목명"))</f>
        <v/>
      </c>
      <c r="AB273" s="48" t="str">
        <f>IF(Z273="","",_xll.IMDP("STK",$Z273,"현재가"))</f>
        <v/>
      </c>
      <c r="AC273" s="48" t="str">
        <f>IF(Z273="","",_xll.IMDP("STK",$Z273,"전일대비"))</f>
        <v/>
      </c>
      <c r="AD273" s="49" t="str">
        <f>IF(Z273="","",_xll.IMDP("STK",$Z273,"등락률"))</f>
        <v/>
      </c>
      <c r="AE273" s="48" t="str">
        <f>IF(Z273="","",_xll.IMDP("STK",Z273,"시가총액"))</f>
        <v/>
      </c>
      <c r="AF273" s="20" t="str">
        <f t="shared" si="14"/>
        <v/>
      </c>
      <c r="AG273" s="21" t="str">
        <f>IF(AF273="","",_xll.IMDP("STK",$AF273,"한글종목명"))</f>
        <v/>
      </c>
      <c r="AH273" s="48" t="str">
        <f>IF(AF273="","",_xll.IMDP("STK",$AF273,"현재가"))</f>
        <v/>
      </c>
      <c r="AI273" s="48" t="str">
        <f>IF(AF273="","",_xll.IMDP("STK",$AF273,"전일대비"))</f>
        <v/>
      </c>
      <c r="AJ273" s="49" t="str">
        <f>IF(AF273="","",_xll.IMDP("STK",$AF273,"등락률"))</f>
        <v/>
      </c>
      <c r="AK273" s="48" t="str">
        <f>IF(AF273="","",_xll.IMDP("STK",$AF273,"시가총액"))</f>
        <v/>
      </c>
      <c r="AL273" s="20" t="str">
        <f t="shared" si="13"/>
        <v/>
      </c>
      <c r="AM273" s="21" t="str">
        <f>IF(AL273="","",_xll.IMDP("STK",$AL273,"한글종목명"))</f>
        <v/>
      </c>
      <c r="AN273" s="48" t="str">
        <f>IF(AL273="","",_xll.IMDP("STK",$AL273,"현재가"))</f>
        <v/>
      </c>
      <c r="AO273" s="48" t="str">
        <f>IF(AL273="","",_xll.IMDP("STK",$AL273,"전일대비"))</f>
        <v/>
      </c>
      <c r="AP273" s="49" t="str">
        <f>IF(AL273="","",_xll.IMDP("STK",$AL273,"등락률"))</f>
        <v/>
      </c>
      <c r="AQ273" s="48" t="str">
        <f>IF(AL273="","",_xll.IMDP("STK",$AL273,"시가총액"))</f>
        <v/>
      </c>
    </row>
    <row r="274" spans="3:43" x14ac:dyDescent="0.25">
      <c r="C274" s="22">
        <v>269</v>
      </c>
      <c r="Y274" s="25" t="s">
        <v>595</v>
      </c>
      <c r="Z274" s="20" t="str">
        <f t="shared" si="12"/>
        <v/>
      </c>
      <c r="AA274" s="21" t="str">
        <f>IF(Z274="","",_xll.IMDP("STK",$Z274,"한글종목명"))</f>
        <v/>
      </c>
      <c r="AB274" s="48" t="str">
        <f>IF(Z274="","",_xll.IMDP("STK",$Z274,"현재가"))</f>
        <v/>
      </c>
      <c r="AC274" s="48" t="str">
        <f>IF(Z274="","",_xll.IMDP("STK",$Z274,"전일대비"))</f>
        <v/>
      </c>
      <c r="AD274" s="49" t="str">
        <f>IF(Z274="","",_xll.IMDP("STK",$Z274,"등락률"))</f>
        <v/>
      </c>
      <c r="AE274" s="48" t="str">
        <f>IF(Z274="","",_xll.IMDP("STK",Z274,"시가총액"))</f>
        <v/>
      </c>
      <c r="AF274" s="20" t="str">
        <f t="shared" si="14"/>
        <v/>
      </c>
      <c r="AG274" s="21" t="str">
        <f>IF(AF274="","",_xll.IMDP("STK",$AF274,"한글종목명"))</f>
        <v/>
      </c>
      <c r="AH274" s="48" t="str">
        <f>IF(AF274="","",_xll.IMDP("STK",$AF274,"현재가"))</f>
        <v/>
      </c>
      <c r="AI274" s="48" t="str">
        <f>IF(AF274="","",_xll.IMDP("STK",$AF274,"전일대비"))</f>
        <v/>
      </c>
      <c r="AJ274" s="49" t="str">
        <f>IF(AF274="","",_xll.IMDP("STK",$AF274,"등락률"))</f>
        <v/>
      </c>
      <c r="AK274" s="48" t="str">
        <f>IF(AF274="","",_xll.IMDP("STK",$AF274,"시가총액"))</f>
        <v/>
      </c>
      <c r="AL274" s="20" t="str">
        <f t="shared" si="13"/>
        <v/>
      </c>
      <c r="AM274" s="21" t="str">
        <f>IF(AL274="","",_xll.IMDP("STK",$AL274,"한글종목명"))</f>
        <v/>
      </c>
      <c r="AN274" s="48" t="str">
        <f>IF(AL274="","",_xll.IMDP("STK",$AL274,"현재가"))</f>
        <v/>
      </c>
      <c r="AO274" s="48" t="str">
        <f>IF(AL274="","",_xll.IMDP("STK",$AL274,"전일대비"))</f>
        <v/>
      </c>
      <c r="AP274" s="49" t="str">
        <f>IF(AL274="","",_xll.IMDP("STK",$AL274,"등락률"))</f>
        <v/>
      </c>
      <c r="AQ274" s="48" t="str">
        <f>IF(AL274="","",_xll.IMDP("STK",$AL274,"시가총액"))</f>
        <v/>
      </c>
    </row>
    <row r="275" spans="3:43" x14ac:dyDescent="0.25">
      <c r="C275" s="22">
        <v>270</v>
      </c>
      <c r="Y275" s="25" t="s">
        <v>311</v>
      </c>
      <c r="Z275" s="20" t="str">
        <f t="shared" si="12"/>
        <v/>
      </c>
      <c r="AA275" s="21" t="str">
        <f>IF(Z275="","",_xll.IMDP("STK",$Z275,"한글종목명"))</f>
        <v/>
      </c>
      <c r="AB275" s="48" t="str">
        <f>IF(Z275="","",_xll.IMDP("STK",$Z275,"현재가"))</f>
        <v/>
      </c>
      <c r="AC275" s="48" t="str">
        <f>IF(Z275="","",_xll.IMDP("STK",$Z275,"전일대비"))</f>
        <v/>
      </c>
      <c r="AD275" s="49" t="str">
        <f>IF(Z275="","",_xll.IMDP("STK",$Z275,"등락률"))</f>
        <v/>
      </c>
      <c r="AE275" s="48" t="str">
        <f>IF(Z275="","",_xll.IMDP("STK",Z275,"시가총액"))</f>
        <v/>
      </c>
      <c r="AF275" s="20" t="str">
        <f t="shared" si="14"/>
        <v/>
      </c>
      <c r="AG275" s="21" t="str">
        <f>IF(AF275="","",_xll.IMDP("STK",$AF275,"한글종목명"))</f>
        <v/>
      </c>
      <c r="AH275" s="48" t="str">
        <f>IF(AF275="","",_xll.IMDP("STK",$AF275,"현재가"))</f>
        <v/>
      </c>
      <c r="AI275" s="48" t="str">
        <f>IF(AF275="","",_xll.IMDP("STK",$AF275,"전일대비"))</f>
        <v/>
      </c>
      <c r="AJ275" s="49" t="str">
        <f>IF(AF275="","",_xll.IMDP("STK",$AF275,"등락률"))</f>
        <v/>
      </c>
      <c r="AK275" s="48" t="str">
        <f>IF(AF275="","",_xll.IMDP("STK",$AF275,"시가총액"))</f>
        <v/>
      </c>
      <c r="AL275" s="20" t="str">
        <f t="shared" si="13"/>
        <v/>
      </c>
      <c r="AM275" s="21" t="str">
        <f>IF(AL275="","",_xll.IMDP("STK",$AL275,"한글종목명"))</f>
        <v/>
      </c>
      <c r="AN275" s="48" t="str">
        <f>IF(AL275="","",_xll.IMDP("STK",$AL275,"현재가"))</f>
        <v/>
      </c>
      <c r="AO275" s="48" t="str">
        <f>IF(AL275="","",_xll.IMDP("STK",$AL275,"전일대비"))</f>
        <v/>
      </c>
      <c r="AP275" s="49" t="str">
        <f>IF(AL275="","",_xll.IMDP("STK",$AL275,"등락률"))</f>
        <v/>
      </c>
      <c r="AQ275" s="48" t="str">
        <f>IF(AL275="","",_xll.IMDP("STK",$AL275,"시가총액"))</f>
        <v/>
      </c>
    </row>
    <row r="276" spans="3:43" x14ac:dyDescent="0.25">
      <c r="C276" s="22">
        <v>271</v>
      </c>
      <c r="Y276" s="25" t="s">
        <v>444</v>
      </c>
      <c r="Z276" s="20" t="str">
        <f t="shared" si="12"/>
        <v/>
      </c>
      <c r="AA276" s="21" t="str">
        <f>IF(Z276="","",_xll.IMDP("STK",$Z276,"한글종목명"))</f>
        <v/>
      </c>
      <c r="AB276" s="48" t="str">
        <f>IF(Z276="","",_xll.IMDP("STK",$Z276,"현재가"))</f>
        <v/>
      </c>
      <c r="AC276" s="48" t="str">
        <f>IF(Z276="","",_xll.IMDP("STK",$Z276,"전일대비"))</f>
        <v/>
      </c>
      <c r="AD276" s="49" t="str">
        <f>IF(Z276="","",_xll.IMDP("STK",$Z276,"등락률"))</f>
        <v/>
      </c>
      <c r="AE276" s="48" t="str">
        <f>IF(Z276="","",_xll.IMDP("STK",Z276,"시가총액"))</f>
        <v/>
      </c>
      <c r="AF276" s="20" t="str">
        <f t="shared" si="14"/>
        <v/>
      </c>
      <c r="AG276" s="21" t="str">
        <f>IF(AF276="","",_xll.IMDP("STK",$AF276,"한글종목명"))</f>
        <v/>
      </c>
      <c r="AH276" s="48" t="str">
        <f>IF(AF276="","",_xll.IMDP("STK",$AF276,"현재가"))</f>
        <v/>
      </c>
      <c r="AI276" s="48" t="str">
        <f>IF(AF276="","",_xll.IMDP("STK",$AF276,"전일대비"))</f>
        <v/>
      </c>
      <c r="AJ276" s="49" t="str">
        <f>IF(AF276="","",_xll.IMDP("STK",$AF276,"등락률"))</f>
        <v/>
      </c>
      <c r="AK276" s="48" t="str">
        <f>IF(AF276="","",_xll.IMDP("STK",$AF276,"시가총액"))</f>
        <v/>
      </c>
      <c r="AL276" s="20" t="str">
        <f t="shared" si="13"/>
        <v/>
      </c>
      <c r="AM276" s="21" t="str">
        <f>IF(AL276="","",_xll.IMDP("STK",$AL276,"한글종목명"))</f>
        <v/>
      </c>
      <c r="AN276" s="48" t="str">
        <f>IF(AL276="","",_xll.IMDP("STK",$AL276,"현재가"))</f>
        <v/>
      </c>
      <c r="AO276" s="48" t="str">
        <f>IF(AL276="","",_xll.IMDP("STK",$AL276,"전일대비"))</f>
        <v/>
      </c>
      <c r="AP276" s="49" t="str">
        <f>IF(AL276="","",_xll.IMDP("STK",$AL276,"등락률"))</f>
        <v/>
      </c>
      <c r="AQ276" s="48" t="str">
        <f>IF(AL276="","",_xll.IMDP("STK",$AL276,"시가총액"))</f>
        <v/>
      </c>
    </row>
    <row r="277" spans="3:43" x14ac:dyDescent="0.25">
      <c r="C277" s="22">
        <v>272</v>
      </c>
      <c r="Y277" s="25" t="s">
        <v>445</v>
      </c>
      <c r="Z277" s="20" t="str">
        <f t="shared" si="12"/>
        <v/>
      </c>
      <c r="AA277" s="21" t="str">
        <f>IF(Z277="","",_xll.IMDP("STK",$Z277,"한글종목명"))</f>
        <v/>
      </c>
      <c r="AB277" s="48" t="str">
        <f>IF(Z277="","",_xll.IMDP("STK",$Z277,"현재가"))</f>
        <v/>
      </c>
      <c r="AC277" s="48" t="str">
        <f>IF(Z277="","",_xll.IMDP("STK",$Z277,"전일대비"))</f>
        <v/>
      </c>
      <c r="AD277" s="49" t="str">
        <f>IF(Z277="","",_xll.IMDP("STK",$Z277,"등락률"))</f>
        <v/>
      </c>
      <c r="AE277" s="48" t="str">
        <f>IF(Z277="","",_xll.IMDP("STK",Z277,"시가총액"))</f>
        <v/>
      </c>
      <c r="AF277" s="20" t="str">
        <f t="shared" si="14"/>
        <v/>
      </c>
      <c r="AG277" s="21" t="str">
        <f>IF(AF277="","",_xll.IMDP("STK",$AF277,"한글종목명"))</f>
        <v/>
      </c>
      <c r="AH277" s="48" t="str">
        <f>IF(AF277="","",_xll.IMDP("STK",$AF277,"현재가"))</f>
        <v/>
      </c>
      <c r="AI277" s="48" t="str">
        <f>IF(AF277="","",_xll.IMDP("STK",$AF277,"전일대비"))</f>
        <v/>
      </c>
      <c r="AJ277" s="49" t="str">
        <f>IF(AF277="","",_xll.IMDP("STK",$AF277,"등락률"))</f>
        <v/>
      </c>
      <c r="AK277" s="48" t="str">
        <f>IF(AF277="","",_xll.IMDP("STK",$AF277,"시가총액"))</f>
        <v/>
      </c>
      <c r="AL277" s="20" t="str">
        <f t="shared" si="13"/>
        <v/>
      </c>
      <c r="AM277" s="21" t="str">
        <f>IF(AL277="","",_xll.IMDP("STK",$AL277,"한글종목명"))</f>
        <v/>
      </c>
      <c r="AN277" s="48" t="str">
        <f>IF(AL277="","",_xll.IMDP("STK",$AL277,"현재가"))</f>
        <v/>
      </c>
      <c r="AO277" s="48" t="str">
        <f>IF(AL277="","",_xll.IMDP("STK",$AL277,"전일대비"))</f>
        <v/>
      </c>
      <c r="AP277" s="49" t="str">
        <f>IF(AL277="","",_xll.IMDP("STK",$AL277,"등락률"))</f>
        <v/>
      </c>
      <c r="AQ277" s="48" t="str">
        <f>IF(AL277="","",_xll.IMDP("STK",$AL277,"시가총액"))</f>
        <v/>
      </c>
    </row>
    <row r="278" spans="3:43" x14ac:dyDescent="0.25">
      <c r="C278" s="22">
        <v>273</v>
      </c>
      <c r="Y278" s="25" t="s">
        <v>446</v>
      </c>
      <c r="Z278" s="20" t="str">
        <f t="shared" si="12"/>
        <v/>
      </c>
      <c r="AA278" s="21" t="str">
        <f>IF(Z278="","",_xll.IMDP("STK",$Z278,"한글종목명"))</f>
        <v/>
      </c>
      <c r="AB278" s="48" t="str">
        <f>IF(Z278="","",_xll.IMDP("STK",$Z278,"현재가"))</f>
        <v/>
      </c>
      <c r="AC278" s="48" t="str">
        <f>IF(Z278="","",_xll.IMDP("STK",$Z278,"전일대비"))</f>
        <v/>
      </c>
      <c r="AD278" s="49" t="str">
        <f>IF(Z278="","",_xll.IMDP("STK",$Z278,"등락률"))</f>
        <v/>
      </c>
      <c r="AE278" s="48" t="str">
        <f>IF(Z278="","",_xll.IMDP("STK",Z278,"시가총액"))</f>
        <v/>
      </c>
      <c r="AF278" s="20" t="str">
        <f t="shared" si="14"/>
        <v/>
      </c>
      <c r="AG278" s="21" t="str">
        <f>IF(AF278="","",_xll.IMDP("STK",$AF278,"한글종목명"))</f>
        <v/>
      </c>
      <c r="AH278" s="48" t="str">
        <f>IF(AF278="","",_xll.IMDP("STK",$AF278,"현재가"))</f>
        <v/>
      </c>
      <c r="AI278" s="48" t="str">
        <f>IF(AF278="","",_xll.IMDP("STK",$AF278,"전일대비"))</f>
        <v/>
      </c>
      <c r="AJ278" s="49" t="str">
        <f>IF(AF278="","",_xll.IMDP("STK",$AF278,"등락률"))</f>
        <v/>
      </c>
      <c r="AK278" s="48" t="str">
        <f>IF(AF278="","",_xll.IMDP("STK",$AF278,"시가총액"))</f>
        <v/>
      </c>
      <c r="AL278" s="20" t="str">
        <f t="shared" si="13"/>
        <v/>
      </c>
      <c r="AM278" s="21" t="str">
        <f>IF(AL278="","",_xll.IMDP("STK",$AL278,"한글종목명"))</f>
        <v/>
      </c>
      <c r="AN278" s="48" t="str">
        <f>IF(AL278="","",_xll.IMDP("STK",$AL278,"현재가"))</f>
        <v/>
      </c>
      <c r="AO278" s="48" t="str">
        <f>IF(AL278="","",_xll.IMDP("STK",$AL278,"전일대비"))</f>
        <v/>
      </c>
      <c r="AP278" s="49" t="str">
        <f>IF(AL278="","",_xll.IMDP("STK",$AL278,"등락률"))</f>
        <v/>
      </c>
      <c r="AQ278" s="48" t="str">
        <f>IF(AL278="","",_xll.IMDP("STK",$AL278,"시가총액"))</f>
        <v/>
      </c>
    </row>
    <row r="279" spans="3:43" x14ac:dyDescent="0.25">
      <c r="C279" s="22">
        <v>274</v>
      </c>
      <c r="Y279" s="25" t="s">
        <v>447</v>
      </c>
      <c r="Z279" s="20" t="str">
        <f t="shared" si="12"/>
        <v/>
      </c>
      <c r="AA279" s="21" t="str">
        <f>IF(Z279="","",_xll.IMDP("STK",$Z279,"한글종목명"))</f>
        <v/>
      </c>
      <c r="AB279" s="48" t="str">
        <f>IF(Z279="","",_xll.IMDP("STK",$Z279,"현재가"))</f>
        <v/>
      </c>
      <c r="AC279" s="48" t="str">
        <f>IF(Z279="","",_xll.IMDP("STK",$Z279,"전일대비"))</f>
        <v/>
      </c>
      <c r="AD279" s="49" t="str">
        <f>IF(Z279="","",_xll.IMDP("STK",$Z279,"등락률"))</f>
        <v/>
      </c>
      <c r="AE279" s="48" t="str">
        <f>IF(Z279="","",_xll.IMDP("STK",Z279,"시가총액"))</f>
        <v/>
      </c>
      <c r="AF279" s="20" t="str">
        <f t="shared" si="14"/>
        <v/>
      </c>
      <c r="AG279" s="21" t="str">
        <f>IF(AF279="","",_xll.IMDP("STK",$AF279,"한글종목명"))</f>
        <v/>
      </c>
      <c r="AH279" s="48" t="str">
        <f>IF(AF279="","",_xll.IMDP("STK",$AF279,"현재가"))</f>
        <v/>
      </c>
      <c r="AI279" s="48" t="str">
        <f>IF(AF279="","",_xll.IMDP("STK",$AF279,"전일대비"))</f>
        <v/>
      </c>
      <c r="AJ279" s="49" t="str">
        <f>IF(AF279="","",_xll.IMDP("STK",$AF279,"등락률"))</f>
        <v/>
      </c>
      <c r="AK279" s="48" t="str">
        <f>IF(AF279="","",_xll.IMDP("STK",$AF279,"시가총액"))</f>
        <v/>
      </c>
      <c r="AL279" s="20" t="str">
        <f t="shared" si="13"/>
        <v/>
      </c>
      <c r="AM279" s="21" t="str">
        <f>IF(AL279="","",_xll.IMDP("STK",$AL279,"한글종목명"))</f>
        <v/>
      </c>
      <c r="AN279" s="48" t="str">
        <f>IF(AL279="","",_xll.IMDP("STK",$AL279,"현재가"))</f>
        <v/>
      </c>
      <c r="AO279" s="48" t="str">
        <f>IF(AL279="","",_xll.IMDP("STK",$AL279,"전일대비"))</f>
        <v/>
      </c>
      <c r="AP279" s="49" t="str">
        <f>IF(AL279="","",_xll.IMDP("STK",$AL279,"등락률"))</f>
        <v/>
      </c>
      <c r="AQ279" s="48" t="str">
        <f>IF(AL279="","",_xll.IMDP("STK",$AL279,"시가총액"))</f>
        <v/>
      </c>
    </row>
    <row r="280" spans="3:43" x14ac:dyDescent="0.25">
      <c r="C280" s="22">
        <v>275</v>
      </c>
      <c r="Y280" s="25" t="s">
        <v>234</v>
      </c>
      <c r="Z280" s="20" t="str">
        <f t="shared" si="12"/>
        <v/>
      </c>
      <c r="AA280" s="21" t="str">
        <f>IF(Z280="","",_xll.IMDP("STK",$Z280,"한글종목명"))</f>
        <v/>
      </c>
      <c r="AB280" s="48" t="str">
        <f>IF(Z280="","",_xll.IMDP("STK",$Z280,"현재가"))</f>
        <v/>
      </c>
      <c r="AC280" s="48" t="str">
        <f>IF(Z280="","",_xll.IMDP("STK",$Z280,"전일대비"))</f>
        <v/>
      </c>
      <c r="AD280" s="49" t="str">
        <f>IF(Z280="","",_xll.IMDP("STK",$Z280,"등락률"))</f>
        <v/>
      </c>
      <c r="AE280" s="48" t="str">
        <f>IF(Z280="","",_xll.IMDP("STK",Z280,"시가총액"))</f>
        <v/>
      </c>
      <c r="AF280" s="20" t="str">
        <f t="shared" si="14"/>
        <v/>
      </c>
      <c r="AG280" s="21" t="str">
        <f>IF(AF280="","",_xll.IMDP("STK",$AF280,"한글종목명"))</f>
        <v/>
      </c>
      <c r="AH280" s="48" t="str">
        <f>IF(AF280="","",_xll.IMDP("STK",$AF280,"현재가"))</f>
        <v/>
      </c>
      <c r="AI280" s="48" t="str">
        <f>IF(AF280="","",_xll.IMDP("STK",$AF280,"전일대비"))</f>
        <v/>
      </c>
      <c r="AJ280" s="49" t="str">
        <f>IF(AF280="","",_xll.IMDP("STK",$AF280,"등락률"))</f>
        <v/>
      </c>
      <c r="AK280" s="48" t="str">
        <f>IF(AF280="","",_xll.IMDP("STK",$AF280,"시가총액"))</f>
        <v/>
      </c>
      <c r="AL280" s="20" t="str">
        <f t="shared" si="13"/>
        <v/>
      </c>
      <c r="AM280" s="21" t="str">
        <f>IF(AL280="","",_xll.IMDP("STK",$AL280,"한글종목명"))</f>
        <v/>
      </c>
      <c r="AN280" s="48" t="str">
        <f>IF(AL280="","",_xll.IMDP("STK",$AL280,"현재가"))</f>
        <v/>
      </c>
      <c r="AO280" s="48" t="str">
        <f>IF(AL280="","",_xll.IMDP("STK",$AL280,"전일대비"))</f>
        <v/>
      </c>
      <c r="AP280" s="49" t="str">
        <f>IF(AL280="","",_xll.IMDP("STK",$AL280,"등락률"))</f>
        <v/>
      </c>
      <c r="AQ280" s="48" t="str">
        <f>IF(AL280="","",_xll.IMDP("STK",$AL280,"시가총액"))</f>
        <v/>
      </c>
    </row>
    <row r="281" spans="3:43" x14ac:dyDescent="0.25">
      <c r="C281" s="22">
        <v>276</v>
      </c>
      <c r="Y281" s="25" t="s">
        <v>596</v>
      </c>
      <c r="Z281" s="20" t="str">
        <f t="shared" si="12"/>
        <v/>
      </c>
      <c r="AA281" s="21" t="str">
        <f>IF(Z281="","",_xll.IMDP("STK",$Z281,"한글종목명"))</f>
        <v/>
      </c>
      <c r="AB281" s="48" t="str">
        <f>IF(Z281="","",_xll.IMDP("STK",$Z281,"현재가"))</f>
        <v/>
      </c>
      <c r="AC281" s="48" t="str">
        <f>IF(Z281="","",_xll.IMDP("STK",$Z281,"전일대비"))</f>
        <v/>
      </c>
      <c r="AD281" s="49" t="str">
        <f>IF(Z281="","",_xll.IMDP("STK",$Z281,"등락률"))</f>
        <v/>
      </c>
      <c r="AE281" s="48" t="str">
        <f>IF(Z281="","",_xll.IMDP("STK",Z281,"시가총액"))</f>
        <v/>
      </c>
      <c r="AF281" s="20" t="str">
        <f t="shared" si="14"/>
        <v/>
      </c>
      <c r="AG281" s="21" t="str">
        <f>IF(AF281="","",_xll.IMDP("STK",$AF281,"한글종목명"))</f>
        <v/>
      </c>
      <c r="AH281" s="48" t="str">
        <f>IF(AF281="","",_xll.IMDP("STK",$AF281,"현재가"))</f>
        <v/>
      </c>
      <c r="AI281" s="48" t="str">
        <f>IF(AF281="","",_xll.IMDP("STK",$AF281,"전일대비"))</f>
        <v/>
      </c>
      <c r="AJ281" s="49" t="str">
        <f>IF(AF281="","",_xll.IMDP("STK",$AF281,"등락률"))</f>
        <v/>
      </c>
      <c r="AK281" s="48" t="str">
        <f>IF(AF281="","",_xll.IMDP("STK",$AF281,"시가총액"))</f>
        <v/>
      </c>
      <c r="AL281" s="20" t="str">
        <f t="shared" si="13"/>
        <v/>
      </c>
      <c r="AM281" s="21" t="str">
        <f>IF(AL281="","",_xll.IMDP("STK",$AL281,"한글종목명"))</f>
        <v/>
      </c>
      <c r="AN281" s="48" t="str">
        <f>IF(AL281="","",_xll.IMDP("STK",$AL281,"현재가"))</f>
        <v/>
      </c>
      <c r="AO281" s="48" t="str">
        <f>IF(AL281="","",_xll.IMDP("STK",$AL281,"전일대비"))</f>
        <v/>
      </c>
      <c r="AP281" s="49" t="str">
        <f>IF(AL281="","",_xll.IMDP("STK",$AL281,"등락률"))</f>
        <v/>
      </c>
      <c r="AQ281" s="48" t="str">
        <f>IF(AL281="","",_xll.IMDP("STK",$AL281,"시가총액"))</f>
        <v/>
      </c>
    </row>
    <row r="282" spans="3:43" x14ac:dyDescent="0.25">
      <c r="C282" s="22">
        <v>277</v>
      </c>
      <c r="Y282" s="25" t="s">
        <v>491</v>
      </c>
      <c r="Z282" s="20" t="str">
        <f t="shared" si="12"/>
        <v/>
      </c>
      <c r="AA282" s="21" t="str">
        <f>IF(Z282="","",_xll.IMDP("STK",$Z282,"한글종목명"))</f>
        <v/>
      </c>
      <c r="AB282" s="48" t="str">
        <f>IF(Z282="","",_xll.IMDP("STK",$Z282,"현재가"))</f>
        <v/>
      </c>
      <c r="AC282" s="48" t="str">
        <f>IF(Z282="","",_xll.IMDP("STK",$Z282,"전일대비"))</f>
        <v/>
      </c>
      <c r="AD282" s="49" t="str">
        <f>IF(Z282="","",_xll.IMDP("STK",$Z282,"등락률"))</f>
        <v/>
      </c>
      <c r="AE282" s="48" t="str">
        <f>IF(Z282="","",_xll.IMDP("STK",Z282,"시가총액"))</f>
        <v/>
      </c>
      <c r="AF282" s="20" t="str">
        <f t="shared" si="14"/>
        <v/>
      </c>
      <c r="AG282" s="21" t="str">
        <f>IF(AF282="","",_xll.IMDP("STK",$AF282,"한글종목명"))</f>
        <v/>
      </c>
      <c r="AH282" s="48" t="str">
        <f>IF(AF282="","",_xll.IMDP("STK",$AF282,"현재가"))</f>
        <v/>
      </c>
      <c r="AI282" s="48" t="str">
        <f>IF(AF282="","",_xll.IMDP("STK",$AF282,"전일대비"))</f>
        <v/>
      </c>
      <c r="AJ282" s="49" t="str">
        <f>IF(AF282="","",_xll.IMDP("STK",$AF282,"등락률"))</f>
        <v/>
      </c>
      <c r="AK282" s="48" t="str">
        <f>IF(AF282="","",_xll.IMDP("STK",$AF282,"시가총액"))</f>
        <v/>
      </c>
      <c r="AL282" s="20" t="str">
        <f t="shared" si="13"/>
        <v/>
      </c>
      <c r="AM282" s="21" t="str">
        <f>IF(AL282="","",_xll.IMDP("STK",$AL282,"한글종목명"))</f>
        <v/>
      </c>
      <c r="AN282" s="48" t="str">
        <f>IF(AL282="","",_xll.IMDP("STK",$AL282,"현재가"))</f>
        <v/>
      </c>
      <c r="AO282" s="48" t="str">
        <f>IF(AL282="","",_xll.IMDP("STK",$AL282,"전일대비"))</f>
        <v/>
      </c>
      <c r="AP282" s="49" t="str">
        <f>IF(AL282="","",_xll.IMDP("STK",$AL282,"등락률"))</f>
        <v/>
      </c>
      <c r="AQ282" s="48" t="str">
        <f>IF(AL282="","",_xll.IMDP("STK",$AL282,"시가총액"))</f>
        <v/>
      </c>
    </row>
    <row r="283" spans="3:43" x14ac:dyDescent="0.25">
      <c r="C283" s="22">
        <v>278</v>
      </c>
      <c r="Y283" s="25" t="s">
        <v>492</v>
      </c>
      <c r="Z283" s="20" t="str">
        <f t="shared" si="12"/>
        <v/>
      </c>
      <c r="AA283" s="21" t="str">
        <f>IF(Z283="","",_xll.IMDP("STK",$Z283,"한글종목명"))</f>
        <v/>
      </c>
      <c r="AB283" s="48" t="str">
        <f>IF(Z283="","",_xll.IMDP("STK",$Z283,"현재가"))</f>
        <v/>
      </c>
      <c r="AC283" s="48" t="str">
        <f>IF(Z283="","",_xll.IMDP("STK",$Z283,"전일대비"))</f>
        <v/>
      </c>
      <c r="AD283" s="49" t="str">
        <f>IF(Z283="","",_xll.IMDP("STK",$Z283,"등락률"))</f>
        <v/>
      </c>
      <c r="AE283" s="48" t="str">
        <f>IF(Z283="","",_xll.IMDP("STK",Z283,"시가총액"))</f>
        <v/>
      </c>
      <c r="AF283" s="20" t="str">
        <f t="shared" si="14"/>
        <v/>
      </c>
      <c r="AG283" s="21" t="str">
        <f>IF(AF283="","",_xll.IMDP("STK",$AF283,"한글종목명"))</f>
        <v/>
      </c>
      <c r="AH283" s="48" t="str">
        <f>IF(AF283="","",_xll.IMDP("STK",$AF283,"현재가"))</f>
        <v/>
      </c>
      <c r="AI283" s="48" t="str">
        <f>IF(AF283="","",_xll.IMDP("STK",$AF283,"전일대비"))</f>
        <v/>
      </c>
      <c r="AJ283" s="49" t="str">
        <f>IF(AF283="","",_xll.IMDP("STK",$AF283,"등락률"))</f>
        <v/>
      </c>
      <c r="AK283" s="48" t="str">
        <f>IF(AF283="","",_xll.IMDP("STK",$AF283,"시가총액"))</f>
        <v/>
      </c>
      <c r="AL283" s="20" t="str">
        <f t="shared" si="13"/>
        <v/>
      </c>
      <c r="AM283" s="21" t="str">
        <f>IF(AL283="","",_xll.IMDP("STK",$AL283,"한글종목명"))</f>
        <v/>
      </c>
      <c r="AN283" s="48" t="str">
        <f>IF(AL283="","",_xll.IMDP("STK",$AL283,"현재가"))</f>
        <v/>
      </c>
      <c r="AO283" s="48" t="str">
        <f>IF(AL283="","",_xll.IMDP("STK",$AL283,"전일대비"))</f>
        <v/>
      </c>
      <c r="AP283" s="49" t="str">
        <f>IF(AL283="","",_xll.IMDP("STK",$AL283,"등락률"))</f>
        <v/>
      </c>
      <c r="AQ283" s="48" t="str">
        <f>IF(AL283="","",_xll.IMDP("STK",$AL283,"시가총액"))</f>
        <v/>
      </c>
    </row>
    <row r="284" spans="3:43" x14ac:dyDescent="0.25">
      <c r="C284" s="22">
        <v>279</v>
      </c>
      <c r="Y284" s="25" t="s">
        <v>493</v>
      </c>
      <c r="Z284" s="20" t="str">
        <f t="shared" si="12"/>
        <v/>
      </c>
      <c r="AA284" s="21" t="str">
        <f>IF(Z284="","",_xll.IMDP("STK",$Z284,"한글종목명"))</f>
        <v/>
      </c>
      <c r="AB284" s="48" t="str">
        <f>IF(Z284="","",_xll.IMDP("STK",$Z284,"현재가"))</f>
        <v/>
      </c>
      <c r="AC284" s="48" t="str">
        <f>IF(Z284="","",_xll.IMDP("STK",$Z284,"전일대비"))</f>
        <v/>
      </c>
      <c r="AD284" s="49" t="str">
        <f>IF(Z284="","",_xll.IMDP("STK",$Z284,"등락률"))</f>
        <v/>
      </c>
      <c r="AE284" s="48" t="str">
        <f>IF(Z284="","",_xll.IMDP("STK",Z284,"시가총액"))</f>
        <v/>
      </c>
      <c r="AF284" s="20" t="str">
        <f t="shared" si="14"/>
        <v/>
      </c>
      <c r="AG284" s="21" t="str">
        <f>IF(AF284="","",_xll.IMDP("STK",$AF284,"한글종목명"))</f>
        <v/>
      </c>
      <c r="AH284" s="48" t="str">
        <f>IF(AF284="","",_xll.IMDP("STK",$AF284,"현재가"))</f>
        <v/>
      </c>
      <c r="AI284" s="48" t="str">
        <f>IF(AF284="","",_xll.IMDP("STK",$AF284,"전일대비"))</f>
        <v/>
      </c>
      <c r="AJ284" s="49" t="str">
        <f>IF(AF284="","",_xll.IMDP("STK",$AF284,"등락률"))</f>
        <v/>
      </c>
      <c r="AK284" s="48" t="str">
        <f>IF(AF284="","",_xll.IMDP("STK",$AF284,"시가총액"))</f>
        <v/>
      </c>
      <c r="AL284" s="20" t="str">
        <f t="shared" si="13"/>
        <v/>
      </c>
      <c r="AM284" s="21" t="str">
        <f>IF(AL284="","",_xll.IMDP("STK",$AL284,"한글종목명"))</f>
        <v/>
      </c>
      <c r="AN284" s="48" t="str">
        <f>IF(AL284="","",_xll.IMDP("STK",$AL284,"현재가"))</f>
        <v/>
      </c>
      <c r="AO284" s="48" t="str">
        <f>IF(AL284="","",_xll.IMDP("STK",$AL284,"전일대비"))</f>
        <v/>
      </c>
      <c r="AP284" s="49" t="str">
        <f>IF(AL284="","",_xll.IMDP("STK",$AL284,"등락률"))</f>
        <v/>
      </c>
      <c r="AQ284" s="48" t="str">
        <f>IF(AL284="","",_xll.IMDP("STK",$AL284,"시가총액"))</f>
        <v/>
      </c>
    </row>
    <row r="285" spans="3:43" x14ac:dyDescent="0.25">
      <c r="C285" s="22">
        <v>280</v>
      </c>
      <c r="Y285" s="25" t="s">
        <v>534</v>
      </c>
      <c r="Z285" s="20" t="str">
        <f t="shared" si="12"/>
        <v/>
      </c>
      <c r="AA285" s="21" t="str">
        <f>IF(Z285="","",_xll.IMDP("STK",$Z285,"한글종목명"))</f>
        <v/>
      </c>
      <c r="AB285" s="48" t="str">
        <f>IF(Z285="","",_xll.IMDP("STK",$Z285,"현재가"))</f>
        <v/>
      </c>
      <c r="AC285" s="48" t="str">
        <f>IF(Z285="","",_xll.IMDP("STK",$Z285,"전일대비"))</f>
        <v/>
      </c>
      <c r="AD285" s="49" t="str">
        <f>IF(Z285="","",_xll.IMDP("STK",$Z285,"등락률"))</f>
        <v/>
      </c>
      <c r="AE285" s="48" t="str">
        <f>IF(Z285="","",_xll.IMDP("STK",Z285,"시가총액"))</f>
        <v/>
      </c>
      <c r="AF285" s="20" t="str">
        <f t="shared" si="14"/>
        <v/>
      </c>
      <c r="AG285" s="21" t="str">
        <f>IF(AF285="","",_xll.IMDP("STK",$AF285,"한글종목명"))</f>
        <v/>
      </c>
      <c r="AH285" s="48" t="str">
        <f>IF(AF285="","",_xll.IMDP("STK",$AF285,"현재가"))</f>
        <v/>
      </c>
      <c r="AI285" s="48" t="str">
        <f>IF(AF285="","",_xll.IMDP("STK",$AF285,"전일대비"))</f>
        <v/>
      </c>
      <c r="AJ285" s="49" t="str">
        <f>IF(AF285="","",_xll.IMDP("STK",$AF285,"등락률"))</f>
        <v/>
      </c>
      <c r="AK285" s="48" t="str">
        <f>IF(AF285="","",_xll.IMDP("STK",$AF285,"시가총액"))</f>
        <v/>
      </c>
      <c r="AL285" s="20" t="str">
        <f t="shared" si="13"/>
        <v/>
      </c>
      <c r="AM285" s="21" t="str">
        <f>IF(AL285="","",_xll.IMDP("STK",$AL285,"한글종목명"))</f>
        <v/>
      </c>
      <c r="AN285" s="48" t="str">
        <f>IF(AL285="","",_xll.IMDP("STK",$AL285,"현재가"))</f>
        <v/>
      </c>
      <c r="AO285" s="48" t="str">
        <f>IF(AL285="","",_xll.IMDP("STK",$AL285,"전일대비"))</f>
        <v/>
      </c>
      <c r="AP285" s="49" t="str">
        <f>IF(AL285="","",_xll.IMDP("STK",$AL285,"등락률"))</f>
        <v/>
      </c>
      <c r="AQ285" s="48" t="str">
        <f>IF(AL285="","",_xll.IMDP("STK",$AL285,"시가총액"))</f>
        <v/>
      </c>
    </row>
    <row r="286" spans="3:43" x14ac:dyDescent="0.25">
      <c r="C286" s="22">
        <v>281</v>
      </c>
      <c r="Y286" s="25" t="s">
        <v>660</v>
      </c>
      <c r="Z286" s="20" t="str">
        <f t="shared" si="12"/>
        <v/>
      </c>
      <c r="AA286" s="21" t="str">
        <f>IF(Z286="","",_xll.IMDP("STK",$Z286,"한글종목명"))</f>
        <v/>
      </c>
      <c r="AB286" s="48" t="str">
        <f>IF(Z286="","",_xll.IMDP("STK",$Z286,"현재가"))</f>
        <v/>
      </c>
      <c r="AC286" s="48" t="str">
        <f>IF(Z286="","",_xll.IMDP("STK",$Z286,"전일대비"))</f>
        <v/>
      </c>
      <c r="AD286" s="49" t="str">
        <f>IF(Z286="","",_xll.IMDP("STK",$Z286,"등락률"))</f>
        <v/>
      </c>
      <c r="AE286" s="48" t="str">
        <f>IF(Z286="","",_xll.IMDP("STK",Z286,"시가총액"))</f>
        <v/>
      </c>
      <c r="AF286" s="20" t="str">
        <f t="shared" si="14"/>
        <v/>
      </c>
      <c r="AG286" s="21" t="str">
        <f>IF(AF286="","",_xll.IMDP("STK",$AF286,"한글종목명"))</f>
        <v/>
      </c>
      <c r="AH286" s="48" t="str">
        <f>IF(AF286="","",_xll.IMDP("STK",$AF286,"현재가"))</f>
        <v/>
      </c>
      <c r="AI286" s="48" t="str">
        <f>IF(AF286="","",_xll.IMDP("STK",$AF286,"전일대비"))</f>
        <v/>
      </c>
      <c r="AJ286" s="49" t="str">
        <f>IF(AF286="","",_xll.IMDP("STK",$AF286,"등락률"))</f>
        <v/>
      </c>
      <c r="AK286" s="48" t="str">
        <f>IF(AF286="","",_xll.IMDP("STK",$AF286,"시가총액"))</f>
        <v/>
      </c>
      <c r="AL286" s="20" t="str">
        <f t="shared" si="13"/>
        <v/>
      </c>
      <c r="AM286" s="21" t="str">
        <f>IF(AL286="","",_xll.IMDP("STK",$AL286,"한글종목명"))</f>
        <v/>
      </c>
      <c r="AN286" s="48" t="str">
        <f>IF(AL286="","",_xll.IMDP("STK",$AL286,"현재가"))</f>
        <v/>
      </c>
      <c r="AO286" s="48" t="str">
        <f>IF(AL286="","",_xll.IMDP("STK",$AL286,"전일대비"))</f>
        <v/>
      </c>
      <c r="AP286" s="49" t="str">
        <f>IF(AL286="","",_xll.IMDP("STK",$AL286,"등락률"))</f>
        <v/>
      </c>
      <c r="AQ286" s="48" t="str">
        <f>IF(AL286="","",_xll.IMDP("STK",$AL286,"시가총액"))</f>
        <v/>
      </c>
    </row>
    <row r="287" spans="3:43" x14ac:dyDescent="0.25">
      <c r="C287" s="22">
        <v>282</v>
      </c>
      <c r="Y287" s="25" t="s">
        <v>661</v>
      </c>
      <c r="Z287" s="20" t="str">
        <f t="shared" si="12"/>
        <v/>
      </c>
      <c r="AA287" s="21" t="str">
        <f>IF(Z287="","",_xll.IMDP("STK",$Z287,"한글종목명"))</f>
        <v/>
      </c>
      <c r="AB287" s="48" t="str">
        <f>IF(Z287="","",_xll.IMDP("STK",$Z287,"현재가"))</f>
        <v/>
      </c>
      <c r="AC287" s="48" t="str">
        <f>IF(Z287="","",_xll.IMDP("STK",$Z287,"전일대비"))</f>
        <v/>
      </c>
      <c r="AD287" s="49" t="str">
        <f>IF(Z287="","",_xll.IMDP("STK",$Z287,"등락률"))</f>
        <v/>
      </c>
      <c r="AE287" s="48" t="str">
        <f>IF(Z287="","",_xll.IMDP("STK",Z287,"시가총액"))</f>
        <v/>
      </c>
      <c r="AF287" s="20" t="str">
        <f t="shared" si="14"/>
        <v/>
      </c>
      <c r="AG287" s="21" t="str">
        <f>IF(AF287="","",_xll.IMDP("STK",$AF287,"한글종목명"))</f>
        <v/>
      </c>
      <c r="AH287" s="48" t="str">
        <f>IF(AF287="","",_xll.IMDP("STK",$AF287,"현재가"))</f>
        <v/>
      </c>
      <c r="AI287" s="48" t="str">
        <f>IF(AF287="","",_xll.IMDP("STK",$AF287,"전일대비"))</f>
        <v/>
      </c>
      <c r="AJ287" s="49" t="str">
        <f>IF(AF287="","",_xll.IMDP("STK",$AF287,"등락률"))</f>
        <v/>
      </c>
      <c r="AK287" s="48" t="str">
        <f>IF(AF287="","",_xll.IMDP("STK",$AF287,"시가총액"))</f>
        <v/>
      </c>
      <c r="AL287" s="20" t="str">
        <f t="shared" si="13"/>
        <v/>
      </c>
      <c r="AM287" s="21" t="str">
        <f>IF(AL287="","",_xll.IMDP("STK",$AL287,"한글종목명"))</f>
        <v/>
      </c>
      <c r="AN287" s="48" t="str">
        <f>IF(AL287="","",_xll.IMDP("STK",$AL287,"현재가"))</f>
        <v/>
      </c>
      <c r="AO287" s="48" t="str">
        <f>IF(AL287="","",_xll.IMDP("STK",$AL287,"전일대비"))</f>
        <v/>
      </c>
      <c r="AP287" s="49" t="str">
        <f>IF(AL287="","",_xll.IMDP("STK",$AL287,"등락률"))</f>
        <v/>
      </c>
      <c r="AQ287" s="48" t="str">
        <f>IF(AL287="","",_xll.IMDP("STK",$AL287,"시가총액"))</f>
        <v/>
      </c>
    </row>
    <row r="288" spans="3:43" x14ac:dyDescent="0.25">
      <c r="C288" s="22">
        <v>283</v>
      </c>
      <c r="Y288" s="25" t="s">
        <v>662</v>
      </c>
      <c r="Z288" s="20" t="str">
        <f t="shared" si="12"/>
        <v/>
      </c>
      <c r="AA288" s="21" t="str">
        <f>IF(Z288="","",_xll.IMDP("STK",$Z288,"한글종목명"))</f>
        <v/>
      </c>
      <c r="AB288" s="48" t="str">
        <f>IF(Z288="","",_xll.IMDP("STK",$Z288,"현재가"))</f>
        <v/>
      </c>
      <c r="AC288" s="48" t="str">
        <f>IF(Z288="","",_xll.IMDP("STK",$Z288,"전일대비"))</f>
        <v/>
      </c>
      <c r="AD288" s="49" t="str">
        <f>IF(Z288="","",_xll.IMDP("STK",$Z288,"등락률"))</f>
        <v/>
      </c>
      <c r="AE288" s="48" t="str">
        <f>IF(Z288="","",_xll.IMDP("STK",Z288,"시가총액"))</f>
        <v/>
      </c>
      <c r="AF288" s="20" t="str">
        <f t="shared" si="14"/>
        <v/>
      </c>
      <c r="AG288" s="21" t="str">
        <f>IF(AF288="","",_xll.IMDP("STK",$AF288,"한글종목명"))</f>
        <v/>
      </c>
      <c r="AH288" s="48" t="str">
        <f>IF(AF288="","",_xll.IMDP("STK",$AF288,"현재가"))</f>
        <v/>
      </c>
      <c r="AI288" s="48" t="str">
        <f>IF(AF288="","",_xll.IMDP("STK",$AF288,"전일대비"))</f>
        <v/>
      </c>
      <c r="AJ288" s="49" t="str">
        <f>IF(AF288="","",_xll.IMDP("STK",$AF288,"등락률"))</f>
        <v/>
      </c>
      <c r="AK288" s="48" t="str">
        <f>IF(AF288="","",_xll.IMDP("STK",$AF288,"시가총액"))</f>
        <v/>
      </c>
      <c r="AL288" s="20" t="str">
        <f t="shared" si="13"/>
        <v/>
      </c>
      <c r="AM288" s="21" t="str">
        <f>IF(AL288="","",_xll.IMDP("STK",$AL288,"한글종목명"))</f>
        <v/>
      </c>
      <c r="AN288" s="48" t="str">
        <f>IF(AL288="","",_xll.IMDP("STK",$AL288,"현재가"))</f>
        <v/>
      </c>
      <c r="AO288" s="48" t="str">
        <f>IF(AL288="","",_xll.IMDP("STK",$AL288,"전일대비"))</f>
        <v/>
      </c>
      <c r="AP288" s="49" t="str">
        <f>IF(AL288="","",_xll.IMDP("STK",$AL288,"등락률"))</f>
        <v/>
      </c>
      <c r="AQ288" s="48" t="str">
        <f>IF(AL288="","",_xll.IMDP("STK",$AL288,"시가총액"))</f>
        <v/>
      </c>
    </row>
    <row r="289" spans="3:43" x14ac:dyDescent="0.25">
      <c r="C289" s="22">
        <v>284</v>
      </c>
      <c r="Y289" s="25" t="s">
        <v>369</v>
      </c>
      <c r="Z289" s="20" t="str">
        <f t="shared" si="12"/>
        <v/>
      </c>
      <c r="AA289" s="21" t="str">
        <f>IF(Z289="","",_xll.IMDP("STK",$Z289,"한글종목명"))</f>
        <v/>
      </c>
      <c r="AB289" s="48" t="str">
        <f>IF(Z289="","",_xll.IMDP("STK",$Z289,"현재가"))</f>
        <v/>
      </c>
      <c r="AC289" s="48" t="str">
        <f>IF(Z289="","",_xll.IMDP("STK",$Z289,"전일대비"))</f>
        <v/>
      </c>
      <c r="AD289" s="49" t="str">
        <f>IF(Z289="","",_xll.IMDP("STK",$Z289,"등락률"))</f>
        <v/>
      </c>
      <c r="AE289" s="48" t="str">
        <f>IF(Z289="","",_xll.IMDP("STK",Z289,"시가총액"))</f>
        <v/>
      </c>
      <c r="AF289" s="20" t="str">
        <f t="shared" si="14"/>
        <v/>
      </c>
      <c r="AG289" s="21" t="str">
        <f>IF(AF289="","",_xll.IMDP("STK",$AF289,"한글종목명"))</f>
        <v/>
      </c>
      <c r="AH289" s="48" t="str">
        <f>IF(AF289="","",_xll.IMDP("STK",$AF289,"현재가"))</f>
        <v/>
      </c>
      <c r="AI289" s="48" t="str">
        <f>IF(AF289="","",_xll.IMDP("STK",$AF289,"전일대비"))</f>
        <v/>
      </c>
      <c r="AJ289" s="49" t="str">
        <f>IF(AF289="","",_xll.IMDP("STK",$AF289,"등락률"))</f>
        <v/>
      </c>
      <c r="AK289" s="48" t="str">
        <f>IF(AF289="","",_xll.IMDP("STK",$AF289,"시가총액"))</f>
        <v/>
      </c>
      <c r="AL289" s="20" t="str">
        <f t="shared" si="13"/>
        <v/>
      </c>
      <c r="AM289" s="21" t="str">
        <f>IF(AL289="","",_xll.IMDP("STK",$AL289,"한글종목명"))</f>
        <v/>
      </c>
      <c r="AN289" s="48" t="str">
        <f>IF(AL289="","",_xll.IMDP("STK",$AL289,"현재가"))</f>
        <v/>
      </c>
      <c r="AO289" s="48" t="str">
        <f>IF(AL289="","",_xll.IMDP("STK",$AL289,"전일대비"))</f>
        <v/>
      </c>
      <c r="AP289" s="49" t="str">
        <f>IF(AL289="","",_xll.IMDP("STK",$AL289,"등락률"))</f>
        <v/>
      </c>
      <c r="AQ289" s="48" t="str">
        <f>IF(AL289="","",_xll.IMDP("STK",$AL289,"시가총액"))</f>
        <v/>
      </c>
    </row>
    <row r="290" spans="3:43" x14ac:dyDescent="0.25">
      <c r="C290" s="22">
        <v>285</v>
      </c>
      <c r="Y290" s="25" t="s">
        <v>535</v>
      </c>
      <c r="Z290" s="20" t="str">
        <f t="shared" si="12"/>
        <v/>
      </c>
      <c r="AA290" s="21" t="str">
        <f>IF(Z290="","",_xll.IMDP("STK",$Z290,"한글종목명"))</f>
        <v/>
      </c>
      <c r="AB290" s="48" t="str">
        <f>IF(Z290="","",_xll.IMDP("STK",$Z290,"현재가"))</f>
        <v/>
      </c>
      <c r="AC290" s="48" t="str">
        <f>IF(Z290="","",_xll.IMDP("STK",$Z290,"전일대비"))</f>
        <v/>
      </c>
      <c r="AD290" s="49" t="str">
        <f>IF(Z290="","",_xll.IMDP("STK",$Z290,"등락률"))</f>
        <v/>
      </c>
      <c r="AE290" s="48" t="str">
        <f>IF(Z290="","",_xll.IMDP("STK",Z290,"시가총액"))</f>
        <v/>
      </c>
      <c r="AF290" s="20" t="str">
        <f t="shared" si="14"/>
        <v/>
      </c>
      <c r="AG290" s="21" t="str">
        <f>IF(AF290="","",_xll.IMDP("STK",$AF290,"한글종목명"))</f>
        <v/>
      </c>
      <c r="AH290" s="48" t="str">
        <f>IF(AF290="","",_xll.IMDP("STK",$AF290,"현재가"))</f>
        <v/>
      </c>
      <c r="AI290" s="48" t="str">
        <f>IF(AF290="","",_xll.IMDP("STK",$AF290,"전일대비"))</f>
        <v/>
      </c>
      <c r="AJ290" s="49" t="str">
        <f>IF(AF290="","",_xll.IMDP("STK",$AF290,"등락률"))</f>
        <v/>
      </c>
      <c r="AK290" s="48" t="str">
        <f>IF(AF290="","",_xll.IMDP("STK",$AF290,"시가총액"))</f>
        <v/>
      </c>
      <c r="AL290" s="20" t="str">
        <f t="shared" si="13"/>
        <v/>
      </c>
      <c r="AM290" s="21" t="str">
        <f>IF(AL290="","",_xll.IMDP("STK",$AL290,"한글종목명"))</f>
        <v/>
      </c>
      <c r="AN290" s="48" t="str">
        <f>IF(AL290="","",_xll.IMDP("STK",$AL290,"현재가"))</f>
        <v/>
      </c>
      <c r="AO290" s="48" t="str">
        <f>IF(AL290="","",_xll.IMDP("STK",$AL290,"전일대비"))</f>
        <v/>
      </c>
      <c r="AP290" s="49" t="str">
        <f>IF(AL290="","",_xll.IMDP("STK",$AL290,"등락률"))</f>
        <v/>
      </c>
      <c r="AQ290" s="48" t="str">
        <f>IF(AL290="","",_xll.IMDP("STK",$AL290,"시가총액"))</f>
        <v/>
      </c>
    </row>
    <row r="291" spans="3:43" x14ac:dyDescent="0.25">
      <c r="C291" s="22">
        <v>286</v>
      </c>
      <c r="Y291" s="25" t="s">
        <v>403</v>
      </c>
      <c r="Z291" s="20" t="str">
        <f t="shared" si="12"/>
        <v/>
      </c>
      <c r="AA291" s="21" t="str">
        <f>IF(Z291="","",_xll.IMDP("STK",$Z291,"한글종목명"))</f>
        <v/>
      </c>
      <c r="AB291" s="48" t="str">
        <f>IF(Z291="","",_xll.IMDP("STK",$Z291,"현재가"))</f>
        <v/>
      </c>
      <c r="AC291" s="48" t="str">
        <f>IF(Z291="","",_xll.IMDP("STK",$Z291,"전일대비"))</f>
        <v/>
      </c>
      <c r="AD291" s="49" t="str">
        <f>IF(Z291="","",_xll.IMDP("STK",$Z291,"등락률"))</f>
        <v/>
      </c>
      <c r="AE291" s="48" t="str">
        <f>IF(Z291="","",_xll.IMDP("STK",Z291,"시가총액"))</f>
        <v/>
      </c>
      <c r="AF291" s="20" t="str">
        <f t="shared" si="14"/>
        <v/>
      </c>
      <c r="AG291" s="21" t="str">
        <f>IF(AF291="","",_xll.IMDP("STK",$AF291,"한글종목명"))</f>
        <v/>
      </c>
      <c r="AH291" s="48" t="str">
        <f>IF(AF291="","",_xll.IMDP("STK",$AF291,"현재가"))</f>
        <v/>
      </c>
      <c r="AI291" s="48" t="str">
        <f>IF(AF291="","",_xll.IMDP("STK",$AF291,"전일대비"))</f>
        <v/>
      </c>
      <c r="AJ291" s="49" t="str">
        <f>IF(AF291="","",_xll.IMDP("STK",$AF291,"등락률"))</f>
        <v/>
      </c>
      <c r="AK291" s="48" t="str">
        <f>IF(AF291="","",_xll.IMDP("STK",$AF291,"시가총액"))</f>
        <v/>
      </c>
      <c r="AL291" s="20" t="str">
        <f t="shared" si="13"/>
        <v/>
      </c>
      <c r="AM291" s="21" t="str">
        <f>IF(AL291="","",_xll.IMDP("STK",$AL291,"한글종목명"))</f>
        <v/>
      </c>
      <c r="AN291" s="48" t="str">
        <f>IF(AL291="","",_xll.IMDP("STK",$AL291,"현재가"))</f>
        <v/>
      </c>
      <c r="AO291" s="48" t="str">
        <f>IF(AL291="","",_xll.IMDP("STK",$AL291,"전일대비"))</f>
        <v/>
      </c>
      <c r="AP291" s="49" t="str">
        <f>IF(AL291="","",_xll.IMDP("STK",$AL291,"등락률"))</f>
        <v/>
      </c>
      <c r="AQ291" s="48" t="str">
        <f>IF(AL291="","",_xll.IMDP("STK",$AL291,"시가총액"))</f>
        <v/>
      </c>
    </row>
    <row r="292" spans="3:43" x14ac:dyDescent="0.25">
      <c r="C292" s="22">
        <v>287</v>
      </c>
      <c r="Y292" s="25" t="s">
        <v>312</v>
      </c>
      <c r="Z292" s="20" t="str">
        <f t="shared" si="12"/>
        <v/>
      </c>
      <c r="AA292" s="21" t="str">
        <f>IF(Z292="","",_xll.IMDP("STK",$Z292,"한글종목명"))</f>
        <v/>
      </c>
      <c r="AB292" s="48" t="str">
        <f>IF(Z292="","",_xll.IMDP("STK",$Z292,"현재가"))</f>
        <v/>
      </c>
      <c r="AC292" s="48" t="str">
        <f>IF(Z292="","",_xll.IMDP("STK",$Z292,"전일대비"))</f>
        <v/>
      </c>
      <c r="AD292" s="49" t="str">
        <f>IF(Z292="","",_xll.IMDP("STK",$Z292,"등락률"))</f>
        <v/>
      </c>
      <c r="AE292" s="48" t="str">
        <f>IF(Z292="","",_xll.IMDP("STK",Z292,"시가총액"))</f>
        <v/>
      </c>
      <c r="AF292" s="20" t="str">
        <f t="shared" si="14"/>
        <v/>
      </c>
      <c r="AG292" s="21" t="str">
        <f>IF(AF292="","",_xll.IMDP("STK",$AF292,"한글종목명"))</f>
        <v/>
      </c>
      <c r="AH292" s="48" t="str">
        <f>IF(AF292="","",_xll.IMDP("STK",$AF292,"현재가"))</f>
        <v/>
      </c>
      <c r="AI292" s="48" t="str">
        <f>IF(AF292="","",_xll.IMDP("STK",$AF292,"전일대비"))</f>
        <v/>
      </c>
      <c r="AJ292" s="49" t="str">
        <f>IF(AF292="","",_xll.IMDP("STK",$AF292,"등락률"))</f>
        <v/>
      </c>
      <c r="AK292" s="48" t="str">
        <f>IF(AF292="","",_xll.IMDP("STK",$AF292,"시가총액"))</f>
        <v/>
      </c>
      <c r="AL292" s="20" t="str">
        <f t="shared" si="13"/>
        <v/>
      </c>
      <c r="AM292" s="21" t="str">
        <f>IF(AL292="","",_xll.IMDP("STK",$AL292,"한글종목명"))</f>
        <v/>
      </c>
      <c r="AN292" s="48" t="str">
        <f>IF(AL292="","",_xll.IMDP("STK",$AL292,"현재가"))</f>
        <v/>
      </c>
      <c r="AO292" s="48" t="str">
        <f>IF(AL292="","",_xll.IMDP("STK",$AL292,"전일대비"))</f>
        <v/>
      </c>
      <c r="AP292" s="49" t="str">
        <f>IF(AL292="","",_xll.IMDP("STK",$AL292,"등락률"))</f>
        <v/>
      </c>
      <c r="AQ292" s="48" t="str">
        <f>IF(AL292="","",_xll.IMDP("STK",$AL292,"시가총액"))</f>
        <v/>
      </c>
    </row>
    <row r="293" spans="3:43" x14ac:dyDescent="0.25">
      <c r="C293" s="22">
        <v>288</v>
      </c>
      <c r="Y293" s="25" t="s">
        <v>536</v>
      </c>
      <c r="Z293" s="20" t="str">
        <f t="shared" si="12"/>
        <v/>
      </c>
      <c r="AA293" s="21" t="str">
        <f>IF(Z293="","",_xll.IMDP("STK",$Z293,"한글종목명"))</f>
        <v/>
      </c>
      <c r="AB293" s="48" t="str">
        <f>IF(Z293="","",_xll.IMDP("STK",$Z293,"현재가"))</f>
        <v/>
      </c>
      <c r="AC293" s="48" t="str">
        <f>IF(Z293="","",_xll.IMDP("STK",$Z293,"전일대비"))</f>
        <v/>
      </c>
      <c r="AD293" s="49" t="str">
        <f>IF(Z293="","",_xll.IMDP("STK",$Z293,"등락률"))</f>
        <v/>
      </c>
      <c r="AE293" s="48" t="str">
        <f>IF(Z293="","",_xll.IMDP("STK",Z293,"시가총액"))</f>
        <v/>
      </c>
      <c r="AF293" s="20" t="str">
        <f t="shared" si="14"/>
        <v/>
      </c>
      <c r="AG293" s="21" t="str">
        <f>IF(AF293="","",_xll.IMDP("STK",$AF293,"한글종목명"))</f>
        <v/>
      </c>
      <c r="AH293" s="48" t="str">
        <f>IF(AF293="","",_xll.IMDP("STK",$AF293,"현재가"))</f>
        <v/>
      </c>
      <c r="AI293" s="48" t="str">
        <f>IF(AF293="","",_xll.IMDP("STK",$AF293,"전일대비"))</f>
        <v/>
      </c>
      <c r="AJ293" s="49" t="str">
        <f>IF(AF293="","",_xll.IMDP("STK",$AF293,"등락률"))</f>
        <v/>
      </c>
      <c r="AK293" s="48" t="str">
        <f>IF(AF293="","",_xll.IMDP("STK",$AF293,"시가총액"))</f>
        <v/>
      </c>
      <c r="AL293" s="20" t="str">
        <f t="shared" si="13"/>
        <v/>
      </c>
      <c r="AM293" s="21" t="str">
        <f>IF(AL293="","",_xll.IMDP("STK",$AL293,"한글종목명"))</f>
        <v/>
      </c>
      <c r="AN293" s="48" t="str">
        <f>IF(AL293="","",_xll.IMDP("STK",$AL293,"현재가"))</f>
        <v/>
      </c>
      <c r="AO293" s="48" t="str">
        <f>IF(AL293="","",_xll.IMDP("STK",$AL293,"전일대비"))</f>
        <v/>
      </c>
      <c r="AP293" s="49" t="str">
        <f>IF(AL293="","",_xll.IMDP("STK",$AL293,"등락률"))</f>
        <v/>
      </c>
      <c r="AQ293" s="48" t="str">
        <f>IF(AL293="","",_xll.IMDP("STK",$AL293,"시가총액"))</f>
        <v/>
      </c>
    </row>
    <row r="294" spans="3:43" x14ac:dyDescent="0.25">
      <c r="C294" s="22">
        <v>289</v>
      </c>
      <c r="Y294" s="25" t="s">
        <v>370</v>
      </c>
      <c r="Z294" s="20" t="str">
        <f t="shared" si="12"/>
        <v/>
      </c>
      <c r="AA294" s="21" t="str">
        <f>IF(Z294="","",_xll.IMDP("STK",$Z294,"한글종목명"))</f>
        <v/>
      </c>
      <c r="AB294" s="48" t="str">
        <f>IF(Z294="","",_xll.IMDP("STK",$Z294,"현재가"))</f>
        <v/>
      </c>
      <c r="AC294" s="48" t="str">
        <f>IF(Z294="","",_xll.IMDP("STK",$Z294,"전일대비"))</f>
        <v/>
      </c>
      <c r="AD294" s="49" t="str">
        <f>IF(Z294="","",_xll.IMDP("STK",$Z294,"등락률"))</f>
        <v/>
      </c>
      <c r="AE294" s="48" t="str">
        <f>IF(Z294="","",_xll.IMDP("STK",Z294,"시가총액"))</f>
        <v/>
      </c>
      <c r="AF294" s="20" t="str">
        <f t="shared" si="14"/>
        <v/>
      </c>
      <c r="AG294" s="21" t="str">
        <f>IF(AF294="","",_xll.IMDP("STK",$AF294,"한글종목명"))</f>
        <v/>
      </c>
      <c r="AH294" s="48" t="str">
        <f>IF(AF294="","",_xll.IMDP("STK",$AF294,"현재가"))</f>
        <v/>
      </c>
      <c r="AI294" s="48" t="str">
        <f>IF(AF294="","",_xll.IMDP("STK",$AF294,"전일대비"))</f>
        <v/>
      </c>
      <c r="AJ294" s="49" t="str">
        <f>IF(AF294="","",_xll.IMDP("STK",$AF294,"등락률"))</f>
        <v/>
      </c>
      <c r="AK294" s="48" t="str">
        <f>IF(AF294="","",_xll.IMDP("STK",$AF294,"시가총액"))</f>
        <v/>
      </c>
      <c r="AL294" s="20" t="str">
        <f t="shared" si="13"/>
        <v/>
      </c>
      <c r="AM294" s="21" t="str">
        <f>IF(AL294="","",_xll.IMDP("STK",$AL294,"한글종목명"))</f>
        <v/>
      </c>
      <c r="AN294" s="48" t="str">
        <f>IF(AL294="","",_xll.IMDP("STK",$AL294,"현재가"))</f>
        <v/>
      </c>
      <c r="AO294" s="48" t="str">
        <f>IF(AL294="","",_xll.IMDP("STK",$AL294,"전일대비"))</f>
        <v/>
      </c>
      <c r="AP294" s="49" t="str">
        <f>IF(AL294="","",_xll.IMDP("STK",$AL294,"등락률"))</f>
        <v/>
      </c>
      <c r="AQ294" s="48" t="str">
        <f>IF(AL294="","",_xll.IMDP("STK",$AL294,"시가총액"))</f>
        <v/>
      </c>
    </row>
    <row r="295" spans="3:43" x14ac:dyDescent="0.25">
      <c r="C295" s="22">
        <v>290</v>
      </c>
      <c r="Y295" s="25" t="s">
        <v>1065</v>
      </c>
      <c r="Z295" s="20" t="str">
        <f t="shared" si="12"/>
        <v/>
      </c>
      <c r="AA295" s="21" t="str">
        <f>IF(Z295="","",_xll.IMDP("STK",$Z295,"한글종목명"))</f>
        <v/>
      </c>
      <c r="AB295" s="48" t="str">
        <f>IF(Z295="","",_xll.IMDP("STK",$Z295,"현재가"))</f>
        <v/>
      </c>
      <c r="AC295" s="48" t="str">
        <f>IF(Z295="","",_xll.IMDP("STK",$Z295,"전일대비"))</f>
        <v/>
      </c>
      <c r="AD295" s="49" t="str">
        <f>IF(Z295="","",_xll.IMDP("STK",$Z295,"등락률"))</f>
        <v/>
      </c>
      <c r="AE295" s="48" t="str">
        <f>IF(Z295="","",_xll.IMDP("STK",Z295,"시가총액"))</f>
        <v/>
      </c>
      <c r="AF295" s="20" t="str">
        <f t="shared" si="14"/>
        <v/>
      </c>
      <c r="AG295" s="21" t="str">
        <f>IF(AF295="","",_xll.IMDP("STK",$AF295,"한글종목명"))</f>
        <v/>
      </c>
      <c r="AH295" s="48" t="str">
        <f>IF(AF295="","",_xll.IMDP("STK",$AF295,"현재가"))</f>
        <v/>
      </c>
      <c r="AI295" s="48" t="str">
        <f>IF(AF295="","",_xll.IMDP("STK",$AF295,"전일대비"))</f>
        <v/>
      </c>
      <c r="AJ295" s="49" t="str">
        <f>IF(AF295="","",_xll.IMDP("STK",$AF295,"등락률"))</f>
        <v/>
      </c>
      <c r="AK295" s="48" t="str">
        <f>IF(AF295="","",_xll.IMDP("STK",$AF295,"시가총액"))</f>
        <v/>
      </c>
      <c r="AL295" s="20" t="str">
        <f t="shared" si="13"/>
        <v/>
      </c>
      <c r="AM295" s="21" t="str">
        <f>IF(AL295="","",_xll.IMDP("STK",$AL295,"한글종목명"))</f>
        <v/>
      </c>
      <c r="AN295" s="48" t="str">
        <f>IF(AL295="","",_xll.IMDP("STK",$AL295,"현재가"))</f>
        <v/>
      </c>
      <c r="AO295" s="48" t="str">
        <f>IF(AL295="","",_xll.IMDP("STK",$AL295,"전일대비"))</f>
        <v/>
      </c>
      <c r="AP295" s="49" t="str">
        <f>IF(AL295="","",_xll.IMDP("STK",$AL295,"등락률"))</f>
        <v/>
      </c>
      <c r="AQ295" s="48" t="str">
        <f>IF(AL295="","",_xll.IMDP("STK",$AL295,"시가총액"))</f>
        <v/>
      </c>
    </row>
    <row r="296" spans="3:43" x14ac:dyDescent="0.25">
      <c r="C296" s="22">
        <v>291</v>
      </c>
      <c r="Y296" s="25" t="s">
        <v>371</v>
      </c>
      <c r="Z296" s="20" t="str">
        <f t="shared" si="12"/>
        <v/>
      </c>
      <c r="AA296" s="21" t="str">
        <f>IF(Z296="","",_xll.IMDP("STK",$Z296,"한글종목명"))</f>
        <v/>
      </c>
      <c r="AB296" s="48" t="str">
        <f>IF(Z296="","",_xll.IMDP("STK",$Z296,"현재가"))</f>
        <v/>
      </c>
      <c r="AC296" s="48" t="str">
        <f>IF(Z296="","",_xll.IMDP("STK",$Z296,"전일대비"))</f>
        <v/>
      </c>
      <c r="AD296" s="49" t="str">
        <f>IF(Z296="","",_xll.IMDP("STK",$Z296,"등락률"))</f>
        <v/>
      </c>
      <c r="AE296" s="48" t="str">
        <f>IF(Z296="","",_xll.IMDP("STK",Z296,"시가총액"))</f>
        <v/>
      </c>
      <c r="AF296" s="20" t="str">
        <f t="shared" si="14"/>
        <v/>
      </c>
      <c r="AG296" s="21" t="str">
        <f>IF(AF296="","",_xll.IMDP("STK",$AF296,"한글종목명"))</f>
        <v/>
      </c>
      <c r="AH296" s="48" t="str">
        <f>IF(AF296="","",_xll.IMDP("STK",$AF296,"현재가"))</f>
        <v/>
      </c>
      <c r="AI296" s="48" t="str">
        <f>IF(AF296="","",_xll.IMDP("STK",$AF296,"전일대비"))</f>
        <v/>
      </c>
      <c r="AJ296" s="49" t="str">
        <f>IF(AF296="","",_xll.IMDP("STK",$AF296,"등락률"))</f>
        <v/>
      </c>
      <c r="AK296" s="48" t="str">
        <f>IF(AF296="","",_xll.IMDP("STK",$AF296,"시가총액"))</f>
        <v/>
      </c>
      <c r="AL296" s="20" t="str">
        <f t="shared" si="13"/>
        <v/>
      </c>
      <c r="AM296" s="21" t="str">
        <f>IF(AL296="","",_xll.IMDP("STK",$AL296,"한글종목명"))</f>
        <v/>
      </c>
      <c r="AN296" s="48" t="str">
        <f>IF(AL296="","",_xll.IMDP("STK",$AL296,"현재가"))</f>
        <v/>
      </c>
      <c r="AO296" s="48" t="str">
        <f>IF(AL296="","",_xll.IMDP("STK",$AL296,"전일대비"))</f>
        <v/>
      </c>
      <c r="AP296" s="49" t="str">
        <f>IF(AL296="","",_xll.IMDP("STK",$AL296,"등락률"))</f>
        <v/>
      </c>
      <c r="AQ296" s="48" t="str">
        <f>IF(AL296="","",_xll.IMDP("STK",$AL296,"시가총액"))</f>
        <v/>
      </c>
    </row>
    <row r="297" spans="3:43" x14ac:dyDescent="0.25">
      <c r="C297" s="22">
        <v>292</v>
      </c>
      <c r="Y297" s="25" t="s">
        <v>597</v>
      </c>
      <c r="Z297" s="20" t="str">
        <f t="shared" si="12"/>
        <v/>
      </c>
      <c r="AA297" s="21" t="str">
        <f>IF(Z297="","",_xll.IMDP("STK",$Z297,"한글종목명"))</f>
        <v/>
      </c>
      <c r="AB297" s="48" t="str">
        <f>IF(Z297="","",_xll.IMDP("STK",$Z297,"현재가"))</f>
        <v/>
      </c>
      <c r="AC297" s="48" t="str">
        <f>IF(Z297="","",_xll.IMDP("STK",$Z297,"전일대비"))</f>
        <v/>
      </c>
      <c r="AD297" s="49" t="str">
        <f>IF(Z297="","",_xll.IMDP("STK",$Z297,"등락률"))</f>
        <v/>
      </c>
      <c r="AE297" s="48" t="str">
        <f>IF(Z297="","",_xll.IMDP("STK",Z297,"시가총액"))</f>
        <v/>
      </c>
      <c r="AF297" s="20" t="str">
        <f t="shared" si="14"/>
        <v/>
      </c>
      <c r="AG297" s="21" t="str">
        <f>IF(AF297="","",_xll.IMDP("STK",$AF297,"한글종목명"))</f>
        <v/>
      </c>
      <c r="AH297" s="48" t="str">
        <f>IF(AF297="","",_xll.IMDP("STK",$AF297,"현재가"))</f>
        <v/>
      </c>
      <c r="AI297" s="48" t="str">
        <f>IF(AF297="","",_xll.IMDP("STK",$AF297,"전일대비"))</f>
        <v/>
      </c>
      <c r="AJ297" s="49" t="str">
        <f>IF(AF297="","",_xll.IMDP("STK",$AF297,"등락률"))</f>
        <v/>
      </c>
      <c r="AK297" s="48" t="str">
        <f>IF(AF297="","",_xll.IMDP("STK",$AF297,"시가총액"))</f>
        <v/>
      </c>
      <c r="AL297" s="20" t="str">
        <f t="shared" si="13"/>
        <v/>
      </c>
      <c r="AM297" s="21" t="str">
        <f>IF(AL297="","",_xll.IMDP("STK",$AL297,"한글종목명"))</f>
        <v/>
      </c>
      <c r="AN297" s="48" t="str">
        <f>IF(AL297="","",_xll.IMDP("STK",$AL297,"현재가"))</f>
        <v/>
      </c>
      <c r="AO297" s="48" t="str">
        <f>IF(AL297="","",_xll.IMDP("STK",$AL297,"전일대비"))</f>
        <v/>
      </c>
      <c r="AP297" s="49" t="str">
        <f>IF(AL297="","",_xll.IMDP("STK",$AL297,"등락률"))</f>
        <v/>
      </c>
      <c r="AQ297" s="48" t="str">
        <f>IF(AL297="","",_xll.IMDP("STK",$AL297,"시가총액"))</f>
        <v/>
      </c>
    </row>
    <row r="298" spans="3:43" x14ac:dyDescent="0.25">
      <c r="C298" s="22">
        <v>293</v>
      </c>
      <c r="Y298" s="25" t="s">
        <v>598</v>
      </c>
      <c r="Z298" s="20" t="str">
        <f t="shared" si="12"/>
        <v/>
      </c>
      <c r="AA298" s="21" t="str">
        <f>IF(Z298="","",_xll.IMDP("STK",$Z298,"한글종목명"))</f>
        <v/>
      </c>
      <c r="AB298" s="48" t="str">
        <f>IF(Z298="","",_xll.IMDP("STK",$Z298,"현재가"))</f>
        <v/>
      </c>
      <c r="AC298" s="48" t="str">
        <f>IF(Z298="","",_xll.IMDP("STK",$Z298,"전일대비"))</f>
        <v/>
      </c>
      <c r="AD298" s="49" t="str">
        <f>IF(Z298="","",_xll.IMDP("STK",$Z298,"등락률"))</f>
        <v/>
      </c>
      <c r="AE298" s="48" t="str">
        <f>IF(Z298="","",_xll.IMDP("STK",Z298,"시가총액"))</f>
        <v/>
      </c>
      <c r="AF298" s="20" t="str">
        <f t="shared" si="14"/>
        <v/>
      </c>
      <c r="AG298" s="21" t="str">
        <f>IF(AF298="","",_xll.IMDP("STK",$AF298,"한글종목명"))</f>
        <v/>
      </c>
      <c r="AH298" s="48" t="str">
        <f>IF(AF298="","",_xll.IMDP("STK",$AF298,"현재가"))</f>
        <v/>
      </c>
      <c r="AI298" s="48" t="str">
        <f>IF(AF298="","",_xll.IMDP("STK",$AF298,"전일대비"))</f>
        <v/>
      </c>
      <c r="AJ298" s="49" t="str">
        <f>IF(AF298="","",_xll.IMDP("STK",$AF298,"등락률"))</f>
        <v/>
      </c>
      <c r="AK298" s="48" t="str">
        <f>IF(AF298="","",_xll.IMDP("STK",$AF298,"시가총액"))</f>
        <v/>
      </c>
      <c r="AL298" s="20" t="str">
        <f t="shared" si="13"/>
        <v/>
      </c>
      <c r="AM298" s="21" t="str">
        <f>IF(AL298="","",_xll.IMDP("STK",$AL298,"한글종목명"))</f>
        <v/>
      </c>
      <c r="AN298" s="48" t="str">
        <f>IF(AL298="","",_xll.IMDP("STK",$AL298,"현재가"))</f>
        <v/>
      </c>
      <c r="AO298" s="48" t="str">
        <f>IF(AL298="","",_xll.IMDP("STK",$AL298,"전일대비"))</f>
        <v/>
      </c>
      <c r="AP298" s="49" t="str">
        <f>IF(AL298="","",_xll.IMDP("STK",$AL298,"등락률"))</f>
        <v/>
      </c>
      <c r="AQ298" s="48" t="str">
        <f>IF(AL298="","",_xll.IMDP("STK",$AL298,"시가총액"))</f>
        <v/>
      </c>
    </row>
    <row r="299" spans="3:43" x14ac:dyDescent="0.25">
      <c r="C299" s="22">
        <v>294</v>
      </c>
      <c r="Y299" s="25" t="s">
        <v>235</v>
      </c>
      <c r="Z299" s="20" t="str">
        <f t="shared" si="12"/>
        <v/>
      </c>
      <c r="AA299" s="21" t="str">
        <f>IF(Z299="","",_xll.IMDP("STK",$Z299,"한글종목명"))</f>
        <v/>
      </c>
      <c r="AB299" s="48" t="str">
        <f>IF(Z299="","",_xll.IMDP("STK",$Z299,"현재가"))</f>
        <v/>
      </c>
      <c r="AC299" s="48" t="str">
        <f>IF(Z299="","",_xll.IMDP("STK",$Z299,"전일대비"))</f>
        <v/>
      </c>
      <c r="AD299" s="49" t="str">
        <f>IF(Z299="","",_xll.IMDP("STK",$Z299,"등락률"))</f>
        <v/>
      </c>
      <c r="AE299" s="48" t="str">
        <f>IF(Z299="","",_xll.IMDP("STK",Z299,"시가총액"))</f>
        <v/>
      </c>
      <c r="AF299" s="20" t="str">
        <f t="shared" si="14"/>
        <v/>
      </c>
      <c r="AG299" s="21" t="str">
        <f>IF(AF299="","",_xll.IMDP("STK",$AF299,"한글종목명"))</f>
        <v/>
      </c>
      <c r="AH299" s="48" t="str">
        <f>IF(AF299="","",_xll.IMDP("STK",$AF299,"현재가"))</f>
        <v/>
      </c>
      <c r="AI299" s="48" t="str">
        <f>IF(AF299="","",_xll.IMDP("STK",$AF299,"전일대비"))</f>
        <v/>
      </c>
      <c r="AJ299" s="49" t="str">
        <f>IF(AF299="","",_xll.IMDP("STK",$AF299,"등락률"))</f>
        <v/>
      </c>
      <c r="AK299" s="48" t="str">
        <f>IF(AF299="","",_xll.IMDP("STK",$AF299,"시가총액"))</f>
        <v/>
      </c>
      <c r="AL299" s="20" t="str">
        <f t="shared" si="13"/>
        <v/>
      </c>
      <c r="AM299" s="21" t="str">
        <f>IF(AL299="","",_xll.IMDP("STK",$AL299,"한글종목명"))</f>
        <v/>
      </c>
      <c r="AN299" s="48" t="str">
        <f>IF(AL299="","",_xll.IMDP("STK",$AL299,"현재가"))</f>
        <v/>
      </c>
      <c r="AO299" s="48" t="str">
        <f>IF(AL299="","",_xll.IMDP("STK",$AL299,"전일대비"))</f>
        <v/>
      </c>
      <c r="AP299" s="49" t="str">
        <f>IF(AL299="","",_xll.IMDP("STK",$AL299,"등락률"))</f>
        <v/>
      </c>
      <c r="AQ299" s="48" t="str">
        <f>IF(AL299="","",_xll.IMDP("STK",$AL299,"시가총액"))</f>
        <v/>
      </c>
    </row>
    <row r="300" spans="3:43" x14ac:dyDescent="0.25">
      <c r="C300" s="22">
        <v>295</v>
      </c>
      <c r="Y300" s="25" t="s">
        <v>236</v>
      </c>
      <c r="Z300" s="20" t="str">
        <f t="shared" si="12"/>
        <v/>
      </c>
      <c r="AA300" s="21" t="str">
        <f>IF(Z300="","",_xll.IMDP("STK",$Z300,"한글종목명"))</f>
        <v/>
      </c>
      <c r="AB300" s="48" t="str">
        <f>IF(Z300="","",_xll.IMDP("STK",$Z300,"현재가"))</f>
        <v/>
      </c>
      <c r="AC300" s="48" t="str">
        <f>IF(Z300="","",_xll.IMDP("STK",$Z300,"전일대비"))</f>
        <v/>
      </c>
      <c r="AD300" s="49" t="str">
        <f>IF(Z300="","",_xll.IMDP("STK",$Z300,"등락률"))</f>
        <v/>
      </c>
      <c r="AE300" s="48" t="str">
        <f>IF(Z300="","",_xll.IMDP("STK",Z300,"시가총액"))</f>
        <v/>
      </c>
      <c r="AF300" s="20" t="str">
        <f t="shared" si="14"/>
        <v/>
      </c>
      <c r="AG300" s="21" t="str">
        <f>IF(AF300="","",_xll.IMDP("STK",$AF300,"한글종목명"))</f>
        <v/>
      </c>
      <c r="AH300" s="48" t="str">
        <f>IF(AF300="","",_xll.IMDP("STK",$AF300,"현재가"))</f>
        <v/>
      </c>
      <c r="AI300" s="48" t="str">
        <f>IF(AF300="","",_xll.IMDP("STK",$AF300,"전일대비"))</f>
        <v/>
      </c>
      <c r="AJ300" s="49" t="str">
        <f>IF(AF300="","",_xll.IMDP("STK",$AF300,"등락률"))</f>
        <v/>
      </c>
      <c r="AK300" s="48" t="str">
        <f>IF(AF300="","",_xll.IMDP("STK",$AF300,"시가총액"))</f>
        <v/>
      </c>
      <c r="AL300" s="20" t="str">
        <f t="shared" si="13"/>
        <v/>
      </c>
      <c r="AM300" s="21" t="str">
        <f>IF(AL300="","",_xll.IMDP("STK",$AL300,"한글종목명"))</f>
        <v/>
      </c>
      <c r="AN300" s="48" t="str">
        <f>IF(AL300="","",_xll.IMDP("STK",$AL300,"현재가"))</f>
        <v/>
      </c>
      <c r="AO300" s="48" t="str">
        <f>IF(AL300="","",_xll.IMDP("STK",$AL300,"전일대비"))</f>
        <v/>
      </c>
      <c r="AP300" s="49" t="str">
        <f>IF(AL300="","",_xll.IMDP("STK",$AL300,"등락률"))</f>
        <v/>
      </c>
      <c r="AQ300" s="48" t="str">
        <f>IF(AL300="","",_xll.IMDP("STK",$AL300,"시가총액"))</f>
        <v/>
      </c>
    </row>
    <row r="301" spans="3:43" x14ac:dyDescent="0.25">
      <c r="C301" s="22">
        <v>296</v>
      </c>
      <c r="Y301" s="25" t="s">
        <v>237</v>
      </c>
      <c r="Z301" s="20" t="str">
        <f t="shared" si="12"/>
        <v/>
      </c>
      <c r="AA301" s="21" t="str">
        <f>IF(Z301="","",_xll.IMDP("STK",$Z301,"한글종목명"))</f>
        <v/>
      </c>
      <c r="AB301" s="48" t="str">
        <f>IF(Z301="","",_xll.IMDP("STK",$Z301,"현재가"))</f>
        <v/>
      </c>
      <c r="AC301" s="48" t="str">
        <f>IF(Z301="","",_xll.IMDP("STK",$Z301,"전일대비"))</f>
        <v/>
      </c>
      <c r="AD301" s="49" t="str">
        <f>IF(Z301="","",_xll.IMDP("STK",$Z301,"등락률"))</f>
        <v/>
      </c>
      <c r="AE301" s="48" t="str">
        <f>IF(Z301="","",_xll.IMDP("STK",Z301,"시가총액"))</f>
        <v/>
      </c>
      <c r="AF301" s="20" t="str">
        <f t="shared" si="14"/>
        <v/>
      </c>
      <c r="AG301" s="21" t="str">
        <f>IF(AF301="","",_xll.IMDP("STK",$AF301,"한글종목명"))</f>
        <v/>
      </c>
      <c r="AH301" s="48" t="str">
        <f>IF(AF301="","",_xll.IMDP("STK",$AF301,"현재가"))</f>
        <v/>
      </c>
      <c r="AI301" s="48" t="str">
        <f>IF(AF301="","",_xll.IMDP("STK",$AF301,"전일대비"))</f>
        <v/>
      </c>
      <c r="AJ301" s="49" t="str">
        <f>IF(AF301="","",_xll.IMDP("STK",$AF301,"등락률"))</f>
        <v/>
      </c>
      <c r="AK301" s="48" t="str">
        <f>IF(AF301="","",_xll.IMDP("STK",$AF301,"시가총액"))</f>
        <v/>
      </c>
      <c r="AL301" s="20" t="str">
        <f t="shared" si="13"/>
        <v/>
      </c>
      <c r="AM301" s="21" t="str">
        <f>IF(AL301="","",_xll.IMDP("STK",$AL301,"한글종목명"))</f>
        <v/>
      </c>
      <c r="AN301" s="48" t="str">
        <f>IF(AL301="","",_xll.IMDP("STK",$AL301,"현재가"))</f>
        <v/>
      </c>
      <c r="AO301" s="48" t="str">
        <f>IF(AL301="","",_xll.IMDP("STK",$AL301,"전일대비"))</f>
        <v/>
      </c>
      <c r="AP301" s="49" t="str">
        <f>IF(AL301="","",_xll.IMDP("STK",$AL301,"등락률"))</f>
        <v/>
      </c>
      <c r="AQ301" s="48" t="str">
        <f>IF(AL301="","",_xll.IMDP("STK",$AL301,"시가총액"))</f>
        <v/>
      </c>
    </row>
    <row r="302" spans="3:43" x14ac:dyDescent="0.25">
      <c r="C302" s="22">
        <v>297</v>
      </c>
      <c r="Y302" s="25" t="s">
        <v>404</v>
      </c>
      <c r="Z302" s="20" t="str">
        <f t="shared" si="12"/>
        <v/>
      </c>
      <c r="AA302" s="21" t="str">
        <f>IF(Z302="","",_xll.IMDP("STK",$Z302,"한글종목명"))</f>
        <v/>
      </c>
      <c r="AB302" s="48" t="str">
        <f>IF(Z302="","",_xll.IMDP("STK",$Z302,"현재가"))</f>
        <v/>
      </c>
      <c r="AC302" s="48" t="str">
        <f>IF(Z302="","",_xll.IMDP("STK",$Z302,"전일대비"))</f>
        <v/>
      </c>
      <c r="AD302" s="49" t="str">
        <f>IF(Z302="","",_xll.IMDP("STK",$Z302,"등락률"))</f>
        <v/>
      </c>
      <c r="AE302" s="48" t="str">
        <f>IF(Z302="","",_xll.IMDP("STK",Z302,"시가총액"))</f>
        <v/>
      </c>
      <c r="AF302" s="20" t="str">
        <f t="shared" si="14"/>
        <v/>
      </c>
      <c r="AG302" s="21" t="str">
        <f>IF(AF302="","",_xll.IMDP("STK",$AF302,"한글종목명"))</f>
        <v/>
      </c>
      <c r="AH302" s="48" t="str">
        <f>IF(AF302="","",_xll.IMDP("STK",$AF302,"현재가"))</f>
        <v/>
      </c>
      <c r="AI302" s="48" t="str">
        <f>IF(AF302="","",_xll.IMDP("STK",$AF302,"전일대비"))</f>
        <v/>
      </c>
      <c r="AJ302" s="49" t="str">
        <f>IF(AF302="","",_xll.IMDP("STK",$AF302,"등락률"))</f>
        <v/>
      </c>
      <c r="AK302" s="48" t="str">
        <f>IF(AF302="","",_xll.IMDP("STK",$AF302,"시가총액"))</f>
        <v/>
      </c>
      <c r="AL302" s="20" t="str">
        <f t="shared" si="13"/>
        <v/>
      </c>
      <c r="AM302" s="21" t="str">
        <f>IF(AL302="","",_xll.IMDP("STK",$AL302,"한글종목명"))</f>
        <v/>
      </c>
      <c r="AN302" s="48" t="str">
        <f>IF(AL302="","",_xll.IMDP("STK",$AL302,"현재가"))</f>
        <v/>
      </c>
      <c r="AO302" s="48" t="str">
        <f>IF(AL302="","",_xll.IMDP("STK",$AL302,"전일대비"))</f>
        <v/>
      </c>
      <c r="AP302" s="49" t="str">
        <f>IF(AL302="","",_xll.IMDP("STK",$AL302,"등락률"))</f>
        <v/>
      </c>
      <c r="AQ302" s="48" t="str">
        <f>IF(AL302="","",_xll.IMDP("STK",$AL302,"시가총액"))</f>
        <v/>
      </c>
    </row>
    <row r="303" spans="3:43" x14ac:dyDescent="0.25">
      <c r="C303" s="22">
        <v>298</v>
      </c>
      <c r="Y303" s="25" t="s">
        <v>405</v>
      </c>
      <c r="Z303" s="20" t="str">
        <f t="shared" si="12"/>
        <v/>
      </c>
      <c r="AA303" s="21" t="str">
        <f>IF(Z303="","",_xll.IMDP("STK",$Z303,"한글종목명"))</f>
        <v/>
      </c>
      <c r="AB303" s="48" t="str">
        <f>IF(Z303="","",_xll.IMDP("STK",$Z303,"현재가"))</f>
        <v/>
      </c>
      <c r="AC303" s="48" t="str">
        <f>IF(Z303="","",_xll.IMDP("STK",$Z303,"전일대비"))</f>
        <v/>
      </c>
      <c r="AD303" s="49" t="str">
        <f>IF(Z303="","",_xll.IMDP("STK",$Z303,"등락률"))</f>
        <v/>
      </c>
      <c r="AE303" s="48" t="str">
        <f>IF(Z303="","",_xll.IMDP("STK",Z303,"시가총액"))</f>
        <v/>
      </c>
      <c r="AF303" s="20" t="str">
        <f t="shared" si="14"/>
        <v/>
      </c>
      <c r="AG303" s="21" t="str">
        <f>IF(AF303="","",_xll.IMDP("STK",$AF303,"한글종목명"))</f>
        <v/>
      </c>
      <c r="AH303" s="48" t="str">
        <f>IF(AF303="","",_xll.IMDP("STK",$AF303,"현재가"))</f>
        <v/>
      </c>
      <c r="AI303" s="48" t="str">
        <f>IF(AF303="","",_xll.IMDP("STK",$AF303,"전일대비"))</f>
        <v/>
      </c>
      <c r="AJ303" s="49" t="str">
        <f>IF(AF303="","",_xll.IMDP("STK",$AF303,"등락률"))</f>
        <v/>
      </c>
      <c r="AK303" s="48" t="str">
        <f>IF(AF303="","",_xll.IMDP("STK",$AF303,"시가총액"))</f>
        <v/>
      </c>
      <c r="AL303" s="20" t="str">
        <f t="shared" si="13"/>
        <v/>
      </c>
      <c r="AM303" s="21" t="str">
        <f>IF(AL303="","",_xll.IMDP("STK",$AL303,"한글종목명"))</f>
        <v/>
      </c>
      <c r="AN303" s="48" t="str">
        <f>IF(AL303="","",_xll.IMDP("STK",$AL303,"현재가"))</f>
        <v/>
      </c>
      <c r="AO303" s="48" t="str">
        <f>IF(AL303="","",_xll.IMDP("STK",$AL303,"전일대비"))</f>
        <v/>
      </c>
      <c r="AP303" s="49" t="str">
        <f>IF(AL303="","",_xll.IMDP("STK",$AL303,"등락률"))</f>
        <v/>
      </c>
      <c r="AQ303" s="48" t="str">
        <f>IF(AL303="","",_xll.IMDP("STK",$AL303,"시가총액"))</f>
        <v/>
      </c>
    </row>
    <row r="304" spans="3:43" x14ac:dyDescent="0.25">
      <c r="C304" s="22">
        <v>299</v>
      </c>
      <c r="Y304" s="25" t="s">
        <v>372</v>
      </c>
      <c r="Z304" s="20" t="str">
        <f t="shared" si="12"/>
        <v/>
      </c>
      <c r="AA304" s="21" t="str">
        <f>IF(Z304="","",_xll.IMDP("STK",$Z304,"한글종목명"))</f>
        <v/>
      </c>
      <c r="AB304" s="48" t="str">
        <f>IF(Z304="","",_xll.IMDP("STK",$Z304,"현재가"))</f>
        <v/>
      </c>
      <c r="AC304" s="48" t="str">
        <f>IF(Z304="","",_xll.IMDP("STK",$Z304,"전일대비"))</f>
        <v/>
      </c>
      <c r="AD304" s="49" t="str">
        <f>IF(Z304="","",_xll.IMDP("STK",$Z304,"등락률"))</f>
        <v/>
      </c>
      <c r="AE304" s="48" t="str">
        <f>IF(Z304="","",_xll.IMDP("STK",Z304,"시가총액"))</f>
        <v/>
      </c>
      <c r="AF304" s="20" t="str">
        <f t="shared" si="14"/>
        <v/>
      </c>
      <c r="AG304" s="21" t="str">
        <f>IF(AF304="","",_xll.IMDP("STK",$AF304,"한글종목명"))</f>
        <v/>
      </c>
      <c r="AH304" s="48" t="str">
        <f>IF(AF304="","",_xll.IMDP("STK",$AF304,"현재가"))</f>
        <v/>
      </c>
      <c r="AI304" s="48" t="str">
        <f>IF(AF304="","",_xll.IMDP("STK",$AF304,"전일대비"))</f>
        <v/>
      </c>
      <c r="AJ304" s="49" t="str">
        <f>IF(AF304="","",_xll.IMDP("STK",$AF304,"등락률"))</f>
        <v/>
      </c>
      <c r="AK304" s="48" t="str">
        <f>IF(AF304="","",_xll.IMDP("STK",$AF304,"시가총액"))</f>
        <v/>
      </c>
      <c r="AL304" s="20" t="str">
        <f t="shared" si="13"/>
        <v/>
      </c>
      <c r="AM304" s="21" t="str">
        <f>IF(AL304="","",_xll.IMDP("STK",$AL304,"한글종목명"))</f>
        <v/>
      </c>
      <c r="AN304" s="48" t="str">
        <f>IF(AL304="","",_xll.IMDP("STK",$AL304,"현재가"))</f>
        <v/>
      </c>
      <c r="AO304" s="48" t="str">
        <f>IF(AL304="","",_xll.IMDP("STK",$AL304,"전일대비"))</f>
        <v/>
      </c>
      <c r="AP304" s="49" t="str">
        <f>IF(AL304="","",_xll.IMDP("STK",$AL304,"등락률"))</f>
        <v/>
      </c>
      <c r="AQ304" s="48" t="str">
        <f>IF(AL304="","",_xll.IMDP("STK",$AL304,"시가총액"))</f>
        <v/>
      </c>
    </row>
    <row r="305" spans="3:43" x14ac:dyDescent="0.25">
      <c r="C305" s="22">
        <v>300</v>
      </c>
      <c r="Y305" s="25" t="s">
        <v>494</v>
      </c>
      <c r="Z305" s="20" t="str">
        <f t="shared" si="12"/>
        <v/>
      </c>
      <c r="AA305" s="21" t="str">
        <f>IF(Z305="","",_xll.IMDP("STK",$Z305,"한글종목명"))</f>
        <v/>
      </c>
      <c r="AB305" s="48" t="str">
        <f>IF(Z305="","",_xll.IMDP("STK",$Z305,"현재가"))</f>
        <v/>
      </c>
      <c r="AC305" s="48" t="str">
        <f>IF(Z305="","",_xll.IMDP("STK",$Z305,"전일대비"))</f>
        <v/>
      </c>
      <c r="AD305" s="49" t="str">
        <f>IF(Z305="","",_xll.IMDP("STK",$Z305,"등락률"))</f>
        <v/>
      </c>
      <c r="AE305" s="48" t="str">
        <f>IF(Z305="","",_xll.IMDP("STK",Z305,"시가총액"))</f>
        <v/>
      </c>
      <c r="AF305" s="20" t="str">
        <f t="shared" si="14"/>
        <v/>
      </c>
      <c r="AG305" s="21" t="str">
        <f>IF(AF305="","",_xll.IMDP("STK",$AF305,"한글종목명"))</f>
        <v/>
      </c>
      <c r="AH305" s="48" t="str">
        <f>IF(AF305="","",_xll.IMDP("STK",$AF305,"현재가"))</f>
        <v/>
      </c>
      <c r="AI305" s="48" t="str">
        <f>IF(AF305="","",_xll.IMDP("STK",$AF305,"전일대비"))</f>
        <v/>
      </c>
      <c r="AJ305" s="49" t="str">
        <f>IF(AF305="","",_xll.IMDP("STK",$AF305,"등락률"))</f>
        <v/>
      </c>
      <c r="AK305" s="48" t="str">
        <f>IF(AF305="","",_xll.IMDP("STK",$AF305,"시가총액"))</f>
        <v/>
      </c>
      <c r="AL305" s="20" t="str">
        <f t="shared" si="13"/>
        <v/>
      </c>
      <c r="AM305" s="21" t="str">
        <f>IF(AL305="","",_xll.IMDP("STK",$AL305,"한글종목명"))</f>
        <v/>
      </c>
      <c r="AN305" s="48" t="str">
        <f>IF(AL305="","",_xll.IMDP("STK",$AL305,"현재가"))</f>
        <v/>
      </c>
      <c r="AO305" s="48" t="str">
        <f>IF(AL305="","",_xll.IMDP("STK",$AL305,"전일대비"))</f>
        <v/>
      </c>
      <c r="AP305" s="49" t="str">
        <f>IF(AL305="","",_xll.IMDP("STK",$AL305,"등락률"))</f>
        <v/>
      </c>
      <c r="AQ305" s="48" t="str">
        <f>IF(AL305="","",_xll.IMDP("STK",$AL305,"시가총액"))</f>
        <v/>
      </c>
    </row>
    <row r="306" spans="3:43" x14ac:dyDescent="0.25">
      <c r="C306" s="22">
        <v>301</v>
      </c>
      <c r="Y306" s="25" t="s">
        <v>238</v>
      </c>
      <c r="Z306" s="20" t="str">
        <f t="shared" si="12"/>
        <v/>
      </c>
      <c r="AA306" s="21" t="str">
        <f>IF(Z306="","",_xll.IMDP("STK",$Z306,"한글종목명"))</f>
        <v/>
      </c>
      <c r="AB306" s="48" t="str">
        <f>IF(Z306="","",_xll.IMDP("STK",$Z306,"현재가"))</f>
        <v/>
      </c>
      <c r="AC306" s="48" t="str">
        <f>IF(Z306="","",_xll.IMDP("STK",$Z306,"전일대비"))</f>
        <v/>
      </c>
      <c r="AD306" s="49" t="str">
        <f>IF(Z306="","",_xll.IMDP("STK",$Z306,"등락률"))</f>
        <v/>
      </c>
      <c r="AE306" s="48" t="str">
        <f>IF(Z306="","",_xll.IMDP("STK",Z306,"시가총액"))</f>
        <v/>
      </c>
      <c r="AF306" s="20" t="str">
        <f t="shared" si="14"/>
        <v/>
      </c>
      <c r="AG306" s="21" t="str">
        <f>IF(AF306="","",_xll.IMDP("STK",$AF306,"한글종목명"))</f>
        <v/>
      </c>
      <c r="AH306" s="48" t="str">
        <f>IF(AF306="","",_xll.IMDP("STK",$AF306,"현재가"))</f>
        <v/>
      </c>
      <c r="AI306" s="48" t="str">
        <f>IF(AF306="","",_xll.IMDP("STK",$AF306,"전일대비"))</f>
        <v/>
      </c>
      <c r="AJ306" s="49" t="str">
        <f>IF(AF306="","",_xll.IMDP("STK",$AF306,"등락률"))</f>
        <v/>
      </c>
      <c r="AK306" s="48" t="str">
        <f>IF(AF306="","",_xll.IMDP("STK",$AF306,"시가총액"))</f>
        <v/>
      </c>
      <c r="AL306" s="20" t="str">
        <f t="shared" si="13"/>
        <v/>
      </c>
      <c r="AM306" s="21" t="str">
        <f>IF(AL306="","",_xll.IMDP("STK",$AL306,"한글종목명"))</f>
        <v/>
      </c>
      <c r="AN306" s="48" t="str">
        <f>IF(AL306="","",_xll.IMDP("STK",$AL306,"현재가"))</f>
        <v/>
      </c>
      <c r="AO306" s="48" t="str">
        <f>IF(AL306="","",_xll.IMDP("STK",$AL306,"전일대비"))</f>
        <v/>
      </c>
      <c r="AP306" s="49" t="str">
        <f>IF(AL306="","",_xll.IMDP("STK",$AL306,"등락률"))</f>
        <v/>
      </c>
      <c r="AQ306" s="48" t="str">
        <f>IF(AL306="","",_xll.IMDP("STK",$AL306,"시가총액"))</f>
        <v/>
      </c>
    </row>
    <row r="307" spans="3:43" x14ac:dyDescent="0.25">
      <c r="C307" s="22">
        <v>302</v>
      </c>
      <c r="Y307" s="25" t="s">
        <v>448</v>
      </c>
      <c r="Z307" s="20" t="str">
        <f t="shared" si="12"/>
        <v/>
      </c>
      <c r="AA307" s="21" t="str">
        <f>IF(Z307="","",_xll.IMDP("STK",$Z307,"한글종목명"))</f>
        <v/>
      </c>
      <c r="AB307" s="48" t="str">
        <f>IF(Z307="","",_xll.IMDP("STK",$Z307,"현재가"))</f>
        <v/>
      </c>
      <c r="AC307" s="48" t="str">
        <f>IF(Z307="","",_xll.IMDP("STK",$Z307,"전일대비"))</f>
        <v/>
      </c>
      <c r="AD307" s="49" t="str">
        <f>IF(Z307="","",_xll.IMDP("STK",$Z307,"등락률"))</f>
        <v/>
      </c>
      <c r="AE307" s="48" t="str">
        <f>IF(Z307="","",_xll.IMDP("STK",Z307,"시가총액"))</f>
        <v/>
      </c>
      <c r="AF307" s="20" t="str">
        <f t="shared" si="14"/>
        <v/>
      </c>
      <c r="AG307" s="21" t="str">
        <f>IF(AF307="","",_xll.IMDP("STK",$AF307,"한글종목명"))</f>
        <v/>
      </c>
      <c r="AH307" s="48" t="str">
        <f>IF(AF307="","",_xll.IMDP("STK",$AF307,"현재가"))</f>
        <v/>
      </c>
      <c r="AI307" s="48" t="str">
        <f>IF(AF307="","",_xll.IMDP("STK",$AF307,"전일대비"))</f>
        <v/>
      </c>
      <c r="AJ307" s="49" t="str">
        <f>IF(AF307="","",_xll.IMDP("STK",$AF307,"등락률"))</f>
        <v/>
      </c>
      <c r="AK307" s="48" t="str">
        <f>IF(AF307="","",_xll.IMDP("STK",$AF307,"시가총액"))</f>
        <v/>
      </c>
      <c r="AL307" s="20" t="str">
        <f t="shared" si="13"/>
        <v/>
      </c>
      <c r="AM307" s="21" t="str">
        <f>IF(AL307="","",_xll.IMDP("STK",$AL307,"한글종목명"))</f>
        <v/>
      </c>
      <c r="AN307" s="48" t="str">
        <f>IF(AL307="","",_xll.IMDP("STK",$AL307,"현재가"))</f>
        <v/>
      </c>
      <c r="AO307" s="48" t="str">
        <f>IF(AL307="","",_xll.IMDP("STK",$AL307,"전일대비"))</f>
        <v/>
      </c>
      <c r="AP307" s="49" t="str">
        <f>IF(AL307="","",_xll.IMDP("STK",$AL307,"등락률"))</f>
        <v/>
      </c>
      <c r="AQ307" s="48" t="str">
        <f>IF(AL307="","",_xll.IMDP("STK",$AL307,"시가총액"))</f>
        <v/>
      </c>
    </row>
    <row r="308" spans="3:43" x14ac:dyDescent="0.25">
      <c r="C308" s="22">
        <v>303</v>
      </c>
      <c r="Y308" s="25" t="s">
        <v>449</v>
      </c>
      <c r="Z308" s="20" t="str">
        <f t="shared" si="12"/>
        <v/>
      </c>
      <c r="AA308" s="21" t="str">
        <f>IF(Z308="","",_xll.IMDP("STK",$Z308,"한글종목명"))</f>
        <v/>
      </c>
      <c r="AB308" s="48" t="str">
        <f>IF(Z308="","",_xll.IMDP("STK",$Z308,"현재가"))</f>
        <v/>
      </c>
      <c r="AC308" s="48" t="str">
        <f>IF(Z308="","",_xll.IMDP("STK",$Z308,"전일대비"))</f>
        <v/>
      </c>
      <c r="AD308" s="49" t="str">
        <f>IF(Z308="","",_xll.IMDP("STK",$Z308,"등락률"))</f>
        <v/>
      </c>
      <c r="AE308" s="48" t="str">
        <f>IF(Z308="","",_xll.IMDP("STK",Z308,"시가총액"))</f>
        <v/>
      </c>
      <c r="AF308" s="20" t="str">
        <f t="shared" si="14"/>
        <v/>
      </c>
      <c r="AG308" s="21" t="str">
        <f>IF(AF308="","",_xll.IMDP("STK",$AF308,"한글종목명"))</f>
        <v/>
      </c>
      <c r="AH308" s="48" t="str">
        <f>IF(AF308="","",_xll.IMDP("STK",$AF308,"현재가"))</f>
        <v/>
      </c>
      <c r="AI308" s="48" t="str">
        <f>IF(AF308="","",_xll.IMDP("STK",$AF308,"전일대비"))</f>
        <v/>
      </c>
      <c r="AJ308" s="49" t="str">
        <f>IF(AF308="","",_xll.IMDP("STK",$AF308,"등락률"))</f>
        <v/>
      </c>
      <c r="AK308" s="48" t="str">
        <f>IF(AF308="","",_xll.IMDP("STK",$AF308,"시가총액"))</f>
        <v/>
      </c>
      <c r="AL308" s="20" t="str">
        <f t="shared" si="13"/>
        <v/>
      </c>
      <c r="AM308" s="21" t="str">
        <f>IF(AL308="","",_xll.IMDP("STK",$AL308,"한글종목명"))</f>
        <v/>
      </c>
      <c r="AN308" s="48" t="str">
        <f>IF(AL308="","",_xll.IMDP("STK",$AL308,"현재가"))</f>
        <v/>
      </c>
      <c r="AO308" s="48" t="str">
        <f>IF(AL308="","",_xll.IMDP("STK",$AL308,"전일대비"))</f>
        <v/>
      </c>
      <c r="AP308" s="49" t="str">
        <f>IF(AL308="","",_xll.IMDP("STK",$AL308,"등락률"))</f>
        <v/>
      </c>
      <c r="AQ308" s="48" t="str">
        <f>IF(AL308="","",_xll.IMDP("STK",$AL308,"시가총액"))</f>
        <v/>
      </c>
    </row>
    <row r="309" spans="3:43" x14ac:dyDescent="0.25">
      <c r="C309" s="22">
        <v>304</v>
      </c>
      <c r="Y309" s="25" t="s">
        <v>663</v>
      </c>
      <c r="Z309" s="20" t="str">
        <f t="shared" si="12"/>
        <v/>
      </c>
      <c r="AA309" s="21" t="str">
        <f>IF(Z309="","",_xll.IMDP("STK",$Z309,"한글종목명"))</f>
        <v/>
      </c>
      <c r="AB309" s="48" t="str">
        <f>IF(Z309="","",_xll.IMDP("STK",$Z309,"현재가"))</f>
        <v/>
      </c>
      <c r="AC309" s="48" t="str">
        <f>IF(Z309="","",_xll.IMDP("STK",$Z309,"전일대비"))</f>
        <v/>
      </c>
      <c r="AD309" s="49" t="str">
        <f>IF(Z309="","",_xll.IMDP("STK",$Z309,"등락률"))</f>
        <v/>
      </c>
      <c r="AE309" s="48" t="str">
        <f>IF(Z309="","",_xll.IMDP("STK",Z309,"시가총액"))</f>
        <v/>
      </c>
      <c r="AF309" s="20" t="str">
        <f t="shared" si="14"/>
        <v/>
      </c>
      <c r="AG309" s="21" t="str">
        <f>IF(AF309="","",_xll.IMDP("STK",$AF309,"한글종목명"))</f>
        <v/>
      </c>
      <c r="AH309" s="48" t="str">
        <f>IF(AF309="","",_xll.IMDP("STK",$AF309,"현재가"))</f>
        <v/>
      </c>
      <c r="AI309" s="48" t="str">
        <f>IF(AF309="","",_xll.IMDP("STK",$AF309,"전일대비"))</f>
        <v/>
      </c>
      <c r="AJ309" s="49" t="str">
        <f>IF(AF309="","",_xll.IMDP("STK",$AF309,"등락률"))</f>
        <v/>
      </c>
      <c r="AK309" s="48" t="str">
        <f>IF(AF309="","",_xll.IMDP("STK",$AF309,"시가총액"))</f>
        <v/>
      </c>
      <c r="AL309" s="20" t="str">
        <f t="shared" si="13"/>
        <v/>
      </c>
      <c r="AM309" s="21" t="str">
        <f>IF(AL309="","",_xll.IMDP("STK",$AL309,"한글종목명"))</f>
        <v/>
      </c>
      <c r="AN309" s="48" t="str">
        <f>IF(AL309="","",_xll.IMDP("STK",$AL309,"현재가"))</f>
        <v/>
      </c>
      <c r="AO309" s="48" t="str">
        <f>IF(AL309="","",_xll.IMDP("STK",$AL309,"전일대비"))</f>
        <v/>
      </c>
      <c r="AP309" s="49" t="str">
        <f>IF(AL309="","",_xll.IMDP("STK",$AL309,"등락률"))</f>
        <v/>
      </c>
      <c r="AQ309" s="48" t="str">
        <f>IF(AL309="","",_xll.IMDP("STK",$AL309,"시가총액"))</f>
        <v/>
      </c>
    </row>
    <row r="310" spans="3:43" x14ac:dyDescent="0.25">
      <c r="C310" s="22">
        <v>305</v>
      </c>
      <c r="Y310" s="25" t="s">
        <v>599</v>
      </c>
      <c r="Z310" s="20" t="str">
        <f t="shared" si="12"/>
        <v/>
      </c>
      <c r="AA310" s="21" t="str">
        <f>IF(Z310="","",_xll.IMDP("STK",$Z310,"한글종목명"))</f>
        <v/>
      </c>
      <c r="AB310" s="48" t="str">
        <f>IF(Z310="","",_xll.IMDP("STK",$Z310,"현재가"))</f>
        <v/>
      </c>
      <c r="AC310" s="48" t="str">
        <f>IF(Z310="","",_xll.IMDP("STK",$Z310,"전일대비"))</f>
        <v/>
      </c>
      <c r="AD310" s="49" t="str">
        <f>IF(Z310="","",_xll.IMDP("STK",$Z310,"등락률"))</f>
        <v/>
      </c>
      <c r="AE310" s="48" t="str">
        <f>IF(Z310="","",_xll.IMDP("STK",Z310,"시가총액"))</f>
        <v/>
      </c>
      <c r="AF310" s="20" t="str">
        <f t="shared" si="14"/>
        <v/>
      </c>
      <c r="AG310" s="21" t="str">
        <f>IF(AF310="","",_xll.IMDP("STK",$AF310,"한글종목명"))</f>
        <v/>
      </c>
      <c r="AH310" s="48" t="str">
        <f>IF(AF310="","",_xll.IMDP("STK",$AF310,"현재가"))</f>
        <v/>
      </c>
      <c r="AI310" s="48" t="str">
        <f>IF(AF310="","",_xll.IMDP("STK",$AF310,"전일대비"))</f>
        <v/>
      </c>
      <c r="AJ310" s="49" t="str">
        <f>IF(AF310="","",_xll.IMDP("STK",$AF310,"등락률"))</f>
        <v/>
      </c>
      <c r="AK310" s="48" t="str">
        <f>IF(AF310="","",_xll.IMDP("STK",$AF310,"시가총액"))</f>
        <v/>
      </c>
      <c r="AL310" s="20" t="str">
        <f t="shared" si="13"/>
        <v/>
      </c>
      <c r="AM310" s="21" t="str">
        <f>IF(AL310="","",_xll.IMDP("STK",$AL310,"한글종목명"))</f>
        <v/>
      </c>
      <c r="AN310" s="48" t="str">
        <f>IF(AL310="","",_xll.IMDP("STK",$AL310,"현재가"))</f>
        <v/>
      </c>
      <c r="AO310" s="48" t="str">
        <f>IF(AL310="","",_xll.IMDP("STK",$AL310,"전일대비"))</f>
        <v/>
      </c>
      <c r="AP310" s="49" t="str">
        <f>IF(AL310="","",_xll.IMDP("STK",$AL310,"등락률"))</f>
        <v/>
      </c>
      <c r="AQ310" s="48" t="str">
        <f>IF(AL310="","",_xll.IMDP("STK",$AL310,"시가총액"))</f>
        <v/>
      </c>
    </row>
    <row r="311" spans="3:43" x14ac:dyDescent="0.25">
      <c r="C311" s="22">
        <v>306</v>
      </c>
      <c r="Y311" s="25" t="s">
        <v>1066</v>
      </c>
      <c r="Z311" s="20" t="str">
        <f t="shared" si="12"/>
        <v/>
      </c>
      <c r="AA311" s="21" t="str">
        <f>IF(Z311="","",_xll.IMDP("STK",$Z311,"한글종목명"))</f>
        <v/>
      </c>
      <c r="AB311" s="48" t="str">
        <f>IF(Z311="","",_xll.IMDP("STK",$Z311,"현재가"))</f>
        <v/>
      </c>
      <c r="AC311" s="48" t="str">
        <f>IF(Z311="","",_xll.IMDP("STK",$Z311,"전일대비"))</f>
        <v/>
      </c>
      <c r="AD311" s="49" t="str">
        <f>IF(Z311="","",_xll.IMDP("STK",$Z311,"등락률"))</f>
        <v/>
      </c>
      <c r="AE311" s="48" t="str">
        <f>IF(Z311="","",_xll.IMDP("STK",Z311,"시가총액"))</f>
        <v/>
      </c>
      <c r="AF311" s="20" t="str">
        <f t="shared" si="14"/>
        <v/>
      </c>
      <c r="AG311" s="21" t="str">
        <f>IF(AF311="","",_xll.IMDP("STK",$AF311,"한글종목명"))</f>
        <v/>
      </c>
      <c r="AH311" s="48" t="str">
        <f>IF(AF311="","",_xll.IMDP("STK",$AF311,"현재가"))</f>
        <v/>
      </c>
      <c r="AI311" s="48" t="str">
        <f>IF(AF311="","",_xll.IMDP("STK",$AF311,"전일대비"))</f>
        <v/>
      </c>
      <c r="AJ311" s="49" t="str">
        <f>IF(AF311="","",_xll.IMDP("STK",$AF311,"등락률"))</f>
        <v/>
      </c>
      <c r="AK311" s="48" t="str">
        <f>IF(AF311="","",_xll.IMDP("STK",$AF311,"시가총액"))</f>
        <v/>
      </c>
      <c r="AL311" s="20" t="str">
        <f t="shared" si="13"/>
        <v/>
      </c>
      <c r="AM311" s="21" t="str">
        <f>IF(AL311="","",_xll.IMDP("STK",$AL311,"한글종목명"))</f>
        <v/>
      </c>
      <c r="AN311" s="48" t="str">
        <f>IF(AL311="","",_xll.IMDP("STK",$AL311,"현재가"))</f>
        <v/>
      </c>
      <c r="AO311" s="48" t="str">
        <f>IF(AL311="","",_xll.IMDP("STK",$AL311,"전일대비"))</f>
        <v/>
      </c>
      <c r="AP311" s="49" t="str">
        <f>IF(AL311="","",_xll.IMDP("STK",$AL311,"등락률"))</f>
        <v/>
      </c>
      <c r="AQ311" s="48" t="str">
        <f>IF(AL311="","",_xll.IMDP("STK",$AL311,"시가총액"))</f>
        <v/>
      </c>
    </row>
    <row r="312" spans="3:43" x14ac:dyDescent="0.25">
      <c r="C312" s="22">
        <v>307</v>
      </c>
      <c r="Y312" s="25" t="s">
        <v>537</v>
      </c>
      <c r="Z312" s="20" t="str">
        <f t="shared" si="12"/>
        <v/>
      </c>
      <c r="AA312" s="21" t="str">
        <f>IF(Z312="","",_xll.IMDP("STK",$Z312,"한글종목명"))</f>
        <v/>
      </c>
      <c r="AB312" s="48" t="str">
        <f>IF(Z312="","",_xll.IMDP("STK",$Z312,"현재가"))</f>
        <v/>
      </c>
      <c r="AC312" s="48" t="str">
        <f>IF(Z312="","",_xll.IMDP("STK",$Z312,"전일대비"))</f>
        <v/>
      </c>
      <c r="AD312" s="49" t="str">
        <f>IF(Z312="","",_xll.IMDP("STK",$Z312,"등락률"))</f>
        <v/>
      </c>
      <c r="AE312" s="48" t="str">
        <f>IF(Z312="","",_xll.IMDP("STK",Z312,"시가총액"))</f>
        <v/>
      </c>
      <c r="AF312" s="20" t="str">
        <f t="shared" si="14"/>
        <v/>
      </c>
      <c r="AG312" s="21" t="str">
        <f>IF(AF312="","",_xll.IMDP("STK",$AF312,"한글종목명"))</f>
        <v/>
      </c>
      <c r="AH312" s="48" t="str">
        <f>IF(AF312="","",_xll.IMDP("STK",$AF312,"현재가"))</f>
        <v/>
      </c>
      <c r="AI312" s="48" t="str">
        <f>IF(AF312="","",_xll.IMDP("STK",$AF312,"전일대비"))</f>
        <v/>
      </c>
      <c r="AJ312" s="49" t="str">
        <f>IF(AF312="","",_xll.IMDP("STK",$AF312,"등락률"))</f>
        <v/>
      </c>
      <c r="AK312" s="48" t="str">
        <f>IF(AF312="","",_xll.IMDP("STK",$AF312,"시가총액"))</f>
        <v/>
      </c>
      <c r="AL312" s="20" t="str">
        <f t="shared" si="13"/>
        <v/>
      </c>
      <c r="AM312" s="21" t="str">
        <f>IF(AL312="","",_xll.IMDP("STK",$AL312,"한글종목명"))</f>
        <v/>
      </c>
      <c r="AN312" s="48" t="str">
        <f>IF(AL312="","",_xll.IMDP("STK",$AL312,"현재가"))</f>
        <v/>
      </c>
      <c r="AO312" s="48" t="str">
        <f>IF(AL312="","",_xll.IMDP("STK",$AL312,"전일대비"))</f>
        <v/>
      </c>
      <c r="AP312" s="49" t="str">
        <f>IF(AL312="","",_xll.IMDP("STK",$AL312,"등락률"))</f>
        <v/>
      </c>
      <c r="AQ312" s="48" t="str">
        <f>IF(AL312="","",_xll.IMDP("STK",$AL312,"시가총액"))</f>
        <v/>
      </c>
    </row>
    <row r="313" spans="3:43" x14ac:dyDescent="0.25">
      <c r="C313" s="22">
        <v>308</v>
      </c>
      <c r="Y313" s="25" t="s">
        <v>600</v>
      </c>
      <c r="Z313" s="20" t="str">
        <f t="shared" si="12"/>
        <v/>
      </c>
      <c r="AA313" s="21" t="str">
        <f>IF(Z313="","",_xll.IMDP("STK",$Z313,"한글종목명"))</f>
        <v/>
      </c>
      <c r="AB313" s="48" t="str">
        <f>IF(Z313="","",_xll.IMDP("STK",$Z313,"현재가"))</f>
        <v/>
      </c>
      <c r="AC313" s="48" t="str">
        <f>IF(Z313="","",_xll.IMDP("STK",$Z313,"전일대비"))</f>
        <v/>
      </c>
      <c r="AD313" s="49" t="str">
        <f>IF(Z313="","",_xll.IMDP("STK",$Z313,"등락률"))</f>
        <v/>
      </c>
      <c r="AE313" s="48" t="str">
        <f>IF(Z313="","",_xll.IMDP("STK",Z313,"시가총액"))</f>
        <v/>
      </c>
      <c r="AF313" s="20" t="str">
        <f t="shared" si="14"/>
        <v/>
      </c>
      <c r="AG313" s="21" t="str">
        <f>IF(AF313="","",_xll.IMDP("STK",$AF313,"한글종목명"))</f>
        <v/>
      </c>
      <c r="AH313" s="48" t="str">
        <f>IF(AF313="","",_xll.IMDP("STK",$AF313,"현재가"))</f>
        <v/>
      </c>
      <c r="AI313" s="48" t="str">
        <f>IF(AF313="","",_xll.IMDP("STK",$AF313,"전일대비"))</f>
        <v/>
      </c>
      <c r="AJ313" s="49" t="str">
        <f>IF(AF313="","",_xll.IMDP("STK",$AF313,"등락률"))</f>
        <v/>
      </c>
      <c r="AK313" s="48" t="str">
        <f>IF(AF313="","",_xll.IMDP("STK",$AF313,"시가총액"))</f>
        <v/>
      </c>
      <c r="AL313" s="20" t="str">
        <f t="shared" si="13"/>
        <v/>
      </c>
      <c r="AM313" s="21" t="str">
        <f>IF(AL313="","",_xll.IMDP("STK",$AL313,"한글종목명"))</f>
        <v/>
      </c>
      <c r="AN313" s="48" t="str">
        <f>IF(AL313="","",_xll.IMDP("STK",$AL313,"현재가"))</f>
        <v/>
      </c>
      <c r="AO313" s="48" t="str">
        <f>IF(AL313="","",_xll.IMDP("STK",$AL313,"전일대비"))</f>
        <v/>
      </c>
      <c r="AP313" s="49" t="str">
        <f>IF(AL313="","",_xll.IMDP("STK",$AL313,"등락률"))</f>
        <v/>
      </c>
      <c r="AQ313" s="48" t="str">
        <f>IF(AL313="","",_xll.IMDP("STK",$AL313,"시가총액"))</f>
        <v/>
      </c>
    </row>
    <row r="314" spans="3:43" x14ac:dyDescent="0.25">
      <c r="C314" s="22">
        <v>309</v>
      </c>
      <c r="Y314" s="25" t="s">
        <v>313</v>
      </c>
      <c r="Z314" s="20" t="str">
        <f t="shared" si="12"/>
        <v/>
      </c>
      <c r="AA314" s="21" t="str">
        <f>IF(Z314="","",_xll.IMDP("STK",$Z314,"한글종목명"))</f>
        <v/>
      </c>
      <c r="AB314" s="48" t="str">
        <f>IF(Z314="","",_xll.IMDP("STK",$Z314,"현재가"))</f>
        <v/>
      </c>
      <c r="AC314" s="48" t="str">
        <f>IF(Z314="","",_xll.IMDP("STK",$Z314,"전일대비"))</f>
        <v/>
      </c>
      <c r="AD314" s="49" t="str">
        <f>IF(Z314="","",_xll.IMDP("STK",$Z314,"등락률"))</f>
        <v/>
      </c>
      <c r="AE314" s="48" t="str">
        <f>IF(Z314="","",_xll.IMDP("STK",Z314,"시가총액"))</f>
        <v/>
      </c>
      <c r="AF314" s="20" t="str">
        <f t="shared" si="14"/>
        <v/>
      </c>
      <c r="AG314" s="21" t="str">
        <f>IF(AF314="","",_xll.IMDP("STK",$AF314,"한글종목명"))</f>
        <v/>
      </c>
      <c r="AH314" s="48" t="str">
        <f>IF(AF314="","",_xll.IMDP("STK",$AF314,"현재가"))</f>
        <v/>
      </c>
      <c r="AI314" s="48" t="str">
        <f>IF(AF314="","",_xll.IMDP("STK",$AF314,"전일대비"))</f>
        <v/>
      </c>
      <c r="AJ314" s="49" t="str">
        <f>IF(AF314="","",_xll.IMDP("STK",$AF314,"등락률"))</f>
        <v/>
      </c>
      <c r="AK314" s="48" t="str">
        <f>IF(AF314="","",_xll.IMDP("STK",$AF314,"시가총액"))</f>
        <v/>
      </c>
      <c r="AL314" s="20" t="str">
        <f t="shared" si="13"/>
        <v/>
      </c>
      <c r="AM314" s="21" t="str">
        <f>IF(AL314="","",_xll.IMDP("STK",$AL314,"한글종목명"))</f>
        <v/>
      </c>
      <c r="AN314" s="48" t="str">
        <f>IF(AL314="","",_xll.IMDP("STK",$AL314,"현재가"))</f>
        <v/>
      </c>
      <c r="AO314" s="48" t="str">
        <f>IF(AL314="","",_xll.IMDP("STK",$AL314,"전일대비"))</f>
        <v/>
      </c>
      <c r="AP314" s="49" t="str">
        <f>IF(AL314="","",_xll.IMDP("STK",$AL314,"등락률"))</f>
        <v/>
      </c>
      <c r="AQ314" s="48" t="str">
        <f>IF(AL314="","",_xll.IMDP("STK",$AL314,"시가총액"))</f>
        <v/>
      </c>
    </row>
    <row r="315" spans="3:43" x14ac:dyDescent="0.25">
      <c r="C315" s="22">
        <v>310</v>
      </c>
      <c r="Y315" s="25" t="s">
        <v>314</v>
      </c>
      <c r="Z315" s="20" t="str">
        <f t="shared" si="12"/>
        <v/>
      </c>
      <c r="AA315" s="21" t="str">
        <f>IF(Z315="","",_xll.IMDP("STK",$Z315,"한글종목명"))</f>
        <v/>
      </c>
      <c r="AB315" s="48" t="str">
        <f>IF(Z315="","",_xll.IMDP("STK",$Z315,"현재가"))</f>
        <v/>
      </c>
      <c r="AC315" s="48" t="str">
        <f>IF(Z315="","",_xll.IMDP("STK",$Z315,"전일대비"))</f>
        <v/>
      </c>
      <c r="AD315" s="49" t="str">
        <f>IF(Z315="","",_xll.IMDP("STK",$Z315,"등락률"))</f>
        <v/>
      </c>
      <c r="AE315" s="48" t="str">
        <f>IF(Z315="","",_xll.IMDP("STK",Z315,"시가총액"))</f>
        <v/>
      </c>
      <c r="AF315" s="20" t="str">
        <f t="shared" si="14"/>
        <v/>
      </c>
      <c r="AG315" s="21" t="str">
        <f>IF(AF315="","",_xll.IMDP("STK",$AF315,"한글종목명"))</f>
        <v/>
      </c>
      <c r="AH315" s="48" t="str">
        <f>IF(AF315="","",_xll.IMDP("STK",$AF315,"현재가"))</f>
        <v/>
      </c>
      <c r="AI315" s="48" t="str">
        <f>IF(AF315="","",_xll.IMDP("STK",$AF315,"전일대비"))</f>
        <v/>
      </c>
      <c r="AJ315" s="49" t="str">
        <f>IF(AF315="","",_xll.IMDP("STK",$AF315,"등락률"))</f>
        <v/>
      </c>
      <c r="AK315" s="48" t="str">
        <f>IF(AF315="","",_xll.IMDP("STK",$AF315,"시가총액"))</f>
        <v/>
      </c>
      <c r="AL315" s="20" t="str">
        <f t="shared" si="13"/>
        <v/>
      </c>
      <c r="AM315" s="21" t="str">
        <f>IF(AL315="","",_xll.IMDP("STK",$AL315,"한글종목명"))</f>
        <v/>
      </c>
      <c r="AN315" s="48" t="str">
        <f>IF(AL315="","",_xll.IMDP("STK",$AL315,"현재가"))</f>
        <v/>
      </c>
      <c r="AO315" s="48" t="str">
        <f>IF(AL315="","",_xll.IMDP("STK",$AL315,"전일대비"))</f>
        <v/>
      </c>
      <c r="AP315" s="49" t="str">
        <f>IF(AL315="","",_xll.IMDP("STK",$AL315,"등락률"))</f>
        <v/>
      </c>
      <c r="AQ315" s="48" t="str">
        <f>IF(AL315="","",_xll.IMDP("STK",$AL315,"시가총액"))</f>
        <v/>
      </c>
    </row>
    <row r="316" spans="3:43" x14ac:dyDescent="0.25">
      <c r="C316" s="22">
        <v>311</v>
      </c>
      <c r="Y316" s="25" t="s">
        <v>450</v>
      </c>
      <c r="Z316" s="20" t="str">
        <f t="shared" si="12"/>
        <v/>
      </c>
      <c r="AA316" s="21" t="str">
        <f>IF(Z316="","",_xll.IMDP("STK",$Z316,"한글종목명"))</f>
        <v/>
      </c>
      <c r="AB316" s="48" t="str">
        <f>IF(Z316="","",_xll.IMDP("STK",$Z316,"현재가"))</f>
        <v/>
      </c>
      <c r="AC316" s="48" t="str">
        <f>IF(Z316="","",_xll.IMDP("STK",$Z316,"전일대비"))</f>
        <v/>
      </c>
      <c r="AD316" s="49" t="str">
        <f>IF(Z316="","",_xll.IMDP("STK",$Z316,"등락률"))</f>
        <v/>
      </c>
      <c r="AE316" s="48" t="str">
        <f>IF(Z316="","",_xll.IMDP("STK",Z316,"시가총액"))</f>
        <v/>
      </c>
      <c r="AF316" s="20" t="str">
        <f t="shared" si="14"/>
        <v/>
      </c>
      <c r="AG316" s="21" t="str">
        <f>IF(AF316="","",_xll.IMDP("STK",$AF316,"한글종목명"))</f>
        <v/>
      </c>
      <c r="AH316" s="48" t="str">
        <f>IF(AF316="","",_xll.IMDP("STK",$AF316,"현재가"))</f>
        <v/>
      </c>
      <c r="AI316" s="48" t="str">
        <f>IF(AF316="","",_xll.IMDP("STK",$AF316,"전일대비"))</f>
        <v/>
      </c>
      <c r="AJ316" s="49" t="str">
        <f>IF(AF316="","",_xll.IMDP("STK",$AF316,"등락률"))</f>
        <v/>
      </c>
      <c r="AK316" s="48" t="str">
        <f>IF(AF316="","",_xll.IMDP("STK",$AF316,"시가총액"))</f>
        <v/>
      </c>
      <c r="AL316" s="20" t="str">
        <f t="shared" si="13"/>
        <v/>
      </c>
      <c r="AM316" s="21" t="str">
        <f>IF(AL316="","",_xll.IMDP("STK",$AL316,"한글종목명"))</f>
        <v/>
      </c>
      <c r="AN316" s="48" t="str">
        <f>IF(AL316="","",_xll.IMDP("STK",$AL316,"현재가"))</f>
        <v/>
      </c>
      <c r="AO316" s="48" t="str">
        <f>IF(AL316="","",_xll.IMDP("STK",$AL316,"전일대비"))</f>
        <v/>
      </c>
      <c r="AP316" s="49" t="str">
        <f>IF(AL316="","",_xll.IMDP("STK",$AL316,"등락률"))</f>
        <v/>
      </c>
      <c r="AQ316" s="48" t="str">
        <f>IF(AL316="","",_xll.IMDP("STK",$AL316,"시가총액"))</f>
        <v/>
      </c>
    </row>
    <row r="317" spans="3:43" x14ac:dyDescent="0.25">
      <c r="C317" s="22">
        <v>312</v>
      </c>
      <c r="Y317" s="25" t="s">
        <v>373</v>
      </c>
      <c r="Z317" s="20" t="str">
        <f t="shared" si="12"/>
        <v/>
      </c>
      <c r="AA317" s="21" t="str">
        <f>IF(Z317="","",_xll.IMDP("STK",$Z317,"한글종목명"))</f>
        <v/>
      </c>
      <c r="AB317" s="48" t="str">
        <f>IF(Z317="","",_xll.IMDP("STK",$Z317,"현재가"))</f>
        <v/>
      </c>
      <c r="AC317" s="48" t="str">
        <f>IF(Z317="","",_xll.IMDP("STK",$Z317,"전일대비"))</f>
        <v/>
      </c>
      <c r="AD317" s="49" t="str">
        <f>IF(Z317="","",_xll.IMDP("STK",$Z317,"등락률"))</f>
        <v/>
      </c>
      <c r="AE317" s="48" t="str">
        <f>IF(Z317="","",_xll.IMDP("STK",Z317,"시가총액"))</f>
        <v/>
      </c>
      <c r="AF317" s="20" t="str">
        <f t="shared" si="14"/>
        <v/>
      </c>
      <c r="AG317" s="21" t="str">
        <f>IF(AF317="","",_xll.IMDP("STK",$AF317,"한글종목명"))</f>
        <v/>
      </c>
      <c r="AH317" s="48" t="str">
        <f>IF(AF317="","",_xll.IMDP("STK",$AF317,"현재가"))</f>
        <v/>
      </c>
      <c r="AI317" s="48" t="str">
        <f>IF(AF317="","",_xll.IMDP("STK",$AF317,"전일대비"))</f>
        <v/>
      </c>
      <c r="AJ317" s="49" t="str">
        <f>IF(AF317="","",_xll.IMDP("STK",$AF317,"등락률"))</f>
        <v/>
      </c>
      <c r="AK317" s="48" t="str">
        <f>IF(AF317="","",_xll.IMDP("STK",$AF317,"시가총액"))</f>
        <v/>
      </c>
      <c r="AL317" s="20" t="str">
        <f t="shared" si="13"/>
        <v/>
      </c>
      <c r="AM317" s="21" t="str">
        <f>IF(AL317="","",_xll.IMDP("STK",$AL317,"한글종목명"))</f>
        <v/>
      </c>
      <c r="AN317" s="48" t="str">
        <f>IF(AL317="","",_xll.IMDP("STK",$AL317,"현재가"))</f>
        <v/>
      </c>
      <c r="AO317" s="48" t="str">
        <f>IF(AL317="","",_xll.IMDP("STK",$AL317,"전일대비"))</f>
        <v/>
      </c>
      <c r="AP317" s="49" t="str">
        <f>IF(AL317="","",_xll.IMDP("STK",$AL317,"등락률"))</f>
        <v/>
      </c>
      <c r="AQ317" s="48" t="str">
        <f>IF(AL317="","",_xll.IMDP("STK",$AL317,"시가총액"))</f>
        <v/>
      </c>
    </row>
    <row r="318" spans="3:43" x14ac:dyDescent="0.25">
      <c r="C318" s="22">
        <v>313</v>
      </c>
      <c r="Y318" s="25" t="s">
        <v>451</v>
      </c>
      <c r="Z318" s="20" t="str">
        <f t="shared" si="12"/>
        <v/>
      </c>
      <c r="AA318" s="21" t="str">
        <f>IF(Z318="","",_xll.IMDP("STK",$Z318,"한글종목명"))</f>
        <v/>
      </c>
      <c r="AB318" s="48" t="str">
        <f>IF(Z318="","",_xll.IMDP("STK",$Z318,"현재가"))</f>
        <v/>
      </c>
      <c r="AC318" s="48" t="str">
        <f>IF(Z318="","",_xll.IMDP("STK",$Z318,"전일대비"))</f>
        <v/>
      </c>
      <c r="AD318" s="49" t="str">
        <f>IF(Z318="","",_xll.IMDP("STK",$Z318,"등락률"))</f>
        <v/>
      </c>
      <c r="AE318" s="48" t="str">
        <f>IF(Z318="","",_xll.IMDP("STK",Z318,"시가총액"))</f>
        <v/>
      </c>
      <c r="AF318" s="20" t="str">
        <f t="shared" si="14"/>
        <v/>
      </c>
      <c r="AG318" s="21" t="str">
        <f>IF(AF318="","",_xll.IMDP("STK",$AF318,"한글종목명"))</f>
        <v/>
      </c>
      <c r="AH318" s="48" t="str">
        <f>IF(AF318="","",_xll.IMDP("STK",$AF318,"현재가"))</f>
        <v/>
      </c>
      <c r="AI318" s="48" t="str">
        <f>IF(AF318="","",_xll.IMDP("STK",$AF318,"전일대비"))</f>
        <v/>
      </c>
      <c r="AJ318" s="49" t="str">
        <f>IF(AF318="","",_xll.IMDP("STK",$AF318,"등락률"))</f>
        <v/>
      </c>
      <c r="AK318" s="48" t="str">
        <f>IF(AF318="","",_xll.IMDP("STK",$AF318,"시가총액"))</f>
        <v/>
      </c>
      <c r="AL318" s="20" t="str">
        <f t="shared" si="13"/>
        <v/>
      </c>
      <c r="AM318" s="21" t="str">
        <f>IF(AL318="","",_xll.IMDP("STK",$AL318,"한글종목명"))</f>
        <v/>
      </c>
      <c r="AN318" s="48" t="str">
        <f>IF(AL318="","",_xll.IMDP("STK",$AL318,"현재가"))</f>
        <v/>
      </c>
      <c r="AO318" s="48" t="str">
        <f>IF(AL318="","",_xll.IMDP("STK",$AL318,"전일대비"))</f>
        <v/>
      </c>
      <c r="AP318" s="49" t="str">
        <f>IF(AL318="","",_xll.IMDP("STK",$AL318,"등락률"))</f>
        <v/>
      </c>
      <c r="AQ318" s="48" t="str">
        <f>IF(AL318="","",_xll.IMDP("STK",$AL318,"시가총액"))</f>
        <v/>
      </c>
    </row>
    <row r="319" spans="3:43" x14ac:dyDescent="0.25">
      <c r="C319" s="22">
        <v>314</v>
      </c>
      <c r="Y319" s="25" t="s">
        <v>495</v>
      </c>
      <c r="Z319" s="20" t="str">
        <f t="shared" si="12"/>
        <v/>
      </c>
      <c r="AA319" s="21" t="str">
        <f>IF(Z319="","",_xll.IMDP("STK",$Z319,"한글종목명"))</f>
        <v/>
      </c>
      <c r="AB319" s="48" t="str">
        <f>IF(Z319="","",_xll.IMDP("STK",$Z319,"현재가"))</f>
        <v/>
      </c>
      <c r="AC319" s="48" t="str">
        <f>IF(Z319="","",_xll.IMDP("STK",$Z319,"전일대비"))</f>
        <v/>
      </c>
      <c r="AD319" s="49" t="str">
        <f>IF(Z319="","",_xll.IMDP("STK",$Z319,"등락률"))</f>
        <v/>
      </c>
      <c r="AE319" s="48" t="str">
        <f>IF(Z319="","",_xll.IMDP("STK",Z319,"시가총액"))</f>
        <v/>
      </c>
      <c r="AF319" s="20" t="str">
        <f t="shared" si="14"/>
        <v/>
      </c>
      <c r="AG319" s="21" t="str">
        <f>IF(AF319="","",_xll.IMDP("STK",$AF319,"한글종목명"))</f>
        <v/>
      </c>
      <c r="AH319" s="48" t="str">
        <f>IF(AF319="","",_xll.IMDP("STK",$AF319,"현재가"))</f>
        <v/>
      </c>
      <c r="AI319" s="48" t="str">
        <f>IF(AF319="","",_xll.IMDP("STK",$AF319,"전일대비"))</f>
        <v/>
      </c>
      <c r="AJ319" s="49" t="str">
        <f>IF(AF319="","",_xll.IMDP("STK",$AF319,"등락률"))</f>
        <v/>
      </c>
      <c r="AK319" s="48" t="str">
        <f>IF(AF319="","",_xll.IMDP("STK",$AF319,"시가총액"))</f>
        <v/>
      </c>
      <c r="AL319" s="20" t="str">
        <f t="shared" si="13"/>
        <v/>
      </c>
      <c r="AM319" s="21" t="str">
        <f>IF(AL319="","",_xll.IMDP("STK",$AL319,"한글종목명"))</f>
        <v/>
      </c>
      <c r="AN319" s="48" t="str">
        <f>IF(AL319="","",_xll.IMDP("STK",$AL319,"현재가"))</f>
        <v/>
      </c>
      <c r="AO319" s="48" t="str">
        <f>IF(AL319="","",_xll.IMDP("STK",$AL319,"전일대비"))</f>
        <v/>
      </c>
      <c r="AP319" s="49" t="str">
        <f>IF(AL319="","",_xll.IMDP("STK",$AL319,"등락률"))</f>
        <v/>
      </c>
      <c r="AQ319" s="48" t="str">
        <f>IF(AL319="","",_xll.IMDP("STK",$AL319,"시가총액"))</f>
        <v/>
      </c>
    </row>
    <row r="320" spans="3:43" x14ac:dyDescent="0.25">
      <c r="C320" s="22">
        <v>315</v>
      </c>
      <c r="Y320" s="25" t="s">
        <v>406</v>
      </c>
      <c r="Z320" s="20" t="str">
        <f t="shared" si="12"/>
        <v/>
      </c>
      <c r="AA320" s="21" t="str">
        <f>IF(Z320="","",_xll.IMDP("STK",$Z320,"한글종목명"))</f>
        <v/>
      </c>
      <c r="AB320" s="48" t="str">
        <f>IF(Z320="","",_xll.IMDP("STK",$Z320,"현재가"))</f>
        <v/>
      </c>
      <c r="AC320" s="48" t="str">
        <f>IF(Z320="","",_xll.IMDP("STK",$Z320,"전일대비"))</f>
        <v/>
      </c>
      <c r="AD320" s="49" t="str">
        <f>IF(Z320="","",_xll.IMDP("STK",$Z320,"등락률"))</f>
        <v/>
      </c>
      <c r="AE320" s="48" t="str">
        <f>IF(Z320="","",_xll.IMDP("STK",Z320,"시가총액"))</f>
        <v/>
      </c>
      <c r="AF320" s="20" t="str">
        <f t="shared" si="14"/>
        <v/>
      </c>
      <c r="AG320" s="21" t="str">
        <f>IF(AF320="","",_xll.IMDP("STK",$AF320,"한글종목명"))</f>
        <v/>
      </c>
      <c r="AH320" s="48" t="str">
        <f>IF(AF320="","",_xll.IMDP("STK",$AF320,"현재가"))</f>
        <v/>
      </c>
      <c r="AI320" s="48" t="str">
        <f>IF(AF320="","",_xll.IMDP("STK",$AF320,"전일대비"))</f>
        <v/>
      </c>
      <c r="AJ320" s="49" t="str">
        <f>IF(AF320="","",_xll.IMDP("STK",$AF320,"등락률"))</f>
        <v/>
      </c>
      <c r="AK320" s="48" t="str">
        <f>IF(AF320="","",_xll.IMDP("STK",$AF320,"시가총액"))</f>
        <v/>
      </c>
      <c r="AL320" s="20" t="str">
        <f t="shared" si="13"/>
        <v/>
      </c>
      <c r="AM320" s="21" t="str">
        <f>IF(AL320="","",_xll.IMDP("STK",$AL320,"한글종목명"))</f>
        <v/>
      </c>
      <c r="AN320" s="48" t="str">
        <f>IF(AL320="","",_xll.IMDP("STK",$AL320,"현재가"))</f>
        <v/>
      </c>
      <c r="AO320" s="48" t="str">
        <f>IF(AL320="","",_xll.IMDP("STK",$AL320,"전일대비"))</f>
        <v/>
      </c>
      <c r="AP320" s="49" t="str">
        <f>IF(AL320="","",_xll.IMDP("STK",$AL320,"등락률"))</f>
        <v/>
      </c>
      <c r="AQ320" s="48" t="str">
        <f>IF(AL320="","",_xll.IMDP("STK",$AL320,"시가총액"))</f>
        <v/>
      </c>
    </row>
    <row r="321" spans="3:43" x14ac:dyDescent="0.25">
      <c r="C321" s="22">
        <v>316</v>
      </c>
      <c r="Y321" s="25" t="s">
        <v>315</v>
      </c>
      <c r="Z321" s="20" t="str">
        <f t="shared" si="12"/>
        <v/>
      </c>
      <c r="AA321" s="21" t="str">
        <f>IF(Z321="","",_xll.IMDP("STK",$Z321,"한글종목명"))</f>
        <v/>
      </c>
      <c r="AB321" s="48" t="str">
        <f>IF(Z321="","",_xll.IMDP("STK",$Z321,"현재가"))</f>
        <v/>
      </c>
      <c r="AC321" s="48" t="str">
        <f>IF(Z321="","",_xll.IMDP("STK",$Z321,"전일대비"))</f>
        <v/>
      </c>
      <c r="AD321" s="49" t="str">
        <f>IF(Z321="","",_xll.IMDP("STK",$Z321,"등락률"))</f>
        <v/>
      </c>
      <c r="AE321" s="48" t="str">
        <f>IF(Z321="","",_xll.IMDP("STK",Z321,"시가총액"))</f>
        <v/>
      </c>
      <c r="AF321" s="20" t="str">
        <f t="shared" si="14"/>
        <v/>
      </c>
      <c r="AG321" s="21" t="str">
        <f>IF(AF321="","",_xll.IMDP("STK",$AF321,"한글종목명"))</f>
        <v/>
      </c>
      <c r="AH321" s="48" t="str">
        <f>IF(AF321="","",_xll.IMDP("STK",$AF321,"현재가"))</f>
        <v/>
      </c>
      <c r="AI321" s="48" t="str">
        <f>IF(AF321="","",_xll.IMDP("STK",$AF321,"전일대비"))</f>
        <v/>
      </c>
      <c r="AJ321" s="49" t="str">
        <f>IF(AF321="","",_xll.IMDP("STK",$AF321,"등락률"))</f>
        <v/>
      </c>
      <c r="AK321" s="48" t="str">
        <f>IF(AF321="","",_xll.IMDP("STK",$AF321,"시가총액"))</f>
        <v/>
      </c>
      <c r="AL321" s="20" t="str">
        <f t="shared" si="13"/>
        <v/>
      </c>
      <c r="AM321" s="21" t="str">
        <f>IF(AL321="","",_xll.IMDP("STK",$AL321,"한글종목명"))</f>
        <v/>
      </c>
      <c r="AN321" s="48" t="str">
        <f>IF(AL321="","",_xll.IMDP("STK",$AL321,"현재가"))</f>
        <v/>
      </c>
      <c r="AO321" s="48" t="str">
        <f>IF(AL321="","",_xll.IMDP("STK",$AL321,"전일대비"))</f>
        <v/>
      </c>
      <c r="AP321" s="49" t="str">
        <f>IF(AL321="","",_xll.IMDP("STK",$AL321,"등락률"))</f>
        <v/>
      </c>
      <c r="AQ321" s="48" t="str">
        <f>IF(AL321="","",_xll.IMDP("STK",$AL321,"시가총액"))</f>
        <v/>
      </c>
    </row>
    <row r="322" spans="3:43" x14ac:dyDescent="0.25">
      <c r="C322" s="22">
        <v>317</v>
      </c>
      <c r="Y322" s="25" t="s">
        <v>316</v>
      </c>
      <c r="Z322" s="20" t="str">
        <f t="shared" si="12"/>
        <v/>
      </c>
      <c r="AA322" s="21" t="str">
        <f>IF(Z322="","",_xll.IMDP("STK",$Z322,"한글종목명"))</f>
        <v/>
      </c>
      <c r="AB322" s="48" t="str">
        <f>IF(Z322="","",_xll.IMDP("STK",$Z322,"현재가"))</f>
        <v/>
      </c>
      <c r="AC322" s="48" t="str">
        <f>IF(Z322="","",_xll.IMDP("STK",$Z322,"전일대비"))</f>
        <v/>
      </c>
      <c r="AD322" s="49" t="str">
        <f>IF(Z322="","",_xll.IMDP("STK",$Z322,"등락률"))</f>
        <v/>
      </c>
      <c r="AE322" s="48" t="str">
        <f>IF(Z322="","",_xll.IMDP("STK",Z322,"시가총액"))</f>
        <v/>
      </c>
      <c r="AF322" s="20" t="str">
        <f t="shared" si="14"/>
        <v/>
      </c>
      <c r="AG322" s="21" t="str">
        <f>IF(AF322="","",_xll.IMDP("STK",$AF322,"한글종목명"))</f>
        <v/>
      </c>
      <c r="AH322" s="48" t="str">
        <f>IF(AF322="","",_xll.IMDP("STK",$AF322,"현재가"))</f>
        <v/>
      </c>
      <c r="AI322" s="48" t="str">
        <f>IF(AF322="","",_xll.IMDP("STK",$AF322,"전일대비"))</f>
        <v/>
      </c>
      <c r="AJ322" s="49" t="str">
        <f>IF(AF322="","",_xll.IMDP("STK",$AF322,"등락률"))</f>
        <v/>
      </c>
      <c r="AK322" s="48" t="str">
        <f>IF(AF322="","",_xll.IMDP("STK",$AF322,"시가총액"))</f>
        <v/>
      </c>
      <c r="AL322" s="20" t="str">
        <f t="shared" si="13"/>
        <v/>
      </c>
      <c r="AM322" s="21" t="str">
        <f>IF(AL322="","",_xll.IMDP("STK",$AL322,"한글종목명"))</f>
        <v/>
      </c>
      <c r="AN322" s="48" t="str">
        <f>IF(AL322="","",_xll.IMDP("STK",$AL322,"현재가"))</f>
        <v/>
      </c>
      <c r="AO322" s="48" t="str">
        <f>IF(AL322="","",_xll.IMDP("STK",$AL322,"전일대비"))</f>
        <v/>
      </c>
      <c r="AP322" s="49" t="str">
        <f>IF(AL322="","",_xll.IMDP("STK",$AL322,"등락률"))</f>
        <v/>
      </c>
      <c r="AQ322" s="48" t="str">
        <f>IF(AL322="","",_xll.IMDP("STK",$AL322,"시가총액"))</f>
        <v/>
      </c>
    </row>
    <row r="323" spans="3:43" x14ac:dyDescent="0.25">
      <c r="C323" s="22">
        <v>318</v>
      </c>
      <c r="Y323" s="25" t="s">
        <v>1067</v>
      </c>
      <c r="Z323" s="20" t="str">
        <f t="shared" si="12"/>
        <v/>
      </c>
      <c r="AA323" s="21" t="str">
        <f>IF(Z323="","",_xll.IMDP("STK",$Z323,"한글종목명"))</f>
        <v/>
      </c>
      <c r="AB323" s="48" t="str">
        <f>IF(Z323="","",_xll.IMDP("STK",$Z323,"현재가"))</f>
        <v/>
      </c>
      <c r="AC323" s="48" t="str">
        <f>IF(Z323="","",_xll.IMDP("STK",$Z323,"전일대비"))</f>
        <v/>
      </c>
      <c r="AD323" s="49" t="str">
        <f>IF(Z323="","",_xll.IMDP("STK",$Z323,"등락률"))</f>
        <v/>
      </c>
      <c r="AE323" s="48" t="str">
        <f>IF(Z323="","",_xll.IMDP("STK",Z323,"시가총액"))</f>
        <v/>
      </c>
      <c r="AF323" s="20" t="str">
        <f t="shared" si="14"/>
        <v/>
      </c>
      <c r="AG323" s="21" t="str">
        <f>IF(AF323="","",_xll.IMDP("STK",$AF323,"한글종목명"))</f>
        <v/>
      </c>
      <c r="AH323" s="48" t="str">
        <f>IF(AF323="","",_xll.IMDP("STK",$AF323,"현재가"))</f>
        <v/>
      </c>
      <c r="AI323" s="48" t="str">
        <f>IF(AF323="","",_xll.IMDP("STK",$AF323,"전일대비"))</f>
        <v/>
      </c>
      <c r="AJ323" s="49" t="str">
        <f>IF(AF323="","",_xll.IMDP("STK",$AF323,"등락률"))</f>
        <v/>
      </c>
      <c r="AK323" s="48" t="str">
        <f>IF(AF323="","",_xll.IMDP("STK",$AF323,"시가총액"))</f>
        <v/>
      </c>
      <c r="AL323" s="20" t="str">
        <f t="shared" si="13"/>
        <v/>
      </c>
      <c r="AM323" s="21" t="str">
        <f>IF(AL323="","",_xll.IMDP("STK",$AL323,"한글종목명"))</f>
        <v/>
      </c>
      <c r="AN323" s="48" t="str">
        <f>IF(AL323="","",_xll.IMDP("STK",$AL323,"현재가"))</f>
        <v/>
      </c>
      <c r="AO323" s="48" t="str">
        <f>IF(AL323="","",_xll.IMDP("STK",$AL323,"전일대비"))</f>
        <v/>
      </c>
      <c r="AP323" s="49" t="str">
        <f>IF(AL323="","",_xll.IMDP("STK",$AL323,"등락률"))</f>
        <v/>
      </c>
      <c r="AQ323" s="48" t="str">
        <f>IF(AL323="","",_xll.IMDP("STK",$AL323,"시가총액"))</f>
        <v/>
      </c>
    </row>
    <row r="324" spans="3:43" x14ac:dyDescent="0.25">
      <c r="C324" s="22">
        <v>319</v>
      </c>
      <c r="Y324" s="25" t="s">
        <v>664</v>
      </c>
      <c r="Z324" s="20" t="str">
        <f t="shared" si="12"/>
        <v/>
      </c>
      <c r="AA324" s="21" t="str">
        <f>IF(Z324="","",_xll.IMDP("STK",$Z324,"한글종목명"))</f>
        <v/>
      </c>
      <c r="AB324" s="48" t="str">
        <f>IF(Z324="","",_xll.IMDP("STK",$Z324,"현재가"))</f>
        <v/>
      </c>
      <c r="AC324" s="48" t="str">
        <f>IF(Z324="","",_xll.IMDP("STK",$Z324,"전일대비"))</f>
        <v/>
      </c>
      <c r="AD324" s="49" t="str">
        <f>IF(Z324="","",_xll.IMDP("STK",$Z324,"등락률"))</f>
        <v/>
      </c>
      <c r="AE324" s="48" t="str">
        <f>IF(Z324="","",_xll.IMDP("STK",Z324,"시가총액"))</f>
        <v/>
      </c>
      <c r="AF324" s="20" t="str">
        <f t="shared" si="14"/>
        <v/>
      </c>
      <c r="AG324" s="21" t="str">
        <f>IF(AF324="","",_xll.IMDP("STK",$AF324,"한글종목명"))</f>
        <v/>
      </c>
      <c r="AH324" s="48" t="str">
        <f>IF(AF324="","",_xll.IMDP("STK",$AF324,"현재가"))</f>
        <v/>
      </c>
      <c r="AI324" s="48" t="str">
        <f>IF(AF324="","",_xll.IMDP("STK",$AF324,"전일대비"))</f>
        <v/>
      </c>
      <c r="AJ324" s="49" t="str">
        <f>IF(AF324="","",_xll.IMDP("STK",$AF324,"등락률"))</f>
        <v/>
      </c>
      <c r="AK324" s="48" t="str">
        <f>IF(AF324="","",_xll.IMDP("STK",$AF324,"시가총액"))</f>
        <v/>
      </c>
      <c r="AL324" s="20" t="str">
        <f t="shared" si="13"/>
        <v/>
      </c>
      <c r="AM324" s="21" t="str">
        <f>IF(AL324="","",_xll.IMDP("STK",$AL324,"한글종목명"))</f>
        <v/>
      </c>
      <c r="AN324" s="48" t="str">
        <f>IF(AL324="","",_xll.IMDP("STK",$AL324,"현재가"))</f>
        <v/>
      </c>
      <c r="AO324" s="48" t="str">
        <f>IF(AL324="","",_xll.IMDP("STK",$AL324,"전일대비"))</f>
        <v/>
      </c>
      <c r="AP324" s="49" t="str">
        <f>IF(AL324="","",_xll.IMDP("STK",$AL324,"등락률"))</f>
        <v/>
      </c>
      <c r="AQ324" s="48" t="str">
        <f>IF(AL324="","",_xll.IMDP("STK",$AL324,"시가총액"))</f>
        <v/>
      </c>
    </row>
    <row r="325" spans="3:43" x14ac:dyDescent="0.25">
      <c r="C325" s="22">
        <v>320</v>
      </c>
      <c r="Y325" s="25" t="s">
        <v>317</v>
      </c>
      <c r="Z325" s="20" t="str">
        <f t="shared" si="12"/>
        <v/>
      </c>
      <c r="AA325" s="21" t="str">
        <f>IF(Z325="","",_xll.IMDP("STK",$Z325,"한글종목명"))</f>
        <v/>
      </c>
      <c r="AB325" s="48" t="str">
        <f>IF(Z325="","",_xll.IMDP("STK",$Z325,"현재가"))</f>
        <v/>
      </c>
      <c r="AC325" s="48" t="str">
        <f>IF(Z325="","",_xll.IMDP("STK",$Z325,"전일대비"))</f>
        <v/>
      </c>
      <c r="AD325" s="49" t="str">
        <f>IF(Z325="","",_xll.IMDP("STK",$Z325,"등락률"))</f>
        <v/>
      </c>
      <c r="AE325" s="48" t="str">
        <f>IF(Z325="","",_xll.IMDP("STK",Z325,"시가총액"))</f>
        <v/>
      </c>
      <c r="AF325" s="20" t="str">
        <f t="shared" si="14"/>
        <v/>
      </c>
      <c r="AG325" s="21" t="str">
        <f>IF(AF325="","",_xll.IMDP("STK",$AF325,"한글종목명"))</f>
        <v/>
      </c>
      <c r="AH325" s="48" t="str">
        <f>IF(AF325="","",_xll.IMDP("STK",$AF325,"현재가"))</f>
        <v/>
      </c>
      <c r="AI325" s="48" t="str">
        <f>IF(AF325="","",_xll.IMDP("STK",$AF325,"전일대비"))</f>
        <v/>
      </c>
      <c r="AJ325" s="49" t="str">
        <f>IF(AF325="","",_xll.IMDP("STK",$AF325,"등락률"))</f>
        <v/>
      </c>
      <c r="AK325" s="48" t="str">
        <f>IF(AF325="","",_xll.IMDP("STK",$AF325,"시가총액"))</f>
        <v/>
      </c>
      <c r="AL325" s="20" t="str">
        <f t="shared" si="13"/>
        <v/>
      </c>
      <c r="AM325" s="21" t="str">
        <f>IF(AL325="","",_xll.IMDP("STK",$AL325,"한글종목명"))</f>
        <v/>
      </c>
      <c r="AN325" s="48" t="str">
        <f>IF(AL325="","",_xll.IMDP("STK",$AL325,"현재가"))</f>
        <v/>
      </c>
      <c r="AO325" s="48" t="str">
        <f>IF(AL325="","",_xll.IMDP("STK",$AL325,"전일대비"))</f>
        <v/>
      </c>
      <c r="AP325" s="49" t="str">
        <f>IF(AL325="","",_xll.IMDP("STK",$AL325,"등락률"))</f>
        <v/>
      </c>
      <c r="AQ325" s="48" t="str">
        <f>IF(AL325="","",_xll.IMDP("STK",$AL325,"시가총액"))</f>
        <v/>
      </c>
    </row>
    <row r="326" spans="3:43" x14ac:dyDescent="0.25">
      <c r="C326" s="22">
        <v>321</v>
      </c>
      <c r="Y326" s="25" t="s">
        <v>601</v>
      </c>
      <c r="Z326" s="20" t="str">
        <f t="shared" ref="Z326:Z389" si="15">IF(INDEX($D$6:$Y$525,$C326,$AA$4)=0,"",INDEX($D$6:$Y$525,$C326,$AA$4))</f>
        <v/>
      </c>
      <c r="AA326" s="21" t="str">
        <f>IF(Z326="","",_xll.IMDP("STK",$Z326,"한글종목명"))</f>
        <v/>
      </c>
      <c r="AB326" s="48" t="str">
        <f>IF(Z326="","",_xll.IMDP("STK",$Z326,"현재가"))</f>
        <v/>
      </c>
      <c r="AC326" s="48" t="str">
        <f>IF(Z326="","",_xll.IMDP("STK",$Z326,"전일대비"))</f>
        <v/>
      </c>
      <c r="AD326" s="49" t="str">
        <f>IF(Z326="","",_xll.IMDP("STK",$Z326,"등락률"))</f>
        <v/>
      </c>
      <c r="AE326" s="48" t="str">
        <f>IF(Z326="","",_xll.IMDP("STK",Z326,"시가총액"))</f>
        <v/>
      </c>
      <c r="AF326" s="20" t="str">
        <f t="shared" si="14"/>
        <v/>
      </c>
      <c r="AG326" s="21" t="str">
        <f>IF(AF326="","",_xll.IMDP("STK",$AF326,"한글종목명"))</f>
        <v/>
      </c>
      <c r="AH326" s="48" t="str">
        <f>IF(AF326="","",_xll.IMDP("STK",$AF326,"현재가"))</f>
        <v/>
      </c>
      <c r="AI326" s="48" t="str">
        <f>IF(AF326="","",_xll.IMDP("STK",$AF326,"전일대비"))</f>
        <v/>
      </c>
      <c r="AJ326" s="49" t="str">
        <f>IF(AF326="","",_xll.IMDP("STK",$AF326,"등락률"))</f>
        <v/>
      </c>
      <c r="AK326" s="48" t="str">
        <f>IF(AF326="","",_xll.IMDP("STK",$AF326,"시가총액"))</f>
        <v/>
      </c>
      <c r="AL326" s="20" t="str">
        <f t="shared" ref="AL326:AL389" si="16">IF(INDEX($D$6:$Y$525,$C326,$AM$4)=0,"",INDEX($D$6:$Y$525,$C326,$AM$4))</f>
        <v/>
      </c>
      <c r="AM326" s="21" t="str">
        <f>IF(AL326="","",_xll.IMDP("STK",$AL326,"한글종목명"))</f>
        <v/>
      </c>
      <c r="AN326" s="48" t="str">
        <f>IF(AL326="","",_xll.IMDP("STK",$AL326,"현재가"))</f>
        <v/>
      </c>
      <c r="AO326" s="48" t="str">
        <f>IF(AL326="","",_xll.IMDP("STK",$AL326,"전일대비"))</f>
        <v/>
      </c>
      <c r="AP326" s="49" t="str">
        <f>IF(AL326="","",_xll.IMDP("STK",$AL326,"등락률"))</f>
        <v/>
      </c>
      <c r="AQ326" s="48" t="str">
        <f>IF(AL326="","",_xll.IMDP("STK",$AL326,"시가총액"))</f>
        <v/>
      </c>
    </row>
    <row r="327" spans="3:43" x14ac:dyDescent="0.25">
      <c r="C327" s="22">
        <v>322</v>
      </c>
      <c r="Y327" s="25" t="s">
        <v>538</v>
      </c>
      <c r="Z327" s="20" t="str">
        <f t="shared" si="15"/>
        <v/>
      </c>
      <c r="AA327" s="21" t="str">
        <f>IF(Z327="","",_xll.IMDP("STK",$Z327,"한글종목명"))</f>
        <v/>
      </c>
      <c r="AB327" s="48" t="str">
        <f>IF(Z327="","",_xll.IMDP("STK",$Z327,"현재가"))</f>
        <v/>
      </c>
      <c r="AC327" s="48" t="str">
        <f>IF(Z327="","",_xll.IMDP("STK",$Z327,"전일대비"))</f>
        <v/>
      </c>
      <c r="AD327" s="49" t="str">
        <f>IF(Z327="","",_xll.IMDP("STK",$Z327,"등락률"))</f>
        <v/>
      </c>
      <c r="AE327" s="48" t="str">
        <f>IF(Z327="","",_xll.IMDP("STK",Z327,"시가총액"))</f>
        <v/>
      </c>
      <c r="AF327" s="20" t="str">
        <f t="shared" ref="AF327:AF390" si="17">IF(INDEX($D$6:$Y$525,$C327,$AG$4)=0,"",INDEX($D$6:$Y$525,$C327,$AG$4))</f>
        <v/>
      </c>
      <c r="AG327" s="21" t="str">
        <f>IF(AF327="","",_xll.IMDP("STK",$AF327,"한글종목명"))</f>
        <v/>
      </c>
      <c r="AH327" s="48" t="str">
        <f>IF(AF327="","",_xll.IMDP("STK",$AF327,"현재가"))</f>
        <v/>
      </c>
      <c r="AI327" s="48" t="str">
        <f>IF(AF327="","",_xll.IMDP("STK",$AF327,"전일대비"))</f>
        <v/>
      </c>
      <c r="AJ327" s="49" t="str">
        <f>IF(AF327="","",_xll.IMDP("STK",$AF327,"등락률"))</f>
        <v/>
      </c>
      <c r="AK327" s="48" t="str">
        <f>IF(AF327="","",_xll.IMDP("STK",$AF327,"시가총액"))</f>
        <v/>
      </c>
      <c r="AL327" s="20" t="str">
        <f t="shared" si="16"/>
        <v/>
      </c>
      <c r="AM327" s="21" t="str">
        <f>IF(AL327="","",_xll.IMDP("STK",$AL327,"한글종목명"))</f>
        <v/>
      </c>
      <c r="AN327" s="48" t="str">
        <f>IF(AL327="","",_xll.IMDP("STK",$AL327,"현재가"))</f>
        <v/>
      </c>
      <c r="AO327" s="48" t="str">
        <f>IF(AL327="","",_xll.IMDP("STK",$AL327,"전일대비"))</f>
        <v/>
      </c>
      <c r="AP327" s="49" t="str">
        <f>IF(AL327="","",_xll.IMDP("STK",$AL327,"등락률"))</f>
        <v/>
      </c>
      <c r="AQ327" s="48" t="str">
        <f>IF(AL327="","",_xll.IMDP("STK",$AL327,"시가총액"))</f>
        <v/>
      </c>
    </row>
    <row r="328" spans="3:43" x14ac:dyDescent="0.25">
      <c r="C328" s="22">
        <v>323</v>
      </c>
      <c r="Y328" s="25" t="s">
        <v>407</v>
      </c>
      <c r="Z328" s="20" t="str">
        <f t="shared" si="15"/>
        <v/>
      </c>
      <c r="AA328" s="21" t="str">
        <f>IF(Z328="","",_xll.IMDP("STK",$Z328,"한글종목명"))</f>
        <v/>
      </c>
      <c r="AB328" s="48" t="str">
        <f>IF(Z328="","",_xll.IMDP("STK",$Z328,"현재가"))</f>
        <v/>
      </c>
      <c r="AC328" s="48" t="str">
        <f>IF(Z328="","",_xll.IMDP("STK",$Z328,"전일대비"))</f>
        <v/>
      </c>
      <c r="AD328" s="49" t="str">
        <f>IF(Z328="","",_xll.IMDP("STK",$Z328,"등락률"))</f>
        <v/>
      </c>
      <c r="AE328" s="48" t="str">
        <f>IF(Z328="","",_xll.IMDP("STK",Z328,"시가총액"))</f>
        <v/>
      </c>
      <c r="AF328" s="20" t="str">
        <f t="shared" si="17"/>
        <v/>
      </c>
      <c r="AG328" s="21" t="str">
        <f>IF(AF328="","",_xll.IMDP("STK",$AF328,"한글종목명"))</f>
        <v/>
      </c>
      <c r="AH328" s="48" t="str">
        <f>IF(AF328="","",_xll.IMDP("STK",$AF328,"현재가"))</f>
        <v/>
      </c>
      <c r="AI328" s="48" t="str">
        <f>IF(AF328="","",_xll.IMDP("STK",$AF328,"전일대비"))</f>
        <v/>
      </c>
      <c r="AJ328" s="49" t="str">
        <f>IF(AF328="","",_xll.IMDP("STK",$AF328,"등락률"))</f>
        <v/>
      </c>
      <c r="AK328" s="48" t="str">
        <f>IF(AF328="","",_xll.IMDP("STK",$AF328,"시가총액"))</f>
        <v/>
      </c>
      <c r="AL328" s="20" t="str">
        <f t="shared" si="16"/>
        <v/>
      </c>
      <c r="AM328" s="21" t="str">
        <f>IF(AL328="","",_xll.IMDP("STK",$AL328,"한글종목명"))</f>
        <v/>
      </c>
      <c r="AN328" s="48" t="str">
        <f>IF(AL328="","",_xll.IMDP("STK",$AL328,"현재가"))</f>
        <v/>
      </c>
      <c r="AO328" s="48" t="str">
        <f>IF(AL328="","",_xll.IMDP("STK",$AL328,"전일대비"))</f>
        <v/>
      </c>
      <c r="AP328" s="49" t="str">
        <f>IF(AL328="","",_xll.IMDP("STK",$AL328,"등락률"))</f>
        <v/>
      </c>
      <c r="AQ328" s="48" t="str">
        <f>IF(AL328="","",_xll.IMDP("STK",$AL328,"시가총액"))</f>
        <v/>
      </c>
    </row>
    <row r="329" spans="3:43" x14ac:dyDescent="0.25">
      <c r="C329" s="22">
        <v>324</v>
      </c>
      <c r="Y329" s="25" t="s">
        <v>539</v>
      </c>
      <c r="Z329" s="20" t="str">
        <f t="shared" si="15"/>
        <v/>
      </c>
      <c r="AA329" s="21" t="str">
        <f>IF(Z329="","",_xll.IMDP("STK",$Z329,"한글종목명"))</f>
        <v/>
      </c>
      <c r="AB329" s="48" t="str">
        <f>IF(Z329="","",_xll.IMDP("STK",$Z329,"현재가"))</f>
        <v/>
      </c>
      <c r="AC329" s="48" t="str">
        <f>IF(Z329="","",_xll.IMDP("STK",$Z329,"전일대비"))</f>
        <v/>
      </c>
      <c r="AD329" s="49" t="str">
        <f>IF(Z329="","",_xll.IMDP("STK",$Z329,"등락률"))</f>
        <v/>
      </c>
      <c r="AE329" s="48" t="str">
        <f>IF(Z329="","",_xll.IMDP("STK",Z329,"시가총액"))</f>
        <v/>
      </c>
      <c r="AF329" s="20" t="str">
        <f t="shared" si="17"/>
        <v/>
      </c>
      <c r="AG329" s="21" t="str">
        <f>IF(AF329="","",_xll.IMDP("STK",$AF329,"한글종목명"))</f>
        <v/>
      </c>
      <c r="AH329" s="48" t="str">
        <f>IF(AF329="","",_xll.IMDP("STK",$AF329,"현재가"))</f>
        <v/>
      </c>
      <c r="AI329" s="48" t="str">
        <f>IF(AF329="","",_xll.IMDP("STK",$AF329,"전일대비"))</f>
        <v/>
      </c>
      <c r="AJ329" s="49" t="str">
        <f>IF(AF329="","",_xll.IMDP("STK",$AF329,"등락률"))</f>
        <v/>
      </c>
      <c r="AK329" s="48" t="str">
        <f>IF(AF329="","",_xll.IMDP("STK",$AF329,"시가총액"))</f>
        <v/>
      </c>
      <c r="AL329" s="20" t="str">
        <f t="shared" si="16"/>
        <v/>
      </c>
      <c r="AM329" s="21" t="str">
        <f>IF(AL329="","",_xll.IMDP("STK",$AL329,"한글종목명"))</f>
        <v/>
      </c>
      <c r="AN329" s="48" t="str">
        <f>IF(AL329="","",_xll.IMDP("STK",$AL329,"현재가"))</f>
        <v/>
      </c>
      <c r="AO329" s="48" t="str">
        <f>IF(AL329="","",_xll.IMDP("STK",$AL329,"전일대비"))</f>
        <v/>
      </c>
      <c r="AP329" s="49" t="str">
        <f>IF(AL329="","",_xll.IMDP("STK",$AL329,"등락률"))</f>
        <v/>
      </c>
      <c r="AQ329" s="48" t="str">
        <f>IF(AL329="","",_xll.IMDP("STK",$AL329,"시가총액"))</f>
        <v/>
      </c>
    </row>
    <row r="330" spans="3:43" x14ac:dyDescent="0.25">
      <c r="C330" s="22">
        <v>325</v>
      </c>
      <c r="Y330" s="25" t="s">
        <v>318</v>
      </c>
      <c r="Z330" s="20" t="str">
        <f t="shared" si="15"/>
        <v/>
      </c>
      <c r="AA330" s="21" t="str">
        <f>IF(Z330="","",_xll.IMDP("STK",$Z330,"한글종목명"))</f>
        <v/>
      </c>
      <c r="AB330" s="48" t="str">
        <f>IF(Z330="","",_xll.IMDP("STK",$Z330,"현재가"))</f>
        <v/>
      </c>
      <c r="AC330" s="48" t="str">
        <f>IF(Z330="","",_xll.IMDP("STK",$Z330,"전일대비"))</f>
        <v/>
      </c>
      <c r="AD330" s="49" t="str">
        <f>IF(Z330="","",_xll.IMDP("STK",$Z330,"등락률"))</f>
        <v/>
      </c>
      <c r="AE330" s="48" t="str">
        <f>IF(Z330="","",_xll.IMDP("STK",Z330,"시가총액"))</f>
        <v/>
      </c>
      <c r="AF330" s="20" t="str">
        <f t="shared" si="17"/>
        <v/>
      </c>
      <c r="AG330" s="21" t="str">
        <f>IF(AF330="","",_xll.IMDP("STK",$AF330,"한글종목명"))</f>
        <v/>
      </c>
      <c r="AH330" s="48" t="str">
        <f>IF(AF330="","",_xll.IMDP("STK",$AF330,"현재가"))</f>
        <v/>
      </c>
      <c r="AI330" s="48" t="str">
        <f>IF(AF330="","",_xll.IMDP("STK",$AF330,"전일대비"))</f>
        <v/>
      </c>
      <c r="AJ330" s="49" t="str">
        <f>IF(AF330="","",_xll.IMDP("STK",$AF330,"등락률"))</f>
        <v/>
      </c>
      <c r="AK330" s="48" t="str">
        <f>IF(AF330="","",_xll.IMDP("STK",$AF330,"시가총액"))</f>
        <v/>
      </c>
      <c r="AL330" s="20" t="str">
        <f t="shared" si="16"/>
        <v/>
      </c>
      <c r="AM330" s="21" t="str">
        <f>IF(AL330="","",_xll.IMDP("STK",$AL330,"한글종목명"))</f>
        <v/>
      </c>
      <c r="AN330" s="48" t="str">
        <f>IF(AL330="","",_xll.IMDP("STK",$AL330,"현재가"))</f>
        <v/>
      </c>
      <c r="AO330" s="48" t="str">
        <f>IF(AL330="","",_xll.IMDP("STK",$AL330,"전일대비"))</f>
        <v/>
      </c>
      <c r="AP330" s="49" t="str">
        <f>IF(AL330="","",_xll.IMDP("STK",$AL330,"등락률"))</f>
        <v/>
      </c>
      <c r="AQ330" s="48" t="str">
        <f>IF(AL330="","",_xll.IMDP("STK",$AL330,"시가총액"))</f>
        <v/>
      </c>
    </row>
    <row r="331" spans="3:43" x14ac:dyDescent="0.25">
      <c r="C331" s="22">
        <v>326</v>
      </c>
      <c r="Y331" s="25" t="s">
        <v>408</v>
      </c>
      <c r="Z331" s="20" t="str">
        <f t="shared" si="15"/>
        <v/>
      </c>
      <c r="AA331" s="21" t="str">
        <f>IF(Z331="","",_xll.IMDP("STK",$Z331,"한글종목명"))</f>
        <v/>
      </c>
      <c r="AB331" s="48" t="str">
        <f>IF(Z331="","",_xll.IMDP("STK",$Z331,"현재가"))</f>
        <v/>
      </c>
      <c r="AC331" s="48" t="str">
        <f>IF(Z331="","",_xll.IMDP("STK",$Z331,"전일대비"))</f>
        <v/>
      </c>
      <c r="AD331" s="49" t="str">
        <f>IF(Z331="","",_xll.IMDP("STK",$Z331,"등락률"))</f>
        <v/>
      </c>
      <c r="AE331" s="48" t="str">
        <f>IF(Z331="","",_xll.IMDP("STK",Z331,"시가총액"))</f>
        <v/>
      </c>
      <c r="AF331" s="20" t="str">
        <f t="shared" si="17"/>
        <v/>
      </c>
      <c r="AG331" s="21" t="str">
        <f>IF(AF331="","",_xll.IMDP("STK",$AF331,"한글종목명"))</f>
        <v/>
      </c>
      <c r="AH331" s="48" t="str">
        <f>IF(AF331="","",_xll.IMDP("STK",$AF331,"현재가"))</f>
        <v/>
      </c>
      <c r="AI331" s="48" t="str">
        <f>IF(AF331="","",_xll.IMDP("STK",$AF331,"전일대비"))</f>
        <v/>
      </c>
      <c r="AJ331" s="49" t="str">
        <f>IF(AF331="","",_xll.IMDP("STK",$AF331,"등락률"))</f>
        <v/>
      </c>
      <c r="AK331" s="48" t="str">
        <f>IF(AF331="","",_xll.IMDP("STK",$AF331,"시가총액"))</f>
        <v/>
      </c>
      <c r="AL331" s="20" t="str">
        <f t="shared" si="16"/>
        <v/>
      </c>
      <c r="AM331" s="21" t="str">
        <f>IF(AL331="","",_xll.IMDP("STK",$AL331,"한글종목명"))</f>
        <v/>
      </c>
      <c r="AN331" s="48" t="str">
        <f>IF(AL331="","",_xll.IMDP("STK",$AL331,"현재가"))</f>
        <v/>
      </c>
      <c r="AO331" s="48" t="str">
        <f>IF(AL331="","",_xll.IMDP("STK",$AL331,"전일대비"))</f>
        <v/>
      </c>
      <c r="AP331" s="49" t="str">
        <f>IF(AL331="","",_xll.IMDP("STK",$AL331,"등락률"))</f>
        <v/>
      </c>
      <c r="AQ331" s="48" t="str">
        <f>IF(AL331="","",_xll.IMDP("STK",$AL331,"시가총액"))</f>
        <v/>
      </c>
    </row>
    <row r="332" spans="3:43" x14ac:dyDescent="0.25">
      <c r="C332" s="22">
        <v>327</v>
      </c>
      <c r="Y332" s="25" t="s">
        <v>496</v>
      </c>
      <c r="Z332" s="20" t="str">
        <f t="shared" si="15"/>
        <v/>
      </c>
      <c r="AA332" s="21" t="str">
        <f>IF(Z332="","",_xll.IMDP("STK",$Z332,"한글종목명"))</f>
        <v/>
      </c>
      <c r="AB332" s="48" t="str">
        <f>IF(Z332="","",_xll.IMDP("STK",$Z332,"현재가"))</f>
        <v/>
      </c>
      <c r="AC332" s="48" t="str">
        <f>IF(Z332="","",_xll.IMDP("STK",$Z332,"전일대비"))</f>
        <v/>
      </c>
      <c r="AD332" s="49" t="str">
        <f>IF(Z332="","",_xll.IMDP("STK",$Z332,"등락률"))</f>
        <v/>
      </c>
      <c r="AE332" s="48" t="str">
        <f>IF(Z332="","",_xll.IMDP("STK",Z332,"시가총액"))</f>
        <v/>
      </c>
      <c r="AF332" s="20" t="str">
        <f t="shared" si="17"/>
        <v/>
      </c>
      <c r="AG332" s="21" t="str">
        <f>IF(AF332="","",_xll.IMDP("STK",$AF332,"한글종목명"))</f>
        <v/>
      </c>
      <c r="AH332" s="48" t="str">
        <f>IF(AF332="","",_xll.IMDP("STK",$AF332,"현재가"))</f>
        <v/>
      </c>
      <c r="AI332" s="48" t="str">
        <f>IF(AF332="","",_xll.IMDP("STK",$AF332,"전일대비"))</f>
        <v/>
      </c>
      <c r="AJ332" s="49" t="str">
        <f>IF(AF332="","",_xll.IMDP("STK",$AF332,"등락률"))</f>
        <v/>
      </c>
      <c r="AK332" s="48" t="str">
        <f>IF(AF332="","",_xll.IMDP("STK",$AF332,"시가총액"))</f>
        <v/>
      </c>
      <c r="AL332" s="20" t="str">
        <f t="shared" si="16"/>
        <v/>
      </c>
      <c r="AM332" s="21" t="str">
        <f>IF(AL332="","",_xll.IMDP("STK",$AL332,"한글종목명"))</f>
        <v/>
      </c>
      <c r="AN332" s="48" t="str">
        <f>IF(AL332="","",_xll.IMDP("STK",$AL332,"현재가"))</f>
        <v/>
      </c>
      <c r="AO332" s="48" t="str">
        <f>IF(AL332="","",_xll.IMDP("STK",$AL332,"전일대비"))</f>
        <v/>
      </c>
      <c r="AP332" s="49" t="str">
        <f>IF(AL332="","",_xll.IMDP("STK",$AL332,"등락률"))</f>
        <v/>
      </c>
      <c r="AQ332" s="48" t="str">
        <f>IF(AL332="","",_xll.IMDP("STK",$AL332,"시가총액"))</f>
        <v/>
      </c>
    </row>
    <row r="333" spans="3:43" x14ac:dyDescent="0.25">
      <c r="C333" s="22">
        <v>328</v>
      </c>
      <c r="Y333" s="25" t="s">
        <v>374</v>
      </c>
      <c r="Z333" s="20" t="str">
        <f t="shared" si="15"/>
        <v/>
      </c>
      <c r="AA333" s="21" t="str">
        <f>IF(Z333="","",_xll.IMDP("STK",$Z333,"한글종목명"))</f>
        <v/>
      </c>
      <c r="AB333" s="48" t="str">
        <f>IF(Z333="","",_xll.IMDP("STK",$Z333,"현재가"))</f>
        <v/>
      </c>
      <c r="AC333" s="48" t="str">
        <f>IF(Z333="","",_xll.IMDP("STK",$Z333,"전일대비"))</f>
        <v/>
      </c>
      <c r="AD333" s="49" t="str">
        <f>IF(Z333="","",_xll.IMDP("STK",$Z333,"등락률"))</f>
        <v/>
      </c>
      <c r="AE333" s="48" t="str">
        <f>IF(Z333="","",_xll.IMDP("STK",Z333,"시가총액"))</f>
        <v/>
      </c>
      <c r="AF333" s="20" t="str">
        <f t="shared" si="17"/>
        <v/>
      </c>
      <c r="AG333" s="21" t="str">
        <f>IF(AF333="","",_xll.IMDP("STK",$AF333,"한글종목명"))</f>
        <v/>
      </c>
      <c r="AH333" s="48" t="str">
        <f>IF(AF333="","",_xll.IMDP("STK",$AF333,"현재가"))</f>
        <v/>
      </c>
      <c r="AI333" s="48" t="str">
        <f>IF(AF333="","",_xll.IMDP("STK",$AF333,"전일대비"))</f>
        <v/>
      </c>
      <c r="AJ333" s="49" t="str">
        <f>IF(AF333="","",_xll.IMDP("STK",$AF333,"등락률"))</f>
        <v/>
      </c>
      <c r="AK333" s="48" t="str">
        <f>IF(AF333="","",_xll.IMDP("STK",$AF333,"시가총액"))</f>
        <v/>
      </c>
      <c r="AL333" s="20" t="str">
        <f t="shared" si="16"/>
        <v/>
      </c>
      <c r="AM333" s="21" t="str">
        <f>IF(AL333="","",_xll.IMDP("STK",$AL333,"한글종목명"))</f>
        <v/>
      </c>
      <c r="AN333" s="48" t="str">
        <f>IF(AL333="","",_xll.IMDP("STK",$AL333,"현재가"))</f>
        <v/>
      </c>
      <c r="AO333" s="48" t="str">
        <f>IF(AL333="","",_xll.IMDP("STK",$AL333,"전일대비"))</f>
        <v/>
      </c>
      <c r="AP333" s="49" t="str">
        <f>IF(AL333="","",_xll.IMDP("STK",$AL333,"등락률"))</f>
        <v/>
      </c>
      <c r="AQ333" s="48" t="str">
        <f>IF(AL333="","",_xll.IMDP("STK",$AL333,"시가총액"))</f>
        <v/>
      </c>
    </row>
    <row r="334" spans="3:43" x14ac:dyDescent="0.25">
      <c r="C334" s="22">
        <v>329</v>
      </c>
      <c r="Y334" s="25" t="s">
        <v>665</v>
      </c>
      <c r="Z334" s="20" t="str">
        <f t="shared" si="15"/>
        <v/>
      </c>
      <c r="AA334" s="21" t="str">
        <f>IF(Z334="","",_xll.IMDP("STK",$Z334,"한글종목명"))</f>
        <v/>
      </c>
      <c r="AB334" s="48" t="str">
        <f>IF(Z334="","",_xll.IMDP("STK",$Z334,"현재가"))</f>
        <v/>
      </c>
      <c r="AC334" s="48" t="str">
        <f>IF(Z334="","",_xll.IMDP("STK",$Z334,"전일대비"))</f>
        <v/>
      </c>
      <c r="AD334" s="49" t="str">
        <f>IF(Z334="","",_xll.IMDP("STK",$Z334,"등락률"))</f>
        <v/>
      </c>
      <c r="AE334" s="48" t="str">
        <f>IF(Z334="","",_xll.IMDP("STK",Z334,"시가총액"))</f>
        <v/>
      </c>
      <c r="AF334" s="20" t="str">
        <f t="shared" si="17"/>
        <v/>
      </c>
      <c r="AG334" s="21" t="str">
        <f>IF(AF334="","",_xll.IMDP("STK",$AF334,"한글종목명"))</f>
        <v/>
      </c>
      <c r="AH334" s="48" t="str">
        <f>IF(AF334="","",_xll.IMDP("STK",$AF334,"현재가"))</f>
        <v/>
      </c>
      <c r="AI334" s="48" t="str">
        <f>IF(AF334="","",_xll.IMDP("STK",$AF334,"전일대비"))</f>
        <v/>
      </c>
      <c r="AJ334" s="49" t="str">
        <f>IF(AF334="","",_xll.IMDP("STK",$AF334,"등락률"))</f>
        <v/>
      </c>
      <c r="AK334" s="48" t="str">
        <f>IF(AF334="","",_xll.IMDP("STK",$AF334,"시가총액"))</f>
        <v/>
      </c>
      <c r="AL334" s="20" t="str">
        <f t="shared" si="16"/>
        <v/>
      </c>
      <c r="AM334" s="21" t="str">
        <f>IF(AL334="","",_xll.IMDP("STK",$AL334,"한글종목명"))</f>
        <v/>
      </c>
      <c r="AN334" s="48" t="str">
        <f>IF(AL334="","",_xll.IMDP("STK",$AL334,"현재가"))</f>
        <v/>
      </c>
      <c r="AO334" s="48" t="str">
        <f>IF(AL334="","",_xll.IMDP("STK",$AL334,"전일대비"))</f>
        <v/>
      </c>
      <c r="AP334" s="49" t="str">
        <f>IF(AL334="","",_xll.IMDP("STK",$AL334,"등락률"))</f>
        <v/>
      </c>
      <c r="AQ334" s="48" t="str">
        <f>IF(AL334="","",_xll.IMDP("STK",$AL334,"시가총액"))</f>
        <v/>
      </c>
    </row>
    <row r="335" spans="3:43" x14ac:dyDescent="0.25">
      <c r="C335" s="22">
        <v>330</v>
      </c>
      <c r="Y335" s="25" t="s">
        <v>497</v>
      </c>
      <c r="Z335" s="20" t="str">
        <f t="shared" si="15"/>
        <v/>
      </c>
      <c r="AA335" s="21" t="str">
        <f>IF(Z335="","",_xll.IMDP("STK",$Z335,"한글종목명"))</f>
        <v/>
      </c>
      <c r="AB335" s="48" t="str">
        <f>IF(Z335="","",_xll.IMDP("STK",$Z335,"현재가"))</f>
        <v/>
      </c>
      <c r="AC335" s="48" t="str">
        <f>IF(Z335="","",_xll.IMDP("STK",$Z335,"전일대비"))</f>
        <v/>
      </c>
      <c r="AD335" s="49" t="str">
        <f>IF(Z335="","",_xll.IMDP("STK",$Z335,"등락률"))</f>
        <v/>
      </c>
      <c r="AE335" s="48" t="str">
        <f>IF(Z335="","",_xll.IMDP("STK",Z335,"시가총액"))</f>
        <v/>
      </c>
      <c r="AF335" s="20" t="str">
        <f t="shared" si="17"/>
        <v/>
      </c>
      <c r="AG335" s="21" t="str">
        <f>IF(AF335="","",_xll.IMDP("STK",$AF335,"한글종목명"))</f>
        <v/>
      </c>
      <c r="AH335" s="48" t="str">
        <f>IF(AF335="","",_xll.IMDP("STK",$AF335,"현재가"))</f>
        <v/>
      </c>
      <c r="AI335" s="48" t="str">
        <f>IF(AF335="","",_xll.IMDP("STK",$AF335,"전일대비"))</f>
        <v/>
      </c>
      <c r="AJ335" s="49" t="str">
        <f>IF(AF335="","",_xll.IMDP("STK",$AF335,"등락률"))</f>
        <v/>
      </c>
      <c r="AK335" s="48" t="str">
        <f>IF(AF335="","",_xll.IMDP("STK",$AF335,"시가총액"))</f>
        <v/>
      </c>
      <c r="AL335" s="20" t="str">
        <f t="shared" si="16"/>
        <v/>
      </c>
      <c r="AM335" s="21" t="str">
        <f>IF(AL335="","",_xll.IMDP("STK",$AL335,"한글종목명"))</f>
        <v/>
      </c>
      <c r="AN335" s="48" t="str">
        <f>IF(AL335="","",_xll.IMDP("STK",$AL335,"현재가"))</f>
        <v/>
      </c>
      <c r="AO335" s="48" t="str">
        <f>IF(AL335="","",_xll.IMDP("STK",$AL335,"전일대비"))</f>
        <v/>
      </c>
      <c r="AP335" s="49" t="str">
        <f>IF(AL335="","",_xll.IMDP("STK",$AL335,"등락률"))</f>
        <v/>
      </c>
      <c r="AQ335" s="48" t="str">
        <f>IF(AL335="","",_xll.IMDP("STK",$AL335,"시가총액"))</f>
        <v/>
      </c>
    </row>
    <row r="336" spans="3:43" x14ac:dyDescent="0.25">
      <c r="C336" s="22">
        <v>331</v>
      </c>
      <c r="Y336" s="25" t="s">
        <v>211</v>
      </c>
      <c r="Z336" s="20" t="str">
        <f t="shared" si="15"/>
        <v/>
      </c>
      <c r="AA336" s="21" t="str">
        <f>IF(Z336="","",_xll.IMDP("STK",$Z336,"한글종목명"))</f>
        <v/>
      </c>
      <c r="AB336" s="48" t="str">
        <f>IF(Z336="","",_xll.IMDP("STK",$Z336,"현재가"))</f>
        <v/>
      </c>
      <c r="AC336" s="48" t="str">
        <f>IF(Z336="","",_xll.IMDP("STK",$Z336,"전일대비"))</f>
        <v/>
      </c>
      <c r="AD336" s="49" t="str">
        <f>IF(Z336="","",_xll.IMDP("STK",$Z336,"등락률"))</f>
        <v/>
      </c>
      <c r="AE336" s="48" t="str">
        <f>IF(Z336="","",_xll.IMDP("STK",Z336,"시가총액"))</f>
        <v/>
      </c>
      <c r="AF336" s="20" t="str">
        <f t="shared" si="17"/>
        <v/>
      </c>
      <c r="AG336" s="21" t="str">
        <f>IF(AF336="","",_xll.IMDP("STK",$AF336,"한글종목명"))</f>
        <v/>
      </c>
      <c r="AH336" s="48" t="str">
        <f>IF(AF336="","",_xll.IMDP("STK",$AF336,"현재가"))</f>
        <v/>
      </c>
      <c r="AI336" s="48" t="str">
        <f>IF(AF336="","",_xll.IMDP("STK",$AF336,"전일대비"))</f>
        <v/>
      </c>
      <c r="AJ336" s="49" t="str">
        <f>IF(AF336="","",_xll.IMDP("STK",$AF336,"등락률"))</f>
        <v/>
      </c>
      <c r="AK336" s="48" t="str">
        <f>IF(AF336="","",_xll.IMDP("STK",$AF336,"시가총액"))</f>
        <v/>
      </c>
      <c r="AL336" s="20" t="str">
        <f t="shared" si="16"/>
        <v/>
      </c>
      <c r="AM336" s="21" t="str">
        <f>IF(AL336="","",_xll.IMDP("STK",$AL336,"한글종목명"))</f>
        <v/>
      </c>
      <c r="AN336" s="48" t="str">
        <f>IF(AL336="","",_xll.IMDP("STK",$AL336,"현재가"))</f>
        <v/>
      </c>
      <c r="AO336" s="48" t="str">
        <f>IF(AL336="","",_xll.IMDP("STK",$AL336,"전일대비"))</f>
        <v/>
      </c>
      <c r="AP336" s="49" t="str">
        <f>IF(AL336="","",_xll.IMDP("STK",$AL336,"등락률"))</f>
        <v/>
      </c>
      <c r="AQ336" s="48" t="str">
        <f>IF(AL336="","",_xll.IMDP("STK",$AL336,"시가총액"))</f>
        <v/>
      </c>
    </row>
    <row r="337" spans="3:43" x14ac:dyDescent="0.25">
      <c r="C337" s="22">
        <v>332</v>
      </c>
      <c r="Y337" s="25" t="s">
        <v>409</v>
      </c>
      <c r="Z337" s="20" t="str">
        <f t="shared" si="15"/>
        <v/>
      </c>
      <c r="AA337" s="21" t="str">
        <f>IF(Z337="","",_xll.IMDP("STK",$Z337,"한글종목명"))</f>
        <v/>
      </c>
      <c r="AB337" s="48" t="str">
        <f>IF(Z337="","",_xll.IMDP("STK",$Z337,"현재가"))</f>
        <v/>
      </c>
      <c r="AC337" s="48" t="str">
        <f>IF(Z337="","",_xll.IMDP("STK",$Z337,"전일대비"))</f>
        <v/>
      </c>
      <c r="AD337" s="49" t="str">
        <f>IF(Z337="","",_xll.IMDP("STK",$Z337,"등락률"))</f>
        <v/>
      </c>
      <c r="AE337" s="48" t="str">
        <f>IF(Z337="","",_xll.IMDP("STK",Z337,"시가총액"))</f>
        <v/>
      </c>
      <c r="AF337" s="20" t="str">
        <f t="shared" si="17"/>
        <v/>
      </c>
      <c r="AG337" s="21" t="str">
        <f>IF(AF337="","",_xll.IMDP("STK",$AF337,"한글종목명"))</f>
        <v/>
      </c>
      <c r="AH337" s="48" t="str">
        <f>IF(AF337="","",_xll.IMDP("STK",$AF337,"현재가"))</f>
        <v/>
      </c>
      <c r="AI337" s="48" t="str">
        <f>IF(AF337="","",_xll.IMDP("STK",$AF337,"전일대비"))</f>
        <v/>
      </c>
      <c r="AJ337" s="49" t="str">
        <f>IF(AF337="","",_xll.IMDP("STK",$AF337,"등락률"))</f>
        <v/>
      </c>
      <c r="AK337" s="48" t="str">
        <f>IF(AF337="","",_xll.IMDP("STK",$AF337,"시가총액"))</f>
        <v/>
      </c>
      <c r="AL337" s="20" t="str">
        <f t="shared" si="16"/>
        <v/>
      </c>
      <c r="AM337" s="21" t="str">
        <f>IF(AL337="","",_xll.IMDP("STK",$AL337,"한글종목명"))</f>
        <v/>
      </c>
      <c r="AN337" s="48" t="str">
        <f>IF(AL337="","",_xll.IMDP("STK",$AL337,"현재가"))</f>
        <v/>
      </c>
      <c r="AO337" s="48" t="str">
        <f>IF(AL337="","",_xll.IMDP("STK",$AL337,"전일대비"))</f>
        <v/>
      </c>
      <c r="AP337" s="49" t="str">
        <f>IF(AL337="","",_xll.IMDP("STK",$AL337,"등락률"))</f>
        <v/>
      </c>
      <c r="AQ337" s="48" t="str">
        <f>IF(AL337="","",_xll.IMDP("STK",$AL337,"시가총액"))</f>
        <v/>
      </c>
    </row>
    <row r="338" spans="3:43" x14ac:dyDescent="0.25">
      <c r="C338" s="22">
        <v>333</v>
      </c>
      <c r="Y338" s="25" t="s">
        <v>212</v>
      </c>
      <c r="Z338" s="20" t="str">
        <f t="shared" si="15"/>
        <v/>
      </c>
      <c r="AA338" s="21" t="str">
        <f>IF(Z338="","",_xll.IMDP("STK",$Z338,"한글종목명"))</f>
        <v/>
      </c>
      <c r="AB338" s="48" t="str">
        <f>IF(Z338="","",_xll.IMDP("STK",$Z338,"현재가"))</f>
        <v/>
      </c>
      <c r="AC338" s="48" t="str">
        <f>IF(Z338="","",_xll.IMDP("STK",$Z338,"전일대비"))</f>
        <v/>
      </c>
      <c r="AD338" s="49" t="str">
        <f>IF(Z338="","",_xll.IMDP("STK",$Z338,"등락률"))</f>
        <v/>
      </c>
      <c r="AE338" s="48" t="str">
        <f>IF(Z338="","",_xll.IMDP("STK",Z338,"시가총액"))</f>
        <v/>
      </c>
      <c r="AF338" s="20" t="str">
        <f t="shared" si="17"/>
        <v/>
      </c>
      <c r="AG338" s="21" t="str">
        <f>IF(AF338="","",_xll.IMDP("STK",$AF338,"한글종목명"))</f>
        <v/>
      </c>
      <c r="AH338" s="48" t="str">
        <f>IF(AF338="","",_xll.IMDP("STK",$AF338,"현재가"))</f>
        <v/>
      </c>
      <c r="AI338" s="48" t="str">
        <f>IF(AF338="","",_xll.IMDP("STK",$AF338,"전일대비"))</f>
        <v/>
      </c>
      <c r="AJ338" s="49" t="str">
        <f>IF(AF338="","",_xll.IMDP("STK",$AF338,"등락률"))</f>
        <v/>
      </c>
      <c r="AK338" s="48" t="str">
        <f>IF(AF338="","",_xll.IMDP("STK",$AF338,"시가총액"))</f>
        <v/>
      </c>
      <c r="AL338" s="20" t="str">
        <f t="shared" si="16"/>
        <v/>
      </c>
      <c r="AM338" s="21" t="str">
        <f>IF(AL338="","",_xll.IMDP("STK",$AL338,"한글종목명"))</f>
        <v/>
      </c>
      <c r="AN338" s="48" t="str">
        <f>IF(AL338="","",_xll.IMDP("STK",$AL338,"현재가"))</f>
        <v/>
      </c>
      <c r="AO338" s="48" t="str">
        <f>IF(AL338="","",_xll.IMDP("STK",$AL338,"전일대비"))</f>
        <v/>
      </c>
      <c r="AP338" s="49" t="str">
        <f>IF(AL338="","",_xll.IMDP("STK",$AL338,"등락률"))</f>
        <v/>
      </c>
      <c r="AQ338" s="48" t="str">
        <f>IF(AL338="","",_xll.IMDP("STK",$AL338,"시가총액"))</f>
        <v/>
      </c>
    </row>
    <row r="339" spans="3:43" x14ac:dyDescent="0.25">
      <c r="C339" s="22">
        <v>334</v>
      </c>
      <c r="Y339" s="25" t="s">
        <v>410</v>
      </c>
      <c r="Z339" s="20" t="str">
        <f t="shared" si="15"/>
        <v/>
      </c>
      <c r="AA339" s="21" t="str">
        <f>IF(Z339="","",_xll.IMDP("STK",$Z339,"한글종목명"))</f>
        <v/>
      </c>
      <c r="AB339" s="48" t="str">
        <f>IF(Z339="","",_xll.IMDP("STK",$Z339,"현재가"))</f>
        <v/>
      </c>
      <c r="AC339" s="48" t="str">
        <f>IF(Z339="","",_xll.IMDP("STK",$Z339,"전일대비"))</f>
        <v/>
      </c>
      <c r="AD339" s="49" t="str">
        <f>IF(Z339="","",_xll.IMDP("STK",$Z339,"등락률"))</f>
        <v/>
      </c>
      <c r="AE339" s="48" t="str">
        <f>IF(Z339="","",_xll.IMDP("STK",Z339,"시가총액"))</f>
        <v/>
      </c>
      <c r="AF339" s="20" t="str">
        <f t="shared" si="17"/>
        <v/>
      </c>
      <c r="AG339" s="21" t="str">
        <f>IF(AF339="","",_xll.IMDP("STK",$AF339,"한글종목명"))</f>
        <v/>
      </c>
      <c r="AH339" s="48" t="str">
        <f>IF(AF339="","",_xll.IMDP("STK",$AF339,"현재가"))</f>
        <v/>
      </c>
      <c r="AI339" s="48" t="str">
        <f>IF(AF339="","",_xll.IMDP("STK",$AF339,"전일대비"))</f>
        <v/>
      </c>
      <c r="AJ339" s="49" t="str">
        <f>IF(AF339="","",_xll.IMDP("STK",$AF339,"등락률"))</f>
        <v/>
      </c>
      <c r="AK339" s="48" t="str">
        <f>IF(AF339="","",_xll.IMDP("STK",$AF339,"시가총액"))</f>
        <v/>
      </c>
      <c r="AL339" s="20" t="str">
        <f t="shared" si="16"/>
        <v/>
      </c>
      <c r="AM339" s="21" t="str">
        <f>IF(AL339="","",_xll.IMDP("STK",$AL339,"한글종목명"))</f>
        <v/>
      </c>
      <c r="AN339" s="48" t="str">
        <f>IF(AL339="","",_xll.IMDP("STK",$AL339,"현재가"))</f>
        <v/>
      </c>
      <c r="AO339" s="48" t="str">
        <f>IF(AL339="","",_xll.IMDP("STK",$AL339,"전일대비"))</f>
        <v/>
      </c>
      <c r="AP339" s="49" t="str">
        <f>IF(AL339="","",_xll.IMDP("STK",$AL339,"등락률"))</f>
        <v/>
      </c>
      <c r="AQ339" s="48" t="str">
        <f>IF(AL339="","",_xll.IMDP("STK",$AL339,"시가총액"))</f>
        <v/>
      </c>
    </row>
    <row r="340" spans="3:43" x14ac:dyDescent="0.25">
      <c r="C340" s="22">
        <v>335</v>
      </c>
      <c r="Y340" s="25" t="s">
        <v>213</v>
      </c>
      <c r="Z340" s="20" t="str">
        <f t="shared" si="15"/>
        <v/>
      </c>
      <c r="AA340" s="21" t="str">
        <f>IF(Z340="","",_xll.IMDP("STK",$Z340,"한글종목명"))</f>
        <v/>
      </c>
      <c r="AB340" s="48" t="str">
        <f>IF(Z340="","",_xll.IMDP("STK",$Z340,"현재가"))</f>
        <v/>
      </c>
      <c r="AC340" s="48" t="str">
        <f>IF(Z340="","",_xll.IMDP("STK",$Z340,"전일대비"))</f>
        <v/>
      </c>
      <c r="AD340" s="49" t="str">
        <f>IF(Z340="","",_xll.IMDP("STK",$Z340,"등락률"))</f>
        <v/>
      </c>
      <c r="AE340" s="48" t="str">
        <f>IF(Z340="","",_xll.IMDP("STK",Z340,"시가총액"))</f>
        <v/>
      </c>
      <c r="AF340" s="20" t="str">
        <f t="shared" si="17"/>
        <v/>
      </c>
      <c r="AG340" s="21" t="str">
        <f>IF(AF340="","",_xll.IMDP("STK",$AF340,"한글종목명"))</f>
        <v/>
      </c>
      <c r="AH340" s="48" t="str">
        <f>IF(AF340="","",_xll.IMDP("STK",$AF340,"현재가"))</f>
        <v/>
      </c>
      <c r="AI340" s="48" t="str">
        <f>IF(AF340="","",_xll.IMDP("STK",$AF340,"전일대비"))</f>
        <v/>
      </c>
      <c r="AJ340" s="49" t="str">
        <f>IF(AF340="","",_xll.IMDP("STK",$AF340,"등락률"))</f>
        <v/>
      </c>
      <c r="AK340" s="48" t="str">
        <f>IF(AF340="","",_xll.IMDP("STK",$AF340,"시가총액"))</f>
        <v/>
      </c>
      <c r="AL340" s="20" t="str">
        <f t="shared" si="16"/>
        <v/>
      </c>
      <c r="AM340" s="21" t="str">
        <f>IF(AL340="","",_xll.IMDP("STK",$AL340,"한글종목명"))</f>
        <v/>
      </c>
      <c r="AN340" s="48" t="str">
        <f>IF(AL340="","",_xll.IMDP("STK",$AL340,"현재가"))</f>
        <v/>
      </c>
      <c r="AO340" s="48" t="str">
        <f>IF(AL340="","",_xll.IMDP("STK",$AL340,"전일대비"))</f>
        <v/>
      </c>
      <c r="AP340" s="49" t="str">
        <f>IF(AL340="","",_xll.IMDP("STK",$AL340,"등락률"))</f>
        <v/>
      </c>
      <c r="AQ340" s="48" t="str">
        <f>IF(AL340="","",_xll.IMDP("STK",$AL340,"시가총액"))</f>
        <v/>
      </c>
    </row>
    <row r="341" spans="3:43" x14ac:dyDescent="0.25">
      <c r="C341" s="22">
        <v>336</v>
      </c>
      <c r="Y341" s="25" t="s">
        <v>540</v>
      </c>
      <c r="Z341" s="20" t="str">
        <f t="shared" si="15"/>
        <v/>
      </c>
      <c r="AA341" s="21" t="str">
        <f>IF(Z341="","",_xll.IMDP("STK",$Z341,"한글종목명"))</f>
        <v/>
      </c>
      <c r="AB341" s="48" t="str">
        <f>IF(Z341="","",_xll.IMDP("STK",$Z341,"현재가"))</f>
        <v/>
      </c>
      <c r="AC341" s="48" t="str">
        <f>IF(Z341="","",_xll.IMDP("STK",$Z341,"전일대비"))</f>
        <v/>
      </c>
      <c r="AD341" s="49" t="str">
        <f>IF(Z341="","",_xll.IMDP("STK",$Z341,"등락률"))</f>
        <v/>
      </c>
      <c r="AE341" s="48" t="str">
        <f>IF(Z341="","",_xll.IMDP("STK",Z341,"시가총액"))</f>
        <v/>
      </c>
      <c r="AF341" s="20" t="str">
        <f t="shared" si="17"/>
        <v/>
      </c>
      <c r="AG341" s="21" t="str">
        <f>IF(AF341="","",_xll.IMDP("STK",$AF341,"한글종목명"))</f>
        <v/>
      </c>
      <c r="AH341" s="48" t="str">
        <f>IF(AF341="","",_xll.IMDP("STK",$AF341,"현재가"))</f>
        <v/>
      </c>
      <c r="AI341" s="48" t="str">
        <f>IF(AF341="","",_xll.IMDP("STK",$AF341,"전일대비"))</f>
        <v/>
      </c>
      <c r="AJ341" s="49" t="str">
        <f>IF(AF341="","",_xll.IMDP("STK",$AF341,"등락률"))</f>
        <v/>
      </c>
      <c r="AK341" s="48" t="str">
        <f>IF(AF341="","",_xll.IMDP("STK",$AF341,"시가총액"))</f>
        <v/>
      </c>
      <c r="AL341" s="20" t="str">
        <f t="shared" si="16"/>
        <v/>
      </c>
      <c r="AM341" s="21" t="str">
        <f>IF(AL341="","",_xll.IMDP("STK",$AL341,"한글종목명"))</f>
        <v/>
      </c>
      <c r="AN341" s="48" t="str">
        <f>IF(AL341="","",_xll.IMDP("STK",$AL341,"현재가"))</f>
        <v/>
      </c>
      <c r="AO341" s="48" t="str">
        <f>IF(AL341="","",_xll.IMDP("STK",$AL341,"전일대비"))</f>
        <v/>
      </c>
      <c r="AP341" s="49" t="str">
        <f>IF(AL341="","",_xll.IMDP("STK",$AL341,"등락률"))</f>
        <v/>
      </c>
      <c r="AQ341" s="48" t="str">
        <f>IF(AL341="","",_xll.IMDP("STK",$AL341,"시가총액"))</f>
        <v/>
      </c>
    </row>
    <row r="342" spans="3:43" x14ac:dyDescent="0.25">
      <c r="C342" s="22">
        <v>337</v>
      </c>
      <c r="Y342" s="25" t="s">
        <v>628</v>
      </c>
      <c r="Z342" s="20" t="str">
        <f t="shared" si="15"/>
        <v/>
      </c>
      <c r="AA342" s="21" t="str">
        <f>IF(Z342="","",_xll.IMDP("STK",$Z342,"한글종목명"))</f>
        <v/>
      </c>
      <c r="AB342" s="48" t="str">
        <f>IF(Z342="","",_xll.IMDP("STK",$Z342,"현재가"))</f>
        <v/>
      </c>
      <c r="AC342" s="48" t="str">
        <f>IF(Z342="","",_xll.IMDP("STK",$Z342,"전일대비"))</f>
        <v/>
      </c>
      <c r="AD342" s="49" t="str">
        <f>IF(Z342="","",_xll.IMDP("STK",$Z342,"등락률"))</f>
        <v/>
      </c>
      <c r="AE342" s="48" t="str">
        <f>IF(Z342="","",_xll.IMDP("STK",Z342,"시가총액"))</f>
        <v/>
      </c>
      <c r="AF342" s="20" t="str">
        <f t="shared" si="17"/>
        <v/>
      </c>
      <c r="AG342" s="21" t="str">
        <f>IF(AF342="","",_xll.IMDP("STK",$AF342,"한글종목명"))</f>
        <v/>
      </c>
      <c r="AH342" s="48" t="str">
        <f>IF(AF342="","",_xll.IMDP("STK",$AF342,"현재가"))</f>
        <v/>
      </c>
      <c r="AI342" s="48" t="str">
        <f>IF(AF342="","",_xll.IMDP("STK",$AF342,"전일대비"))</f>
        <v/>
      </c>
      <c r="AJ342" s="49" t="str">
        <f>IF(AF342="","",_xll.IMDP("STK",$AF342,"등락률"))</f>
        <v/>
      </c>
      <c r="AK342" s="48" t="str">
        <f>IF(AF342="","",_xll.IMDP("STK",$AF342,"시가총액"))</f>
        <v/>
      </c>
      <c r="AL342" s="20" t="str">
        <f t="shared" si="16"/>
        <v/>
      </c>
      <c r="AM342" s="21" t="str">
        <f>IF(AL342="","",_xll.IMDP("STK",$AL342,"한글종목명"))</f>
        <v/>
      </c>
      <c r="AN342" s="48" t="str">
        <f>IF(AL342="","",_xll.IMDP("STK",$AL342,"현재가"))</f>
        <v/>
      </c>
      <c r="AO342" s="48" t="str">
        <f>IF(AL342="","",_xll.IMDP("STK",$AL342,"전일대비"))</f>
        <v/>
      </c>
      <c r="AP342" s="49" t="str">
        <f>IF(AL342="","",_xll.IMDP("STK",$AL342,"등락률"))</f>
        <v/>
      </c>
      <c r="AQ342" s="48" t="str">
        <f>IF(AL342="","",_xll.IMDP("STK",$AL342,"시가총액"))</f>
        <v/>
      </c>
    </row>
    <row r="343" spans="3:43" x14ac:dyDescent="0.25">
      <c r="C343" s="22">
        <v>338</v>
      </c>
      <c r="Y343" s="25" t="s">
        <v>541</v>
      </c>
      <c r="Z343" s="20" t="str">
        <f t="shared" si="15"/>
        <v/>
      </c>
      <c r="AA343" s="21" t="str">
        <f>IF(Z343="","",_xll.IMDP("STK",$Z343,"한글종목명"))</f>
        <v/>
      </c>
      <c r="AB343" s="48" t="str">
        <f>IF(Z343="","",_xll.IMDP("STK",$Z343,"현재가"))</f>
        <v/>
      </c>
      <c r="AC343" s="48" t="str">
        <f>IF(Z343="","",_xll.IMDP("STK",$Z343,"전일대비"))</f>
        <v/>
      </c>
      <c r="AD343" s="49" t="str">
        <f>IF(Z343="","",_xll.IMDP("STK",$Z343,"등락률"))</f>
        <v/>
      </c>
      <c r="AE343" s="48" t="str">
        <f>IF(Z343="","",_xll.IMDP("STK",Z343,"시가총액"))</f>
        <v/>
      </c>
      <c r="AF343" s="20" t="str">
        <f t="shared" si="17"/>
        <v/>
      </c>
      <c r="AG343" s="21" t="str">
        <f>IF(AF343="","",_xll.IMDP("STK",$AF343,"한글종목명"))</f>
        <v/>
      </c>
      <c r="AH343" s="48" t="str">
        <f>IF(AF343="","",_xll.IMDP("STK",$AF343,"현재가"))</f>
        <v/>
      </c>
      <c r="AI343" s="48" t="str">
        <f>IF(AF343="","",_xll.IMDP("STK",$AF343,"전일대비"))</f>
        <v/>
      </c>
      <c r="AJ343" s="49" t="str">
        <f>IF(AF343="","",_xll.IMDP("STK",$AF343,"등락률"))</f>
        <v/>
      </c>
      <c r="AK343" s="48" t="str">
        <f>IF(AF343="","",_xll.IMDP("STK",$AF343,"시가총액"))</f>
        <v/>
      </c>
      <c r="AL343" s="20" t="str">
        <f t="shared" si="16"/>
        <v/>
      </c>
      <c r="AM343" s="21" t="str">
        <f>IF(AL343="","",_xll.IMDP("STK",$AL343,"한글종목명"))</f>
        <v/>
      </c>
      <c r="AN343" s="48" t="str">
        <f>IF(AL343="","",_xll.IMDP("STK",$AL343,"현재가"))</f>
        <v/>
      </c>
      <c r="AO343" s="48" t="str">
        <f>IF(AL343="","",_xll.IMDP("STK",$AL343,"전일대비"))</f>
        <v/>
      </c>
      <c r="AP343" s="49" t="str">
        <f>IF(AL343="","",_xll.IMDP("STK",$AL343,"등락률"))</f>
        <v/>
      </c>
      <c r="AQ343" s="48" t="str">
        <f>IF(AL343="","",_xll.IMDP("STK",$AL343,"시가총액"))</f>
        <v/>
      </c>
    </row>
    <row r="344" spans="3:43" x14ac:dyDescent="0.25">
      <c r="C344" s="22">
        <v>339</v>
      </c>
      <c r="Y344" s="25" t="s">
        <v>602</v>
      </c>
      <c r="Z344" s="20" t="str">
        <f t="shared" si="15"/>
        <v/>
      </c>
      <c r="AA344" s="21" t="str">
        <f>IF(Z344="","",_xll.IMDP("STK",$Z344,"한글종목명"))</f>
        <v/>
      </c>
      <c r="AB344" s="48" t="str">
        <f>IF(Z344="","",_xll.IMDP("STK",$Z344,"현재가"))</f>
        <v/>
      </c>
      <c r="AC344" s="48" t="str">
        <f>IF(Z344="","",_xll.IMDP("STK",$Z344,"전일대비"))</f>
        <v/>
      </c>
      <c r="AD344" s="49" t="str">
        <f>IF(Z344="","",_xll.IMDP("STK",$Z344,"등락률"))</f>
        <v/>
      </c>
      <c r="AE344" s="48" t="str">
        <f>IF(Z344="","",_xll.IMDP("STK",Z344,"시가총액"))</f>
        <v/>
      </c>
      <c r="AF344" s="20" t="str">
        <f t="shared" si="17"/>
        <v/>
      </c>
      <c r="AG344" s="21" t="str">
        <f>IF(AF344="","",_xll.IMDP("STK",$AF344,"한글종목명"))</f>
        <v/>
      </c>
      <c r="AH344" s="48" t="str">
        <f>IF(AF344="","",_xll.IMDP("STK",$AF344,"현재가"))</f>
        <v/>
      </c>
      <c r="AI344" s="48" t="str">
        <f>IF(AF344="","",_xll.IMDP("STK",$AF344,"전일대비"))</f>
        <v/>
      </c>
      <c r="AJ344" s="49" t="str">
        <f>IF(AF344="","",_xll.IMDP("STK",$AF344,"등락률"))</f>
        <v/>
      </c>
      <c r="AK344" s="48" t="str">
        <f>IF(AF344="","",_xll.IMDP("STK",$AF344,"시가총액"))</f>
        <v/>
      </c>
      <c r="AL344" s="20" t="str">
        <f t="shared" si="16"/>
        <v/>
      </c>
      <c r="AM344" s="21" t="str">
        <f>IF(AL344="","",_xll.IMDP("STK",$AL344,"한글종목명"))</f>
        <v/>
      </c>
      <c r="AN344" s="48" t="str">
        <f>IF(AL344="","",_xll.IMDP("STK",$AL344,"현재가"))</f>
        <v/>
      </c>
      <c r="AO344" s="48" t="str">
        <f>IF(AL344="","",_xll.IMDP("STK",$AL344,"전일대비"))</f>
        <v/>
      </c>
      <c r="AP344" s="49" t="str">
        <f>IF(AL344="","",_xll.IMDP("STK",$AL344,"등락률"))</f>
        <v/>
      </c>
      <c r="AQ344" s="48" t="str">
        <f>IF(AL344="","",_xll.IMDP("STK",$AL344,"시가총액"))</f>
        <v/>
      </c>
    </row>
    <row r="345" spans="3:43" x14ac:dyDescent="0.25">
      <c r="C345" s="22">
        <v>340</v>
      </c>
      <c r="Y345" s="25" t="s">
        <v>239</v>
      </c>
      <c r="Z345" s="20" t="str">
        <f t="shared" si="15"/>
        <v/>
      </c>
      <c r="AA345" s="21" t="str">
        <f>IF(Z345="","",_xll.IMDP("STK",$Z345,"한글종목명"))</f>
        <v/>
      </c>
      <c r="AB345" s="48" t="str">
        <f>IF(Z345="","",_xll.IMDP("STK",$Z345,"현재가"))</f>
        <v/>
      </c>
      <c r="AC345" s="48" t="str">
        <f>IF(Z345="","",_xll.IMDP("STK",$Z345,"전일대비"))</f>
        <v/>
      </c>
      <c r="AD345" s="49" t="str">
        <f>IF(Z345="","",_xll.IMDP("STK",$Z345,"등락률"))</f>
        <v/>
      </c>
      <c r="AE345" s="48" t="str">
        <f>IF(Z345="","",_xll.IMDP("STK",Z345,"시가총액"))</f>
        <v/>
      </c>
      <c r="AF345" s="20" t="str">
        <f t="shared" si="17"/>
        <v/>
      </c>
      <c r="AG345" s="21" t="str">
        <f>IF(AF345="","",_xll.IMDP("STK",$AF345,"한글종목명"))</f>
        <v/>
      </c>
      <c r="AH345" s="48" t="str">
        <f>IF(AF345="","",_xll.IMDP("STK",$AF345,"현재가"))</f>
        <v/>
      </c>
      <c r="AI345" s="48" t="str">
        <f>IF(AF345="","",_xll.IMDP("STK",$AF345,"전일대비"))</f>
        <v/>
      </c>
      <c r="AJ345" s="49" t="str">
        <f>IF(AF345="","",_xll.IMDP("STK",$AF345,"등락률"))</f>
        <v/>
      </c>
      <c r="AK345" s="48" t="str">
        <f>IF(AF345="","",_xll.IMDP("STK",$AF345,"시가총액"))</f>
        <v/>
      </c>
      <c r="AL345" s="20" t="str">
        <f t="shared" si="16"/>
        <v/>
      </c>
      <c r="AM345" s="21" t="str">
        <f>IF(AL345="","",_xll.IMDP("STK",$AL345,"한글종목명"))</f>
        <v/>
      </c>
      <c r="AN345" s="48" t="str">
        <f>IF(AL345="","",_xll.IMDP("STK",$AL345,"현재가"))</f>
        <v/>
      </c>
      <c r="AO345" s="48" t="str">
        <f>IF(AL345="","",_xll.IMDP("STK",$AL345,"전일대비"))</f>
        <v/>
      </c>
      <c r="AP345" s="49" t="str">
        <f>IF(AL345="","",_xll.IMDP("STK",$AL345,"등락률"))</f>
        <v/>
      </c>
      <c r="AQ345" s="48" t="str">
        <f>IF(AL345="","",_xll.IMDP("STK",$AL345,"시가총액"))</f>
        <v/>
      </c>
    </row>
    <row r="346" spans="3:43" x14ac:dyDescent="0.25">
      <c r="C346" s="22">
        <v>341</v>
      </c>
      <c r="Y346" s="25" t="s">
        <v>411</v>
      </c>
      <c r="Z346" s="20" t="str">
        <f t="shared" si="15"/>
        <v/>
      </c>
      <c r="AA346" s="21" t="str">
        <f>IF(Z346="","",_xll.IMDP("STK",$Z346,"한글종목명"))</f>
        <v/>
      </c>
      <c r="AB346" s="48" t="str">
        <f>IF(Z346="","",_xll.IMDP("STK",$Z346,"현재가"))</f>
        <v/>
      </c>
      <c r="AC346" s="48" t="str">
        <f>IF(Z346="","",_xll.IMDP("STK",$Z346,"전일대비"))</f>
        <v/>
      </c>
      <c r="AD346" s="49" t="str">
        <f>IF(Z346="","",_xll.IMDP("STK",$Z346,"등락률"))</f>
        <v/>
      </c>
      <c r="AE346" s="48" t="str">
        <f>IF(Z346="","",_xll.IMDP("STK",Z346,"시가총액"))</f>
        <v/>
      </c>
      <c r="AF346" s="20" t="str">
        <f t="shared" si="17"/>
        <v/>
      </c>
      <c r="AG346" s="21" t="str">
        <f>IF(AF346="","",_xll.IMDP("STK",$AF346,"한글종목명"))</f>
        <v/>
      </c>
      <c r="AH346" s="48" t="str">
        <f>IF(AF346="","",_xll.IMDP("STK",$AF346,"현재가"))</f>
        <v/>
      </c>
      <c r="AI346" s="48" t="str">
        <f>IF(AF346="","",_xll.IMDP("STK",$AF346,"전일대비"))</f>
        <v/>
      </c>
      <c r="AJ346" s="49" t="str">
        <f>IF(AF346="","",_xll.IMDP("STK",$AF346,"등락률"))</f>
        <v/>
      </c>
      <c r="AK346" s="48" t="str">
        <f>IF(AF346="","",_xll.IMDP("STK",$AF346,"시가총액"))</f>
        <v/>
      </c>
      <c r="AL346" s="20" t="str">
        <f t="shared" si="16"/>
        <v/>
      </c>
      <c r="AM346" s="21" t="str">
        <f>IF(AL346="","",_xll.IMDP("STK",$AL346,"한글종목명"))</f>
        <v/>
      </c>
      <c r="AN346" s="48" t="str">
        <f>IF(AL346="","",_xll.IMDP("STK",$AL346,"현재가"))</f>
        <v/>
      </c>
      <c r="AO346" s="48" t="str">
        <f>IF(AL346="","",_xll.IMDP("STK",$AL346,"전일대비"))</f>
        <v/>
      </c>
      <c r="AP346" s="49" t="str">
        <f>IF(AL346="","",_xll.IMDP("STK",$AL346,"등락률"))</f>
        <v/>
      </c>
      <c r="AQ346" s="48" t="str">
        <f>IF(AL346="","",_xll.IMDP("STK",$AL346,"시가총액"))</f>
        <v/>
      </c>
    </row>
    <row r="347" spans="3:43" x14ac:dyDescent="0.25">
      <c r="C347" s="22">
        <v>342</v>
      </c>
      <c r="Y347" s="25" t="s">
        <v>319</v>
      </c>
      <c r="Z347" s="20" t="str">
        <f t="shared" si="15"/>
        <v/>
      </c>
      <c r="AA347" s="21" t="str">
        <f>IF(Z347="","",_xll.IMDP("STK",$Z347,"한글종목명"))</f>
        <v/>
      </c>
      <c r="AB347" s="48" t="str">
        <f>IF(Z347="","",_xll.IMDP("STK",$Z347,"현재가"))</f>
        <v/>
      </c>
      <c r="AC347" s="48" t="str">
        <f>IF(Z347="","",_xll.IMDP("STK",$Z347,"전일대비"))</f>
        <v/>
      </c>
      <c r="AD347" s="49" t="str">
        <f>IF(Z347="","",_xll.IMDP("STK",$Z347,"등락률"))</f>
        <v/>
      </c>
      <c r="AE347" s="48" t="str">
        <f>IF(Z347="","",_xll.IMDP("STK",Z347,"시가총액"))</f>
        <v/>
      </c>
      <c r="AF347" s="20" t="str">
        <f t="shared" si="17"/>
        <v/>
      </c>
      <c r="AG347" s="21" t="str">
        <f>IF(AF347="","",_xll.IMDP("STK",$AF347,"한글종목명"))</f>
        <v/>
      </c>
      <c r="AH347" s="48" t="str">
        <f>IF(AF347="","",_xll.IMDP("STK",$AF347,"현재가"))</f>
        <v/>
      </c>
      <c r="AI347" s="48" t="str">
        <f>IF(AF347="","",_xll.IMDP("STK",$AF347,"전일대비"))</f>
        <v/>
      </c>
      <c r="AJ347" s="49" t="str">
        <f>IF(AF347="","",_xll.IMDP("STK",$AF347,"등락률"))</f>
        <v/>
      </c>
      <c r="AK347" s="48" t="str">
        <f>IF(AF347="","",_xll.IMDP("STK",$AF347,"시가총액"))</f>
        <v/>
      </c>
      <c r="AL347" s="20" t="str">
        <f t="shared" si="16"/>
        <v/>
      </c>
      <c r="AM347" s="21" t="str">
        <f>IF(AL347="","",_xll.IMDP("STK",$AL347,"한글종목명"))</f>
        <v/>
      </c>
      <c r="AN347" s="48" t="str">
        <f>IF(AL347="","",_xll.IMDP("STK",$AL347,"현재가"))</f>
        <v/>
      </c>
      <c r="AO347" s="48" t="str">
        <f>IF(AL347="","",_xll.IMDP("STK",$AL347,"전일대비"))</f>
        <v/>
      </c>
      <c r="AP347" s="49" t="str">
        <f>IF(AL347="","",_xll.IMDP("STK",$AL347,"등락률"))</f>
        <v/>
      </c>
      <c r="AQ347" s="48" t="str">
        <f>IF(AL347="","",_xll.IMDP("STK",$AL347,"시가총액"))</f>
        <v/>
      </c>
    </row>
    <row r="348" spans="3:43" x14ac:dyDescent="0.25">
      <c r="C348" s="22">
        <v>343</v>
      </c>
      <c r="Y348" s="25" t="s">
        <v>452</v>
      </c>
      <c r="Z348" s="20" t="str">
        <f t="shared" si="15"/>
        <v/>
      </c>
      <c r="AA348" s="21" t="str">
        <f>IF(Z348="","",_xll.IMDP("STK",$Z348,"한글종목명"))</f>
        <v/>
      </c>
      <c r="AB348" s="48" t="str">
        <f>IF(Z348="","",_xll.IMDP("STK",$Z348,"현재가"))</f>
        <v/>
      </c>
      <c r="AC348" s="48" t="str">
        <f>IF(Z348="","",_xll.IMDP("STK",$Z348,"전일대비"))</f>
        <v/>
      </c>
      <c r="AD348" s="49" t="str">
        <f>IF(Z348="","",_xll.IMDP("STK",$Z348,"등락률"))</f>
        <v/>
      </c>
      <c r="AE348" s="48" t="str">
        <f>IF(Z348="","",_xll.IMDP("STK",Z348,"시가총액"))</f>
        <v/>
      </c>
      <c r="AF348" s="20" t="str">
        <f t="shared" si="17"/>
        <v/>
      </c>
      <c r="AG348" s="21" t="str">
        <f>IF(AF348="","",_xll.IMDP("STK",$AF348,"한글종목명"))</f>
        <v/>
      </c>
      <c r="AH348" s="48" t="str">
        <f>IF(AF348="","",_xll.IMDP("STK",$AF348,"현재가"))</f>
        <v/>
      </c>
      <c r="AI348" s="48" t="str">
        <f>IF(AF348="","",_xll.IMDP("STK",$AF348,"전일대비"))</f>
        <v/>
      </c>
      <c r="AJ348" s="49" t="str">
        <f>IF(AF348="","",_xll.IMDP("STK",$AF348,"등락률"))</f>
        <v/>
      </c>
      <c r="AK348" s="48" t="str">
        <f>IF(AF348="","",_xll.IMDP("STK",$AF348,"시가총액"))</f>
        <v/>
      </c>
      <c r="AL348" s="20" t="str">
        <f t="shared" si="16"/>
        <v/>
      </c>
      <c r="AM348" s="21" t="str">
        <f>IF(AL348="","",_xll.IMDP("STK",$AL348,"한글종목명"))</f>
        <v/>
      </c>
      <c r="AN348" s="48" t="str">
        <f>IF(AL348="","",_xll.IMDP("STK",$AL348,"현재가"))</f>
        <v/>
      </c>
      <c r="AO348" s="48" t="str">
        <f>IF(AL348="","",_xll.IMDP("STK",$AL348,"전일대비"))</f>
        <v/>
      </c>
      <c r="AP348" s="49" t="str">
        <f>IF(AL348="","",_xll.IMDP("STK",$AL348,"등락률"))</f>
        <v/>
      </c>
      <c r="AQ348" s="48" t="str">
        <f>IF(AL348="","",_xll.IMDP("STK",$AL348,"시가총액"))</f>
        <v/>
      </c>
    </row>
    <row r="349" spans="3:43" x14ac:dyDescent="0.25">
      <c r="C349" s="22">
        <v>344</v>
      </c>
      <c r="Y349" s="25" t="s">
        <v>453</v>
      </c>
      <c r="Z349" s="20" t="str">
        <f t="shared" si="15"/>
        <v/>
      </c>
      <c r="AA349" s="21" t="str">
        <f>IF(Z349="","",_xll.IMDP("STK",$Z349,"한글종목명"))</f>
        <v/>
      </c>
      <c r="AB349" s="48" t="str">
        <f>IF(Z349="","",_xll.IMDP("STK",$Z349,"현재가"))</f>
        <v/>
      </c>
      <c r="AC349" s="48" t="str">
        <f>IF(Z349="","",_xll.IMDP("STK",$Z349,"전일대비"))</f>
        <v/>
      </c>
      <c r="AD349" s="49" t="str">
        <f>IF(Z349="","",_xll.IMDP("STK",$Z349,"등락률"))</f>
        <v/>
      </c>
      <c r="AE349" s="48" t="str">
        <f>IF(Z349="","",_xll.IMDP("STK",Z349,"시가총액"))</f>
        <v/>
      </c>
      <c r="AF349" s="20" t="str">
        <f t="shared" si="17"/>
        <v/>
      </c>
      <c r="AG349" s="21" t="str">
        <f>IF(AF349="","",_xll.IMDP("STK",$AF349,"한글종목명"))</f>
        <v/>
      </c>
      <c r="AH349" s="48" t="str">
        <f>IF(AF349="","",_xll.IMDP("STK",$AF349,"현재가"))</f>
        <v/>
      </c>
      <c r="AI349" s="48" t="str">
        <f>IF(AF349="","",_xll.IMDP("STK",$AF349,"전일대비"))</f>
        <v/>
      </c>
      <c r="AJ349" s="49" t="str">
        <f>IF(AF349="","",_xll.IMDP("STK",$AF349,"등락률"))</f>
        <v/>
      </c>
      <c r="AK349" s="48" t="str">
        <f>IF(AF349="","",_xll.IMDP("STK",$AF349,"시가총액"))</f>
        <v/>
      </c>
      <c r="AL349" s="20" t="str">
        <f t="shared" si="16"/>
        <v/>
      </c>
      <c r="AM349" s="21" t="str">
        <f>IF(AL349="","",_xll.IMDP("STK",$AL349,"한글종목명"))</f>
        <v/>
      </c>
      <c r="AN349" s="48" t="str">
        <f>IF(AL349="","",_xll.IMDP("STK",$AL349,"현재가"))</f>
        <v/>
      </c>
      <c r="AO349" s="48" t="str">
        <f>IF(AL349="","",_xll.IMDP("STK",$AL349,"전일대비"))</f>
        <v/>
      </c>
      <c r="AP349" s="49" t="str">
        <f>IF(AL349="","",_xll.IMDP("STK",$AL349,"등락률"))</f>
        <v/>
      </c>
      <c r="AQ349" s="48" t="str">
        <f>IF(AL349="","",_xll.IMDP("STK",$AL349,"시가총액"))</f>
        <v/>
      </c>
    </row>
    <row r="350" spans="3:43" x14ac:dyDescent="0.25">
      <c r="C350" s="22">
        <v>345</v>
      </c>
      <c r="Y350" s="25" t="s">
        <v>1068</v>
      </c>
      <c r="Z350" s="20" t="str">
        <f t="shared" si="15"/>
        <v/>
      </c>
      <c r="AA350" s="21" t="str">
        <f>IF(Z350="","",_xll.IMDP("STK",$Z350,"한글종목명"))</f>
        <v/>
      </c>
      <c r="AB350" s="48" t="str">
        <f>IF(Z350="","",_xll.IMDP("STK",$Z350,"현재가"))</f>
        <v/>
      </c>
      <c r="AC350" s="48" t="str">
        <f>IF(Z350="","",_xll.IMDP("STK",$Z350,"전일대비"))</f>
        <v/>
      </c>
      <c r="AD350" s="49" t="str">
        <f>IF(Z350="","",_xll.IMDP("STK",$Z350,"등락률"))</f>
        <v/>
      </c>
      <c r="AE350" s="48" t="str">
        <f>IF(Z350="","",_xll.IMDP("STK",Z350,"시가총액"))</f>
        <v/>
      </c>
      <c r="AF350" s="20" t="str">
        <f t="shared" si="17"/>
        <v/>
      </c>
      <c r="AG350" s="21" t="str">
        <f>IF(AF350="","",_xll.IMDP("STK",$AF350,"한글종목명"))</f>
        <v/>
      </c>
      <c r="AH350" s="48" t="str">
        <f>IF(AF350="","",_xll.IMDP("STK",$AF350,"현재가"))</f>
        <v/>
      </c>
      <c r="AI350" s="48" t="str">
        <f>IF(AF350="","",_xll.IMDP("STK",$AF350,"전일대비"))</f>
        <v/>
      </c>
      <c r="AJ350" s="49" t="str">
        <f>IF(AF350="","",_xll.IMDP("STK",$AF350,"등락률"))</f>
        <v/>
      </c>
      <c r="AK350" s="48" t="str">
        <f>IF(AF350="","",_xll.IMDP("STK",$AF350,"시가총액"))</f>
        <v/>
      </c>
      <c r="AL350" s="20" t="str">
        <f t="shared" si="16"/>
        <v/>
      </c>
      <c r="AM350" s="21" t="str">
        <f>IF(AL350="","",_xll.IMDP("STK",$AL350,"한글종목명"))</f>
        <v/>
      </c>
      <c r="AN350" s="48" t="str">
        <f>IF(AL350="","",_xll.IMDP("STK",$AL350,"현재가"))</f>
        <v/>
      </c>
      <c r="AO350" s="48" t="str">
        <f>IF(AL350="","",_xll.IMDP("STK",$AL350,"전일대비"))</f>
        <v/>
      </c>
      <c r="AP350" s="49" t="str">
        <f>IF(AL350="","",_xll.IMDP("STK",$AL350,"등락률"))</f>
        <v/>
      </c>
      <c r="AQ350" s="48" t="str">
        <f>IF(AL350="","",_xll.IMDP("STK",$AL350,"시가총액"))</f>
        <v/>
      </c>
    </row>
    <row r="351" spans="3:43" x14ac:dyDescent="0.25">
      <c r="C351" s="22">
        <v>346</v>
      </c>
      <c r="Y351" s="25" t="s">
        <v>666</v>
      </c>
      <c r="Z351" s="20" t="str">
        <f t="shared" si="15"/>
        <v/>
      </c>
      <c r="AA351" s="21" t="str">
        <f>IF(Z351="","",_xll.IMDP("STK",$Z351,"한글종목명"))</f>
        <v/>
      </c>
      <c r="AB351" s="48" t="str">
        <f>IF(Z351="","",_xll.IMDP("STK",$Z351,"현재가"))</f>
        <v/>
      </c>
      <c r="AC351" s="48" t="str">
        <f>IF(Z351="","",_xll.IMDP("STK",$Z351,"전일대비"))</f>
        <v/>
      </c>
      <c r="AD351" s="49" t="str">
        <f>IF(Z351="","",_xll.IMDP("STK",$Z351,"등락률"))</f>
        <v/>
      </c>
      <c r="AE351" s="48" t="str">
        <f>IF(Z351="","",_xll.IMDP("STK",Z351,"시가총액"))</f>
        <v/>
      </c>
      <c r="AF351" s="20" t="str">
        <f t="shared" si="17"/>
        <v/>
      </c>
      <c r="AG351" s="21" t="str">
        <f>IF(AF351="","",_xll.IMDP("STK",$AF351,"한글종목명"))</f>
        <v/>
      </c>
      <c r="AH351" s="48" t="str">
        <f>IF(AF351="","",_xll.IMDP("STK",$AF351,"현재가"))</f>
        <v/>
      </c>
      <c r="AI351" s="48" t="str">
        <f>IF(AF351="","",_xll.IMDP("STK",$AF351,"전일대비"))</f>
        <v/>
      </c>
      <c r="AJ351" s="49" t="str">
        <f>IF(AF351="","",_xll.IMDP("STK",$AF351,"등락률"))</f>
        <v/>
      </c>
      <c r="AK351" s="48" t="str">
        <f>IF(AF351="","",_xll.IMDP("STK",$AF351,"시가총액"))</f>
        <v/>
      </c>
      <c r="AL351" s="20" t="str">
        <f t="shared" si="16"/>
        <v/>
      </c>
      <c r="AM351" s="21" t="str">
        <f>IF(AL351="","",_xll.IMDP("STK",$AL351,"한글종목명"))</f>
        <v/>
      </c>
      <c r="AN351" s="48" t="str">
        <f>IF(AL351="","",_xll.IMDP("STK",$AL351,"현재가"))</f>
        <v/>
      </c>
      <c r="AO351" s="48" t="str">
        <f>IF(AL351="","",_xll.IMDP("STK",$AL351,"전일대비"))</f>
        <v/>
      </c>
      <c r="AP351" s="49" t="str">
        <f>IF(AL351="","",_xll.IMDP("STK",$AL351,"등락률"))</f>
        <v/>
      </c>
      <c r="AQ351" s="48" t="str">
        <f>IF(AL351="","",_xll.IMDP("STK",$AL351,"시가총액"))</f>
        <v/>
      </c>
    </row>
    <row r="352" spans="3:43" x14ac:dyDescent="0.25">
      <c r="C352" s="22">
        <v>347</v>
      </c>
      <c r="Y352" s="25" t="s">
        <v>603</v>
      </c>
      <c r="Z352" s="20" t="str">
        <f t="shared" si="15"/>
        <v/>
      </c>
      <c r="AA352" s="21" t="str">
        <f>IF(Z352="","",_xll.IMDP("STK",$Z352,"한글종목명"))</f>
        <v/>
      </c>
      <c r="AB352" s="48" t="str">
        <f>IF(Z352="","",_xll.IMDP("STK",$Z352,"현재가"))</f>
        <v/>
      </c>
      <c r="AC352" s="48" t="str">
        <f>IF(Z352="","",_xll.IMDP("STK",$Z352,"전일대비"))</f>
        <v/>
      </c>
      <c r="AD352" s="49" t="str">
        <f>IF(Z352="","",_xll.IMDP("STK",$Z352,"등락률"))</f>
        <v/>
      </c>
      <c r="AE352" s="48" t="str">
        <f>IF(Z352="","",_xll.IMDP("STK",Z352,"시가총액"))</f>
        <v/>
      </c>
      <c r="AF352" s="20" t="str">
        <f t="shared" si="17"/>
        <v/>
      </c>
      <c r="AG352" s="21" t="str">
        <f>IF(AF352="","",_xll.IMDP("STK",$AF352,"한글종목명"))</f>
        <v/>
      </c>
      <c r="AH352" s="48" t="str">
        <f>IF(AF352="","",_xll.IMDP("STK",$AF352,"현재가"))</f>
        <v/>
      </c>
      <c r="AI352" s="48" t="str">
        <f>IF(AF352="","",_xll.IMDP("STK",$AF352,"전일대비"))</f>
        <v/>
      </c>
      <c r="AJ352" s="49" t="str">
        <f>IF(AF352="","",_xll.IMDP("STK",$AF352,"등락률"))</f>
        <v/>
      </c>
      <c r="AK352" s="48" t="str">
        <f>IF(AF352="","",_xll.IMDP("STK",$AF352,"시가총액"))</f>
        <v/>
      </c>
      <c r="AL352" s="20" t="str">
        <f t="shared" si="16"/>
        <v/>
      </c>
      <c r="AM352" s="21" t="str">
        <f>IF(AL352="","",_xll.IMDP("STK",$AL352,"한글종목명"))</f>
        <v/>
      </c>
      <c r="AN352" s="48" t="str">
        <f>IF(AL352="","",_xll.IMDP("STK",$AL352,"현재가"))</f>
        <v/>
      </c>
      <c r="AO352" s="48" t="str">
        <f>IF(AL352="","",_xll.IMDP("STK",$AL352,"전일대비"))</f>
        <v/>
      </c>
      <c r="AP352" s="49" t="str">
        <f>IF(AL352="","",_xll.IMDP("STK",$AL352,"등락률"))</f>
        <v/>
      </c>
      <c r="AQ352" s="48" t="str">
        <f>IF(AL352="","",_xll.IMDP("STK",$AL352,"시가총액"))</f>
        <v/>
      </c>
    </row>
    <row r="353" spans="3:43" x14ac:dyDescent="0.25">
      <c r="C353" s="22">
        <v>348</v>
      </c>
      <c r="Y353" s="25" t="s">
        <v>412</v>
      </c>
      <c r="Z353" s="20" t="str">
        <f t="shared" si="15"/>
        <v/>
      </c>
      <c r="AA353" s="21" t="str">
        <f>IF(Z353="","",_xll.IMDP("STK",$Z353,"한글종목명"))</f>
        <v/>
      </c>
      <c r="AB353" s="48" t="str">
        <f>IF(Z353="","",_xll.IMDP("STK",$Z353,"현재가"))</f>
        <v/>
      </c>
      <c r="AC353" s="48" t="str">
        <f>IF(Z353="","",_xll.IMDP("STK",$Z353,"전일대비"))</f>
        <v/>
      </c>
      <c r="AD353" s="49" t="str">
        <f>IF(Z353="","",_xll.IMDP("STK",$Z353,"등락률"))</f>
        <v/>
      </c>
      <c r="AE353" s="48" t="str">
        <f>IF(Z353="","",_xll.IMDP("STK",Z353,"시가총액"))</f>
        <v/>
      </c>
      <c r="AF353" s="20" t="str">
        <f t="shared" si="17"/>
        <v/>
      </c>
      <c r="AG353" s="21" t="str">
        <f>IF(AF353="","",_xll.IMDP("STK",$AF353,"한글종목명"))</f>
        <v/>
      </c>
      <c r="AH353" s="48" t="str">
        <f>IF(AF353="","",_xll.IMDP("STK",$AF353,"현재가"))</f>
        <v/>
      </c>
      <c r="AI353" s="48" t="str">
        <f>IF(AF353="","",_xll.IMDP("STK",$AF353,"전일대비"))</f>
        <v/>
      </c>
      <c r="AJ353" s="49" t="str">
        <f>IF(AF353="","",_xll.IMDP("STK",$AF353,"등락률"))</f>
        <v/>
      </c>
      <c r="AK353" s="48" t="str">
        <f>IF(AF353="","",_xll.IMDP("STK",$AF353,"시가총액"))</f>
        <v/>
      </c>
      <c r="AL353" s="20" t="str">
        <f t="shared" si="16"/>
        <v/>
      </c>
      <c r="AM353" s="21" t="str">
        <f>IF(AL353="","",_xll.IMDP("STK",$AL353,"한글종목명"))</f>
        <v/>
      </c>
      <c r="AN353" s="48" t="str">
        <f>IF(AL353="","",_xll.IMDP("STK",$AL353,"현재가"))</f>
        <v/>
      </c>
      <c r="AO353" s="48" t="str">
        <f>IF(AL353="","",_xll.IMDP("STK",$AL353,"전일대비"))</f>
        <v/>
      </c>
      <c r="AP353" s="49" t="str">
        <f>IF(AL353="","",_xll.IMDP("STK",$AL353,"등락률"))</f>
        <v/>
      </c>
      <c r="AQ353" s="48" t="str">
        <f>IF(AL353="","",_xll.IMDP("STK",$AL353,"시가총액"))</f>
        <v/>
      </c>
    </row>
    <row r="354" spans="3:43" x14ac:dyDescent="0.25">
      <c r="C354" s="22">
        <v>349</v>
      </c>
      <c r="Y354" s="25" t="s">
        <v>413</v>
      </c>
      <c r="Z354" s="20" t="str">
        <f t="shared" si="15"/>
        <v/>
      </c>
      <c r="AA354" s="21" t="str">
        <f>IF(Z354="","",_xll.IMDP("STK",$Z354,"한글종목명"))</f>
        <v/>
      </c>
      <c r="AB354" s="48" t="str">
        <f>IF(Z354="","",_xll.IMDP("STK",$Z354,"현재가"))</f>
        <v/>
      </c>
      <c r="AC354" s="48" t="str">
        <f>IF(Z354="","",_xll.IMDP("STK",$Z354,"전일대비"))</f>
        <v/>
      </c>
      <c r="AD354" s="49" t="str">
        <f>IF(Z354="","",_xll.IMDP("STK",$Z354,"등락률"))</f>
        <v/>
      </c>
      <c r="AE354" s="48" t="str">
        <f>IF(Z354="","",_xll.IMDP("STK",Z354,"시가총액"))</f>
        <v/>
      </c>
      <c r="AF354" s="20" t="str">
        <f t="shared" si="17"/>
        <v/>
      </c>
      <c r="AG354" s="21" t="str">
        <f>IF(AF354="","",_xll.IMDP("STK",$AF354,"한글종목명"))</f>
        <v/>
      </c>
      <c r="AH354" s="48" t="str">
        <f>IF(AF354="","",_xll.IMDP("STK",$AF354,"현재가"))</f>
        <v/>
      </c>
      <c r="AI354" s="48" t="str">
        <f>IF(AF354="","",_xll.IMDP("STK",$AF354,"전일대비"))</f>
        <v/>
      </c>
      <c r="AJ354" s="49" t="str">
        <f>IF(AF354="","",_xll.IMDP("STK",$AF354,"등락률"))</f>
        <v/>
      </c>
      <c r="AK354" s="48" t="str">
        <f>IF(AF354="","",_xll.IMDP("STK",$AF354,"시가총액"))</f>
        <v/>
      </c>
      <c r="AL354" s="20" t="str">
        <f t="shared" si="16"/>
        <v/>
      </c>
      <c r="AM354" s="21" t="str">
        <f>IF(AL354="","",_xll.IMDP("STK",$AL354,"한글종목명"))</f>
        <v/>
      </c>
      <c r="AN354" s="48" t="str">
        <f>IF(AL354="","",_xll.IMDP("STK",$AL354,"현재가"))</f>
        <v/>
      </c>
      <c r="AO354" s="48" t="str">
        <f>IF(AL354="","",_xll.IMDP("STK",$AL354,"전일대비"))</f>
        <v/>
      </c>
      <c r="AP354" s="49" t="str">
        <f>IF(AL354="","",_xll.IMDP("STK",$AL354,"등락률"))</f>
        <v/>
      </c>
      <c r="AQ354" s="48" t="str">
        <f>IF(AL354="","",_xll.IMDP("STK",$AL354,"시가총액"))</f>
        <v/>
      </c>
    </row>
    <row r="355" spans="3:43" x14ac:dyDescent="0.25">
      <c r="C355" s="22">
        <v>350</v>
      </c>
      <c r="Y355" s="25" t="s">
        <v>414</v>
      </c>
      <c r="Z355" s="20" t="str">
        <f t="shared" si="15"/>
        <v/>
      </c>
      <c r="AA355" s="21" t="str">
        <f>IF(Z355="","",_xll.IMDP("STK",$Z355,"한글종목명"))</f>
        <v/>
      </c>
      <c r="AB355" s="48" t="str">
        <f>IF(Z355="","",_xll.IMDP("STK",$Z355,"현재가"))</f>
        <v/>
      </c>
      <c r="AC355" s="48" t="str">
        <f>IF(Z355="","",_xll.IMDP("STK",$Z355,"전일대비"))</f>
        <v/>
      </c>
      <c r="AD355" s="49" t="str">
        <f>IF(Z355="","",_xll.IMDP("STK",$Z355,"등락률"))</f>
        <v/>
      </c>
      <c r="AE355" s="48" t="str">
        <f>IF(Z355="","",_xll.IMDP("STK",Z355,"시가총액"))</f>
        <v/>
      </c>
      <c r="AF355" s="20" t="str">
        <f t="shared" si="17"/>
        <v/>
      </c>
      <c r="AG355" s="21" t="str">
        <f>IF(AF355="","",_xll.IMDP("STK",$AF355,"한글종목명"))</f>
        <v/>
      </c>
      <c r="AH355" s="48" t="str">
        <f>IF(AF355="","",_xll.IMDP("STK",$AF355,"현재가"))</f>
        <v/>
      </c>
      <c r="AI355" s="48" t="str">
        <f>IF(AF355="","",_xll.IMDP("STK",$AF355,"전일대비"))</f>
        <v/>
      </c>
      <c r="AJ355" s="49" t="str">
        <f>IF(AF355="","",_xll.IMDP("STK",$AF355,"등락률"))</f>
        <v/>
      </c>
      <c r="AK355" s="48" t="str">
        <f>IF(AF355="","",_xll.IMDP("STK",$AF355,"시가총액"))</f>
        <v/>
      </c>
      <c r="AL355" s="20" t="str">
        <f t="shared" si="16"/>
        <v/>
      </c>
      <c r="AM355" s="21" t="str">
        <f>IF(AL355="","",_xll.IMDP("STK",$AL355,"한글종목명"))</f>
        <v/>
      </c>
      <c r="AN355" s="48" t="str">
        <f>IF(AL355="","",_xll.IMDP("STK",$AL355,"현재가"))</f>
        <v/>
      </c>
      <c r="AO355" s="48" t="str">
        <f>IF(AL355="","",_xll.IMDP("STK",$AL355,"전일대비"))</f>
        <v/>
      </c>
      <c r="AP355" s="49" t="str">
        <f>IF(AL355="","",_xll.IMDP("STK",$AL355,"등락률"))</f>
        <v/>
      </c>
      <c r="AQ355" s="48" t="str">
        <f>IF(AL355="","",_xll.IMDP("STK",$AL355,"시가총액"))</f>
        <v/>
      </c>
    </row>
    <row r="356" spans="3:43" x14ac:dyDescent="0.25">
      <c r="C356" s="22">
        <v>351</v>
      </c>
      <c r="Y356" s="25" t="s">
        <v>415</v>
      </c>
      <c r="Z356" s="20" t="str">
        <f t="shared" si="15"/>
        <v/>
      </c>
      <c r="AA356" s="21" t="str">
        <f>IF(Z356="","",_xll.IMDP("STK",$Z356,"한글종목명"))</f>
        <v/>
      </c>
      <c r="AB356" s="48" t="str">
        <f>IF(Z356="","",_xll.IMDP("STK",$Z356,"현재가"))</f>
        <v/>
      </c>
      <c r="AC356" s="48" t="str">
        <f>IF(Z356="","",_xll.IMDP("STK",$Z356,"전일대비"))</f>
        <v/>
      </c>
      <c r="AD356" s="49" t="str">
        <f>IF(Z356="","",_xll.IMDP("STK",$Z356,"등락률"))</f>
        <v/>
      </c>
      <c r="AE356" s="48" t="str">
        <f>IF(Z356="","",_xll.IMDP("STK",Z356,"시가총액"))</f>
        <v/>
      </c>
      <c r="AF356" s="20" t="str">
        <f t="shared" si="17"/>
        <v/>
      </c>
      <c r="AG356" s="21" t="str">
        <f>IF(AF356="","",_xll.IMDP("STK",$AF356,"한글종목명"))</f>
        <v/>
      </c>
      <c r="AH356" s="48" t="str">
        <f>IF(AF356="","",_xll.IMDP("STK",$AF356,"현재가"))</f>
        <v/>
      </c>
      <c r="AI356" s="48" t="str">
        <f>IF(AF356="","",_xll.IMDP("STK",$AF356,"전일대비"))</f>
        <v/>
      </c>
      <c r="AJ356" s="49" t="str">
        <f>IF(AF356="","",_xll.IMDP("STK",$AF356,"등락률"))</f>
        <v/>
      </c>
      <c r="AK356" s="48" t="str">
        <f>IF(AF356="","",_xll.IMDP("STK",$AF356,"시가총액"))</f>
        <v/>
      </c>
      <c r="AL356" s="20" t="str">
        <f t="shared" si="16"/>
        <v/>
      </c>
      <c r="AM356" s="21" t="str">
        <f>IF(AL356="","",_xll.IMDP("STK",$AL356,"한글종목명"))</f>
        <v/>
      </c>
      <c r="AN356" s="48" t="str">
        <f>IF(AL356="","",_xll.IMDP("STK",$AL356,"현재가"))</f>
        <v/>
      </c>
      <c r="AO356" s="48" t="str">
        <f>IF(AL356="","",_xll.IMDP("STK",$AL356,"전일대비"))</f>
        <v/>
      </c>
      <c r="AP356" s="49" t="str">
        <f>IF(AL356="","",_xll.IMDP("STK",$AL356,"등락률"))</f>
        <v/>
      </c>
      <c r="AQ356" s="48" t="str">
        <f>IF(AL356="","",_xll.IMDP("STK",$AL356,"시가총액"))</f>
        <v/>
      </c>
    </row>
    <row r="357" spans="3:43" x14ac:dyDescent="0.25">
      <c r="C357" s="22">
        <v>352</v>
      </c>
      <c r="Y357" s="25" t="s">
        <v>416</v>
      </c>
      <c r="Z357" s="20" t="str">
        <f t="shared" si="15"/>
        <v/>
      </c>
      <c r="AA357" s="21" t="str">
        <f>IF(Z357="","",_xll.IMDP("STK",$Z357,"한글종목명"))</f>
        <v/>
      </c>
      <c r="AB357" s="48" t="str">
        <f>IF(Z357="","",_xll.IMDP("STK",$Z357,"현재가"))</f>
        <v/>
      </c>
      <c r="AC357" s="48" t="str">
        <f>IF(Z357="","",_xll.IMDP("STK",$Z357,"전일대비"))</f>
        <v/>
      </c>
      <c r="AD357" s="49" t="str">
        <f>IF(Z357="","",_xll.IMDP("STK",$Z357,"등락률"))</f>
        <v/>
      </c>
      <c r="AE357" s="48" t="str">
        <f>IF(Z357="","",_xll.IMDP("STK",Z357,"시가총액"))</f>
        <v/>
      </c>
      <c r="AF357" s="20" t="str">
        <f t="shared" si="17"/>
        <v/>
      </c>
      <c r="AG357" s="21" t="str">
        <f>IF(AF357="","",_xll.IMDP("STK",$AF357,"한글종목명"))</f>
        <v/>
      </c>
      <c r="AH357" s="48" t="str">
        <f>IF(AF357="","",_xll.IMDP("STK",$AF357,"현재가"))</f>
        <v/>
      </c>
      <c r="AI357" s="48" t="str">
        <f>IF(AF357="","",_xll.IMDP("STK",$AF357,"전일대비"))</f>
        <v/>
      </c>
      <c r="AJ357" s="49" t="str">
        <f>IF(AF357="","",_xll.IMDP("STK",$AF357,"등락률"))</f>
        <v/>
      </c>
      <c r="AK357" s="48" t="str">
        <f>IF(AF357="","",_xll.IMDP("STK",$AF357,"시가총액"))</f>
        <v/>
      </c>
      <c r="AL357" s="20" t="str">
        <f t="shared" si="16"/>
        <v/>
      </c>
      <c r="AM357" s="21" t="str">
        <f>IF(AL357="","",_xll.IMDP("STK",$AL357,"한글종목명"))</f>
        <v/>
      </c>
      <c r="AN357" s="48" t="str">
        <f>IF(AL357="","",_xll.IMDP("STK",$AL357,"현재가"))</f>
        <v/>
      </c>
      <c r="AO357" s="48" t="str">
        <f>IF(AL357="","",_xll.IMDP("STK",$AL357,"전일대비"))</f>
        <v/>
      </c>
      <c r="AP357" s="49" t="str">
        <f>IF(AL357="","",_xll.IMDP("STK",$AL357,"등락률"))</f>
        <v/>
      </c>
      <c r="AQ357" s="48" t="str">
        <f>IF(AL357="","",_xll.IMDP("STK",$AL357,"시가총액"))</f>
        <v/>
      </c>
    </row>
    <row r="358" spans="3:43" x14ac:dyDescent="0.25">
      <c r="C358" s="22">
        <v>353</v>
      </c>
      <c r="Y358" s="25" t="s">
        <v>320</v>
      </c>
      <c r="Z358" s="20" t="str">
        <f t="shared" si="15"/>
        <v/>
      </c>
      <c r="AA358" s="21" t="str">
        <f>IF(Z358="","",_xll.IMDP("STK",$Z358,"한글종목명"))</f>
        <v/>
      </c>
      <c r="AB358" s="48" t="str">
        <f>IF(Z358="","",_xll.IMDP("STK",$Z358,"현재가"))</f>
        <v/>
      </c>
      <c r="AC358" s="48" t="str">
        <f>IF(Z358="","",_xll.IMDP("STK",$Z358,"전일대비"))</f>
        <v/>
      </c>
      <c r="AD358" s="49" t="str">
        <f>IF(Z358="","",_xll.IMDP("STK",$Z358,"등락률"))</f>
        <v/>
      </c>
      <c r="AE358" s="48" t="str">
        <f>IF(Z358="","",_xll.IMDP("STK",Z358,"시가총액"))</f>
        <v/>
      </c>
      <c r="AF358" s="20" t="str">
        <f t="shared" si="17"/>
        <v/>
      </c>
      <c r="AG358" s="21" t="str">
        <f>IF(AF358="","",_xll.IMDP("STK",$AF358,"한글종목명"))</f>
        <v/>
      </c>
      <c r="AH358" s="48" t="str">
        <f>IF(AF358="","",_xll.IMDP("STK",$AF358,"현재가"))</f>
        <v/>
      </c>
      <c r="AI358" s="48" t="str">
        <f>IF(AF358="","",_xll.IMDP("STK",$AF358,"전일대비"))</f>
        <v/>
      </c>
      <c r="AJ358" s="49" t="str">
        <f>IF(AF358="","",_xll.IMDP("STK",$AF358,"등락률"))</f>
        <v/>
      </c>
      <c r="AK358" s="48" t="str">
        <f>IF(AF358="","",_xll.IMDP("STK",$AF358,"시가총액"))</f>
        <v/>
      </c>
      <c r="AL358" s="20" t="str">
        <f t="shared" si="16"/>
        <v/>
      </c>
      <c r="AM358" s="21" t="str">
        <f>IF(AL358="","",_xll.IMDP("STK",$AL358,"한글종목명"))</f>
        <v/>
      </c>
      <c r="AN358" s="48" t="str">
        <f>IF(AL358="","",_xll.IMDP("STK",$AL358,"현재가"))</f>
        <v/>
      </c>
      <c r="AO358" s="48" t="str">
        <f>IF(AL358="","",_xll.IMDP("STK",$AL358,"전일대비"))</f>
        <v/>
      </c>
      <c r="AP358" s="49" t="str">
        <f>IF(AL358="","",_xll.IMDP("STK",$AL358,"등락률"))</f>
        <v/>
      </c>
      <c r="AQ358" s="48" t="str">
        <f>IF(AL358="","",_xll.IMDP("STK",$AL358,"시가총액"))</f>
        <v/>
      </c>
    </row>
    <row r="359" spans="3:43" x14ac:dyDescent="0.25">
      <c r="C359" s="22">
        <v>354</v>
      </c>
      <c r="Y359" s="25" t="s">
        <v>375</v>
      </c>
      <c r="Z359" s="20" t="str">
        <f t="shared" si="15"/>
        <v/>
      </c>
      <c r="AA359" s="21" t="str">
        <f>IF(Z359="","",_xll.IMDP("STK",$Z359,"한글종목명"))</f>
        <v/>
      </c>
      <c r="AB359" s="48" t="str">
        <f>IF(Z359="","",_xll.IMDP("STK",$Z359,"현재가"))</f>
        <v/>
      </c>
      <c r="AC359" s="48" t="str">
        <f>IF(Z359="","",_xll.IMDP("STK",$Z359,"전일대비"))</f>
        <v/>
      </c>
      <c r="AD359" s="49" t="str">
        <f>IF(Z359="","",_xll.IMDP("STK",$Z359,"등락률"))</f>
        <v/>
      </c>
      <c r="AE359" s="48" t="str">
        <f>IF(Z359="","",_xll.IMDP("STK",Z359,"시가총액"))</f>
        <v/>
      </c>
      <c r="AF359" s="20" t="str">
        <f t="shared" si="17"/>
        <v/>
      </c>
      <c r="AG359" s="21" t="str">
        <f>IF(AF359="","",_xll.IMDP("STK",$AF359,"한글종목명"))</f>
        <v/>
      </c>
      <c r="AH359" s="48" t="str">
        <f>IF(AF359="","",_xll.IMDP("STK",$AF359,"현재가"))</f>
        <v/>
      </c>
      <c r="AI359" s="48" t="str">
        <f>IF(AF359="","",_xll.IMDP("STK",$AF359,"전일대비"))</f>
        <v/>
      </c>
      <c r="AJ359" s="49" t="str">
        <f>IF(AF359="","",_xll.IMDP("STK",$AF359,"등락률"))</f>
        <v/>
      </c>
      <c r="AK359" s="48" t="str">
        <f>IF(AF359="","",_xll.IMDP("STK",$AF359,"시가총액"))</f>
        <v/>
      </c>
      <c r="AL359" s="20" t="str">
        <f t="shared" si="16"/>
        <v/>
      </c>
      <c r="AM359" s="21" t="str">
        <f>IF(AL359="","",_xll.IMDP("STK",$AL359,"한글종목명"))</f>
        <v/>
      </c>
      <c r="AN359" s="48" t="str">
        <f>IF(AL359="","",_xll.IMDP("STK",$AL359,"현재가"))</f>
        <v/>
      </c>
      <c r="AO359" s="48" t="str">
        <f>IF(AL359="","",_xll.IMDP("STK",$AL359,"전일대비"))</f>
        <v/>
      </c>
      <c r="AP359" s="49" t="str">
        <f>IF(AL359="","",_xll.IMDP("STK",$AL359,"등락률"))</f>
        <v/>
      </c>
      <c r="AQ359" s="48" t="str">
        <f>IF(AL359="","",_xll.IMDP("STK",$AL359,"시가총액"))</f>
        <v/>
      </c>
    </row>
    <row r="360" spans="3:43" x14ac:dyDescent="0.25">
      <c r="C360" s="22">
        <v>355</v>
      </c>
      <c r="Y360" s="25" t="s">
        <v>498</v>
      </c>
      <c r="Z360" s="20" t="str">
        <f t="shared" si="15"/>
        <v/>
      </c>
      <c r="AA360" s="21" t="str">
        <f>IF(Z360="","",_xll.IMDP("STK",$Z360,"한글종목명"))</f>
        <v/>
      </c>
      <c r="AB360" s="48" t="str">
        <f>IF(Z360="","",_xll.IMDP("STK",$Z360,"현재가"))</f>
        <v/>
      </c>
      <c r="AC360" s="48" t="str">
        <f>IF(Z360="","",_xll.IMDP("STK",$Z360,"전일대비"))</f>
        <v/>
      </c>
      <c r="AD360" s="49" t="str">
        <f>IF(Z360="","",_xll.IMDP("STK",$Z360,"등락률"))</f>
        <v/>
      </c>
      <c r="AE360" s="48" t="str">
        <f>IF(Z360="","",_xll.IMDP("STK",Z360,"시가총액"))</f>
        <v/>
      </c>
      <c r="AF360" s="20" t="str">
        <f t="shared" si="17"/>
        <v/>
      </c>
      <c r="AG360" s="21" t="str">
        <f>IF(AF360="","",_xll.IMDP("STK",$AF360,"한글종목명"))</f>
        <v/>
      </c>
      <c r="AH360" s="48" t="str">
        <f>IF(AF360="","",_xll.IMDP("STK",$AF360,"현재가"))</f>
        <v/>
      </c>
      <c r="AI360" s="48" t="str">
        <f>IF(AF360="","",_xll.IMDP("STK",$AF360,"전일대비"))</f>
        <v/>
      </c>
      <c r="AJ360" s="49" t="str">
        <f>IF(AF360="","",_xll.IMDP("STK",$AF360,"등락률"))</f>
        <v/>
      </c>
      <c r="AK360" s="48" t="str">
        <f>IF(AF360="","",_xll.IMDP("STK",$AF360,"시가총액"))</f>
        <v/>
      </c>
      <c r="AL360" s="20" t="str">
        <f t="shared" si="16"/>
        <v/>
      </c>
      <c r="AM360" s="21" t="str">
        <f>IF(AL360="","",_xll.IMDP("STK",$AL360,"한글종목명"))</f>
        <v/>
      </c>
      <c r="AN360" s="48" t="str">
        <f>IF(AL360="","",_xll.IMDP("STK",$AL360,"현재가"))</f>
        <v/>
      </c>
      <c r="AO360" s="48" t="str">
        <f>IF(AL360="","",_xll.IMDP("STK",$AL360,"전일대비"))</f>
        <v/>
      </c>
      <c r="AP360" s="49" t="str">
        <f>IF(AL360="","",_xll.IMDP("STK",$AL360,"등락률"))</f>
        <v/>
      </c>
      <c r="AQ360" s="48" t="str">
        <f>IF(AL360="","",_xll.IMDP("STK",$AL360,"시가총액"))</f>
        <v/>
      </c>
    </row>
    <row r="361" spans="3:43" x14ac:dyDescent="0.25">
      <c r="C361" s="22">
        <v>356</v>
      </c>
      <c r="Y361" s="25" t="s">
        <v>604</v>
      </c>
      <c r="Z361" s="20" t="str">
        <f t="shared" si="15"/>
        <v/>
      </c>
      <c r="AA361" s="21" t="str">
        <f>IF(Z361="","",_xll.IMDP("STK",$Z361,"한글종목명"))</f>
        <v/>
      </c>
      <c r="AB361" s="48" t="str">
        <f>IF(Z361="","",_xll.IMDP("STK",$Z361,"현재가"))</f>
        <v/>
      </c>
      <c r="AC361" s="48" t="str">
        <f>IF(Z361="","",_xll.IMDP("STK",$Z361,"전일대비"))</f>
        <v/>
      </c>
      <c r="AD361" s="49" t="str">
        <f>IF(Z361="","",_xll.IMDP("STK",$Z361,"등락률"))</f>
        <v/>
      </c>
      <c r="AE361" s="48" t="str">
        <f>IF(Z361="","",_xll.IMDP("STK",Z361,"시가총액"))</f>
        <v/>
      </c>
      <c r="AF361" s="20" t="str">
        <f t="shared" si="17"/>
        <v/>
      </c>
      <c r="AG361" s="21" t="str">
        <f>IF(AF361="","",_xll.IMDP("STK",$AF361,"한글종목명"))</f>
        <v/>
      </c>
      <c r="AH361" s="48" t="str">
        <f>IF(AF361="","",_xll.IMDP("STK",$AF361,"현재가"))</f>
        <v/>
      </c>
      <c r="AI361" s="48" t="str">
        <f>IF(AF361="","",_xll.IMDP("STK",$AF361,"전일대비"))</f>
        <v/>
      </c>
      <c r="AJ361" s="49" t="str">
        <f>IF(AF361="","",_xll.IMDP("STK",$AF361,"등락률"))</f>
        <v/>
      </c>
      <c r="AK361" s="48" t="str">
        <f>IF(AF361="","",_xll.IMDP("STK",$AF361,"시가총액"))</f>
        <v/>
      </c>
      <c r="AL361" s="20" t="str">
        <f t="shared" si="16"/>
        <v/>
      </c>
      <c r="AM361" s="21" t="str">
        <f>IF(AL361="","",_xll.IMDP("STK",$AL361,"한글종목명"))</f>
        <v/>
      </c>
      <c r="AN361" s="48" t="str">
        <f>IF(AL361="","",_xll.IMDP("STK",$AL361,"현재가"))</f>
        <v/>
      </c>
      <c r="AO361" s="48" t="str">
        <f>IF(AL361="","",_xll.IMDP("STK",$AL361,"전일대비"))</f>
        <v/>
      </c>
      <c r="AP361" s="49" t="str">
        <f>IF(AL361="","",_xll.IMDP("STK",$AL361,"등락률"))</f>
        <v/>
      </c>
      <c r="AQ361" s="48" t="str">
        <f>IF(AL361="","",_xll.IMDP("STK",$AL361,"시가총액"))</f>
        <v/>
      </c>
    </row>
    <row r="362" spans="3:43" x14ac:dyDescent="0.25">
      <c r="C362" s="22">
        <v>357</v>
      </c>
      <c r="Y362" s="25" t="s">
        <v>321</v>
      </c>
      <c r="Z362" s="20" t="str">
        <f t="shared" si="15"/>
        <v/>
      </c>
      <c r="AA362" s="21" t="str">
        <f>IF(Z362="","",_xll.IMDP("STK",$Z362,"한글종목명"))</f>
        <v/>
      </c>
      <c r="AB362" s="48" t="str">
        <f>IF(Z362="","",_xll.IMDP("STK",$Z362,"현재가"))</f>
        <v/>
      </c>
      <c r="AC362" s="48" t="str">
        <f>IF(Z362="","",_xll.IMDP("STK",$Z362,"전일대비"))</f>
        <v/>
      </c>
      <c r="AD362" s="49" t="str">
        <f>IF(Z362="","",_xll.IMDP("STK",$Z362,"등락률"))</f>
        <v/>
      </c>
      <c r="AE362" s="48" t="str">
        <f>IF(Z362="","",_xll.IMDP("STK",Z362,"시가총액"))</f>
        <v/>
      </c>
      <c r="AF362" s="20" t="str">
        <f t="shared" si="17"/>
        <v/>
      </c>
      <c r="AG362" s="21" t="str">
        <f>IF(AF362="","",_xll.IMDP("STK",$AF362,"한글종목명"))</f>
        <v/>
      </c>
      <c r="AH362" s="48" t="str">
        <f>IF(AF362="","",_xll.IMDP("STK",$AF362,"현재가"))</f>
        <v/>
      </c>
      <c r="AI362" s="48" t="str">
        <f>IF(AF362="","",_xll.IMDP("STK",$AF362,"전일대비"))</f>
        <v/>
      </c>
      <c r="AJ362" s="49" t="str">
        <f>IF(AF362="","",_xll.IMDP("STK",$AF362,"등락률"))</f>
        <v/>
      </c>
      <c r="AK362" s="48" t="str">
        <f>IF(AF362="","",_xll.IMDP("STK",$AF362,"시가총액"))</f>
        <v/>
      </c>
      <c r="AL362" s="20" t="str">
        <f t="shared" si="16"/>
        <v/>
      </c>
      <c r="AM362" s="21" t="str">
        <f>IF(AL362="","",_xll.IMDP("STK",$AL362,"한글종목명"))</f>
        <v/>
      </c>
      <c r="AN362" s="48" t="str">
        <f>IF(AL362="","",_xll.IMDP("STK",$AL362,"현재가"))</f>
        <v/>
      </c>
      <c r="AO362" s="48" t="str">
        <f>IF(AL362="","",_xll.IMDP("STK",$AL362,"전일대비"))</f>
        <v/>
      </c>
      <c r="AP362" s="49" t="str">
        <f>IF(AL362="","",_xll.IMDP("STK",$AL362,"등락률"))</f>
        <v/>
      </c>
      <c r="AQ362" s="48" t="str">
        <f>IF(AL362="","",_xll.IMDP("STK",$AL362,"시가총액"))</f>
        <v/>
      </c>
    </row>
    <row r="363" spans="3:43" x14ac:dyDescent="0.25">
      <c r="C363" s="22">
        <v>358</v>
      </c>
      <c r="Y363" s="25" t="s">
        <v>417</v>
      </c>
      <c r="Z363" s="20" t="str">
        <f t="shared" si="15"/>
        <v/>
      </c>
      <c r="AA363" s="21" t="str">
        <f>IF(Z363="","",_xll.IMDP("STK",$Z363,"한글종목명"))</f>
        <v/>
      </c>
      <c r="AB363" s="48" t="str">
        <f>IF(Z363="","",_xll.IMDP("STK",$Z363,"현재가"))</f>
        <v/>
      </c>
      <c r="AC363" s="48" t="str">
        <f>IF(Z363="","",_xll.IMDP("STK",$Z363,"전일대비"))</f>
        <v/>
      </c>
      <c r="AD363" s="49" t="str">
        <f>IF(Z363="","",_xll.IMDP("STK",$Z363,"등락률"))</f>
        <v/>
      </c>
      <c r="AE363" s="48" t="str">
        <f>IF(Z363="","",_xll.IMDP("STK",Z363,"시가총액"))</f>
        <v/>
      </c>
      <c r="AF363" s="20" t="str">
        <f t="shared" si="17"/>
        <v/>
      </c>
      <c r="AG363" s="21" t="str">
        <f>IF(AF363="","",_xll.IMDP("STK",$AF363,"한글종목명"))</f>
        <v/>
      </c>
      <c r="AH363" s="48" t="str">
        <f>IF(AF363="","",_xll.IMDP("STK",$AF363,"현재가"))</f>
        <v/>
      </c>
      <c r="AI363" s="48" t="str">
        <f>IF(AF363="","",_xll.IMDP("STK",$AF363,"전일대비"))</f>
        <v/>
      </c>
      <c r="AJ363" s="49" t="str">
        <f>IF(AF363="","",_xll.IMDP("STK",$AF363,"등락률"))</f>
        <v/>
      </c>
      <c r="AK363" s="48" t="str">
        <f>IF(AF363="","",_xll.IMDP("STK",$AF363,"시가총액"))</f>
        <v/>
      </c>
      <c r="AL363" s="20" t="str">
        <f t="shared" si="16"/>
        <v/>
      </c>
      <c r="AM363" s="21" t="str">
        <f>IF(AL363="","",_xll.IMDP("STK",$AL363,"한글종목명"))</f>
        <v/>
      </c>
      <c r="AN363" s="48" t="str">
        <f>IF(AL363="","",_xll.IMDP("STK",$AL363,"현재가"))</f>
        <v/>
      </c>
      <c r="AO363" s="48" t="str">
        <f>IF(AL363="","",_xll.IMDP("STK",$AL363,"전일대비"))</f>
        <v/>
      </c>
      <c r="AP363" s="49" t="str">
        <f>IF(AL363="","",_xll.IMDP("STK",$AL363,"등락률"))</f>
        <v/>
      </c>
      <c r="AQ363" s="48" t="str">
        <f>IF(AL363="","",_xll.IMDP("STK",$AL363,"시가총액"))</f>
        <v/>
      </c>
    </row>
    <row r="364" spans="3:43" x14ac:dyDescent="0.25">
      <c r="C364" s="22">
        <v>359</v>
      </c>
      <c r="Y364" s="25" t="s">
        <v>240</v>
      </c>
      <c r="Z364" s="20" t="str">
        <f t="shared" si="15"/>
        <v/>
      </c>
      <c r="AA364" s="21" t="str">
        <f>IF(Z364="","",_xll.IMDP("STK",$Z364,"한글종목명"))</f>
        <v/>
      </c>
      <c r="AB364" s="48" t="str">
        <f>IF(Z364="","",_xll.IMDP("STK",$Z364,"현재가"))</f>
        <v/>
      </c>
      <c r="AC364" s="48" t="str">
        <f>IF(Z364="","",_xll.IMDP("STK",$Z364,"전일대비"))</f>
        <v/>
      </c>
      <c r="AD364" s="49" t="str">
        <f>IF(Z364="","",_xll.IMDP("STK",$Z364,"등락률"))</f>
        <v/>
      </c>
      <c r="AE364" s="48" t="str">
        <f>IF(Z364="","",_xll.IMDP("STK",Z364,"시가총액"))</f>
        <v/>
      </c>
      <c r="AF364" s="20" t="str">
        <f t="shared" si="17"/>
        <v/>
      </c>
      <c r="AG364" s="21" t="str">
        <f>IF(AF364="","",_xll.IMDP("STK",$AF364,"한글종목명"))</f>
        <v/>
      </c>
      <c r="AH364" s="48" t="str">
        <f>IF(AF364="","",_xll.IMDP("STK",$AF364,"현재가"))</f>
        <v/>
      </c>
      <c r="AI364" s="48" t="str">
        <f>IF(AF364="","",_xll.IMDP("STK",$AF364,"전일대비"))</f>
        <v/>
      </c>
      <c r="AJ364" s="49" t="str">
        <f>IF(AF364="","",_xll.IMDP("STK",$AF364,"등락률"))</f>
        <v/>
      </c>
      <c r="AK364" s="48" t="str">
        <f>IF(AF364="","",_xll.IMDP("STK",$AF364,"시가총액"))</f>
        <v/>
      </c>
      <c r="AL364" s="20" t="str">
        <f t="shared" si="16"/>
        <v/>
      </c>
      <c r="AM364" s="21" t="str">
        <f>IF(AL364="","",_xll.IMDP("STK",$AL364,"한글종목명"))</f>
        <v/>
      </c>
      <c r="AN364" s="48" t="str">
        <f>IF(AL364="","",_xll.IMDP("STK",$AL364,"현재가"))</f>
        <v/>
      </c>
      <c r="AO364" s="48" t="str">
        <f>IF(AL364="","",_xll.IMDP("STK",$AL364,"전일대비"))</f>
        <v/>
      </c>
      <c r="AP364" s="49" t="str">
        <f>IF(AL364="","",_xll.IMDP("STK",$AL364,"등락률"))</f>
        <v/>
      </c>
      <c r="AQ364" s="48" t="str">
        <f>IF(AL364="","",_xll.IMDP("STK",$AL364,"시가총액"))</f>
        <v/>
      </c>
    </row>
    <row r="365" spans="3:43" x14ac:dyDescent="0.25">
      <c r="C365" s="22">
        <v>360</v>
      </c>
      <c r="Y365" s="25" t="s">
        <v>667</v>
      </c>
      <c r="Z365" s="20" t="str">
        <f t="shared" si="15"/>
        <v/>
      </c>
      <c r="AA365" s="21" t="str">
        <f>IF(Z365="","",_xll.IMDP("STK",$Z365,"한글종목명"))</f>
        <v/>
      </c>
      <c r="AB365" s="48" t="str">
        <f>IF(Z365="","",_xll.IMDP("STK",$Z365,"현재가"))</f>
        <v/>
      </c>
      <c r="AC365" s="48" t="str">
        <f>IF(Z365="","",_xll.IMDP("STK",$Z365,"전일대비"))</f>
        <v/>
      </c>
      <c r="AD365" s="49" t="str">
        <f>IF(Z365="","",_xll.IMDP("STK",$Z365,"등락률"))</f>
        <v/>
      </c>
      <c r="AE365" s="48" t="str">
        <f>IF(Z365="","",_xll.IMDP("STK",Z365,"시가총액"))</f>
        <v/>
      </c>
      <c r="AF365" s="20" t="str">
        <f t="shared" si="17"/>
        <v/>
      </c>
      <c r="AG365" s="21" t="str">
        <f>IF(AF365="","",_xll.IMDP("STK",$AF365,"한글종목명"))</f>
        <v/>
      </c>
      <c r="AH365" s="48" t="str">
        <f>IF(AF365="","",_xll.IMDP("STK",$AF365,"현재가"))</f>
        <v/>
      </c>
      <c r="AI365" s="48" t="str">
        <f>IF(AF365="","",_xll.IMDP("STK",$AF365,"전일대비"))</f>
        <v/>
      </c>
      <c r="AJ365" s="49" t="str">
        <f>IF(AF365="","",_xll.IMDP("STK",$AF365,"등락률"))</f>
        <v/>
      </c>
      <c r="AK365" s="48" t="str">
        <f>IF(AF365="","",_xll.IMDP("STK",$AF365,"시가총액"))</f>
        <v/>
      </c>
      <c r="AL365" s="20" t="str">
        <f t="shared" si="16"/>
        <v/>
      </c>
      <c r="AM365" s="21" t="str">
        <f>IF(AL365="","",_xll.IMDP("STK",$AL365,"한글종목명"))</f>
        <v/>
      </c>
      <c r="AN365" s="48" t="str">
        <f>IF(AL365="","",_xll.IMDP("STK",$AL365,"현재가"))</f>
        <v/>
      </c>
      <c r="AO365" s="48" t="str">
        <f>IF(AL365="","",_xll.IMDP("STK",$AL365,"전일대비"))</f>
        <v/>
      </c>
      <c r="AP365" s="49" t="str">
        <f>IF(AL365="","",_xll.IMDP("STK",$AL365,"등락률"))</f>
        <v/>
      </c>
      <c r="AQ365" s="48" t="str">
        <f>IF(AL365="","",_xll.IMDP("STK",$AL365,"시가총액"))</f>
        <v/>
      </c>
    </row>
    <row r="366" spans="3:43" x14ac:dyDescent="0.25">
      <c r="C366" s="22">
        <v>361</v>
      </c>
      <c r="Y366" s="25" t="s">
        <v>668</v>
      </c>
      <c r="Z366" s="20" t="str">
        <f t="shared" si="15"/>
        <v/>
      </c>
      <c r="AA366" s="21" t="str">
        <f>IF(Z366="","",_xll.IMDP("STK",$Z366,"한글종목명"))</f>
        <v/>
      </c>
      <c r="AB366" s="48" t="str">
        <f>IF(Z366="","",_xll.IMDP("STK",$Z366,"현재가"))</f>
        <v/>
      </c>
      <c r="AC366" s="48" t="str">
        <f>IF(Z366="","",_xll.IMDP("STK",$Z366,"전일대비"))</f>
        <v/>
      </c>
      <c r="AD366" s="49" t="str">
        <f>IF(Z366="","",_xll.IMDP("STK",$Z366,"등락률"))</f>
        <v/>
      </c>
      <c r="AE366" s="48" t="str">
        <f>IF(Z366="","",_xll.IMDP("STK",Z366,"시가총액"))</f>
        <v/>
      </c>
      <c r="AF366" s="20" t="str">
        <f t="shared" si="17"/>
        <v/>
      </c>
      <c r="AG366" s="21" t="str">
        <f>IF(AF366="","",_xll.IMDP("STK",$AF366,"한글종목명"))</f>
        <v/>
      </c>
      <c r="AH366" s="48" t="str">
        <f>IF(AF366="","",_xll.IMDP("STK",$AF366,"현재가"))</f>
        <v/>
      </c>
      <c r="AI366" s="48" t="str">
        <f>IF(AF366="","",_xll.IMDP("STK",$AF366,"전일대비"))</f>
        <v/>
      </c>
      <c r="AJ366" s="49" t="str">
        <f>IF(AF366="","",_xll.IMDP("STK",$AF366,"등락률"))</f>
        <v/>
      </c>
      <c r="AK366" s="48" t="str">
        <f>IF(AF366="","",_xll.IMDP("STK",$AF366,"시가총액"))</f>
        <v/>
      </c>
      <c r="AL366" s="20" t="str">
        <f t="shared" si="16"/>
        <v/>
      </c>
      <c r="AM366" s="21" t="str">
        <f>IF(AL366="","",_xll.IMDP("STK",$AL366,"한글종목명"))</f>
        <v/>
      </c>
      <c r="AN366" s="48" t="str">
        <f>IF(AL366="","",_xll.IMDP("STK",$AL366,"현재가"))</f>
        <v/>
      </c>
      <c r="AO366" s="48" t="str">
        <f>IF(AL366="","",_xll.IMDP("STK",$AL366,"전일대비"))</f>
        <v/>
      </c>
      <c r="AP366" s="49" t="str">
        <f>IF(AL366="","",_xll.IMDP("STK",$AL366,"등락률"))</f>
        <v/>
      </c>
      <c r="AQ366" s="48" t="str">
        <f>IF(AL366="","",_xll.IMDP("STK",$AL366,"시가총액"))</f>
        <v/>
      </c>
    </row>
    <row r="367" spans="3:43" x14ac:dyDescent="0.25">
      <c r="C367" s="22">
        <v>362</v>
      </c>
      <c r="Y367" s="25" t="s">
        <v>418</v>
      </c>
      <c r="Z367" s="20" t="str">
        <f t="shared" si="15"/>
        <v/>
      </c>
      <c r="AA367" s="21" t="str">
        <f>IF(Z367="","",_xll.IMDP("STK",$Z367,"한글종목명"))</f>
        <v/>
      </c>
      <c r="AB367" s="48" t="str">
        <f>IF(Z367="","",_xll.IMDP("STK",$Z367,"현재가"))</f>
        <v/>
      </c>
      <c r="AC367" s="48" t="str">
        <f>IF(Z367="","",_xll.IMDP("STK",$Z367,"전일대비"))</f>
        <v/>
      </c>
      <c r="AD367" s="49" t="str">
        <f>IF(Z367="","",_xll.IMDP("STK",$Z367,"등락률"))</f>
        <v/>
      </c>
      <c r="AE367" s="48" t="str">
        <f>IF(Z367="","",_xll.IMDP("STK",Z367,"시가총액"))</f>
        <v/>
      </c>
      <c r="AF367" s="20" t="str">
        <f t="shared" si="17"/>
        <v/>
      </c>
      <c r="AG367" s="21" t="str">
        <f>IF(AF367="","",_xll.IMDP("STK",$AF367,"한글종목명"))</f>
        <v/>
      </c>
      <c r="AH367" s="48" t="str">
        <f>IF(AF367="","",_xll.IMDP("STK",$AF367,"현재가"))</f>
        <v/>
      </c>
      <c r="AI367" s="48" t="str">
        <f>IF(AF367="","",_xll.IMDP("STK",$AF367,"전일대비"))</f>
        <v/>
      </c>
      <c r="AJ367" s="49" t="str">
        <f>IF(AF367="","",_xll.IMDP("STK",$AF367,"등락률"))</f>
        <v/>
      </c>
      <c r="AK367" s="48" t="str">
        <f>IF(AF367="","",_xll.IMDP("STK",$AF367,"시가총액"))</f>
        <v/>
      </c>
      <c r="AL367" s="20" t="str">
        <f t="shared" si="16"/>
        <v/>
      </c>
      <c r="AM367" s="21" t="str">
        <f>IF(AL367="","",_xll.IMDP("STK",$AL367,"한글종목명"))</f>
        <v/>
      </c>
      <c r="AN367" s="48" t="str">
        <f>IF(AL367="","",_xll.IMDP("STK",$AL367,"현재가"))</f>
        <v/>
      </c>
      <c r="AO367" s="48" t="str">
        <f>IF(AL367="","",_xll.IMDP("STK",$AL367,"전일대비"))</f>
        <v/>
      </c>
      <c r="AP367" s="49" t="str">
        <f>IF(AL367="","",_xll.IMDP("STK",$AL367,"등락률"))</f>
        <v/>
      </c>
      <c r="AQ367" s="48" t="str">
        <f>IF(AL367="","",_xll.IMDP("STK",$AL367,"시가총액"))</f>
        <v/>
      </c>
    </row>
    <row r="368" spans="3:43" x14ac:dyDescent="0.25">
      <c r="C368" s="22">
        <v>363</v>
      </c>
      <c r="Y368" s="25" t="s">
        <v>419</v>
      </c>
      <c r="Z368" s="20" t="str">
        <f t="shared" si="15"/>
        <v/>
      </c>
      <c r="AA368" s="21" t="str">
        <f>IF(Z368="","",_xll.IMDP("STK",$Z368,"한글종목명"))</f>
        <v/>
      </c>
      <c r="AB368" s="48" t="str">
        <f>IF(Z368="","",_xll.IMDP("STK",$Z368,"현재가"))</f>
        <v/>
      </c>
      <c r="AC368" s="48" t="str">
        <f>IF(Z368="","",_xll.IMDP("STK",$Z368,"전일대비"))</f>
        <v/>
      </c>
      <c r="AD368" s="49" t="str">
        <f>IF(Z368="","",_xll.IMDP("STK",$Z368,"등락률"))</f>
        <v/>
      </c>
      <c r="AE368" s="48" t="str">
        <f>IF(Z368="","",_xll.IMDP("STK",Z368,"시가총액"))</f>
        <v/>
      </c>
      <c r="AF368" s="20" t="str">
        <f t="shared" si="17"/>
        <v/>
      </c>
      <c r="AG368" s="21" t="str">
        <f>IF(AF368="","",_xll.IMDP("STK",$AF368,"한글종목명"))</f>
        <v/>
      </c>
      <c r="AH368" s="48" t="str">
        <f>IF(AF368="","",_xll.IMDP("STK",$AF368,"현재가"))</f>
        <v/>
      </c>
      <c r="AI368" s="48" t="str">
        <f>IF(AF368="","",_xll.IMDP("STK",$AF368,"전일대비"))</f>
        <v/>
      </c>
      <c r="AJ368" s="49" t="str">
        <f>IF(AF368="","",_xll.IMDP("STK",$AF368,"등락률"))</f>
        <v/>
      </c>
      <c r="AK368" s="48" t="str">
        <f>IF(AF368="","",_xll.IMDP("STK",$AF368,"시가총액"))</f>
        <v/>
      </c>
      <c r="AL368" s="20" t="str">
        <f t="shared" si="16"/>
        <v/>
      </c>
      <c r="AM368" s="21" t="str">
        <f>IF(AL368="","",_xll.IMDP("STK",$AL368,"한글종목명"))</f>
        <v/>
      </c>
      <c r="AN368" s="48" t="str">
        <f>IF(AL368="","",_xll.IMDP("STK",$AL368,"현재가"))</f>
        <v/>
      </c>
      <c r="AO368" s="48" t="str">
        <f>IF(AL368="","",_xll.IMDP("STK",$AL368,"전일대비"))</f>
        <v/>
      </c>
      <c r="AP368" s="49" t="str">
        <f>IF(AL368="","",_xll.IMDP("STK",$AL368,"등락률"))</f>
        <v/>
      </c>
      <c r="AQ368" s="48" t="str">
        <f>IF(AL368="","",_xll.IMDP("STK",$AL368,"시가총액"))</f>
        <v/>
      </c>
    </row>
    <row r="369" spans="3:43" x14ac:dyDescent="0.25">
      <c r="C369" s="22">
        <v>364</v>
      </c>
      <c r="Y369" s="25" t="s">
        <v>241</v>
      </c>
      <c r="Z369" s="20" t="str">
        <f t="shared" si="15"/>
        <v/>
      </c>
      <c r="AA369" s="21" t="str">
        <f>IF(Z369="","",_xll.IMDP("STK",$Z369,"한글종목명"))</f>
        <v/>
      </c>
      <c r="AB369" s="48" t="str">
        <f>IF(Z369="","",_xll.IMDP("STK",$Z369,"현재가"))</f>
        <v/>
      </c>
      <c r="AC369" s="48" t="str">
        <f>IF(Z369="","",_xll.IMDP("STK",$Z369,"전일대비"))</f>
        <v/>
      </c>
      <c r="AD369" s="49" t="str">
        <f>IF(Z369="","",_xll.IMDP("STK",$Z369,"등락률"))</f>
        <v/>
      </c>
      <c r="AE369" s="48" t="str">
        <f>IF(Z369="","",_xll.IMDP("STK",Z369,"시가총액"))</f>
        <v/>
      </c>
      <c r="AF369" s="20" t="str">
        <f t="shared" si="17"/>
        <v/>
      </c>
      <c r="AG369" s="21" t="str">
        <f>IF(AF369="","",_xll.IMDP("STK",$AF369,"한글종목명"))</f>
        <v/>
      </c>
      <c r="AH369" s="48" t="str">
        <f>IF(AF369="","",_xll.IMDP("STK",$AF369,"현재가"))</f>
        <v/>
      </c>
      <c r="AI369" s="48" t="str">
        <f>IF(AF369="","",_xll.IMDP("STK",$AF369,"전일대비"))</f>
        <v/>
      </c>
      <c r="AJ369" s="49" t="str">
        <f>IF(AF369="","",_xll.IMDP("STK",$AF369,"등락률"))</f>
        <v/>
      </c>
      <c r="AK369" s="48" t="str">
        <f>IF(AF369="","",_xll.IMDP("STK",$AF369,"시가총액"))</f>
        <v/>
      </c>
      <c r="AL369" s="20" t="str">
        <f t="shared" si="16"/>
        <v/>
      </c>
      <c r="AM369" s="21" t="str">
        <f>IF(AL369="","",_xll.IMDP("STK",$AL369,"한글종목명"))</f>
        <v/>
      </c>
      <c r="AN369" s="48" t="str">
        <f>IF(AL369="","",_xll.IMDP("STK",$AL369,"현재가"))</f>
        <v/>
      </c>
      <c r="AO369" s="48" t="str">
        <f>IF(AL369="","",_xll.IMDP("STK",$AL369,"전일대비"))</f>
        <v/>
      </c>
      <c r="AP369" s="49" t="str">
        <f>IF(AL369="","",_xll.IMDP("STK",$AL369,"등락률"))</f>
        <v/>
      </c>
      <c r="AQ369" s="48" t="str">
        <f>IF(AL369="","",_xll.IMDP("STK",$AL369,"시가총액"))</f>
        <v/>
      </c>
    </row>
    <row r="370" spans="3:43" x14ac:dyDescent="0.25">
      <c r="C370" s="22">
        <v>365</v>
      </c>
      <c r="Y370" s="25" t="s">
        <v>420</v>
      </c>
      <c r="Z370" s="20" t="str">
        <f t="shared" si="15"/>
        <v/>
      </c>
      <c r="AA370" s="21" t="str">
        <f>IF(Z370="","",_xll.IMDP("STK",$Z370,"한글종목명"))</f>
        <v/>
      </c>
      <c r="AB370" s="48" t="str">
        <f>IF(Z370="","",_xll.IMDP("STK",$Z370,"현재가"))</f>
        <v/>
      </c>
      <c r="AC370" s="48" t="str">
        <f>IF(Z370="","",_xll.IMDP("STK",$Z370,"전일대비"))</f>
        <v/>
      </c>
      <c r="AD370" s="49" t="str">
        <f>IF(Z370="","",_xll.IMDP("STK",$Z370,"등락률"))</f>
        <v/>
      </c>
      <c r="AE370" s="48" t="str">
        <f>IF(Z370="","",_xll.IMDP("STK",Z370,"시가총액"))</f>
        <v/>
      </c>
      <c r="AF370" s="20" t="str">
        <f t="shared" si="17"/>
        <v/>
      </c>
      <c r="AG370" s="21" t="str">
        <f>IF(AF370="","",_xll.IMDP("STK",$AF370,"한글종목명"))</f>
        <v/>
      </c>
      <c r="AH370" s="48" t="str">
        <f>IF(AF370="","",_xll.IMDP("STK",$AF370,"현재가"))</f>
        <v/>
      </c>
      <c r="AI370" s="48" t="str">
        <f>IF(AF370="","",_xll.IMDP("STK",$AF370,"전일대비"))</f>
        <v/>
      </c>
      <c r="AJ370" s="49" t="str">
        <f>IF(AF370="","",_xll.IMDP("STK",$AF370,"등락률"))</f>
        <v/>
      </c>
      <c r="AK370" s="48" t="str">
        <f>IF(AF370="","",_xll.IMDP("STK",$AF370,"시가총액"))</f>
        <v/>
      </c>
      <c r="AL370" s="20" t="str">
        <f t="shared" si="16"/>
        <v/>
      </c>
      <c r="AM370" s="21" t="str">
        <f>IF(AL370="","",_xll.IMDP("STK",$AL370,"한글종목명"))</f>
        <v/>
      </c>
      <c r="AN370" s="48" t="str">
        <f>IF(AL370="","",_xll.IMDP("STK",$AL370,"현재가"))</f>
        <v/>
      </c>
      <c r="AO370" s="48" t="str">
        <f>IF(AL370="","",_xll.IMDP("STK",$AL370,"전일대비"))</f>
        <v/>
      </c>
      <c r="AP370" s="49" t="str">
        <f>IF(AL370="","",_xll.IMDP("STK",$AL370,"등락률"))</f>
        <v/>
      </c>
      <c r="AQ370" s="48" t="str">
        <f>IF(AL370="","",_xll.IMDP("STK",$AL370,"시가총액"))</f>
        <v/>
      </c>
    </row>
    <row r="371" spans="3:43" x14ac:dyDescent="0.25">
      <c r="C371" s="22">
        <v>366</v>
      </c>
      <c r="Y371" s="25" t="s">
        <v>421</v>
      </c>
      <c r="Z371" s="20" t="str">
        <f t="shared" si="15"/>
        <v/>
      </c>
      <c r="AA371" s="21" t="str">
        <f>IF(Z371="","",_xll.IMDP("STK",$Z371,"한글종목명"))</f>
        <v/>
      </c>
      <c r="AB371" s="48" t="str">
        <f>IF(Z371="","",_xll.IMDP("STK",$Z371,"현재가"))</f>
        <v/>
      </c>
      <c r="AC371" s="48" t="str">
        <f>IF(Z371="","",_xll.IMDP("STK",$Z371,"전일대비"))</f>
        <v/>
      </c>
      <c r="AD371" s="49" t="str">
        <f>IF(Z371="","",_xll.IMDP("STK",$Z371,"등락률"))</f>
        <v/>
      </c>
      <c r="AE371" s="48" t="str">
        <f>IF(Z371="","",_xll.IMDP("STK",Z371,"시가총액"))</f>
        <v/>
      </c>
      <c r="AF371" s="20" t="str">
        <f t="shared" si="17"/>
        <v/>
      </c>
      <c r="AG371" s="21" t="str">
        <f>IF(AF371="","",_xll.IMDP("STK",$AF371,"한글종목명"))</f>
        <v/>
      </c>
      <c r="AH371" s="48" t="str">
        <f>IF(AF371="","",_xll.IMDP("STK",$AF371,"현재가"))</f>
        <v/>
      </c>
      <c r="AI371" s="48" t="str">
        <f>IF(AF371="","",_xll.IMDP("STK",$AF371,"전일대비"))</f>
        <v/>
      </c>
      <c r="AJ371" s="49" t="str">
        <f>IF(AF371="","",_xll.IMDP("STK",$AF371,"등락률"))</f>
        <v/>
      </c>
      <c r="AK371" s="48" t="str">
        <f>IF(AF371="","",_xll.IMDP("STK",$AF371,"시가총액"))</f>
        <v/>
      </c>
      <c r="AL371" s="20" t="str">
        <f t="shared" si="16"/>
        <v/>
      </c>
      <c r="AM371" s="21" t="str">
        <f>IF(AL371="","",_xll.IMDP("STK",$AL371,"한글종목명"))</f>
        <v/>
      </c>
      <c r="AN371" s="48" t="str">
        <f>IF(AL371="","",_xll.IMDP("STK",$AL371,"현재가"))</f>
        <v/>
      </c>
      <c r="AO371" s="48" t="str">
        <f>IF(AL371="","",_xll.IMDP("STK",$AL371,"전일대비"))</f>
        <v/>
      </c>
      <c r="AP371" s="49" t="str">
        <f>IF(AL371="","",_xll.IMDP("STK",$AL371,"등락률"))</f>
        <v/>
      </c>
      <c r="AQ371" s="48" t="str">
        <f>IF(AL371="","",_xll.IMDP("STK",$AL371,"시가총액"))</f>
        <v/>
      </c>
    </row>
    <row r="372" spans="3:43" x14ac:dyDescent="0.25">
      <c r="C372" s="22">
        <v>367</v>
      </c>
      <c r="Y372" s="25" t="s">
        <v>242</v>
      </c>
      <c r="Z372" s="20" t="str">
        <f t="shared" si="15"/>
        <v/>
      </c>
      <c r="AA372" s="21" t="str">
        <f>IF(Z372="","",_xll.IMDP("STK",$Z372,"한글종목명"))</f>
        <v/>
      </c>
      <c r="AB372" s="48" t="str">
        <f>IF(Z372="","",_xll.IMDP("STK",$Z372,"현재가"))</f>
        <v/>
      </c>
      <c r="AC372" s="48" t="str">
        <f>IF(Z372="","",_xll.IMDP("STK",$Z372,"전일대비"))</f>
        <v/>
      </c>
      <c r="AD372" s="49" t="str">
        <f>IF(Z372="","",_xll.IMDP("STK",$Z372,"등락률"))</f>
        <v/>
      </c>
      <c r="AE372" s="48" t="str">
        <f>IF(Z372="","",_xll.IMDP("STK",Z372,"시가총액"))</f>
        <v/>
      </c>
      <c r="AF372" s="20" t="str">
        <f t="shared" si="17"/>
        <v/>
      </c>
      <c r="AG372" s="21" t="str">
        <f>IF(AF372="","",_xll.IMDP("STK",$AF372,"한글종목명"))</f>
        <v/>
      </c>
      <c r="AH372" s="48" t="str">
        <f>IF(AF372="","",_xll.IMDP("STK",$AF372,"현재가"))</f>
        <v/>
      </c>
      <c r="AI372" s="48" t="str">
        <f>IF(AF372="","",_xll.IMDP("STK",$AF372,"전일대비"))</f>
        <v/>
      </c>
      <c r="AJ372" s="49" t="str">
        <f>IF(AF372="","",_xll.IMDP("STK",$AF372,"등락률"))</f>
        <v/>
      </c>
      <c r="AK372" s="48" t="str">
        <f>IF(AF372="","",_xll.IMDP("STK",$AF372,"시가총액"))</f>
        <v/>
      </c>
      <c r="AL372" s="20" t="str">
        <f t="shared" si="16"/>
        <v/>
      </c>
      <c r="AM372" s="21" t="str">
        <f>IF(AL372="","",_xll.IMDP("STK",$AL372,"한글종목명"))</f>
        <v/>
      </c>
      <c r="AN372" s="48" t="str">
        <f>IF(AL372="","",_xll.IMDP("STK",$AL372,"현재가"))</f>
        <v/>
      </c>
      <c r="AO372" s="48" t="str">
        <f>IF(AL372="","",_xll.IMDP("STK",$AL372,"전일대비"))</f>
        <v/>
      </c>
      <c r="AP372" s="49" t="str">
        <f>IF(AL372="","",_xll.IMDP("STK",$AL372,"등락률"))</f>
        <v/>
      </c>
      <c r="AQ372" s="48" t="str">
        <f>IF(AL372="","",_xll.IMDP("STK",$AL372,"시가총액"))</f>
        <v/>
      </c>
    </row>
    <row r="373" spans="3:43" x14ac:dyDescent="0.25">
      <c r="C373" s="22">
        <v>368</v>
      </c>
      <c r="Y373" s="25" t="s">
        <v>322</v>
      </c>
      <c r="Z373" s="20" t="str">
        <f t="shared" si="15"/>
        <v/>
      </c>
      <c r="AA373" s="21" t="str">
        <f>IF(Z373="","",_xll.IMDP("STK",$Z373,"한글종목명"))</f>
        <v/>
      </c>
      <c r="AB373" s="48" t="str">
        <f>IF(Z373="","",_xll.IMDP("STK",$Z373,"현재가"))</f>
        <v/>
      </c>
      <c r="AC373" s="48" t="str">
        <f>IF(Z373="","",_xll.IMDP("STK",$Z373,"전일대비"))</f>
        <v/>
      </c>
      <c r="AD373" s="49" t="str">
        <f>IF(Z373="","",_xll.IMDP("STK",$Z373,"등락률"))</f>
        <v/>
      </c>
      <c r="AE373" s="48" t="str">
        <f>IF(Z373="","",_xll.IMDP("STK",Z373,"시가총액"))</f>
        <v/>
      </c>
      <c r="AF373" s="20" t="str">
        <f t="shared" si="17"/>
        <v/>
      </c>
      <c r="AG373" s="21" t="str">
        <f>IF(AF373="","",_xll.IMDP("STK",$AF373,"한글종목명"))</f>
        <v/>
      </c>
      <c r="AH373" s="48" t="str">
        <f>IF(AF373="","",_xll.IMDP("STK",$AF373,"현재가"))</f>
        <v/>
      </c>
      <c r="AI373" s="48" t="str">
        <f>IF(AF373="","",_xll.IMDP("STK",$AF373,"전일대비"))</f>
        <v/>
      </c>
      <c r="AJ373" s="49" t="str">
        <f>IF(AF373="","",_xll.IMDP("STK",$AF373,"등락률"))</f>
        <v/>
      </c>
      <c r="AK373" s="48" t="str">
        <f>IF(AF373="","",_xll.IMDP("STK",$AF373,"시가총액"))</f>
        <v/>
      </c>
      <c r="AL373" s="20" t="str">
        <f t="shared" si="16"/>
        <v/>
      </c>
      <c r="AM373" s="21" t="str">
        <f>IF(AL373="","",_xll.IMDP("STK",$AL373,"한글종목명"))</f>
        <v/>
      </c>
      <c r="AN373" s="48" t="str">
        <f>IF(AL373="","",_xll.IMDP("STK",$AL373,"현재가"))</f>
        <v/>
      </c>
      <c r="AO373" s="48" t="str">
        <f>IF(AL373="","",_xll.IMDP("STK",$AL373,"전일대비"))</f>
        <v/>
      </c>
      <c r="AP373" s="49" t="str">
        <f>IF(AL373="","",_xll.IMDP("STK",$AL373,"등락률"))</f>
        <v/>
      </c>
      <c r="AQ373" s="48" t="str">
        <f>IF(AL373="","",_xll.IMDP("STK",$AL373,"시가총액"))</f>
        <v/>
      </c>
    </row>
    <row r="374" spans="3:43" x14ac:dyDescent="0.25">
      <c r="C374" s="22">
        <v>369</v>
      </c>
      <c r="Y374" s="25" t="s">
        <v>605</v>
      </c>
      <c r="Z374" s="20" t="str">
        <f t="shared" si="15"/>
        <v/>
      </c>
      <c r="AA374" s="21" t="str">
        <f>IF(Z374="","",_xll.IMDP("STK",$Z374,"한글종목명"))</f>
        <v/>
      </c>
      <c r="AB374" s="48" t="str">
        <f>IF(Z374="","",_xll.IMDP("STK",$Z374,"현재가"))</f>
        <v/>
      </c>
      <c r="AC374" s="48" t="str">
        <f>IF(Z374="","",_xll.IMDP("STK",$Z374,"전일대비"))</f>
        <v/>
      </c>
      <c r="AD374" s="49" t="str">
        <f>IF(Z374="","",_xll.IMDP("STK",$Z374,"등락률"))</f>
        <v/>
      </c>
      <c r="AE374" s="48" t="str">
        <f>IF(Z374="","",_xll.IMDP("STK",Z374,"시가총액"))</f>
        <v/>
      </c>
      <c r="AF374" s="20" t="str">
        <f t="shared" si="17"/>
        <v/>
      </c>
      <c r="AG374" s="21" t="str">
        <f>IF(AF374="","",_xll.IMDP("STK",$AF374,"한글종목명"))</f>
        <v/>
      </c>
      <c r="AH374" s="48" t="str">
        <f>IF(AF374="","",_xll.IMDP("STK",$AF374,"현재가"))</f>
        <v/>
      </c>
      <c r="AI374" s="48" t="str">
        <f>IF(AF374="","",_xll.IMDP("STK",$AF374,"전일대비"))</f>
        <v/>
      </c>
      <c r="AJ374" s="49" t="str">
        <f>IF(AF374="","",_xll.IMDP("STK",$AF374,"등락률"))</f>
        <v/>
      </c>
      <c r="AK374" s="48" t="str">
        <f>IF(AF374="","",_xll.IMDP("STK",$AF374,"시가총액"))</f>
        <v/>
      </c>
      <c r="AL374" s="20" t="str">
        <f t="shared" si="16"/>
        <v/>
      </c>
      <c r="AM374" s="21" t="str">
        <f>IF(AL374="","",_xll.IMDP("STK",$AL374,"한글종목명"))</f>
        <v/>
      </c>
      <c r="AN374" s="48" t="str">
        <f>IF(AL374="","",_xll.IMDP("STK",$AL374,"현재가"))</f>
        <v/>
      </c>
      <c r="AO374" s="48" t="str">
        <f>IF(AL374="","",_xll.IMDP("STK",$AL374,"전일대비"))</f>
        <v/>
      </c>
      <c r="AP374" s="49" t="str">
        <f>IF(AL374="","",_xll.IMDP("STK",$AL374,"등락률"))</f>
        <v/>
      </c>
      <c r="AQ374" s="48" t="str">
        <f>IF(AL374="","",_xll.IMDP("STK",$AL374,"시가총액"))</f>
        <v/>
      </c>
    </row>
    <row r="375" spans="3:43" x14ac:dyDescent="0.25">
      <c r="C375" s="22">
        <v>370</v>
      </c>
      <c r="Y375" s="25" t="s">
        <v>606</v>
      </c>
      <c r="Z375" s="20" t="str">
        <f t="shared" si="15"/>
        <v/>
      </c>
      <c r="AA375" s="21" t="str">
        <f>IF(Z375="","",_xll.IMDP("STK",$Z375,"한글종목명"))</f>
        <v/>
      </c>
      <c r="AB375" s="48" t="str">
        <f>IF(Z375="","",_xll.IMDP("STK",$Z375,"현재가"))</f>
        <v/>
      </c>
      <c r="AC375" s="48" t="str">
        <f>IF(Z375="","",_xll.IMDP("STK",$Z375,"전일대비"))</f>
        <v/>
      </c>
      <c r="AD375" s="49" t="str">
        <f>IF(Z375="","",_xll.IMDP("STK",$Z375,"등락률"))</f>
        <v/>
      </c>
      <c r="AE375" s="48" t="str">
        <f>IF(Z375="","",_xll.IMDP("STK",Z375,"시가총액"))</f>
        <v/>
      </c>
      <c r="AF375" s="20" t="str">
        <f t="shared" si="17"/>
        <v/>
      </c>
      <c r="AG375" s="21" t="str">
        <f>IF(AF375="","",_xll.IMDP("STK",$AF375,"한글종목명"))</f>
        <v/>
      </c>
      <c r="AH375" s="48" t="str">
        <f>IF(AF375="","",_xll.IMDP("STK",$AF375,"현재가"))</f>
        <v/>
      </c>
      <c r="AI375" s="48" t="str">
        <f>IF(AF375="","",_xll.IMDP("STK",$AF375,"전일대비"))</f>
        <v/>
      </c>
      <c r="AJ375" s="49" t="str">
        <f>IF(AF375="","",_xll.IMDP("STK",$AF375,"등락률"))</f>
        <v/>
      </c>
      <c r="AK375" s="48" t="str">
        <f>IF(AF375="","",_xll.IMDP("STK",$AF375,"시가총액"))</f>
        <v/>
      </c>
      <c r="AL375" s="20" t="str">
        <f t="shared" si="16"/>
        <v/>
      </c>
      <c r="AM375" s="21" t="str">
        <f>IF(AL375="","",_xll.IMDP("STK",$AL375,"한글종목명"))</f>
        <v/>
      </c>
      <c r="AN375" s="48" t="str">
        <f>IF(AL375="","",_xll.IMDP("STK",$AL375,"현재가"))</f>
        <v/>
      </c>
      <c r="AO375" s="48" t="str">
        <f>IF(AL375="","",_xll.IMDP("STK",$AL375,"전일대비"))</f>
        <v/>
      </c>
      <c r="AP375" s="49" t="str">
        <f>IF(AL375="","",_xll.IMDP("STK",$AL375,"등락률"))</f>
        <v/>
      </c>
      <c r="AQ375" s="48" t="str">
        <f>IF(AL375="","",_xll.IMDP("STK",$AL375,"시가총액"))</f>
        <v/>
      </c>
    </row>
    <row r="376" spans="3:43" x14ac:dyDescent="0.25">
      <c r="C376" s="22">
        <v>371</v>
      </c>
      <c r="Y376" s="25" t="s">
        <v>607</v>
      </c>
      <c r="Z376" s="20" t="str">
        <f t="shared" si="15"/>
        <v/>
      </c>
      <c r="AA376" s="21" t="str">
        <f>IF(Z376="","",_xll.IMDP("STK",$Z376,"한글종목명"))</f>
        <v/>
      </c>
      <c r="AB376" s="48" t="str">
        <f>IF(Z376="","",_xll.IMDP("STK",$Z376,"현재가"))</f>
        <v/>
      </c>
      <c r="AC376" s="48" t="str">
        <f>IF(Z376="","",_xll.IMDP("STK",$Z376,"전일대비"))</f>
        <v/>
      </c>
      <c r="AD376" s="49" t="str">
        <f>IF(Z376="","",_xll.IMDP("STK",$Z376,"등락률"))</f>
        <v/>
      </c>
      <c r="AE376" s="48" t="str">
        <f>IF(Z376="","",_xll.IMDP("STK",Z376,"시가총액"))</f>
        <v/>
      </c>
      <c r="AF376" s="20" t="str">
        <f t="shared" si="17"/>
        <v/>
      </c>
      <c r="AG376" s="21" t="str">
        <f>IF(AF376="","",_xll.IMDP("STK",$AF376,"한글종목명"))</f>
        <v/>
      </c>
      <c r="AH376" s="48" t="str">
        <f>IF(AF376="","",_xll.IMDP("STK",$AF376,"현재가"))</f>
        <v/>
      </c>
      <c r="AI376" s="48" t="str">
        <f>IF(AF376="","",_xll.IMDP("STK",$AF376,"전일대비"))</f>
        <v/>
      </c>
      <c r="AJ376" s="49" t="str">
        <f>IF(AF376="","",_xll.IMDP("STK",$AF376,"등락률"))</f>
        <v/>
      </c>
      <c r="AK376" s="48" t="str">
        <f>IF(AF376="","",_xll.IMDP("STK",$AF376,"시가총액"))</f>
        <v/>
      </c>
      <c r="AL376" s="20" t="str">
        <f t="shared" si="16"/>
        <v/>
      </c>
      <c r="AM376" s="21" t="str">
        <f>IF(AL376="","",_xll.IMDP("STK",$AL376,"한글종목명"))</f>
        <v/>
      </c>
      <c r="AN376" s="48" t="str">
        <f>IF(AL376="","",_xll.IMDP("STK",$AL376,"현재가"))</f>
        <v/>
      </c>
      <c r="AO376" s="48" t="str">
        <f>IF(AL376="","",_xll.IMDP("STK",$AL376,"전일대비"))</f>
        <v/>
      </c>
      <c r="AP376" s="49" t="str">
        <f>IF(AL376="","",_xll.IMDP("STK",$AL376,"등락률"))</f>
        <v/>
      </c>
      <c r="AQ376" s="48" t="str">
        <f>IF(AL376="","",_xll.IMDP("STK",$AL376,"시가총액"))</f>
        <v/>
      </c>
    </row>
    <row r="377" spans="3:43" x14ac:dyDescent="0.25">
      <c r="C377" s="22">
        <v>372</v>
      </c>
      <c r="Y377" s="25" t="s">
        <v>323</v>
      </c>
      <c r="Z377" s="20" t="str">
        <f t="shared" si="15"/>
        <v/>
      </c>
      <c r="AA377" s="21" t="str">
        <f>IF(Z377="","",_xll.IMDP("STK",$Z377,"한글종목명"))</f>
        <v/>
      </c>
      <c r="AB377" s="48" t="str">
        <f>IF(Z377="","",_xll.IMDP("STK",$Z377,"현재가"))</f>
        <v/>
      </c>
      <c r="AC377" s="48" t="str">
        <f>IF(Z377="","",_xll.IMDP("STK",$Z377,"전일대비"))</f>
        <v/>
      </c>
      <c r="AD377" s="49" t="str">
        <f>IF(Z377="","",_xll.IMDP("STK",$Z377,"등락률"))</f>
        <v/>
      </c>
      <c r="AE377" s="48" t="str">
        <f>IF(Z377="","",_xll.IMDP("STK",Z377,"시가총액"))</f>
        <v/>
      </c>
      <c r="AF377" s="20" t="str">
        <f t="shared" si="17"/>
        <v/>
      </c>
      <c r="AG377" s="21" t="str">
        <f>IF(AF377="","",_xll.IMDP("STK",$AF377,"한글종목명"))</f>
        <v/>
      </c>
      <c r="AH377" s="48" t="str">
        <f>IF(AF377="","",_xll.IMDP("STK",$AF377,"현재가"))</f>
        <v/>
      </c>
      <c r="AI377" s="48" t="str">
        <f>IF(AF377="","",_xll.IMDP("STK",$AF377,"전일대비"))</f>
        <v/>
      </c>
      <c r="AJ377" s="49" t="str">
        <f>IF(AF377="","",_xll.IMDP("STK",$AF377,"등락률"))</f>
        <v/>
      </c>
      <c r="AK377" s="48" t="str">
        <f>IF(AF377="","",_xll.IMDP("STK",$AF377,"시가총액"))</f>
        <v/>
      </c>
      <c r="AL377" s="20" t="str">
        <f t="shared" si="16"/>
        <v/>
      </c>
      <c r="AM377" s="21" t="str">
        <f>IF(AL377="","",_xll.IMDP("STK",$AL377,"한글종목명"))</f>
        <v/>
      </c>
      <c r="AN377" s="48" t="str">
        <f>IF(AL377="","",_xll.IMDP("STK",$AL377,"현재가"))</f>
        <v/>
      </c>
      <c r="AO377" s="48" t="str">
        <f>IF(AL377="","",_xll.IMDP("STK",$AL377,"전일대비"))</f>
        <v/>
      </c>
      <c r="AP377" s="49" t="str">
        <f>IF(AL377="","",_xll.IMDP("STK",$AL377,"등락률"))</f>
        <v/>
      </c>
      <c r="AQ377" s="48" t="str">
        <f>IF(AL377="","",_xll.IMDP("STK",$AL377,"시가총액"))</f>
        <v/>
      </c>
    </row>
    <row r="378" spans="3:43" x14ac:dyDescent="0.25">
      <c r="C378" s="22">
        <v>373</v>
      </c>
      <c r="Y378" s="25" t="s">
        <v>608</v>
      </c>
      <c r="Z378" s="20" t="str">
        <f t="shared" si="15"/>
        <v/>
      </c>
      <c r="AA378" s="21" t="str">
        <f>IF(Z378="","",_xll.IMDP("STK",$Z378,"한글종목명"))</f>
        <v/>
      </c>
      <c r="AB378" s="48" t="str">
        <f>IF(Z378="","",_xll.IMDP("STK",$Z378,"현재가"))</f>
        <v/>
      </c>
      <c r="AC378" s="48" t="str">
        <f>IF(Z378="","",_xll.IMDP("STK",$Z378,"전일대비"))</f>
        <v/>
      </c>
      <c r="AD378" s="49" t="str">
        <f>IF(Z378="","",_xll.IMDP("STK",$Z378,"등락률"))</f>
        <v/>
      </c>
      <c r="AE378" s="48" t="str">
        <f>IF(Z378="","",_xll.IMDP("STK",Z378,"시가총액"))</f>
        <v/>
      </c>
      <c r="AF378" s="20" t="str">
        <f t="shared" si="17"/>
        <v/>
      </c>
      <c r="AG378" s="21" t="str">
        <f>IF(AF378="","",_xll.IMDP("STK",$AF378,"한글종목명"))</f>
        <v/>
      </c>
      <c r="AH378" s="48" t="str">
        <f>IF(AF378="","",_xll.IMDP("STK",$AF378,"현재가"))</f>
        <v/>
      </c>
      <c r="AI378" s="48" t="str">
        <f>IF(AF378="","",_xll.IMDP("STK",$AF378,"전일대비"))</f>
        <v/>
      </c>
      <c r="AJ378" s="49" t="str">
        <f>IF(AF378="","",_xll.IMDP("STK",$AF378,"등락률"))</f>
        <v/>
      </c>
      <c r="AK378" s="48" t="str">
        <f>IF(AF378="","",_xll.IMDP("STK",$AF378,"시가총액"))</f>
        <v/>
      </c>
      <c r="AL378" s="20" t="str">
        <f t="shared" si="16"/>
        <v/>
      </c>
      <c r="AM378" s="21" t="str">
        <f>IF(AL378="","",_xll.IMDP("STK",$AL378,"한글종목명"))</f>
        <v/>
      </c>
      <c r="AN378" s="48" t="str">
        <f>IF(AL378="","",_xll.IMDP("STK",$AL378,"현재가"))</f>
        <v/>
      </c>
      <c r="AO378" s="48" t="str">
        <f>IF(AL378="","",_xll.IMDP("STK",$AL378,"전일대비"))</f>
        <v/>
      </c>
      <c r="AP378" s="49" t="str">
        <f>IF(AL378="","",_xll.IMDP("STK",$AL378,"등락률"))</f>
        <v/>
      </c>
      <c r="AQ378" s="48" t="str">
        <f>IF(AL378="","",_xll.IMDP("STK",$AL378,"시가총액"))</f>
        <v/>
      </c>
    </row>
    <row r="379" spans="3:43" x14ac:dyDescent="0.25">
      <c r="C379" s="22">
        <v>374</v>
      </c>
      <c r="Y379" s="25" t="s">
        <v>243</v>
      </c>
      <c r="Z379" s="20" t="str">
        <f t="shared" si="15"/>
        <v/>
      </c>
      <c r="AA379" s="21" t="str">
        <f>IF(Z379="","",_xll.IMDP("STK",$Z379,"한글종목명"))</f>
        <v/>
      </c>
      <c r="AB379" s="48" t="str">
        <f>IF(Z379="","",_xll.IMDP("STK",$Z379,"현재가"))</f>
        <v/>
      </c>
      <c r="AC379" s="48" t="str">
        <f>IF(Z379="","",_xll.IMDP("STK",$Z379,"전일대비"))</f>
        <v/>
      </c>
      <c r="AD379" s="49" t="str">
        <f>IF(Z379="","",_xll.IMDP("STK",$Z379,"등락률"))</f>
        <v/>
      </c>
      <c r="AE379" s="48" t="str">
        <f>IF(Z379="","",_xll.IMDP("STK",Z379,"시가총액"))</f>
        <v/>
      </c>
      <c r="AF379" s="20" t="str">
        <f t="shared" si="17"/>
        <v/>
      </c>
      <c r="AG379" s="21" t="str">
        <f>IF(AF379="","",_xll.IMDP("STK",$AF379,"한글종목명"))</f>
        <v/>
      </c>
      <c r="AH379" s="48" t="str">
        <f>IF(AF379="","",_xll.IMDP("STK",$AF379,"현재가"))</f>
        <v/>
      </c>
      <c r="AI379" s="48" t="str">
        <f>IF(AF379="","",_xll.IMDP("STK",$AF379,"전일대비"))</f>
        <v/>
      </c>
      <c r="AJ379" s="49" t="str">
        <f>IF(AF379="","",_xll.IMDP("STK",$AF379,"등락률"))</f>
        <v/>
      </c>
      <c r="AK379" s="48" t="str">
        <f>IF(AF379="","",_xll.IMDP("STK",$AF379,"시가총액"))</f>
        <v/>
      </c>
      <c r="AL379" s="20" t="str">
        <f t="shared" si="16"/>
        <v/>
      </c>
      <c r="AM379" s="21" t="str">
        <f>IF(AL379="","",_xll.IMDP("STK",$AL379,"한글종목명"))</f>
        <v/>
      </c>
      <c r="AN379" s="48" t="str">
        <f>IF(AL379="","",_xll.IMDP("STK",$AL379,"현재가"))</f>
        <v/>
      </c>
      <c r="AO379" s="48" t="str">
        <f>IF(AL379="","",_xll.IMDP("STK",$AL379,"전일대비"))</f>
        <v/>
      </c>
      <c r="AP379" s="49" t="str">
        <f>IF(AL379="","",_xll.IMDP("STK",$AL379,"등락률"))</f>
        <v/>
      </c>
      <c r="AQ379" s="48" t="str">
        <f>IF(AL379="","",_xll.IMDP("STK",$AL379,"시가총액"))</f>
        <v/>
      </c>
    </row>
    <row r="380" spans="3:43" x14ac:dyDescent="0.25">
      <c r="C380" s="22">
        <v>375</v>
      </c>
      <c r="Y380" s="25" t="s">
        <v>1069</v>
      </c>
      <c r="Z380" s="20" t="str">
        <f t="shared" si="15"/>
        <v/>
      </c>
      <c r="AA380" s="21" t="str">
        <f>IF(Z380="","",_xll.IMDP("STK",$Z380,"한글종목명"))</f>
        <v/>
      </c>
      <c r="AB380" s="48" t="str">
        <f>IF(Z380="","",_xll.IMDP("STK",$Z380,"현재가"))</f>
        <v/>
      </c>
      <c r="AC380" s="48" t="str">
        <f>IF(Z380="","",_xll.IMDP("STK",$Z380,"전일대비"))</f>
        <v/>
      </c>
      <c r="AD380" s="49" t="str">
        <f>IF(Z380="","",_xll.IMDP("STK",$Z380,"등락률"))</f>
        <v/>
      </c>
      <c r="AE380" s="48" t="str">
        <f>IF(Z380="","",_xll.IMDP("STK",Z380,"시가총액"))</f>
        <v/>
      </c>
      <c r="AF380" s="20" t="str">
        <f t="shared" si="17"/>
        <v/>
      </c>
      <c r="AG380" s="21" t="str">
        <f>IF(AF380="","",_xll.IMDP("STK",$AF380,"한글종목명"))</f>
        <v/>
      </c>
      <c r="AH380" s="48" t="str">
        <f>IF(AF380="","",_xll.IMDP("STK",$AF380,"현재가"))</f>
        <v/>
      </c>
      <c r="AI380" s="48" t="str">
        <f>IF(AF380="","",_xll.IMDP("STK",$AF380,"전일대비"))</f>
        <v/>
      </c>
      <c r="AJ380" s="49" t="str">
        <f>IF(AF380="","",_xll.IMDP("STK",$AF380,"등락률"))</f>
        <v/>
      </c>
      <c r="AK380" s="48" t="str">
        <f>IF(AF380="","",_xll.IMDP("STK",$AF380,"시가총액"))</f>
        <v/>
      </c>
      <c r="AL380" s="20" t="str">
        <f t="shared" si="16"/>
        <v/>
      </c>
      <c r="AM380" s="21" t="str">
        <f>IF(AL380="","",_xll.IMDP("STK",$AL380,"한글종목명"))</f>
        <v/>
      </c>
      <c r="AN380" s="48" t="str">
        <f>IF(AL380="","",_xll.IMDP("STK",$AL380,"현재가"))</f>
        <v/>
      </c>
      <c r="AO380" s="48" t="str">
        <f>IF(AL380="","",_xll.IMDP("STK",$AL380,"전일대비"))</f>
        <v/>
      </c>
      <c r="AP380" s="49" t="str">
        <f>IF(AL380="","",_xll.IMDP("STK",$AL380,"등락률"))</f>
        <v/>
      </c>
      <c r="AQ380" s="48" t="str">
        <f>IF(AL380="","",_xll.IMDP("STK",$AL380,"시가총액"))</f>
        <v/>
      </c>
    </row>
    <row r="381" spans="3:43" x14ac:dyDescent="0.25">
      <c r="C381" s="22">
        <v>376</v>
      </c>
      <c r="Y381" s="25" t="s">
        <v>324</v>
      </c>
      <c r="Z381" s="20" t="str">
        <f t="shared" si="15"/>
        <v/>
      </c>
      <c r="AA381" s="21" t="str">
        <f>IF(Z381="","",_xll.IMDP("STK",$Z381,"한글종목명"))</f>
        <v/>
      </c>
      <c r="AB381" s="48" t="str">
        <f>IF(Z381="","",_xll.IMDP("STK",$Z381,"현재가"))</f>
        <v/>
      </c>
      <c r="AC381" s="48" t="str">
        <f>IF(Z381="","",_xll.IMDP("STK",$Z381,"전일대비"))</f>
        <v/>
      </c>
      <c r="AD381" s="49" t="str">
        <f>IF(Z381="","",_xll.IMDP("STK",$Z381,"등락률"))</f>
        <v/>
      </c>
      <c r="AE381" s="48" t="str">
        <f>IF(Z381="","",_xll.IMDP("STK",Z381,"시가총액"))</f>
        <v/>
      </c>
      <c r="AF381" s="20" t="str">
        <f t="shared" si="17"/>
        <v/>
      </c>
      <c r="AG381" s="21" t="str">
        <f>IF(AF381="","",_xll.IMDP("STK",$AF381,"한글종목명"))</f>
        <v/>
      </c>
      <c r="AH381" s="48" t="str">
        <f>IF(AF381="","",_xll.IMDP("STK",$AF381,"현재가"))</f>
        <v/>
      </c>
      <c r="AI381" s="48" t="str">
        <f>IF(AF381="","",_xll.IMDP("STK",$AF381,"전일대비"))</f>
        <v/>
      </c>
      <c r="AJ381" s="49" t="str">
        <f>IF(AF381="","",_xll.IMDP("STK",$AF381,"등락률"))</f>
        <v/>
      </c>
      <c r="AK381" s="48" t="str">
        <f>IF(AF381="","",_xll.IMDP("STK",$AF381,"시가총액"))</f>
        <v/>
      </c>
      <c r="AL381" s="20" t="str">
        <f t="shared" si="16"/>
        <v/>
      </c>
      <c r="AM381" s="21" t="str">
        <f>IF(AL381="","",_xll.IMDP("STK",$AL381,"한글종목명"))</f>
        <v/>
      </c>
      <c r="AN381" s="48" t="str">
        <f>IF(AL381="","",_xll.IMDP("STK",$AL381,"현재가"))</f>
        <v/>
      </c>
      <c r="AO381" s="48" t="str">
        <f>IF(AL381="","",_xll.IMDP("STK",$AL381,"전일대비"))</f>
        <v/>
      </c>
      <c r="AP381" s="49" t="str">
        <f>IF(AL381="","",_xll.IMDP("STK",$AL381,"등락률"))</f>
        <v/>
      </c>
      <c r="AQ381" s="48" t="str">
        <f>IF(AL381="","",_xll.IMDP("STK",$AL381,"시가총액"))</f>
        <v/>
      </c>
    </row>
    <row r="382" spans="3:43" x14ac:dyDescent="0.25">
      <c r="C382" s="22">
        <v>377</v>
      </c>
      <c r="Y382" s="25" t="s">
        <v>422</v>
      </c>
      <c r="Z382" s="20" t="str">
        <f t="shared" si="15"/>
        <v/>
      </c>
      <c r="AA382" s="21" t="str">
        <f>IF(Z382="","",_xll.IMDP("STK",$Z382,"한글종목명"))</f>
        <v/>
      </c>
      <c r="AB382" s="48" t="str">
        <f>IF(Z382="","",_xll.IMDP("STK",$Z382,"현재가"))</f>
        <v/>
      </c>
      <c r="AC382" s="48" t="str">
        <f>IF(Z382="","",_xll.IMDP("STK",$Z382,"전일대비"))</f>
        <v/>
      </c>
      <c r="AD382" s="49" t="str">
        <f>IF(Z382="","",_xll.IMDP("STK",$Z382,"등락률"))</f>
        <v/>
      </c>
      <c r="AE382" s="48" t="str">
        <f>IF(Z382="","",_xll.IMDP("STK",Z382,"시가총액"))</f>
        <v/>
      </c>
      <c r="AF382" s="20" t="str">
        <f t="shared" si="17"/>
        <v/>
      </c>
      <c r="AG382" s="21" t="str">
        <f>IF(AF382="","",_xll.IMDP("STK",$AF382,"한글종목명"))</f>
        <v/>
      </c>
      <c r="AH382" s="48" t="str">
        <f>IF(AF382="","",_xll.IMDP("STK",$AF382,"현재가"))</f>
        <v/>
      </c>
      <c r="AI382" s="48" t="str">
        <f>IF(AF382="","",_xll.IMDP("STK",$AF382,"전일대비"))</f>
        <v/>
      </c>
      <c r="AJ382" s="49" t="str">
        <f>IF(AF382="","",_xll.IMDP("STK",$AF382,"등락률"))</f>
        <v/>
      </c>
      <c r="AK382" s="48" t="str">
        <f>IF(AF382="","",_xll.IMDP("STK",$AF382,"시가총액"))</f>
        <v/>
      </c>
      <c r="AL382" s="20" t="str">
        <f t="shared" si="16"/>
        <v/>
      </c>
      <c r="AM382" s="21" t="str">
        <f>IF(AL382="","",_xll.IMDP("STK",$AL382,"한글종목명"))</f>
        <v/>
      </c>
      <c r="AN382" s="48" t="str">
        <f>IF(AL382="","",_xll.IMDP("STK",$AL382,"현재가"))</f>
        <v/>
      </c>
      <c r="AO382" s="48" t="str">
        <f>IF(AL382="","",_xll.IMDP("STK",$AL382,"전일대비"))</f>
        <v/>
      </c>
      <c r="AP382" s="49" t="str">
        <f>IF(AL382="","",_xll.IMDP("STK",$AL382,"등락률"))</f>
        <v/>
      </c>
      <c r="AQ382" s="48" t="str">
        <f>IF(AL382="","",_xll.IMDP("STK",$AL382,"시가총액"))</f>
        <v/>
      </c>
    </row>
    <row r="383" spans="3:43" x14ac:dyDescent="0.25">
      <c r="C383" s="22">
        <v>378</v>
      </c>
      <c r="Y383" s="25" t="s">
        <v>454</v>
      </c>
      <c r="Z383" s="20" t="str">
        <f t="shared" si="15"/>
        <v/>
      </c>
      <c r="AA383" s="21" t="str">
        <f>IF(Z383="","",_xll.IMDP("STK",$Z383,"한글종목명"))</f>
        <v/>
      </c>
      <c r="AB383" s="48" t="str">
        <f>IF(Z383="","",_xll.IMDP("STK",$Z383,"현재가"))</f>
        <v/>
      </c>
      <c r="AC383" s="48" t="str">
        <f>IF(Z383="","",_xll.IMDP("STK",$Z383,"전일대비"))</f>
        <v/>
      </c>
      <c r="AD383" s="49" t="str">
        <f>IF(Z383="","",_xll.IMDP("STK",$Z383,"등락률"))</f>
        <v/>
      </c>
      <c r="AE383" s="48" t="str">
        <f>IF(Z383="","",_xll.IMDP("STK",Z383,"시가총액"))</f>
        <v/>
      </c>
      <c r="AF383" s="20" t="str">
        <f t="shared" si="17"/>
        <v/>
      </c>
      <c r="AG383" s="21" t="str">
        <f>IF(AF383="","",_xll.IMDP("STK",$AF383,"한글종목명"))</f>
        <v/>
      </c>
      <c r="AH383" s="48" t="str">
        <f>IF(AF383="","",_xll.IMDP("STK",$AF383,"현재가"))</f>
        <v/>
      </c>
      <c r="AI383" s="48" t="str">
        <f>IF(AF383="","",_xll.IMDP("STK",$AF383,"전일대비"))</f>
        <v/>
      </c>
      <c r="AJ383" s="49" t="str">
        <f>IF(AF383="","",_xll.IMDP("STK",$AF383,"등락률"))</f>
        <v/>
      </c>
      <c r="AK383" s="48" t="str">
        <f>IF(AF383="","",_xll.IMDP("STK",$AF383,"시가총액"))</f>
        <v/>
      </c>
      <c r="AL383" s="20" t="str">
        <f t="shared" si="16"/>
        <v/>
      </c>
      <c r="AM383" s="21" t="str">
        <f>IF(AL383="","",_xll.IMDP("STK",$AL383,"한글종목명"))</f>
        <v/>
      </c>
      <c r="AN383" s="48" t="str">
        <f>IF(AL383="","",_xll.IMDP("STK",$AL383,"현재가"))</f>
        <v/>
      </c>
      <c r="AO383" s="48" t="str">
        <f>IF(AL383="","",_xll.IMDP("STK",$AL383,"전일대비"))</f>
        <v/>
      </c>
      <c r="AP383" s="49" t="str">
        <f>IF(AL383="","",_xll.IMDP("STK",$AL383,"등락률"))</f>
        <v/>
      </c>
      <c r="AQ383" s="48" t="str">
        <f>IF(AL383="","",_xll.IMDP("STK",$AL383,"시가총액"))</f>
        <v/>
      </c>
    </row>
    <row r="384" spans="3:43" x14ac:dyDescent="0.25">
      <c r="C384" s="22">
        <v>379</v>
      </c>
      <c r="Y384" s="25" t="s">
        <v>325</v>
      </c>
      <c r="Z384" s="20" t="str">
        <f t="shared" si="15"/>
        <v/>
      </c>
      <c r="AA384" s="21" t="str">
        <f>IF(Z384="","",_xll.IMDP("STK",$Z384,"한글종목명"))</f>
        <v/>
      </c>
      <c r="AB384" s="48" t="str">
        <f>IF(Z384="","",_xll.IMDP("STK",$Z384,"현재가"))</f>
        <v/>
      </c>
      <c r="AC384" s="48" t="str">
        <f>IF(Z384="","",_xll.IMDP("STK",$Z384,"전일대비"))</f>
        <v/>
      </c>
      <c r="AD384" s="49" t="str">
        <f>IF(Z384="","",_xll.IMDP("STK",$Z384,"등락률"))</f>
        <v/>
      </c>
      <c r="AE384" s="48" t="str">
        <f>IF(Z384="","",_xll.IMDP("STK",Z384,"시가총액"))</f>
        <v/>
      </c>
      <c r="AF384" s="20" t="str">
        <f t="shared" si="17"/>
        <v/>
      </c>
      <c r="AG384" s="21" t="str">
        <f>IF(AF384="","",_xll.IMDP("STK",$AF384,"한글종목명"))</f>
        <v/>
      </c>
      <c r="AH384" s="48" t="str">
        <f>IF(AF384="","",_xll.IMDP("STK",$AF384,"현재가"))</f>
        <v/>
      </c>
      <c r="AI384" s="48" t="str">
        <f>IF(AF384="","",_xll.IMDP("STK",$AF384,"전일대비"))</f>
        <v/>
      </c>
      <c r="AJ384" s="49" t="str">
        <f>IF(AF384="","",_xll.IMDP("STK",$AF384,"등락률"))</f>
        <v/>
      </c>
      <c r="AK384" s="48" t="str">
        <f>IF(AF384="","",_xll.IMDP("STK",$AF384,"시가총액"))</f>
        <v/>
      </c>
      <c r="AL384" s="20" t="str">
        <f t="shared" si="16"/>
        <v/>
      </c>
      <c r="AM384" s="21" t="str">
        <f>IF(AL384="","",_xll.IMDP("STK",$AL384,"한글종목명"))</f>
        <v/>
      </c>
      <c r="AN384" s="48" t="str">
        <f>IF(AL384="","",_xll.IMDP("STK",$AL384,"현재가"))</f>
        <v/>
      </c>
      <c r="AO384" s="48" t="str">
        <f>IF(AL384="","",_xll.IMDP("STK",$AL384,"전일대비"))</f>
        <v/>
      </c>
      <c r="AP384" s="49" t="str">
        <f>IF(AL384="","",_xll.IMDP("STK",$AL384,"등락률"))</f>
        <v/>
      </c>
      <c r="AQ384" s="48" t="str">
        <f>IF(AL384="","",_xll.IMDP("STK",$AL384,"시가총액"))</f>
        <v/>
      </c>
    </row>
    <row r="385" spans="3:43" x14ac:dyDescent="0.25">
      <c r="C385" s="22">
        <v>380</v>
      </c>
      <c r="Y385" s="25" t="s">
        <v>1070</v>
      </c>
      <c r="Z385" s="20" t="str">
        <f t="shared" si="15"/>
        <v/>
      </c>
      <c r="AA385" s="21" t="str">
        <f>IF(Z385="","",_xll.IMDP("STK",$Z385,"한글종목명"))</f>
        <v/>
      </c>
      <c r="AB385" s="48" t="str">
        <f>IF(Z385="","",_xll.IMDP("STK",$Z385,"현재가"))</f>
        <v/>
      </c>
      <c r="AC385" s="48" t="str">
        <f>IF(Z385="","",_xll.IMDP("STK",$Z385,"전일대비"))</f>
        <v/>
      </c>
      <c r="AD385" s="49" t="str">
        <f>IF(Z385="","",_xll.IMDP("STK",$Z385,"등락률"))</f>
        <v/>
      </c>
      <c r="AE385" s="48" t="str">
        <f>IF(Z385="","",_xll.IMDP("STK",Z385,"시가총액"))</f>
        <v/>
      </c>
      <c r="AF385" s="20" t="str">
        <f t="shared" si="17"/>
        <v/>
      </c>
      <c r="AG385" s="21" t="str">
        <f>IF(AF385="","",_xll.IMDP("STK",$AF385,"한글종목명"))</f>
        <v/>
      </c>
      <c r="AH385" s="48" t="str">
        <f>IF(AF385="","",_xll.IMDP("STK",$AF385,"현재가"))</f>
        <v/>
      </c>
      <c r="AI385" s="48" t="str">
        <f>IF(AF385="","",_xll.IMDP("STK",$AF385,"전일대비"))</f>
        <v/>
      </c>
      <c r="AJ385" s="49" t="str">
        <f>IF(AF385="","",_xll.IMDP("STK",$AF385,"등락률"))</f>
        <v/>
      </c>
      <c r="AK385" s="48" t="str">
        <f>IF(AF385="","",_xll.IMDP("STK",$AF385,"시가총액"))</f>
        <v/>
      </c>
      <c r="AL385" s="20" t="str">
        <f t="shared" si="16"/>
        <v/>
      </c>
      <c r="AM385" s="21" t="str">
        <f>IF(AL385="","",_xll.IMDP("STK",$AL385,"한글종목명"))</f>
        <v/>
      </c>
      <c r="AN385" s="48" t="str">
        <f>IF(AL385="","",_xll.IMDP("STK",$AL385,"현재가"))</f>
        <v/>
      </c>
      <c r="AO385" s="48" t="str">
        <f>IF(AL385="","",_xll.IMDP("STK",$AL385,"전일대비"))</f>
        <v/>
      </c>
      <c r="AP385" s="49" t="str">
        <f>IF(AL385="","",_xll.IMDP("STK",$AL385,"등락률"))</f>
        <v/>
      </c>
      <c r="AQ385" s="48" t="str">
        <f>IF(AL385="","",_xll.IMDP("STK",$AL385,"시가총액"))</f>
        <v/>
      </c>
    </row>
    <row r="386" spans="3:43" x14ac:dyDescent="0.25">
      <c r="C386" s="22">
        <v>381</v>
      </c>
      <c r="Y386" s="25" t="s">
        <v>326</v>
      </c>
      <c r="Z386" s="20" t="str">
        <f t="shared" si="15"/>
        <v/>
      </c>
      <c r="AA386" s="21" t="str">
        <f>IF(Z386="","",_xll.IMDP("STK",$Z386,"한글종목명"))</f>
        <v/>
      </c>
      <c r="AB386" s="48" t="str">
        <f>IF(Z386="","",_xll.IMDP("STK",$Z386,"현재가"))</f>
        <v/>
      </c>
      <c r="AC386" s="48" t="str">
        <f>IF(Z386="","",_xll.IMDP("STK",$Z386,"전일대비"))</f>
        <v/>
      </c>
      <c r="AD386" s="49" t="str">
        <f>IF(Z386="","",_xll.IMDP("STK",$Z386,"등락률"))</f>
        <v/>
      </c>
      <c r="AE386" s="48" t="str">
        <f>IF(Z386="","",_xll.IMDP("STK",Z386,"시가총액"))</f>
        <v/>
      </c>
      <c r="AF386" s="20" t="str">
        <f t="shared" si="17"/>
        <v/>
      </c>
      <c r="AG386" s="21" t="str">
        <f>IF(AF386="","",_xll.IMDP("STK",$AF386,"한글종목명"))</f>
        <v/>
      </c>
      <c r="AH386" s="48" t="str">
        <f>IF(AF386="","",_xll.IMDP("STK",$AF386,"현재가"))</f>
        <v/>
      </c>
      <c r="AI386" s="48" t="str">
        <f>IF(AF386="","",_xll.IMDP("STK",$AF386,"전일대비"))</f>
        <v/>
      </c>
      <c r="AJ386" s="49" t="str">
        <f>IF(AF386="","",_xll.IMDP("STK",$AF386,"등락률"))</f>
        <v/>
      </c>
      <c r="AK386" s="48" t="str">
        <f>IF(AF386="","",_xll.IMDP("STK",$AF386,"시가총액"))</f>
        <v/>
      </c>
      <c r="AL386" s="20" t="str">
        <f t="shared" si="16"/>
        <v/>
      </c>
      <c r="AM386" s="21" t="str">
        <f>IF(AL386="","",_xll.IMDP("STK",$AL386,"한글종목명"))</f>
        <v/>
      </c>
      <c r="AN386" s="48" t="str">
        <f>IF(AL386="","",_xll.IMDP("STK",$AL386,"현재가"))</f>
        <v/>
      </c>
      <c r="AO386" s="48" t="str">
        <f>IF(AL386="","",_xll.IMDP("STK",$AL386,"전일대비"))</f>
        <v/>
      </c>
      <c r="AP386" s="49" t="str">
        <f>IF(AL386="","",_xll.IMDP("STK",$AL386,"등락률"))</f>
        <v/>
      </c>
      <c r="AQ386" s="48" t="str">
        <f>IF(AL386="","",_xll.IMDP("STK",$AL386,"시가총액"))</f>
        <v/>
      </c>
    </row>
    <row r="387" spans="3:43" x14ac:dyDescent="0.25">
      <c r="C387" s="22">
        <v>382</v>
      </c>
      <c r="Y387" s="25" t="s">
        <v>455</v>
      </c>
      <c r="Z387" s="20" t="str">
        <f t="shared" si="15"/>
        <v/>
      </c>
      <c r="AA387" s="21" t="str">
        <f>IF(Z387="","",_xll.IMDP("STK",$Z387,"한글종목명"))</f>
        <v/>
      </c>
      <c r="AB387" s="48" t="str">
        <f>IF(Z387="","",_xll.IMDP("STK",$Z387,"현재가"))</f>
        <v/>
      </c>
      <c r="AC387" s="48" t="str">
        <f>IF(Z387="","",_xll.IMDP("STK",$Z387,"전일대비"))</f>
        <v/>
      </c>
      <c r="AD387" s="49" t="str">
        <f>IF(Z387="","",_xll.IMDP("STK",$Z387,"등락률"))</f>
        <v/>
      </c>
      <c r="AE387" s="48" t="str">
        <f>IF(Z387="","",_xll.IMDP("STK",Z387,"시가총액"))</f>
        <v/>
      </c>
      <c r="AF387" s="20" t="str">
        <f t="shared" si="17"/>
        <v/>
      </c>
      <c r="AG387" s="21" t="str">
        <f>IF(AF387="","",_xll.IMDP("STK",$AF387,"한글종목명"))</f>
        <v/>
      </c>
      <c r="AH387" s="48" t="str">
        <f>IF(AF387="","",_xll.IMDP("STK",$AF387,"현재가"))</f>
        <v/>
      </c>
      <c r="AI387" s="48" t="str">
        <f>IF(AF387="","",_xll.IMDP("STK",$AF387,"전일대비"))</f>
        <v/>
      </c>
      <c r="AJ387" s="49" t="str">
        <f>IF(AF387="","",_xll.IMDP("STK",$AF387,"등락률"))</f>
        <v/>
      </c>
      <c r="AK387" s="48" t="str">
        <f>IF(AF387="","",_xll.IMDP("STK",$AF387,"시가총액"))</f>
        <v/>
      </c>
      <c r="AL387" s="20" t="str">
        <f t="shared" si="16"/>
        <v/>
      </c>
      <c r="AM387" s="21" t="str">
        <f>IF(AL387="","",_xll.IMDP("STK",$AL387,"한글종목명"))</f>
        <v/>
      </c>
      <c r="AN387" s="48" t="str">
        <f>IF(AL387="","",_xll.IMDP("STK",$AL387,"현재가"))</f>
        <v/>
      </c>
      <c r="AO387" s="48" t="str">
        <f>IF(AL387="","",_xll.IMDP("STK",$AL387,"전일대비"))</f>
        <v/>
      </c>
      <c r="AP387" s="49" t="str">
        <f>IF(AL387="","",_xll.IMDP("STK",$AL387,"등락률"))</f>
        <v/>
      </c>
      <c r="AQ387" s="48" t="str">
        <f>IF(AL387="","",_xll.IMDP("STK",$AL387,"시가총액"))</f>
        <v/>
      </c>
    </row>
    <row r="388" spans="3:43" x14ac:dyDescent="0.25">
      <c r="C388" s="22">
        <v>383</v>
      </c>
      <c r="Y388" s="25" t="s">
        <v>542</v>
      </c>
      <c r="Z388" s="20" t="str">
        <f t="shared" si="15"/>
        <v/>
      </c>
      <c r="AA388" s="21" t="str">
        <f>IF(Z388="","",_xll.IMDP("STK",$Z388,"한글종목명"))</f>
        <v/>
      </c>
      <c r="AB388" s="48" t="str">
        <f>IF(Z388="","",_xll.IMDP("STK",$Z388,"현재가"))</f>
        <v/>
      </c>
      <c r="AC388" s="48" t="str">
        <f>IF(Z388="","",_xll.IMDP("STK",$Z388,"전일대비"))</f>
        <v/>
      </c>
      <c r="AD388" s="49" t="str">
        <f>IF(Z388="","",_xll.IMDP("STK",$Z388,"등락률"))</f>
        <v/>
      </c>
      <c r="AE388" s="48" t="str">
        <f>IF(Z388="","",_xll.IMDP("STK",Z388,"시가총액"))</f>
        <v/>
      </c>
      <c r="AF388" s="20" t="str">
        <f t="shared" si="17"/>
        <v/>
      </c>
      <c r="AG388" s="21" t="str">
        <f>IF(AF388="","",_xll.IMDP("STK",$AF388,"한글종목명"))</f>
        <v/>
      </c>
      <c r="AH388" s="48" t="str">
        <f>IF(AF388="","",_xll.IMDP("STK",$AF388,"현재가"))</f>
        <v/>
      </c>
      <c r="AI388" s="48" t="str">
        <f>IF(AF388="","",_xll.IMDP("STK",$AF388,"전일대비"))</f>
        <v/>
      </c>
      <c r="AJ388" s="49" t="str">
        <f>IF(AF388="","",_xll.IMDP("STK",$AF388,"등락률"))</f>
        <v/>
      </c>
      <c r="AK388" s="48" t="str">
        <f>IF(AF388="","",_xll.IMDP("STK",$AF388,"시가총액"))</f>
        <v/>
      </c>
      <c r="AL388" s="20" t="str">
        <f t="shared" si="16"/>
        <v/>
      </c>
      <c r="AM388" s="21" t="str">
        <f>IF(AL388="","",_xll.IMDP("STK",$AL388,"한글종목명"))</f>
        <v/>
      </c>
      <c r="AN388" s="48" t="str">
        <f>IF(AL388="","",_xll.IMDP("STK",$AL388,"현재가"))</f>
        <v/>
      </c>
      <c r="AO388" s="48" t="str">
        <f>IF(AL388="","",_xll.IMDP("STK",$AL388,"전일대비"))</f>
        <v/>
      </c>
      <c r="AP388" s="49" t="str">
        <f>IF(AL388="","",_xll.IMDP("STK",$AL388,"등락률"))</f>
        <v/>
      </c>
      <c r="AQ388" s="48" t="str">
        <f>IF(AL388="","",_xll.IMDP("STK",$AL388,"시가총액"))</f>
        <v/>
      </c>
    </row>
    <row r="389" spans="3:43" x14ac:dyDescent="0.25">
      <c r="C389" s="22">
        <v>384</v>
      </c>
      <c r="Y389" s="25" t="s">
        <v>499</v>
      </c>
      <c r="Z389" s="20" t="str">
        <f t="shared" si="15"/>
        <v/>
      </c>
      <c r="AA389" s="21" t="str">
        <f>IF(Z389="","",_xll.IMDP("STK",$Z389,"한글종목명"))</f>
        <v/>
      </c>
      <c r="AB389" s="48" t="str">
        <f>IF(Z389="","",_xll.IMDP("STK",$Z389,"현재가"))</f>
        <v/>
      </c>
      <c r="AC389" s="48" t="str">
        <f>IF(Z389="","",_xll.IMDP("STK",$Z389,"전일대비"))</f>
        <v/>
      </c>
      <c r="AD389" s="49" t="str">
        <f>IF(Z389="","",_xll.IMDP("STK",$Z389,"등락률"))</f>
        <v/>
      </c>
      <c r="AE389" s="48" t="str">
        <f>IF(Z389="","",_xll.IMDP("STK",Z389,"시가총액"))</f>
        <v/>
      </c>
      <c r="AF389" s="20" t="str">
        <f t="shared" si="17"/>
        <v/>
      </c>
      <c r="AG389" s="21" t="str">
        <f>IF(AF389="","",_xll.IMDP("STK",$AF389,"한글종목명"))</f>
        <v/>
      </c>
      <c r="AH389" s="48" t="str">
        <f>IF(AF389="","",_xll.IMDP("STK",$AF389,"현재가"))</f>
        <v/>
      </c>
      <c r="AI389" s="48" t="str">
        <f>IF(AF389="","",_xll.IMDP("STK",$AF389,"전일대비"))</f>
        <v/>
      </c>
      <c r="AJ389" s="49" t="str">
        <f>IF(AF389="","",_xll.IMDP("STK",$AF389,"등락률"))</f>
        <v/>
      </c>
      <c r="AK389" s="48" t="str">
        <f>IF(AF389="","",_xll.IMDP("STK",$AF389,"시가총액"))</f>
        <v/>
      </c>
      <c r="AL389" s="20" t="str">
        <f t="shared" si="16"/>
        <v/>
      </c>
      <c r="AM389" s="21" t="str">
        <f>IF(AL389="","",_xll.IMDP("STK",$AL389,"한글종목명"))</f>
        <v/>
      </c>
      <c r="AN389" s="48" t="str">
        <f>IF(AL389="","",_xll.IMDP("STK",$AL389,"현재가"))</f>
        <v/>
      </c>
      <c r="AO389" s="48" t="str">
        <f>IF(AL389="","",_xll.IMDP("STK",$AL389,"전일대비"))</f>
        <v/>
      </c>
      <c r="AP389" s="49" t="str">
        <f>IF(AL389="","",_xll.IMDP("STK",$AL389,"등락률"))</f>
        <v/>
      </c>
      <c r="AQ389" s="48" t="str">
        <f>IF(AL389="","",_xll.IMDP("STK",$AL389,"시가총액"))</f>
        <v/>
      </c>
    </row>
    <row r="390" spans="3:43" x14ac:dyDescent="0.25">
      <c r="C390" s="22">
        <v>385</v>
      </c>
      <c r="Y390" s="25" t="s">
        <v>214</v>
      </c>
      <c r="Z390" s="20" t="str">
        <f t="shared" ref="Z390:Z453" si="18">IF(INDEX($D$6:$Y$525,$C390,$AA$4)=0,"",INDEX($D$6:$Y$525,$C390,$AA$4))</f>
        <v/>
      </c>
      <c r="AA390" s="21" t="str">
        <f>IF(Z390="","",_xll.IMDP("STK",$Z390,"한글종목명"))</f>
        <v/>
      </c>
      <c r="AB390" s="48" t="str">
        <f>IF(Z390="","",_xll.IMDP("STK",$Z390,"현재가"))</f>
        <v/>
      </c>
      <c r="AC390" s="48" t="str">
        <f>IF(Z390="","",_xll.IMDP("STK",$Z390,"전일대비"))</f>
        <v/>
      </c>
      <c r="AD390" s="49" t="str">
        <f>IF(Z390="","",_xll.IMDP("STK",$Z390,"등락률"))</f>
        <v/>
      </c>
      <c r="AE390" s="48" t="str">
        <f>IF(Z390="","",_xll.IMDP("STK",Z390,"시가총액"))</f>
        <v/>
      </c>
      <c r="AF390" s="20" t="str">
        <f t="shared" si="17"/>
        <v/>
      </c>
      <c r="AG390" s="21" t="str">
        <f>IF(AF390="","",_xll.IMDP("STK",$AF390,"한글종목명"))</f>
        <v/>
      </c>
      <c r="AH390" s="48" t="str">
        <f>IF(AF390="","",_xll.IMDP("STK",$AF390,"현재가"))</f>
        <v/>
      </c>
      <c r="AI390" s="48" t="str">
        <f>IF(AF390="","",_xll.IMDP("STK",$AF390,"전일대비"))</f>
        <v/>
      </c>
      <c r="AJ390" s="49" t="str">
        <f>IF(AF390="","",_xll.IMDP("STK",$AF390,"등락률"))</f>
        <v/>
      </c>
      <c r="AK390" s="48" t="str">
        <f>IF(AF390="","",_xll.IMDP("STK",$AF390,"시가총액"))</f>
        <v/>
      </c>
      <c r="AL390" s="20" t="str">
        <f t="shared" ref="AL390:AL453" si="19">IF(INDEX($D$6:$Y$525,$C390,$AM$4)=0,"",INDEX($D$6:$Y$525,$C390,$AM$4))</f>
        <v/>
      </c>
      <c r="AM390" s="21" t="str">
        <f>IF(AL390="","",_xll.IMDP("STK",$AL390,"한글종목명"))</f>
        <v/>
      </c>
      <c r="AN390" s="48" t="str">
        <f>IF(AL390="","",_xll.IMDP("STK",$AL390,"현재가"))</f>
        <v/>
      </c>
      <c r="AO390" s="48" t="str">
        <f>IF(AL390="","",_xll.IMDP("STK",$AL390,"전일대비"))</f>
        <v/>
      </c>
      <c r="AP390" s="49" t="str">
        <f>IF(AL390="","",_xll.IMDP("STK",$AL390,"등락률"))</f>
        <v/>
      </c>
      <c r="AQ390" s="48" t="str">
        <f>IF(AL390="","",_xll.IMDP("STK",$AL390,"시가총액"))</f>
        <v/>
      </c>
    </row>
    <row r="391" spans="3:43" x14ac:dyDescent="0.25">
      <c r="C391" s="22">
        <v>386</v>
      </c>
      <c r="Y391" s="25" t="s">
        <v>423</v>
      </c>
      <c r="Z391" s="20" t="str">
        <f t="shared" si="18"/>
        <v/>
      </c>
      <c r="AA391" s="21" t="str">
        <f>IF(Z391="","",_xll.IMDP("STK",$Z391,"한글종목명"))</f>
        <v/>
      </c>
      <c r="AB391" s="48" t="str">
        <f>IF(Z391="","",_xll.IMDP("STK",$Z391,"현재가"))</f>
        <v/>
      </c>
      <c r="AC391" s="48" t="str">
        <f>IF(Z391="","",_xll.IMDP("STK",$Z391,"전일대비"))</f>
        <v/>
      </c>
      <c r="AD391" s="49" t="str">
        <f>IF(Z391="","",_xll.IMDP("STK",$Z391,"등락률"))</f>
        <v/>
      </c>
      <c r="AE391" s="48" t="str">
        <f>IF(Z391="","",_xll.IMDP("STK",Z391,"시가총액"))</f>
        <v/>
      </c>
      <c r="AF391" s="20" t="str">
        <f t="shared" ref="AF391:AF454" si="20">IF(INDEX($D$6:$Y$525,$C391,$AG$4)=0,"",INDEX($D$6:$Y$525,$C391,$AG$4))</f>
        <v/>
      </c>
      <c r="AG391" s="21" t="str">
        <f>IF(AF391="","",_xll.IMDP("STK",$AF391,"한글종목명"))</f>
        <v/>
      </c>
      <c r="AH391" s="48" t="str">
        <f>IF(AF391="","",_xll.IMDP("STK",$AF391,"현재가"))</f>
        <v/>
      </c>
      <c r="AI391" s="48" t="str">
        <f>IF(AF391="","",_xll.IMDP("STK",$AF391,"전일대비"))</f>
        <v/>
      </c>
      <c r="AJ391" s="49" t="str">
        <f>IF(AF391="","",_xll.IMDP("STK",$AF391,"등락률"))</f>
        <v/>
      </c>
      <c r="AK391" s="48" t="str">
        <f>IF(AF391="","",_xll.IMDP("STK",$AF391,"시가총액"))</f>
        <v/>
      </c>
      <c r="AL391" s="20" t="str">
        <f t="shared" si="19"/>
        <v/>
      </c>
      <c r="AM391" s="21" t="str">
        <f>IF(AL391="","",_xll.IMDP("STK",$AL391,"한글종목명"))</f>
        <v/>
      </c>
      <c r="AN391" s="48" t="str">
        <f>IF(AL391="","",_xll.IMDP("STK",$AL391,"현재가"))</f>
        <v/>
      </c>
      <c r="AO391" s="48" t="str">
        <f>IF(AL391="","",_xll.IMDP("STK",$AL391,"전일대비"))</f>
        <v/>
      </c>
      <c r="AP391" s="49" t="str">
        <f>IF(AL391="","",_xll.IMDP("STK",$AL391,"등락률"))</f>
        <v/>
      </c>
      <c r="AQ391" s="48" t="str">
        <f>IF(AL391="","",_xll.IMDP("STK",$AL391,"시가총액"))</f>
        <v/>
      </c>
    </row>
    <row r="392" spans="3:43" x14ac:dyDescent="0.25">
      <c r="C392" s="22">
        <v>387</v>
      </c>
      <c r="Y392" s="25" t="s">
        <v>424</v>
      </c>
      <c r="Z392" s="20" t="str">
        <f t="shared" si="18"/>
        <v/>
      </c>
      <c r="AA392" s="21" t="str">
        <f>IF(Z392="","",_xll.IMDP("STK",$Z392,"한글종목명"))</f>
        <v/>
      </c>
      <c r="AB392" s="48" t="str">
        <f>IF(Z392="","",_xll.IMDP("STK",$Z392,"현재가"))</f>
        <v/>
      </c>
      <c r="AC392" s="48" t="str">
        <f>IF(Z392="","",_xll.IMDP("STK",$Z392,"전일대비"))</f>
        <v/>
      </c>
      <c r="AD392" s="49" t="str">
        <f>IF(Z392="","",_xll.IMDP("STK",$Z392,"등락률"))</f>
        <v/>
      </c>
      <c r="AE392" s="48" t="str">
        <f>IF(Z392="","",_xll.IMDP("STK",Z392,"시가총액"))</f>
        <v/>
      </c>
      <c r="AF392" s="20" t="str">
        <f t="shared" si="20"/>
        <v/>
      </c>
      <c r="AG392" s="21" t="str">
        <f>IF(AF392="","",_xll.IMDP("STK",$AF392,"한글종목명"))</f>
        <v/>
      </c>
      <c r="AH392" s="48" t="str">
        <f>IF(AF392="","",_xll.IMDP("STK",$AF392,"현재가"))</f>
        <v/>
      </c>
      <c r="AI392" s="48" t="str">
        <f>IF(AF392="","",_xll.IMDP("STK",$AF392,"전일대비"))</f>
        <v/>
      </c>
      <c r="AJ392" s="49" t="str">
        <f>IF(AF392="","",_xll.IMDP("STK",$AF392,"등락률"))</f>
        <v/>
      </c>
      <c r="AK392" s="48" t="str">
        <f>IF(AF392="","",_xll.IMDP("STK",$AF392,"시가총액"))</f>
        <v/>
      </c>
      <c r="AL392" s="20" t="str">
        <f t="shared" si="19"/>
        <v/>
      </c>
      <c r="AM392" s="21" t="str">
        <f>IF(AL392="","",_xll.IMDP("STK",$AL392,"한글종목명"))</f>
        <v/>
      </c>
      <c r="AN392" s="48" t="str">
        <f>IF(AL392="","",_xll.IMDP("STK",$AL392,"현재가"))</f>
        <v/>
      </c>
      <c r="AO392" s="48" t="str">
        <f>IF(AL392="","",_xll.IMDP("STK",$AL392,"전일대비"))</f>
        <v/>
      </c>
      <c r="AP392" s="49" t="str">
        <f>IF(AL392="","",_xll.IMDP("STK",$AL392,"등락률"))</f>
        <v/>
      </c>
      <c r="AQ392" s="48" t="str">
        <f>IF(AL392="","",_xll.IMDP("STK",$AL392,"시가총액"))</f>
        <v/>
      </c>
    </row>
    <row r="393" spans="3:43" x14ac:dyDescent="0.25">
      <c r="C393" s="22">
        <v>388</v>
      </c>
      <c r="Y393" s="25" t="s">
        <v>609</v>
      </c>
      <c r="Z393" s="20" t="str">
        <f t="shared" si="18"/>
        <v/>
      </c>
      <c r="AA393" s="21" t="str">
        <f>IF(Z393="","",_xll.IMDP("STK",$Z393,"한글종목명"))</f>
        <v/>
      </c>
      <c r="AB393" s="48" t="str">
        <f>IF(Z393="","",_xll.IMDP("STK",$Z393,"현재가"))</f>
        <v/>
      </c>
      <c r="AC393" s="48" t="str">
        <f>IF(Z393="","",_xll.IMDP("STK",$Z393,"전일대비"))</f>
        <v/>
      </c>
      <c r="AD393" s="49" t="str">
        <f>IF(Z393="","",_xll.IMDP("STK",$Z393,"등락률"))</f>
        <v/>
      </c>
      <c r="AE393" s="48" t="str">
        <f>IF(Z393="","",_xll.IMDP("STK",Z393,"시가총액"))</f>
        <v/>
      </c>
      <c r="AF393" s="20" t="str">
        <f t="shared" si="20"/>
        <v/>
      </c>
      <c r="AG393" s="21" t="str">
        <f>IF(AF393="","",_xll.IMDP("STK",$AF393,"한글종목명"))</f>
        <v/>
      </c>
      <c r="AH393" s="48" t="str">
        <f>IF(AF393="","",_xll.IMDP("STK",$AF393,"현재가"))</f>
        <v/>
      </c>
      <c r="AI393" s="48" t="str">
        <f>IF(AF393="","",_xll.IMDP("STK",$AF393,"전일대비"))</f>
        <v/>
      </c>
      <c r="AJ393" s="49" t="str">
        <f>IF(AF393="","",_xll.IMDP("STK",$AF393,"등락률"))</f>
        <v/>
      </c>
      <c r="AK393" s="48" t="str">
        <f>IF(AF393="","",_xll.IMDP("STK",$AF393,"시가총액"))</f>
        <v/>
      </c>
      <c r="AL393" s="20" t="str">
        <f t="shared" si="19"/>
        <v/>
      </c>
      <c r="AM393" s="21" t="str">
        <f>IF(AL393="","",_xll.IMDP("STK",$AL393,"한글종목명"))</f>
        <v/>
      </c>
      <c r="AN393" s="48" t="str">
        <f>IF(AL393="","",_xll.IMDP("STK",$AL393,"현재가"))</f>
        <v/>
      </c>
      <c r="AO393" s="48" t="str">
        <f>IF(AL393="","",_xll.IMDP("STK",$AL393,"전일대비"))</f>
        <v/>
      </c>
      <c r="AP393" s="49" t="str">
        <f>IF(AL393="","",_xll.IMDP("STK",$AL393,"등락률"))</f>
        <v/>
      </c>
      <c r="AQ393" s="48" t="str">
        <f>IF(AL393="","",_xll.IMDP("STK",$AL393,"시가총액"))</f>
        <v/>
      </c>
    </row>
    <row r="394" spans="3:43" x14ac:dyDescent="0.25">
      <c r="C394" s="22">
        <v>389</v>
      </c>
      <c r="Y394" s="25" t="s">
        <v>669</v>
      </c>
      <c r="Z394" s="20" t="str">
        <f t="shared" si="18"/>
        <v/>
      </c>
      <c r="AA394" s="21" t="str">
        <f>IF(Z394="","",_xll.IMDP("STK",$Z394,"한글종목명"))</f>
        <v/>
      </c>
      <c r="AB394" s="48" t="str">
        <f>IF(Z394="","",_xll.IMDP("STK",$Z394,"현재가"))</f>
        <v/>
      </c>
      <c r="AC394" s="48" t="str">
        <f>IF(Z394="","",_xll.IMDP("STK",$Z394,"전일대비"))</f>
        <v/>
      </c>
      <c r="AD394" s="49" t="str">
        <f>IF(Z394="","",_xll.IMDP("STK",$Z394,"등락률"))</f>
        <v/>
      </c>
      <c r="AE394" s="48" t="str">
        <f>IF(Z394="","",_xll.IMDP("STK",Z394,"시가총액"))</f>
        <v/>
      </c>
      <c r="AF394" s="20" t="str">
        <f t="shared" si="20"/>
        <v/>
      </c>
      <c r="AG394" s="21" t="str">
        <f>IF(AF394="","",_xll.IMDP("STK",$AF394,"한글종목명"))</f>
        <v/>
      </c>
      <c r="AH394" s="48" t="str">
        <f>IF(AF394="","",_xll.IMDP("STK",$AF394,"현재가"))</f>
        <v/>
      </c>
      <c r="AI394" s="48" t="str">
        <f>IF(AF394="","",_xll.IMDP("STK",$AF394,"전일대비"))</f>
        <v/>
      </c>
      <c r="AJ394" s="49" t="str">
        <f>IF(AF394="","",_xll.IMDP("STK",$AF394,"등락률"))</f>
        <v/>
      </c>
      <c r="AK394" s="48" t="str">
        <f>IF(AF394="","",_xll.IMDP("STK",$AF394,"시가총액"))</f>
        <v/>
      </c>
      <c r="AL394" s="20" t="str">
        <f t="shared" si="19"/>
        <v/>
      </c>
      <c r="AM394" s="21" t="str">
        <f>IF(AL394="","",_xll.IMDP("STK",$AL394,"한글종목명"))</f>
        <v/>
      </c>
      <c r="AN394" s="48" t="str">
        <f>IF(AL394="","",_xll.IMDP("STK",$AL394,"현재가"))</f>
        <v/>
      </c>
      <c r="AO394" s="48" t="str">
        <f>IF(AL394="","",_xll.IMDP("STK",$AL394,"전일대비"))</f>
        <v/>
      </c>
      <c r="AP394" s="49" t="str">
        <f>IF(AL394="","",_xll.IMDP("STK",$AL394,"등락률"))</f>
        <v/>
      </c>
      <c r="AQ394" s="48" t="str">
        <f>IF(AL394="","",_xll.IMDP("STK",$AL394,"시가총액"))</f>
        <v/>
      </c>
    </row>
    <row r="395" spans="3:43" x14ac:dyDescent="0.25">
      <c r="C395" s="22">
        <v>390</v>
      </c>
      <c r="Y395" s="25" t="s">
        <v>670</v>
      </c>
      <c r="Z395" s="20" t="str">
        <f t="shared" si="18"/>
        <v/>
      </c>
      <c r="AA395" s="21" t="str">
        <f>IF(Z395="","",_xll.IMDP("STK",$Z395,"한글종목명"))</f>
        <v/>
      </c>
      <c r="AB395" s="48" t="str">
        <f>IF(Z395="","",_xll.IMDP("STK",$Z395,"현재가"))</f>
        <v/>
      </c>
      <c r="AC395" s="48" t="str">
        <f>IF(Z395="","",_xll.IMDP("STK",$Z395,"전일대비"))</f>
        <v/>
      </c>
      <c r="AD395" s="49" t="str">
        <f>IF(Z395="","",_xll.IMDP("STK",$Z395,"등락률"))</f>
        <v/>
      </c>
      <c r="AE395" s="48" t="str">
        <f>IF(Z395="","",_xll.IMDP("STK",Z395,"시가총액"))</f>
        <v/>
      </c>
      <c r="AF395" s="20" t="str">
        <f t="shared" si="20"/>
        <v/>
      </c>
      <c r="AG395" s="21" t="str">
        <f>IF(AF395="","",_xll.IMDP("STK",$AF395,"한글종목명"))</f>
        <v/>
      </c>
      <c r="AH395" s="48" t="str">
        <f>IF(AF395="","",_xll.IMDP("STK",$AF395,"현재가"))</f>
        <v/>
      </c>
      <c r="AI395" s="48" t="str">
        <f>IF(AF395="","",_xll.IMDP("STK",$AF395,"전일대비"))</f>
        <v/>
      </c>
      <c r="AJ395" s="49" t="str">
        <f>IF(AF395="","",_xll.IMDP("STK",$AF395,"등락률"))</f>
        <v/>
      </c>
      <c r="AK395" s="48" t="str">
        <f>IF(AF395="","",_xll.IMDP("STK",$AF395,"시가총액"))</f>
        <v/>
      </c>
      <c r="AL395" s="20" t="str">
        <f t="shared" si="19"/>
        <v/>
      </c>
      <c r="AM395" s="21" t="str">
        <f>IF(AL395="","",_xll.IMDP("STK",$AL395,"한글종목명"))</f>
        <v/>
      </c>
      <c r="AN395" s="48" t="str">
        <f>IF(AL395="","",_xll.IMDP("STK",$AL395,"현재가"))</f>
        <v/>
      </c>
      <c r="AO395" s="48" t="str">
        <f>IF(AL395="","",_xll.IMDP("STK",$AL395,"전일대비"))</f>
        <v/>
      </c>
      <c r="AP395" s="49" t="str">
        <f>IF(AL395="","",_xll.IMDP("STK",$AL395,"등락률"))</f>
        <v/>
      </c>
      <c r="AQ395" s="48" t="str">
        <f>IF(AL395="","",_xll.IMDP("STK",$AL395,"시가총액"))</f>
        <v/>
      </c>
    </row>
    <row r="396" spans="3:43" x14ac:dyDescent="0.25">
      <c r="C396" s="22">
        <v>391</v>
      </c>
      <c r="Y396" s="25" t="s">
        <v>327</v>
      </c>
      <c r="Z396" s="20" t="str">
        <f t="shared" si="18"/>
        <v/>
      </c>
      <c r="AA396" s="21" t="str">
        <f>IF(Z396="","",_xll.IMDP("STK",$Z396,"한글종목명"))</f>
        <v/>
      </c>
      <c r="AB396" s="48" t="str">
        <f>IF(Z396="","",_xll.IMDP("STK",$Z396,"현재가"))</f>
        <v/>
      </c>
      <c r="AC396" s="48" t="str">
        <f>IF(Z396="","",_xll.IMDP("STK",$Z396,"전일대비"))</f>
        <v/>
      </c>
      <c r="AD396" s="49" t="str">
        <f>IF(Z396="","",_xll.IMDP("STK",$Z396,"등락률"))</f>
        <v/>
      </c>
      <c r="AE396" s="48" t="str">
        <f>IF(Z396="","",_xll.IMDP("STK",Z396,"시가총액"))</f>
        <v/>
      </c>
      <c r="AF396" s="20" t="str">
        <f t="shared" si="20"/>
        <v/>
      </c>
      <c r="AG396" s="21" t="str">
        <f>IF(AF396="","",_xll.IMDP("STK",$AF396,"한글종목명"))</f>
        <v/>
      </c>
      <c r="AH396" s="48" t="str">
        <f>IF(AF396="","",_xll.IMDP("STK",$AF396,"현재가"))</f>
        <v/>
      </c>
      <c r="AI396" s="48" t="str">
        <f>IF(AF396="","",_xll.IMDP("STK",$AF396,"전일대비"))</f>
        <v/>
      </c>
      <c r="AJ396" s="49" t="str">
        <f>IF(AF396="","",_xll.IMDP("STK",$AF396,"등락률"))</f>
        <v/>
      </c>
      <c r="AK396" s="48" t="str">
        <f>IF(AF396="","",_xll.IMDP("STK",$AF396,"시가총액"))</f>
        <v/>
      </c>
      <c r="AL396" s="20" t="str">
        <f t="shared" si="19"/>
        <v/>
      </c>
      <c r="AM396" s="21" t="str">
        <f>IF(AL396="","",_xll.IMDP("STK",$AL396,"한글종목명"))</f>
        <v/>
      </c>
      <c r="AN396" s="48" t="str">
        <f>IF(AL396="","",_xll.IMDP("STK",$AL396,"현재가"))</f>
        <v/>
      </c>
      <c r="AO396" s="48" t="str">
        <f>IF(AL396="","",_xll.IMDP("STK",$AL396,"전일대비"))</f>
        <v/>
      </c>
      <c r="AP396" s="49" t="str">
        <f>IF(AL396="","",_xll.IMDP("STK",$AL396,"등락률"))</f>
        <v/>
      </c>
      <c r="AQ396" s="48" t="str">
        <f>IF(AL396="","",_xll.IMDP("STK",$AL396,"시가총액"))</f>
        <v/>
      </c>
    </row>
    <row r="397" spans="3:43" x14ac:dyDescent="0.25">
      <c r="C397" s="22">
        <v>392</v>
      </c>
      <c r="Y397" s="25" t="s">
        <v>328</v>
      </c>
      <c r="Z397" s="20" t="str">
        <f t="shared" si="18"/>
        <v/>
      </c>
      <c r="AA397" s="21" t="str">
        <f>IF(Z397="","",_xll.IMDP("STK",$Z397,"한글종목명"))</f>
        <v/>
      </c>
      <c r="AB397" s="48" t="str">
        <f>IF(Z397="","",_xll.IMDP("STK",$Z397,"현재가"))</f>
        <v/>
      </c>
      <c r="AC397" s="48" t="str">
        <f>IF(Z397="","",_xll.IMDP("STK",$Z397,"전일대비"))</f>
        <v/>
      </c>
      <c r="AD397" s="49" t="str">
        <f>IF(Z397="","",_xll.IMDP("STK",$Z397,"등락률"))</f>
        <v/>
      </c>
      <c r="AE397" s="48" t="str">
        <f>IF(Z397="","",_xll.IMDP("STK",Z397,"시가총액"))</f>
        <v/>
      </c>
      <c r="AF397" s="20" t="str">
        <f t="shared" si="20"/>
        <v/>
      </c>
      <c r="AG397" s="21" t="str">
        <f>IF(AF397="","",_xll.IMDP("STK",$AF397,"한글종목명"))</f>
        <v/>
      </c>
      <c r="AH397" s="48" t="str">
        <f>IF(AF397="","",_xll.IMDP("STK",$AF397,"현재가"))</f>
        <v/>
      </c>
      <c r="AI397" s="48" t="str">
        <f>IF(AF397="","",_xll.IMDP("STK",$AF397,"전일대비"))</f>
        <v/>
      </c>
      <c r="AJ397" s="49" t="str">
        <f>IF(AF397="","",_xll.IMDP("STK",$AF397,"등락률"))</f>
        <v/>
      </c>
      <c r="AK397" s="48" t="str">
        <f>IF(AF397="","",_xll.IMDP("STK",$AF397,"시가총액"))</f>
        <v/>
      </c>
      <c r="AL397" s="20" t="str">
        <f t="shared" si="19"/>
        <v/>
      </c>
      <c r="AM397" s="21" t="str">
        <f>IF(AL397="","",_xll.IMDP("STK",$AL397,"한글종목명"))</f>
        <v/>
      </c>
      <c r="AN397" s="48" t="str">
        <f>IF(AL397="","",_xll.IMDP("STK",$AL397,"현재가"))</f>
        <v/>
      </c>
      <c r="AO397" s="48" t="str">
        <f>IF(AL397="","",_xll.IMDP("STK",$AL397,"전일대비"))</f>
        <v/>
      </c>
      <c r="AP397" s="49" t="str">
        <f>IF(AL397="","",_xll.IMDP("STK",$AL397,"등락률"))</f>
        <v/>
      </c>
      <c r="AQ397" s="48" t="str">
        <f>IF(AL397="","",_xll.IMDP("STK",$AL397,"시가총액"))</f>
        <v/>
      </c>
    </row>
    <row r="398" spans="3:43" x14ac:dyDescent="0.25">
      <c r="C398" s="22">
        <v>393</v>
      </c>
      <c r="Y398" s="25" t="s">
        <v>329</v>
      </c>
      <c r="Z398" s="20" t="str">
        <f t="shared" si="18"/>
        <v/>
      </c>
      <c r="AA398" s="21" t="str">
        <f>IF(Z398="","",_xll.IMDP("STK",$Z398,"한글종목명"))</f>
        <v/>
      </c>
      <c r="AB398" s="48" t="str">
        <f>IF(Z398="","",_xll.IMDP("STK",$Z398,"현재가"))</f>
        <v/>
      </c>
      <c r="AC398" s="48" t="str">
        <f>IF(Z398="","",_xll.IMDP("STK",$Z398,"전일대비"))</f>
        <v/>
      </c>
      <c r="AD398" s="49" t="str">
        <f>IF(Z398="","",_xll.IMDP("STK",$Z398,"등락률"))</f>
        <v/>
      </c>
      <c r="AE398" s="48" t="str">
        <f>IF(Z398="","",_xll.IMDP("STK",Z398,"시가총액"))</f>
        <v/>
      </c>
      <c r="AF398" s="20" t="str">
        <f t="shared" si="20"/>
        <v/>
      </c>
      <c r="AG398" s="21" t="str">
        <f>IF(AF398="","",_xll.IMDP("STK",$AF398,"한글종목명"))</f>
        <v/>
      </c>
      <c r="AH398" s="48" t="str">
        <f>IF(AF398="","",_xll.IMDP("STK",$AF398,"현재가"))</f>
        <v/>
      </c>
      <c r="AI398" s="48" t="str">
        <f>IF(AF398="","",_xll.IMDP("STK",$AF398,"전일대비"))</f>
        <v/>
      </c>
      <c r="AJ398" s="49" t="str">
        <f>IF(AF398="","",_xll.IMDP("STK",$AF398,"등락률"))</f>
        <v/>
      </c>
      <c r="AK398" s="48" t="str">
        <f>IF(AF398="","",_xll.IMDP("STK",$AF398,"시가총액"))</f>
        <v/>
      </c>
      <c r="AL398" s="20" t="str">
        <f t="shared" si="19"/>
        <v/>
      </c>
      <c r="AM398" s="21" t="str">
        <f>IF(AL398="","",_xll.IMDP("STK",$AL398,"한글종목명"))</f>
        <v/>
      </c>
      <c r="AN398" s="48" t="str">
        <f>IF(AL398="","",_xll.IMDP("STK",$AL398,"현재가"))</f>
        <v/>
      </c>
      <c r="AO398" s="48" t="str">
        <f>IF(AL398="","",_xll.IMDP("STK",$AL398,"전일대비"))</f>
        <v/>
      </c>
      <c r="AP398" s="49" t="str">
        <f>IF(AL398="","",_xll.IMDP("STK",$AL398,"등락률"))</f>
        <v/>
      </c>
      <c r="AQ398" s="48" t="str">
        <f>IF(AL398="","",_xll.IMDP("STK",$AL398,"시가총액"))</f>
        <v/>
      </c>
    </row>
    <row r="399" spans="3:43" x14ac:dyDescent="0.25">
      <c r="C399" s="22">
        <v>394</v>
      </c>
      <c r="Y399" s="25" t="s">
        <v>425</v>
      </c>
      <c r="Z399" s="20" t="str">
        <f t="shared" si="18"/>
        <v/>
      </c>
      <c r="AA399" s="21" t="str">
        <f>IF(Z399="","",_xll.IMDP("STK",$Z399,"한글종목명"))</f>
        <v/>
      </c>
      <c r="AB399" s="48" t="str">
        <f>IF(Z399="","",_xll.IMDP("STK",$Z399,"현재가"))</f>
        <v/>
      </c>
      <c r="AC399" s="48" t="str">
        <f>IF(Z399="","",_xll.IMDP("STK",$Z399,"전일대비"))</f>
        <v/>
      </c>
      <c r="AD399" s="49" t="str">
        <f>IF(Z399="","",_xll.IMDP("STK",$Z399,"등락률"))</f>
        <v/>
      </c>
      <c r="AE399" s="48" t="str">
        <f>IF(Z399="","",_xll.IMDP("STK",Z399,"시가총액"))</f>
        <v/>
      </c>
      <c r="AF399" s="20" t="str">
        <f t="shared" si="20"/>
        <v/>
      </c>
      <c r="AG399" s="21" t="str">
        <f>IF(AF399="","",_xll.IMDP("STK",$AF399,"한글종목명"))</f>
        <v/>
      </c>
      <c r="AH399" s="48" t="str">
        <f>IF(AF399="","",_xll.IMDP("STK",$AF399,"현재가"))</f>
        <v/>
      </c>
      <c r="AI399" s="48" t="str">
        <f>IF(AF399="","",_xll.IMDP("STK",$AF399,"전일대비"))</f>
        <v/>
      </c>
      <c r="AJ399" s="49" t="str">
        <f>IF(AF399="","",_xll.IMDP("STK",$AF399,"등락률"))</f>
        <v/>
      </c>
      <c r="AK399" s="48" t="str">
        <f>IF(AF399="","",_xll.IMDP("STK",$AF399,"시가총액"))</f>
        <v/>
      </c>
      <c r="AL399" s="20" t="str">
        <f t="shared" si="19"/>
        <v/>
      </c>
      <c r="AM399" s="21" t="str">
        <f>IF(AL399="","",_xll.IMDP("STK",$AL399,"한글종목명"))</f>
        <v/>
      </c>
      <c r="AN399" s="48" t="str">
        <f>IF(AL399="","",_xll.IMDP("STK",$AL399,"현재가"))</f>
        <v/>
      </c>
      <c r="AO399" s="48" t="str">
        <f>IF(AL399="","",_xll.IMDP("STK",$AL399,"전일대비"))</f>
        <v/>
      </c>
      <c r="AP399" s="49" t="str">
        <f>IF(AL399="","",_xll.IMDP("STK",$AL399,"등락률"))</f>
        <v/>
      </c>
      <c r="AQ399" s="48" t="str">
        <f>IF(AL399="","",_xll.IMDP("STK",$AL399,"시가총액"))</f>
        <v/>
      </c>
    </row>
    <row r="400" spans="3:43" x14ac:dyDescent="0.25">
      <c r="C400" s="22">
        <v>395</v>
      </c>
      <c r="Y400" s="25" t="s">
        <v>543</v>
      </c>
      <c r="Z400" s="20" t="str">
        <f t="shared" si="18"/>
        <v/>
      </c>
      <c r="AA400" s="21" t="str">
        <f>IF(Z400="","",_xll.IMDP("STK",$Z400,"한글종목명"))</f>
        <v/>
      </c>
      <c r="AB400" s="48" t="str">
        <f>IF(Z400="","",_xll.IMDP("STK",$Z400,"현재가"))</f>
        <v/>
      </c>
      <c r="AC400" s="48" t="str">
        <f>IF(Z400="","",_xll.IMDP("STK",$Z400,"전일대비"))</f>
        <v/>
      </c>
      <c r="AD400" s="49" t="str">
        <f>IF(Z400="","",_xll.IMDP("STK",$Z400,"등락률"))</f>
        <v/>
      </c>
      <c r="AE400" s="48" t="str">
        <f>IF(Z400="","",_xll.IMDP("STK",Z400,"시가총액"))</f>
        <v/>
      </c>
      <c r="AF400" s="20" t="str">
        <f t="shared" si="20"/>
        <v/>
      </c>
      <c r="AG400" s="21" t="str">
        <f>IF(AF400="","",_xll.IMDP("STK",$AF400,"한글종목명"))</f>
        <v/>
      </c>
      <c r="AH400" s="48" t="str">
        <f>IF(AF400="","",_xll.IMDP("STK",$AF400,"현재가"))</f>
        <v/>
      </c>
      <c r="AI400" s="48" t="str">
        <f>IF(AF400="","",_xll.IMDP("STK",$AF400,"전일대비"))</f>
        <v/>
      </c>
      <c r="AJ400" s="49" t="str">
        <f>IF(AF400="","",_xll.IMDP("STK",$AF400,"등락률"))</f>
        <v/>
      </c>
      <c r="AK400" s="48" t="str">
        <f>IF(AF400="","",_xll.IMDP("STK",$AF400,"시가총액"))</f>
        <v/>
      </c>
      <c r="AL400" s="20" t="str">
        <f t="shared" si="19"/>
        <v/>
      </c>
      <c r="AM400" s="21" t="str">
        <f>IF(AL400="","",_xll.IMDP("STK",$AL400,"한글종목명"))</f>
        <v/>
      </c>
      <c r="AN400" s="48" t="str">
        <f>IF(AL400="","",_xll.IMDP("STK",$AL400,"현재가"))</f>
        <v/>
      </c>
      <c r="AO400" s="48" t="str">
        <f>IF(AL400="","",_xll.IMDP("STK",$AL400,"전일대비"))</f>
        <v/>
      </c>
      <c r="AP400" s="49" t="str">
        <f>IF(AL400="","",_xll.IMDP("STK",$AL400,"등락률"))</f>
        <v/>
      </c>
      <c r="AQ400" s="48" t="str">
        <f>IF(AL400="","",_xll.IMDP("STK",$AL400,"시가총액"))</f>
        <v/>
      </c>
    </row>
    <row r="401" spans="3:43" x14ac:dyDescent="0.25">
      <c r="C401" s="22">
        <v>396</v>
      </c>
      <c r="Y401" s="25" t="s">
        <v>544</v>
      </c>
      <c r="Z401" s="20" t="str">
        <f t="shared" si="18"/>
        <v/>
      </c>
      <c r="AA401" s="21" t="str">
        <f>IF(Z401="","",_xll.IMDP("STK",$Z401,"한글종목명"))</f>
        <v/>
      </c>
      <c r="AB401" s="48" t="str">
        <f>IF(Z401="","",_xll.IMDP("STK",$Z401,"현재가"))</f>
        <v/>
      </c>
      <c r="AC401" s="48" t="str">
        <f>IF(Z401="","",_xll.IMDP("STK",$Z401,"전일대비"))</f>
        <v/>
      </c>
      <c r="AD401" s="49" t="str">
        <f>IF(Z401="","",_xll.IMDP("STK",$Z401,"등락률"))</f>
        <v/>
      </c>
      <c r="AE401" s="48" t="str">
        <f>IF(Z401="","",_xll.IMDP("STK",Z401,"시가총액"))</f>
        <v/>
      </c>
      <c r="AF401" s="20" t="str">
        <f t="shared" si="20"/>
        <v/>
      </c>
      <c r="AG401" s="21" t="str">
        <f>IF(AF401="","",_xll.IMDP("STK",$AF401,"한글종목명"))</f>
        <v/>
      </c>
      <c r="AH401" s="48" t="str">
        <f>IF(AF401="","",_xll.IMDP("STK",$AF401,"현재가"))</f>
        <v/>
      </c>
      <c r="AI401" s="48" t="str">
        <f>IF(AF401="","",_xll.IMDP("STK",$AF401,"전일대비"))</f>
        <v/>
      </c>
      <c r="AJ401" s="49" t="str">
        <f>IF(AF401="","",_xll.IMDP("STK",$AF401,"등락률"))</f>
        <v/>
      </c>
      <c r="AK401" s="48" t="str">
        <f>IF(AF401="","",_xll.IMDP("STK",$AF401,"시가총액"))</f>
        <v/>
      </c>
      <c r="AL401" s="20" t="str">
        <f t="shared" si="19"/>
        <v/>
      </c>
      <c r="AM401" s="21" t="str">
        <f>IF(AL401="","",_xll.IMDP("STK",$AL401,"한글종목명"))</f>
        <v/>
      </c>
      <c r="AN401" s="48" t="str">
        <f>IF(AL401="","",_xll.IMDP("STK",$AL401,"현재가"))</f>
        <v/>
      </c>
      <c r="AO401" s="48" t="str">
        <f>IF(AL401="","",_xll.IMDP("STK",$AL401,"전일대비"))</f>
        <v/>
      </c>
      <c r="AP401" s="49" t="str">
        <f>IF(AL401="","",_xll.IMDP("STK",$AL401,"등락률"))</f>
        <v/>
      </c>
      <c r="AQ401" s="48" t="str">
        <f>IF(AL401="","",_xll.IMDP("STK",$AL401,"시가총액"))</f>
        <v/>
      </c>
    </row>
    <row r="402" spans="3:43" x14ac:dyDescent="0.25">
      <c r="C402" s="22">
        <v>397</v>
      </c>
      <c r="Y402" s="25" t="s">
        <v>671</v>
      </c>
      <c r="Z402" s="20" t="str">
        <f t="shared" si="18"/>
        <v/>
      </c>
      <c r="AA402" s="21" t="str">
        <f>IF(Z402="","",_xll.IMDP("STK",$Z402,"한글종목명"))</f>
        <v/>
      </c>
      <c r="AB402" s="48" t="str">
        <f>IF(Z402="","",_xll.IMDP("STK",$Z402,"현재가"))</f>
        <v/>
      </c>
      <c r="AC402" s="48" t="str">
        <f>IF(Z402="","",_xll.IMDP("STK",$Z402,"전일대비"))</f>
        <v/>
      </c>
      <c r="AD402" s="49" t="str">
        <f>IF(Z402="","",_xll.IMDP("STK",$Z402,"등락률"))</f>
        <v/>
      </c>
      <c r="AE402" s="48" t="str">
        <f>IF(Z402="","",_xll.IMDP("STK",Z402,"시가총액"))</f>
        <v/>
      </c>
      <c r="AF402" s="20" t="str">
        <f t="shared" si="20"/>
        <v/>
      </c>
      <c r="AG402" s="21" t="str">
        <f>IF(AF402="","",_xll.IMDP("STK",$AF402,"한글종목명"))</f>
        <v/>
      </c>
      <c r="AH402" s="48" t="str">
        <f>IF(AF402="","",_xll.IMDP("STK",$AF402,"현재가"))</f>
        <v/>
      </c>
      <c r="AI402" s="48" t="str">
        <f>IF(AF402="","",_xll.IMDP("STK",$AF402,"전일대비"))</f>
        <v/>
      </c>
      <c r="AJ402" s="49" t="str">
        <f>IF(AF402="","",_xll.IMDP("STK",$AF402,"등락률"))</f>
        <v/>
      </c>
      <c r="AK402" s="48" t="str">
        <f>IF(AF402="","",_xll.IMDP("STK",$AF402,"시가총액"))</f>
        <v/>
      </c>
      <c r="AL402" s="20" t="str">
        <f t="shared" si="19"/>
        <v/>
      </c>
      <c r="AM402" s="21" t="str">
        <f>IF(AL402="","",_xll.IMDP("STK",$AL402,"한글종목명"))</f>
        <v/>
      </c>
      <c r="AN402" s="48" t="str">
        <f>IF(AL402="","",_xll.IMDP("STK",$AL402,"현재가"))</f>
        <v/>
      </c>
      <c r="AO402" s="48" t="str">
        <f>IF(AL402="","",_xll.IMDP("STK",$AL402,"전일대비"))</f>
        <v/>
      </c>
      <c r="AP402" s="49" t="str">
        <f>IF(AL402="","",_xll.IMDP("STK",$AL402,"등락률"))</f>
        <v/>
      </c>
      <c r="AQ402" s="48" t="str">
        <f>IF(AL402="","",_xll.IMDP("STK",$AL402,"시가총액"))</f>
        <v/>
      </c>
    </row>
    <row r="403" spans="3:43" x14ac:dyDescent="0.25">
      <c r="C403" s="22">
        <v>398</v>
      </c>
      <c r="Y403" s="25" t="s">
        <v>330</v>
      </c>
      <c r="Z403" s="20" t="str">
        <f t="shared" si="18"/>
        <v/>
      </c>
      <c r="AA403" s="21" t="str">
        <f>IF(Z403="","",_xll.IMDP("STK",$Z403,"한글종목명"))</f>
        <v/>
      </c>
      <c r="AB403" s="48" t="str">
        <f>IF(Z403="","",_xll.IMDP("STK",$Z403,"현재가"))</f>
        <v/>
      </c>
      <c r="AC403" s="48" t="str">
        <f>IF(Z403="","",_xll.IMDP("STK",$Z403,"전일대비"))</f>
        <v/>
      </c>
      <c r="AD403" s="49" t="str">
        <f>IF(Z403="","",_xll.IMDP("STK",$Z403,"등락률"))</f>
        <v/>
      </c>
      <c r="AE403" s="48" t="str">
        <f>IF(Z403="","",_xll.IMDP("STK",Z403,"시가총액"))</f>
        <v/>
      </c>
      <c r="AF403" s="20" t="str">
        <f t="shared" si="20"/>
        <v/>
      </c>
      <c r="AG403" s="21" t="str">
        <f>IF(AF403="","",_xll.IMDP("STK",$AF403,"한글종목명"))</f>
        <v/>
      </c>
      <c r="AH403" s="48" t="str">
        <f>IF(AF403="","",_xll.IMDP("STK",$AF403,"현재가"))</f>
        <v/>
      </c>
      <c r="AI403" s="48" t="str">
        <f>IF(AF403="","",_xll.IMDP("STK",$AF403,"전일대비"))</f>
        <v/>
      </c>
      <c r="AJ403" s="49" t="str">
        <f>IF(AF403="","",_xll.IMDP("STK",$AF403,"등락률"))</f>
        <v/>
      </c>
      <c r="AK403" s="48" t="str">
        <f>IF(AF403="","",_xll.IMDP("STK",$AF403,"시가총액"))</f>
        <v/>
      </c>
      <c r="AL403" s="20" t="str">
        <f t="shared" si="19"/>
        <v/>
      </c>
      <c r="AM403" s="21" t="str">
        <f>IF(AL403="","",_xll.IMDP("STK",$AL403,"한글종목명"))</f>
        <v/>
      </c>
      <c r="AN403" s="48" t="str">
        <f>IF(AL403="","",_xll.IMDP("STK",$AL403,"현재가"))</f>
        <v/>
      </c>
      <c r="AO403" s="48" t="str">
        <f>IF(AL403="","",_xll.IMDP("STK",$AL403,"전일대비"))</f>
        <v/>
      </c>
      <c r="AP403" s="49" t="str">
        <f>IF(AL403="","",_xll.IMDP("STK",$AL403,"등락률"))</f>
        <v/>
      </c>
      <c r="AQ403" s="48" t="str">
        <f>IF(AL403="","",_xll.IMDP("STK",$AL403,"시가총액"))</f>
        <v/>
      </c>
    </row>
    <row r="404" spans="3:43" x14ac:dyDescent="0.25">
      <c r="C404" s="22">
        <v>399</v>
      </c>
      <c r="Y404" s="25" t="s">
        <v>376</v>
      </c>
      <c r="Z404" s="20" t="str">
        <f t="shared" si="18"/>
        <v/>
      </c>
      <c r="AA404" s="21" t="str">
        <f>IF(Z404="","",_xll.IMDP("STK",$Z404,"한글종목명"))</f>
        <v/>
      </c>
      <c r="AB404" s="48" t="str">
        <f>IF(Z404="","",_xll.IMDP("STK",$Z404,"현재가"))</f>
        <v/>
      </c>
      <c r="AC404" s="48" t="str">
        <f>IF(Z404="","",_xll.IMDP("STK",$Z404,"전일대비"))</f>
        <v/>
      </c>
      <c r="AD404" s="49" t="str">
        <f>IF(Z404="","",_xll.IMDP("STK",$Z404,"등락률"))</f>
        <v/>
      </c>
      <c r="AE404" s="48" t="str">
        <f>IF(Z404="","",_xll.IMDP("STK",Z404,"시가총액"))</f>
        <v/>
      </c>
      <c r="AF404" s="20" t="str">
        <f t="shared" si="20"/>
        <v/>
      </c>
      <c r="AG404" s="21" t="str">
        <f>IF(AF404="","",_xll.IMDP("STK",$AF404,"한글종목명"))</f>
        <v/>
      </c>
      <c r="AH404" s="48" t="str">
        <f>IF(AF404="","",_xll.IMDP("STK",$AF404,"현재가"))</f>
        <v/>
      </c>
      <c r="AI404" s="48" t="str">
        <f>IF(AF404="","",_xll.IMDP("STK",$AF404,"전일대비"))</f>
        <v/>
      </c>
      <c r="AJ404" s="49" t="str">
        <f>IF(AF404="","",_xll.IMDP("STK",$AF404,"등락률"))</f>
        <v/>
      </c>
      <c r="AK404" s="48" t="str">
        <f>IF(AF404="","",_xll.IMDP("STK",$AF404,"시가총액"))</f>
        <v/>
      </c>
      <c r="AL404" s="20" t="str">
        <f t="shared" si="19"/>
        <v/>
      </c>
      <c r="AM404" s="21" t="str">
        <f>IF(AL404="","",_xll.IMDP("STK",$AL404,"한글종목명"))</f>
        <v/>
      </c>
      <c r="AN404" s="48" t="str">
        <f>IF(AL404="","",_xll.IMDP("STK",$AL404,"현재가"))</f>
        <v/>
      </c>
      <c r="AO404" s="48" t="str">
        <f>IF(AL404="","",_xll.IMDP("STK",$AL404,"전일대비"))</f>
        <v/>
      </c>
      <c r="AP404" s="49" t="str">
        <f>IF(AL404="","",_xll.IMDP("STK",$AL404,"등락률"))</f>
        <v/>
      </c>
      <c r="AQ404" s="48" t="str">
        <f>IF(AL404="","",_xll.IMDP("STK",$AL404,"시가총액"))</f>
        <v/>
      </c>
    </row>
    <row r="405" spans="3:43" x14ac:dyDescent="0.25">
      <c r="C405" s="22">
        <v>400</v>
      </c>
      <c r="Y405" s="25" t="s">
        <v>629</v>
      </c>
      <c r="Z405" s="20" t="str">
        <f t="shared" si="18"/>
        <v/>
      </c>
      <c r="AA405" s="21" t="str">
        <f>IF(Z405="","",_xll.IMDP("STK",$Z405,"한글종목명"))</f>
        <v/>
      </c>
      <c r="AB405" s="48" t="str">
        <f>IF(Z405="","",_xll.IMDP("STK",$Z405,"현재가"))</f>
        <v/>
      </c>
      <c r="AC405" s="48" t="str">
        <f>IF(Z405="","",_xll.IMDP("STK",$Z405,"전일대비"))</f>
        <v/>
      </c>
      <c r="AD405" s="49" t="str">
        <f>IF(Z405="","",_xll.IMDP("STK",$Z405,"등락률"))</f>
        <v/>
      </c>
      <c r="AE405" s="48" t="str">
        <f>IF(Z405="","",_xll.IMDP("STK",Z405,"시가총액"))</f>
        <v/>
      </c>
      <c r="AF405" s="20" t="str">
        <f t="shared" si="20"/>
        <v/>
      </c>
      <c r="AG405" s="21" t="str">
        <f>IF(AF405="","",_xll.IMDP("STK",$AF405,"한글종목명"))</f>
        <v/>
      </c>
      <c r="AH405" s="48" t="str">
        <f>IF(AF405="","",_xll.IMDP("STK",$AF405,"현재가"))</f>
        <v/>
      </c>
      <c r="AI405" s="48" t="str">
        <f>IF(AF405="","",_xll.IMDP("STK",$AF405,"전일대비"))</f>
        <v/>
      </c>
      <c r="AJ405" s="49" t="str">
        <f>IF(AF405="","",_xll.IMDP("STK",$AF405,"등락률"))</f>
        <v/>
      </c>
      <c r="AK405" s="48" t="str">
        <f>IF(AF405="","",_xll.IMDP("STK",$AF405,"시가총액"))</f>
        <v/>
      </c>
      <c r="AL405" s="20" t="str">
        <f t="shared" si="19"/>
        <v/>
      </c>
      <c r="AM405" s="21" t="str">
        <f>IF(AL405="","",_xll.IMDP("STK",$AL405,"한글종목명"))</f>
        <v/>
      </c>
      <c r="AN405" s="48" t="str">
        <f>IF(AL405="","",_xll.IMDP("STK",$AL405,"현재가"))</f>
        <v/>
      </c>
      <c r="AO405" s="48" t="str">
        <f>IF(AL405="","",_xll.IMDP("STK",$AL405,"전일대비"))</f>
        <v/>
      </c>
      <c r="AP405" s="49" t="str">
        <f>IF(AL405="","",_xll.IMDP("STK",$AL405,"등락률"))</f>
        <v/>
      </c>
      <c r="AQ405" s="48" t="str">
        <f>IF(AL405="","",_xll.IMDP("STK",$AL405,"시가총액"))</f>
        <v/>
      </c>
    </row>
    <row r="406" spans="3:43" x14ac:dyDescent="0.25">
      <c r="C406" s="22">
        <v>401</v>
      </c>
      <c r="Y406" s="25" t="s">
        <v>630</v>
      </c>
      <c r="Z406" s="20" t="str">
        <f t="shared" si="18"/>
        <v/>
      </c>
      <c r="AA406" s="21" t="str">
        <f>IF(Z406="","",_xll.IMDP("STK",$Z406,"한글종목명"))</f>
        <v/>
      </c>
      <c r="AB406" s="48" t="str">
        <f>IF(Z406="","",_xll.IMDP("STK",$Z406,"현재가"))</f>
        <v/>
      </c>
      <c r="AC406" s="48" t="str">
        <f>IF(Z406="","",_xll.IMDP("STK",$Z406,"전일대비"))</f>
        <v/>
      </c>
      <c r="AD406" s="49" t="str">
        <f>IF(Z406="","",_xll.IMDP("STK",$Z406,"등락률"))</f>
        <v/>
      </c>
      <c r="AE406" s="48" t="str">
        <f>IF(Z406="","",_xll.IMDP("STK",Z406,"시가총액"))</f>
        <v/>
      </c>
      <c r="AF406" s="20" t="str">
        <f t="shared" si="20"/>
        <v/>
      </c>
      <c r="AG406" s="21" t="str">
        <f>IF(AF406="","",_xll.IMDP("STK",$AF406,"한글종목명"))</f>
        <v/>
      </c>
      <c r="AH406" s="48" t="str">
        <f>IF(AF406="","",_xll.IMDP("STK",$AF406,"현재가"))</f>
        <v/>
      </c>
      <c r="AI406" s="48" t="str">
        <f>IF(AF406="","",_xll.IMDP("STK",$AF406,"전일대비"))</f>
        <v/>
      </c>
      <c r="AJ406" s="49" t="str">
        <f>IF(AF406="","",_xll.IMDP("STK",$AF406,"등락률"))</f>
        <v/>
      </c>
      <c r="AK406" s="48" t="str">
        <f>IF(AF406="","",_xll.IMDP("STK",$AF406,"시가총액"))</f>
        <v/>
      </c>
      <c r="AL406" s="20" t="str">
        <f t="shared" si="19"/>
        <v/>
      </c>
      <c r="AM406" s="21" t="str">
        <f>IF(AL406="","",_xll.IMDP("STK",$AL406,"한글종목명"))</f>
        <v/>
      </c>
      <c r="AN406" s="48" t="str">
        <f>IF(AL406="","",_xll.IMDP("STK",$AL406,"현재가"))</f>
        <v/>
      </c>
      <c r="AO406" s="48" t="str">
        <f>IF(AL406="","",_xll.IMDP("STK",$AL406,"전일대비"))</f>
        <v/>
      </c>
      <c r="AP406" s="49" t="str">
        <f>IF(AL406="","",_xll.IMDP("STK",$AL406,"등락률"))</f>
        <v/>
      </c>
      <c r="AQ406" s="48" t="str">
        <f>IF(AL406="","",_xll.IMDP("STK",$AL406,"시가총액"))</f>
        <v/>
      </c>
    </row>
    <row r="407" spans="3:43" x14ac:dyDescent="0.25">
      <c r="C407" s="22">
        <v>402</v>
      </c>
      <c r="Y407" s="25" t="s">
        <v>610</v>
      </c>
      <c r="Z407" s="20" t="str">
        <f t="shared" si="18"/>
        <v/>
      </c>
      <c r="AA407" s="21" t="str">
        <f>IF(Z407="","",_xll.IMDP("STK",$Z407,"한글종목명"))</f>
        <v/>
      </c>
      <c r="AB407" s="48" t="str">
        <f>IF(Z407="","",_xll.IMDP("STK",$Z407,"현재가"))</f>
        <v/>
      </c>
      <c r="AC407" s="48" t="str">
        <f>IF(Z407="","",_xll.IMDP("STK",$Z407,"전일대비"))</f>
        <v/>
      </c>
      <c r="AD407" s="49" t="str">
        <f>IF(Z407="","",_xll.IMDP("STK",$Z407,"등락률"))</f>
        <v/>
      </c>
      <c r="AE407" s="48" t="str">
        <f>IF(Z407="","",_xll.IMDP("STK",Z407,"시가총액"))</f>
        <v/>
      </c>
      <c r="AF407" s="20" t="str">
        <f t="shared" si="20"/>
        <v/>
      </c>
      <c r="AG407" s="21" t="str">
        <f>IF(AF407="","",_xll.IMDP("STK",$AF407,"한글종목명"))</f>
        <v/>
      </c>
      <c r="AH407" s="48" t="str">
        <f>IF(AF407="","",_xll.IMDP("STK",$AF407,"현재가"))</f>
        <v/>
      </c>
      <c r="AI407" s="48" t="str">
        <f>IF(AF407="","",_xll.IMDP("STK",$AF407,"전일대비"))</f>
        <v/>
      </c>
      <c r="AJ407" s="49" t="str">
        <f>IF(AF407="","",_xll.IMDP("STK",$AF407,"등락률"))</f>
        <v/>
      </c>
      <c r="AK407" s="48" t="str">
        <f>IF(AF407="","",_xll.IMDP("STK",$AF407,"시가총액"))</f>
        <v/>
      </c>
      <c r="AL407" s="20" t="str">
        <f t="shared" si="19"/>
        <v/>
      </c>
      <c r="AM407" s="21" t="str">
        <f>IF(AL407="","",_xll.IMDP("STK",$AL407,"한글종목명"))</f>
        <v/>
      </c>
      <c r="AN407" s="48" t="str">
        <f>IF(AL407="","",_xll.IMDP("STK",$AL407,"현재가"))</f>
        <v/>
      </c>
      <c r="AO407" s="48" t="str">
        <f>IF(AL407="","",_xll.IMDP("STK",$AL407,"전일대비"))</f>
        <v/>
      </c>
      <c r="AP407" s="49" t="str">
        <f>IF(AL407="","",_xll.IMDP("STK",$AL407,"등락률"))</f>
        <v/>
      </c>
      <c r="AQ407" s="48" t="str">
        <f>IF(AL407="","",_xll.IMDP("STK",$AL407,"시가총액"))</f>
        <v/>
      </c>
    </row>
    <row r="408" spans="3:43" x14ac:dyDescent="0.25">
      <c r="C408" s="22">
        <v>403</v>
      </c>
      <c r="Y408" s="25" t="s">
        <v>611</v>
      </c>
      <c r="Z408" s="20" t="str">
        <f t="shared" si="18"/>
        <v/>
      </c>
      <c r="AA408" s="21" t="str">
        <f>IF(Z408="","",_xll.IMDP("STK",$Z408,"한글종목명"))</f>
        <v/>
      </c>
      <c r="AB408" s="48" t="str">
        <f>IF(Z408="","",_xll.IMDP("STK",$Z408,"현재가"))</f>
        <v/>
      </c>
      <c r="AC408" s="48" t="str">
        <f>IF(Z408="","",_xll.IMDP("STK",$Z408,"전일대비"))</f>
        <v/>
      </c>
      <c r="AD408" s="49" t="str">
        <f>IF(Z408="","",_xll.IMDP("STK",$Z408,"등락률"))</f>
        <v/>
      </c>
      <c r="AE408" s="48" t="str">
        <f>IF(Z408="","",_xll.IMDP("STK",Z408,"시가총액"))</f>
        <v/>
      </c>
      <c r="AF408" s="20" t="str">
        <f t="shared" si="20"/>
        <v/>
      </c>
      <c r="AG408" s="21" t="str">
        <f>IF(AF408="","",_xll.IMDP("STK",$AF408,"한글종목명"))</f>
        <v/>
      </c>
      <c r="AH408" s="48" t="str">
        <f>IF(AF408="","",_xll.IMDP("STK",$AF408,"현재가"))</f>
        <v/>
      </c>
      <c r="AI408" s="48" t="str">
        <f>IF(AF408="","",_xll.IMDP("STK",$AF408,"전일대비"))</f>
        <v/>
      </c>
      <c r="AJ408" s="49" t="str">
        <f>IF(AF408="","",_xll.IMDP("STK",$AF408,"등락률"))</f>
        <v/>
      </c>
      <c r="AK408" s="48" t="str">
        <f>IF(AF408="","",_xll.IMDP("STK",$AF408,"시가총액"))</f>
        <v/>
      </c>
      <c r="AL408" s="20" t="str">
        <f t="shared" si="19"/>
        <v/>
      </c>
      <c r="AM408" s="21" t="str">
        <f>IF(AL408="","",_xll.IMDP("STK",$AL408,"한글종목명"))</f>
        <v/>
      </c>
      <c r="AN408" s="48" t="str">
        <f>IF(AL408="","",_xll.IMDP("STK",$AL408,"현재가"))</f>
        <v/>
      </c>
      <c r="AO408" s="48" t="str">
        <f>IF(AL408="","",_xll.IMDP("STK",$AL408,"전일대비"))</f>
        <v/>
      </c>
      <c r="AP408" s="49" t="str">
        <f>IF(AL408="","",_xll.IMDP("STK",$AL408,"등락률"))</f>
        <v/>
      </c>
      <c r="AQ408" s="48" t="str">
        <f>IF(AL408="","",_xll.IMDP("STK",$AL408,"시가총액"))</f>
        <v/>
      </c>
    </row>
    <row r="409" spans="3:43" x14ac:dyDescent="0.25">
      <c r="C409" s="22">
        <v>404</v>
      </c>
      <c r="Y409" s="25" t="s">
        <v>612</v>
      </c>
      <c r="Z409" s="20" t="str">
        <f t="shared" si="18"/>
        <v/>
      </c>
      <c r="AA409" s="21" t="str">
        <f>IF(Z409="","",_xll.IMDP("STK",$Z409,"한글종목명"))</f>
        <v/>
      </c>
      <c r="AB409" s="48" t="str">
        <f>IF(Z409="","",_xll.IMDP("STK",$Z409,"현재가"))</f>
        <v/>
      </c>
      <c r="AC409" s="48" t="str">
        <f>IF(Z409="","",_xll.IMDP("STK",$Z409,"전일대비"))</f>
        <v/>
      </c>
      <c r="AD409" s="49" t="str">
        <f>IF(Z409="","",_xll.IMDP("STK",$Z409,"등락률"))</f>
        <v/>
      </c>
      <c r="AE409" s="48" t="str">
        <f>IF(Z409="","",_xll.IMDP("STK",Z409,"시가총액"))</f>
        <v/>
      </c>
      <c r="AF409" s="20" t="str">
        <f t="shared" si="20"/>
        <v/>
      </c>
      <c r="AG409" s="21" t="str">
        <f>IF(AF409="","",_xll.IMDP("STK",$AF409,"한글종목명"))</f>
        <v/>
      </c>
      <c r="AH409" s="48" t="str">
        <f>IF(AF409="","",_xll.IMDP("STK",$AF409,"현재가"))</f>
        <v/>
      </c>
      <c r="AI409" s="48" t="str">
        <f>IF(AF409="","",_xll.IMDP("STK",$AF409,"전일대비"))</f>
        <v/>
      </c>
      <c r="AJ409" s="49" t="str">
        <f>IF(AF409="","",_xll.IMDP("STK",$AF409,"등락률"))</f>
        <v/>
      </c>
      <c r="AK409" s="48" t="str">
        <f>IF(AF409="","",_xll.IMDP("STK",$AF409,"시가총액"))</f>
        <v/>
      </c>
      <c r="AL409" s="20" t="str">
        <f t="shared" si="19"/>
        <v/>
      </c>
      <c r="AM409" s="21" t="str">
        <f>IF(AL409="","",_xll.IMDP("STK",$AL409,"한글종목명"))</f>
        <v/>
      </c>
      <c r="AN409" s="48" t="str">
        <f>IF(AL409="","",_xll.IMDP("STK",$AL409,"현재가"))</f>
        <v/>
      </c>
      <c r="AO409" s="48" t="str">
        <f>IF(AL409="","",_xll.IMDP("STK",$AL409,"전일대비"))</f>
        <v/>
      </c>
      <c r="AP409" s="49" t="str">
        <f>IF(AL409="","",_xll.IMDP("STK",$AL409,"등락률"))</f>
        <v/>
      </c>
      <c r="AQ409" s="48" t="str">
        <f>IF(AL409="","",_xll.IMDP("STK",$AL409,"시가총액"))</f>
        <v/>
      </c>
    </row>
    <row r="410" spans="3:43" x14ac:dyDescent="0.25">
      <c r="C410" s="22">
        <v>405</v>
      </c>
      <c r="Y410" s="25" t="s">
        <v>456</v>
      </c>
      <c r="Z410" s="20" t="str">
        <f t="shared" si="18"/>
        <v/>
      </c>
      <c r="AA410" s="21" t="str">
        <f>IF(Z410="","",_xll.IMDP("STK",$Z410,"한글종목명"))</f>
        <v/>
      </c>
      <c r="AB410" s="48" t="str">
        <f>IF(Z410="","",_xll.IMDP("STK",$Z410,"현재가"))</f>
        <v/>
      </c>
      <c r="AC410" s="48" t="str">
        <f>IF(Z410="","",_xll.IMDP("STK",$Z410,"전일대비"))</f>
        <v/>
      </c>
      <c r="AD410" s="49" t="str">
        <f>IF(Z410="","",_xll.IMDP("STK",$Z410,"등락률"))</f>
        <v/>
      </c>
      <c r="AE410" s="48" t="str">
        <f>IF(Z410="","",_xll.IMDP("STK",Z410,"시가총액"))</f>
        <v/>
      </c>
      <c r="AF410" s="20" t="str">
        <f t="shared" si="20"/>
        <v/>
      </c>
      <c r="AG410" s="21" t="str">
        <f>IF(AF410="","",_xll.IMDP("STK",$AF410,"한글종목명"))</f>
        <v/>
      </c>
      <c r="AH410" s="48" t="str">
        <f>IF(AF410="","",_xll.IMDP("STK",$AF410,"현재가"))</f>
        <v/>
      </c>
      <c r="AI410" s="48" t="str">
        <f>IF(AF410="","",_xll.IMDP("STK",$AF410,"전일대비"))</f>
        <v/>
      </c>
      <c r="AJ410" s="49" t="str">
        <f>IF(AF410="","",_xll.IMDP("STK",$AF410,"등락률"))</f>
        <v/>
      </c>
      <c r="AK410" s="48" t="str">
        <f>IF(AF410="","",_xll.IMDP("STK",$AF410,"시가총액"))</f>
        <v/>
      </c>
      <c r="AL410" s="20" t="str">
        <f t="shared" si="19"/>
        <v/>
      </c>
      <c r="AM410" s="21" t="str">
        <f>IF(AL410="","",_xll.IMDP("STK",$AL410,"한글종목명"))</f>
        <v/>
      </c>
      <c r="AN410" s="48" t="str">
        <f>IF(AL410="","",_xll.IMDP("STK",$AL410,"현재가"))</f>
        <v/>
      </c>
      <c r="AO410" s="48" t="str">
        <f>IF(AL410="","",_xll.IMDP("STK",$AL410,"전일대비"))</f>
        <v/>
      </c>
      <c r="AP410" s="49" t="str">
        <f>IF(AL410="","",_xll.IMDP("STK",$AL410,"등락률"))</f>
        <v/>
      </c>
      <c r="AQ410" s="48" t="str">
        <f>IF(AL410="","",_xll.IMDP("STK",$AL410,"시가총액"))</f>
        <v/>
      </c>
    </row>
    <row r="411" spans="3:43" x14ac:dyDescent="0.25">
      <c r="C411" s="22">
        <v>406</v>
      </c>
      <c r="Y411" s="25" t="s">
        <v>331</v>
      </c>
      <c r="Z411" s="20" t="str">
        <f t="shared" si="18"/>
        <v/>
      </c>
      <c r="AA411" s="21" t="str">
        <f>IF(Z411="","",_xll.IMDP("STK",$Z411,"한글종목명"))</f>
        <v/>
      </c>
      <c r="AB411" s="48" t="str">
        <f>IF(Z411="","",_xll.IMDP("STK",$Z411,"현재가"))</f>
        <v/>
      </c>
      <c r="AC411" s="48" t="str">
        <f>IF(Z411="","",_xll.IMDP("STK",$Z411,"전일대비"))</f>
        <v/>
      </c>
      <c r="AD411" s="49" t="str">
        <f>IF(Z411="","",_xll.IMDP("STK",$Z411,"등락률"))</f>
        <v/>
      </c>
      <c r="AE411" s="48" t="str">
        <f>IF(Z411="","",_xll.IMDP("STK",Z411,"시가총액"))</f>
        <v/>
      </c>
      <c r="AF411" s="20" t="str">
        <f t="shared" si="20"/>
        <v/>
      </c>
      <c r="AG411" s="21" t="str">
        <f>IF(AF411="","",_xll.IMDP("STK",$AF411,"한글종목명"))</f>
        <v/>
      </c>
      <c r="AH411" s="48" t="str">
        <f>IF(AF411="","",_xll.IMDP("STK",$AF411,"현재가"))</f>
        <v/>
      </c>
      <c r="AI411" s="48" t="str">
        <f>IF(AF411="","",_xll.IMDP("STK",$AF411,"전일대비"))</f>
        <v/>
      </c>
      <c r="AJ411" s="49" t="str">
        <f>IF(AF411="","",_xll.IMDP("STK",$AF411,"등락률"))</f>
        <v/>
      </c>
      <c r="AK411" s="48" t="str">
        <f>IF(AF411="","",_xll.IMDP("STK",$AF411,"시가총액"))</f>
        <v/>
      </c>
      <c r="AL411" s="20" t="str">
        <f t="shared" si="19"/>
        <v/>
      </c>
      <c r="AM411" s="21" t="str">
        <f>IF(AL411="","",_xll.IMDP("STK",$AL411,"한글종목명"))</f>
        <v/>
      </c>
      <c r="AN411" s="48" t="str">
        <f>IF(AL411="","",_xll.IMDP("STK",$AL411,"현재가"))</f>
        <v/>
      </c>
      <c r="AO411" s="48" t="str">
        <f>IF(AL411="","",_xll.IMDP("STK",$AL411,"전일대비"))</f>
        <v/>
      </c>
      <c r="AP411" s="49" t="str">
        <f>IF(AL411="","",_xll.IMDP("STK",$AL411,"등락률"))</f>
        <v/>
      </c>
      <c r="AQ411" s="48" t="str">
        <f>IF(AL411="","",_xll.IMDP("STK",$AL411,"시가총액"))</f>
        <v/>
      </c>
    </row>
    <row r="412" spans="3:43" x14ac:dyDescent="0.25">
      <c r="C412" s="22">
        <v>407</v>
      </c>
      <c r="Y412" s="25" t="s">
        <v>332</v>
      </c>
      <c r="Z412" s="20" t="str">
        <f t="shared" si="18"/>
        <v/>
      </c>
      <c r="AA412" s="21" t="str">
        <f>IF(Z412="","",_xll.IMDP("STK",$Z412,"한글종목명"))</f>
        <v/>
      </c>
      <c r="AB412" s="48" t="str">
        <f>IF(Z412="","",_xll.IMDP("STK",$Z412,"현재가"))</f>
        <v/>
      </c>
      <c r="AC412" s="48" t="str">
        <f>IF(Z412="","",_xll.IMDP("STK",$Z412,"전일대비"))</f>
        <v/>
      </c>
      <c r="AD412" s="49" t="str">
        <f>IF(Z412="","",_xll.IMDP("STK",$Z412,"등락률"))</f>
        <v/>
      </c>
      <c r="AE412" s="48" t="str">
        <f>IF(Z412="","",_xll.IMDP("STK",Z412,"시가총액"))</f>
        <v/>
      </c>
      <c r="AF412" s="20" t="str">
        <f t="shared" si="20"/>
        <v/>
      </c>
      <c r="AG412" s="21" t="str">
        <f>IF(AF412="","",_xll.IMDP("STK",$AF412,"한글종목명"))</f>
        <v/>
      </c>
      <c r="AH412" s="48" t="str">
        <f>IF(AF412="","",_xll.IMDP("STK",$AF412,"현재가"))</f>
        <v/>
      </c>
      <c r="AI412" s="48" t="str">
        <f>IF(AF412="","",_xll.IMDP("STK",$AF412,"전일대비"))</f>
        <v/>
      </c>
      <c r="AJ412" s="49" t="str">
        <f>IF(AF412="","",_xll.IMDP("STK",$AF412,"등락률"))</f>
        <v/>
      </c>
      <c r="AK412" s="48" t="str">
        <f>IF(AF412="","",_xll.IMDP("STK",$AF412,"시가총액"))</f>
        <v/>
      </c>
      <c r="AL412" s="20" t="str">
        <f t="shared" si="19"/>
        <v/>
      </c>
      <c r="AM412" s="21" t="str">
        <f>IF(AL412="","",_xll.IMDP("STK",$AL412,"한글종목명"))</f>
        <v/>
      </c>
      <c r="AN412" s="48" t="str">
        <f>IF(AL412="","",_xll.IMDP("STK",$AL412,"현재가"))</f>
        <v/>
      </c>
      <c r="AO412" s="48" t="str">
        <f>IF(AL412="","",_xll.IMDP("STK",$AL412,"전일대비"))</f>
        <v/>
      </c>
      <c r="AP412" s="49" t="str">
        <f>IF(AL412="","",_xll.IMDP("STK",$AL412,"등락률"))</f>
        <v/>
      </c>
      <c r="AQ412" s="48" t="str">
        <f>IF(AL412="","",_xll.IMDP("STK",$AL412,"시가총액"))</f>
        <v/>
      </c>
    </row>
    <row r="413" spans="3:43" x14ac:dyDescent="0.25">
      <c r="C413" s="22">
        <v>408</v>
      </c>
      <c r="Y413" s="25" t="s">
        <v>333</v>
      </c>
      <c r="Z413" s="20" t="str">
        <f t="shared" si="18"/>
        <v/>
      </c>
      <c r="AA413" s="21" t="str">
        <f>IF(Z413="","",_xll.IMDP("STK",$Z413,"한글종목명"))</f>
        <v/>
      </c>
      <c r="AB413" s="48" t="str">
        <f>IF(Z413="","",_xll.IMDP("STK",$Z413,"현재가"))</f>
        <v/>
      </c>
      <c r="AC413" s="48" t="str">
        <f>IF(Z413="","",_xll.IMDP("STK",$Z413,"전일대비"))</f>
        <v/>
      </c>
      <c r="AD413" s="49" t="str">
        <f>IF(Z413="","",_xll.IMDP("STK",$Z413,"등락률"))</f>
        <v/>
      </c>
      <c r="AE413" s="48" t="str">
        <f>IF(Z413="","",_xll.IMDP("STK",Z413,"시가총액"))</f>
        <v/>
      </c>
      <c r="AF413" s="20" t="str">
        <f t="shared" si="20"/>
        <v/>
      </c>
      <c r="AG413" s="21" t="str">
        <f>IF(AF413="","",_xll.IMDP("STK",$AF413,"한글종목명"))</f>
        <v/>
      </c>
      <c r="AH413" s="48" t="str">
        <f>IF(AF413="","",_xll.IMDP("STK",$AF413,"현재가"))</f>
        <v/>
      </c>
      <c r="AI413" s="48" t="str">
        <f>IF(AF413="","",_xll.IMDP("STK",$AF413,"전일대비"))</f>
        <v/>
      </c>
      <c r="AJ413" s="49" t="str">
        <f>IF(AF413="","",_xll.IMDP("STK",$AF413,"등락률"))</f>
        <v/>
      </c>
      <c r="AK413" s="48" t="str">
        <f>IF(AF413="","",_xll.IMDP("STK",$AF413,"시가총액"))</f>
        <v/>
      </c>
      <c r="AL413" s="20" t="str">
        <f t="shared" si="19"/>
        <v/>
      </c>
      <c r="AM413" s="21" t="str">
        <f>IF(AL413="","",_xll.IMDP("STK",$AL413,"한글종목명"))</f>
        <v/>
      </c>
      <c r="AN413" s="48" t="str">
        <f>IF(AL413="","",_xll.IMDP("STK",$AL413,"현재가"))</f>
        <v/>
      </c>
      <c r="AO413" s="48" t="str">
        <f>IF(AL413="","",_xll.IMDP("STK",$AL413,"전일대비"))</f>
        <v/>
      </c>
      <c r="AP413" s="49" t="str">
        <f>IF(AL413="","",_xll.IMDP("STK",$AL413,"등락률"))</f>
        <v/>
      </c>
      <c r="AQ413" s="48" t="str">
        <f>IF(AL413="","",_xll.IMDP("STK",$AL413,"시가총액"))</f>
        <v/>
      </c>
    </row>
    <row r="414" spans="3:43" x14ac:dyDescent="0.25">
      <c r="C414" s="22">
        <v>409</v>
      </c>
      <c r="Y414" s="25" t="s">
        <v>1071</v>
      </c>
      <c r="Z414" s="20" t="str">
        <f t="shared" si="18"/>
        <v/>
      </c>
      <c r="AA414" s="21" t="str">
        <f>IF(Z414="","",_xll.IMDP("STK",$Z414,"한글종목명"))</f>
        <v/>
      </c>
      <c r="AB414" s="48" t="str">
        <f>IF(Z414="","",_xll.IMDP("STK",$Z414,"현재가"))</f>
        <v/>
      </c>
      <c r="AC414" s="48" t="str">
        <f>IF(Z414="","",_xll.IMDP("STK",$Z414,"전일대비"))</f>
        <v/>
      </c>
      <c r="AD414" s="49" t="str">
        <f>IF(Z414="","",_xll.IMDP("STK",$Z414,"등락률"))</f>
        <v/>
      </c>
      <c r="AE414" s="48" t="str">
        <f>IF(Z414="","",_xll.IMDP("STK",Z414,"시가총액"))</f>
        <v/>
      </c>
      <c r="AF414" s="20" t="str">
        <f t="shared" si="20"/>
        <v/>
      </c>
      <c r="AG414" s="21" t="str">
        <f>IF(AF414="","",_xll.IMDP("STK",$AF414,"한글종목명"))</f>
        <v/>
      </c>
      <c r="AH414" s="48" t="str">
        <f>IF(AF414="","",_xll.IMDP("STK",$AF414,"현재가"))</f>
        <v/>
      </c>
      <c r="AI414" s="48" t="str">
        <f>IF(AF414="","",_xll.IMDP("STK",$AF414,"전일대비"))</f>
        <v/>
      </c>
      <c r="AJ414" s="49" t="str">
        <f>IF(AF414="","",_xll.IMDP("STK",$AF414,"등락률"))</f>
        <v/>
      </c>
      <c r="AK414" s="48" t="str">
        <f>IF(AF414="","",_xll.IMDP("STK",$AF414,"시가총액"))</f>
        <v/>
      </c>
      <c r="AL414" s="20" t="str">
        <f t="shared" si="19"/>
        <v/>
      </c>
      <c r="AM414" s="21" t="str">
        <f>IF(AL414="","",_xll.IMDP("STK",$AL414,"한글종목명"))</f>
        <v/>
      </c>
      <c r="AN414" s="48" t="str">
        <f>IF(AL414="","",_xll.IMDP("STK",$AL414,"현재가"))</f>
        <v/>
      </c>
      <c r="AO414" s="48" t="str">
        <f>IF(AL414="","",_xll.IMDP("STK",$AL414,"전일대비"))</f>
        <v/>
      </c>
      <c r="AP414" s="49" t="str">
        <f>IF(AL414="","",_xll.IMDP("STK",$AL414,"등락률"))</f>
        <v/>
      </c>
      <c r="AQ414" s="48" t="str">
        <f>IF(AL414="","",_xll.IMDP("STK",$AL414,"시가총액"))</f>
        <v/>
      </c>
    </row>
    <row r="415" spans="3:43" x14ac:dyDescent="0.25">
      <c r="C415" s="22">
        <v>410</v>
      </c>
      <c r="Y415" s="25" t="s">
        <v>334</v>
      </c>
      <c r="Z415" s="20" t="str">
        <f t="shared" si="18"/>
        <v/>
      </c>
      <c r="AA415" s="21" t="str">
        <f>IF(Z415="","",_xll.IMDP("STK",$Z415,"한글종목명"))</f>
        <v/>
      </c>
      <c r="AB415" s="48" t="str">
        <f>IF(Z415="","",_xll.IMDP("STK",$Z415,"현재가"))</f>
        <v/>
      </c>
      <c r="AC415" s="48" t="str">
        <f>IF(Z415="","",_xll.IMDP("STK",$Z415,"전일대비"))</f>
        <v/>
      </c>
      <c r="AD415" s="49" t="str">
        <f>IF(Z415="","",_xll.IMDP("STK",$Z415,"등락률"))</f>
        <v/>
      </c>
      <c r="AE415" s="48" t="str">
        <f>IF(Z415="","",_xll.IMDP("STK",Z415,"시가총액"))</f>
        <v/>
      </c>
      <c r="AF415" s="20" t="str">
        <f t="shared" si="20"/>
        <v/>
      </c>
      <c r="AG415" s="21" t="str">
        <f>IF(AF415="","",_xll.IMDP("STK",$AF415,"한글종목명"))</f>
        <v/>
      </c>
      <c r="AH415" s="48" t="str">
        <f>IF(AF415="","",_xll.IMDP("STK",$AF415,"현재가"))</f>
        <v/>
      </c>
      <c r="AI415" s="48" t="str">
        <f>IF(AF415="","",_xll.IMDP("STK",$AF415,"전일대비"))</f>
        <v/>
      </c>
      <c r="AJ415" s="49" t="str">
        <f>IF(AF415="","",_xll.IMDP("STK",$AF415,"등락률"))</f>
        <v/>
      </c>
      <c r="AK415" s="48" t="str">
        <f>IF(AF415="","",_xll.IMDP("STK",$AF415,"시가총액"))</f>
        <v/>
      </c>
      <c r="AL415" s="20" t="str">
        <f t="shared" si="19"/>
        <v/>
      </c>
      <c r="AM415" s="21" t="str">
        <f>IF(AL415="","",_xll.IMDP("STK",$AL415,"한글종목명"))</f>
        <v/>
      </c>
      <c r="AN415" s="48" t="str">
        <f>IF(AL415="","",_xll.IMDP("STK",$AL415,"현재가"))</f>
        <v/>
      </c>
      <c r="AO415" s="48" t="str">
        <f>IF(AL415="","",_xll.IMDP("STK",$AL415,"전일대비"))</f>
        <v/>
      </c>
      <c r="AP415" s="49" t="str">
        <f>IF(AL415="","",_xll.IMDP("STK",$AL415,"등락률"))</f>
        <v/>
      </c>
      <c r="AQ415" s="48" t="str">
        <f>IF(AL415="","",_xll.IMDP("STK",$AL415,"시가총액"))</f>
        <v/>
      </c>
    </row>
    <row r="416" spans="3:43" x14ac:dyDescent="0.25">
      <c r="C416" s="22">
        <v>411</v>
      </c>
      <c r="Y416" s="25" t="s">
        <v>335</v>
      </c>
      <c r="Z416" s="20" t="str">
        <f t="shared" si="18"/>
        <v/>
      </c>
      <c r="AA416" s="21" t="str">
        <f>IF(Z416="","",_xll.IMDP("STK",$Z416,"한글종목명"))</f>
        <v/>
      </c>
      <c r="AB416" s="48" t="str">
        <f>IF(Z416="","",_xll.IMDP("STK",$Z416,"현재가"))</f>
        <v/>
      </c>
      <c r="AC416" s="48" t="str">
        <f>IF(Z416="","",_xll.IMDP("STK",$Z416,"전일대비"))</f>
        <v/>
      </c>
      <c r="AD416" s="49" t="str">
        <f>IF(Z416="","",_xll.IMDP("STK",$Z416,"등락률"))</f>
        <v/>
      </c>
      <c r="AE416" s="48" t="str">
        <f>IF(Z416="","",_xll.IMDP("STK",Z416,"시가총액"))</f>
        <v/>
      </c>
      <c r="AF416" s="20" t="str">
        <f t="shared" si="20"/>
        <v/>
      </c>
      <c r="AG416" s="21" t="str">
        <f>IF(AF416="","",_xll.IMDP("STK",$AF416,"한글종목명"))</f>
        <v/>
      </c>
      <c r="AH416" s="48" t="str">
        <f>IF(AF416="","",_xll.IMDP("STK",$AF416,"현재가"))</f>
        <v/>
      </c>
      <c r="AI416" s="48" t="str">
        <f>IF(AF416="","",_xll.IMDP("STK",$AF416,"전일대비"))</f>
        <v/>
      </c>
      <c r="AJ416" s="49" t="str">
        <f>IF(AF416="","",_xll.IMDP("STK",$AF416,"등락률"))</f>
        <v/>
      </c>
      <c r="AK416" s="48" t="str">
        <f>IF(AF416="","",_xll.IMDP("STK",$AF416,"시가총액"))</f>
        <v/>
      </c>
      <c r="AL416" s="20" t="str">
        <f t="shared" si="19"/>
        <v/>
      </c>
      <c r="AM416" s="21" t="str">
        <f>IF(AL416="","",_xll.IMDP("STK",$AL416,"한글종목명"))</f>
        <v/>
      </c>
      <c r="AN416" s="48" t="str">
        <f>IF(AL416="","",_xll.IMDP("STK",$AL416,"현재가"))</f>
        <v/>
      </c>
      <c r="AO416" s="48" t="str">
        <f>IF(AL416="","",_xll.IMDP("STK",$AL416,"전일대비"))</f>
        <v/>
      </c>
      <c r="AP416" s="49" t="str">
        <f>IF(AL416="","",_xll.IMDP("STK",$AL416,"등락률"))</f>
        <v/>
      </c>
      <c r="AQ416" s="48" t="str">
        <f>IF(AL416="","",_xll.IMDP("STK",$AL416,"시가총액"))</f>
        <v/>
      </c>
    </row>
    <row r="417" spans="3:43" x14ac:dyDescent="0.25">
      <c r="C417" s="22">
        <v>412</v>
      </c>
      <c r="Y417" s="25" t="s">
        <v>336</v>
      </c>
      <c r="Z417" s="20" t="str">
        <f t="shared" si="18"/>
        <v/>
      </c>
      <c r="AA417" s="21" t="str">
        <f>IF(Z417="","",_xll.IMDP("STK",$Z417,"한글종목명"))</f>
        <v/>
      </c>
      <c r="AB417" s="48" t="str">
        <f>IF(Z417="","",_xll.IMDP("STK",$Z417,"현재가"))</f>
        <v/>
      </c>
      <c r="AC417" s="48" t="str">
        <f>IF(Z417="","",_xll.IMDP("STK",$Z417,"전일대비"))</f>
        <v/>
      </c>
      <c r="AD417" s="49" t="str">
        <f>IF(Z417="","",_xll.IMDP("STK",$Z417,"등락률"))</f>
        <v/>
      </c>
      <c r="AE417" s="48" t="str">
        <f>IF(Z417="","",_xll.IMDP("STK",Z417,"시가총액"))</f>
        <v/>
      </c>
      <c r="AF417" s="20" t="str">
        <f t="shared" si="20"/>
        <v/>
      </c>
      <c r="AG417" s="21" t="str">
        <f>IF(AF417="","",_xll.IMDP("STK",$AF417,"한글종목명"))</f>
        <v/>
      </c>
      <c r="AH417" s="48" t="str">
        <f>IF(AF417="","",_xll.IMDP("STK",$AF417,"현재가"))</f>
        <v/>
      </c>
      <c r="AI417" s="48" t="str">
        <f>IF(AF417="","",_xll.IMDP("STK",$AF417,"전일대비"))</f>
        <v/>
      </c>
      <c r="AJ417" s="49" t="str">
        <f>IF(AF417="","",_xll.IMDP("STK",$AF417,"등락률"))</f>
        <v/>
      </c>
      <c r="AK417" s="48" t="str">
        <f>IF(AF417="","",_xll.IMDP("STK",$AF417,"시가총액"))</f>
        <v/>
      </c>
      <c r="AL417" s="20" t="str">
        <f t="shared" si="19"/>
        <v/>
      </c>
      <c r="AM417" s="21" t="str">
        <f>IF(AL417="","",_xll.IMDP("STK",$AL417,"한글종목명"))</f>
        <v/>
      </c>
      <c r="AN417" s="48" t="str">
        <f>IF(AL417="","",_xll.IMDP("STK",$AL417,"현재가"))</f>
        <v/>
      </c>
      <c r="AO417" s="48" t="str">
        <f>IF(AL417="","",_xll.IMDP("STK",$AL417,"전일대비"))</f>
        <v/>
      </c>
      <c r="AP417" s="49" t="str">
        <f>IF(AL417="","",_xll.IMDP("STK",$AL417,"등락률"))</f>
        <v/>
      </c>
      <c r="AQ417" s="48" t="str">
        <f>IF(AL417="","",_xll.IMDP("STK",$AL417,"시가총액"))</f>
        <v/>
      </c>
    </row>
    <row r="418" spans="3:43" x14ac:dyDescent="0.25">
      <c r="C418" s="22">
        <v>413</v>
      </c>
      <c r="Y418" s="25" t="s">
        <v>337</v>
      </c>
      <c r="Z418" s="20" t="str">
        <f t="shared" si="18"/>
        <v/>
      </c>
      <c r="AA418" s="21" t="str">
        <f>IF(Z418="","",_xll.IMDP("STK",$Z418,"한글종목명"))</f>
        <v/>
      </c>
      <c r="AB418" s="48" t="str">
        <f>IF(Z418="","",_xll.IMDP("STK",$Z418,"현재가"))</f>
        <v/>
      </c>
      <c r="AC418" s="48" t="str">
        <f>IF(Z418="","",_xll.IMDP("STK",$Z418,"전일대비"))</f>
        <v/>
      </c>
      <c r="AD418" s="49" t="str">
        <f>IF(Z418="","",_xll.IMDP("STK",$Z418,"등락률"))</f>
        <v/>
      </c>
      <c r="AE418" s="48" t="str">
        <f>IF(Z418="","",_xll.IMDP("STK",Z418,"시가총액"))</f>
        <v/>
      </c>
      <c r="AF418" s="20" t="str">
        <f t="shared" si="20"/>
        <v/>
      </c>
      <c r="AG418" s="21" t="str">
        <f>IF(AF418="","",_xll.IMDP("STK",$AF418,"한글종목명"))</f>
        <v/>
      </c>
      <c r="AH418" s="48" t="str">
        <f>IF(AF418="","",_xll.IMDP("STK",$AF418,"현재가"))</f>
        <v/>
      </c>
      <c r="AI418" s="48" t="str">
        <f>IF(AF418="","",_xll.IMDP("STK",$AF418,"전일대비"))</f>
        <v/>
      </c>
      <c r="AJ418" s="49" t="str">
        <f>IF(AF418="","",_xll.IMDP("STK",$AF418,"등락률"))</f>
        <v/>
      </c>
      <c r="AK418" s="48" t="str">
        <f>IF(AF418="","",_xll.IMDP("STK",$AF418,"시가총액"))</f>
        <v/>
      </c>
      <c r="AL418" s="20" t="str">
        <f t="shared" si="19"/>
        <v/>
      </c>
      <c r="AM418" s="21" t="str">
        <f>IF(AL418="","",_xll.IMDP("STK",$AL418,"한글종목명"))</f>
        <v/>
      </c>
      <c r="AN418" s="48" t="str">
        <f>IF(AL418="","",_xll.IMDP("STK",$AL418,"현재가"))</f>
        <v/>
      </c>
      <c r="AO418" s="48" t="str">
        <f>IF(AL418="","",_xll.IMDP("STK",$AL418,"전일대비"))</f>
        <v/>
      </c>
      <c r="AP418" s="49" t="str">
        <f>IF(AL418="","",_xll.IMDP("STK",$AL418,"등락률"))</f>
        <v/>
      </c>
      <c r="AQ418" s="48" t="str">
        <f>IF(AL418="","",_xll.IMDP("STK",$AL418,"시가총액"))</f>
        <v/>
      </c>
    </row>
    <row r="419" spans="3:43" x14ac:dyDescent="0.25">
      <c r="C419" s="22">
        <v>414</v>
      </c>
      <c r="Y419" s="25" t="s">
        <v>613</v>
      </c>
      <c r="Z419" s="20" t="str">
        <f t="shared" si="18"/>
        <v/>
      </c>
      <c r="AA419" s="21" t="str">
        <f>IF(Z419="","",_xll.IMDP("STK",$Z419,"한글종목명"))</f>
        <v/>
      </c>
      <c r="AB419" s="48" t="str">
        <f>IF(Z419="","",_xll.IMDP("STK",$Z419,"현재가"))</f>
        <v/>
      </c>
      <c r="AC419" s="48" t="str">
        <f>IF(Z419="","",_xll.IMDP("STK",$Z419,"전일대비"))</f>
        <v/>
      </c>
      <c r="AD419" s="49" t="str">
        <f>IF(Z419="","",_xll.IMDP("STK",$Z419,"등락률"))</f>
        <v/>
      </c>
      <c r="AE419" s="48" t="str">
        <f>IF(Z419="","",_xll.IMDP("STK",Z419,"시가총액"))</f>
        <v/>
      </c>
      <c r="AF419" s="20" t="str">
        <f t="shared" si="20"/>
        <v/>
      </c>
      <c r="AG419" s="21" t="str">
        <f>IF(AF419="","",_xll.IMDP("STK",$AF419,"한글종목명"))</f>
        <v/>
      </c>
      <c r="AH419" s="48" t="str">
        <f>IF(AF419="","",_xll.IMDP("STK",$AF419,"현재가"))</f>
        <v/>
      </c>
      <c r="AI419" s="48" t="str">
        <f>IF(AF419="","",_xll.IMDP("STK",$AF419,"전일대비"))</f>
        <v/>
      </c>
      <c r="AJ419" s="49" t="str">
        <f>IF(AF419="","",_xll.IMDP("STK",$AF419,"등락률"))</f>
        <v/>
      </c>
      <c r="AK419" s="48" t="str">
        <f>IF(AF419="","",_xll.IMDP("STK",$AF419,"시가총액"))</f>
        <v/>
      </c>
      <c r="AL419" s="20" t="str">
        <f t="shared" si="19"/>
        <v/>
      </c>
      <c r="AM419" s="21" t="str">
        <f>IF(AL419="","",_xll.IMDP("STK",$AL419,"한글종목명"))</f>
        <v/>
      </c>
      <c r="AN419" s="48" t="str">
        <f>IF(AL419="","",_xll.IMDP("STK",$AL419,"현재가"))</f>
        <v/>
      </c>
      <c r="AO419" s="48" t="str">
        <f>IF(AL419="","",_xll.IMDP("STK",$AL419,"전일대비"))</f>
        <v/>
      </c>
      <c r="AP419" s="49" t="str">
        <f>IF(AL419="","",_xll.IMDP("STK",$AL419,"등락률"))</f>
        <v/>
      </c>
      <c r="AQ419" s="48" t="str">
        <f>IF(AL419="","",_xll.IMDP("STK",$AL419,"시가총액"))</f>
        <v/>
      </c>
    </row>
    <row r="420" spans="3:43" x14ac:dyDescent="0.25">
      <c r="C420" s="22">
        <v>415</v>
      </c>
      <c r="Y420" s="25" t="s">
        <v>545</v>
      </c>
      <c r="Z420" s="20" t="str">
        <f t="shared" si="18"/>
        <v/>
      </c>
      <c r="AA420" s="21" t="str">
        <f>IF(Z420="","",_xll.IMDP("STK",$Z420,"한글종목명"))</f>
        <v/>
      </c>
      <c r="AB420" s="48" t="str">
        <f>IF(Z420="","",_xll.IMDP("STK",$Z420,"현재가"))</f>
        <v/>
      </c>
      <c r="AC420" s="48" t="str">
        <f>IF(Z420="","",_xll.IMDP("STK",$Z420,"전일대비"))</f>
        <v/>
      </c>
      <c r="AD420" s="49" t="str">
        <f>IF(Z420="","",_xll.IMDP("STK",$Z420,"등락률"))</f>
        <v/>
      </c>
      <c r="AE420" s="48" t="str">
        <f>IF(Z420="","",_xll.IMDP("STK",Z420,"시가총액"))</f>
        <v/>
      </c>
      <c r="AF420" s="20" t="str">
        <f t="shared" si="20"/>
        <v/>
      </c>
      <c r="AG420" s="21" t="str">
        <f>IF(AF420="","",_xll.IMDP("STK",$AF420,"한글종목명"))</f>
        <v/>
      </c>
      <c r="AH420" s="48" t="str">
        <f>IF(AF420="","",_xll.IMDP("STK",$AF420,"현재가"))</f>
        <v/>
      </c>
      <c r="AI420" s="48" t="str">
        <f>IF(AF420="","",_xll.IMDP("STK",$AF420,"전일대비"))</f>
        <v/>
      </c>
      <c r="AJ420" s="49" t="str">
        <f>IF(AF420="","",_xll.IMDP("STK",$AF420,"등락률"))</f>
        <v/>
      </c>
      <c r="AK420" s="48" t="str">
        <f>IF(AF420="","",_xll.IMDP("STK",$AF420,"시가총액"))</f>
        <v/>
      </c>
      <c r="AL420" s="20" t="str">
        <f t="shared" si="19"/>
        <v/>
      </c>
      <c r="AM420" s="21" t="str">
        <f>IF(AL420="","",_xll.IMDP("STK",$AL420,"한글종목명"))</f>
        <v/>
      </c>
      <c r="AN420" s="48" t="str">
        <f>IF(AL420="","",_xll.IMDP("STK",$AL420,"현재가"))</f>
        <v/>
      </c>
      <c r="AO420" s="48" t="str">
        <f>IF(AL420="","",_xll.IMDP("STK",$AL420,"전일대비"))</f>
        <v/>
      </c>
      <c r="AP420" s="49" t="str">
        <f>IF(AL420="","",_xll.IMDP("STK",$AL420,"등락률"))</f>
        <v/>
      </c>
      <c r="AQ420" s="48" t="str">
        <f>IF(AL420="","",_xll.IMDP("STK",$AL420,"시가총액"))</f>
        <v/>
      </c>
    </row>
    <row r="421" spans="3:43" x14ac:dyDescent="0.25">
      <c r="C421" s="22">
        <v>416</v>
      </c>
      <c r="Y421" s="25" t="s">
        <v>215</v>
      </c>
      <c r="Z421" s="20" t="str">
        <f t="shared" si="18"/>
        <v/>
      </c>
      <c r="AA421" s="21" t="str">
        <f>IF(Z421="","",_xll.IMDP("STK",$Z421,"한글종목명"))</f>
        <v/>
      </c>
      <c r="AB421" s="48" t="str">
        <f>IF(Z421="","",_xll.IMDP("STK",$Z421,"현재가"))</f>
        <v/>
      </c>
      <c r="AC421" s="48" t="str">
        <f>IF(Z421="","",_xll.IMDP("STK",$Z421,"전일대비"))</f>
        <v/>
      </c>
      <c r="AD421" s="49" t="str">
        <f>IF(Z421="","",_xll.IMDP("STK",$Z421,"등락률"))</f>
        <v/>
      </c>
      <c r="AE421" s="48" t="str">
        <f>IF(Z421="","",_xll.IMDP("STK",Z421,"시가총액"))</f>
        <v/>
      </c>
      <c r="AF421" s="20" t="str">
        <f t="shared" si="20"/>
        <v/>
      </c>
      <c r="AG421" s="21" t="str">
        <f>IF(AF421="","",_xll.IMDP("STK",$AF421,"한글종목명"))</f>
        <v/>
      </c>
      <c r="AH421" s="48" t="str">
        <f>IF(AF421="","",_xll.IMDP("STK",$AF421,"현재가"))</f>
        <v/>
      </c>
      <c r="AI421" s="48" t="str">
        <f>IF(AF421="","",_xll.IMDP("STK",$AF421,"전일대비"))</f>
        <v/>
      </c>
      <c r="AJ421" s="49" t="str">
        <f>IF(AF421="","",_xll.IMDP("STK",$AF421,"등락률"))</f>
        <v/>
      </c>
      <c r="AK421" s="48" t="str">
        <f>IF(AF421="","",_xll.IMDP("STK",$AF421,"시가총액"))</f>
        <v/>
      </c>
      <c r="AL421" s="20" t="str">
        <f t="shared" si="19"/>
        <v/>
      </c>
      <c r="AM421" s="21" t="str">
        <f>IF(AL421="","",_xll.IMDP("STK",$AL421,"한글종목명"))</f>
        <v/>
      </c>
      <c r="AN421" s="48" t="str">
        <f>IF(AL421="","",_xll.IMDP("STK",$AL421,"현재가"))</f>
        <v/>
      </c>
      <c r="AO421" s="48" t="str">
        <f>IF(AL421="","",_xll.IMDP("STK",$AL421,"전일대비"))</f>
        <v/>
      </c>
      <c r="AP421" s="49" t="str">
        <f>IF(AL421="","",_xll.IMDP("STK",$AL421,"등락률"))</f>
        <v/>
      </c>
      <c r="AQ421" s="48" t="str">
        <f>IF(AL421="","",_xll.IMDP("STK",$AL421,"시가총액"))</f>
        <v/>
      </c>
    </row>
    <row r="422" spans="3:43" x14ac:dyDescent="0.25">
      <c r="C422" s="22">
        <v>417</v>
      </c>
      <c r="Y422" s="25" t="s">
        <v>216</v>
      </c>
      <c r="Z422" s="20" t="str">
        <f t="shared" si="18"/>
        <v/>
      </c>
      <c r="AA422" s="21" t="str">
        <f>IF(Z422="","",_xll.IMDP("STK",$Z422,"한글종목명"))</f>
        <v/>
      </c>
      <c r="AB422" s="48" t="str">
        <f>IF(Z422="","",_xll.IMDP("STK",$Z422,"현재가"))</f>
        <v/>
      </c>
      <c r="AC422" s="48" t="str">
        <f>IF(Z422="","",_xll.IMDP("STK",$Z422,"전일대비"))</f>
        <v/>
      </c>
      <c r="AD422" s="49" t="str">
        <f>IF(Z422="","",_xll.IMDP("STK",$Z422,"등락률"))</f>
        <v/>
      </c>
      <c r="AE422" s="48" t="str">
        <f>IF(Z422="","",_xll.IMDP("STK",Z422,"시가총액"))</f>
        <v/>
      </c>
      <c r="AF422" s="20" t="str">
        <f t="shared" si="20"/>
        <v/>
      </c>
      <c r="AG422" s="21" t="str">
        <f>IF(AF422="","",_xll.IMDP("STK",$AF422,"한글종목명"))</f>
        <v/>
      </c>
      <c r="AH422" s="48" t="str">
        <f>IF(AF422="","",_xll.IMDP("STK",$AF422,"현재가"))</f>
        <v/>
      </c>
      <c r="AI422" s="48" t="str">
        <f>IF(AF422="","",_xll.IMDP("STK",$AF422,"전일대비"))</f>
        <v/>
      </c>
      <c r="AJ422" s="49" t="str">
        <f>IF(AF422="","",_xll.IMDP("STK",$AF422,"등락률"))</f>
        <v/>
      </c>
      <c r="AK422" s="48" t="str">
        <f>IF(AF422="","",_xll.IMDP("STK",$AF422,"시가총액"))</f>
        <v/>
      </c>
      <c r="AL422" s="20" t="str">
        <f t="shared" si="19"/>
        <v/>
      </c>
      <c r="AM422" s="21" t="str">
        <f>IF(AL422="","",_xll.IMDP("STK",$AL422,"한글종목명"))</f>
        <v/>
      </c>
      <c r="AN422" s="48" t="str">
        <f>IF(AL422="","",_xll.IMDP("STK",$AL422,"현재가"))</f>
        <v/>
      </c>
      <c r="AO422" s="48" t="str">
        <f>IF(AL422="","",_xll.IMDP("STK",$AL422,"전일대비"))</f>
        <v/>
      </c>
      <c r="AP422" s="49" t="str">
        <f>IF(AL422="","",_xll.IMDP("STK",$AL422,"등락률"))</f>
        <v/>
      </c>
      <c r="AQ422" s="48" t="str">
        <f>IF(AL422="","",_xll.IMDP("STK",$AL422,"시가총액"))</f>
        <v/>
      </c>
    </row>
    <row r="423" spans="3:43" x14ac:dyDescent="0.25">
      <c r="C423" s="22">
        <v>418</v>
      </c>
      <c r="Y423" s="25" t="s">
        <v>338</v>
      </c>
      <c r="Z423" s="20" t="str">
        <f t="shared" si="18"/>
        <v/>
      </c>
      <c r="AA423" s="21" t="str">
        <f>IF(Z423="","",_xll.IMDP("STK",$Z423,"한글종목명"))</f>
        <v/>
      </c>
      <c r="AB423" s="48" t="str">
        <f>IF(Z423="","",_xll.IMDP("STK",$Z423,"현재가"))</f>
        <v/>
      </c>
      <c r="AC423" s="48" t="str">
        <f>IF(Z423="","",_xll.IMDP("STK",$Z423,"전일대비"))</f>
        <v/>
      </c>
      <c r="AD423" s="49" t="str">
        <f>IF(Z423="","",_xll.IMDP("STK",$Z423,"등락률"))</f>
        <v/>
      </c>
      <c r="AE423" s="48" t="str">
        <f>IF(Z423="","",_xll.IMDP("STK",Z423,"시가총액"))</f>
        <v/>
      </c>
      <c r="AF423" s="20" t="str">
        <f t="shared" si="20"/>
        <v/>
      </c>
      <c r="AG423" s="21" t="str">
        <f>IF(AF423="","",_xll.IMDP("STK",$AF423,"한글종목명"))</f>
        <v/>
      </c>
      <c r="AH423" s="48" t="str">
        <f>IF(AF423="","",_xll.IMDP("STK",$AF423,"현재가"))</f>
        <v/>
      </c>
      <c r="AI423" s="48" t="str">
        <f>IF(AF423="","",_xll.IMDP("STK",$AF423,"전일대비"))</f>
        <v/>
      </c>
      <c r="AJ423" s="49" t="str">
        <f>IF(AF423="","",_xll.IMDP("STK",$AF423,"등락률"))</f>
        <v/>
      </c>
      <c r="AK423" s="48" t="str">
        <f>IF(AF423="","",_xll.IMDP("STK",$AF423,"시가총액"))</f>
        <v/>
      </c>
      <c r="AL423" s="20" t="str">
        <f t="shared" si="19"/>
        <v/>
      </c>
      <c r="AM423" s="21" t="str">
        <f>IF(AL423="","",_xll.IMDP("STK",$AL423,"한글종목명"))</f>
        <v/>
      </c>
      <c r="AN423" s="48" t="str">
        <f>IF(AL423="","",_xll.IMDP("STK",$AL423,"현재가"))</f>
        <v/>
      </c>
      <c r="AO423" s="48" t="str">
        <f>IF(AL423="","",_xll.IMDP("STK",$AL423,"전일대비"))</f>
        <v/>
      </c>
      <c r="AP423" s="49" t="str">
        <f>IF(AL423="","",_xll.IMDP("STK",$AL423,"등락률"))</f>
        <v/>
      </c>
      <c r="AQ423" s="48" t="str">
        <f>IF(AL423="","",_xll.IMDP("STK",$AL423,"시가총액"))</f>
        <v/>
      </c>
    </row>
    <row r="424" spans="3:43" x14ac:dyDescent="0.25">
      <c r="C424" s="22">
        <v>419</v>
      </c>
      <c r="Y424" s="25" t="s">
        <v>339</v>
      </c>
      <c r="Z424" s="20" t="str">
        <f t="shared" si="18"/>
        <v/>
      </c>
      <c r="AA424" s="21" t="str">
        <f>IF(Z424="","",_xll.IMDP("STK",$Z424,"한글종목명"))</f>
        <v/>
      </c>
      <c r="AB424" s="48" t="str">
        <f>IF(Z424="","",_xll.IMDP("STK",$Z424,"현재가"))</f>
        <v/>
      </c>
      <c r="AC424" s="48" t="str">
        <f>IF(Z424="","",_xll.IMDP("STK",$Z424,"전일대비"))</f>
        <v/>
      </c>
      <c r="AD424" s="49" t="str">
        <f>IF(Z424="","",_xll.IMDP("STK",$Z424,"등락률"))</f>
        <v/>
      </c>
      <c r="AE424" s="48" t="str">
        <f>IF(Z424="","",_xll.IMDP("STK",Z424,"시가총액"))</f>
        <v/>
      </c>
      <c r="AF424" s="20" t="str">
        <f t="shared" si="20"/>
        <v/>
      </c>
      <c r="AG424" s="21" t="str">
        <f>IF(AF424="","",_xll.IMDP("STK",$AF424,"한글종목명"))</f>
        <v/>
      </c>
      <c r="AH424" s="48" t="str">
        <f>IF(AF424="","",_xll.IMDP("STK",$AF424,"현재가"))</f>
        <v/>
      </c>
      <c r="AI424" s="48" t="str">
        <f>IF(AF424="","",_xll.IMDP("STK",$AF424,"전일대비"))</f>
        <v/>
      </c>
      <c r="AJ424" s="49" t="str">
        <f>IF(AF424="","",_xll.IMDP("STK",$AF424,"등락률"))</f>
        <v/>
      </c>
      <c r="AK424" s="48" t="str">
        <f>IF(AF424="","",_xll.IMDP("STK",$AF424,"시가총액"))</f>
        <v/>
      </c>
      <c r="AL424" s="20" t="str">
        <f t="shared" si="19"/>
        <v/>
      </c>
      <c r="AM424" s="21" t="str">
        <f>IF(AL424="","",_xll.IMDP("STK",$AL424,"한글종목명"))</f>
        <v/>
      </c>
      <c r="AN424" s="48" t="str">
        <f>IF(AL424="","",_xll.IMDP("STK",$AL424,"현재가"))</f>
        <v/>
      </c>
      <c r="AO424" s="48" t="str">
        <f>IF(AL424="","",_xll.IMDP("STK",$AL424,"전일대비"))</f>
        <v/>
      </c>
      <c r="AP424" s="49" t="str">
        <f>IF(AL424="","",_xll.IMDP("STK",$AL424,"등락률"))</f>
        <v/>
      </c>
      <c r="AQ424" s="48" t="str">
        <f>IF(AL424="","",_xll.IMDP("STK",$AL424,"시가총액"))</f>
        <v/>
      </c>
    </row>
    <row r="425" spans="3:43" x14ac:dyDescent="0.25">
      <c r="C425" s="22">
        <v>420</v>
      </c>
      <c r="Y425" s="25" t="s">
        <v>340</v>
      </c>
      <c r="Z425" s="20" t="str">
        <f t="shared" si="18"/>
        <v/>
      </c>
      <c r="AA425" s="21" t="str">
        <f>IF(Z425="","",_xll.IMDP("STK",$Z425,"한글종목명"))</f>
        <v/>
      </c>
      <c r="AB425" s="48" t="str">
        <f>IF(Z425="","",_xll.IMDP("STK",$Z425,"현재가"))</f>
        <v/>
      </c>
      <c r="AC425" s="48" t="str">
        <f>IF(Z425="","",_xll.IMDP("STK",$Z425,"전일대비"))</f>
        <v/>
      </c>
      <c r="AD425" s="49" t="str">
        <f>IF(Z425="","",_xll.IMDP("STK",$Z425,"등락률"))</f>
        <v/>
      </c>
      <c r="AE425" s="48" t="str">
        <f>IF(Z425="","",_xll.IMDP("STK",Z425,"시가총액"))</f>
        <v/>
      </c>
      <c r="AF425" s="20" t="str">
        <f t="shared" si="20"/>
        <v/>
      </c>
      <c r="AG425" s="21" t="str">
        <f>IF(AF425="","",_xll.IMDP("STK",$AF425,"한글종목명"))</f>
        <v/>
      </c>
      <c r="AH425" s="48" t="str">
        <f>IF(AF425="","",_xll.IMDP("STK",$AF425,"현재가"))</f>
        <v/>
      </c>
      <c r="AI425" s="48" t="str">
        <f>IF(AF425="","",_xll.IMDP("STK",$AF425,"전일대비"))</f>
        <v/>
      </c>
      <c r="AJ425" s="49" t="str">
        <f>IF(AF425="","",_xll.IMDP("STK",$AF425,"등락률"))</f>
        <v/>
      </c>
      <c r="AK425" s="48" t="str">
        <f>IF(AF425="","",_xll.IMDP("STK",$AF425,"시가총액"))</f>
        <v/>
      </c>
      <c r="AL425" s="20" t="str">
        <f t="shared" si="19"/>
        <v/>
      </c>
      <c r="AM425" s="21" t="str">
        <f>IF(AL425="","",_xll.IMDP("STK",$AL425,"한글종목명"))</f>
        <v/>
      </c>
      <c r="AN425" s="48" t="str">
        <f>IF(AL425="","",_xll.IMDP("STK",$AL425,"현재가"))</f>
        <v/>
      </c>
      <c r="AO425" s="48" t="str">
        <f>IF(AL425="","",_xll.IMDP("STK",$AL425,"전일대비"))</f>
        <v/>
      </c>
      <c r="AP425" s="49" t="str">
        <f>IF(AL425="","",_xll.IMDP("STK",$AL425,"등락률"))</f>
        <v/>
      </c>
      <c r="AQ425" s="48" t="str">
        <f>IF(AL425="","",_xll.IMDP("STK",$AL425,"시가총액"))</f>
        <v/>
      </c>
    </row>
    <row r="426" spans="3:43" x14ac:dyDescent="0.25">
      <c r="C426" s="22">
        <v>421</v>
      </c>
      <c r="Y426" s="25" t="s">
        <v>377</v>
      </c>
      <c r="Z426" s="20" t="str">
        <f t="shared" si="18"/>
        <v/>
      </c>
      <c r="AA426" s="21" t="str">
        <f>IF(Z426="","",_xll.IMDP("STK",$Z426,"한글종목명"))</f>
        <v/>
      </c>
      <c r="AB426" s="48" t="str">
        <f>IF(Z426="","",_xll.IMDP("STK",$Z426,"현재가"))</f>
        <v/>
      </c>
      <c r="AC426" s="48" t="str">
        <f>IF(Z426="","",_xll.IMDP("STK",$Z426,"전일대비"))</f>
        <v/>
      </c>
      <c r="AD426" s="49" t="str">
        <f>IF(Z426="","",_xll.IMDP("STK",$Z426,"등락률"))</f>
        <v/>
      </c>
      <c r="AE426" s="48" t="str">
        <f>IF(Z426="","",_xll.IMDP("STK",Z426,"시가총액"))</f>
        <v/>
      </c>
      <c r="AF426" s="20" t="str">
        <f t="shared" si="20"/>
        <v/>
      </c>
      <c r="AG426" s="21" t="str">
        <f>IF(AF426="","",_xll.IMDP("STK",$AF426,"한글종목명"))</f>
        <v/>
      </c>
      <c r="AH426" s="48" t="str">
        <f>IF(AF426="","",_xll.IMDP("STK",$AF426,"현재가"))</f>
        <v/>
      </c>
      <c r="AI426" s="48" t="str">
        <f>IF(AF426="","",_xll.IMDP("STK",$AF426,"전일대비"))</f>
        <v/>
      </c>
      <c r="AJ426" s="49" t="str">
        <f>IF(AF426="","",_xll.IMDP("STK",$AF426,"등락률"))</f>
        <v/>
      </c>
      <c r="AK426" s="48" t="str">
        <f>IF(AF426="","",_xll.IMDP("STK",$AF426,"시가총액"))</f>
        <v/>
      </c>
      <c r="AL426" s="20" t="str">
        <f t="shared" si="19"/>
        <v/>
      </c>
      <c r="AM426" s="21" t="str">
        <f>IF(AL426="","",_xll.IMDP("STK",$AL426,"한글종목명"))</f>
        <v/>
      </c>
      <c r="AN426" s="48" t="str">
        <f>IF(AL426="","",_xll.IMDP("STK",$AL426,"현재가"))</f>
        <v/>
      </c>
      <c r="AO426" s="48" t="str">
        <f>IF(AL426="","",_xll.IMDP("STK",$AL426,"전일대비"))</f>
        <v/>
      </c>
      <c r="AP426" s="49" t="str">
        <f>IF(AL426="","",_xll.IMDP("STK",$AL426,"등락률"))</f>
        <v/>
      </c>
      <c r="AQ426" s="48" t="str">
        <f>IF(AL426="","",_xll.IMDP("STK",$AL426,"시가총액"))</f>
        <v/>
      </c>
    </row>
    <row r="427" spans="3:43" x14ac:dyDescent="0.25">
      <c r="C427" s="22">
        <v>422</v>
      </c>
      <c r="Y427" s="25" t="s">
        <v>672</v>
      </c>
      <c r="Z427" s="20" t="str">
        <f t="shared" si="18"/>
        <v/>
      </c>
      <c r="AA427" s="21" t="str">
        <f>IF(Z427="","",_xll.IMDP("STK",$Z427,"한글종목명"))</f>
        <v/>
      </c>
      <c r="AB427" s="48" t="str">
        <f>IF(Z427="","",_xll.IMDP("STK",$Z427,"현재가"))</f>
        <v/>
      </c>
      <c r="AC427" s="48" t="str">
        <f>IF(Z427="","",_xll.IMDP("STK",$Z427,"전일대비"))</f>
        <v/>
      </c>
      <c r="AD427" s="49" t="str">
        <f>IF(Z427="","",_xll.IMDP("STK",$Z427,"등락률"))</f>
        <v/>
      </c>
      <c r="AE427" s="48" t="str">
        <f>IF(Z427="","",_xll.IMDP("STK",Z427,"시가총액"))</f>
        <v/>
      </c>
      <c r="AF427" s="20" t="str">
        <f t="shared" si="20"/>
        <v/>
      </c>
      <c r="AG427" s="21" t="str">
        <f>IF(AF427="","",_xll.IMDP("STK",$AF427,"한글종목명"))</f>
        <v/>
      </c>
      <c r="AH427" s="48" t="str">
        <f>IF(AF427="","",_xll.IMDP("STK",$AF427,"현재가"))</f>
        <v/>
      </c>
      <c r="AI427" s="48" t="str">
        <f>IF(AF427="","",_xll.IMDP("STK",$AF427,"전일대비"))</f>
        <v/>
      </c>
      <c r="AJ427" s="49" t="str">
        <f>IF(AF427="","",_xll.IMDP("STK",$AF427,"등락률"))</f>
        <v/>
      </c>
      <c r="AK427" s="48" t="str">
        <f>IF(AF427="","",_xll.IMDP("STK",$AF427,"시가총액"))</f>
        <v/>
      </c>
      <c r="AL427" s="20" t="str">
        <f t="shared" si="19"/>
        <v/>
      </c>
      <c r="AM427" s="21" t="str">
        <f>IF(AL427="","",_xll.IMDP("STK",$AL427,"한글종목명"))</f>
        <v/>
      </c>
      <c r="AN427" s="48" t="str">
        <f>IF(AL427="","",_xll.IMDP("STK",$AL427,"현재가"))</f>
        <v/>
      </c>
      <c r="AO427" s="48" t="str">
        <f>IF(AL427="","",_xll.IMDP("STK",$AL427,"전일대비"))</f>
        <v/>
      </c>
      <c r="AP427" s="49" t="str">
        <f>IF(AL427="","",_xll.IMDP("STK",$AL427,"등락률"))</f>
        <v/>
      </c>
      <c r="AQ427" s="48" t="str">
        <f>IF(AL427="","",_xll.IMDP("STK",$AL427,"시가총액"))</f>
        <v/>
      </c>
    </row>
    <row r="428" spans="3:43" x14ac:dyDescent="0.25">
      <c r="C428" s="22">
        <v>423</v>
      </c>
      <c r="Y428" s="25" t="s">
        <v>673</v>
      </c>
      <c r="Z428" s="20" t="str">
        <f t="shared" si="18"/>
        <v/>
      </c>
      <c r="AA428" s="21" t="str">
        <f>IF(Z428="","",_xll.IMDP("STK",$Z428,"한글종목명"))</f>
        <v/>
      </c>
      <c r="AB428" s="48" t="str">
        <f>IF(Z428="","",_xll.IMDP("STK",$Z428,"현재가"))</f>
        <v/>
      </c>
      <c r="AC428" s="48" t="str">
        <f>IF(Z428="","",_xll.IMDP("STK",$Z428,"전일대비"))</f>
        <v/>
      </c>
      <c r="AD428" s="49" t="str">
        <f>IF(Z428="","",_xll.IMDP("STK",$Z428,"등락률"))</f>
        <v/>
      </c>
      <c r="AE428" s="48" t="str">
        <f>IF(Z428="","",_xll.IMDP("STK",Z428,"시가총액"))</f>
        <v/>
      </c>
      <c r="AF428" s="20" t="str">
        <f t="shared" si="20"/>
        <v/>
      </c>
      <c r="AG428" s="21" t="str">
        <f>IF(AF428="","",_xll.IMDP("STK",$AF428,"한글종목명"))</f>
        <v/>
      </c>
      <c r="AH428" s="48" t="str">
        <f>IF(AF428="","",_xll.IMDP("STK",$AF428,"현재가"))</f>
        <v/>
      </c>
      <c r="AI428" s="48" t="str">
        <f>IF(AF428="","",_xll.IMDP("STK",$AF428,"전일대비"))</f>
        <v/>
      </c>
      <c r="AJ428" s="49" t="str">
        <f>IF(AF428="","",_xll.IMDP("STK",$AF428,"등락률"))</f>
        <v/>
      </c>
      <c r="AK428" s="48" t="str">
        <f>IF(AF428="","",_xll.IMDP("STK",$AF428,"시가총액"))</f>
        <v/>
      </c>
      <c r="AL428" s="20" t="str">
        <f t="shared" si="19"/>
        <v/>
      </c>
      <c r="AM428" s="21" t="str">
        <f>IF(AL428="","",_xll.IMDP("STK",$AL428,"한글종목명"))</f>
        <v/>
      </c>
      <c r="AN428" s="48" t="str">
        <f>IF(AL428="","",_xll.IMDP("STK",$AL428,"현재가"))</f>
        <v/>
      </c>
      <c r="AO428" s="48" t="str">
        <f>IF(AL428="","",_xll.IMDP("STK",$AL428,"전일대비"))</f>
        <v/>
      </c>
      <c r="AP428" s="49" t="str">
        <f>IF(AL428="","",_xll.IMDP("STK",$AL428,"등락률"))</f>
        <v/>
      </c>
      <c r="AQ428" s="48" t="str">
        <f>IF(AL428="","",_xll.IMDP("STK",$AL428,"시가총액"))</f>
        <v/>
      </c>
    </row>
    <row r="429" spans="3:43" x14ac:dyDescent="0.25">
      <c r="C429" s="22">
        <v>424</v>
      </c>
      <c r="Y429" s="25" t="s">
        <v>674</v>
      </c>
      <c r="Z429" s="20" t="str">
        <f t="shared" si="18"/>
        <v/>
      </c>
      <c r="AA429" s="21" t="str">
        <f>IF(Z429="","",_xll.IMDP("STK",$Z429,"한글종목명"))</f>
        <v/>
      </c>
      <c r="AB429" s="48" t="str">
        <f>IF(Z429="","",_xll.IMDP("STK",$Z429,"현재가"))</f>
        <v/>
      </c>
      <c r="AC429" s="48" t="str">
        <f>IF(Z429="","",_xll.IMDP("STK",$Z429,"전일대비"))</f>
        <v/>
      </c>
      <c r="AD429" s="49" t="str">
        <f>IF(Z429="","",_xll.IMDP("STK",$Z429,"등락률"))</f>
        <v/>
      </c>
      <c r="AE429" s="48" t="str">
        <f>IF(Z429="","",_xll.IMDP("STK",Z429,"시가총액"))</f>
        <v/>
      </c>
      <c r="AF429" s="20" t="str">
        <f t="shared" si="20"/>
        <v/>
      </c>
      <c r="AG429" s="21" t="str">
        <f>IF(AF429="","",_xll.IMDP("STK",$AF429,"한글종목명"))</f>
        <v/>
      </c>
      <c r="AH429" s="48" t="str">
        <f>IF(AF429="","",_xll.IMDP("STK",$AF429,"현재가"))</f>
        <v/>
      </c>
      <c r="AI429" s="48" t="str">
        <f>IF(AF429="","",_xll.IMDP("STK",$AF429,"전일대비"))</f>
        <v/>
      </c>
      <c r="AJ429" s="49" t="str">
        <f>IF(AF429="","",_xll.IMDP("STK",$AF429,"등락률"))</f>
        <v/>
      </c>
      <c r="AK429" s="48" t="str">
        <f>IF(AF429="","",_xll.IMDP("STK",$AF429,"시가총액"))</f>
        <v/>
      </c>
      <c r="AL429" s="20" t="str">
        <f t="shared" si="19"/>
        <v/>
      </c>
      <c r="AM429" s="21" t="str">
        <f>IF(AL429="","",_xll.IMDP("STK",$AL429,"한글종목명"))</f>
        <v/>
      </c>
      <c r="AN429" s="48" t="str">
        <f>IF(AL429="","",_xll.IMDP("STK",$AL429,"현재가"))</f>
        <v/>
      </c>
      <c r="AO429" s="48" t="str">
        <f>IF(AL429="","",_xll.IMDP("STK",$AL429,"전일대비"))</f>
        <v/>
      </c>
      <c r="AP429" s="49" t="str">
        <f>IF(AL429="","",_xll.IMDP("STK",$AL429,"등락률"))</f>
        <v/>
      </c>
      <c r="AQ429" s="48" t="str">
        <f>IF(AL429="","",_xll.IMDP("STK",$AL429,"시가총액"))</f>
        <v/>
      </c>
    </row>
    <row r="430" spans="3:43" x14ac:dyDescent="0.25">
      <c r="C430" s="22">
        <v>425</v>
      </c>
      <c r="Y430" s="25" t="s">
        <v>244</v>
      </c>
      <c r="Z430" s="20" t="str">
        <f t="shared" si="18"/>
        <v/>
      </c>
      <c r="AA430" s="21" t="str">
        <f>IF(Z430="","",_xll.IMDP("STK",$Z430,"한글종목명"))</f>
        <v/>
      </c>
      <c r="AB430" s="48" t="str">
        <f>IF(Z430="","",_xll.IMDP("STK",$Z430,"현재가"))</f>
        <v/>
      </c>
      <c r="AC430" s="48" t="str">
        <f>IF(Z430="","",_xll.IMDP("STK",$Z430,"전일대비"))</f>
        <v/>
      </c>
      <c r="AD430" s="49" t="str">
        <f>IF(Z430="","",_xll.IMDP("STK",$Z430,"등락률"))</f>
        <v/>
      </c>
      <c r="AE430" s="48" t="str">
        <f>IF(Z430="","",_xll.IMDP("STK",Z430,"시가총액"))</f>
        <v/>
      </c>
      <c r="AF430" s="20" t="str">
        <f t="shared" si="20"/>
        <v/>
      </c>
      <c r="AG430" s="21" t="str">
        <f>IF(AF430="","",_xll.IMDP("STK",$AF430,"한글종목명"))</f>
        <v/>
      </c>
      <c r="AH430" s="48" t="str">
        <f>IF(AF430="","",_xll.IMDP("STK",$AF430,"현재가"))</f>
        <v/>
      </c>
      <c r="AI430" s="48" t="str">
        <f>IF(AF430="","",_xll.IMDP("STK",$AF430,"전일대비"))</f>
        <v/>
      </c>
      <c r="AJ430" s="49" t="str">
        <f>IF(AF430="","",_xll.IMDP("STK",$AF430,"등락률"))</f>
        <v/>
      </c>
      <c r="AK430" s="48" t="str">
        <f>IF(AF430="","",_xll.IMDP("STK",$AF430,"시가총액"))</f>
        <v/>
      </c>
      <c r="AL430" s="20" t="str">
        <f t="shared" si="19"/>
        <v/>
      </c>
      <c r="AM430" s="21" t="str">
        <f>IF(AL430="","",_xll.IMDP("STK",$AL430,"한글종목명"))</f>
        <v/>
      </c>
      <c r="AN430" s="48" t="str">
        <f>IF(AL430="","",_xll.IMDP("STK",$AL430,"현재가"))</f>
        <v/>
      </c>
      <c r="AO430" s="48" t="str">
        <f>IF(AL430="","",_xll.IMDP("STK",$AL430,"전일대비"))</f>
        <v/>
      </c>
      <c r="AP430" s="49" t="str">
        <f>IF(AL430="","",_xll.IMDP("STK",$AL430,"등락률"))</f>
        <v/>
      </c>
      <c r="AQ430" s="48" t="str">
        <f>IF(AL430="","",_xll.IMDP("STK",$AL430,"시가총액"))</f>
        <v/>
      </c>
    </row>
    <row r="431" spans="3:43" x14ac:dyDescent="0.25">
      <c r="C431" s="22">
        <v>426</v>
      </c>
      <c r="Y431" s="25" t="s">
        <v>341</v>
      </c>
      <c r="Z431" s="20" t="str">
        <f t="shared" si="18"/>
        <v/>
      </c>
      <c r="AA431" s="21" t="str">
        <f>IF(Z431="","",_xll.IMDP("STK",$Z431,"한글종목명"))</f>
        <v/>
      </c>
      <c r="AB431" s="48" t="str">
        <f>IF(Z431="","",_xll.IMDP("STK",$Z431,"현재가"))</f>
        <v/>
      </c>
      <c r="AC431" s="48" t="str">
        <f>IF(Z431="","",_xll.IMDP("STK",$Z431,"전일대비"))</f>
        <v/>
      </c>
      <c r="AD431" s="49" t="str">
        <f>IF(Z431="","",_xll.IMDP("STK",$Z431,"등락률"))</f>
        <v/>
      </c>
      <c r="AE431" s="48" t="str">
        <f>IF(Z431="","",_xll.IMDP("STK",Z431,"시가총액"))</f>
        <v/>
      </c>
      <c r="AF431" s="20" t="str">
        <f t="shared" si="20"/>
        <v/>
      </c>
      <c r="AG431" s="21" t="str">
        <f>IF(AF431="","",_xll.IMDP("STK",$AF431,"한글종목명"))</f>
        <v/>
      </c>
      <c r="AH431" s="48" t="str">
        <f>IF(AF431="","",_xll.IMDP("STK",$AF431,"현재가"))</f>
        <v/>
      </c>
      <c r="AI431" s="48" t="str">
        <f>IF(AF431="","",_xll.IMDP("STK",$AF431,"전일대비"))</f>
        <v/>
      </c>
      <c r="AJ431" s="49" t="str">
        <f>IF(AF431="","",_xll.IMDP("STK",$AF431,"등락률"))</f>
        <v/>
      </c>
      <c r="AK431" s="48" t="str">
        <f>IF(AF431="","",_xll.IMDP("STK",$AF431,"시가총액"))</f>
        <v/>
      </c>
      <c r="AL431" s="20" t="str">
        <f t="shared" si="19"/>
        <v/>
      </c>
      <c r="AM431" s="21" t="str">
        <f>IF(AL431="","",_xll.IMDP("STK",$AL431,"한글종목명"))</f>
        <v/>
      </c>
      <c r="AN431" s="48" t="str">
        <f>IF(AL431="","",_xll.IMDP("STK",$AL431,"현재가"))</f>
        <v/>
      </c>
      <c r="AO431" s="48" t="str">
        <f>IF(AL431="","",_xll.IMDP("STK",$AL431,"전일대비"))</f>
        <v/>
      </c>
      <c r="AP431" s="49" t="str">
        <f>IF(AL431="","",_xll.IMDP("STK",$AL431,"등락률"))</f>
        <v/>
      </c>
      <c r="AQ431" s="48" t="str">
        <f>IF(AL431="","",_xll.IMDP("STK",$AL431,"시가총액"))</f>
        <v/>
      </c>
    </row>
    <row r="432" spans="3:43" x14ac:dyDescent="0.25">
      <c r="C432" s="22">
        <v>427</v>
      </c>
      <c r="Y432" s="25" t="s">
        <v>342</v>
      </c>
      <c r="Z432" s="20" t="str">
        <f t="shared" si="18"/>
        <v/>
      </c>
      <c r="AA432" s="21" t="str">
        <f>IF(Z432="","",_xll.IMDP("STK",$Z432,"한글종목명"))</f>
        <v/>
      </c>
      <c r="AB432" s="48" t="str">
        <f>IF(Z432="","",_xll.IMDP("STK",$Z432,"현재가"))</f>
        <v/>
      </c>
      <c r="AC432" s="48" t="str">
        <f>IF(Z432="","",_xll.IMDP("STK",$Z432,"전일대비"))</f>
        <v/>
      </c>
      <c r="AD432" s="49" t="str">
        <f>IF(Z432="","",_xll.IMDP("STK",$Z432,"등락률"))</f>
        <v/>
      </c>
      <c r="AE432" s="48" t="str">
        <f>IF(Z432="","",_xll.IMDP("STK",Z432,"시가총액"))</f>
        <v/>
      </c>
      <c r="AF432" s="20" t="str">
        <f t="shared" si="20"/>
        <v/>
      </c>
      <c r="AG432" s="21" t="str">
        <f>IF(AF432="","",_xll.IMDP("STK",$AF432,"한글종목명"))</f>
        <v/>
      </c>
      <c r="AH432" s="48" t="str">
        <f>IF(AF432="","",_xll.IMDP("STK",$AF432,"현재가"))</f>
        <v/>
      </c>
      <c r="AI432" s="48" t="str">
        <f>IF(AF432="","",_xll.IMDP("STK",$AF432,"전일대비"))</f>
        <v/>
      </c>
      <c r="AJ432" s="49" t="str">
        <f>IF(AF432="","",_xll.IMDP("STK",$AF432,"등락률"))</f>
        <v/>
      </c>
      <c r="AK432" s="48" t="str">
        <f>IF(AF432="","",_xll.IMDP("STK",$AF432,"시가총액"))</f>
        <v/>
      </c>
      <c r="AL432" s="20" t="str">
        <f t="shared" si="19"/>
        <v/>
      </c>
      <c r="AM432" s="21" t="str">
        <f>IF(AL432="","",_xll.IMDP("STK",$AL432,"한글종목명"))</f>
        <v/>
      </c>
      <c r="AN432" s="48" t="str">
        <f>IF(AL432="","",_xll.IMDP("STK",$AL432,"현재가"))</f>
        <v/>
      </c>
      <c r="AO432" s="48" t="str">
        <f>IF(AL432="","",_xll.IMDP("STK",$AL432,"전일대비"))</f>
        <v/>
      </c>
      <c r="AP432" s="49" t="str">
        <f>IF(AL432="","",_xll.IMDP("STK",$AL432,"등락률"))</f>
        <v/>
      </c>
      <c r="AQ432" s="48" t="str">
        <f>IF(AL432="","",_xll.IMDP("STK",$AL432,"시가총액"))</f>
        <v/>
      </c>
    </row>
    <row r="433" spans="3:43" x14ac:dyDescent="0.25">
      <c r="C433" s="22">
        <v>428</v>
      </c>
      <c r="Y433" s="25" t="s">
        <v>614</v>
      </c>
      <c r="Z433" s="20" t="str">
        <f t="shared" si="18"/>
        <v/>
      </c>
      <c r="AA433" s="21" t="str">
        <f>IF(Z433="","",_xll.IMDP("STK",$Z433,"한글종목명"))</f>
        <v/>
      </c>
      <c r="AB433" s="48" t="str">
        <f>IF(Z433="","",_xll.IMDP("STK",$Z433,"현재가"))</f>
        <v/>
      </c>
      <c r="AC433" s="48" t="str">
        <f>IF(Z433="","",_xll.IMDP("STK",$Z433,"전일대비"))</f>
        <v/>
      </c>
      <c r="AD433" s="49" t="str">
        <f>IF(Z433="","",_xll.IMDP("STK",$Z433,"등락률"))</f>
        <v/>
      </c>
      <c r="AE433" s="48" t="str">
        <f>IF(Z433="","",_xll.IMDP("STK",Z433,"시가총액"))</f>
        <v/>
      </c>
      <c r="AF433" s="20" t="str">
        <f t="shared" si="20"/>
        <v/>
      </c>
      <c r="AG433" s="21" t="str">
        <f>IF(AF433="","",_xll.IMDP("STK",$AF433,"한글종목명"))</f>
        <v/>
      </c>
      <c r="AH433" s="48" t="str">
        <f>IF(AF433="","",_xll.IMDP("STK",$AF433,"현재가"))</f>
        <v/>
      </c>
      <c r="AI433" s="48" t="str">
        <f>IF(AF433="","",_xll.IMDP("STK",$AF433,"전일대비"))</f>
        <v/>
      </c>
      <c r="AJ433" s="49" t="str">
        <f>IF(AF433="","",_xll.IMDP("STK",$AF433,"등락률"))</f>
        <v/>
      </c>
      <c r="AK433" s="48" t="str">
        <f>IF(AF433="","",_xll.IMDP("STK",$AF433,"시가총액"))</f>
        <v/>
      </c>
      <c r="AL433" s="20" t="str">
        <f t="shared" si="19"/>
        <v/>
      </c>
      <c r="AM433" s="21" t="str">
        <f>IF(AL433="","",_xll.IMDP("STK",$AL433,"한글종목명"))</f>
        <v/>
      </c>
      <c r="AN433" s="48" t="str">
        <f>IF(AL433="","",_xll.IMDP("STK",$AL433,"현재가"))</f>
        <v/>
      </c>
      <c r="AO433" s="48" t="str">
        <f>IF(AL433="","",_xll.IMDP("STK",$AL433,"전일대비"))</f>
        <v/>
      </c>
      <c r="AP433" s="49" t="str">
        <f>IF(AL433="","",_xll.IMDP("STK",$AL433,"등락률"))</f>
        <v/>
      </c>
      <c r="AQ433" s="48" t="str">
        <f>IF(AL433="","",_xll.IMDP("STK",$AL433,"시가총액"))</f>
        <v/>
      </c>
    </row>
    <row r="434" spans="3:43" x14ac:dyDescent="0.25">
      <c r="C434" s="22">
        <v>429</v>
      </c>
      <c r="Y434" s="25" t="s">
        <v>615</v>
      </c>
      <c r="Z434" s="20" t="str">
        <f t="shared" si="18"/>
        <v/>
      </c>
      <c r="AA434" s="21" t="str">
        <f>IF(Z434="","",_xll.IMDP("STK",$Z434,"한글종목명"))</f>
        <v/>
      </c>
      <c r="AB434" s="48" t="str">
        <f>IF(Z434="","",_xll.IMDP("STK",$Z434,"현재가"))</f>
        <v/>
      </c>
      <c r="AC434" s="48" t="str">
        <f>IF(Z434="","",_xll.IMDP("STK",$Z434,"전일대비"))</f>
        <v/>
      </c>
      <c r="AD434" s="49" t="str">
        <f>IF(Z434="","",_xll.IMDP("STK",$Z434,"등락률"))</f>
        <v/>
      </c>
      <c r="AE434" s="48" t="str">
        <f>IF(Z434="","",_xll.IMDP("STK",Z434,"시가총액"))</f>
        <v/>
      </c>
      <c r="AF434" s="20" t="str">
        <f t="shared" si="20"/>
        <v/>
      </c>
      <c r="AG434" s="21" t="str">
        <f>IF(AF434="","",_xll.IMDP("STK",$AF434,"한글종목명"))</f>
        <v/>
      </c>
      <c r="AH434" s="48" t="str">
        <f>IF(AF434="","",_xll.IMDP("STK",$AF434,"현재가"))</f>
        <v/>
      </c>
      <c r="AI434" s="48" t="str">
        <f>IF(AF434="","",_xll.IMDP("STK",$AF434,"전일대비"))</f>
        <v/>
      </c>
      <c r="AJ434" s="49" t="str">
        <f>IF(AF434="","",_xll.IMDP("STK",$AF434,"등락률"))</f>
        <v/>
      </c>
      <c r="AK434" s="48" t="str">
        <f>IF(AF434="","",_xll.IMDP("STK",$AF434,"시가총액"))</f>
        <v/>
      </c>
      <c r="AL434" s="20" t="str">
        <f t="shared" si="19"/>
        <v/>
      </c>
      <c r="AM434" s="21" t="str">
        <f>IF(AL434="","",_xll.IMDP("STK",$AL434,"한글종목명"))</f>
        <v/>
      </c>
      <c r="AN434" s="48" t="str">
        <f>IF(AL434="","",_xll.IMDP("STK",$AL434,"현재가"))</f>
        <v/>
      </c>
      <c r="AO434" s="48" t="str">
        <f>IF(AL434="","",_xll.IMDP("STK",$AL434,"전일대비"))</f>
        <v/>
      </c>
      <c r="AP434" s="49" t="str">
        <f>IF(AL434="","",_xll.IMDP("STK",$AL434,"등락률"))</f>
        <v/>
      </c>
      <c r="AQ434" s="48" t="str">
        <f>IF(AL434="","",_xll.IMDP("STK",$AL434,"시가총액"))</f>
        <v/>
      </c>
    </row>
    <row r="435" spans="3:43" x14ac:dyDescent="0.25">
      <c r="C435" s="22">
        <v>430</v>
      </c>
      <c r="Y435" s="25" t="s">
        <v>426</v>
      </c>
      <c r="Z435" s="20" t="str">
        <f t="shared" si="18"/>
        <v/>
      </c>
      <c r="AA435" s="21" t="str">
        <f>IF(Z435="","",_xll.IMDP("STK",$Z435,"한글종목명"))</f>
        <v/>
      </c>
      <c r="AB435" s="48" t="str">
        <f>IF(Z435="","",_xll.IMDP("STK",$Z435,"현재가"))</f>
        <v/>
      </c>
      <c r="AC435" s="48" t="str">
        <f>IF(Z435="","",_xll.IMDP("STK",$Z435,"전일대비"))</f>
        <v/>
      </c>
      <c r="AD435" s="49" t="str">
        <f>IF(Z435="","",_xll.IMDP("STK",$Z435,"등락률"))</f>
        <v/>
      </c>
      <c r="AE435" s="48" t="str">
        <f>IF(Z435="","",_xll.IMDP("STK",Z435,"시가총액"))</f>
        <v/>
      </c>
      <c r="AF435" s="20" t="str">
        <f t="shared" si="20"/>
        <v/>
      </c>
      <c r="AG435" s="21" t="str">
        <f>IF(AF435="","",_xll.IMDP("STK",$AF435,"한글종목명"))</f>
        <v/>
      </c>
      <c r="AH435" s="48" t="str">
        <f>IF(AF435="","",_xll.IMDP("STK",$AF435,"현재가"))</f>
        <v/>
      </c>
      <c r="AI435" s="48" t="str">
        <f>IF(AF435="","",_xll.IMDP("STK",$AF435,"전일대비"))</f>
        <v/>
      </c>
      <c r="AJ435" s="49" t="str">
        <f>IF(AF435="","",_xll.IMDP("STK",$AF435,"등락률"))</f>
        <v/>
      </c>
      <c r="AK435" s="48" t="str">
        <f>IF(AF435="","",_xll.IMDP("STK",$AF435,"시가총액"))</f>
        <v/>
      </c>
      <c r="AL435" s="20" t="str">
        <f t="shared" si="19"/>
        <v/>
      </c>
      <c r="AM435" s="21" t="str">
        <f>IF(AL435="","",_xll.IMDP("STK",$AL435,"한글종목명"))</f>
        <v/>
      </c>
      <c r="AN435" s="48" t="str">
        <f>IF(AL435="","",_xll.IMDP("STK",$AL435,"현재가"))</f>
        <v/>
      </c>
      <c r="AO435" s="48" t="str">
        <f>IF(AL435="","",_xll.IMDP("STK",$AL435,"전일대비"))</f>
        <v/>
      </c>
      <c r="AP435" s="49" t="str">
        <f>IF(AL435="","",_xll.IMDP("STK",$AL435,"등락률"))</f>
        <v/>
      </c>
      <c r="AQ435" s="48" t="str">
        <f>IF(AL435="","",_xll.IMDP("STK",$AL435,"시가총액"))</f>
        <v/>
      </c>
    </row>
    <row r="436" spans="3:43" x14ac:dyDescent="0.25">
      <c r="C436" s="22">
        <v>431</v>
      </c>
      <c r="Y436" s="25" t="s">
        <v>217</v>
      </c>
      <c r="Z436" s="20" t="str">
        <f t="shared" si="18"/>
        <v/>
      </c>
      <c r="AA436" s="21" t="str">
        <f>IF(Z436="","",_xll.IMDP("STK",$Z436,"한글종목명"))</f>
        <v/>
      </c>
      <c r="AB436" s="48" t="str">
        <f>IF(Z436="","",_xll.IMDP("STK",$Z436,"현재가"))</f>
        <v/>
      </c>
      <c r="AC436" s="48" t="str">
        <f>IF(Z436="","",_xll.IMDP("STK",$Z436,"전일대비"))</f>
        <v/>
      </c>
      <c r="AD436" s="49" t="str">
        <f>IF(Z436="","",_xll.IMDP("STK",$Z436,"등락률"))</f>
        <v/>
      </c>
      <c r="AE436" s="48" t="str">
        <f>IF(Z436="","",_xll.IMDP("STK",Z436,"시가총액"))</f>
        <v/>
      </c>
      <c r="AF436" s="20" t="str">
        <f t="shared" si="20"/>
        <v/>
      </c>
      <c r="AG436" s="21" t="str">
        <f>IF(AF436="","",_xll.IMDP("STK",$AF436,"한글종목명"))</f>
        <v/>
      </c>
      <c r="AH436" s="48" t="str">
        <f>IF(AF436="","",_xll.IMDP("STK",$AF436,"현재가"))</f>
        <v/>
      </c>
      <c r="AI436" s="48" t="str">
        <f>IF(AF436="","",_xll.IMDP("STK",$AF436,"전일대비"))</f>
        <v/>
      </c>
      <c r="AJ436" s="49" t="str">
        <f>IF(AF436="","",_xll.IMDP("STK",$AF436,"등락률"))</f>
        <v/>
      </c>
      <c r="AK436" s="48" t="str">
        <f>IF(AF436="","",_xll.IMDP("STK",$AF436,"시가총액"))</f>
        <v/>
      </c>
      <c r="AL436" s="20" t="str">
        <f t="shared" si="19"/>
        <v/>
      </c>
      <c r="AM436" s="21" t="str">
        <f>IF(AL436="","",_xll.IMDP("STK",$AL436,"한글종목명"))</f>
        <v/>
      </c>
      <c r="AN436" s="48" t="str">
        <f>IF(AL436="","",_xll.IMDP("STK",$AL436,"현재가"))</f>
        <v/>
      </c>
      <c r="AO436" s="48" t="str">
        <f>IF(AL436="","",_xll.IMDP("STK",$AL436,"전일대비"))</f>
        <v/>
      </c>
      <c r="AP436" s="49" t="str">
        <f>IF(AL436="","",_xll.IMDP("STK",$AL436,"등락률"))</f>
        <v/>
      </c>
      <c r="AQ436" s="48" t="str">
        <f>IF(AL436="","",_xll.IMDP("STK",$AL436,"시가총액"))</f>
        <v/>
      </c>
    </row>
    <row r="437" spans="3:43" x14ac:dyDescent="0.25">
      <c r="C437" s="22">
        <v>432</v>
      </c>
      <c r="Y437" s="25" t="s">
        <v>546</v>
      </c>
      <c r="Z437" s="20" t="str">
        <f t="shared" si="18"/>
        <v/>
      </c>
      <c r="AA437" s="21" t="str">
        <f>IF(Z437="","",_xll.IMDP("STK",$Z437,"한글종목명"))</f>
        <v/>
      </c>
      <c r="AB437" s="48" t="str">
        <f>IF(Z437="","",_xll.IMDP("STK",$Z437,"현재가"))</f>
        <v/>
      </c>
      <c r="AC437" s="48" t="str">
        <f>IF(Z437="","",_xll.IMDP("STK",$Z437,"전일대비"))</f>
        <v/>
      </c>
      <c r="AD437" s="49" t="str">
        <f>IF(Z437="","",_xll.IMDP("STK",$Z437,"등락률"))</f>
        <v/>
      </c>
      <c r="AE437" s="48" t="str">
        <f>IF(Z437="","",_xll.IMDP("STK",Z437,"시가총액"))</f>
        <v/>
      </c>
      <c r="AF437" s="20" t="str">
        <f t="shared" si="20"/>
        <v/>
      </c>
      <c r="AG437" s="21" t="str">
        <f>IF(AF437="","",_xll.IMDP("STK",$AF437,"한글종목명"))</f>
        <v/>
      </c>
      <c r="AH437" s="48" t="str">
        <f>IF(AF437="","",_xll.IMDP("STK",$AF437,"현재가"))</f>
        <v/>
      </c>
      <c r="AI437" s="48" t="str">
        <f>IF(AF437="","",_xll.IMDP("STK",$AF437,"전일대비"))</f>
        <v/>
      </c>
      <c r="AJ437" s="49" t="str">
        <f>IF(AF437="","",_xll.IMDP("STK",$AF437,"등락률"))</f>
        <v/>
      </c>
      <c r="AK437" s="48" t="str">
        <f>IF(AF437="","",_xll.IMDP("STK",$AF437,"시가총액"))</f>
        <v/>
      </c>
      <c r="AL437" s="20" t="str">
        <f t="shared" si="19"/>
        <v/>
      </c>
      <c r="AM437" s="21" t="str">
        <f>IF(AL437="","",_xll.IMDP("STK",$AL437,"한글종목명"))</f>
        <v/>
      </c>
      <c r="AN437" s="48" t="str">
        <f>IF(AL437="","",_xll.IMDP("STK",$AL437,"현재가"))</f>
        <v/>
      </c>
      <c r="AO437" s="48" t="str">
        <f>IF(AL437="","",_xll.IMDP("STK",$AL437,"전일대비"))</f>
        <v/>
      </c>
      <c r="AP437" s="49" t="str">
        <f>IF(AL437="","",_xll.IMDP("STK",$AL437,"등락률"))</f>
        <v/>
      </c>
      <c r="AQ437" s="48" t="str">
        <f>IF(AL437="","",_xll.IMDP("STK",$AL437,"시가총액"))</f>
        <v/>
      </c>
    </row>
    <row r="438" spans="3:43" x14ac:dyDescent="0.25">
      <c r="C438" s="22">
        <v>433</v>
      </c>
      <c r="Y438" s="25" t="s">
        <v>1072</v>
      </c>
      <c r="Z438" s="20" t="str">
        <f t="shared" si="18"/>
        <v/>
      </c>
      <c r="AA438" s="21" t="str">
        <f>IF(Z438="","",_xll.IMDP("STK",$Z438,"한글종목명"))</f>
        <v/>
      </c>
      <c r="AB438" s="48" t="str">
        <f>IF(Z438="","",_xll.IMDP("STK",$Z438,"현재가"))</f>
        <v/>
      </c>
      <c r="AC438" s="48" t="str">
        <f>IF(Z438="","",_xll.IMDP("STK",$Z438,"전일대비"))</f>
        <v/>
      </c>
      <c r="AD438" s="49" t="str">
        <f>IF(Z438="","",_xll.IMDP("STK",$Z438,"등락률"))</f>
        <v/>
      </c>
      <c r="AE438" s="48" t="str">
        <f>IF(Z438="","",_xll.IMDP("STK",Z438,"시가총액"))</f>
        <v/>
      </c>
      <c r="AF438" s="20" t="str">
        <f t="shared" si="20"/>
        <v/>
      </c>
      <c r="AG438" s="21" t="str">
        <f>IF(AF438="","",_xll.IMDP("STK",$AF438,"한글종목명"))</f>
        <v/>
      </c>
      <c r="AH438" s="48" t="str">
        <f>IF(AF438="","",_xll.IMDP("STK",$AF438,"현재가"))</f>
        <v/>
      </c>
      <c r="AI438" s="48" t="str">
        <f>IF(AF438="","",_xll.IMDP("STK",$AF438,"전일대비"))</f>
        <v/>
      </c>
      <c r="AJ438" s="49" t="str">
        <f>IF(AF438="","",_xll.IMDP("STK",$AF438,"등락률"))</f>
        <v/>
      </c>
      <c r="AK438" s="48" t="str">
        <f>IF(AF438="","",_xll.IMDP("STK",$AF438,"시가총액"))</f>
        <v/>
      </c>
      <c r="AL438" s="20" t="str">
        <f t="shared" si="19"/>
        <v/>
      </c>
      <c r="AM438" s="21" t="str">
        <f>IF(AL438="","",_xll.IMDP("STK",$AL438,"한글종목명"))</f>
        <v/>
      </c>
      <c r="AN438" s="48" t="str">
        <f>IF(AL438="","",_xll.IMDP("STK",$AL438,"현재가"))</f>
        <v/>
      </c>
      <c r="AO438" s="48" t="str">
        <f>IF(AL438="","",_xll.IMDP("STK",$AL438,"전일대비"))</f>
        <v/>
      </c>
      <c r="AP438" s="49" t="str">
        <f>IF(AL438="","",_xll.IMDP("STK",$AL438,"등락률"))</f>
        <v/>
      </c>
      <c r="AQ438" s="48" t="str">
        <f>IF(AL438="","",_xll.IMDP("STK",$AL438,"시가총액"))</f>
        <v/>
      </c>
    </row>
    <row r="439" spans="3:43" x14ac:dyDescent="0.25">
      <c r="C439" s="22">
        <v>434</v>
      </c>
      <c r="Y439" s="25" t="s">
        <v>378</v>
      </c>
      <c r="Z439" s="20" t="str">
        <f t="shared" si="18"/>
        <v/>
      </c>
      <c r="AA439" s="21" t="str">
        <f>IF(Z439="","",_xll.IMDP("STK",$Z439,"한글종목명"))</f>
        <v/>
      </c>
      <c r="AB439" s="48" t="str">
        <f>IF(Z439="","",_xll.IMDP("STK",$Z439,"현재가"))</f>
        <v/>
      </c>
      <c r="AC439" s="48" t="str">
        <f>IF(Z439="","",_xll.IMDP("STK",$Z439,"전일대비"))</f>
        <v/>
      </c>
      <c r="AD439" s="49" t="str">
        <f>IF(Z439="","",_xll.IMDP("STK",$Z439,"등락률"))</f>
        <v/>
      </c>
      <c r="AE439" s="48" t="str">
        <f>IF(Z439="","",_xll.IMDP("STK",Z439,"시가총액"))</f>
        <v/>
      </c>
      <c r="AF439" s="20" t="str">
        <f t="shared" si="20"/>
        <v/>
      </c>
      <c r="AG439" s="21" t="str">
        <f>IF(AF439="","",_xll.IMDP("STK",$AF439,"한글종목명"))</f>
        <v/>
      </c>
      <c r="AH439" s="48" t="str">
        <f>IF(AF439="","",_xll.IMDP("STK",$AF439,"현재가"))</f>
        <v/>
      </c>
      <c r="AI439" s="48" t="str">
        <f>IF(AF439="","",_xll.IMDP("STK",$AF439,"전일대비"))</f>
        <v/>
      </c>
      <c r="AJ439" s="49" t="str">
        <f>IF(AF439="","",_xll.IMDP("STK",$AF439,"등락률"))</f>
        <v/>
      </c>
      <c r="AK439" s="48" t="str">
        <f>IF(AF439="","",_xll.IMDP("STK",$AF439,"시가총액"))</f>
        <v/>
      </c>
      <c r="AL439" s="20" t="str">
        <f t="shared" si="19"/>
        <v/>
      </c>
      <c r="AM439" s="21" t="str">
        <f>IF(AL439="","",_xll.IMDP("STK",$AL439,"한글종목명"))</f>
        <v/>
      </c>
      <c r="AN439" s="48" t="str">
        <f>IF(AL439="","",_xll.IMDP("STK",$AL439,"현재가"))</f>
        <v/>
      </c>
      <c r="AO439" s="48" t="str">
        <f>IF(AL439="","",_xll.IMDP("STK",$AL439,"전일대비"))</f>
        <v/>
      </c>
      <c r="AP439" s="49" t="str">
        <f>IF(AL439="","",_xll.IMDP("STK",$AL439,"등락률"))</f>
        <v/>
      </c>
      <c r="AQ439" s="48" t="str">
        <f>IF(AL439="","",_xll.IMDP("STK",$AL439,"시가총액"))</f>
        <v/>
      </c>
    </row>
    <row r="440" spans="3:43" x14ac:dyDescent="0.25">
      <c r="C440" s="22">
        <v>435</v>
      </c>
      <c r="Y440" s="25" t="s">
        <v>675</v>
      </c>
      <c r="Z440" s="20" t="str">
        <f t="shared" si="18"/>
        <v/>
      </c>
      <c r="AA440" s="21" t="str">
        <f>IF(Z440="","",_xll.IMDP("STK",$Z440,"한글종목명"))</f>
        <v/>
      </c>
      <c r="AB440" s="48" t="str">
        <f>IF(Z440="","",_xll.IMDP("STK",$Z440,"현재가"))</f>
        <v/>
      </c>
      <c r="AC440" s="48" t="str">
        <f>IF(Z440="","",_xll.IMDP("STK",$Z440,"전일대비"))</f>
        <v/>
      </c>
      <c r="AD440" s="49" t="str">
        <f>IF(Z440="","",_xll.IMDP("STK",$Z440,"등락률"))</f>
        <v/>
      </c>
      <c r="AE440" s="48" t="str">
        <f>IF(Z440="","",_xll.IMDP("STK",Z440,"시가총액"))</f>
        <v/>
      </c>
      <c r="AF440" s="20" t="str">
        <f t="shared" si="20"/>
        <v/>
      </c>
      <c r="AG440" s="21" t="str">
        <f>IF(AF440="","",_xll.IMDP("STK",$AF440,"한글종목명"))</f>
        <v/>
      </c>
      <c r="AH440" s="48" t="str">
        <f>IF(AF440="","",_xll.IMDP("STK",$AF440,"현재가"))</f>
        <v/>
      </c>
      <c r="AI440" s="48" t="str">
        <f>IF(AF440="","",_xll.IMDP("STK",$AF440,"전일대비"))</f>
        <v/>
      </c>
      <c r="AJ440" s="49" t="str">
        <f>IF(AF440="","",_xll.IMDP("STK",$AF440,"등락률"))</f>
        <v/>
      </c>
      <c r="AK440" s="48" t="str">
        <f>IF(AF440="","",_xll.IMDP("STK",$AF440,"시가총액"))</f>
        <v/>
      </c>
      <c r="AL440" s="20" t="str">
        <f t="shared" si="19"/>
        <v/>
      </c>
      <c r="AM440" s="21" t="str">
        <f>IF(AL440="","",_xll.IMDP("STK",$AL440,"한글종목명"))</f>
        <v/>
      </c>
      <c r="AN440" s="48" t="str">
        <f>IF(AL440="","",_xll.IMDP("STK",$AL440,"현재가"))</f>
        <v/>
      </c>
      <c r="AO440" s="48" t="str">
        <f>IF(AL440="","",_xll.IMDP("STK",$AL440,"전일대비"))</f>
        <v/>
      </c>
      <c r="AP440" s="49" t="str">
        <f>IF(AL440="","",_xll.IMDP("STK",$AL440,"등락률"))</f>
        <v/>
      </c>
      <c r="AQ440" s="48" t="str">
        <f>IF(AL440="","",_xll.IMDP("STK",$AL440,"시가총액"))</f>
        <v/>
      </c>
    </row>
    <row r="441" spans="3:43" x14ac:dyDescent="0.25">
      <c r="C441" s="22">
        <v>436</v>
      </c>
      <c r="Y441" s="25" t="s">
        <v>500</v>
      </c>
      <c r="Z441" s="20" t="str">
        <f t="shared" si="18"/>
        <v/>
      </c>
      <c r="AA441" s="21" t="str">
        <f>IF(Z441="","",_xll.IMDP("STK",$Z441,"한글종목명"))</f>
        <v/>
      </c>
      <c r="AB441" s="48" t="str">
        <f>IF(Z441="","",_xll.IMDP("STK",$Z441,"현재가"))</f>
        <v/>
      </c>
      <c r="AC441" s="48" t="str">
        <f>IF(Z441="","",_xll.IMDP("STK",$Z441,"전일대비"))</f>
        <v/>
      </c>
      <c r="AD441" s="49" t="str">
        <f>IF(Z441="","",_xll.IMDP("STK",$Z441,"등락률"))</f>
        <v/>
      </c>
      <c r="AE441" s="48" t="str">
        <f>IF(Z441="","",_xll.IMDP("STK",Z441,"시가총액"))</f>
        <v/>
      </c>
      <c r="AF441" s="20" t="str">
        <f t="shared" si="20"/>
        <v/>
      </c>
      <c r="AG441" s="21" t="str">
        <f>IF(AF441="","",_xll.IMDP("STK",$AF441,"한글종목명"))</f>
        <v/>
      </c>
      <c r="AH441" s="48" t="str">
        <f>IF(AF441="","",_xll.IMDP("STK",$AF441,"현재가"))</f>
        <v/>
      </c>
      <c r="AI441" s="48" t="str">
        <f>IF(AF441="","",_xll.IMDP("STK",$AF441,"전일대비"))</f>
        <v/>
      </c>
      <c r="AJ441" s="49" t="str">
        <f>IF(AF441="","",_xll.IMDP("STK",$AF441,"등락률"))</f>
        <v/>
      </c>
      <c r="AK441" s="48" t="str">
        <f>IF(AF441="","",_xll.IMDP("STK",$AF441,"시가총액"))</f>
        <v/>
      </c>
      <c r="AL441" s="20" t="str">
        <f t="shared" si="19"/>
        <v/>
      </c>
      <c r="AM441" s="21" t="str">
        <f>IF(AL441="","",_xll.IMDP("STK",$AL441,"한글종목명"))</f>
        <v/>
      </c>
      <c r="AN441" s="48" t="str">
        <f>IF(AL441="","",_xll.IMDP("STK",$AL441,"현재가"))</f>
        <v/>
      </c>
      <c r="AO441" s="48" t="str">
        <f>IF(AL441="","",_xll.IMDP("STK",$AL441,"전일대비"))</f>
        <v/>
      </c>
      <c r="AP441" s="49" t="str">
        <f>IF(AL441="","",_xll.IMDP("STK",$AL441,"등락률"))</f>
        <v/>
      </c>
      <c r="AQ441" s="48" t="str">
        <f>IF(AL441="","",_xll.IMDP("STK",$AL441,"시가총액"))</f>
        <v/>
      </c>
    </row>
    <row r="442" spans="3:43" x14ac:dyDescent="0.25">
      <c r="C442" s="22">
        <v>437</v>
      </c>
      <c r="Y442" s="25" t="s">
        <v>616</v>
      </c>
      <c r="Z442" s="20" t="str">
        <f t="shared" si="18"/>
        <v/>
      </c>
      <c r="AA442" s="21" t="str">
        <f>IF(Z442="","",_xll.IMDP("STK",$Z442,"한글종목명"))</f>
        <v/>
      </c>
      <c r="AB442" s="48" t="str">
        <f>IF(Z442="","",_xll.IMDP("STK",$Z442,"현재가"))</f>
        <v/>
      </c>
      <c r="AC442" s="48" t="str">
        <f>IF(Z442="","",_xll.IMDP("STK",$Z442,"전일대비"))</f>
        <v/>
      </c>
      <c r="AD442" s="49" t="str">
        <f>IF(Z442="","",_xll.IMDP("STK",$Z442,"등락률"))</f>
        <v/>
      </c>
      <c r="AE442" s="48" t="str">
        <f>IF(Z442="","",_xll.IMDP("STK",Z442,"시가총액"))</f>
        <v/>
      </c>
      <c r="AF442" s="20" t="str">
        <f t="shared" si="20"/>
        <v/>
      </c>
      <c r="AG442" s="21" t="str">
        <f>IF(AF442="","",_xll.IMDP("STK",$AF442,"한글종목명"))</f>
        <v/>
      </c>
      <c r="AH442" s="48" t="str">
        <f>IF(AF442="","",_xll.IMDP("STK",$AF442,"현재가"))</f>
        <v/>
      </c>
      <c r="AI442" s="48" t="str">
        <f>IF(AF442="","",_xll.IMDP("STK",$AF442,"전일대비"))</f>
        <v/>
      </c>
      <c r="AJ442" s="49" t="str">
        <f>IF(AF442="","",_xll.IMDP("STK",$AF442,"등락률"))</f>
        <v/>
      </c>
      <c r="AK442" s="48" t="str">
        <f>IF(AF442="","",_xll.IMDP("STK",$AF442,"시가총액"))</f>
        <v/>
      </c>
      <c r="AL442" s="20" t="str">
        <f t="shared" si="19"/>
        <v/>
      </c>
      <c r="AM442" s="21" t="str">
        <f>IF(AL442="","",_xll.IMDP("STK",$AL442,"한글종목명"))</f>
        <v/>
      </c>
      <c r="AN442" s="48" t="str">
        <f>IF(AL442="","",_xll.IMDP("STK",$AL442,"현재가"))</f>
        <v/>
      </c>
      <c r="AO442" s="48" t="str">
        <f>IF(AL442="","",_xll.IMDP("STK",$AL442,"전일대비"))</f>
        <v/>
      </c>
      <c r="AP442" s="49" t="str">
        <f>IF(AL442="","",_xll.IMDP("STK",$AL442,"등락률"))</f>
        <v/>
      </c>
      <c r="AQ442" s="48" t="str">
        <f>IF(AL442="","",_xll.IMDP("STK",$AL442,"시가총액"))</f>
        <v/>
      </c>
    </row>
    <row r="443" spans="3:43" x14ac:dyDescent="0.25">
      <c r="C443" s="22">
        <v>438</v>
      </c>
      <c r="Y443" s="25" t="s">
        <v>501</v>
      </c>
      <c r="Z443" s="20" t="str">
        <f t="shared" si="18"/>
        <v/>
      </c>
      <c r="AA443" s="21" t="str">
        <f>IF(Z443="","",_xll.IMDP("STK",$Z443,"한글종목명"))</f>
        <v/>
      </c>
      <c r="AB443" s="48" t="str">
        <f>IF(Z443="","",_xll.IMDP("STK",$Z443,"현재가"))</f>
        <v/>
      </c>
      <c r="AC443" s="48" t="str">
        <f>IF(Z443="","",_xll.IMDP("STK",$Z443,"전일대비"))</f>
        <v/>
      </c>
      <c r="AD443" s="49" t="str">
        <f>IF(Z443="","",_xll.IMDP("STK",$Z443,"등락률"))</f>
        <v/>
      </c>
      <c r="AE443" s="48" t="str">
        <f>IF(Z443="","",_xll.IMDP("STK",Z443,"시가총액"))</f>
        <v/>
      </c>
      <c r="AF443" s="20" t="str">
        <f t="shared" si="20"/>
        <v/>
      </c>
      <c r="AG443" s="21" t="str">
        <f>IF(AF443="","",_xll.IMDP("STK",$AF443,"한글종목명"))</f>
        <v/>
      </c>
      <c r="AH443" s="48" t="str">
        <f>IF(AF443="","",_xll.IMDP("STK",$AF443,"현재가"))</f>
        <v/>
      </c>
      <c r="AI443" s="48" t="str">
        <f>IF(AF443="","",_xll.IMDP("STK",$AF443,"전일대비"))</f>
        <v/>
      </c>
      <c r="AJ443" s="49" t="str">
        <f>IF(AF443="","",_xll.IMDP("STK",$AF443,"등락률"))</f>
        <v/>
      </c>
      <c r="AK443" s="48" t="str">
        <f>IF(AF443="","",_xll.IMDP("STK",$AF443,"시가총액"))</f>
        <v/>
      </c>
      <c r="AL443" s="20" t="str">
        <f t="shared" si="19"/>
        <v/>
      </c>
      <c r="AM443" s="21" t="str">
        <f>IF(AL443="","",_xll.IMDP("STK",$AL443,"한글종목명"))</f>
        <v/>
      </c>
      <c r="AN443" s="48" t="str">
        <f>IF(AL443="","",_xll.IMDP("STK",$AL443,"현재가"))</f>
        <v/>
      </c>
      <c r="AO443" s="48" t="str">
        <f>IF(AL443="","",_xll.IMDP("STK",$AL443,"전일대비"))</f>
        <v/>
      </c>
      <c r="AP443" s="49" t="str">
        <f>IF(AL443="","",_xll.IMDP("STK",$AL443,"등락률"))</f>
        <v/>
      </c>
      <c r="AQ443" s="48" t="str">
        <f>IF(AL443="","",_xll.IMDP("STK",$AL443,"시가총액"))</f>
        <v/>
      </c>
    </row>
    <row r="444" spans="3:43" x14ac:dyDescent="0.25">
      <c r="C444" s="22">
        <v>439</v>
      </c>
      <c r="Y444" s="25" t="s">
        <v>617</v>
      </c>
      <c r="Z444" s="20" t="str">
        <f t="shared" si="18"/>
        <v/>
      </c>
      <c r="AA444" s="21" t="str">
        <f>IF(Z444="","",_xll.IMDP("STK",$Z444,"한글종목명"))</f>
        <v/>
      </c>
      <c r="AB444" s="48" t="str">
        <f>IF(Z444="","",_xll.IMDP("STK",$Z444,"현재가"))</f>
        <v/>
      </c>
      <c r="AC444" s="48" t="str">
        <f>IF(Z444="","",_xll.IMDP("STK",$Z444,"전일대비"))</f>
        <v/>
      </c>
      <c r="AD444" s="49" t="str">
        <f>IF(Z444="","",_xll.IMDP("STK",$Z444,"등락률"))</f>
        <v/>
      </c>
      <c r="AE444" s="48" t="str">
        <f>IF(Z444="","",_xll.IMDP("STK",Z444,"시가총액"))</f>
        <v/>
      </c>
      <c r="AF444" s="20" t="str">
        <f t="shared" si="20"/>
        <v/>
      </c>
      <c r="AG444" s="21" t="str">
        <f>IF(AF444="","",_xll.IMDP("STK",$AF444,"한글종목명"))</f>
        <v/>
      </c>
      <c r="AH444" s="48" t="str">
        <f>IF(AF444="","",_xll.IMDP("STK",$AF444,"현재가"))</f>
        <v/>
      </c>
      <c r="AI444" s="48" t="str">
        <f>IF(AF444="","",_xll.IMDP("STK",$AF444,"전일대비"))</f>
        <v/>
      </c>
      <c r="AJ444" s="49" t="str">
        <f>IF(AF444="","",_xll.IMDP("STK",$AF444,"등락률"))</f>
        <v/>
      </c>
      <c r="AK444" s="48" t="str">
        <f>IF(AF444="","",_xll.IMDP("STK",$AF444,"시가총액"))</f>
        <v/>
      </c>
      <c r="AL444" s="20" t="str">
        <f t="shared" si="19"/>
        <v/>
      </c>
      <c r="AM444" s="21" t="str">
        <f>IF(AL444="","",_xll.IMDP("STK",$AL444,"한글종목명"))</f>
        <v/>
      </c>
      <c r="AN444" s="48" t="str">
        <f>IF(AL444="","",_xll.IMDP("STK",$AL444,"현재가"))</f>
        <v/>
      </c>
      <c r="AO444" s="48" t="str">
        <f>IF(AL444="","",_xll.IMDP("STK",$AL444,"전일대비"))</f>
        <v/>
      </c>
      <c r="AP444" s="49" t="str">
        <f>IF(AL444="","",_xll.IMDP("STK",$AL444,"등락률"))</f>
        <v/>
      </c>
      <c r="AQ444" s="48" t="str">
        <f>IF(AL444="","",_xll.IMDP("STK",$AL444,"시가총액"))</f>
        <v/>
      </c>
    </row>
    <row r="445" spans="3:43" x14ac:dyDescent="0.25">
      <c r="C445" s="22">
        <v>440</v>
      </c>
      <c r="Y445" s="25" t="s">
        <v>502</v>
      </c>
      <c r="Z445" s="20" t="str">
        <f t="shared" si="18"/>
        <v/>
      </c>
      <c r="AA445" s="21" t="str">
        <f>IF(Z445="","",_xll.IMDP("STK",$Z445,"한글종목명"))</f>
        <v/>
      </c>
      <c r="AB445" s="48" t="str">
        <f>IF(Z445="","",_xll.IMDP("STK",$Z445,"현재가"))</f>
        <v/>
      </c>
      <c r="AC445" s="48" t="str">
        <f>IF(Z445="","",_xll.IMDP("STK",$Z445,"전일대비"))</f>
        <v/>
      </c>
      <c r="AD445" s="49" t="str">
        <f>IF(Z445="","",_xll.IMDP("STK",$Z445,"등락률"))</f>
        <v/>
      </c>
      <c r="AE445" s="48" t="str">
        <f>IF(Z445="","",_xll.IMDP("STK",Z445,"시가총액"))</f>
        <v/>
      </c>
      <c r="AF445" s="20" t="str">
        <f t="shared" si="20"/>
        <v/>
      </c>
      <c r="AG445" s="21" t="str">
        <f>IF(AF445="","",_xll.IMDP("STK",$AF445,"한글종목명"))</f>
        <v/>
      </c>
      <c r="AH445" s="48" t="str">
        <f>IF(AF445="","",_xll.IMDP("STK",$AF445,"현재가"))</f>
        <v/>
      </c>
      <c r="AI445" s="48" t="str">
        <f>IF(AF445="","",_xll.IMDP("STK",$AF445,"전일대비"))</f>
        <v/>
      </c>
      <c r="AJ445" s="49" t="str">
        <f>IF(AF445="","",_xll.IMDP("STK",$AF445,"등락률"))</f>
        <v/>
      </c>
      <c r="AK445" s="48" t="str">
        <f>IF(AF445="","",_xll.IMDP("STK",$AF445,"시가총액"))</f>
        <v/>
      </c>
      <c r="AL445" s="20" t="str">
        <f t="shared" si="19"/>
        <v/>
      </c>
      <c r="AM445" s="21" t="str">
        <f>IF(AL445="","",_xll.IMDP("STK",$AL445,"한글종목명"))</f>
        <v/>
      </c>
      <c r="AN445" s="48" t="str">
        <f>IF(AL445="","",_xll.IMDP("STK",$AL445,"현재가"))</f>
        <v/>
      </c>
      <c r="AO445" s="48" t="str">
        <f>IF(AL445="","",_xll.IMDP("STK",$AL445,"전일대비"))</f>
        <v/>
      </c>
      <c r="AP445" s="49" t="str">
        <f>IF(AL445="","",_xll.IMDP("STK",$AL445,"등락률"))</f>
        <v/>
      </c>
      <c r="AQ445" s="48" t="str">
        <f>IF(AL445="","",_xll.IMDP("STK",$AL445,"시가총액"))</f>
        <v/>
      </c>
    </row>
    <row r="446" spans="3:43" x14ac:dyDescent="0.25">
      <c r="C446" s="22">
        <v>441</v>
      </c>
      <c r="Y446" s="25" t="s">
        <v>618</v>
      </c>
      <c r="Z446" s="20" t="str">
        <f t="shared" si="18"/>
        <v/>
      </c>
      <c r="AA446" s="21" t="str">
        <f>IF(Z446="","",_xll.IMDP("STK",$Z446,"한글종목명"))</f>
        <v/>
      </c>
      <c r="AB446" s="48" t="str">
        <f>IF(Z446="","",_xll.IMDP("STK",$Z446,"현재가"))</f>
        <v/>
      </c>
      <c r="AC446" s="48" t="str">
        <f>IF(Z446="","",_xll.IMDP("STK",$Z446,"전일대비"))</f>
        <v/>
      </c>
      <c r="AD446" s="49" t="str">
        <f>IF(Z446="","",_xll.IMDP("STK",$Z446,"등락률"))</f>
        <v/>
      </c>
      <c r="AE446" s="48" t="str">
        <f>IF(Z446="","",_xll.IMDP("STK",Z446,"시가총액"))</f>
        <v/>
      </c>
      <c r="AF446" s="20" t="str">
        <f t="shared" si="20"/>
        <v/>
      </c>
      <c r="AG446" s="21" t="str">
        <f>IF(AF446="","",_xll.IMDP("STK",$AF446,"한글종목명"))</f>
        <v/>
      </c>
      <c r="AH446" s="48" t="str">
        <f>IF(AF446="","",_xll.IMDP("STK",$AF446,"현재가"))</f>
        <v/>
      </c>
      <c r="AI446" s="48" t="str">
        <f>IF(AF446="","",_xll.IMDP("STK",$AF446,"전일대비"))</f>
        <v/>
      </c>
      <c r="AJ446" s="49" t="str">
        <f>IF(AF446="","",_xll.IMDP("STK",$AF446,"등락률"))</f>
        <v/>
      </c>
      <c r="AK446" s="48" t="str">
        <f>IF(AF446="","",_xll.IMDP("STK",$AF446,"시가총액"))</f>
        <v/>
      </c>
      <c r="AL446" s="20" t="str">
        <f t="shared" si="19"/>
        <v/>
      </c>
      <c r="AM446" s="21" t="str">
        <f>IF(AL446="","",_xll.IMDP("STK",$AL446,"한글종목명"))</f>
        <v/>
      </c>
      <c r="AN446" s="48" t="str">
        <f>IF(AL446="","",_xll.IMDP("STK",$AL446,"현재가"))</f>
        <v/>
      </c>
      <c r="AO446" s="48" t="str">
        <f>IF(AL446="","",_xll.IMDP("STK",$AL446,"전일대비"))</f>
        <v/>
      </c>
      <c r="AP446" s="49" t="str">
        <f>IF(AL446="","",_xll.IMDP("STK",$AL446,"등락률"))</f>
        <v/>
      </c>
      <c r="AQ446" s="48" t="str">
        <f>IF(AL446="","",_xll.IMDP("STK",$AL446,"시가총액"))</f>
        <v/>
      </c>
    </row>
    <row r="447" spans="3:43" x14ac:dyDescent="0.25">
      <c r="C447" s="22">
        <v>442</v>
      </c>
      <c r="Y447" s="25" t="s">
        <v>218</v>
      </c>
      <c r="Z447" s="20" t="str">
        <f t="shared" si="18"/>
        <v/>
      </c>
      <c r="AA447" s="21" t="str">
        <f>IF(Z447="","",_xll.IMDP("STK",$Z447,"한글종목명"))</f>
        <v/>
      </c>
      <c r="AB447" s="48" t="str">
        <f>IF(Z447="","",_xll.IMDP("STK",$Z447,"현재가"))</f>
        <v/>
      </c>
      <c r="AC447" s="48" t="str">
        <f>IF(Z447="","",_xll.IMDP("STK",$Z447,"전일대비"))</f>
        <v/>
      </c>
      <c r="AD447" s="49" t="str">
        <f>IF(Z447="","",_xll.IMDP("STK",$Z447,"등락률"))</f>
        <v/>
      </c>
      <c r="AE447" s="48" t="str">
        <f>IF(Z447="","",_xll.IMDP("STK",Z447,"시가총액"))</f>
        <v/>
      </c>
      <c r="AF447" s="20" t="str">
        <f t="shared" si="20"/>
        <v/>
      </c>
      <c r="AG447" s="21" t="str">
        <f>IF(AF447="","",_xll.IMDP("STK",$AF447,"한글종목명"))</f>
        <v/>
      </c>
      <c r="AH447" s="48" t="str">
        <f>IF(AF447="","",_xll.IMDP("STK",$AF447,"현재가"))</f>
        <v/>
      </c>
      <c r="AI447" s="48" t="str">
        <f>IF(AF447="","",_xll.IMDP("STK",$AF447,"전일대비"))</f>
        <v/>
      </c>
      <c r="AJ447" s="49" t="str">
        <f>IF(AF447="","",_xll.IMDP("STK",$AF447,"등락률"))</f>
        <v/>
      </c>
      <c r="AK447" s="48" t="str">
        <f>IF(AF447="","",_xll.IMDP("STK",$AF447,"시가총액"))</f>
        <v/>
      </c>
      <c r="AL447" s="20" t="str">
        <f t="shared" si="19"/>
        <v/>
      </c>
      <c r="AM447" s="21" t="str">
        <f>IF(AL447="","",_xll.IMDP("STK",$AL447,"한글종목명"))</f>
        <v/>
      </c>
      <c r="AN447" s="48" t="str">
        <f>IF(AL447="","",_xll.IMDP("STK",$AL447,"현재가"))</f>
        <v/>
      </c>
      <c r="AO447" s="48" t="str">
        <f>IF(AL447="","",_xll.IMDP("STK",$AL447,"전일대비"))</f>
        <v/>
      </c>
      <c r="AP447" s="49" t="str">
        <f>IF(AL447="","",_xll.IMDP("STK",$AL447,"등락률"))</f>
        <v/>
      </c>
      <c r="AQ447" s="48" t="str">
        <f>IF(AL447="","",_xll.IMDP("STK",$AL447,"시가총액"))</f>
        <v/>
      </c>
    </row>
    <row r="448" spans="3:43" x14ac:dyDescent="0.25">
      <c r="C448" s="22">
        <v>443</v>
      </c>
      <c r="Y448" s="25" t="s">
        <v>219</v>
      </c>
      <c r="Z448" s="20" t="str">
        <f t="shared" si="18"/>
        <v/>
      </c>
      <c r="AA448" s="21" t="str">
        <f>IF(Z448="","",_xll.IMDP("STK",$Z448,"한글종목명"))</f>
        <v/>
      </c>
      <c r="AB448" s="48" t="str">
        <f>IF(Z448="","",_xll.IMDP("STK",$Z448,"현재가"))</f>
        <v/>
      </c>
      <c r="AC448" s="48" t="str">
        <f>IF(Z448="","",_xll.IMDP("STK",$Z448,"전일대비"))</f>
        <v/>
      </c>
      <c r="AD448" s="49" t="str">
        <f>IF(Z448="","",_xll.IMDP("STK",$Z448,"등락률"))</f>
        <v/>
      </c>
      <c r="AE448" s="48" t="str">
        <f>IF(Z448="","",_xll.IMDP("STK",Z448,"시가총액"))</f>
        <v/>
      </c>
      <c r="AF448" s="20" t="str">
        <f t="shared" si="20"/>
        <v/>
      </c>
      <c r="AG448" s="21" t="str">
        <f>IF(AF448="","",_xll.IMDP("STK",$AF448,"한글종목명"))</f>
        <v/>
      </c>
      <c r="AH448" s="48" t="str">
        <f>IF(AF448="","",_xll.IMDP("STK",$AF448,"현재가"))</f>
        <v/>
      </c>
      <c r="AI448" s="48" t="str">
        <f>IF(AF448="","",_xll.IMDP("STK",$AF448,"전일대비"))</f>
        <v/>
      </c>
      <c r="AJ448" s="49" t="str">
        <f>IF(AF448="","",_xll.IMDP("STK",$AF448,"등락률"))</f>
        <v/>
      </c>
      <c r="AK448" s="48" t="str">
        <f>IF(AF448="","",_xll.IMDP("STK",$AF448,"시가총액"))</f>
        <v/>
      </c>
      <c r="AL448" s="20" t="str">
        <f t="shared" si="19"/>
        <v/>
      </c>
      <c r="AM448" s="21" t="str">
        <f>IF(AL448="","",_xll.IMDP("STK",$AL448,"한글종목명"))</f>
        <v/>
      </c>
      <c r="AN448" s="48" t="str">
        <f>IF(AL448="","",_xll.IMDP("STK",$AL448,"현재가"))</f>
        <v/>
      </c>
      <c r="AO448" s="48" t="str">
        <f>IF(AL448="","",_xll.IMDP("STK",$AL448,"전일대비"))</f>
        <v/>
      </c>
      <c r="AP448" s="49" t="str">
        <f>IF(AL448="","",_xll.IMDP("STK",$AL448,"등락률"))</f>
        <v/>
      </c>
      <c r="AQ448" s="48" t="str">
        <f>IF(AL448="","",_xll.IMDP("STK",$AL448,"시가총액"))</f>
        <v/>
      </c>
    </row>
    <row r="449" spans="3:43" x14ac:dyDescent="0.25">
      <c r="C449" s="22">
        <v>444</v>
      </c>
      <c r="Y449" s="25" t="s">
        <v>457</v>
      </c>
      <c r="Z449" s="20" t="str">
        <f t="shared" si="18"/>
        <v/>
      </c>
      <c r="AA449" s="21" t="str">
        <f>IF(Z449="","",_xll.IMDP("STK",$Z449,"한글종목명"))</f>
        <v/>
      </c>
      <c r="AB449" s="48" t="str">
        <f>IF(Z449="","",_xll.IMDP("STK",$Z449,"현재가"))</f>
        <v/>
      </c>
      <c r="AC449" s="48" t="str">
        <f>IF(Z449="","",_xll.IMDP("STK",$Z449,"전일대비"))</f>
        <v/>
      </c>
      <c r="AD449" s="49" t="str">
        <f>IF(Z449="","",_xll.IMDP("STK",$Z449,"등락률"))</f>
        <v/>
      </c>
      <c r="AE449" s="48" t="str">
        <f>IF(Z449="","",_xll.IMDP("STK",Z449,"시가총액"))</f>
        <v/>
      </c>
      <c r="AF449" s="20" t="str">
        <f t="shared" si="20"/>
        <v/>
      </c>
      <c r="AG449" s="21" t="str">
        <f>IF(AF449="","",_xll.IMDP("STK",$AF449,"한글종목명"))</f>
        <v/>
      </c>
      <c r="AH449" s="48" t="str">
        <f>IF(AF449="","",_xll.IMDP("STK",$AF449,"현재가"))</f>
        <v/>
      </c>
      <c r="AI449" s="48" t="str">
        <f>IF(AF449="","",_xll.IMDP("STK",$AF449,"전일대비"))</f>
        <v/>
      </c>
      <c r="AJ449" s="49" t="str">
        <f>IF(AF449="","",_xll.IMDP("STK",$AF449,"등락률"))</f>
        <v/>
      </c>
      <c r="AK449" s="48" t="str">
        <f>IF(AF449="","",_xll.IMDP("STK",$AF449,"시가총액"))</f>
        <v/>
      </c>
      <c r="AL449" s="20" t="str">
        <f t="shared" si="19"/>
        <v/>
      </c>
      <c r="AM449" s="21" t="str">
        <f>IF(AL449="","",_xll.IMDP("STK",$AL449,"한글종목명"))</f>
        <v/>
      </c>
      <c r="AN449" s="48" t="str">
        <f>IF(AL449="","",_xll.IMDP("STK",$AL449,"현재가"))</f>
        <v/>
      </c>
      <c r="AO449" s="48" t="str">
        <f>IF(AL449="","",_xll.IMDP("STK",$AL449,"전일대비"))</f>
        <v/>
      </c>
      <c r="AP449" s="49" t="str">
        <f>IF(AL449="","",_xll.IMDP("STK",$AL449,"등락률"))</f>
        <v/>
      </c>
      <c r="AQ449" s="48" t="str">
        <f>IF(AL449="","",_xll.IMDP("STK",$AL449,"시가총액"))</f>
        <v/>
      </c>
    </row>
    <row r="450" spans="3:43" x14ac:dyDescent="0.25">
      <c r="C450" s="22">
        <v>445</v>
      </c>
      <c r="Y450" s="25" t="s">
        <v>619</v>
      </c>
      <c r="Z450" s="20" t="str">
        <f t="shared" si="18"/>
        <v/>
      </c>
      <c r="AA450" s="21" t="str">
        <f>IF(Z450="","",_xll.IMDP("STK",$Z450,"한글종목명"))</f>
        <v/>
      </c>
      <c r="AB450" s="48" t="str">
        <f>IF(Z450="","",_xll.IMDP("STK",$Z450,"현재가"))</f>
        <v/>
      </c>
      <c r="AC450" s="48" t="str">
        <f>IF(Z450="","",_xll.IMDP("STK",$Z450,"전일대비"))</f>
        <v/>
      </c>
      <c r="AD450" s="49" t="str">
        <f>IF(Z450="","",_xll.IMDP("STK",$Z450,"등락률"))</f>
        <v/>
      </c>
      <c r="AE450" s="48" t="str">
        <f>IF(Z450="","",_xll.IMDP("STK",Z450,"시가총액"))</f>
        <v/>
      </c>
      <c r="AF450" s="20" t="str">
        <f t="shared" si="20"/>
        <v/>
      </c>
      <c r="AG450" s="21" t="str">
        <f>IF(AF450="","",_xll.IMDP("STK",$AF450,"한글종목명"))</f>
        <v/>
      </c>
      <c r="AH450" s="48" t="str">
        <f>IF(AF450="","",_xll.IMDP("STK",$AF450,"현재가"))</f>
        <v/>
      </c>
      <c r="AI450" s="48" t="str">
        <f>IF(AF450="","",_xll.IMDP("STK",$AF450,"전일대비"))</f>
        <v/>
      </c>
      <c r="AJ450" s="49" t="str">
        <f>IF(AF450="","",_xll.IMDP("STK",$AF450,"등락률"))</f>
        <v/>
      </c>
      <c r="AK450" s="48" t="str">
        <f>IF(AF450="","",_xll.IMDP("STK",$AF450,"시가총액"))</f>
        <v/>
      </c>
      <c r="AL450" s="20" t="str">
        <f t="shared" si="19"/>
        <v/>
      </c>
      <c r="AM450" s="21" t="str">
        <f>IF(AL450="","",_xll.IMDP("STK",$AL450,"한글종목명"))</f>
        <v/>
      </c>
      <c r="AN450" s="48" t="str">
        <f>IF(AL450="","",_xll.IMDP("STK",$AL450,"현재가"))</f>
        <v/>
      </c>
      <c r="AO450" s="48" t="str">
        <f>IF(AL450="","",_xll.IMDP("STK",$AL450,"전일대비"))</f>
        <v/>
      </c>
      <c r="AP450" s="49" t="str">
        <f>IF(AL450="","",_xll.IMDP("STK",$AL450,"등락률"))</f>
        <v/>
      </c>
      <c r="AQ450" s="48" t="str">
        <f>IF(AL450="","",_xll.IMDP("STK",$AL450,"시가총액"))</f>
        <v/>
      </c>
    </row>
    <row r="451" spans="3:43" x14ac:dyDescent="0.25">
      <c r="C451" s="22">
        <v>446</v>
      </c>
      <c r="Y451" s="25" t="s">
        <v>458</v>
      </c>
      <c r="Z451" s="20" t="str">
        <f t="shared" si="18"/>
        <v/>
      </c>
      <c r="AA451" s="21" t="str">
        <f>IF(Z451="","",_xll.IMDP("STK",$Z451,"한글종목명"))</f>
        <v/>
      </c>
      <c r="AB451" s="48" t="str">
        <f>IF(Z451="","",_xll.IMDP("STK",$Z451,"현재가"))</f>
        <v/>
      </c>
      <c r="AC451" s="48" t="str">
        <f>IF(Z451="","",_xll.IMDP("STK",$Z451,"전일대비"))</f>
        <v/>
      </c>
      <c r="AD451" s="49" t="str">
        <f>IF(Z451="","",_xll.IMDP("STK",$Z451,"등락률"))</f>
        <v/>
      </c>
      <c r="AE451" s="48" t="str">
        <f>IF(Z451="","",_xll.IMDP("STK",Z451,"시가총액"))</f>
        <v/>
      </c>
      <c r="AF451" s="20" t="str">
        <f t="shared" si="20"/>
        <v/>
      </c>
      <c r="AG451" s="21" t="str">
        <f>IF(AF451="","",_xll.IMDP("STK",$AF451,"한글종목명"))</f>
        <v/>
      </c>
      <c r="AH451" s="48" t="str">
        <f>IF(AF451="","",_xll.IMDP("STK",$AF451,"현재가"))</f>
        <v/>
      </c>
      <c r="AI451" s="48" t="str">
        <f>IF(AF451="","",_xll.IMDP("STK",$AF451,"전일대비"))</f>
        <v/>
      </c>
      <c r="AJ451" s="49" t="str">
        <f>IF(AF451="","",_xll.IMDP("STK",$AF451,"등락률"))</f>
        <v/>
      </c>
      <c r="AK451" s="48" t="str">
        <f>IF(AF451="","",_xll.IMDP("STK",$AF451,"시가총액"))</f>
        <v/>
      </c>
      <c r="AL451" s="20" t="str">
        <f t="shared" si="19"/>
        <v/>
      </c>
      <c r="AM451" s="21" t="str">
        <f>IF(AL451="","",_xll.IMDP("STK",$AL451,"한글종목명"))</f>
        <v/>
      </c>
      <c r="AN451" s="48" t="str">
        <f>IF(AL451="","",_xll.IMDP("STK",$AL451,"현재가"))</f>
        <v/>
      </c>
      <c r="AO451" s="48" t="str">
        <f>IF(AL451="","",_xll.IMDP("STK",$AL451,"전일대비"))</f>
        <v/>
      </c>
      <c r="AP451" s="49" t="str">
        <f>IF(AL451="","",_xll.IMDP("STK",$AL451,"등락률"))</f>
        <v/>
      </c>
      <c r="AQ451" s="48" t="str">
        <f>IF(AL451="","",_xll.IMDP("STK",$AL451,"시가총액"))</f>
        <v/>
      </c>
    </row>
    <row r="452" spans="3:43" x14ac:dyDescent="0.25">
      <c r="C452" s="22">
        <v>447</v>
      </c>
      <c r="Y452" s="25" t="s">
        <v>343</v>
      </c>
      <c r="Z452" s="20" t="str">
        <f t="shared" si="18"/>
        <v/>
      </c>
      <c r="AA452" s="21" t="str">
        <f>IF(Z452="","",_xll.IMDP("STK",$Z452,"한글종목명"))</f>
        <v/>
      </c>
      <c r="AB452" s="48" t="str">
        <f>IF(Z452="","",_xll.IMDP("STK",$Z452,"현재가"))</f>
        <v/>
      </c>
      <c r="AC452" s="48" t="str">
        <f>IF(Z452="","",_xll.IMDP("STK",$Z452,"전일대비"))</f>
        <v/>
      </c>
      <c r="AD452" s="49" t="str">
        <f>IF(Z452="","",_xll.IMDP("STK",$Z452,"등락률"))</f>
        <v/>
      </c>
      <c r="AE452" s="48" t="str">
        <f>IF(Z452="","",_xll.IMDP("STK",Z452,"시가총액"))</f>
        <v/>
      </c>
      <c r="AF452" s="20" t="str">
        <f t="shared" si="20"/>
        <v/>
      </c>
      <c r="AG452" s="21" t="str">
        <f>IF(AF452="","",_xll.IMDP("STK",$AF452,"한글종목명"))</f>
        <v/>
      </c>
      <c r="AH452" s="48" t="str">
        <f>IF(AF452="","",_xll.IMDP("STK",$AF452,"현재가"))</f>
        <v/>
      </c>
      <c r="AI452" s="48" t="str">
        <f>IF(AF452="","",_xll.IMDP("STK",$AF452,"전일대비"))</f>
        <v/>
      </c>
      <c r="AJ452" s="49" t="str">
        <f>IF(AF452="","",_xll.IMDP("STK",$AF452,"등락률"))</f>
        <v/>
      </c>
      <c r="AK452" s="48" t="str">
        <f>IF(AF452="","",_xll.IMDP("STK",$AF452,"시가총액"))</f>
        <v/>
      </c>
      <c r="AL452" s="20" t="str">
        <f t="shared" si="19"/>
        <v/>
      </c>
      <c r="AM452" s="21" t="str">
        <f>IF(AL452="","",_xll.IMDP("STK",$AL452,"한글종목명"))</f>
        <v/>
      </c>
      <c r="AN452" s="48" t="str">
        <f>IF(AL452="","",_xll.IMDP("STK",$AL452,"현재가"))</f>
        <v/>
      </c>
      <c r="AO452" s="48" t="str">
        <f>IF(AL452="","",_xll.IMDP("STK",$AL452,"전일대비"))</f>
        <v/>
      </c>
      <c r="AP452" s="49" t="str">
        <f>IF(AL452="","",_xll.IMDP("STK",$AL452,"등락률"))</f>
        <v/>
      </c>
      <c r="AQ452" s="48" t="str">
        <f>IF(AL452="","",_xll.IMDP("STK",$AL452,"시가총액"))</f>
        <v/>
      </c>
    </row>
    <row r="453" spans="3:43" x14ac:dyDescent="0.25">
      <c r="C453" s="22">
        <v>448</v>
      </c>
      <c r="Y453" s="25" t="s">
        <v>459</v>
      </c>
      <c r="Z453" s="20" t="str">
        <f t="shared" si="18"/>
        <v/>
      </c>
      <c r="AA453" s="21" t="str">
        <f>IF(Z453="","",_xll.IMDP("STK",$Z453,"한글종목명"))</f>
        <v/>
      </c>
      <c r="AB453" s="48" t="str">
        <f>IF(Z453="","",_xll.IMDP("STK",$Z453,"현재가"))</f>
        <v/>
      </c>
      <c r="AC453" s="48" t="str">
        <f>IF(Z453="","",_xll.IMDP("STK",$Z453,"전일대비"))</f>
        <v/>
      </c>
      <c r="AD453" s="49" t="str">
        <f>IF(Z453="","",_xll.IMDP("STK",$Z453,"등락률"))</f>
        <v/>
      </c>
      <c r="AE453" s="48" t="str">
        <f>IF(Z453="","",_xll.IMDP("STK",Z453,"시가총액"))</f>
        <v/>
      </c>
      <c r="AF453" s="20" t="str">
        <f t="shared" si="20"/>
        <v/>
      </c>
      <c r="AG453" s="21" t="str">
        <f>IF(AF453="","",_xll.IMDP("STK",$AF453,"한글종목명"))</f>
        <v/>
      </c>
      <c r="AH453" s="48" t="str">
        <f>IF(AF453="","",_xll.IMDP("STK",$AF453,"현재가"))</f>
        <v/>
      </c>
      <c r="AI453" s="48" t="str">
        <f>IF(AF453="","",_xll.IMDP("STK",$AF453,"전일대비"))</f>
        <v/>
      </c>
      <c r="AJ453" s="49" t="str">
        <f>IF(AF453="","",_xll.IMDP("STK",$AF453,"등락률"))</f>
        <v/>
      </c>
      <c r="AK453" s="48" t="str">
        <f>IF(AF453="","",_xll.IMDP("STK",$AF453,"시가총액"))</f>
        <v/>
      </c>
      <c r="AL453" s="20" t="str">
        <f t="shared" si="19"/>
        <v/>
      </c>
      <c r="AM453" s="21" t="str">
        <f>IF(AL453="","",_xll.IMDP("STK",$AL453,"한글종목명"))</f>
        <v/>
      </c>
      <c r="AN453" s="48" t="str">
        <f>IF(AL453="","",_xll.IMDP("STK",$AL453,"현재가"))</f>
        <v/>
      </c>
      <c r="AO453" s="48" t="str">
        <f>IF(AL453="","",_xll.IMDP("STK",$AL453,"전일대비"))</f>
        <v/>
      </c>
      <c r="AP453" s="49" t="str">
        <f>IF(AL453="","",_xll.IMDP("STK",$AL453,"등락률"))</f>
        <v/>
      </c>
      <c r="AQ453" s="48" t="str">
        <f>IF(AL453="","",_xll.IMDP("STK",$AL453,"시가총액"))</f>
        <v/>
      </c>
    </row>
    <row r="454" spans="3:43" x14ac:dyDescent="0.25">
      <c r="C454" s="22">
        <v>449</v>
      </c>
      <c r="Y454" s="25" t="s">
        <v>460</v>
      </c>
      <c r="Z454" s="20" t="str">
        <f t="shared" ref="Z454:Z517" si="21">IF(INDEX($D$6:$Y$525,$C454,$AA$4)=0,"",INDEX($D$6:$Y$525,$C454,$AA$4))</f>
        <v/>
      </c>
      <c r="AA454" s="21" t="str">
        <f>IF(Z454="","",_xll.IMDP("STK",$Z454,"한글종목명"))</f>
        <v/>
      </c>
      <c r="AB454" s="48" t="str">
        <f>IF(Z454="","",_xll.IMDP("STK",$Z454,"현재가"))</f>
        <v/>
      </c>
      <c r="AC454" s="48" t="str">
        <f>IF(Z454="","",_xll.IMDP("STK",$Z454,"전일대비"))</f>
        <v/>
      </c>
      <c r="AD454" s="49" t="str">
        <f>IF(Z454="","",_xll.IMDP("STK",$Z454,"등락률"))</f>
        <v/>
      </c>
      <c r="AE454" s="48" t="str">
        <f>IF(Z454="","",_xll.IMDP("STK",Z454,"시가총액"))</f>
        <v/>
      </c>
      <c r="AF454" s="20" t="str">
        <f t="shared" si="20"/>
        <v/>
      </c>
      <c r="AG454" s="21" t="str">
        <f>IF(AF454="","",_xll.IMDP("STK",$AF454,"한글종목명"))</f>
        <v/>
      </c>
      <c r="AH454" s="48" t="str">
        <f>IF(AF454="","",_xll.IMDP("STK",$AF454,"현재가"))</f>
        <v/>
      </c>
      <c r="AI454" s="48" t="str">
        <f>IF(AF454="","",_xll.IMDP("STK",$AF454,"전일대비"))</f>
        <v/>
      </c>
      <c r="AJ454" s="49" t="str">
        <f>IF(AF454="","",_xll.IMDP("STK",$AF454,"등락률"))</f>
        <v/>
      </c>
      <c r="AK454" s="48" t="str">
        <f>IF(AF454="","",_xll.IMDP("STK",$AF454,"시가총액"))</f>
        <v/>
      </c>
      <c r="AL454" s="20" t="str">
        <f t="shared" ref="AL454:AL517" si="22">IF(INDEX($D$6:$Y$525,$C454,$AM$4)=0,"",INDEX($D$6:$Y$525,$C454,$AM$4))</f>
        <v/>
      </c>
      <c r="AM454" s="21" t="str">
        <f>IF(AL454="","",_xll.IMDP("STK",$AL454,"한글종목명"))</f>
        <v/>
      </c>
      <c r="AN454" s="48" t="str">
        <f>IF(AL454="","",_xll.IMDP("STK",$AL454,"현재가"))</f>
        <v/>
      </c>
      <c r="AO454" s="48" t="str">
        <f>IF(AL454="","",_xll.IMDP("STK",$AL454,"전일대비"))</f>
        <v/>
      </c>
      <c r="AP454" s="49" t="str">
        <f>IF(AL454="","",_xll.IMDP("STK",$AL454,"등락률"))</f>
        <v/>
      </c>
      <c r="AQ454" s="48" t="str">
        <f>IF(AL454="","",_xll.IMDP("STK",$AL454,"시가총액"))</f>
        <v/>
      </c>
    </row>
    <row r="455" spans="3:43" x14ac:dyDescent="0.25">
      <c r="C455" s="22">
        <v>450</v>
      </c>
      <c r="Y455" s="25" t="s">
        <v>379</v>
      </c>
      <c r="Z455" s="20" t="str">
        <f t="shared" si="21"/>
        <v/>
      </c>
      <c r="AA455" s="21" t="str">
        <f>IF(Z455="","",_xll.IMDP("STK",$Z455,"한글종목명"))</f>
        <v/>
      </c>
      <c r="AB455" s="48" t="str">
        <f>IF(Z455="","",_xll.IMDP("STK",$Z455,"현재가"))</f>
        <v/>
      </c>
      <c r="AC455" s="48" t="str">
        <f>IF(Z455="","",_xll.IMDP("STK",$Z455,"전일대비"))</f>
        <v/>
      </c>
      <c r="AD455" s="49" t="str">
        <f>IF(Z455="","",_xll.IMDP("STK",$Z455,"등락률"))</f>
        <v/>
      </c>
      <c r="AE455" s="48" t="str">
        <f>IF(Z455="","",_xll.IMDP("STK",Z455,"시가총액"))</f>
        <v/>
      </c>
      <c r="AF455" s="20" t="str">
        <f t="shared" ref="AF455:AF518" si="23">IF(INDEX($D$6:$Y$525,$C455,$AG$4)=0,"",INDEX($D$6:$Y$525,$C455,$AG$4))</f>
        <v/>
      </c>
      <c r="AG455" s="21" t="str">
        <f>IF(AF455="","",_xll.IMDP("STK",$AF455,"한글종목명"))</f>
        <v/>
      </c>
      <c r="AH455" s="48" t="str">
        <f>IF(AF455="","",_xll.IMDP("STK",$AF455,"현재가"))</f>
        <v/>
      </c>
      <c r="AI455" s="48" t="str">
        <f>IF(AF455="","",_xll.IMDP("STK",$AF455,"전일대비"))</f>
        <v/>
      </c>
      <c r="AJ455" s="49" t="str">
        <f>IF(AF455="","",_xll.IMDP("STK",$AF455,"등락률"))</f>
        <v/>
      </c>
      <c r="AK455" s="48" t="str">
        <f>IF(AF455="","",_xll.IMDP("STK",$AF455,"시가총액"))</f>
        <v/>
      </c>
      <c r="AL455" s="20" t="str">
        <f t="shared" si="22"/>
        <v/>
      </c>
      <c r="AM455" s="21" t="str">
        <f>IF(AL455="","",_xll.IMDP("STK",$AL455,"한글종목명"))</f>
        <v/>
      </c>
      <c r="AN455" s="48" t="str">
        <f>IF(AL455="","",_xll.IMDP("STK",$AL455,"현재가"))</f>
        <v/>
      </c>
      <c r="AO455" s="48" t="str">
        <f>IF(AL455="","",_xll.IMDP("STK",$AL455,"전일대비"))</f>
        <v/>
      </c>
      <c r="AP455" s="49" t="str">
        <f>IF(AL455="","",_xll.IMDP("STK",$AL455,"등락률"))</f>
        <v/>
      </c>
      <c r="AQ455" s="48" t="str">
        <f>IF(AL455="","",_xll.IMDP("STK",$AL455,"시가총액"))</f>
        <v/>
      </c>
    </row>
    <row r="456" spans="3:43" x14ac:dyDescent="0.25">
      <c r="C456" s="22">
        <v>451</v>
      </c>
      <c r="Y456" s="25" t="s">
        <v>547</v>
      </c>
      <c r="Z456" s="20" t="str">
        <f t="shared" si="21"/>
        <v/>
      </c>
      <c r="AA456" s="21" t="str">
        <f>IF(Z456="","",_xll.IMDP("STK",$Z456,"한글종목명"))</f>
        <v/>
      </c>
      <c r="AB456" s="48" t="str">
        <f>IF(Z456="","",_xll.IMDP("STK",$Z456,"현재가"))</f>
        <v/>
      </c>
      <c r="AC456" s="48" t="str">
        <f>IF(Z456="","",_xll.IMDP("STK",$Z456,"전일대비"))</f>
        <v/>
      </c>
      <c r="AD456" s="49" t="str">
        <f>IF(Z456="","",_xll.IMDP("STK",$Z456,"등락률"))</f>
        <v/>
      </c>
      <c r="AE456" s="48" t="str">
        <f>IF(Z456="","",_xll.IMDP("STK",Z456,"시가총액"))</f>
        <v/>
      </c>
      <c r="AF456" s="20" t="str">
        <f t="shared" si="23"/>
        <v/>
      </c>
      <c r="AG456" s="21" t="str">
        <f>IF(AF456="","",_xll.IMDP("STK",$AF456,"한글종목명"))</f>
        <v/>
      </c>
      <c r="AH456" s="48" t="str">
        <f>IF(AF456="","",_xll.IMDP("STK",$AF456,"현재가"))</f>
        <v/>
      </c>
      <c r="AI456" s="48" t="str">
        <f>IF(AF456="","",_xll.IMDP("STK",$AF456,"전일대비"))</f>
        <v/>
      </c>
      <c r="AJ456" s="49" t="str">
        <f>IF(AF456="","",_xll.IMDP("STK",$AF456,"등락률"))</f>
        <v/>
      </c>
      <c r="AK456" s="48" t="str">
        <f>IF(AF456="","",_xll.IMDP("STK",$AF456,"시가총액"))</f>
        <v/>
      </c>
      <c r="AL456" s="20" t="str">
        <f t="shared" si="22"/>
        <v/>
      </c>
      <c r="AM456" s="21" t="str">
        <f>IF(AL456="","",_xll.IMDP("STK",$AL456,"한글종목명"))</f>
        <v/>
      </c>
      <c r="AN456" s="48" t="str">
        <f>IF(AL456="","",_xll.IMDP("STK",$AL456,"현재가"))</f>
        <v/>
      </c>
      <c r="AO456" s="48" t="str">
        <f>IF(AL456="","",_xll.IMDP("STK",$AL456,"전일대비"))</f>
        <v/>
      </c>
      <c r="AP456" s="49" t="str">
        <f>IF(AL456="","",_xll.IMDP("STK",$AL456,"등락률"))</f>
        <v/>
      </c>
      <c r="AQ456" s="48" t="str">
        <f>IF(AL456="","",_xll.IMDP("STK",$AL456,"시가총액"))</f>
        <v/>
      </c>
    </row>
    <row r="457" spans="3:43" x14ac:dyDescent="0.25">
      <c r="C457" s="22">
        <v>452</v>
      </c>
      <c r="Y457" s="25" t="s">
        <v>503</v>
      </c>
      <c r="Z457" s="20" t="str">
        <f t="shared" si="21"/>
        <v/>
      </c>
      <c r="AA457" s="21" t="str">
        <f>IF(Z457="","",_xll.IMDP("STK",$Z457,"한글종목명"))</f>
        <v/>
      </c>
      <c r="AB457" s="48" t="str">
        <f>IF(Z457="","",_xll.IMDP("STK",$Z457,"현재가"))</f>
        <v/>
      </c>
      <c r="AC457" s="48" t="str">
        <f>IF(Z457="","",_xll.IMDP("STK",$Z457,"전일대비"))</f>
        <v/>
      </c>
      <c r="AD457" s="49" t="str">
        <f>IF(Z457="","",_xll.IMDP("STK",$Z457,"등락률"))</f>
        <v/>
      </c>
      <c r="AE457" s="48" t="str">
        <f>IF(Z457="","",_xll.IMDP("STK",Z457,"시가총액"))</f>
        <v/>
      </c>
      <c r="AF457" s="20" t="str">
        <f t="shared" si="23"/>
        <v/>
      </c>
      <c r="AG457" s="21" t="str">
        <f>IF(AF457="","",_xll.IMDP("STK",$AF457,"한글종목명"))</f>
        <v/>
      </c>
      <c r="AH457" s="48" t="str">
        <f>IF(AF457="","",_xll.IMDP("STK",$AF457,"현재가"))</f>
        <v/>
      </c>
      <c r="AI457" s="48" t="str">
        <f>IF(AF457="","",_xll.IMDP("STK",$AF457,"전일대비"))</f>
        <v/>
      </c>
      <c r="AJ457" s="49" t="str">
        <f>IF(AF457="","",_xll.IMDP("STK",$AF457,"등락률"))</f>
        <v/>
      </c>
      <c r="AK457" s="48" t="str">
        <f>IF(AF457="","",_xll.IMDP("STK",$AF457,"시가총액"))</f>
        <v/>
      </c>
      <c r="AL457" s="20" t="str">
        <f t="shared" si="22"/>
        <v/>
      </c>
      <c r="AM457" s="21" t="str">
        <f>IF(AL457="","",_xll.IMDP("STK",$AL457,"한글종목명"))</f>
        <v/>
      </c>
      <c r="AN457" s="48" t="str">
        <f>IF(AL457="","",_xll.IMDP("STK",$AL457,"현재가"))</f>
        <v/>
      </c>
      <c r="AO457" s="48" t="str">
        <f>IF(AL457="","",_xll.IMDP("STK",$AL457,"전일대비"))</f>
        <v/>
      </c>
      <c r="AP457" s="49" t="str">
        <f>IF(AL457="","",_xll.IMDP("STK",$AL457,"등락률"))</f>
        <v/>
      </c>
      <c r="AQ457" s="48" t="str">
        <f>IF(AL457="","",_xll.IMDP("STK",$AL457,"시가총액"))</f>
        <v/>
      </c>
    </row>
    <row r="458" spans="3:43" x14ac:dyDescent="0.25">
      <c r="C458" s="22">
        <v>453</v>
      </c>
      <c r="Y458" s="25" t="s">
        <v>504</v>
      </c>
      <c r="Z458" s="20" t="str">
        <f t="shared" si="21"/>
        <v/>
      </c>
      <c r="AA458" s="21" t="str">
        <f>IF(Z458="","",_xll.IMDP("STK",$Z458,"한글종목명"))</f>
        <v/>
      </c>
      <c r="AB458" s="48" t="str">
        <f>IF(Z458="","",_xll.IMDP("STK",$Z458,"현재가"))</f>
        <v/>
      </c>
      <c r="AC458" s="48" t="str">
        <f>IF(Z458="","",_xll.IMDP("STK",$Z458,"전일대비"))</f>
        <v/>
      </c>
      <c r="AD458" s="49" t="str">
        <f>IF(Z458="","",_xll.IMDP("STK",$Z458,"등락률"))</f>
        <v/>
      </c>
      <c r="AE458" s="48" t="str">
        <f>IF(Z458="","",_xll.IMDP("STK",Z458,"시가총액"))</f>
        <v/>
      </c>
      <c r="AF458" s="20" t="str">
        <f t="shared" si="23"/>
        <v/>
      </c>
      <c r="AG458" s="21" t="str">
        <f>IF(AF458="","",_xll.IMDP("STK",$AF458,"한글종목명"))</f>
        <v/>
      </c>
      <c r="AH458" s="48" t="str">
        <f>IF(AF458="","",_xll.IMDP("STK",$AF458,"현재가"))</f>
        <v/>
      </c>
      <c r="AI458" s="48" t="str">
        <f>IF(AF458="","",_xll.IMDP("STK",$AF458,"전일대비"))</f>
        <v/>
      </c>
      <c r="AJ458" s="49" t="str">
        <f>IF(AF458="","",_xll.IMDP("STK",$AF458,"등락률"))</f>
        <v/>
      </c>
      <c r="AK458" s="48" t="str">
        <f>IF(AF458="","",_xll.IMDP("STK",$AF458,"시가총액"))</f>
        <v/>
      </c>
      <c r="AL458" s="20" t="str">
        <f t="shared" si="22"/>
        <v/>
      </c>
      <c r="AM458" s="21" t="str">
        <f>IF(AL458="","",_xll.IMDP("STK",$AL458,"한글종목명"))</f>
        <v/>
      </c>
      <c r="AN458" s="48" t="str">
        <f>IF(AL458="","",_xll.IMDP("STK",$AL458,"현재가"))</f>
        <v/>
      </c>
      <c r="AO458" s="48" t="str">
        <f>IF(AL458="","",_xll.IMDP("STK",$AL458,"전일대비"))</f>
        <v/>
      </c>
      <c r="AP458" s="49" t="str">
        <f>IF(AL458="","",_xll.IMDP("STK",$AL458,"등락률"))</f>
        <v/>
      </c>
      <c r="AQ458" s="48" t="str">
        <f>IF(AL458="","",_xll.IMDP("STK",$AL458,"시가총액"))</f>
        <v/>
      </c>
    </row>
    <row r="459" spans="3:43" x14ac:dyDescent="0.25">
      <c r="C459" s="22">
        <v>454</v>
      </c>
      <c r="Y459" s="25" t="s">
        <v>548</v>
      </c>
      <c r="Z459" s="20" t="str">
        <f t="shared" si="21"/>
        <v/>
      </c>
      <c r="AA459" s="21" t="str">
        <f>IF(Z459="","",_xll.IMDP("STK",$Z459,"한글종목명"))</f>
        <v/>
      </c>
      <c r="AB459" s="48" t="str">
        <f>IF(Z459="","",_xll.IMDP("STK",$Z459,"현재가"))</f>
        <v/>
      </c>
      <c r="AC459" s="48" t="str">
        <f>IF(Z459="","",_xll.IMDP("STK",$Z459,"전일대비"))</f>
        <v/>
      </c>
      <c r="AD459" s="49" t="str">
        <f>IF(Z459="","",_xll.IMDP("STK",$Z459,"등락률"))</f>
        <v/>
      </c>
      <c r="AE459" s="48" t="str">
        <f>IF(Z459="","",_xll.IMDP("STK",Z459,"시가총액"))</f>
        <v/>
      </c>
      <c r="AF459" s="20" t="str">
        <f t="shared" si="23"/>
        <v/>
      </c>
      <c r="AG459" s="21" t="str">
        <f>IF(AF459="","",_xll.IMDP("STK",$AF459,"한글종목명"))</f>
        <v/>
      </c>
      <c r="AH459" s="48" t="str">
        <f>IF(AF459="","",_xll.IMDP("STK",$AF459,"현재가"))</f>
        <v/>
      </c>
      <c r="AI459" s="48" t="str">
        <f>IF(AF459="","",_xll.IMDP("STK",$AF459,"전일대비"))</f>
        <v/>
      </c>
      <c r="AJ459" s="49" t="str">
        <f>IF(AF459="","",_xll.IMDP("STK",$AF459,"등락률"))</f>
        <v/>
      </c>
      <c r="AK459" s="48" t="str">
        <f>IF(AF459="","",_xll.IMDP("STK",$AF459,"시가총액"))</f>
        <v/>
      </c>
      <c r="AL459" s="20" t="str">
        <f t="shared" si="22"/>
        <v/>
      </c>
      <c r="AM459" s="21" t="str">
        <f>IF(AL459="","",_xll.IMDP("STK",$AL459,"한글종목명"))</f>
        <v/>
      </c>
      <c r="AN459" s="48" t="str">
        <f>IF(AL459="","",_xll.IMDP("STK",$AL459,"현재가"))</f>
        <v/>
      </c>
      <c r="AO459" s="48" t="str">
        <f>IF(AL459="","",_xll.IMDP("STK",$AL459,"전일대비"))</f>
        <v/>
      </c>
      <c r="AP459" s="49" t="str">
        <f>IF(AL459="","",_xll.IMDP("STK",$AL459,"등락률"))</f>
        <v/>
      </c>
      <c r="AQ459" s="48" t="str">
        <f>IF(AL459="","",_xll.IMDP("STK",$AL459,"시가총액"))</f>
        <v/>
      </c>
    </row>
    <row r="460" spans="3:43" x14ac:dyDescent="0.25">
      <c r="C460" s="22">
        <v>455</v>
      </c>
      <c r="Y460" s="25" t="s">
        <v>344</v>
      </c>
      <c r="Z460" s="20" t="str">
        <f t="shared" si="21"/>
        <v/>
      </c>
      <c r="AA460" s="21" t="str">
        <f>IF(Z460="","",_xll.IMDP("STK",$Z460,"한글종목명"))</f>
        <v/>
      </c>
      <c r="AB460" s="48" t="str">
        <f>IF(Z460="","",_xll.IMDP("STK",$Z460,"현재가"))</f>
        <v/>
      </c>
      <c r="AC460" s="48" t="str">
        <f>IF(Z460="","",_xll.IMDP("STK",$Z460,"전일대비"))</f>
        <v/>
      </c>
      <c r="AD460" s="49" t="str">
        <f>IF(Z460="","",_xll.IMDP("STK",$Z460,"등락률"))</f>
        <v/>
      </c>
      <c r="AE460" s="48" t="str">
        <f>IF(Z460="","",_xll.IMDP("STK",Z460,"시가총액"))</f>
        <v/>
      </c>
      <c r="AF460" s="20" t="str">
        <f t="shared" si="23"/>
        <v/>
      </c>
      <c r="AG460" s="21" t="str">
        <f>IF(AF460="","",_xll.IMDP("STK",$AF460,"한글종목명"))</f>
        <v/>
      </c>
      <c r="AH460" s="48" t="str">
        <f>IF(AF460="","",_xll.IMDP("STK",$AF460,"현재가"))</f>
        <v/>
      </c>
      <c r="AI460" s="48" t="str">
        <f>IF(AF460="","",_xll.IMDP("STK",$AF460,"전일대비"))</f>
        <v/>
      </c>
      <c r="AJ460" s="49" t="str">
        <f>IF(AF460="","",_xll.IMDP("STK",$AF460,"등락률"))</f>
        <v/>
      </c>
      <c r="AK460" s="48" t="str">
        <f>IF(AF460="","",_xll.IMDP("STK",$AF460,"시가총액"))</f>
        <v/>
      </c>
      <c r="AL460" s="20" t="str">
        <f t="shared" si="22"/>
        <v/>
      </c>
      <c r="AM460" s="21" t="str">
        <f>IF(AL460="","",_xll.IMDP("STK",$AL460,"한글종목명"))</f>
        <v/>
      </c>
      <c r="AN460" s="48" t="str">
        <f>IF(AL460="","",_xll.IMDP("STK",$AL460,"현재가"))</f>
        <v/>
      </c>
      <c r="AO460" s="48" t="str">
        <f>IF(AL460="","",_xll.IMDP("STK",$AL460,"전일대비"))</f>
        <v/>
      </c>
      <c r="AP460" s="49" t="str">
        <f>IF(AL460="","",_xll.IMDP("STK",$AL460,"등락률"))</f>
        <v/>
      </c>
      <c r="AQ460" s="48" t="str">
        <f>IF(AL460="","",_xll.IMDP("STK",$AL460,"시가총액"))</f>
        <v/>
      </c>
    </row>
    <row r="461" spans="3:43" x14ac:dyDescent="0.25">
      <c r="C461" s="22">
        <v>456</v>
      </c>
      <c r="Y461" s="25" t="s">
        <v>345</v>
      </c>
      <c r="Z461" s="20" t="str">
        <f t="shared" si="21"/>
        <v/>
      </c>
      <c r="AA461" s="21" t="str">
        <f>IF(Z461="","",_xll.IMDP("STK",$Z461,"한글종목명"))</f>
        <v/>
      </c>
      <c r="AB461" s="48" t="str">
        <f>IF(Z461="","",_xll.IMDP("STK",$Z461,"현재가"))</f>
        <v/>
      </c>
      <c r="AC461" s="48" t="str">
        <f>IF(Z461="","",_xll.IMDP("STK",$Z461,"전일대비"))</f>
        <v/>
      </c>
      <c r="AD461" s="49" t="str">
        <f>IF(Z461="","",_xll.IMDP("STK",$Z461,"등락률"))</f>
        <v/>
      </c>
      <c r="AE461" s="48" t="str">
        <f>IF(Z461="","",_xll.IMDP("STK",Z461,"시가총액"))</f>
        <v/>
      </c>
      <c r="AF461" s="20" t="str">
        <f t="shared" si="23"/>
        <v/>
      </c>
      <c r="AG461" s="21" t="str">
        <f>IF(AF461="","",_xll.IMDP("STK",$AF461,"한글종목명"))</f>
        <v/>
      </c>
      <c r="AH461" s="48" t="str">
        <f>IF(AF461="","",_xll.IMDP("STK",$AF461,"현재가"))</f>
        <v/>
      </c>
      <c r="AI461" s="48" t="str">
        <f>IF(AF461="","",_xll.IMDP("STK",$AF461,"전일대비"))</f>
        <v/>
      </c>
      <c r="AJ461" s="49" t="str">
        <f>IF(AF461="","",_xll.IMDP("STK",$AF461,"등락률"))</f>
        <v/>
      </c>
      <c r="AK461" s="48" t="str">
        <f>IF(AF461="","",_xll.IMDP("STK",$AF461,"시가총액"))</f>
        <v/>
      </c>
      <c r="AL461" s="20" t="str">
        <f t="shared" si="22"/>
        <v/>
      </c>
      <c r="AM461" s="21" t="str">
        <f>IF(AL461="","",_xll.IMDP("STK",$AL461,"한글종목명"))</f>
        <v/>
      </c>
      <c r="AN461" s="48" t="str">
        <f>IF(AL461="","",_xll.IMDP("STK",$AL461,"현재가"))</f>
        <v/>
      </c>
      <c r="AO461" s="48" t="str">
        <f>IF(AL461="","",_xll.IMDP("STK",$AL461,"전일대비"))</f>
        <v/>
      </c>
      <c r="AP461" s="49" t="str">
        <f>IF(AL461="","",_xll.IMDP("STK",$AL461,"등락률"))</f>
        <v/>
      </c>
      <c r="AQ461" s="48" t="str">
        <f>IF(AL461="","",_xll.IMDP("STK",$AL461,"시가총액"))</f>
        <v/>
      </c>
    </row>
    <row r="462" spans="3:43" x14ac:dyDescent="0.25">
      <c r="C462" s="22">
        <v>457</v>
      </c>
      <c r="Y462" s="25" t="s">
        <v>505</v>
      </c>
      <c r="Z462" s="20" t="str">
        <f t="shared" si="21"/>
        <v/>
      </c>
      <c r="AA462" s="21" t="str">
        <f>IF(Z462="","",_xll.IMDP("STK",$Z462,"한글종목명"))</f>
        <v/>
      </c>
      <c r="AB462" s="48" t="str">
        <f>IF(Z462="","",_xll.IMDP("STK",$Z462,"현재가"))</f>
        <v/>
      </c>
      <c r="AC462" s="48" t="str">
        <f>IF(Z462="","",_xll.IMDP("STK",$Z462,"전일대비"))</f>
        <v/>
      </c>
      <c r="AD462" s="49" t="str">
        <f>IF(Z462="","",_xll.IMDP("STK",$Z462,"등락률"))</f>
        <v/>
      </c>
      <c r="AE462" s="48" t="str">
        <f>IF(Z462="","",_xll.IMDP("STK",Z462,"시가총액"))</f>
        <v/>
      </c>
      <c r="AF462" s="20" t="str">
        <f t="shared" si="23"/>
        <v/>
      </c>
      <c r="AG462" s="21" t="str">
        <f>IF(AF462="","",_xll.IMDP("STK",$AF462,"한글종목명"))</f>
        <v/>
      </c>
      <c r="AH462" s="48" t="str">
        <f>IF(AF462="","",_xll.IMDP("STK",$AF462,"현재가"))</f>
        <v/>
      </c>
      <c r="AI462" s="48" t="str">
        <f>IF(AF462="","",_xll.IMDP("STK",$AF462,"전일대비"))</f>
        <v/>
      </c>
      <c r="AJ462" s="49" t="str">
        <f>IF(AF462="","",_xll.IMDP("STK",$AF462,"등락률"))</f>
        <v/>
      </c>
      <c r="AK462" s="48" t="str">
        <f>IF(AF462="","",_xll.IMDP("STK",$AF462,"시가총액"))</f>
        <v/>
      </c>
      <c r="AL462" s="20" t="str">
        <f t="shared" si="22"/>
        <v/>
      </c>
      <c r="AM462" s="21" t="str">
        <f>IF(AL462="","",_xll.IMDP("STK",$AL462,"한글종목명"))</f>
        <v/>
      </c>
      <c r="AN462" s="48" t="str">
        <f>IF(AL462="","",_xll.IMDP("STK",$AL462,"현재가"))</f>
        <v/>
      </c>
      <c r="AO462" s="48" t="str">
        <f>IF(AL462="","",_xll.IMDP("STK",$AL462,"전일대비"))</f>
        <v/>
      </c>
      <c r="AP462" s="49" t="str">
        <f>IF(AL462="","",_xll.IMDP("STK",$AL462,"등락률"))</f>
        <v/>
      </c>
      <c r="AQ462" s="48" t="str">
        <f>IF(AL462="","",_xll.IMDP("STK",$AL462,"시가총액"))</f>
        <v/>
      </c>
    </row>
    <row r="463" spans="3:43" x14ac:dyDescent="0.25">
      <c r="C463" s="22">
        <v>458</v>
      </c>
      <c r="Y463" s="25" t="s">
        <v>676</v>
      </c>
      <c r="Z463" s="20" t="str">
        <f t="shared" si="21"/>
        <v/>
      </c>
      <c r="AA463" s="21" t="str">
        <f>IF(Z463="","",_xll.IMDP("STK",$Z463,"한글종목명"))</f>
        <v/>
      </c>
      <c r="AB463" s="48" t="str">
        <f>IF(Z463="","",_xll.IMDP("STK",$Z463,"현재가"))</f>
        <v/>
      </c>
      <c r="AC463" s="48" t="str">
        <f>IF(Z463="","",_xll.IMDP("STK",$Z463,"전일대비"))</f>
        <v/>
      </c>
      <c r="AD463" s="49" t="str">
        <f>IF(Z463="","",_xll.IMDP("STK",$Z463,"등락률"))</f>
        <v/>
      </c>
      <c r="AE463" s="48" t="str">
        <f>IF(Z463="","",_xll.IMDP("STK",Z463,"시가총액"))</f>
        <v/>
      </c>
      <c r="AF463" s="20" t="str">
        <f t="shared" si="23"/>
        <v/>
      </c>
      <c r="AG463" s="21" t="str">
        <f>IF(AF463="","",_xll.IMDP("STK",$AF463,"한글종목명"))</f>
        <v/>
      </c>
      <c r="AH463" s="48" t="str">
        <f>IF(AF463="","",_xll.IMDP("STK",$AF463,"현재가"))</f>
        <v/>
      </c>
      <c r="AI463" s="48" t="str">
        <f>IF(AF463="","",_xll.IMDP("STK",$AF463,"전일대비"))</f>
        <v/>
      </c>
      <c r="AJ463" s="49" t="str">
        <f>IF(AF463="","",_xll.IMDP("STK",$AF463,"등락률"))</f>
        <v/>
      </c>
      <c r="AK463" s="48" t="str">
        <f>IF(AF463="","",_xll.IMDP("STK",$AF463,"시가총액"))</f>
        <v/>
      </c>
      <c r="AL463" s="20" t="str">
        <f t="shared" si="22"/>
        <v/>
      </c>
      <c r="AM463" s="21" t="str">
        <f>IF(AL463="","",_xll.IMDP("STK",$AL463,"한글종목명"))</f>
        <v/>
      </c>
      <c r="AN463" s="48" t="str">
        <f>IF(AL463="","",_xll.IMDP("STK",$AL463,"현재가"))</f>
        <v/>
      </c>
      <c r="AO463" s="48" t="str">
        <f>IF(AL463="","",_xll.IMDP("STK",$AL463,"전일대비"))</f>
        <v/>
      </c>
      <c r="AP463" s="49" t="str">
        <f>IF(AL463="","",_xll.IMDP("STK",$AL463,"등락률"))</f>
        <v/>
      </c>
      <c r="AQ463" s="48" t="str">
        <f>IF(AL463="","",_xll.IMDP("STK",$AL463,"시가총액"))</f>
        <v/>
      </c>
    </row>
    <row r="464" spans="3:43" x14ac:dyDescent="0.25">
      <c r="C464" s="22">
        <v>459</v>
      </c>
      <c r="Y464" s="25" t="s">
        <v>677</v>
      </c>
      <c r="Z464" s="20" t="str">
        <f t="shared" si="21"/>
        <v/>
      </c>
      <c r="AA464" s="21" t="str">
        <f>IF(Z464="","",_xll.IMDP("STK",$Z464,"한글종목명"))</f>
        <v/>
      </c>
      <c r="AB464" s="48" t="str">
        <f>IF(Z464="","",_xll.IMDP("STK",$Z464,"현재가"))</f>
        <v/>
      </c>
      <c r="AC464" s="48" t="str">
        <f>IF(Z464="","",_xll.IMDP("STK",$Z464,"전일대비"))</f>
        <v/>
      </c>
      <c r="AD464" s="49" t="str">
        <f>IF(Z464="","",_xll.IMDP("STK",$Z464,"등락률"))</f>
        <v/>
      </c>
      <c r="AE464" s="48" t="str">
        <f>IF(Z464="","",_xll.IMDP("STK",Z464,"시가총액"))</f>
        <v/>
      </c>
      <c r="AF464" s="20" t="str">
        <f t="shared" si="23"/>
        <v/>
      </c>
      <c r="AG464" s="21" t="str">
        <f>IF(AF464="","",_xll.IMDP("STK",$AF464,"한글종목명"))</f>
        <v/>
      </c>
      <c r="AH464" s="48" t="str">
        <f>IF(AF464="","",_xll.IMDP("STK",$AF464,"현재가"))</f>
        <v/>
      </c>
      <c r="AI464" s="48" t="str">
        <f>IF(AF464="","",_xll.IMDP("STK",$AF464,"전일대비"))</f>
        <v/>
      </c>
      <c r="AJ464" s="49" t="str">
        <f>IF(AF464="","",_xll.IMDP("STK",$AF464,"등락률"))</f>
        <v/>
      </c>
      <c r="AK464" s="48" t="str">
        <f>IF(AF464="","",_xll.IMDP("STK",$AF464,"시가총액"))</f>
        <v/>
      </c>
      <c r="AL464" s="20" t="str">
        <f t="shared" si="22"/>
        <v/>
      </c>
      <c r="AM464" s="21" t="str">
        <f>IF(AL464="","",_xll.IMDP("STK",$AL464,"한글종목명"))</f>
        <v/>
      </c>
      <c r="AN464" s="48" t="str">
        <f>IF(AL464="","",_xll.IMDP("STK",$AL464,"현재가"))</f>
        <v/>
      </c>
      <c r="AO464" s="48" t="str">
        <f>IF(AL464="","",_xll.IMDP("STK",$AL464,"전일대비"))</f>
        <v/>
      </c>
      <c r="AP464" s="49" t="str">
        <f>IF(AL464="","",_xll.IMDP("STK",$AL464,"등락률"))</f>
        <v/>
      </c>
      <c r="AQ464" s="48" t="str">
        <f>IF(AL464="","",_xll.IMDP("STK",$AL464,"시가총액"))</f>
        <v/>
      </c>
    </row>
    <row r="465" spans="3:43" x14ac:dyDescent="0.25">
      <c r="C465" s="22">
        <v>460</v>
      </c>
      <c r="Y465" s="25" t="s">
        <v>346</v>
      </c>
      <c r="Z465" s="20" t="str">
        <f t="shared" si="21"/>
        <v/>
      </c>
      <c r="AA465" s="21" t="str">
        <f>IF(Z465="","",_xll.IMDP("STK",$Z465,"한글종목명"))</f>
        <v/>
      </c>
      <c r="AB465" s="48" t="str">
        <f>IF(Z465="","",_xll.IMDP("STK",$Z465,"현재가"))</f>
        <v/>
      </c>
      <c r="AC465" s="48" t="str">
        <f>IF(Z465="","",_xll.IMDP("STK",$Z465,"전일대비"))</f>
        <v/>
      </c>
      <c r="AD465" s="49" t="str">
        <f>IF(Z465="","",_xll.IMDP("STK",$Z465,"등락률"))</f>
        <v/>
      </c>
      <c r="AE465" s="48" t="str">
        <f>IF(Z465="","",_xll.IMDP("STK",Z465,"시가총액"))</f>
        <v/>
      </c>
      <c r="AF465" s="20" t="str">
        <f t="shared" si="23"/>
        <v/>
      </c>
      <c r="AG465" s="21" t="str">
        <f>IF(AF465="","",_xll.IMDP("STK",$AF465,"한글종목명"))</f>
        <v/>
      </c>
      <c r="AH465" s="48" t="str">
        <f>IF(AF465="","",_xll.IMDP("STK",$AF465,"현재가"))</f>
        <v/>
      </c>
      <c r="AI465" s="48" t="str">
        <f>IF(AF465="","",_xll.IMDP("STK",$AF465,"전일대비"))</f>
        <v/>
      </c>
      <c r="AJ465" s="49" t="str">
        <f>IF(AF465="","",_xll.IMDP("STK",$AF465,"등락률"))</f>
        <v/>
      </c>
      <c r="AK465" s="48" t="str">
        <f>IF(AF465="","",_xll.IMDP("STK",$AF465,"시가총액"))</f>
        <v/>
      </c>
      <c r="AL465" s="20" t="str">
        <f t="shared" si="22"/>
        <v/>
      </c>
      <c r="AM465" s="21" t="str">
        <f>IF(AL465="","",_xll.IMDP("STK",$AL465,"한글종목명"))</f>
        <v/>
      </c>
      <c r="AN465" s="48" t="str">
        <f>IF(AL465="","",_xll.IMDP("STK",$AL465,"현재가"))</f>
        <v/>
      </c>
      <c r="AO465" s="48" t="str">
        <f>IF(AL465="","",_xll.IMDP("STK",$AL465,"전일대비"))</f>
        <v/>
      </c>
      <c r="AP465" s="49" t="str">
        <f>IF(AL465="","",_xll.IMDP("STK",$AL465,"등락률"))</f>
        <v/>
      </c>
      <c r="AQ465" s="48" t="str">
        <f>IF(AL465="","",_xll.IMDP("STK",$AL465,"시가총액"))</f>
        <v/>
      </c>
    </row>
    <row r="466" spans="3:43" x14ac:dyDescent="0.25">
      <c r="C466" s="22">
        <v>461</v>
      </c>
      <c r="Y466" s="25" t="s">
        <v>347</v>
      </c>
      <c r="Z466" s="20" t="str">
        <f t="shared" si="21"/>
        <v/>
      </c>
      <c r="AA466" s="21" t="str">
        <f>IF(Z466="","",_xll.IMDP("STK",$Z466,"한글종목명"))</f>
        <v/>
      </c>
      <c r="AB466" s="48" t="str">
        <f>IF(Z466="","",_xll.IMDP("STK",$Z466,"현재가"))</f>
        <v/>
      </c>
      <c r="AC466" s="48" t="str">
        <f>IF(Z466="","",_xll.IMDP("STK",$Z466,"전일대비"))</f>
        <v/>
      </c>
      <c r="AD466" s="49" t="str">
        <f>IF(Z466="","",_xll.IMDP("STK",$Z466,"등락률"))</f>
        <v/>
      </c>
      <c r="AE466" s="48" t="str">
        <f>IF(Z466="","",_xll.IMDP("STK",Z466,"시가총액"))</f>
        <v/>
      </c>
      <c r="AF466" s="20" t="str">
        <f t="shared" si="23"/>
        <v/>
      </c>
      <c r="AG466" s="21" t="str">
        <f>IF(AF466="","",_xll.IMDP("STK",$AF466,"한글종목명"))</f>
        <v/>
      </c>
      <c r="AH466" s="48" t="str">
        <f>IF(AF466="","",_xll.IMDP("STK",$AF466,"현재가"))</f>
        <v/>
      </c>
      <c r="AI466" s="48" t="str">
        <f>IF(AF466="","",_xll.IMDP("STK",$AF466,"전일대비"))</f>
        <v/>
      </c>
      <c r="AJ466" s="49" t="str">
        <f>IF(AF466="","",_xll.IMDP("STK",$AF466,"등락률"))</f>
        <v/>
      </c>
      <c r="AK466" s="48" t="str">
        <f>IF(AF466="","",_xll.IMDP("STK",$AF466,"시가총액"))</f>
        <v/>
      </c>
      <c r="AL466" s="20" t="str">
        <f t="shared" si="22"/>
        <v/>
      </c>
      <c r="AM466" s="21" t="str">
        <f>IF(AL466="","",_xll.IMDP("STK",$AL466,"한글종목명"))</f>
        <v/>
      </c>
      <c r="AN466" s="48" t="str">
        <f>IF(AL466="","",_xll.IMDP("STK",$AL466,"현재가"))</f>
        <v/>
      </c>
      <c r="AO466" s="48" t="str">
        <f>IF(AL466="","",_xll.IMDP("STK",$AL466,"전일대비"))</f>
        <v/>
      </c>
      <c r="AP466" s="49" t="str">
        <f>IF(AL466="","",_xll.IMDP("STK",$AL466,"등락률"))</f>
        <v/>
      </c>
      <c r="AQ466" s="48" t="str">
        <f>IF(AL466="","",_xll.IMDP("STK",$AL466,"시가총액"))</f>
        <v/>
      </c>
    </row>
    <row r="467" spans="3:43" x14ac:dyDescent="0.25">
      <c r="C467" s="22">
        <v>462</v>
      </c>
      <c r="Y467" s="25" t="s">
        <v>427</v>
      </c>
      <c r="Z467" s="20" t="str">
        <f t="shared" si="21"/>
        <v/>
      </c>
      <c r="AA467" s="21" t="str">
        <f>IF(Z467="","",_xll.IMDP("STK",$Z467,"한글종목명"))</f>
        <v/>
      </c>
      <c r="AB467" s="48" t="str">
        <f>IF(Z467="","",_xll.IMDP("STK",$Z467,"현재가"))</f>
        <v/>
      </c>
      <c r="AC467" s="48" t="str">
        <f>IF(Z467="","",_xll.IMDP("STK",$Z467,"전일대비"))</f>
        <v/>
      </c>
      <c r="AD467" s="49" t="str">
        <f>IF(Z467="","",_xll.IMDP("STK",$Z467,"등락률"))</f>
        <v/>
      </c>
      <c r="AE467" s="48" t="str">
        <f>IF(Z467="","",_xll.IMDP("STK",Z467,"시가총액"))</f>
        <v/>
      </c>
      <c r="AF467" s="20" t="str">
        <f t="shared" si="23"/>
        <v/>
      </c>
      <c r="AG467" s="21" t="str">
        <f>IF(AF467="","",_xll.IMDP("STK",$AF467,"한글종목명"))</f>
        <v/>
      </c>
      <c r="AH467" s="48" t="str">
        <f>IF(AF467="","",_xll.IMDP("STK",$AF467,"현재가"))</f>
        <v/>
      </c>
      <c r="AI467" s="48" t="str">
        <f>IF(AF467="","",_xll.IMDP("STK",$AF467,"전일대비"))</f>
        <v/>
      </c>
      <c r="AJ467" s="49" t="str">
        <f>IF(AF467="","",_xll.IMDP("STK",$AF467,"등락률"))</f>
        <v/>
      </c>
      <c r="AK467" s="48" t="str">
        <f>IF(AF467="","",_xll.IMDP("STK",$AF467,"시가총액"))</f>
        <v/>
      </c>
      <c r="AL467" s="20" t="str">
        <f t="shared" si="22"/>
        <v/>
      </c>
      <c r="AM467" s="21" t="str">
        <f>IF(AL467="","",_xll.IMDP("STK",$AL467,"한글종목명"))</f>
        <v/>
      </c>
      <c r="AN467" s="48" t="str">
        <f>IF(AL467="","",_xll.IMDP("STK",$AL467,"현재가"))</f>
        <v/>
      </c>
      <c r="AO467" s="48" t="str">
        <f>IF(AL467="","",_xll.IMDP("STK",$AL467,"전일대비"))</f>
        <v/>
      </c>
      <c r="AP467" s="49" t="str">
        <f>IF(AL467="","",_xll.IMDP("STK",$AL467,"등락률"))</f>
        <v/>
      </c>
      <c r="AQ467" s="48" t="str">
        <f>IF(AL467="","",_xll.IMDP("STK",$AL467,"시가총액"))</f>
        <v/>
      </c>
    </row>
    <row r="468" spans="3:43" x14ac:dyDescent="0.25">
      <c r="C468" s="22">
        <v>463</v>
      </c>
      <c r="Y468" s="25" t="s">
        <v>549</v>
      </c>
      <c r="Z468" s="20" t="str">
        <f t="shared" si="21"/>
        <v/>
      </c>
      <c r="AA468" s="21" t="str">
        <f>IF(Z468="","",_xll.IMDP("STK",$Z468,"한글종목명"))</f>
        <v/>
      </c>
      <c r="AB468" s="48" t="str">
        <f>IF(Z468="","",_xll.IMDP("STK",$Z468,"현재가"))</f>
        <v/>
      </c>
      <c r="AC468" s="48" t="str">
        <f>IF(Z468="","",_xll.IMDP("STK",$Z468,"전일대비"))</f>
        <v/>
      </c>
      <c r="AD468" s="49" t="str">
        <f>IF(Z468="","",_xll.IMDP("STK",$Z468,"등락률"))</f>
        <v/>
      </c>
      <c r="AE468" s="48" t="str">
        <f>IF(Z468="","",_xll.IMDP("STK",Z468,"시가총액"))</f>
        <v/>
      </c>
      <c r="AF468" s="20" t="str">
        <f t="shared" si="23"/>
        <v/>
      </c>
      <c r="AG468" s="21" t="str">
        <f>IF(AF468="","",_xll.IMDP("STK",$AF468,"한글종목명"))</f>
        <v/>
      </c>
      <c r="AH468" s="48" t="str">
        <f>IF(AF468="","",_xll.IMDP("STK",$AF468,"현재가"))</f>
        <v/>
      </c>
      <c r="AI468" s="48" t="str">
        <f>IF(AF468="","",_xll.IMDP("STK",$AF468,"전일대비"))</f>
        <v/>
      </c>
      <c r="AJ468" s="49" t="str">
        <f>IF(AF468="","",_xll.IMDP("STK",$AF468,"등락률"))</f>
        <v/>
      </c>
      <c r="AK468" s="48" t="str">
        <f>IF(AF468="","",_xll.IMDP("STK",$AF468,"시가총액"))</f>
        <v/>
      </c>
      <c r="AL468" s="20" t="str">
        <f t="shared" si="22"/>
        <v/>
      </c>
      <c r="AM468" s="21" t="str">
        <f>IF(AL468="","",_xll.IMDP("STK",$AL468,"한글종목명"))</f>
        <v/>
      </c>
      <c r="AN468" s="48" t="str">
        <f>IF(AL468="","",_xll.IMDP("STK",$AL468,"현재가"))</f>
        <v/>
      </c>
      <c r="AO468" s="48" t="str">
        <f>IF(AL468="","",_xll.IMDP("STK",$AL468,"전일대비"))</f>
        <v/>
      </c>
      <c r="AP468" s="49" t="str">
        <f>IF(AL468="","",_xll.IMDP("STK",$AL468,"등락률"))</f>
        <v/>
      </c>
      <c r="AQ468" s="48" t="str">
        <f>IF(AL468="","",_xll.IMDP("STK",$AL468,"시가총액"))</f>
        <v/>
      </c>
    </row>
    <row r="469" spans="3:43" x14ac:dyDescent="0.25">
      <c r="C469" s="22">
        <v>464</v>
      </c>
      <c r="Y469" s="25" t="s">
        <v>428</v>
      </c>
      <c r="Z469" s="20" t="str">
        <f t="shared" si="21"/>
        <v/>
      </c>
      <c r="AA469" s="21" t="str">
        <f>IF(Z469="","",_xll.IMDP("STK",$Z469,"한글종목명"))</f>
        <v/>
      </c>
      <c r="AB469" s="48" t="str">
        <f>IF(Z469="","",_xll.IMDP("STK",$Z469,"현재가"))</f>
        <v/>
      </c>
      <c r="AC469" s="48" t="str">
        <f>IF(Z469="","",_xll.IMDP("STK",$Z469,"전일대비"))</f>
        <v/>
      </c>
      <c r="AD469" s="49" t="str">
        <f>IF(Z469="","",_xll.IMDP("STK",$Z469,"등락률"))</f>
        <v/>
      </c>
      <c r="AE469" s="48" t="str">
        <f>IF(Z469="","",_xll.IMDP("STK",Z469,"시가총액"))</f>
        <v/>
      </c>
      <c r="AF469" s="20" t="str">
        <f t="shared" si="23"/>
        <v/>
      </c>
      <c r="AG469" s="21" t="str">
        <f>IF(AF469="","",_xll.IMDP("STK",$AF469,"한글종목명"))</f>
        <v/>
      </c>
      <c r="AH469" s="48" t="str">
        <f>IF(AF469="","",_xll.IMDP("STK",$AF469,"현재가"))</f>
        <v/>
      </c>
      <c r="AI469" s="48" t="str">
        <f>IF(AF469="","",_xll.IMDP("STK",$AF469,"전일대비"))</f>
        <v/>
      </c>
      <c r="AJ469" s="49" t="str">
        <f>IF(AF469="","",_xll.IMDP("STK",$AF469,"등락률"))</f>
        <v/>
      </c>
      <c r="AK469" s="48" t="str">
        <f>IF(AF469="","",_xll.IMDP("STK",$AF469,"시가총액"))</f>
        <v/>
      </c>
      <c r="AL469" s="20" t="str">
        <f t="shared" si="22"/>
        <v/>
      </c>
      <c r="AM469" s="21" t="str">
        <f>IF(AL469="","",_xll.IMDP("STK",$AL469,"한글종목명"))</f>
        <v/>
      </c>
      <c r="AN469" s="48" t="str">
        <f>IF(AL469="","",_xll.IMDP("STK",$AL469,"현재가"))</f>
        <v/>
      </c>
      <c r="AO469" s="48" t="str">
        <f>IF(AL469="","",_xll.IMDP("STK",$AL469,"전일대비"))</f>
        <v/>
      </c>
      <c r="AP469" s="49" t="str">
        <f>IF(AL469="","",_xll.IMDP("STK",$AL469,"등락률"))</f>
        <v/>
      </c>
      <c r="AQ469" s="48" t="str">
        <f>IF(AL469="","",_xll.IMDP("STK",$AL469,"시가총액"))</f>
        <v/>
      </c>
    </row>
    <row r="470" spans="3:43" x14ac:dyDescent="0.25">
      <c r="C470" s="22">
        <v>465</v>
      </c>
      <c r="Y470" s="25" t="s">
        <v>245</v>
      </c>
      <c r="Z470" s="20" t="str">
        <f t="shared" si="21"/>
        <v/>
      </c>
      <c r="AA470" s="21" t="str">
        <f>IF(Z470="","",_xll.IMDP("STK",$Z470,"한글종목명"))</f>
        <v/>
      </c>
      <c r="AB470" s="48" t="str">
        <f>IF(Z470="","",_xll.IMDP("STK",$Z470,"현재가"))</f>
        <v/>
      </c>
      <c r="AC470" s="48" t="str">
        <f>IF(Z470="","",_xll.IMDP("STK",$Z470,"전일대비"))</f>
        <v/>
      </c>
      <c r="AD470" s="49" t="str">
        <f>IF(Z470="","",_xll.IMDP("STK",$Z470,"등락률"))</f>
        <v/>
      </c>
      <c r="AE470" s="48" t="str">
        <f>IF(Z470="","",_xll.IMDP("STK",Z470,"시가총액"))</f>
        <v/>
      </c>
      <c r="AF470" s="20" t="str">
        <f t="shared" si="23"/>
        <v/>
      </c>
      <c r="AG470" s="21" t="str">
        <f>IF(AF470="","",_xll.IMDP("STK",$AF470,"한글종목명"))</f>
        <v/>
      </c>
      <c r="AH470" s="48" t="str">
        <f>IF(AF470="","",_xll.IMDP("STK",$AF470,"현재가"))</f>
        <v/>
      </c>
      <c r="AI470" s="48" t="str">
        <f>IF(AF470="","",_xll.IMDP("STK",$AF470,"전일대비"))</f>
        <v/>
      </c>
      <c r="AJ470" s="49" t="str">
        <f>IF(AF470="","",_xll.IMDP("STK",$AF470,"등락률"))</f>
        <v/>
      </c>
      <c r="AK470" s="48" t="str">
        <f>IF(AF470="","",_xll.IMDP("STK",$AF470,"시가총액"))</f>
        <v/>
      </c>
      <c r="AL470" s="20" t="str">
        <f t="shared" si="22"/>
        <v/>
      </c>
      <c r="AM470" s="21" t="str">
        <f>IF(AL470="","",_xll.IMDP("STK",$AL470,"한글종목명"))</f>
        <v/>
      </c>
      <c r="AN470" s="48" t="str">
        <f>IF(AL470="","",_xll.IMDP("STK",$AL470,"현재가"))</f>
        <v/>
      </c>
      <c r="AO470" s="48" t="str">
        <f>IF(AL470="","",_xll.IMDP("STK",$AL470,"전일대비"))</f>
        <v/>
      </c>
      <c r="AP470" s="49" t="str">
        <f>IF(AL470="","",_xll.IMDP("STK",$AL470,"등락률"))</f>
        <v/>
      </c>
      <c r="AQ470" s="48" t="str">
        <f>IF(AL470="","",_xll.IMDP("STK",$AL470,"시가총액"))</f>
        <v/>
      </c>
    </row>
    <row r="471" spans="3:43" x14ac:dyDescent="0.25">
      <c r="C471" s="22">
        <v>466</v>
      </c>
      <c r="Y471" s="25" t="s">
        <v>220</v>
      </c>
      <c r="Z471" s="20" t="str">
        <f t="shared" si="21"/>
        <v/>
      </c>
      <c r="AA471" s="21" t="str">
        <f>IF(Z471="","",_xll.IMDP("STK",$Z471,"한글종목명"))</f>
        <v/>
      </c>
      <c r="AB471" s="48" t="str">
        <f>IF(Z471="","",_xll.IMDP("STK",$Z471,"현재가"))</f>
        <v/>
      </c>
      <c r="AC471" s="48" t="str">
        <f>IF(Z471="","",_xll.IMDP("STK",$Z471,"전일대비"))</f>
        <v/>
      </c>
      <c r="AD471" s="49" t="str">
        <f>IF(Z471="","",_xll.IMDP("STK",$Z471,"등락률"))</f>
        <v/>
      </c>
      <c r="AE471" s="48" t="str">
        <f>IF(Z471="","",_xll.IMDP("STK",Z471,"시가총액"))</f>
        <v/>
      </c>
      <c r="AF471" s="20" t="str">
        <f t="shared" si="23"/>
        <v/>
      </c>
      <c r="AG471" s="21" t="str">
        <f>IF(AF471="","",_xll.IMDP("STK",$AF471,"한글종목명"))</f>
        <v/>
      </c>
      <c r="AH471" s="48" t="str">
        <f>IF(AF471="","",_xll.IMDP("STK",$AF471,"현재가"))</f>
        <v/>
      </c>
      <c r="AI471" s="48" t="str">
        <f>IF(AF471="","",_xll.IMDP("STK",$AF471,"전일대비"))</f>
        <v/>
      </c>
      <c r="AJ471" s="49" t="str">
        <f>IF(AF471="","",_xll.IMDP("STK",$AF471,"등락률"))</f>
        <v/>
      </c>
      <c r="AK471" s="48" t="str">
        <f>IF(AF471="","",_xll.IMDP("STK",$AF471,"시가총액"))</f>
        <v/>
      </c>
      <c r="AL471" s="20" t="str">
        <f t="shared" si="22"/>
        <v/>
      </c>
      <c r="AM471" s="21" t="str">
        <f>IF(AL471="","",_xll.IMDP("STK",$AL471,"한글종목명"))</f>
        <v/>
      </c>
      <c r="AN471" s="48" t="str">
        <f>IF(AL471="","",_xll.IMDP("STK",$AL471,"현재가"))</f>
        <v/>
      </c>
      <c r="AO471" s="48" t="str">
        <f>IF(AL471="","",_xll.IMDP("STK",$AL471,"전일대비"))</f>
        <v/>
      </c>
      <c r="AP471" s="49" t="str">
        <f>IF(AL471="","",_xll.IMDP("STK",$AL471,"등락률"))</f>
        <v/>
      </c>
      <c r="AQ471" s="48" t="str">
        <f>IF(AL471="","",_xll.IMDP("STK",$AL471,"시가총액"))</f>
        <v/>
      </c>
    </row>
    <row r="472" spans="3:43" x14ac:dyDescent="0.25">
      <c r="C472" s="22">
        <v>467</v>
      </c>
      <c r="Y472" s="25" t="s">
        <v>246</v>
      </c>
      <c r="Z472" s="20" t="str">
        <f t="shared" si="21"/>
        <v/>
      </c>
      <c r="AA472" s="21" t="str">
        <f>IF(Z472="","",_xll.IMDP("STK",$Z472,"한글종목명"))</f>
        <v/>
      </c>
      <c r="AB472" s="48" t="str">
        <f>IF(Z472="","",_xll.IMDP("STK",$Z472,"현재가"))</f>
        <v/>
      </c>
      <c r="AC472" s="48" t="str">
        <f>IF(Z472="","",_xll.IMDP("STK",$Z472,"전일대비"))</f>
        <v/>
      </c>
      <c r="AD472" s="49" t="str">
        <f>IF(Z472="","",_xll.IMDP("STK",$Z472,"등락률"))</f>
        <v/>
      </c>
      <c r="AE472" s="48" t="str">
        <f>IF(Z472="","",_xll.IMDP("STK",Z472,"시가총액"))</f>
        <v/>
      </c>
      <c r="AF472" s="20" t="str">
        <f t="shared" si="23"/>
        <v/>
      </c>
      <c r="AG472" s="21" t="str">
        <f>IF(AF472="","",_xll.IMDP("STK",$AF472,"한글종목명"))</f>
        <v/>
      </c>
      <c r="AH472" s="48" t="str">
        <f>IF(AF472="","",_xll.IMDP("STK",$AF472,"현재가"))</f>
        <v/>
      </c>
      <c r="AI472" s="48" t="str">
        <f>IF(AF472="","",_xll.IMDP("STK",$AF472,"전일대비"))</f>
        <v/>
      </c>
      <c r="AJ472" s="49" t="str">
        <f>IF(AF472="","",_xll.IMDP("STK",$AF472,"등락률"))</f>
        <v/>
      </c>
      <c r="AK472" s="48" t="str">
        <f>IF(AF472="","",_xll.IMDP("STK",$AF472,"시가총액"))</f>
        <v/>
      </c>
      <c r="AL472" s="20" t="str">
        <f t="shared" si="22"/>
        <v/>
      </c>
      <c r="AM472" s="21" t="str">
        <f>IF(AL472="","",_xll.IMDP("STK",$AL472,"한글종목명"))</f>
        <v/>
      </c>
      <c r="AN472" s="48" t="str">
        <f>IF(AL472="","",_xll.IMDP("STK",$AL472,"현재가"))</f>
        <v/>
      </c>
      <c r="AO472" s="48" t="str">
        <f>IF(AL472="","",_xll.IMDP("STK",$AL472,"전일대비"))</f>
        <v/>
      </c>
      <c r="AP472" s="49" t="str">
        <f>IF(AL472="","",_xll.IMDP("STK",$AL472,"등락률"))</f>
        <v/>
      </c>
      <c r="AQ472" s="48" t="str">
        <f>IF(AL472="","",_xll.IMDP("STK",$AL472,"시가총액"))</f>
        <v/>
      </c>
    </row>
    <row r="473" spans="3:43" x14ac:dyDescent="0.25">
      <c r="C473" s="22">
        <v>468</v>
      </c>
      <c r="Y473" s="25" t="s">
        <v>380</v>
      </c>
      <c r="Z473" s="20" t="str">
        <f t="shared" si="21"/>
        <v/>
      </c>
      <c r="AA473" s="21" t="str">
        <f>IF(Z473="","",_xll.IMDP("STK",$Z473,"한글종목명"))</f>
        <v/>
      </c>
      <c r="AB473" s="48" t="str">
        <f>IF(Z473="","",_xll.IMDP("STK",$Z473,"현재가"))</f>
        <v/>
      </c>
      <c r="AC473" s="48" t="str">
        <f>IF(Z473="","",_xll.IMDP("STK",$Z473,"전일대비"))</f>
        <v/>
      </c>
      <c r="AD473" s="49" t="str">
        <f>IF(Z473="","",_xll.IMDP("STK",$Z473,"등락률"))</f>
        <v/>
      </c>
      <c r="AE473" s="48" t="str">
        <f>IF(Z473="","",_xll.IMDP("STK",Z473,"시가총액"))</f>
        <v/>
      </c>
      <c r="AF473" s="20" t="str">
        <f t="shared" si="23"/>
        <v/>
      </c>
      <c r="AG473" s="21" t="str">
        <f>IF(AF473="","",_xll.IMDP("STK",$AF473,"한글종목명"))</f>
        <v/>
      </c>
      <c r="AH473" s="48" t="str">
        <f>IF(AF473="","",_xll.IMDP("STK",$AF473,"현재가"))</f>
        <v/>
      </c>
      <c r="AI473" s="48" t="str">
        <f>IF(AF473="","",_xll.IMDP("STK",$AF473,"전일대비"))</f>
        <v/>
      </c>
      <c r="AJ473" s="49" t="str">
        <f>IF(AF473="","",_xll.IMDP("STK",$AF473,"등락률"))</f>
        <v/>
      </c>
      <c r="AK473" s="48" t="str">
        <f>IF(AF473="","",_xll.IMDP("STK",$AF473,"시가총액"))</f>
        <v/>
      </c>
      <c r="AL473" s="20" t="str">
        <f t="shared" si="22"/>
        <v/>
      </c>
      <c r="AM473" s="21" t="str">
        <f>IF(AL473="","",_xll.IMDP("STK",$AL473,"한글종목명"))</f>
        <v/>
      </c>
      <c r="AN473" s="48" t="str">
        <f>IF(AL473="","",_xll.IMDP("STK",$AL473,"현재가"))</f>
        <v/>
      </c>
      <c r="AO473" s="48" t="str">
        <f>IF(AL473="","",_xll.IMDP("STK",$AL473,"전일대비"))</f>
        <v/>
      </c>
      <c r="AP473" s="49" t="str">
        <f>IF(AL473="","",_xll.IMDP("STK",$AL473,"등락률"))</f>
        <v/>
      </c>
      <c r="AQ473" s="48" t="str">
        <f>IF(AL473="","",_xll.IMDP("STK",$AL473,"시가총액"))</f>
        <v/>
      </c>
    </row>
    <row r="474" spans="3:43" x14ac:dyDescent="0.25">
      <c r="C474" s="22">
        <v>469</v>
      </c>
      <c r="Y474" s="25" t="s">
        <v>348</v>
      </c>
      <c r="Z474" s="20" t="str">
        <f t="shared" si="21"/>
        <v/>
      </c>
      <c r="AA474" s="21" t="str">
        <f>IF(Z474="","",_xll.IMDP("STK",$Z474,"한글종목명"))</f>
        <v/>
      </c>
      <c r="AB474" s="48" t="str">
        <f>IF(Z474="","",_xll.IMDP("STK",$Z474,"현재가"))</f>
        <v/>
      </c>
      <c r="AC474" s="48" t="str">
        <f>IF(Z474="","",_xll.IMDP("STK",$Z474,"전일대비"))</f>
        <v/>
      </c>
      <c r="AD474" s="49" t="str">
        <f>IF(Z474="","",_xll.IMDP("STK",$Z474,"등락률"))</f>
        <v/>
      </c>
      <c r="AE474" s="48" t="str">
        <f>IF(Z474="","",_xll.IMDP("STK",Z474,"시가총액"))</f>
        <v/>
      </c>
      <c r="AF474" s="20" t="str">
        <f t="shared" si="23"/>
        <v/>
      </c>
      <c r="AG474" s="21" t="str">
        <f>IF(AF474="","",_xll.IMDP("STK",$AF474,"한글종목명"))</f>
        <v/>
      </c>
      <c r="AH474" s="48" t="str">
        <f>IF(AF474="","",_xll.IMDP("STK",$AF474,"현재가"))</f>
        <v/>
      </c>
      <c r="AI474" s="48" t="str">
        <f>IF(AF474="","",_xll.IMDP("STK",$AF474,"전일대비"))</f>
        <v/>
      </c>
      <c r="AJ474" s="49" t="str">
        <f>IF(AF474="","",_xll.IMDP("STK",$AF474,"등락률"))</f>
        <v/>
      </c>
      <c r="AK474" s="48" t="str">
        <f>IF(AF474="","",_xll.IMDP("STK",$AF474,"시가총액"))</f>
        <v/>
      </c>
      <c r="AL474" s="20" t="str">
        <f t="shared" si="22"/>
        <v/>
      </c>
      <c r="AM474" s="21" t="str">
        <f>IF(AL474="","",_xll.IMDP("STK",$AL474,"한글종목명"))</f>
        <v/>
      </c>
      <c r="AN474" s="48" t="str">
        <f>IF(AL474="","",_xll.IMDP("STK",$AL474,"현재가"))</f>
        <v/>
      </c>
      <c r="AO474" s="48" t="str">
        <f>IF(AL474="","",_xll.IMDP("STK",$AL474,"전일대비"))</f>
        <v/>
      </c>
      <c r="AP474" s="49" t="str">
        <f>IF(AL474="","",_xll.IMDP("STK",$AL474,"등락률"))</f>
        <v/>
      </c>
      <c r="AQ474" s="48" t="str">
        <f>IF(AL474="","",_xll.IMDP("STK",$AL474,"시가총액"))</f>
        <v/>
      </c>
    </row>
    <row r="475" spans="3:43" x14ac:dyDescent="0.25">
      <c r="C475" s="22">
        <v>470</v>
      </c>
      <c r="Y475" s="25" t="s">
        <v>620</v>
      </c>
      <c r="Z475" s="20" t="str">
        <f t="shared" si="21"/>
        <v/>
      </c>
      <c r="AA475" s="21" t="str">
        <f>IF(Z475="","",_xll.IMDP("STK",$Z475,"한글종목명"))</f>
        <v/>
      </c>
      <c r="AB475" s="48" t="str">
        <f>IF(Z475="","",_xll.IMDP("STK",$Z475,"현재가"))</f>
        <v/>
      </c>
      <c r="AC475" s="48" t="str">
        <f>IF(Z475="","",_xll.IMDP("STK",$Z475,"전일대비"))</f>
        <v/>
      </c>
      <c r="AD475" s="49" t="str">
        <f>IF(Z475="","",_xll.IMDP("STK",$Z475,"등락률"))</f>
        <v/>
      </c>
      <c r="AE475" s="48" t="str">
        <f>IF(Z475="","",_xll.IMDP("STK",Z475,"시가총액"))</f>
        <v/>
      </c>
      <c r="AF475" s="20" t="str">
        <f t="shared" si="23"/>
        <v/>
      </c>
      <c r="AG475" s="21" t="str">
        <f>IF(AF475="","",_xll.IMDP("STK",$AF475,"한글종목명"))</f>
        <v/>
      </c>
      <c r="AH475" s="48" t="str">
        <f>IF(AF475="","",_xll.IMDP("STK",$AF475,"현재가"))</f>
        <v/>
      </c>
      <c r="AI475" s="48" t="str">
        <f>IF(AF475="","",_xll.IMDP("STK",$AF475,"전일대비"))</f>
        <v/>
      </c>
      <c r="AJ475" s="49" t="str">
        <f>IF(AF475="","",_xll.IMDP("STK",$AF475,"등락률"))</f>
        <v/>
      </c>
      <c r="AK475" s="48" t="str">
        <f>IF(AF475="","",_xll.IMDP("STK",$AF475,"시가총액"))</f>
        <v/>
      </c>
      <c r="AL475" s="20" t="str">
        <f t="shared" si="22"/>
        <v/>
      </c>
      <c r="AM475" s="21" t="str">
        <f>IF(AL475="","",_xll.IMDP("STK",$AL475,"한글종목명"))</f>
        <v/>
      </c>
      <c r="AN475" s="48" t="str">
        <f>IF(AL475="","",_xll.IMDP("STK",$AL475,"현재가"))</f>
        <v/>
      </c>
      <c r="AO475" s="48" t="str">
        <f>IF(AL475="","",_xll.IMDP("STK",$AL475,"전일대비"))</f>
        <v/>
      </c>
      <c r="AP475" s="49" t="str">
        <f>IF(AL475="","",_xll.IMDP("STK",$AL475,"등락률"))</f>
        <v/>
      </c>
      <c r="AQ475" s="48" t="str">
        <f>IF(AL475="","",_xll.IMDP("STK",$AL475,"시가총액"))</f>
        <v/>
      </c>
    </row>
    <row r="476" spans="3:43" x14ac:dyDescent="0.25">
      <c r="C476" s="22">
        <v>471</v>
      </c>
      <c r="Y476" s="25" t="s">
        <v>381</v>
      </c>
      <c r="Z476" s="20" t="str">
        <f t="shared" si="21"/>
        <v/>
      </c>
      <c r="AA476" s="21" t="str">
        <f>IF(Z476="","",_xll.IMDP("STK",$Z476,"한글종목명"))</f>
        <v/>
      </c>
      <c r="AB476" s="48" t="str">
        <f>IF(Z476="","",_xll.IMDP("STK",$Z476,"현재가"))</f>
        <v/>
      </c>
      <c r="AC476" s="48" t="str">
        <f>IF(Z476="","",_xll.IMDP("STK",$Z476,"전일대비"))</f>
        <v/>
      </c>
      <c r="AD476" s="49" t="str">
        <f>IF(Z476="","",_xll.IMDP("STK",$Z476,"등락률"))</f>
        <v/>
      </c>
      <c r="AE476" s="48" t="str">
        <f>IF(Z476="","",_xll.IMDP("STK",Z476,"시가총액"))</f>
        <v/>
      </c>
      <c r="AF476" s="20" t="str">
        <f t="shared" si="23"/>
        <v/>
      </c>
      <c r="AG476" s="21" t="str">
        <f>IF(AF476="","",_xll.IMDP("STK",$AF476,"한글종목명"))</f>
        <v/>
      </c>
      <c r="AH476" s="48" t="str">
        <f>IF(AF476="","",_xll.IMDP("STK",$AF476,"현재가"))</f>
        <v/>
      </c>
      <c r="AI476" s="48" t="str">
        <f>IF(AF476="","",_xll.IMDP("STK",$AF476,"전일대비"))</f>
        <v/>
      </c>
      <c r="AJ476" s="49" t="str">
        <f>IF(AF476="","",_xll.IMDP("STK",$AF476,"등락률"))</f>
        <v/>
      </c>
      <c r="AK476" s="48" t="str">
        <f>IF(AF476="","",_xll.IMDP("STK",$AF476,"시가총액"))</f>
        <v/>
      </c>
      <c r="AL476" s="20" t="str">
        <f t="shared" si="22"/>
        <v/>
      </c>
      <c r="AM476" s="21" t="str">
        <f>IF(AL476="","",_xll.IMDP("STK",$AL476,"한글종목명"))</f>
        <v/>
      </c>
      <c r="AN476" s="48" t="str">
        <f>IF(AL476="","",_xll.IMDP("STK",$AL476,"현재가"))</f>
        <v/>
      </c>
      <c r="AO476" s="48" t="str">
        <f>IF(AL476="","",_xll.IMDP("STK",$AL476,"전일대비"))</f>
        <v/>
      </c>
      <c r="AP476" s="49" t="str">
        <f>IF(AL476="","",_xll.IMDP("STK",$AL476,"등락률"))</f>
        <v/>
      </c>
      <c r="AQ476" s="48" t="str">
        <f>IF(AL476="","",_xll.IMDP("STK",$AL476,"시가총액"))</f>
        <v/>
      </c>
    </row>
    <row r="477" spans="3:43" x14ac:dyDescent="0.25">
      <c r="C477" s="22">
        <v>472</v>
      </c>
      <c r="Y477" s="25" t="s">
        <v>550</v>
      </c>
      <c r="Z477" s="20" t="str">
        <f t="shared" si="21"/>
        <v/>
      </c>
      <c r="AA477" s="21" t="str">
        <f>IF(Z477="","",_xll.IMDP("STK",$Z477,"한글종목명"))</f>
        <v/>
      </c>
      <c r="AB477" s="48" t="str">
        <f>IF(Z477="","",_xll.IMDP("STK",$Z477,"현재가"))</f>
        <v/>
      </c>
      <c r="AC477" s="48" t="str">
        <f>IF(Z477="","",_xll.IMDP("STK",$Z477,"전일대비"))</f>
        <v/>
      </c>
      <c r="AD477" s="49" t="str">
        <f>IF(Z477="","",_xll.IMDP("STK",$Z477,"등락률"))</f>
        <v/>
      </c>
      <c r="AE477" s="48" t="str">
        <f>IF(Z477="","",_xll.IMDP("STK",Z477,"시가총액"))</f>
        <v/>
      </c>
      <c r="AF477" s="20" t="str">
        <f t="shared" si="23"/>
        <v/>
      </c>
      <c r="AG477" s="21" t="str">
        <f>IF(AF477="","",_xll.IMDP("STK",$AF477,"한글종목명"))</f>
        <v/>
      </c>
      <c r="AH477" s="48" t="str">
        <f>IF(AF477="","",_xll.IMDP("STK",$AF477,"현재가"))</f>
        <v/>
      </c>
      <c r="AI477" s="48" t="str">
        <f>IF(AF477="","",_xll.IMDP("STK",$AF477,"전일대비"))</f>
        <v/>
      </c>
      <c r="AJ477" s="49" t="str">
        <f>IF(AF477="","",_xll.IMDP("STK",$AF477,"등락률"))</f>
        <v/>
      </c>
      <c r="AK477" s="48" t="str">
        <f>IF(AF477="","",_xll.IMDP("STK",$AF477,"시가총액"))</f>
        <v/>
      </c>
      <c r="AL477" s="20" t="str">
        <f t="shared" si="22"/>
        <v/>
      </c>
      <c r="AM477" s="21" t="str">
        <f>IF(AL477="","",_xll.IMDP("STK",$AL477,"한글종목명"))</f>
        <v/>
      </c>
      <c r="AN477" s="48" t="str">
        <f>IF(AL477="","",_xll.IMDP("STK",$AL477,"현재가"))</f>
        <v/>
      </c>
      <c r="AO477" s="48" t="str">
        <f>IF(AL477="","",_xll.IMDP("STK",$AL477,"전일대비"))</f>
        <v/>
      </c>
      <c r="AP477" s="49" t="str">
        <f>IF(AL477="","",_xll.IMDP("STK",$AL477,"등락률"))</f>
        <v/>
      </c>
      <c r="AQ477" s="48" t="str">
        <f>IF(AL477="","",_xll.IMDP("STK",$AL477,"시가총액"))</f>
        <v/>
      </c>
    </row>
    <row r="478" spans="3:43" x14ac:dyDescent="0.25">
      <c r="C478" s="22">
        <v>473</v>
      </c>
      <c r="Y478" s="25" t="s">
        <v>551</v>
      </c>
      <c r="Z478" s="20" t="str">
        <f t="shared" si="21"/>
        <v/>
      </c>
      <c r="AA478" s="21" t="str">
        <f>IF(Z478="","",_xll.IMDP("STK",$Z478,"한글종목명"))</f>
        <v/>
      </c>
      <c r="AB478" s="48" t="str">
        <f>IF(Z478="","",_xll.IMDP("STK",$Z478,"현재가"))</f>
        <v/>
      </c>
      <c r="AC478" s="48" t="str">
        <f>IF(Z478="","",_xll.IMDP("STK",$Z478,"전일대비"))</f>
        <v/>
      </c>
      <c r="AD478" s="49" t="str">
        <f>IF(Z478="","",_xll.IMDP("STK",$Z478,"등락률"))</f>
        <v/>
      </c>
      <c r="AE478" s="48" t="str">
        <f>IF(Z478="","",_xll.IMDP("STK",Z478,"시가총액"))</f>
        <v/>
      </c>
      <c r="AF478" s="20" t="str">
        <f t="shared" si="23"/>
        <v/>
      </c>
      <c r="AG478" s="21" t="str">
        <f>IF(AF478="","",_xll.IMDP("STK",$AF478,"한글종목명"))</f>
        <v/>
      </c>
      <c r="AH478" s="48" t="str">
        <f>IF(AF478="","",_xll.IMDP("STK",$AF478,"현재가"))</f>
        <v/>
      </c>
      <c r="AI478" s="48" t="str">
        <f>IF(AF478="","",_xll.IMDP("STK",$AF478,"전일대비"))</f>
        <v/>
      </c>
      <c r="AJ478" s="49" t="str">
        <f>IF(AF478="","",_xll.IMDP("STK",$AF478,"등락률"))</f>
        <v/>
      </c>
      <c r="AK478" s="48" t="str">
        <f>IF(AF478="","",_xll.IMDP("STK",$AF478,"시가총액"))</f>
        <v/>
      </c>
      <c r="AL478" s="20" t="str">
        <f t="shared" si="22"/>
        <v/>
      </c>
      <c r="AM478" s="21" t="str">
        <f>IF(AL478="","",_xll.IMDP("STK",$AL478,"한글종목명"))</f>
        <v/>
      </c>
      <c r="AN478" s="48" t="str">
        <f>IF(AL478="","",_xll.IMDP("STK",$AL478,"현재가"))</f>
        <v/>
      </c>
      <c r="AO478" s="48" t="str">
        <f>IF(AL478="","",_xll.IMDP("STK",$AL478,"전일대비"))</f>
        <v/>
      </c>
      <c r="AP478" s="49" t="str">
        <f>IF(AL478="","",_xll.IMDP("STK",$AL478,"등락률"))</f>
        <v/>
      </c>
      <c r="AQ478" s="48" t="str">
        <f>IF(AL478="","",_xll.IMDP("STK",$AL478,"시가총액"))</f>
        <v/>
      </c>
    </row>
    <row r="479" spans="3:43" x14ac:dyDescent="0.25">
      <c r="C479" s="22">
        <v>474</v>
      </c>
      <c r="Y479" s="25" t="s">
        <v>429</v>
      </c>
      <c r="Z479" s="20" t="str">
        <f t="shared" si="21"/>
        <v/>
      </c>
      <c r="AA479" s="21" t="str">
        <f>IF(Z479="","",_xll.IMDP("STK",$Z479,"한글종목명"))</f>
        <v/>
      </c>
      <c r="AB479" s="48" t="str">
        <f>IF(Z479="","",_xll.IMDP("STK",$Z479,"현재가"))</f>
        <v/>
      </c>
      <c r="AC479" s="48" t="str">
        <f>IF(Z479="","",_xll.IMDP("STK",$Z479,"전일대비"))</f>
        <v/>
      </c>
      <c r="AD479" s="49" t="str">
        <f>IF(Z479="","",_xll.IMDP("STK",$Z479,"등락률"))</f>
        <v/>
      </c>
      <c r="AE479" s="48" t="str">
        <f>IF(Z479="","",_xll.IMDP("STK",Z479,"시가총액"))</f>
        <v/>
      </c>
      <c r="AF479" s="20" t="str">
        <f t="shared" si="23"/>
        <v/>
      </c>
      <c r="AG479" s="21" t="str">
        <f>IF(AF479="","",_xll.IMDP("STK",$AF479,"한글종목명"))</f>
        <v/>
      </c>
      <c r="AH479" s="48" t="str">
        <f>IF(AF479="","",_xll.IMDP("STK",$AF479,"현재가"))</f>
        <v/>
      </c>
      <c r="AI479" s="48" t="str">
        <f>IF(AF479="","",_xll.IMDP("STK",$AF479,"전일대비"))</f>
        <v/>
      </c>
      <c r="AJ479" s="49" t="str">
        <f>IF(AF479="","",_xll.IMDP("STK",$AF479,"등락률"))</f>
        <v/>
      </c>
      <c r="AK479" s="48" t="str">
        <f>IF(AF479="","",_xll.IMDP("STK",$AF479,"시가총액"))</f>
        <v/>
      </c>
      <c r="AL479" s="20" t="str">
        <f t="shared" si="22"/>
        <v/>
      </c>
      <c r="AM479" s="21" t="str">
        <f>IF(AL479="","",_xll.IMDP("STK",$AL479,"한글종목명"))</f>
        <v/>
      </c>
      <c r="AN479" s="48" t="str">
        <f>IF(AL479="","",_xll.IMDP("STK",$AL479,"현재가"))</f>
        <v/>
      </c>
      <c r="AO479" s="48" t="str">
        <f>IF(AL479="","",_xll.IMDP("STK",$AL479,"전일대비"))</f>
        <v/>
      </c>
      <c r="AP479" s="49" t="str">
        <f>IF(AL479="","",_xll.IMDP("STK",$AL479,"등락률"))</f>
        <v/>
      </c>
      <c r="AQ479" s="48" t="str">
        <f>IF(AL479="","",_xll.IMDP("STK",$AL479,"시가총액"))</f>
        <v/>
      </c>
    </row>
    <row r="480" spans="3:43" x14ac:dyDescent="0.25">
      <c r="C480" s="22">
        <v>475</v>
      </c>
      <c r="Y480" s="25" t="s">
        <v>461</v>
      </c>
      <c r="Z480" s="20" t="str">
        <f t="shared" si="21"/>
        <v/>
      </c>
      <c r="AA480" s="21" t="str">
        <f>IF(Z480="","",_xll.IMDP("STK",$Z480,"한글종목명"))</f>
        <v/>
      </c>
      <c r="AB480" s="48" t="str">
        <f>IF(Z480="","",_xll.IMDP("STK",$Z480,"현재가"))</f>
        <v/>
      </c>
      <c r="AC480" s="48" t="str">
        <f>IF(Z480="","",_xll.IMDP("STK",$Z480,"전일대비"))</f>
        <v/>
      </c>
      <c r="AD480" s="49" t="str">
        <f>IF(Z480="","",_xll.IMDP("STK",$Z480,"등락률"))</f>
        <v/>
      </c>
      <c r="AE480" s="48" t="str">
        <f>IF(Z480="","",_xll.IMDP("STK",Z480,"시가총액"))</f>
        <v/>
      </c>
      <c r="AF480" s="20" t="str">
        <f t="shared" si="23"/>
        <v/>
      </c>
      <c r="AG480" s="21" t="str">
        <f>IF(AF480="","",_xll.IMDP("STK",$AF480,"한글종목명"))</f>
        <v/>
      </c>
      <c r="AH480" s="48" t="str">
        <f>IF(AF480="","",_xll.IMDP("STK",$AF480,"현재가"))</f>
        <v/>
      </c>
      <c r="AI480" s="48" t="str">
        <f>IF(AF480="","",_xll.IMDP("STK",$AF480,"전일대비"))</f>
        <v/>
      </c>
      <c r="AJ480" s="49" t="str">
        <f>IF(AF480="","",_xll.IMDP("STK",$AF480,"등락률"))</f>
        <v/>
      </c>
      <c r="AK480" s="48" t="str">
        <f>IF(AF480="","",_xll.IMDP("STK",$AF480,"시가총액"))</f>
        <v/>
      </c>
      <c r="AL480" s="20" t="str">
        <f t="shared" si="22"/>
        <v/>
      </c>
      <c r="AM480" s="21" t="str">
        <f>IF(AL480="","",_xll.IMDP("STK",$AL480,"한글종목명"))</f>
        <v/>
      </c>
      <c r="AN480" s="48" t="str">
        <f>IF(AL480="","",_xll.IMDP("STK",$AL480,"현재가"))</f>
        <v/>
      </c>
      <c r="AO480" s="48" t="str">
        <f>IF(AL480="","",_xll.IMDP("STK",$AL480,"전일대비"))</f>
        <v/>
      </c>
      <c r="AP480" s="49" t="str">
        <f>IF(AL480="","",_xll.IMDP("STK",$AL480,"등락률"))</f>
        <v/>
      </c>
      <c r="AQ480" s="48" t="str">
        <f>IF(AL480="","",_xll.IMDP("STK",$AL480,"시가총액"))</f>
        <v/>
      </c>
    </row>
    <row r="481" spans="3:43" x14ac:dyDescent="0.25">
      <c r="C481" s="22">
        <v>476</v>
      </c>
      <c r="Y481" s="25" t="s">
        <v>506</v>
      </c>
      <c r="Z481" s="20" t="str">
        <f t="shared" si="21"/>
        <v/>
      </c>
      <c r="AA481" s="21" t="str">
        <f>IF(Z481="","",_xll.IMDP("STK",$Z481,"한글종목명"))</f>
        <v/>
      </c>
      <c r="AB481" s="48" t="str">
        <f>IF(Z481="","",_xll.IMDP("STK",$Z481,"현재가"))</f>
        <v/>
      </c>
      <c r="AC481" s="48" t="str">
        <f>IF(Z481="","",_xll.IMDP("STK",$Z481,"전일대비"))</f>
        <v/>
      </c>
      <c r="AD481" s="49" t="str">
        <f>IF(Z481="","",_xll.IMDP("STK",$Z481,"등락률"))</f>
        <v/>
      </c>
      <c r="AE481" s="48" t="str">
        <f>IF(Z481="","",_xll.IMDP("STK",Z481,"시가총액"))</f>
        <v/>
      </c>
      <c r="AF481" s="20" t="str">
        <f t="shared" si="23"/>
        <v/>
      </c>
      <c r="AG481" s="21" t="str">
        <f>IF(AF481="","",_xll.IMDP("STK",$AF481,"한글종목명"))</f>
        <v/>
      </c>
      <c r="AH481" s="48" t="str">
        <f>IF(AF481="","",_xll.IMDP("STK",$AF481,"현재가"))</f>
        <v/>
      </c>
      <c r="AI481" s="48" t="str">
        <f>IF(AF481="","",_xll.IMDP("STK",$AF481,"전일대비"))</f>
        <v/>
      </c>
      <c r="AJ481" s="49" t="str">
        <f>IF(AF481="","",_xll.IMDP("STK",$AF481,"등락률"))</f>
        <v/>
      </c>
      <c r="AK481" s="48" t="str">
        <f>IF(AF481="","",_xll.IMDP("STK",$AF481,"시가총액"))</f>
        <v/>
      </c>
      <c r="AL481" s="20" t="str">
        <f t="shared" si="22"/>
        <v/>
      </c>
      <c r="AM481" s="21" t="str">
        <f>IF(AL481="","",_xll.IMDP("STK",$AL481,"한글종목명"))</f>
        <v/>
      </c>
      <c r="AN481" s="48" t="str">
        <f>IF(AL481="","",_xll.IMDP("STK",$AL481,"현재가"))</f>
        <v/>
      </c>
      <c r="AO481" s="48" t="str">
        <f>IF(AL481="","",_xll.IMDP("STK",$AL481,"전일대비"))</f>
        <v/>
      </c>
      <c r="AP481" s="49" t="str">
        <f>IF(AL481="","",_xll.IMDP("STK",$AL481,"등락률"))</f>
        <v/>
      </c>
      <c r="AQ481" s="48" t="str">
        <f>IF(AL481="","",_xll.IMDP("STK",$AL481,"시가총액"))</f>
        <v/>
      </c>
    </row>
    <row r="482" spans="3:43" x14ac:dyDescent="0.25">
      <c r="C482" s="22">
        <v>477</v>
      </c>
      <c r="Y482" s="25" t="s">
        <v>382</v>
      </c>
      <c r="Z482" s="20" t="str">
        <f t="shared" si="21"/>
        <v/>
      </c>
      <c r="AA482" s="21" t="str">
        <f>IF(Z482="","",_xll.IMDP("STK",$Z482,"한글종목명"))</f>
        <v/>
      </c>
      <c r="AB482" s="48" t="str">
        <f>IF(Z482="","",_xll.IMDP("STK",$Z482,"현재가"))</f>
        <v/>
      </c>
      <c r="AC482" s="48" t="str">
        <f>IF(Z482="","",_xll.IMDP("STK",$Z482,"전일대비"))</f>
        <v/>
      </c>
      <c r="AD482" s="49" t="str">
        <f>IF(Z482="","",_xll.IMDP("STK",$Z482,"등락률"))</f>
        <v/>
      </c>
      <c r="AE482" s="48" t="str">
        <f>IF(Z482="","",_xll.IMDP("STK",Z482,"시가총액"))</f>
        <v/>
      </c>
      <c r="AF482" s="20" t="str">
        <f t="shared" si="23"/>
        <v/>
      </c>
      <c r="AG482" s="21" t="str">
        <f>IF(AF482="","",_xll.IMDP("STK",$AF482,"한글종목명"))</f>
        <v/>
      </c>
      <c r="AH482" s="48" t="str">
        <f>IF(AF482="","",_xll.IMDP("STK",$AF482,"현재가"))</f>
        <v/>
      </c>
      <c r="AI482" s="48" t="str">
        <f>IF(AF482="","",_xll.IMDP("STK",$AF482,"전일대비"))</f>
        <v/>
      </c>
      <c r="AJ482" s="49" t="str">
        <f>IF(AF482="","",_xll.IMDP("STK",$AF482,"등락률"))</f>
        <v/>
      </c>
      <c r="AK482" s="48" t="str">
        <f>IF(AF482="","",_xll.IMDP("STK",$AF482,"시가총액"))</f>
        <v/>
      </c>
      <c r="AL482" s="20" t="str">
        <f t="shared" si="22"/>
        <v/>
      </c>
      <c r="AM482" s="21" t="str">
        <f>IF(AL482="","",_xll.IMDP("STK",$AL482,"한글종목명"))</f>
        <v/>
      </c>
      <c r="AN482" s="48" t="str">
        <f>IF(AL482="","",_xll.IMDP("STK",$AL482,"현재가"))</f>
        <v/>
      </c>
      <c r="AO482" s="48" t="str">
        <f>IF(AL482="","",_xll.IMDP("STK",$AL482,"전일대비"))</f>
        <v/>
      </c>
      <c r="AP482" s="49" t="str">
        <f>IF(AL482="","",_xll.IMDP("STK",$AL482,"등락률"))</f>
        <v/>
      </c>
      <c r="AQ482" s="48" t="str">
        <f>IF(AL482="","",_xll.IMDP("STK",$AL482,"시가총액"))</f>
        <v/>
      </c>
    </row>
    <row r="483" spans="3:43" x14ac:dyDescent="0.25">
      <c r="C483" s="22">
        <v>478</v>
      </c>
      <c r="Y483" s="25" t="s">
        <v>349</v>
      </c>
      <c r="Z483" s="20" t="str">
        <f t="shared" si="21"/>
        <v/>
      </c>
      <c r="AA483" s="21" t="str">
        <f>IF(Z483="","",_xll.IMDP("STK",$Z483,"한글종목명"))</f>
        <v/>
      </c>
      <c r="AB483" s="48" t="str">
        <f>IF(Z483="","",_xll.IMDP("STK",$Z483,"현재가"))</f>
        <v/>
      </c>
      <c r="AC483" s="48" t="str">
        <f>IF(Z483="","",_xll.IMDP("STK",$Z483,"전일대비"))</f>
        <v/>
      </c>
      <c r="AD483" s="49" t="str">
        <f>IF(Z483="","",_xll.IMDP("STK",$Z483,"등락률"))</f>
        <v/>
      </c>
      <c r="AE483" s="48" t="str">
        <f>IF(Z483="","",_xll.IMDP("STK",Z483,"시가총액"))</f>
        <v/>
      </c>
      <c r="AF483" s="20" t="str">
        <f t="shared" si="23"/>
        <v/>
      </c>
      <c r="AG483" s="21" t="str">
        <f>IF(AF483="","",_xll.IMDP("STK",$AF483,"한글종목명"))</f>
        <v/>
      </c>
      <c r="AH483" s="48" t="str">
        <f>IF(AF483="","",_xll.IMDP("STK",$AF483,"현재가"))</f>
        <v/>
      </c>
      <c r="AI483" s="48" t="str">
        <f>IF(AF483="","",_xll.IMDP("STK",$AF483,"전일대비"))</f>
        <v/>
      </c>
      <c r="AJ483" s="49" t="str">
        <f>IF(AF483="","",_xll.IMDP("STK",$AF483,"등락률"))</f>
        <v/>
      </c>
      <c r="AK483" s="48" t="str">
        <f>IF(AF483="","",_xll.IMDP("STK",$AF483,"시가총액"))</f>
        <v/>
      </c>
      <c r="AL483" s="20" t="str">
        <f t="shared" si="22"/>
        <v/>
      </c>
      <c r="AM483" s="21" t="str">
        <f>IF(AL483="","",_xll.IMDP("STK",$AL483,"한글종목명"))</f>
        <v/>
      </c>
      <c r="AN483" s="48" t="str">
        <f>IF(AL483="","",_xll.IMDP("STK",$AL483,"현재가"))</f>
        <v/>
      </c>
      <c r="AO483" s="48" t="str">
        <f>IF(AL483="","",_xll.IMDP("STK",$AL483,"전일대비"))</f>
        <v/>
      </c>
      <c r="AP483" s="49" t="str">
        <f>IF(AL483="","",_xll.IMDP("STK",$AL483,"등락률"))</f>
        <v/>
      </c>
      <c r="AQ483" s="48" t="str">
        <f>IF(AL483="","",_xll.IMDP("STK",$AL483,"시가총액"))</f>
        <v/>
      </c>
    </row>
    <row r="484" spans="3:43" x14ac:dyDescent="0.25">
      <c r="C484" s="22">
        <v>479</v>
      </c>
      <c r="Y484" s="25" t="s">
        <v>350</v>
      </c>
      <c r="Z484" s="20" t="str">
        <f t="shared" si="21"/>
        <v/>
      </c>
      <c r="AA484" s="21" t="str">
        <f>IF(Z484="","",_xll.IMDP("STK",$Z484,"한글종목명"))</f>
        <v/>
      </c>
      <c r="AB484" s="48" t="str">
        <f>IF(Z484="","",_xll.IMDP("STK",$Z484,"현재가"))</f>
        <v/>
      </c>
      <c r="AC484" s="48" t="str">
        <f>IF(Z484="","",_xll.IMDP("STK",$Z484,"전일대비"))</f>
        <v/>
      </c>
      <c r="AD484" s="49" t="str">
        <f>IF(Z484="","",_xll.IMDP("STK",$Z484,"등락률"))</f>
        <v/>
      </c>
      <c r="AE484" s="48" t="str">
        <f>IF(Z484="","",_xll.IMDP("STK",Z484,"시가총액"))</f>
        <v/>
      </c>
      <c r="AF484" s="20" t="str">
        <f t="shared" si="23"/>
        <v/>
      </c>
      <c r="AG484" s="21" t="str">
        <f>IF(AF484="","",_xll.IMDP("STK",$AF484,"한글종목명"))</f>
        <v/>
      </c>
      <c r="AH484" s="48" t="str">
        <f>IF(AF484="","",_xll.IMDP("STK",$AF484,"현재가"))</f>
        <v/>
      </c>
      <c r="AI484" s="48" t="str">
        <f>IF(AF484="","",_xll.IMDP("STK",$AF484,"전일대비"))</f>
        <v/>
      </c>
      <c r="AJ484" s="49" t="str">
        <f>IF(AF484="","",_xll.IMDP("STK",$AF484,"등락률"))</f>
        <v/>
      </c>
      <c r="AK484" s="48" t="str">
        <f>IF(AF484="","",_xll.IMDP("STK",$AF484,"시가총액"))</f>
        <v/>
      </c>
      <c r="AL484" s="20" t="str">
        <f t="shared" si="22"/>
        <v/>
      </c>
      <c r="AM484" s="21" t="str">
        <f>IF(AL484="","",_xll.IMDP("STK",$AL484,"한글종목명"))</f>
        <v/>
      </c>
      <c r="AN484" s="48" t="str">
        <f>IF(AL484="","",_xll.IMDP("STK",$AL484,"현재가"))</f>
        <v/>
      </c>
      <c r="AO484" s="48" t="str">
        <f>IF(AL484="","",_xll.IMDP("STK",$AL484,"전일대비"))</f>
        <v/>
      </c>
      <c r="AP484" s="49" t="str">
        <f>IF(AL484="","",_xll.IMDP("STK",$AL484,"등락률"))</f>
        <v/>
      </c>
      <c r="AQ484" s="48" t="str">
        <f>IF(AL484="","",_xll.IMDP("STK",$AL484,"시가총액"))</f>
        <v/>
      </c>
    </row>
    <row r="485" spans="3:43" x14ac:dyDescent="0.25">
      <c r="C485" s="22">
        <v>480</v>
      </c>
      <c r="Y485" s="25" t="s">
        <v>678</v>
      </c>
      <c r="Z485" s="20" t="str">
        <f t="shared" si="21"/>
        <v/>
      </c>
      <c r="AA485" s="21" t="str">
        <f>IF(Z485="","",_xll.IMDP("STK",$Z485,"한글종목명"))</f>
        <v/>
      </c>
      <c r="AB485" s="48" t="str">
        <f>IF(Z485="","",_xll.IMDP("STK",$Z485,"현재가"))</f>
        <v/>
      </c>
      <c r="AC485" s="48" t="str">
        <f>IF(Z485="","",_xll.IMDP("STK",$Z485,"전일대비"))</f>
        <v/>
      </c>
      <c r="AD485" s="49" t="str">
        <f>IF(Z485="","",_xll.IMDP("STK",$Z485,"등락률"))</f>
        <v/>
      </c>
      <c r="AE485" s="48" t="str">
        <f>IF(Z485="","",_xll.IMDP("STK",Z485,"시가총액"))</f>
        <v/>
      </c>
      <c r="AF485" s="20" t="str">
        <f t="shared" si="23"/>
        <v/>
      </c>
      <c r="AG485" s="21" t="str">
        <f>IF(AF485="","",_xll.IMDP("STK",$AF485,"한글종목명"))</f>
        <v/>
      </c>
      <c r="AH485" s="48" t="str">
        <f>IF(AF485="","",_xll.IMDP("STK",$AF485,"현재가"))</f>
        <v/>
      </c>
      <c r="AI485" s="48" t="str">
        <f>IF(AF485="","",_xll.IMDP("STK",$AF485,"전일대비"))</f>
        <v/>
      </c>
      <c r="AJ485" s="49" t="str">
        <f>IF(AF485="","",_xll.IMDP("STK",$AF485,"등락률"))</f>
        <v/>
      </c>
      <c r="AK485" s="48" t="str">
        <f>IF(AF485="","",_xll.IMDP("STK",$AF485,"시가총액"))</f>
        <v/>
      </c>
      <c r="AL485" s="20" t="str">
        <f t="shared" si="22"/>
        <v/>
      </c>
      <c r="AM485" s="21" t="str">
        <f>IF(AL485="","",_xll.IMDP("STK",$AL485,"한글종목명"))</f>
        <v/>
      </c>
      <c r="AN485" s="48" t="str">
        <f>IF(AL485="","",_xll.IMDP("STK",$AL485,"현재가"))</f>
        <v/>
      </c>
      <c r="AO485" s="48" t="str">
        <f>IF(AL485="","",_xll.IMDP("STK",$AL485,"전일대비"))</f>
        <v/>
      </c>
      <c r="AP485" s="49" t="str">
        <f>IF(AL485="","",_xll.IMDP("STK",$AL485,"등락률"))</f>
        <v/>
      </c>
      <c r="AQ485" s="48" t="str">
        <f>IF(AL485="","",_xll.IMDP("STK",$AL485,"시가총액"))</f>
        <v/>
      </c>
    </row>
    <row r="486" spans="3:43" x14ac:dyDescent="0.25">
      <c r="C486" s="22">
        <v>481</v>
      </c>
      <c r="Y486" s="25" t="s">
        <v>351</v>
      </c>
      <c r="Z486" s="20" t="str">
        <f t="shared" si="21"/>
        <v/>
      </c>
      <c r="AA486" s="21" t="str">
        <f>IF(Z486="","",_xll.IMDP("STK",$Z486,"한글종목명"))</f>
        <v/>
      </c>
      <c r="AB486" s="48" t="str">
        <f>IF(Z486="","",_xll.IMDP("STK",$Z486,"현재가"))</f>
        <v/>
      </c>
      <c r="AC486" s="48" t="str">
        <f>IF(Z486="","",_xll.IMDP("STK",$Z486,"전일대비"))</f>
        <v/>
      </c>
      <c r="AD486" s="49" t="str">
        <f>IF(Z486="","",_xll.IMDP("STK",$Z486,"등락률"))</f>
        <v/>
      </c>
      <c r="AE486" s="48" t="str">
        <f>IF(Z486="","",_xll.IMDP("STK",Z486,"시가총액"))</f>
        <v/>
      </c>
      <c r="AF486" s="20" t="str">
        <f t="shared" si="23"/>
        <v/>
      </c>
      <c r="AG486" s="21" t="str">
        <f>IF(AF486="","",_xll.IMDP("STK",$AF486,"한글종목명"))</f>
        <v/>
      </c>
      <c r="AH486" s="48" t="str">
        <f>IF(AF486="","",_xll.IMDP("STK",$AF486,"현재가"))</f>
        <v/>
      </c>
      <c r="AI486" s="48" t="str">
        <f>IF(AF486="","",_xll.IMDP("STK",$AF486,"전일대비"))</f>
        <v/>
      </c>
      <c r="AJ486" s="49" t="str">
        <f>IF(AF486="","",_xll.IMDP("STK",$AF486,"등락률"))</f>
        <v/>
      </c>
      <c r="AK486" s="48" t="str">
        <f>IF(AF486="","",_xll.IMDP("STK",$AF486,"시가총액"))</f>
        <v/>
      </c>
      <c r="AL486" s="20" t="str">
        <f t="shared" si="22"/>
        <v/>
      </c>
      <c r="AM486" s="21" t="str">
        <f>IF(AL486="","",_xll.IMDP("STK",$AL486,"한글종목명"))</f>
        <v/>
      </c>
      <c r="AN486" s="48" t="str">
        <f>IF(AL486="","",_xll.IMDP("STK",$AL486,"현재가"))</f>
        <v/>
      </c>
      <c r="AO486" s="48" t="str">
        <f>IF(AL486="","",_xll.IMDP("STK",$AL486,"전일대비"))</f>
        <v/>
      </c>
      <c r="AP486" s="49" t="str">
        <f>IF(AL486="","",_xll.IMDP("STK",$AL486,"등락률"))</f>
        <v/>
      </c>
      <c r="AQ486" s="48" t="str">
        <f>IF(AL486="","",_xll.IMDP("STK",$AL486,"시가총액"))</f>
        <v/>
      </c>
    </row>
    <row r="487" spans="3:43" x14ac:dyDescent="0.25">
      <c r="C487" s="22">
        <v>482</v>
      </c>
      <c r="Y487" s="25" t="s">
        <v>352</v>
      </c>
      <c r="Z487" s="20" t="str">
        <f t="shared" si="21"/>
        <v/>
      </c>
      <c r="AA487" s="21" t="str">
        <f>IF(Z487="","",_xll.IMDP("STK",$Z487,"한글종목명"))</f>
        <v/>
      </c>
      <c r="AB487" s="48" t="str">
        <f>IF(Z487="","",_xll.IMDP("STK",$Z487,"현재가"))</f>
        <v/>
      </c>
      <c r="AC487" s="48" t="str">
        <f>IF(Z487="","",_xll.IMDP("STK",$Z487,"전일대비"))</f>
        <v/>
      </c>
      <c r="AD487" s="49" t="str">
        <f>IF(Z487="","",_xll.IMDP("STK",$Z487,"등락률"))</f>
        <v/>
      </c>
      <c r="AE487" s="48" t="str">
        <f>IF(Z487="","",_xll.IMDP("STK",Z487,"시가총액"))</f>
        <v/>
      </c>
      <c r="AF487" s="20" t="str">
        <f t="shared" si="23"/>
        <v/>
      </c>
      <c r="AG487" s="21" t="str">
        <f>IF(AF487="","",_xll.IMDP("STK",$AF487,"한글종목명"))</f>
        <v/>
      </c>
      <c r="AH487" s="48" t="str">
        <f>IF(AF487="","",_xll.IMDP("STK",$AF487,"현재가"))</f>
        <v/>
      </c>
      <c r="AI487" s="48" t="str">
        <f>IF(AF487="","",_xll.IMDP("STK",$AF487,"전일대비"))</f>
        <v/>
      </c>
      <c r="AJ487" s="49" t="str">
        <f>IF(AF487="","",_xll.IMDP("STK",$AF487,"등락률"))</f>
        <v/>
      </c>
      <c r="AK487" s="48" t="str">
        <f>IF(AF487="","",_xll.IMDP("STK",$AF487,"시가총액"))</f>
        <v/>
      </c>
      <c r="AL487" s="20" t="str">
        <f t="shared" si="22"/>
        <v/>
      </c>
      <c r="AM487" s="21" t="str">
        <f>IF(AL487="","",_xll.IMDP("STK",$AL487,"한글종목명"))</f>
        <v/>
      </c>
      <c r="AN487" s="48" t="str">
        <f>IF(AL487="","",_xll.IMDP("STK",$AL487,"현재가"))</f>
        <v/>
      </c>
      <c r="AO487" s="48" t="str">
        <f>IF(AL487="","",_xll.IMDP("STK",$AL487,"전일대비"))</f>
        <v/>
      </c>
      <c r="AP487" s="49" t="str">
        <f>IF(AL487="","",_xll.IMDP("STK",$AL487,"등락률"))</f>
        <v/>
      </c>
      <c r="AQ487" s="48" t="str">
        <f>IF(AL487="","",_xll.IMDP("STK",$AL487,"시가총액"))</f>
        <v/>
      </c>
    </row>
    <row r="488" spans="3:43" x14ac:dyDescent="0.25">
      <c r="C488" s="22">
        <v>483</v>
      </c>
      <c r="Y488" s="25" t="s">
        <v>353</v>
      </c>
      <c r="Z488" s="20" t="str">
        <f t="shared" si="21"/>
        <v/>
      </c>
      <c r="AA488" s="21" t="str">
        <f>IF(Z488="","",_xll.IMDP("STK",$Z488,"한글종목명"))</f>
        <v/>
      </c>
      <c r="AB488" s="48" t="str">
        <f>IF(Z488="","",_xll.IMDP("STK",$Z488,"현재가"))</f>
        <v/>
      </c>
      <c r="AC488" s="48" t="str">
        <f>IF(Z488="","",_xll.IMDP("STK",$Z488,"전일대비"))</f>
        <v/>
      </c>
      <c r="AD488" s="49" t="str">
        <f>IF(Z488="","",_xll.IMDP("STK",$Z488,"등락률"))</f>
        <v/>
      </c>
      <c r="AE488" s="48" t="str">
        <f>IF(Z488="","",_xll.IMDP("STK",Z488,"시가총액"))</f>
        <v/>
      </c>
      <c r="AF488" s="20" t="str">
        <f t="shared" si="23"/>
        <v/>
      </c>
      <c r="AG488" s="21" t="str">
        <f>IF(AF488="","",_xll.IMDP("STK",$AF488,"한글종목명"))</f>
        <v/>
      </c>
      <c r="AH488" s="48" t="str">
        <f>IF(AF488="","",_xll.IMDP("STK",$AF488,"현재가"))</f>
        <v/>
      </c>
      <c r="AI488" s="48" t="str">
        <f>IF(AF488="","",_xll.IMDP("STK",$AF488,"전일대비"))</f>
        <v/>
      </c>
      <c r="AJ488" s="49" t="str">
        <f>IF(AF488="","",_xll.IMDP("STK",$AF488,"등락률"))</f>
        <v/>
      </c>
      <c r="AK488" s="48" t="str">
        <f>IF(AF488="","",_xll.IMDP("STK",$AF488,"시가총액"))</f>
        <v/>
      </c>
      <c r="AL488" s="20" t="str">
        <f t="shared" si="22"/>
        <v/>
      </c>
      <c r="AM488" s="21" t="str">
        <f>IF(AL488="","",_xll.IMDP("STK",$AL488,"한글종목명"))</f>
        <v/>
      </c>
      <c r="AN488" s="48" t="str">
        <f>IF(AL488="","",_xll.IMDP("STK",$AL488,"현재가"))</f>
        <v/>
      </c>
      <c r="AO488" s="48" t="str">
        <f>IF(AL488="","",_xll.IMDP("STK",$AL488,"전일대비"))</f>
        <v/>
      </c>
      <c r="AP488" s="49" t="str">
        <f>IF(AL488="","",_xll.IMDP("STK",$AL488,"등락률"))</f>
        <v/>
      </c>
      <c r="AQ488" s="48" t="str">
        <f>IF(AL488="","",_xll.IMDP("STK",$AL488,"시가총액"))</f>
        <v/>
      </c>
    </row>
    <row r="489" spans="3:43" x14ac:dyDescent="0.25">
      <c r="C489" s="22">
        <v>484</v>
      </c>
      <c r="Y489" s="25" t="s">
        <v>621</v>
      </c>
      <c r="Z489" s="20" t="str">
        <f t="shared" si="21"/>
        <v/>
      </c>
      <c r="AA489" s="21" t="str">
        <f>IF(Z489="","",_xll.IMDP("STK",$Z489,"한글종목명"))</f>
        <v/>
      </c>
      <c r="AB489" s="48" t="str">
        <f>IF(Z489="","",_xll.IMDP("STK",$Z489,"현재가"))</f>
        <v/>
      </c>
      <c r="AC489" s="48" t="str">
        <f>IF(Z489="","",_xll.IMDP("STK",$Z489,"전일대비"))</f>
        <v/>
      </c>
      <c r="AD489" s="49" t="str">
        <f>IF(Z489="","",_xll.IMDP("STK",$Z489,"등락률"))</f>
        <v/>
      </c>
      <c r="AE489" s="48" t="str">
        <f>IF(Z489="","",_xll.IMDP("STK",Z489,"시가총액"))</f>
        <v/>
      </c>
      <c r="AF489" s="20" t="str">
        <f t="shared" si="23"/>
        <v/>
      </c>
      <c r="AG489" s="21" t="str">
        <f>IF(AF489="","",_xll.IMDP("STK",$AF489,"한글종목명"))</f>
        <v/>
      </c>
      <c r="AH489" s="48" t="str">
        <f>IF(AF489="","",_xll.IMDP("STK",$AF489,"현재가"))</f>
        <v/>
      </c>
      <c r="AI489" s="48" t="str">
        <f>IF(AF489="","",_xll.IMDP("STK",$AF489,"전일대비"))</f>
        <v/>
      </c>
      <c r="AJ489" s="49" t="str">
        <f>IF(AF489="","",_xll.IMDP("STK",$AF489,"등락률"))</f>
        <v/>
      </c>
      <c r="AK489" s="48" t="str">
        <f>IF(AF489="","",_xll.IMDP("STK",$AF489,"시가총액"))</f>
        <v/>
      </c>
      <c r="AL489" s="20" t="str">
        <f t="shared" si="22"/>
        <v/>
      </c>
      <c r="AM489" s="21" t="str">
        <f>IF(AL489="","",_xll.IMDP("STK",$AL489,"한글종목명"))</f>
        <v/>
      </c>
      <c r="AN489" s="48" t="str">
        <f>IF(AL489="","",_xll.IMDP("STK",$AL489,"현재가"))</f>
        <v/>
      </c>
      <c r="AO489" s="48" t="str">
        <f>IF(AL489="","",_xll.IMDP("STK",$AL489,"전일대비"))</f>
        <v/>
      </c>
      <c r="AP489" s="49" t="str">
        <f>IF(AL489="","",_xll.IMDP("STK",$AL489,"등락률"))</f>
        <v/>
      </c>
      <c r="AQ489" s="48" t="str">
        <f>IF(AL489="","",_xll.IMDP("STK",$AL489,"시가총액"))</f>
        <v/>
      </c>
    </row>
    <row r="490" spans="3:43" x14ac:dyDescent="0.25">
      <c r="C490" s="22">
        <v>485</v>
      </c>
      <c r="Y490" s="25" t="s">
        <v>221</v>
      </c>
      <c r="Z490" s="20" t="str">
        <f t="shared" si="21"/>
        <v/>
      </c>
      <c r="AA490" s="21" t="str">
        <f>IF(Z490="","",_xll.IMDP("STK",$Z490,"한글종목명"))</f>
        <v/>
      </c>
      <c r="AB490" s="48" t="str">
        <f>IF(Z490="","",_xll.IMDP("STK",$Z490,"현재가"))</f>
        <v/>
      </c>
      <c r="AC490" s="48" t="str">
        <f>IF(Z490="","",_xll.IMDP("STK",$Z490,"전일대비"))</f>
        <v/>
      </c>
      <c r="AD490" s="49" t="str">
        <f>IF(Z490="","",_xll.IMDP("STK",$Z490,"등락률"))</f>
        <v/>
      </c>
      <c r="AE490" s="48" t="str">
        <f>IF(Z490="","",_xll.IMDP("STK",Z490,"시가총액"))</f>
        <v/>
      </c>
      <c r="AF490" s="20" t="str">
        <f t="shared" si="23"/>
        <v/>
      </c>
      <c r="AG490" s="21" t="str">
        <f>IF(AF490="","",_xll.IMDP("STK",$AF490,"한글종목명"))</f>
        <v/>
      </c>
      <c r="AH490" s="48" t="str">
        <f>IF(AF490="","",_xll.IMDP("STK",$AF490,"현재가"))</f>
        <v/>
      </c>
      <c r="AI490" s="48" t="str">
        <f>IF(AF490="","",_xll.IMDP("STK",$AF490,"전일대비"))</f>
        <v/>
      </c>
      <c r="AJ490" s="49" t="str">
        <f>IF(AF490="","",_xll.IMDP("STK",$AF490,"등락률"))</f>
        <v/>
      </c>
      <c r="AK490" s="48" t="str">
        <f>IF(AF490="","",_xll.IMDP("STK",$AF490,"시가총액"))</f>
        <v/>
      </c>
      <c r="AL490" s="20" t="str">
        <f t="shared" si="22"/>
        <v/>
      </c>
      <c r="AM490" s="21" t="str">
        <f>IF(AL490="","",_xll.IMDP("STK",$AL490,"한글종목명"))</f>
        <v/>
      </c>
      <c r="AN490" s="48" t="str">
        <f>IF(AL490="","",_xll.IMDP("STK",$AL490,"현재가"))</f>
        <v/>
      </c>
      <c r="AO490" s="48" t="str">
        <f>IF(AL490="","",_xll.IMDP("STK",$AL490,"전일대비"))</f>
        <v/>
      </c>
      <c r="AP490" s="49" t="str">
        <f>IF(AL490="","",_xll.IMDP("STK",$AL490,"등락률"))</f>
        <v/>
      </c>
      <c r="AQ490" s="48" t="str">
        <f>IF(AL490="","",_xll.IMDP("STK",$AL490,"시가총액"))</f>
        <v/>
      </c>
    </row>
    <row r="491" spans="3:43" x14ac:dyDescent="0.25">
      <c r="C491" s="22">
        <v>486</v>
      </c>
      <c r="Y491" s="25" t="s">
        <v>679</v>
      </c>
      <c r="Z491" s="20" t="str">
        <f t="shared" si="21"/>
        <v/>
      </c>
      <c r="AA491" s="21" t="str">
        <f>IF(Z491="","",_xll.IMDP("STK",$Z491,"한글종목명"))</f>
        <v/>
      </c>
      <c r="AB491" s="48" t="str">
        <f>IF(Z491="","",_xll.IMDP("STK",$Z491,"현재가"))</f>
        <v/>
      </c>
      <c r="AC491" s="48" t="str">
        <f>IF(Z491="","",_xll.IMDP("STK",$Z491,"전일대비"))</f>
        <v/>
      </c>
      <c r="AD491" s="49" t="str">
        <f>IF(Z491="","",_xll.IMDP("STK",$Z491,"등락률"))</f>
        <v/>
      </c>
      <c r="AE491" s="48" t="str">
        <f>IF(Z491="","",_xll.IMDP("STK",Z491,"시가총액"))</f>
        <v/>
      </c>
      <c r="AF491" s="20" t="str">
        <f t="shared" si="23"/>
        <v/>
      </c>
      <c r="AG491" s="21" t="str">
        <f>IF(AF491="","",_xll.IMDP("STK",$AF491,"한글종목명"))</f>
        <v/>
      </c>
      <c r="AH491" s="48" t="str">
        <f>IF(AF491="","",_xll.IMDP("STK",$AF491,"현재가"))</f>
        <v/>
      </c>
      <c r="AI491" s="48" t="str">
        <f>IF(AF491="","",_xll.IMDP("STK",$AF491,"전일대비"))</f>
        <v/>
      </c>
      <c r="AJ491" s="49" t="str">
        <f>IF(AF491="","",_xll.IMDP("STK",$AF491,"등락률"))</f>
        <v/>
      </c>
      <c r="AK491" s="48" t="str">
        <f>IF(AF491="","",_xll.IMDP("STK",$AF491,"시가총액"))</f>
        <v/>
      </c>
      <c r="AL491" s="20" t="str">
        <f t="shared" si="22"/>
        <v/>
      </c>
      <c r="AM491" s="21" t="str">
        <f>IF(AL491="","",_xll.IMDP("STK",$AL491,"한글종목명"))</f>
        <v/>
      </c>
      <c r="AN491" s="48" t="str">
        <f>IF(AL491="","",_xll.IMDP("STK",$AL491,"현재가"))</f>
        <v/>
      </c>
      <c r="AO491" s="48" t="str">
        <f>IF(AL491="","",_xll.IMDP("STK",$AL491,"전일대비"))</f>
        <v/>
      </c>
      <c r="AP491" s="49" t="str">
        <f>IF(AL491="","",_xll.IMDP("STK",$AL491,"등락률"))</f>
        <v/>
      </c>
      <c r="AQ491" s="48" t="str">
        <f>IF(AL491="","",_xll.IMDP("STK",$AL491,"시가총액"))</f>
        <v/>
      </c>
    </row>
    <row r="492" spans="3:43" x14ac:dyDescent="0.25">
      <c r="C492" s="22">
        <v>487</v>
      </c>
      <c r="Y492" s="25" t="s">
        <v>552</v>
      </c>
      <c r="Z492" s="20" t="str">
        <f t="shared" si="21"/>
        <v/>
      </c>
      <c r="AA492" s="21" t="str">
        <f>IF(Z492="","",_xll.IMDP("STK",$Z492,"한글종목명"))</f>
        <v/>
      </c>
      <c r="AB492" s="48" t="str">
        <f>IF(Z492="","",_xll.IMDP("STK",$Z492,"현재가"))</f>
        <v/>
      </c>
      <c r="AC492" s="48" t="str">
        <f>IF(Z492="","",_xll.IMDP("STK",$Z492,"전일대비"))</f>
        <v/>
      </c>
      <c r="AD492" s="49" t="str">
        <f>IF(Z492="","",_xll.IMDP("STK",$Z492,"등락률"))</f>
        <v/>
      </c>
      <c r="AE492" s="48" t="str">
        <f>IF(Z492="","",_xll.IMDP("STK",Z492,"시가총액"))</f>
        <v/>
      </c>
      <c r="AF492" s="20" t="str">
        <f t="shared" si="23"/>
        <v/>
      </c>
      <c r="AG492" s="21" t="str">
        <f>IF(AF492="","",_xll.IMDP("STK",$AF492,"한글종목명"))</f>
        <v/>
      </c>
      <c r="AH492" s="48" t="str">
        <f>IF(AF492="","",_xll.IMDP("STK",$AF492,"현재가"))</f>
        <v/>
      </c>
      <c r="AI492" s="48" t="str">
        <f>IF(AF492="","",_xll.IMDP("STK",$AF492,"전일대비"))</f>
        <v/>
      </c>
      <c r="AJ492" s="49" t="str">
        <f>IF(AF492="","",_xll.IMDP("STK",$AF492,"등락률"))</f>
        <v/>
      </c>
      <c r="AK492" s="48" t="str">
        <f>IF(AF492="","",_xll.IMDP("STK",$AF492,"시가총액"))</f>
        <v/>
      </c>
      <c r="AL492" s="20" t="str">
        <f t="shared" si="22"/>
        <v/>
      </c>
      <c r="AM492" s="21" t="str">
        <f>IF(AL492="","",_xll.IMDP("STK",$AL492,"한글종목명"))</f>
        <v/>
      </c>
      <c r="AN492" s="48" t="str">
        <f>IF(AL492="","",_xll.IMDP("STK",$AL492,"현재가"))</f>
        <v/>
      </c>
      <c r="AO492" s="48" t="str">
        <f>IF(AL492="","",_xll.IMDP("STK",$AL492,"전일대비"))</f>
        <v/>
      </c>
      <c r="AP492" s="49" t="str">
        <f>IF(AL492="","",_xll.IMDP("STK",$AL492,"등락률"))</f>
        <v/>
      </c>
      <c r="AQ492" s="48" t="str">
        <f>IF(AL492="","",_xll.IMDP("STK",$AL492,"시가총액"))</f>
        <v/>
      </c>
    </row>
    <row r="493" spans="3:43" x14ac:dyDescent="0.25">
      <c r="C493" s="22">
        <v>488</v>
      </c>
      <c r="Y493" s="25" t="s">
        <v>680</v>
      </c>
      <c r="Z493" s="20" t="str">
        <f t="shared" si="21"/>
        <v/>
      </c>
      <c r="AA493" s="21" t="str">
        <f>IF(Z493="","",_xll.IMDP("STK",$Z493,"한글종목명"))</f>
        <v/>
      </c>
      <c r="AB493" s="48" t="str">
        <f>IF(Z493="","",_xll.IMDP("STK",$Z493,"현재가"))</f>
        <v/>
      </c>
      <c r="AC493" s="48" t="str">
        <f>IF(Z493="","",_xll.IMDP("STK",$Z493,"전일대비"))</f>
        <v/>
      </c>
      <c r="AD493" s="49" t="str">
        <f>IF(Z493="","",_xll.IMDP("STK",$Z493,"등락률"))</f>
        <v/>
      </c>
      <c r="AE493" s="48" t="str">
        <f>IF(Z493="","",_xll.IMDP("STK",Z493,"시가총액"))</f>
        <v/>
      </c>
      <c r="AF493" s="20" t="str">
        <f t="shared" si="23"/>
        <v/>
      </c>
      <c r="AG493" s="21" t="str">
        <f>IF(AF493="","",_xll.IMDP("STK",$AF493,"한글종목명"))</f>
        <v/>
      </c>
      <c r="AH493" s="48" t="str">
        <f>IF(AF493="","",_xll.IMDP("STK",$AF493,"현재가"))</f>
        <v/>
      </c>
      <c r="AI493" s="48" t="str">
        <f>IF(AF493="","",_xll.IMDP("STK",$AF493,"전일대비"))</f>
        <v/>
      </c>
      <c r="AJ493" s="49" t="str">
        <f>IF(AF493="","",_xll.IMDP("STK",$AF493,"등락률"))</f>
        <v/>
      </c>
      <c r="AK493" s="48" t="str">
        <f>IF(AF493="","",_xll.IMDP("STK",$AF493,"시가총액"))</f>
        <v/>
      </c>
      <c r="AL493" s="20" t="str">
        <f t="shared" si="22"/>
        <v/>
      </c>
      <c r="AM493" s="21" t="str">
        <f>IF(AL493="","",_xll.IMDP("STK",$AL493,"한글종목명"))</f>
        <v/>
      </c>
      <c r="AN493" s="48" t="str">
        <f>IF(AL493="","",_xll.IMDP("STK",$AL493,"현재가"))</f>
        <v/>
      </c>
      <c r="AO493" s="48" t="str">
        <f>IF(AL493="","",_xll.IMDP("STK",$AL493,"전일대비"))</f>
        <v/>
      </c>
      <c r="AP493" s="49" t="str">
        <f>IF(AL493="","",_xll.IMDP("STK",$AL493,"등락률"))</f>
        <v/>
      </c>
      <c r="AQ493" s="48" t="str">
        <f>IF(AL493="","",_xll.IMDP("STK",$AL493,"시가총액"))</f>
        <v/>
      </c>
    </row>
    <row r="494" spans="3:43" x14ac:dyDescent="0.25">
      <c r="C494" s="22">
        <v>489</v>
      </c>
      <c r="Y494" s="25" t="s">
        <v>1073</v>
      </c>
      <c r="Z494" s="20" t="str">
        <f t="shared" si="21"/>
        <v/>
      </c>
      <c r="AA494" s="21" t="str">
        <f>IF(Z494="","",_xll.IMDP("STK",$Z494,"한글종목명"))</f>
        <v/>
      </c>
      <c r="AB494" s="48" t="str">
        <f>IF(Z494="","",_xll.IMDP("STK",$Z494,"현재가"))</f>
        <v/>
      </c>
      <c r="AC494" s="48" t="str">
        <f>IF(Z494="","",_xll.IMDP("STK",$Z494,"전일대비"))</f>
        <v/>
      </c>
      <c r="AD494" s="49" t="str">
        <f>IF(Z494="","",_xll.IMDP("STK",$Z494,"등락률"))</f>
        <v/>
      </c>
      <c r="AE494" s="48" t="str">
        <f>IF(Z494="","",_xll.IMDP("STK",Z494,"시가총액"))</f>
        <v/>
      </c>
      <c r="AF494" s="20" t="str">
        <f t="shared" si="23"/>
        <v/>
      </c>
      <c r="AG494" s="21" t="str">
        <f>IF(AF494="","",_xll.IMDP("STK",$AF494,"한글종목명"))</f>
        <v/>
      </c>
      <c r="AH494" s="48" t="str">
        <f>IF(AF494="","",_xll.IMDP("STK",$AF494,"현재가"))</f>
        <v/>
      </c>
      <c r="AI494" s="48" t="str">
        <f>IF(AF494="","",_xll.IMDP("STK",$AF494,"전일대비"))</f>
        <v/>
      </c>
      <c r="AJ494" s="49" t="str">
        <f>IF(AF494="","",_xll.IMDP("STK",$AF494,"등락률"))</f>
        <v/>
      </c>
      <c r="AK494" s="48" t="str">
        <f>IF(AF494="","",_xll.IMDP("STK",$AF494,"시가총액"))</f>
        <v/>
      </c>
      <c r="AL494" s="20" t="str">
        <f t="shared" si="22"/>
        <v/>
      </c>
      <c r="AM494" s="21" t="str">
        <f>IF(AL494="","",_xll.IMDP("STK",$AL494,"한글종목명"))</f>
        <v/>
      </c>
      <c r="AN494" s="48" t="str">
        <f>IF(AL494="","",_xll.IMDP("STK",$AL494,"현재가"))</f>
        <v/>
      </c>
      <c r="AO494" s="48" t="str">
        <f>IF(AL494="","",_xll.IMDP("STK",$AL494,"전일대비"))</f>
        <v/>
      </c>
      <c r="AP494" s="49" t="str">
        <f>IF(AL494="","",_xll.IMDP("STK",$AL494,"등락률"))</f>
        <v/>
      </c>
      <c r="AQ494" s="48" t="str">
        <f>IF(AL494="","",_xll.IMDP("STK",$AL494,"시가총액"))</f>
        <v/>
      </c>
    </row>
    <row r="495" spans="3:43" x14ac:dyDescent="0.25">
      <c r="C495" s="22">
        <v>490</v>
      </c>
      <c r="Y495" s="25" t="s">
        <v>681</v>
      </c>
      <c r="Z495" s="20" t="str">
        <f t="shared" si="21"/>
        <v/>
      </c>
      <c r="AA495" s="21" t="str">
        <f>IF(Z495="","",_xll.IMDP("STK",$Z495,"한글종목명"))</f>
        <v/>
      </c>
      <c r="AB495" s="48" t="str">
        <f>IF(Z495="","",_xll.IMDP("STK",$Z495,"현재가"))</f>
        <v/>
      </c>
      <c r="AC495" s="48" t="str">
        <f>IF(Z495="","",_xll.IMDP("STK",$Z495,"전일대비"))</f>
        <v/>
      </c>
      <c r="AD495" s="49" t="str">
        <f>IF(Z495="","",_xll.IMDP("STK",$Z495,"등락률"))</f>
        <v/>
      </c>
      <c r="AE495" s="48" t="str">
        <f>IF(Z495="","",_xll.IMDP("STK",Z495,"시가총액"))</f>
        <v/>
      </c>
      <c r="AF495" s="20" t="str">
        <f t="shared" si="23"/>
        <v/>
      </c>
      <c r="AG495" s="21" t="str">
        <f>IF(AF495="","",_xll.IMDP("STK",$AF495,"한글종목명"))</f>
        <v/>
      </c>
      <c r="AH495" s="48" t="str">
        <f>IF(AF495="","",_xll.IMDP("STK",$AF495,"현재가"))</f>
        <v/>
      </c>
      <c r="AI495" s="48" t="str">
        <f>IF(AF495="","",_xll.IMDP("STK",$AF495,"전일대비"))</f>
        <v/>
      </c>
      <c r="AJ495" s="49" t="str">
        <f>IF(AF495="","",_xll.IMDP("STK",$AF495,"등락률"))</f>
        <v/>
      </c>
      <c r="AK495" s="48" t="str">
        <f>IF(AF495="","",_xll.IMDP("STK",$AF495,"시가총액"))</f>
        <v/>
      </c>
      <c r="AL495" s="20" t="str">
        <f t="shared" si="22"/>
        <v/>
      </c>
      <c r="AM495" s="21" t="str">
        <f>IF(AL495="","",_xll.IMDP("STK",$AL495,"한글종목명"))</f>
        <v/>
      </c>
      <c r="AN495" s="48" t="str">
        <f>IF(AL495="","",_xll.IMDP("STK",$AL495,"현재가"))</f>
        <v/>
      </c>
      <c r="AO495" s="48" t="str">
        <f>IF(AL495="","",_xll.IMDP("STK",$AL495,"전일대비"))</f>
        <v/>
      </c>
      <c r="AP495" s="49" t="str">
        <f>IF(AL495="","",_xll.IMDP("STK",$AL495,"등락률"))</f>
        <v/>
      </c>
      <c r="AQ495" s="48" t="str">
        <f>IF(AL495="","",_xll.IMDP("STK",$AL495,"시가총액"))</f>
        <v/>
      </c>
    </row>
    <row r="496" spans="3:43" x14ac:dyDescent="0.25">
      <c r="C496" s="22">
        <v>491</v>
      </c>
      <c r="Y496" s="25" t="s">
        <v>682</v>
      </c>
      <c r="Z496" s="20" t="str">
        <f t="shared" si="21"/>
        <v/>
      </c>
      <c r="AA496" s="21" t="str">
        <f>IF(Z496="","",_xll.IMDP("STK",$Z496,"한글종목명"))</f>
        <v/>
      </c>
      <c r="AB496" s="48" t="str">
        <f>IF(Z496="","",_xll.IMDP("STK",$Z496,"현재가"))</f>
        <v/>
      </c>
      <c r="AC496" s="48" t="str">
        <f>IF(Z496="","",_xll.IMDP("STK",$Z496,"전일대비"))</f>
        <v/>
      </c>
      <c r="AD496" s="49" t="str">
        <f>IF(Z496="","",_xll.IMDP("STK",$Z496,"등락률"))</f>
        <v/>
      </c>
      <c r="AE496" s="48" t="str">
        <f>IF(Z496="","",_xll.IMDP("STK",Z496,"시가총액"))</f>
        <v/>
      </c>
      <c r="AF496" s="20" t="str">
        <f t="shared" si="23"/>
        <v/>
      </c>
      <c r="AG496" s="21" t="str">
        <f>IF(AF496="","",_xll.IMDP("STK",$AF496,"한글종목명"))</f>
        <v/>
      </c>
      <c r="AH496" s="48" t="str">
        <f>IF(AF496="","",_xll.IMDP("STK",$AF496,"현재가"))</f>
        <v/>
      </c>
      <c r="AI496" s="48" t="str">
        <f>IF(AF496="","",_xll.IMDP("STK",$AF496,"전일대비"))</f>
        <v/>
      </c>
      <c r="AJ496" s="49" t="str">
        <f>IF(AF496="","",_xll.IMDP("STK",$AF496,"등락률"))</f>
        <v/>
      </c>
      <c r="AK496" s="48" t="str">
        <f>IF(AF496="","",_xll.IMDP("STK",$AF496,"시가총액"))</f>
        <v/>
      </c>
      <c r="AL496" s="20" t="str">
        <f t="shared" si="22"/>
        <v/>
      </c>
      <c r="AM496" s="21" t="str">
        <f>IF(AL496="","",_xll.IMDP("STK",$AL496,"한글종목명"))</f>
        <v/>
      </c>
      <c r="AN496" s="48" t="str">
        <f>IF(AL496="","",_xll.IMDP("STK",$AL496,"현재가"))</f>
        <v/>
      </c>
      <c r="AO496" s="48" t="str">
        <f>IF(AL496="","",_xll.IMDP("STK",$AL496,"전일대비"))</f>
        <v/>
      </c>
      <c r="AP496" s="49" t="str">
        <f>IF(AL496="","",_xll.IMDP("STK",$AL496,"등락률"))</f>
        <v/>
      </c>
      <c r="AQ496" s="48" t="str">
        <f>IF(AL496="","",_xll.IMDP("STK",$AL496,"시가총액"))</f>
        <v/>
      </c>
    </row>
    <row r="497" spans="3:43" x14ac:dyDescent="0.25">
      <c r="C497" s="22">
        <v>492</v>
      </c>
      <c r="Y497" s="25" t="s">
        <v>507</v>
      </c>
      <c r="Z497" s="20" t="str">
        <f t="shared" si="21"/>
        <v/>
      </c>
      <c r="AA497" s="21" t="str">
        <f>IF(Z497="","",_xll.IMDP("STK",$Z497,"한글종목명"))</f>
        <v/>
      </c>
      <c r="AB497" s="48" t="str">
        <f>IF(Z497="","",_xll.IMDP("STK",$Z497,"현재가"))</f>
        <v/>
      </c>
      <c r="AC497" s="48" t="str">
        <f>IF(Z497="","",_xll.IMDP("STK",$Z497,"전일대비"))</f>
        <v/>
      </c>
      <c r="AD497" s="49" t="str">
        <f>IF(Z497="","",_xll.IMDP("STK",$Z497,"등락률"))</f>
        <v/>
      </c>
      <c r="AE497" s="48" t="str">
        <f>IF(Z497="","",_xll.IMDP("STK",Z497,"시가총액"))</f>
        <v/>
      </c>
      <c r="AF497" s="20" t="str">
        <f t="shared" si="23"/>
        <v/>
      </c>
      <c r="AG497" s="21" t="str">
        <f>IF(AF497="","",_xll.IMDP("STK",$AF497,"한글종목명"))</f>
        <v/>
      </c>
      <c r="AH497" s="48" t="str">
        <f>IF(AF497="","",_xll.IMDP("STK",$AF497,"현재가"))</f>
        <v/>
      </c>
      <c r="AI497" s="48" t="str">
        <f>IF(AF497="","",_xll.IMDP("STK",$AF497,"전일대비"))</f>
        <v/>
      </c>
      <c r="AJ497" s="49" t="str">
        <f>IF(AF497="","",_xll.IMDP("STK",$AF497,"등락률"))</f>
        <v/>
      </c>
      <c r="AK497" s="48" t="str">
        <f>IF(AF497="","",_xll.IMDP("STK",$AF497,"시가총액"))</f>
        <v/>
      </c>
      <c r="AL497" s="20" t="str">
        <f t="shared" si="22"/>
        <v/>
      </c>
      <c r="AM497" s="21" t="str">
        <f>IF(AL497="","",_xll.IMDP("STK",$AL497,"한글종목명"))</f>
        <v/>
      </c>
      <c r="AN497" s="48" t="str">
        <f>IF(AL497="","",_xll.IMDP("STK",$AL497,"현재가"))</f>
        <v/>
      </c>
      <c r="AO497" s="48" t="str">
        <f>IF(AL497="","",_xll.IMDP("STK",$AL497,"전일대비"))</f>
        <v/>
      </c>
      <c r="AP497" s="49" t="str">
        <f>IF(AL497="","",_xll.IMDP("STK",$AL497,"등락률"))</f>
        <v/>
      </c>
      <c r="AQ497" s="48" t="str">
        <f>IF(AL497="","",_xll.IMDP("STK",$AL497,"시가총액"))</f>
        <v/>
      </c>
    </row>
    <row r="498" spans="3:43" x14ac:dyDescent="0.25">
      <c r="C498" s="22">
        <v>493</v>
      </c>
      <c r="Y498" s="25" t="s">
        <v>508</v>
      </c>
      <c r="Z498" s="20" t="str">
        <f t="shared" si="21"/>
        <v/>
      </c>
      <c r="AA498" s="21" t="str">
        <f>IF(Z498="","",_xll.IMDP("STK",$Z498,"한글종목명"))</f>
        <v/>
      </c>
      <c r="AB498" s="48" t="str">
        <f>IF(Z498="","",_xll.IMDP("STK",$Z498,"현재가"))</f>
        <v/>
      </c>
      <c r="AC498" s="48" t="str">
        <f>IF(Z498="","",_xll.IMDP("STK",$Z498,"전일대비"))</f>
        <v/>
      </c>
      <c r="AD498" s="49" t="str">
        <f>IF(Z498="","",_xll.IMDP("STK",$Z498,"등락률"))</f>
        <v/>
      </c>
      <c r="AE498" s="48" t="str">
        <f>IF(Z498="","",_xll.IMDP("STK",Z498,"시가총액"))</f>
        <v/>
      </c>
      <c r="AF498" s="20" t="str">
        <f t="shared" si="23"/>
        <v/>
      </c>
      <c r="AG498" s="21" t="str">
        <f>IF(AF498="","",_xll.IMDP("STK",$AF498,"한글종목명"))</f>
        <v/>
      </c>
      <c r="AH498" s="48" t="str">
        <f>IF(AF498="","",_xll.IMDP("STK",$AF498,"현재가"))</f>
        <v/>
      </c>
      <c r="AI498" s="48" t="str">
        <f>IF(AF498="","",_xll.IMDP("STK",$AF498,"전일대비"))</f>
        <v/>
      </c>
      <c r="AJ498" s="49" t="str">
        <f>IF(AF498="","",_xll.IMDP("STK",$AF498,"등락률"))</f>
        <v/>
      </c>
      <c r="AK498" s="48" t="str">
        <f>IF(AF498="","",_xll.IMDP("STK",$AF498,"시가총액"))</f>
        <v/>
      </c>
      <c r="AL498" s="20" t="str">
        <f t="shared" si="22"/>
        <v/>
      </c>
      <c r="AM498" s="21" t="str">
        <f>IF(AL498="","",_xll.IMDP("STK",$AL498,"한글종목명"))</f>
        <v/>
      </c>
      <c r="AN498" s="48" t="str">
        <f>IF(AL498="","",_xll.IMDP("STK",$AL498,"현재가"))</f>
        <v/>
      </c>
      <c r="AO498" s="48" t="str">
        <f>IF(AL498="","",_xll.IMDP("STK",$AL498,"전일대비"))</f>
        <v/>
      </c>
      <c r="AP498" s="49" t="str">
        <f>IF(AL498="","",_xll.IMDP("STK",$AL498,"등락률"))</f>
        <v/>
      </c>
      <c r="AQ498" s="48" t="str">
        <f>IF(AL498="","",_xll.IMDP("STK",$AL498,"시가총액"))</f>
        <v/>
      </c>
    </row>
    <row r="499" spans="3:43" x14ac:dyDescent="0.25">
      <c r="C499" s="22">
        <v>494</v>
      </c>
      <c r="Y499" s="25" t="s">
        <v>462</v>
      </c>
      <c r="Z499" s="20" t="str">
        <f t="shared" si="21"/>
        <v/>
      </c>
      <c r="AA499" s="21" t="str">
        <f>IF(Z499="","",_xll.IMDP("STK",$Z499,"한글종목명"))</f>
        <v/>
      </c>
      <c r="AB499" s="48" t="str">
        <f>IF(Z499="","",_xll.IMDP("STK",$Z499,"현재가"))</f>
        <v/>
      </c>
      <c r="AC499" s="48" t="str">
        <f>IF(Z499="","",_xll.IMDP("STK",$Z499,"전일대비"))</f>
        <v/>
      </c>
      <c r="AD499" s="49" t="str">
        <f>IF(Z499="","",_xll.IMDP("STK",$Z499,"등락률"))</f>
        <v/>
      </c>
      <c r="AE499" s="48" t="str">
        <f>IF(Z499="","",_xll.IMDP("STK",Z499,"시가총액"))</f>
        <v/>
      </c>
      <c r="AF499" s="20" t="str">
        <f t="shared" si="23"/>
        <v/>
      </c>
      <c r="AG499" s="21" t="str">
        <f>IF(AF499="","",_xll.IMDP("STK",$AF499,"한글종목명"))</f>
        <v/>
      </c>
      <c r="AH499" s="48" t="str">
        <f>IF(AF499="","",_xll.IMDP("STK",$AF499,"현재가"))</f>
        <v/>
      </c>
      <c r="AI499" s="48" t="str">
        <f>IF(AF499="","",_xll.IMDP("STK",$AF499,"전일대비"))</f>
        <v/>
      </c>
      <c r="AJ499" s="49" t="str">
        <f>IF(AF499="","",_xll.IMDP("STK",$AF499,"등락률"))</f>
        <v/>
      </c>
      <c r="AK499" s="48" t="str">
        <f>IF(AF499="","",_xll.IMDP("STK",$AF499,"시가총액"))</f>
        <v/>
      </c>
      <c r="AL499" s="20" t="str">
        <f t="shared" si="22"/>
        <v/>
      </c>
      <c r="AM499" s="21" t="str">
        <f>IF(AL499="","",_xll.IMDP("STK",$AL499,"한글종목명"))</f>
        <v/>
      </c>
      <c r="AN499" s="48" t="str">
        <f>IF(AL499="","",_xll.IMDP("STK",$AL499,"현재가"))</f>
        <v/>
      </c>
      <c r="AO499" s="48" t="str">
        <f>IF(AL499="","",_xll.IMDP("STK",$AL499,"전일대비"))</f>
        <v/>
      </c>
      <c r="AP499" s="49" t="str">
        <f>IF(AL499="","",_xll.IMDP("STK",$AL499,"등락률"))</f>
        <v/>
      </c>
      <c r="AQ499" s="48" t="str">
        <f>IF(AL499="","",_xll.IMDP("STK",$AL499,"시가총액"))</f>
        <v/>
      </c>
    </row>
    <row r="500" spans="3:43" x14ac:dyDescent="0.25">
      <c r="C500" s="22">
        <v>495</v>
      </c>
      <c r="Y500" s="25" t="s">
        <v>430</v>
      </c>
      <c r="Z500" s="20" t="str">
        <f t="shared" si="21"/>
        <v/>
      </c>
      <c r="AA500" s="21" t="str">
        <f>IF(Z500="","",_xll.IMDP("STK",$Z500,"한글종목명"))</f>
        <v/>
      </c>
      <c r="AB500" s="48" t="str">
        <f>IF(Z500="","",_xll.IMDP("STK",$Z500,"현재가"))</f>
        <v/>
      </c>
      <c r="AC500" s="48" t="str">
        <f>IF(Z500="","",_xll.IMDP("STK",$Z500,"전일대비"))</f>
        <v/>
      </c>
      <c r="AD500" s="49" t="str">
        <f>IF(Z500="","",_xll.IMDP("STK",$Z500,"등락률"))</f>
        <v/>
      </c>
      <c r="AE500" s="48" t="str">
        <f>IF(Z500="","",_xll.IMDP("STK",Z500,"시가총액"))</f>
        <v/>
      </c>
      <c r="AF500" s="20" t="str">
        <f t="shared" si="23"/>
        <v/>
      </c>
      <c r="AG500" s="21" t="str">
        <f>IF(AF500="","",_xll.IMDP("STK",$AF500,"한글종목명"))</f>
        <v/>
      </c>
      <c r="AH500" s="48" t="str">
        <f>IF(AF500="","",_xll.IMDP("STK",$AF500,"현재가"))</f>
        <v/>
      </c>
      <c r="AI500" s="48" t="str">
        <f>IF(AF500="","",_xll.IMDP("STK",$AF500,"전일대비"))</f>
        <v/>
      </c>
      <c r="AJ500" s="49" t="str">
        <f>IF(AF500="","",_xll.IMDP("STK",$AF500,"등락률"))</f>
        <v/>
      </c>
      <c r="AK500" s="48" t="str">
        <f>IF(AF500="","",_xll.IMDP("STK",$AF500,"시가총액"))</f>
        <v/>
      </c>
      <c r="AL500" s="20" t="str">
        <f t="shared" si="22"/>
        <v/>
      </c>
      <c r="AM500" s="21" t="str">
        <f>IF(AL500="","",_xll.IMDP("STK",$AL500,"한글종목명"))</f>
        <v/>
      </c>
      <c r="AN500" s="48" t="str">
        <f>IF(AL500="","",_xll.IMDP("STK",$AL500,"현재가"))</f>
        <v/>
      </c>
      <c r="AO500" s="48" t="str">
        <f>IF(AL500="","",_xll.IMDP("STK",$AL500,"전일대비"))</f>
        <v/>
      </c>
      <c r="AP500" s="49" t="str">
        <f>IF(AL500="","",_xll.IMDP("STK",$AL500,"등락률"))</f>
        <v/>
      </c>
      <c r="AQ500" s="48" t="str">
        <f>IF(AL500="","",_xll.IMDP("STK",$AL500,"시가총액"))</f>
        <v/>
      </c>
    </row>
    <row r="501" spans="3:43" x14ac:dyDescent="0.25">
      <c r="C501" s="22">
        <v>496</v>
      </c>
      <c r="Y501" s="25" t="s">
        <v>553</v>
      </c>
      <c r="Z501" s="20" t="str">
        <f t="shared" si="21"/>
        <v/>
      </c>
      <c r="AA501" s="21" t="str">
        <f>IF(Z501="","",_xll.IMDP("STK",$Z501,"한글종목명"))</f>
        <v/>
      </c>
      <c r="AB501" s="48" t="str">
        <f>IF(Z501="","",_xll.IMDP("STK",$Z501,"현재가"))</f>
        <v/>
      </c>
      <c r="AC501" s="48" t="str">
        <f>IF(Z501="","",_xll.IMDP("STK",$Z501,"전일대비"))</f>
        <v/>
      </c>
      <c r="AD501" s="49" t="str">
        <f>IF(Z501="","",_xll.IMDP("STK",$Z501,"등락률"))</f>
        <v/>
      </c>
      <c r="AE501" s="48" t="str">
        <f>IF(Z501="","",_xll.IMDP("STK",Z501,"시가총액"))</f>
        <v/>
      </c>
      <c r="AF501" s="20" t="str">
        <f t="shared" si="23"/>
        <v/>
      </c>
      <c r="AG501" s="21" t="str">
        <f>IF(AF501="","",_xll.IMDP("STK",$AF501,"한글종목명"))</f>
        <v/>
      </c>
      <c r="AH501" s="48" t="str">
        <f>IF(AF501="","",_xll.IMDP("STK",$AF501,"현재가"))</f>
        <v/>
      </c>
      <c r="AI501" s="48" t="str">
        <f>IF(AF501="","",_xll.IMDP("STK",$AF501,"전일대비"))</f>
        <v/>
      </c>
      <c r="AJ501" s="49" t="str">
        <f>IF(AF501="","",_xll.IMDP("STK",$AF501,"등락률"))</f>
        <v/>
      </c>
      <c r="AK501" s="48" t="str">
        <f>IF(AF501="","",_xll.IMDP("STK",$AF501,"시가총액"))</f>
        <v/>
      </c>
      <c r="AL501" s="20" t="str">
        <f t="shared" si="22"/>
        <v/>
      </c>
      <c r="AM501" s="21" t="str">
        <f>IF(AL501="","",_xll.IMDP("STK",$AL501,"한글종목명"))</f>
        <v/>
      </c>
      <c r="AN501" s="48" t="str">
        <f>IF(AL501="","",_xll.IMDP("STK",$AL501,"현재가"))</f>
        <v/>
      </c>
      <c r="AO501" s="48" t="str">
        <f>IF(AL501="","",_xll.IMDP("STK",$AL501,"전일대비"))</f>
        <v/>
      </c>
      <c r="AP501" s="49" t="str">
        <f>IF(AL501="","",_xll.IMDP("STK",$AL501,"등락률"))</f>
        <v/>
      </c>
      <c r="AQ501" s="48" t="str">
        <f>IF(AL501="","",_xll.IMDP("STK",$AL501,"시가총액"))</f>
        <v/>
      </c>
    </row>
    <row r="502" spans="3:43" x14ac:dyDescent="0.25">
      <c r="C502" s="22">
        <v>497</v>
      </c>
      <c r="Y502" s="25" t="s">
        <v>683</v>
      </c>
      <c r="Z502" s="20" t="str">
        <f t="shared" si="21"/>
        <v/>
      </c>
      <c r="AA502" s="21" t="str">
        <f>IF(Z502="","",_xll.IMDP("STK",$Z502,"한글종목명"))</f>
        <v/>
      </c>
      <c r="AB502" s="48" t="str">
        <f>IF(Z502="","",_xll.IMDP("STK",$Z502,"현재가"))</f>
        <v/>
      </c>
      <c r="AC502" s="48" t="str">
        <f>IF(Z502="","",_xll.IMDP("STK",$Z502,"전일대비"))</f>
        <v/>
      </c>
      <c r="AD502" s="49" t="str">
        <f>IF(Z502="","",_xll.IMDP("STK",$Z502,"등락률"))</f>
        <v/>
      </c>
      <c r="AE502" s="48" t="str">
        <f>IF(Z502="","",_xll.IMDP("STK",Z502,"시가총액"))</f>
        <v/>
      </c>
      <c r="AF502" s="20" t="str">
        <f t="shared" si="23"/>
        <v/>
      </c>
      <c r="AG502" s="21" t="str">
        <f>IF(AF502="","",_xll.IMDP("STK",$AF502,"한글종목명"))</f>
        <v/>
      </c>
      <c r="AH502" s="48" t="str">
        <f>IF(AF502="","",_xll.IMDP("STK",$AF502,"현재가"))</f>
        <v/>
      </c>
      <c r="AI502" s="48" t="str">
        <f>IF(AF502="","",_xll.IMDP("STK",$AF502,"전일대비"))</f>
        <v/>
      </c>
      <c r="AJ502" s="49" t="str">
        <f>IF(AF502="","",_xll.IMDP("STK",$AF502,"등락률"))</f>
        <v/>
      </c>
      <c r="AK502" s="48" t="str">
        <f>IF(AF502="","",_xll.IMDP("STK",$AF502,"시가총액"))</f>
        <v/>
      </c>
      <c r="AL502" s="20" t="str">
        <f t="shared" si="22"/>
        <v/>
      </c>
      <c r="AM502" s="21" t="str">
        <f>IF(AL502="","",_xll.IMDP("STK",$AL502,"한글종목명"))</f>
        <v/>
      </c>
      <c r="AN502" s="48" t="str">
        <f>IF(AL502="","",_xll.IMDP("STK",$AL502,"현재가"))</f>
        <v/>
      </c>
      <c r="AO502" s="48" t="str">
        <f>IF(AL502="","",_xll.IMDP("STK",$AL502,"전일대비"))</f>
        <v/>
      </c>
      <c r="AP502" s="49" t="str">
        <f>IF(AL502="","",_xll.IMDP("STK",$AL502,"등락률"))</f>
        <v/>
      </c>
      <c r="AQ502" s="48" t="str">
        <f>IF(AL502="","",_xll.IMDP("STK",$AL502,"시가총액"))</f>
        <v/>
      </c>
    </row>
    <row r="503" spans="3:43" x14ac:dyDescent="0.25">
      <c r="C503" s="22">
        <v>498</v>
      </c>
      <c r="Y503" s="25" t="s">
        <v>622</v>
      </c>
      <c r="Z503" s="20" t="str">
        <f t="shared" si="21"/>
        <v/>
      </c>
      <c r="AA503" s="21" t="str">
        <f>IF(Z503="","",_xll.IMDP("STK",$Z503,"한글종목명"))</f>
        <v/>
      </c>
      <c r="AB503" s="48" t="str">
        <f>IF(Z503="","",_xll.IMDP("STK",$Z503,"현재가"))</f>
        <v/>
      </c>
      <c r="AC503" s="48" t="str">
        <f>IF(Z503="","",_xll.IMDP("STK",$Z503,"전일대비"))</f>
        <v/>
      </c>
      <c r="AD503" s="49" t="str">
        <f>IF(Z503="","",_xll.IMDP("STK",$Z503,"등락률"))</f>
        <v/>
      </c>
      <c r="AE503" s="48" t="str">
        <f>IF(Z503="","",_xll.IMDP("STK",Z503,"시가총액"))</f>
        <v/>
      </c>
      <c r="AF503" s="20" t="str">
        <f t="shared" si="23"/>
        <v/>
      </c>
      <c r="AG503" s="21" t="str">
        <f>IF(AF503="","",_xll.IMDP("STK",$AF503,"한글종목명"))</f>
        <v/>
      </c>
      <c r="AH503" s="48" t="str">
        <f>IF(AF503="","",_xll.IMDP("STK",$AF503,"현재가"))</f>
        <v/>
      </c>
      <c r="AI503" s="48" t="str">
        <f>IF(AF503="","",_xll.IMDP("STK",$AF503,"전일대비"))</f>
        <v/>
      </c>
      <c r="AJ503" s="49" t="str">
        <f>IF(AF503="","",_xll.IMDP("STK",$AF503,"등락률"))</f>
        <v/>
      </c>
      <c r="AK503" s="48" t="str">
        <f>IF(AF503="","",_xll.IMDP("STK",$AF503,"시가총액"))</f>
        <v/>
      </c>
      <c r="AL503" s="20" t="str">
        <f t="shared" si="22"/>
        <v/>
      </c>
      <c r="AM503" s="21" t="str">
        <f>IF(AL503="","",_xll.IMDP("STK",$AL503,"한글종목명"))</f>
        <v/>
      </c>
      <c r="AN503" s="48" t="str">
        <f>IF(AL503="","",_xll.IMDP("STK",$AL503,"현재가"))</f>
        <v/>
      </c>
      <c r="AO503" s="48" t="str">
        <f>IF(AL503="","",_xll.IMDP("STK",$AL503,"전일대비"))</f>
        <v/>
      </c>
      <c r="AP503" s="49" t="str">
        <f>IF(AL503="","",_xll.IMDP("STK",$AL503,"등락률"))</f>
        <v/>
      </c>
      <c r="AQ503" s="48" t="str">
        <f>IF(AL503="","",_xll.IMDP("STK",$AL503,"시가총액"))</f>
        <v/>
      </c>
    </row>
    <row r="504" spans="3:43" x14ac:dyDescent="0.25">
      <c r="C504" s="22">
        <v>499</v>
      </c>
      <c r="Y504" s="25" t="s">
        <v>509</v>
      </c>
      <c r="Z504" s="20" t="str">
        <f t="shared" si="21"/>
        <v/>
      </c>
      <c r="AA504" s="21" t="str">
        <f>IF(Z504="","",_xll.IMDP("STK",$Z504,"한글종목명"))</f>
        <v/>
      </c>
      <c r="AB504" s="48" t="str">
        <f>IF(Z504="","",_xll.IMDP("STK",$Z504,"현재가"))</f>
        <v/>
      </c>
      <c r="AC504" s="48" t="str">
        <f>IF(Z504="","",_xll.IMDP("STK",$Z504,"전일대비"))</f>
        <v/>
      </c>
      <c r="AD504" s="49" t="str">
        <f>IF(Z504="","",_xll.IMDP("STK",$Z504,"등락률"))</f>
        <v/>
      </c>
      <c r="AE504" s="48" t="str">
        <f>IF(Z504="","",_xll.IMDP("STK",Z504,"시가총액"))</f>
        <v/>
      </c>
      <c r="AF504" s="20" t="str">
        <f t="shared" si="23"/>
        <v/>
      </c>
      <c r="AG504" s="21" t="str">
        <f>IF(AF504="","",_xll.IMDP("STK",$AF504,"한글종목명"))</f>
        <v/>
      </c>
      <c r="AH504" s="48" t="str">
        <f>IF(AF504="","",_xll.IMDP("STK",$AF504,"현재가"))</f>
        <v/>
      </c>
      <c r="AI504" s="48" t="str">
        <f>IF(AF504="","",_xll.IMDP("STK",$AF504,"전일대비"))</f>
        <v/>
      </c>
      <c r="AJ504" s="49" t="str">
        <f>IF(AF504="","",_xll.IMDP("STK",$AF504,"등락률"))</f>
        <v/>
      </c>
      <c r="AK504" s="48" t="str">
        <f>IF(AF504="","",_xll.IMDP("STK",$AF504,"시가총액"))</f>
        <v/>
      </c>
      <c r="AL504" s="20" t="str">
        <f t="shared" si="22"/>
        <v/>
      </c>
      <c r="AM504" s="21" t="str">
        <f>IF(AL504="","",_xll.IMDP("STK",$AL504,"한글종목명"))</f>
        <v/>
      </c>
      <c r="AN504" s="48" t="str">
        <f>IF(AL504="","",_xll.IMDP("STK",$AL504,"현재가"))</f>
        <v/>
      </c>
      <c r="AO504" s="48" t="str">
        <f>IF(AL504="","",_xll.IMDP("STK",$AL504,"전일대비"))</f>
        <v/>
      </c>
      <c r="AP504" s="49" t="str">
        <f>IF(AL504="","",_xll.IMDP("STK",$AL504,"등락률"))</f>
        <v/>
      </c>
      <c r="AQ504" s="48" t="str">
        <f>IF(AL504="","",_xll.IMDP("STK",$AL504,"시가총액"))</f>
        <v/>
      </c>
    </row>
    <row r="505" spans="3:43" x14ac:dyDescent="0.25">
      <c r="C505" s="22">
        <v>500</v>
      </c>
      <c r="Y505" s="25" t="s">
        <v>684</v>
      </c>
      <c r="Z505" s="20" t="str">
        <f t="shared" si="21"/>
        <v/>
      </c>
      <c r="AA505" s="21" t="str">
        <f>IF(Z505="","",_xll.IMDP("STK",$Z505,"한글종목명"))</f>
        <v/>
      </c>
      <c r="AB505" s="48" t="str">
        <f>IF(Z505="","",_xll.IMDP("STK",$Z505,"현재가"))</f>
        <v/>
      </c>
      <c r="AC505" s="48" t="str">
        <f>IF(Z505="","",_xll.IMDP("STK",$Z505,"전일대비"))</f>
        <v/>
      </c>
      <c r="AD505" s="49" t="str">
        <f>IF(Z505="","",_xll.IMDP("STK",$Z505,"등락률"))</f>
        <v/>
      </c>
      <c r="AE505" s="48" t="str">
        <f>IF(Z505="","",_xll.IMDP("STK",Z505,"시가총액"))</f>
        <v/>
      </c>
      <c r="AF505" s="20" t="str">
        <f t="shared" si="23"/>
        <v/>
      </c>
      <c r="AG505" s="21" t="str">
        <f>IF(AF505="","",_xll.IMDP("STK",$AF505,"한글종목명"))</f>
        <v/>
      </c>
      <c r="AH505" s="48" t="str">
        <f>IF(AF505="","",_xll.IMDP("STK",$AF505,"현재가"))</f>
        <v/>
      </c>
      <c r="AI505" s="48" t="str">
        <f>IF(AF505="","",_xll.IMDP("STK",$AF505,"전일대비"))</f>
        <v/>
      </c>
      <c r="AJ505" s="49" t="str">
        <f>IF(AF505="","",_xll.IMDP("STK",$AF505,"등락률"))</f>
        <v/>
      </c>
      <c r="AK505" s="48" t="str">
        <f>IF(AF505="","",_xll.IMDP("STK",$AF505,"시가총액"))</f>
        <v/>
      </c>
      <c r="AL505" s="20" t="str">
        <f t="shared" si="22"/>
        <v/>
      </c>
      <c r="AM505" s="21" t="str">
        <f>IF(AL505="","",_xll.IMDP("STK",$AL505,"한글종목명"))</f>
        <v/>
      </c>
      <c r="AN505" s="48" t="str">
        <f>IF(AL505="","",_xll.IMDP("STK",$AL505,"현재가"))</f>
        <v/>
      </c>
      <c r="AO505" s="48" t="str">
        <f>IF(AL505="","",_xll.IMDP("STK",$AL505,"전일대비"))</f>
        <v/>
      </c>
      <c r="AP505" s="49" t="str">
        <f>IF(AL505="","",_xll.IMDP("STK",$AL505,"등락률"))</f>
        <v/>
      </c>
      <c r="AQ505" s="48" t="str">
        <f>IF(AL505="","",_xll.IMDP("STK",$AL505,"시가총액"))</f>
        <v/>
      </c>
    </row>
    <row r="506" spans="3:43" x14ac:dyDescent="0.25">
      <c r="C506" s="22">
        <v>501</v>
      </c>
      <c r="Y506" s="25" t="s">
        <v>685</v>
      </c>
      <c r="Z506" s="20" t="str">
        <f t="shared" si="21"/>
        <v/>
      </c>
      <c r="AA506" s="21" t="str">
        <f>IF(Z506="","",_xll.IMDP("STK",$Z506,"한글종목명"))</f>
        <v/>
      </c>
      <c r="AB506" s="48" t="str">
        <f>IF(Z506="","",_xll.IMDP("STK",$Z506,"현재가"))</f>
        <v/>
      </c>
      <c r="AC506" s="48" t="str">
        <f>IF(Z506="","",_xll.IMDP("STK",$Z506,"전일대비"))</f>
        <v/>
      </c>
      <c r="AD506" s="49" t="str">
        <f>IF(Z506="","",_xll.IMDP("STK",$Z506,"등락률"))</f>
        <v/>
      </c>
      <c r="AE506" s="48" t="str">
        <f>IF(Z506="","",_xll.IMDP("STK",Z506,"시가총액"))</f>
        <v/>
      </c>
      <c r="AF506" s="20" t="str">
        <f t="shared" si="23"/>
        <v/>
      </c>
      <c r="AG506" s="21" t="str">
        <f>IF(AF506="","",_xll.IMDP("STK",$AF506,"한글종목명"))</f>
        <v/>
      </c>
      <c r="AH506" s="48" t="str">
        <f>IF(AF506="","",_xll.IMDP("STK",$AF506,"현재가"))</f>
        <v/>
      </c>
      <c r="AI506" s="48" t="str">
        <f>IF(AF506="","",_xll.IMDP("STK",$AF506,"전일대비"))</f>
        <v/>
      </c>
      <c r="AJ506" s="49" t="str">
        <f>IF(AF506="","",_xll.IMDP("STK",$AF506,"등락률"))</f>
        <v/>
      </c>
      <c r="AK506" s="48" t="str">
        <f>IF(AF506="","",_xll.IMDP("STK",$AF506,"시가총액"))</f>
        <v/>
      </c>
      <c r="AL506" s="20" t="str">
        <f t="shared" si="22"/>
        <v/>
      </c>
      <c r="AM506" s="21" t="str">
        <f>IF(AL506="","",_xll.IMDP("STK",$AL506,"한글종목명"))</f>
        <v/>
      </c>
      <c r="AN506" s="48" t="str">
        <f>IF(AL506="","",_xll.IMDP("STK",$AL506,"현재가"))</f>
        <v/>
      </c>
      <c r="AO506" s="48" t="str">
        <f>IF(AL506="","",_xll.IMDP("STK",$AL506,"전일대비"))</f>
        <v/>
      </c>
      <c r="AP506" s="49" t="str">
        <f>IF(AL506="","",_xll.IMDP("STK",$AL506,"등락률"))</f>
        <v/>
      </c>
      <c r="AQ506" s="48" t="str">
        <f>IF(AL506="","",_xll.IMDP("STK",$AL506,"시가총액"))</f>
        <v/>
      </c>
    </row>
    <row r="507" spans="3:43" x14ac:dyDescent="0.25">
      <c r="C507" s="22">
        <v>502</v>
      </c>
      <c r="Y507" s="25" t="s">
        <v>686</v>
      </c>
      <c r="Z507" s="20" t="str">
        <f t="shared" si="21"/>
        <v/>
      </c>
      <c r="AA507" s="21" t="str">
        <f>IF(Z507="","",_xll.IMDP("STK",$Z507,"한글종목명"))</f>
        <v/>
      </c>
      <c r="AB507" s="48" t="str">
        <f>IF(Z507="","",_xll.IMDP("STK",$Z507,"현재가"))</f>
        <v/>
      </c>
      <c r="AC507" s="48" t="str">
        <f>IF(Z507="","",_xll.IMDP("STK",$Z507,"전일대비"))</f>
        <v/>
      </c>
      <c r="AD507" s="49" t="str">
        <f>IF(Z507="","",_xll.IMDP("STK",$Z507,"등락률"))</f>
        <v/>
      </c>
      <c r="AE507" s="48" t="str">
        <f>IF(Z507="","",_xll.IMDP("STK",Z507,"시가총액"))</f>
        <v/>
      </c>
      <c r="AF507" s="20" t="str">
        <f t="shared" si="23"/>
        <v/>
      </c>
      <c r="AG507" s="21" t="str">
        <f>IF(AF507="","",_xll.IMDP("STK",$AF507,"한글종목명"))</f>
        <v/>
      </c>
      <c r="AH507" s="48" t="str">
        <f>IF(AF507="","",_xll.IMDP("STK",$AF507,"현재가"))</f>
        <v/>
      </c>
      <c r="AI507" s="48" t="str">
        <f>IF(AF507="","",_xll.IMDP("STK",$AF507,"전일대비"))</f>
        <v/>
      </c>
      <c r="AJ507" s="49" t="str">
        <f>IF(AF507="","",_xll.IMDP("STK",$AF507,"등락률"))</f>
        <v/>
      </c>
      <c r="AK507" s="48" t="str">
        <f>IF(AF507="","",_xll.IMDP("STK",$AF507,"시가총액"))</f>
        <v/>
      </c>
      <c r="AL507" s="20" t="str">
        <f t="shared" si="22"/>
        <v/>
      </c>
      <c r="AM507" s="21" t="str">
        <f>IF(AL507="","",_xll.IMDP("STK",$AL507,"한글종목명"))</f>
        <v/>
      </c>
      <c r="AN507" s="48" t="str">
        <f>IF(AL507="","",_xll.IMDP("STK",$AL507,"현재가"))</f>
        <v/>
      </c>
      <c r="AO507" s="48" t="str">
        <f>IF(AL507="","",_xll.IMDP("STK",$AL507,"전일대비"))</f>
        <v/>
      </c>
      <c r="AP507" s="49" t="str">
        <f>IF(AL507="","",_xll.IMDP("STK",$AL507,"등락률"))</f>
        <v/>
      </c>
      <c r="AQ507" s="48" t="str">
        <f>IF(AL507="","",_xll.IMDP("STK",$AL507,"시가총액"))</f>
        <v/>
      </c>
    </row>
    <row r="508" spans="3:43" x14ac:dyDescent="0.25">
      <c r="C508" s="22">
        <v>503</v>
      </c>
      <c r="Y508" s="25" t="s">
        <v>687</v>
      </c>
      <c r="Z508" s="20" t="str">
        <f t="shared" si="21"/>
        <v/>
      </c>
      <c r="AA508" s="21" t="str">
        <f>IF(Z508="","",_xll.IMDP("STK",$Z508,"한글종목명"))</f>
        <v/>
      </c>
      <c r="AB508" s="48" t="str">
        <f>IF(Z508="","",_xll.IMDP("STK",$Z508,"현재가"))</f>
        <v/>
      </c>
      <c r="AC508" s="48" t="str">
        <f>IF(Z508="","",_xll.IMDP("STK",$Z508,"전일대비"))</f>
        <v/>
      </c>
      <c r="AD508" s="49" t="str">
        <f>IF(Z508="","",_xll.IMDP("STK",$Z508,"등락률"))</f>
        <v/>
      </c>
      <c r="AE508" s="48" t="str">
        <f>IF(Z508="","",_xll.IMDP("STK",Z508,"시가총액"))</f>
        <v/>
      </c>
      <c r="AF508" s="20" t="str">
        <f t="shared" si="23"/>
        <v/>
      </c>
      <c r="AG508" s="21" t="str">
        <f>IF(AF508="","",_xll.IMDP("STK",$AF508,"한글종목명"))</f>
        <v/>
      </c>
      <c r="AH508" s="48" t="str">
        <f>IF(AF508="","",_xll.IMDP("STK",$AF508,"현재가"))</f>
        <v/>
      </c>
      <c r="AI508" s="48" t="str">
        <f>IF(AF508="","",_xll.IMDP("STK",$AF508,"전일대비"))</f>
        <v/>
      </c>
      <c r="AJ508" s="49" t="str">
        <f>IF(AF508="","",_xll.IMDP("STK",$AF508,"등락률"))</f>
        <v/>
      </c>
      <c r="AK508" s="48" t="str">
        <f>IF(AF508="","",_xll.IMDP("STK",$AF508,"시가총액"))</f>
        <v/>
      </c>
      <c r="AL508" s="20" t="str">
        <f t="shared" si="22"/>
        <v/>
      </c>
      <c r="AM508" s="21" t="str">
        <f>IF(AL508="","",_xll.IMDP("STK",$AL508,"한글종목명"))</f>
        <v/>
      </c>
      <c r="AN508" s="48" t="str">
        <f>IF(AL508="","",_xll.IMDP("STK",$AL508,"현재가"))</f>
        <v/>
      </c>
      <c r="AO508" s="48" t="str">
        <f>IF(AL508="","",_xll.IMDP("STK",$AL508,"전일대비"))</f>
        <v/>
      </c>
      <c r="AP508" s="49" t="str">
        <f>IF(AL508="","",_xll.IMDP("STK",$AL508,"등락률"))</f>
        <v/>
      </c>
      <c r="AQ508" s="48" t="str">
        <f>IF(AL508="","",_xll.IMDP("STK",$AL508,"시가총액"))</f>
        <v/>
      </c>
    </row>
    <row r="509" spans="3:43" x14ac:dyDescent="0.25">
      <c r="C509" s="22">
        <v>504</v>
      </c>
      <c r="Y509" s="25" t="s">
        <v>688</v>
      </c>
      <c r="Z509" s="20" t="str">
        <f t="shared" si="21"/>
        <v/>
      </c>
      <c r="AA509" s="21" t="str">
        <f>IF(Z509="","",_xll.IMDP("STK",$Z509,"한글종목명"))</f>
        <v/>
      </c>
      <c r="AB509" s="48" t="str">
        <f>IF(Z509="","",_xll.IMDP("STK",$Z509,"현재가"))</f>
        <v/>
      </c>
      <c r="AC509" s="48" t="str">
        <f>IF(Z509="","",_xll.IMDP("STK",$Z509,"전일대비"))</f>
        <v/>
      </c>
      <c r="AD509" s="49" t="str">
        <f>IF(Z509="","",_xll.IMDP("STK",$Z509,"등락률"))</f>
        <v/>
      </c>
      <c r="AE509" s="48" t="str">
        <f>IF(Z509="","",_xll.IMDP("STK",Z509,"시가총액"))</f>
        <v/>
      </c>
      <c r="AF509" s="20" t="str">
        <f t="shared" si="23"/>
        <v/>
      </c>
      <c r="AG509" s="21" t="str">
        <f>IF(AF509="","",_xll.IMDP("STK",$AF509,"한글종목명"))</f>
        <v/>
      </c>
      <c r="AH509" s="48" t="str">
        <f>IF(AF509="","",_xll.IMDP("STK",$AF509,"현재가"))</f>
        <v/>
      </c>
      <c r="AI509" s="48" t="str">
        <f>IF(AF509="","",_xll.IMDP("STK",$AF509,"전일대비"))</f>
        <v/>
      </c>
      <c r="AJ509" s="49" t="str">
        <f>IF(AF509="","",_xll.IMDP("STK",$AF509,"등락률"))</f>
        <v/>
      </c>
      <c r="AK509" s="48" t="str">
        <f>IF(AF509="","",_xll.IMDP("STK",$AF509,"시가총액"))</f>
        <v/>
      </c>
      <c r="AL509" s="20" t="str">
        <f t="shared" si="22"/>
        <v/>
      </c>
      <c r="AM509" s="21" t="str">
        <f>IF(AL509="","",_xll.IMDP("STK",$AL509,"한글종목명"))</f>
        <v/>
      </c>
      <c r="AN509" s="48" t="str">
        <f>IF(AL509="","",_xll.IMDP("STK",$AL509,"현재가"))</f>
        <v/>
      </c>
      <c r="AO509" s="48" t="str">
        <f>IF(AL509="","",_xll.IMDP("STK",$AL509,"전일대비"))</f>
        <v/>
      </c>
      <c r="AP509" s="49" t="str">
        <f>IF(AL509="","",_xll.IMDP("STK",$AL509,"등락률"))</f>
        <v/>
      </c>
      <c r="AQ509" s="48" t="str">
        <f>IF(AL509="","",_xll.IMDP("STK",$AL509,"시가총액"))</f>
        <v/>
      </c>
    </row>
    <row r="510" spans="3:43" x14ac:dyDescent="0.25">
      <c r="C510" s="22">
        <v>505</v>
      </c>
      <c r="Y510" s="25" t="s">
        <v>247</v>
      </c>
      <c r="Z510" s="20" t="str">
        <f t="shared" si="21"/>
        <v/>
      </c>
      <c r="AA510" s="21" t="str">
        <f>IF(Z510="","",_xll.IMDP("STK",$Z510,"한글종목명"))</f>
        <v/>
      </c>
      <c r="AB510" s="48" t="str">
        <f>IF(Z510="","",_xll.IMDP("STK",$Z510,"현재가"))</f>
        <v/>
      </c>
      <c r="AC510" s="48" t="str">
        <f>IF(Z510="","",_xll.IMDP("STK",$Z510,"전일대비"))</f>
        <v/>
      </c>
      <c r="AD510" s="49" t="str">
        <f>IF(Z510="","",_xll.IMDP("STK",$Z510,"등락률"))</f>
        <v/>
      </c>
      <c r="AE510" s="48" t="str">
        <f>IF(Z510="","",_xll.IMDP("STK",Z510,"시가총액"))</f>
        <v/>
      </c>
      <c r="AF510" s="20" t="str">
        <f t="shared" si="23"/>
        <v/>
      </c>
      <c r="AG510" s="21" t="str">
        <f>IF(AF510="","",_xll.IMDP("STK",$AF510,"한글종목명"))</f>
        <v/>
      </c>
      <c r="AH510" s="48" t="str">
        <f>IF(AF510="","",_xll.IMDP("STK",$AF510,"현재가"))</f>
        <v/>
      </c>
      <c r="AI510" s="48" t="str">
        <f>IF(AF510="","",_xll.IMDP("STK",$AF510,"전일대비"))</f>
        <v/>
      </c>
      <c r="AJ510" s="49" t="str">
        <f>IF(AF510="","",_xll.IMDP("STK",$AF510,"등락률"))</f>
        <v/>
      </c>
      <c r="AK510" s="48" t="str">
        <f>IF(AF510="","",_xll.IMDP("STK",$AF510,"시가총액"))</f>
        <v/>
      </c>
      <c r="AL510" s="20" t="str">
        <f t="shared" si="22"/>
        <v/>
      </c>
      <c r="AM510" s="21" t="str">
        <f>IF(AL510="","",_xll.IMDP("STK",$AL510,"한글종목명"))</f>
        <v/>
      </c>
      <c r="AN510" s="48" t="str">
        <f>IF(AL510="","",_xll.IMDP("STK",$AL510,"현재가"))</f>
        <v/>
      </c>
      <c r="AO510" s="48" t="str">
        <f>IF(AL510="","",_xll.IMDP("STK",$AL510,"전일대비"))</f>
        <v/>
      </c>
      <c r="AP510" s="49" t="str">
        <f>IF(AL510="","",_xll.IMDP("STK",$AL510,"등락률"))</f>
        <v/>
      </c>
      <c r="AQ510" s="48" t="str">
        <f>IF(AL510="","",_xll.IMDP("STK",$AL510,"시가총액"))</f>
        <v/>
      </c>
    </row>
    <row r="511" spans="3:43" x14ac:dyDescent="0.25">
      <c r="C511" s="22">
        <v>506</v>
      </c>
      <c r="Y511" s="25" t="s">
        <v>248</v>
      </c>
      <c r="Z511" s="20" t="str">
        <f t="shared" si="21"/>
        <v/>
      </c>
      <c r="AA511" s="21" t="str">
        <f>IF(Z511="","",_xll.IMDP("STK",$Z511,"한글종목명"))</f>
        <v/>
      </c>
      <c r="AB511" s="48" t="str">
        <f>IF(Z511="","",_xll.IMDP("STK",$Z511,"현재가"))</f>
        <v/>
      </c>
      <c r="AC511" s="48" t="str">
        <f>IF(Z511="","",_xll.IMDP("STK",$Z511,"전일대비"))</f>
        <v/>
      </c>
      <c r="AD511" s="49" t="str">
        <f>IF(Z511="","",_xll.IMDP("STK",$Z511,"등락률"))</f>
        <v/>
      </c>
      <c r="AE511" s="48" t="str">
        <f>IF(Z511="","",_xll.IMDP("STK",Z511,"시가총액"))</f>
        <v/>
      </c>
      <c r="AF511" s="20" t="str">
        <f t="shared" si="23"/>
        <v/>
      </c>
      <c r="AG511" s="21" t="str">
        <f>IF(AF511="","",_xll.IMDP("STK",$AF511,"한글종목명"))</f>
        <v/>
      </c>
      <c r="AH511" s="48" t="str">
        <f>IF(AF511="","",_xll.IMDP("STK",$AF511,"현재가"))</f>
        <v/>
      </c>
      <c r="AI511" s="48" t="str">
        <f>IF(AF511="","",_xll.IMDP("STK",$AF511,"전일대비"))</f>
        <v/>
      </c>
      <c r="AJ511" s="49" t="str">
        <f>IF(AF511="","",_xll.IMDP("STK",$AF511,"등락률"))</f>
        <v/>
      </c>
      <c r="AK511" s="48" t="str">
        <f>IF(AF511="","",_xll.IMDP("STK",$AF511,"시가총액"))</f>
        <v/>
      </c>
      <c r="AL511" s="20" t="str">
        <f t="shared" si="22"/>
        <v/>
      </c>
      <c r="AM511" s="21" t="str">
        <f>IF(AL511="","",_xll.IMDP("STK",$AL511,"한글종목명"))</f>
        <v/>
      </c>
      <c r="AN511" s="48" t="str">
        <f>IF(AL511="","",_xll.IMDP("STK",$AL511,"현재가"))</f>
        <v/>
      </c>
      <c r="AO511" s="48" t="str">
        <f>IF(AL511="","",_xll.IMDP("STK",$AL511,"전일대비"))</f>
        <v/>
      </c>
      <c r="AP511" s="49" t="str">
        <f>IF(AL511="","",_xll.IMDP("STK",$AL511,"등락률"))</f>
        <v/>
      </c>
      <c r="AQ511" s="48" t="str">
        <f>IF(AL511="","",_xll.IMDP("STK",$AL511,"시가총액"))</f>
        <v/>
      </c>
    </row>
    <row r="512" spans="3:43" x14ac:dyDescent="0.25">
      <c r="C512" s="22">
        <v>507</v>
      </c>
      <c r="Y512" s="25" t="s">
        <v>689</v>
      </c>
      <c r="Z512" s="20" t="str">
        <f t="shared" si="21"/>
        <v/>
      </c>
      <c r="AA512" s="21" t="str">
        <f>IF(Z512="","",_xll.IMDP("STK",$Z512,"한글종목명"))</f>
        <v/>
      </c>
      <c r="AB512" s="48" t="str">
        <f>IF(Z512="","",_xll.IMDP("STK",$Z512,"현재가"))</f>
        <v/>
      </c>
      <c r="AC512" s="48" t="str">
        <f>IF(Z512="","",_xll.IMDP("STK",$Z512,"전일대비"))</f>
        <v/>
      </c>
      <c r="AD512" s="49" t="str">
        <f>IF(Z512="","",_xll.IMDP("STK",$Z512,"등락률"))</f>
        <v/>
      </c>
      <c r="AE512" s="48" t="str">
        <f>IF(Z512="","",_xll.IMDP("STK",Z512,"시가총액"))</f>
        <v/>
      </c>
      <c r="AF512" s="20" t="str">
        <f t="shared" si="23"/>
        <v/>
      </c>
      <c r="AG512" s="21" t="str">
        <f>IF(AF512="","",_xll.IMDP("STK",$AF512,"한글종목명"))</f>
        <v/>
      </c>
      <c r="AH512" s="48" t="str">
        <f>IF(AF512="","",_xll.IMDP("STK",$AF512,"현재가"))</f>
        <v/>
      </c>
      <c r="AI512" s="48" t="str">
        <f>IF(AF512="","",_xll.IMDP("STK",$AF512,"전일대비"))</f>
        <v/>
      </c>
      <c r="AJ512" s="49" t="str">
        <f>IF(AF512="","",_xll.IMDP("STK",$AF512,"등락률"))</f>
        <v/>
      </c>
      <c r="AK512" s="48" t="str">
        <f>IF(AF512="","",_xll.IMDP("STK",$AF512,"시가총액"))</f>
        <v/>
      </c>
      <c r="AL512" s="20" t="str">
        <f t="shared" si="22"/>
        <v/>
      </c>
      <c r="AM512" s="21" t="str">
        <f>IF(AL512="","",_xll.IMDP("STK",$AL512,"한글종목명"))</f>
        <v/>
      </c>
      <c r="AN512" s="48" t="str">
        <f>IF(AL512="","",_xll.IMDP("STK",$AL512,"현재가"))</f>
        <v/>
      </c>
      <c r="AO512" s="48" t="str">
        <f>IF(AL512="","",_xll.IMDP("STK",$AL512,"전일대비"))</f>
        <v/>
      </c>
      <c r="AP512" s="49" t="str">
        <f>IF(AL512="","",_xll.IMDP("STK",$AL512,"등락률"))</f>
        <v/>
      </c>
      <c r="AQ512" s="48" t="str">
        <f>IF(AL512="","",_xll.IMDP("STK",$AL512,"시가총액"))</f>
        <v/>
      </c>
    </row>
    <row r="513" spans="3:43" x14ac:dyDescent="0.25">
      <c r="C513" s="22">
        <v>508</v>
      </c>
      <c r="Y513" s="25" t="s">
        <v>354</v>
      </c>
      <c r="Z513" s="20" t="str">
        <f t="shared" si="21"/>
        <v/>
      </c>
      <c r="AA513" s="21" t="str">
        <f>IF(Z513="","",_xll.IMDP("STK",$Z513,"한글종목명"))</f>
        <v/>
      </c>
      <c r="AB513" s="48" t="str">
        <f>IF(Z513="","",_xll.IMDP("STK",$Z513,"현재가"))</f>
        <v/>
      </c>
      <c r="AC513" s="48" t="str">
        <f>IF(Z513="","",_xll.IMDP("STK",$Z513,"전일대비"))</f>
        <v/>
      </c>
      <c r="AD513" s="49" t="str">
        <f>IF(Z513="","",_xll.IMDP("STK",$Z513,"등락률"))</f>
        <v/>
      </c>
      <c r="AE513" s="48" t="str">
        <f>IF(Z513="","",_xll.IMDP("STK",Z513,"시가총액"))</f>
        <v/>
      </c>
      <c r="AF513" s="20" t="str">
        <f t="shared" si="23"/>
        <v/>
      </c>
      <c r="AG513" s="21" t="str">
        <f>IF(AF513="","",_xll.IMDP("STK",$AF513,"한글종목명"))</f>
        <v/>
      </c>
      <c r="AH513" s="48" t="str">
        <f>IF(AF513="","",_xll.IMDP("STK",$AF513,"현재가"))</f>
        <v/>
      </c>
      <c r="AI513" s="48" t="str">
        <f>IF(AF513="","",_xll.IMDP("STK",$AF513,"전일대비"))</f>
        <v/>
      </c>
      <c r="AJ513" s="49" t="str">
        <f>IF(AF513="","",_xll.IMDP("STK",$AF513,"등락률"))</f>
        <v/>
      </c>
      <c r="AK513" s="48" t="str">
        <f>IF(AF513="","",_xll.IMDP("STK",$AF513,"시가총액"))</f>
        <v/>
      </c>
      <c r="AL513" s="20" t="str">
        <f t="shared" si="22"/>
        <v/>
      </c>
      <c r="AM513" s="21" t="str">
        <f>IF(AL513="","",_xll.IMDP("STK",$AL513,"한글종목명"))</f>
        <v/>
      </c>
      <c r="AN513" s="48" t="str">
        <f>IF(AL513="","",_xll.IMDP("STK",$AL513,"현재가"))</f>
        <v/>
      </c>
      <c r="AO513" s="48" t="str">
        <f>IF(AL513="","",_xll.IMDP("STK",$AL513,"전일대비"))</f>
        <v/>
      </c>
      <c r="AP513" s="49" t="str">
        <f>IF(AL513="","",_xll.IMDP("STK",$AL513,"등락률"))</f>
        <v/>
      </c>
      <c r="AQ513" s="48" t="str">
        <f>IF(AL513="","",_xll.IMDP("STK",$AL513,"시가총액"))</f>
        <v/>
      </c>
    </row>
    <row r="514" spans="3:43" x14ac:dyDescent="0.25">
      <c r="C514" s="22">
        <v>509</v>
      </c>
      <c r="Y514" s="25" t="s">
        <v>690</v>
      </c>
      <c r="Z514" s="20" t="str">
        <f t="shared" si="21"/>
        <v/>
      </c>
      <c r="AA514" s="21" t="str">
        <f>IF(Z514="","",_xll.IMDP("STK",$Z514,"한글종목명"))</f>
        <v/>
      </c>
      <c r="AB514" s="48" t="str">
        <f>IF(Z514="","",_xll.IMDP("STK",$Z514,"현재가"))</f>
        <v/>
      </c>
      <c r="AC514" s="48" t="str">
        <f>IF(Z514="","",_xll.IMDP("STK",$Z514,"전일대비"))</f>
        <v/>
      </c>
      <c r="AD514" s="49" t="str">
        <f>IF(Z514="","",_xll.IMDP("STK",$Z514,"등락률"))</f>
        <v/>
      </c>
      <c r="AE514" s="48" t="str">
        <f>IF(Z514="","",_xll.IMDP("STK",Z514,"시가총액"))</f>
        <v/>
      </c>
      <c r="AF514" s="20" t="str">
        <f t="shared" si="23"/>
        <v/>
      </c>
      <c r="AG514" s="21" t="str">
        <f>IF(AF514="","",_xll.IMDP("STK",$AF514,"한글종목명"))</f>
        <v/>
      </c>
      <c r="AH514" s="48" t="str">
        <f>IF(AF514="","",_xll.IMDP("STK",$AF514,"현재가"))</f>
        <v/>
      </c>
      <c r="AI514" s="48" t="str">
        <f>IF(AF514="","",_xll.IMDP("STK",$AF514,"전일대비"))</f>
        <v/>
      </c>
      <c r="AJ514" s="49" t="str">
        <f>IF(AF514="","",_xll.IMDP("STK",$AF514,"등락률"))</f>
        <v/>
      </c>
      <c r="AK514" s="48" t="str">
        <f>IF(AF514="","",_xll.IMDP("STK",$AF514,"시가총액"))</f>
        <v/>
      </c>
      <c r="AL514" s="20" t="str">
        <f t="shared" si="22"/>
        <v/>
      </c>
      <c r="AM514" s="21" t="str">
        <f>IF(AL514="","",_xll.IMDP("STK",$AL514,"한글종목명"))</f>
        <v/>
      </c>
      <c r="AN514" s="48" t="str">
        <f>IF(AL514="","",_xll.IMDP("STK",$AL514,"현재가"))</f>
        <v/>
      </c>
      <c r="AO514" s="48" t="str">
        <f>IF(AL514="","",_xll.IMDP("STK",$AL514,"전일대비"))</f>
        <v/>
      </c>
      <c r="AP514" s="49" t="str">
        <f>IF(AL514="","",_xll.IMDP("STK",$AL514,"등락률"))</f>
        <v/>
      </c>
      <c r="AQ514" s="48" t="str">
        <f>IF(AL514="","",_xll.IMDP("STK",$AL514,"시가총액"))</f>
        <v/>
      </c>
    </row>
    <row r="515" spans="3:43" x14ac:dyDescent="0.25">
      <c r="C515" s="22">
        <v>510</v>
      </c>
      <c r="Y515" s="25" t="s">
        <v>510</v>
      </c>
      <c r="Z515" s="20" t="str">
        <f t="shared" si="21"/>
        <v/>
      </c>
      <c r="AA515" s="21" t="str">
        <f>IF(Z515="","",_xll.IMDP("STK",$Z515,"한글종목명"))</f>
        <v/>
      </c>
      <c r="AB515" s="48" t="str">
        <f>IF(Z515="","",_xll.IMDP("STK",$Z515,"현재가"))</f>
        <v/>
      </c>
      <c r="AC515" s="48" t="str">
        <f>IF(Z515="","",_xll.IMDP("STK",$Z515,"전일대비"))</f>
        <v/>
      </c>
      <c r="AD515" s="49" t="str">
        <f>IF(Z515="","",_xll.IMDP("STK",$Z515,"등락률"))</f>
        <v/>
      </c>
      <c r="AE515" s="48" t="str">
        <f>IF(Z515="","",_xll.IMDP("STK",Z515,"시가총액"))</f>
        <v/>
      </c>
      <c r="AF515" s="20" t="str">
        <f t="shared" si="23"/>
        <v/>
      </c>
      <c r="AG515" s="21" t="str">
        <f>IF(AF515="","",_xll.IMDP("STK",$AF515,"한글종목명"))</f>
        <v/>
      </c>
      <c r="AH515" s="48" t="str">
        <f>IF(AF515="","",_xll.IMDP("STK",$AF515,"현재가"))</f>
        <v/>
      </c>
      <c r="AI515" s="48" t="str">
        <f>IF(AF515="","",_xll.IMDP("STK",$AF515,"전일대비"))</f>
        <v/>
      </c>
      <c r="AJ515" s="49" t="str">
        <f>IF(AF515="","",_xll.IMDP("STK",$AF515,"등락률"))</f>
        <v/>
      </c>
      <c r="AK515" s="48" t="str">
        <f>IF(AF515="","",_xll.IMDP("STK",$AF515,"시가총액"))</f>
        <v/>
      </c>
      <c r="AL515" s="20" t="str">
        <f t="shared" si="22"/>
        <v/>
      </c>
      <c r="AM515" s="21" t="str">
        <f>IF(AL515="","",_xll.IMDP("STK",$AL515,"한글종목명"))</f>
        <v/>
      </c>
      <c r="AN515" s="48" t="str">
        <f>IF(AL515="","",_xll.IMDP("STK",$AL515,"현재가"))</f>
        <v/>
      </c>
      <c r="AO515" s="48" t="str">
        <f>IF(AL515="","",_xll.IMDP("STK",$AL515,"전일대비"))</f>
        <v/>
      </c>
      <c r="AP515" s="49" t="str">
        <f>IF(AL515="","",_xll.IMDP("STK",$AL515,"등락률"))</f>
        <v/>
      </c>
      <c r="AQ515" s="48" t="str">
        <f>IF(AL515="","",_xll.IMDP("STK",$AL515,"시가총액"))</f>
        <v/>
      </c>
    </row>
    <row r="516" spans="3:43" x14ac:dyDescent="0.25">
      <c r="C516" s="22">
        <v>511</v>
      </c>
      <c r="Y516" s="25" t="s">
        <v>554</v>
      </c>
      <c r="Z516" s="20" t="str">
        <f t="shared" si="21"/>
        <v/>
      </c>
      <c r="AA516" s="21" t="str">
        <f>IF(Z516="","",_xll.IMDP("STK",$Z516,"한글종목명"))</f>
        <v/>
      </c>
      <c r="AB516" s="48" t="str">
        <f>IF(Z516="","",_xll.IMDP("STK",$Z516,"현재가"))</f>
        <v/>
      </c>
      <c r="AC516" s="48" t="str">
        <f>IF(Z516="","",_xll.IMDP("STK",$Z516,"전일대비"))</f>
        <v/>
      </c>
      <c r="AD516" s="49" t="str">
        <f>IF(Z516="","",_xll.IMDP("STK",$Z516,"등락률"))</f>
        <v/>
      </c>
      <c r="AE516" s="48" t="str">
        <f>IF(Z516="","",_xll.IMDP("STK",Z516,"시가총액"))</f>
        <v/>
      </c>
      <c r="AF516" s="20" t="str">
        <f t="shared" si="23"/>
        <v/>
      </c>
      <c r="AG516" s="21" t="str">
        <f>IF(AF516="","",_xll.IMDP("STK",$AF516,"한글종목명"))</f>
        <v/>
      </c>
      <c r="AH516" s="48" t="str">
        <f>IF(AF516="","",_xll.IMDP("STK",$AF516,"현재가"))</f>
        <v/>
      </c>
      <c r="AI516" s="48" t="str">
        <f>IF(AF516="","",_xll.IMDP("STK",$AF516,"전일대비"))</f>
        <v/>
      </c>
      <c r="AJ516" s="49" t="str">
        <f>IF(AF516="","",_xll.IMDP("STK",$AF516,"등락률"))</f>
        <v/>
      </c>
      <c r="AK516" s="48" t="str">
        <f>IF(AF516="","",_xll.IMDP("STK",$AF516,"시가총액"))</f>
        <v/>
      </c>
      <c r="AL516" s="20" t="str">
        <f t="shared" si="22"/>
        <v/>
      </c>
      <c r="AM516" s="21" t="str">
        <f>IF(AL516="","",_xll.IMDP("STK",$AL516,"한글종목명"))</f>
        <v/>
      </c>
      <c r="AN516" s="48" t="str">
        <f>IF(AL516="","",_xll.IMDP("STK",$AL516,"현재가"))</f>
        <v/>
      </c>
      <c r="AO516" s="48" t="str">
        <f>IF(AL516="","",_xll.IMDP("STK",$AL516,"전일대비"))</f>
        <v/>
      </c>
      <c r="AP516" s="49" t="str">
        <f>IF(AL516="","",_xll.IMDP("STK",$AL516,"등락률"))</f>
        <v/>
      </c>
      <c r="AQ516" s="48" t="str">
        <f>IF(AL516="","",_xll.IMDP("STK",$AL516,"시가총액"))</f>
        <v/>
      </c>
    </row>
    <row r="517" spans="3:43" x14ac:dyDescent="0.25">
      <c r="C517" s="22">
        <v>512</v>
      </c>
      <c r="Y517" s="25" t="s">
        <v>555</v>
      </c>
      <c r="Z517" s="20" t="str">
        <f t="shared" si="21"/>
        <v/>
      </c>
      <c r="AA517" s="21" t="str">
        <f>IF(Z517="","",_xll.IMDP("STK",$Z517,"한글종목명"))</f>
        <v/>
      </c>
      <c r="AB517" s="48" t="str">
        <f>IF(Z517="","",_xll.IMDP("STK",$Z517,"현재가"))</f>
        <v/>
      </c>
      <c r="AC517" s="48" t="str">
        <f>IF(Z517="","",_xll.IMDP("STK",$Z517,"전일대비"))</f>
        <v/>
      </c>
      <c r="AD517" s="49" t="str">
        <f>IF(Z517="","",_xll.IMDP("STK",$Z517,"등락률"))</f>
        <v/>
      </c>
      <c r="AE517" s="48" t="str">
        <f>IF(Z517="","",_xll.IMDP("STK",Z517,"시가총액"))</f>
        <v/>
      </c>
      <c r="AF517" s="20" t="str">
        <f t="shared" si="23"/>
        <v/>
      </c>
      <c r="AG517" s="21" t="str">
        <f>IF(AF517="","",_xll.IMDP("STK",$AF517,"한글종목명"))</f>
        <v/>
      </c>
      <c r="AH517" s="48" t="str">
        <f>IF(AF517="","",_xll.IMDP("STK",$AF517,"현재가"))</f>
        <v/>
      </c>
      <c r="AI517" s="48" t="str">
        <f>IF(AF517="","",_xll.IMDP("STK",$AF517,"전일대비"))</f>
        <v/>
      </c>
      <c r="AJ517" s="49" t="str">
        <f>IF(AF517="","",_xll.IMDP("STK",$AF517,"등락률"))</f>
        <v/>
      </c>
      <c r="AK517" s="48" t="str">
        <f>IF(AF517="","",_xll.IMDP("STK",$AF517,"시가총액"))</f>
        <v/>
      </c>
      <c r="AL517" s="20" t="str">
        <f t="shared" si="22"/>
        <v/>
      </c>
      <c r="AM517" s="21" t="str">
        <f>IF(AL517="","",_xll.IMDP("STK",$AL517,"한글종목명"))</f>
        <v/>
      </c>
      <c r="AN517" s="48" t="str">
        <f>IF(AL517="","",_xll.IMDP("STK",$AL517,"현재가"))</f>
        <v/>
      </c>
      <c r="AO517" s="48" t="str">
        <f>IF(AL517="","",_xll.IMDP("STK",$AL517,"전일대비"))</f>
        <v/>
      </c>
      <c r="AP517" s="49" t="str">
        <f>IF(AL517="","",_xll.IMDP("STK",$AL517,"등락률"))</f>
        <v/>
      </c>
      <c r="AQ517" s="48" t="str">
        <f>IF(AL517="","",_xll.IMDP("STK",$AL517,"시가총액"))</f>
        <v/>
      </c>
    </row>
    <row r="518" spans="3:43" x14ac:dyDescent="0.25">
      <c r="C518" s="22">
        <v>513</v>
      </c>
      <c r="Y518" s="25" t="s">
        <v>431</v>
      </c>
      <c r="Z518" s="20" t="str">
        <f t="shared" ref="Z518:Z525" si="24">IF(INDEX($D$6:$Y$525,$C518,$AA$4)=0,"",INDEX($D$6:$Y$525,$C518,$AA$4))</f>
        <v/>
      </c>
      <c r="AA518" s="21" t="str">
        <f>IF(Z518="","",_xll.IMDP("STK",$Z518,"한글종목명"))</f>
        <v/>
      </c>
      <c r="AB518" s="48" t="str">
        <f>IF(Z518="","",_xll.IMDP("STK",$Z518,"현재가"))</f>
        <v/>
      </c>
      <c r="AC518" s="48" t="str">
        <f>IF(Z518="","",_xll.IMDP("STK",$Z518,"전일대비"))</f>
        <v/>
      </c>
      <c r="AD518" s="49" t="str">
        <f>IF(Z518="","",_xll.IMDP("STK",$Z518,"등락률"))</f>
        <v/>
      </c>
      <c r="AE518" s="48" t="str">
        <f>IF(Z518="","",_xll.IMDP("STK",Z518,"시가총액"))</f>
        <v/>
      </c>
      <c r="AF518" s="20" t="str">
        <f t="shared" si="23"/>
        <v/>
      </c>
      <c r="AG518" s="21" t="str">
        <f>IF(AF518="","",_xll.IMDP("STK",$AF518,"한글종목명"))</f>
        <v/>
      </c>
      <c r="AH518" s="48" t="str">
        <f>IF(AF518="","",_xll.IMDP("STK",$AF518,"현재가"))</f>
        <v/>
      </c>
      <c r="AI518" s="48" t="str">
        <f>IF(AF518="","",_xll.IMDP("STK",$AF518,"전일대비"))</f>
        <v/>
      </c>
      <c r="AJ518" s="49" t="str">
        <f>IF(AF518="","",_xll.IMDP("STK",$AF518,"등락률"))</f>
        <v/>
      </c>
      <c r="AK518" s="48" t="str">
        <f>IF(AF518="","",_xll.IMDP("STK",$AF518,"시가총액"))</f>
        <v/>
      </c>
      <c r="AL518" s="20" t="str">
        <f t="shared" ref="AL518:AL525" si="25">IF(INDEX($D$6:$Y$525,$C518,$AM$4)=0,"",INDEX($D$6:$Y$525,$C518,$AM$4))</f>
        <v/>
      </c>
      <c r="AM518" s="21" t="str">
        <f>IF(AL518="","",_xll.IMDP("STK",$AL518,"한글종목명"))</f>
        <v/>
      </c>
      <c r="AN518" s="48" t="str">
        <f>IF(AL518="","",_xll.IMDP("STK",$AL518,"현재가"))</f>
        <v/>
      </c>
      <c r="AO518" s="48" t="str">
        <f>IF(AL518="","",_xll.IMDP("STK",$AL518,"전일대비"))</f>
        <v/>
      </c>
      <c r="AP518" s="49" t="str">
        <f>IF(AL518="","",_xll.IMDP("STK",$AL518,"등락률"))</f>
        <v/>
      </c>
      <c r="AQ518" s="48" t="str">
        <f>IF(AL518="","",_xll.IMDP("STK",$AL518,"시가총액"))</f>
        <v/>
      </c>
    </row>
    <row r="519" spans="3:43" x14ac:dyDescent="0.25">
      <c r="C519" s="22">
        <v>514</v>
      </c>
      <c r="Y519" s="25" t="s">
        <v>511</v>
      </c>
      <c r="Z519" s="20" t="str">
        <f t="shared" si="24"/>
        <v/>
      </c>
      <c r="AA519" s="21" t="str">
        <f>IF(Z519="","",_xll.IMDP("STK",$Z519,"한글종목명"))</f>
        <v/>
      </c>
      <c r="AB519" s="48" t="str">
        <f>IF(Z519="","",_xll.IMDP("STK",$Z519,"현재가"))</f>
        <v/>
      </c>
      <c r="AC519" s="48" t="str">
        <f>IF(Z519="","",_xll.IMDP("STK",$Z519,"전일대비"))</f>
        <v/>
      </c>
      <c r="AD519" s="49" t="str">
        <f>IF(Z519="","",_xll.IMDP("STK",$Z519,"등락률"))</f>
        <v/>
      </c>
      <c r="AE519" s="48" t="str">
        <f>IF(Z519="","",_xll.IMDP("STK",Z519,"시가총액"))</f>
        <v/>
      </c>
      <c r="AF519" s="20" t="str">
        <f t="shared" ref="AF519:AF525" si="26">IF(INDEX($D$6:$Y$525,$C519,$AG$4)=0,"",INDEX($D$6:$Y$525,$C519,$AG$4))</f>
        <v/>
      </c>
      <c r="AG519" s="21" t="str">
        <f>IF(AF519="","",_xll.IMDP("STK",$AF519,"한글종목명"))</f>
        <v/>
      </c>
      <c r="AH519" s="48" t="str">
        <f>IF(AF519="","",_xll.IMDP("STK",$AF519,"현재가"))</f>
        <v/>
      </c>
      <c r="AI519" s="48" t="str">
        <f>IF(AF519="","",_xll.IMDP("STK",$AF519,"전일대비"))</f>
        <v/>
      </c>
      <c r="AJ519" s="49" t="str">
        <f>IF(AF519="","",_xll.IMDP("STK",$AF519,"등락률"))</f>
        <v/>
      </c>
      <c r="AK519" s="48" t="str">
        <f>IF(AF519="","",_xll.IMDP("STK",$AF519,"시가총액"))</f>
        <v/>
      </c>
      <c r="AL519" s="20" t="str">
        <f t="shared" si="25"/>
        <v/>
      </c>
      <c r="AM519" s="21" t="str">
        <f>IF(AL519="","",_xll.IMDP("STK",$AL519,"한글종목명"))</f>
        <v/>
      </c>
      <c r="AN519" s="48" t="str">
        <f>IF(AL519="","",_xll.IMDP("STK",$AL519,"현재가"))</f>
        <v/>
      </c>
      <c r="AO519" s="48" t="str">
        <f>IF(AL519="","",_xll.IMDP("STK",$AL519,"전일대비"))</f>
        <v/>
      </c>
      <c r="AP519" s="49" t="str">
        <f>IF(AL519="","",_xll.IMDP("STK",$AL519,"등락률"))</f>
        <v/>
      </c>
      <c r="AQ519" s="48" t="str">
        <f>IF(AL519="","",_xll.IMDP("STK",$AL519,"시가총액"))</f>
        <v/>
      </c>
    </row>
    <row r="520" spans="3:43" x14ac:dyDescent="0.25">
      <c r="C520" s="22">
        <v>515</v>
      </c>
      <c r="Y520" s="25" t="s">
        <v>355</v>
      </c>
      <c r="Z520" s="20" t="str">
        <f t="shared" si="24"/>
        <v/>
      </c>
      <c r="AA520" s="21" t="str">
        <f>IF(Z520="","",_xll.IMDP("STK",$Z520,"한글종목명"))</f>
        <v/>
      </c>
      <c r="AB520" s="48" t="str">
        <f>IF(Z520="","",_xll.IMDP("STK",$Z520,"현재가"))</f>
        <v/>
      </c>
      <c r="AC520" s="48" t="str">
        <f>IF(Z520="","",_xll.IMDP("STK",$Z520,"전일대비"))</f>
        <v/>
      </c>
      <c r="AD520" s="49" t="str">
        <f>IF(Z520="","",_xll.IMDP("STK",$Z520,"등락률"))</f>
        <v/>
      </c>
      <c r="AE520" s="48" t="str">
        <f>IF(Z520="","",_xll.IMDP("STK",Z520,"시가총액"))</f>
        <v/>
      </c>
      <c r="AF520" s="20" t="str">
        <f t="shared" si="26"/>
        <v/>
      </c>
      <c r="AG520" s="21" t="str">
        <f>IF(AF520="","",_xll.IMDP("STK",$AF520,"한글종목명"))</f>
        <v/>
      </c>
      <c r="AH520" s="48" t="str">
        <f>IF(AF520="","",_xll.IMDP("STK",$AF520,"현재가"))</f>
        <v/>
      </c>
      <c r="AI520" s="48" t="str">
        <f>IF(AF520="","",_xll.IMDP("STK",$AF520,"전일대비"))</f>
        <v/>
      </c>
      <c r="AJ520" s="49" t="str">
        <f>IF(AF520="","",_xll.IMDP("STK",$AF520,"등락률"))</f>
        <v/>
      </c>
      <c r="AK520" s="48" t="str">
        <f>IF(AF520="","",_xll.IMDP("STK",$AF520,"시가총액"))</f>
        <v/>
      </c>
      <c r="AL520" s="20" t="str">
        <f t="shared" si="25"/>
        <v/>
      </c>
      <c r="AM520" s="21" t="str">
        <f>IF(AL520="","",_xll.IMDP("STK",$AL520,"한글종목명"))</f>
        <v/>
      </c>
      <c r="AN520" s="48" t="str">
        <f>IF(AL520="","",_xll.IMDP("STK",$AL520,"현재가"))</f>
        <v/>
      </c>
      <c r="AO520" s="48" t="str">
        <f>IF(AL520="","",_xll.IMDP("STK",$AL520,"전일대비"))</f>
        <v/>
      </c>
      <c r="AP520" s="49" t="str">
        <f>IF(AL520="","",_xll.IMDP("STK",$AL520,"등락률"))</f>
        <v/>
      </c>
      <c r="AQ520" s="48" t="str">
        <f>IF(AL520="","",_xll.IMDP("STK",$AL520,"시가총액"))</f>
        <v/>
      </c>
    </row>
    <row r="521" spans="3:43" x14ac:dyDescent="0.25">
      <c r="C521" s="22">
        <v>516</v>
      </c>
      <c r="Y521" s="25" t="s">
        <v>356</v>
      </c>
      <c r="Z521" s="20" t="str">
        <f t="shared" si="24"/>
        <v/>
      </c>
      <c r="AA521" s="21" t="str">
        <f>IF(Z521="","",_xll.IMDP("STK",$Z521,"한글종목명"))</f>
        <v/>
      </c>
      <c r="AB521" s="48" t="str">
        <f>IF(Z521="","",_xll.IMDP("STK",$Z521,"현재가"))</f>
        <v/>
      </c>
      <c r="AC521" s="48" t="str">
        <f>IF(Z521="","",_xll.IMDP("STK",$Z521,"전일대비"))</f>
        <v/>
      </c>
      <c r="AD521" s="49" t="str">
        <f>IF(Z521="","",_xll.IMDP("STK",$Z521,"등락률"))</f>
        <v/>
      </c>
      <c r="AE521" s="48" t="str">
        <f>IF(Z521="","",_xll.IMDP("STK",Z521,"시가총액"))</f>
        <v/>
      </c>
      <c r="AF521" s="20" t="str">
        <f t="shared" si="26"/>
        <v/>
      </c>
      <c r="AG521" s="21" t="str">
        <f>IF(AF521="","",_xll.IMDP("STK",$AF521,"한글종목명"))</f>
        <v/>
      </c>
      <c r="AH521" s="48" t="str">
        <f>IF(AF521="","",_xll.IMDP("STK",$AF521,"현재가"))</f>
        <v/>
      </c>
      <c r="AI521" s="48" t="str">
        <f>IF(AF521="","",_xll.IMDP("STK",$AF521,"전일대비"))</f>
        <v/>
      </c>
      <c r="AJ521" s="49" t="str">
        <f>IF(AF521="","",_xll.IMDP("STK",$AF521,"등락률"))</f>
        <v/>
      </c>
      <c r="AK521" s="48" t="str">
        <f>IF(AF521="","",_xll.IMDP("STK",$AF521,"시가총액"))</f>
        <v/>
      </c>
      <c r="AL521" s="20" t="str">
        <f t="shared" si="25"/>
        <v/>
      </c>
      <c r="AM521" s="21" t="str">
        <f>IF(AL521="","",_xll.IMDP("STK",$AL521,"한글종목명"))</f>
        <v/>
      </c>
      <c r="AN521" s="48" t="str">
        <f>IF(AL521="","",_xll.IMDP("STK",$AL521,"현재가"))</f>
        <v/>
      </c>
      <c r="AO521" s="48" t="str">
        <f>IF(AL521="","",_xll.IMDP("STK",$AL521,"전일대비"))</f>
        <v/>
      </c>
      <c r="AP521" s="49" t="str">
        <f>IF(AL521="","",_xll.IMDP("STK",$AL521,"등락률"))</f>
        <v/>
      </c>
      <c r="AQ521" s="48" t="str">
        <f>IF(AL521="","",_xll.IMDP("STK",$AL521,"시가총액"))</f>
        <v/>
      </c>
    </row>
    <row r="522" spans="3:43" x14ac:dyDescent="0.25">
      <c r="C522" s="22">
        <v>517</v>
      </c>
      <c r="Y522" s="25" t="s">
        <v>623</v>
      </c>
      <c r="Z522" s="20" t="str">
        <f t="shared" si="24"/>
        <v/>
      </c>
      <c r="AA522" s="21" t="str">
        <f>IF(Z522="","",_xll.IMDP("STK",$Z522,"한글종목명"))</f>
        <v/>
      </c>
      <c r="AB522" s="48" t="str">
        <f>IF(Z522="","",_xll.IMDP("STK",$Z522,"현재가"))</f>
        <v/>
      </c>
      <c r="AC522" s="48" t="str">
        <f>IF(Z522="","",_xll.IMDP("STK",$Z522,"전일대비"))</f>
        <v/>
      </c>
      <c r="AD522" s="49" t="str">
        <f>IF(Z522="","",_xll.IMDP("STK",$Z522,"등락률"))</f>
        <v/>
      </c>
      <c r="AE522" s="48" t="str">
        <f>IF(Z522="","",_xll.IMDP("STK",Z522,"시가총액"))</f>
        <v/>
      </c>
      <c r="AF522" s="20" t="str">
        <f t="shared" si="26"/>
        <v/>
      </c>
      <c r="AG522" s="21" t="str">
        <f>IF(AF522="","",_xll.IMDP("STK",$AF522,"한글종목명"))</f>
        <v/>
      </c>
      <c r="AH522" s="48" t="str">
        <f>IF(AF522="","",_xll.IMDP("STK",$AF522,"현재가"))</f>
        <v/>
      </c>
      <c r="AI522" s="48" t="str">
        <f>IF(AF522="","",_xll.IMDP("STK",$AF522,"전일대비"))</f>
        <v/>
      </c>
      <c r="AJ522" s="49" t="str">
        <f>IF(AF522="","",_xll.IMDP("STK",$AF522,"등락률"))</f>
        <v/>
      </c>
      <c r="AK522" s="48" t="str">
        <f>IF(AF522="","",_xll.IMDP("STK",$AF522,"시가총액"))</f>
        <v/>
      </c>
      <c r="AL522" s="20" t="str">
        <f t="shared" si="25"/>
        <v/>
      </c>
      <c r="AM522" s="21" t="str">
        <f>IF(AL522="","",_xll.IMDP("STK",$AL522,"한글종목명"))</f>
        <v/>
      </c>
      <c r="AN522" s="48" t="str">
        <f>IF(AL522="","",_xll.IMDP("STK",$AL522,"현재가"))</f>
        <v/>
      </c>
      <c r="AO522" s="48" t="str">
        <f>IF(AL522="","",_xll.IMDP("STK",$AL522,"전일대비"))</f>
        <v/>
      </c>
      <c r="AP522" s="49" t="str">
        <f>IF(AL522="","",_xll.IMDP("STK",$AL522,"등락률"))</f>
        <v/>
      </c>
      <c r="AQ522" s="48" t="str">
        <f>IF(AL522="","",_xll.IMDP("STK",$AL522,"시가총액"))</f>
        <v/>
      </c>
    </row>
    <row r="523" spans="3:43" x14ac:dyDescent="0.25">
      <c r="C523" s="22">
        <v>518</v>
      </c>
      <c r="Y523" s="25" t="s">
        <v>357</v>
      </c>
      <c r="Z523" s="20" t="str">
        <f t="shared" si="24"/>
        <v/>
      </c>
      <c r="AA523" s="21" t="str">
        <f>IF(Z523="","",_xll.IMDP("STK",$Z523,"한글종목명"))</f>
        <v/>
      </c>
      <c r="AB523" s="48" t="str">
        <f>IF(Z523="","",_xll.IMDP("STK",$Z523,"현재가"))</f>
        <v/>
      </c>
      <c r="AC523" s="48" t="str">
        <f>IF(Z523="","",_xll.IMDP("STK",$Z523,"전일대비"))</f>
        <v/>
      </c>
      <c r="AD523" s="49" t="str">
        <f>IF(Z523="","",_xll.IMDP("STK",$Z523,"등락률"))</f>
        <v/>
      </c>
      <c r="AE523" s="48" t="str">
        <f>IF(Z523="","",_xll.IMDP("STK",Z523,"시가총액"))</f>
        <v/>
      </c>
      <c r="AF523" s="20" t="str">
        <f t="shared" si="26"/>
        <v/>
      </c>
      <c r="AG523" s="21" t="str">
        <f>IF(AF523="","",_xll.IMDP("STK",$AF523,"한글종목명"))</f>
        <v/>
      </c>
      <c r="AH523" s="48" t="str">
        <f>IF(AF523="","",_xll.IMDP("STK",$AF523,"현재가"))</f>
        <v/>
      </c>
      <c r="AI523" s="48" t="str">
        <f>IF(AF523="","",_xll.IMDP("STK",$AF523,"전일대비"))</f>
        <v/>
      </c>
      <c r="AJ523" s="49" t="str">
        <f>IF(AF523="","",_xll.IMDP("STK",$AF523,"등락률"))</f>
        <v/>
      </c>
      <c r="AK523" s="48" t="str">
        <f>IF(AF523="","",_xll.IMDP("STK",$AF523,"시가총액"))</f>
        <v/>
      </c>
      <c r="AL523" s="20" t="str">
        <f t="shared" si="25"/>
        <v/>
      </c>
      <c r="AM523" s="21" t="str">
        <f>IF(AL523="","",_xll.IMDP("STK",$AL523,"한글종목명"))</f>
        <v/>
      </c>
      <c r="AN523" s="48" t="str">
        <f>IF(AL523="","",_xll.IMDP("STK",$AL523,"현재가"))</f>
        <v/>
      </c>
      <c r="AO523" s="48" t="str">
        <f>IF(AL523="","",_xll.IMDP("STK",$AL523,"전일대비"))</f>
        <v/>
      </c>
      <c r="AP523" s="49" t="str">
        <f>IF(AL523="","",_xll.IMDP("STK",$AL523,"등락률"))</f>
        <v/>
      </c>
      <c r="AQ523" s="48" t="str">
        <f>IF(AL523="","",_xll.IMDP("STK",$AL523,"시가총액"))</f>
        <v/>
      </c>
    </row>
    <row r="524" spans="3:43" x14ac:dyDescent="0.25">
      <c r="C524" s="22">
        <v>519</v>
      </c>
      <c r="Y524" s="25" t="s">
        <v>512</v>
      </c>
      <c r="Z524" s="20" t="str">
        <f t="shared" si="24"/>
        <v/>
      </c>
      <c r="AA524" s="21" t="str">
        <f>IF(Z524="","",_xll.IMDP("STK",$Z524,"한글종목명"))</f>
        <v/>
      </c>
      <c r="AB524" s="48" t="str">
        <f>IF(Z524="","",_xll.IMDP("STK",$Z524,"현재가"))</f>
        <v/>
      </c>
      <c r="AC524" s="48" t="str">
        <f>IF(Z524="","",_xll.IMDP("STK",$Z524,"전일대비"))</f>
        <v/>
      </c>
      <c r="AD524" s="49" t="str">
        <f>IF(Z524="","",_xll.IMDP("STK",$Z524,"등락률"))</f>
        <v/>
      </c>
      <c r="AE524" s="48" t="str">
        <f>IF(Z524="","",_xll.IMDP("STK",Z524,"시가총액"))</f>
        <v/>
      </c>
      <c r="AF524" s="20" t="str">
        <f t="shared" si="26"/>
        <v/>
      </c>
      <c r="AG524" s="21" t="str">
        <f>IF(AF524="","",_xll.IMDP("STK",$AF524,"한글종목명"))</f>
        <v/>
      </c>
      <c r="AH524" s="48" t="str">
        <f>IF(AF524="","",_xll.IMDP("STK",$AF524,"현재가"))</f>
        <v/>
      </c>
      <c r="AI524" s="48" t="str">
        <f>IF(AF524="","",_xll.IMDP("STK",$AF524,"전일대비"))</f>
        <v/>
      </c>
      <c r="AJ524" s="49" t="str">
        <f>IF(AF524="","",_xll.IMDP("STK",$AF524,"등락률"))</f>
        <v/>
      </c>
      <c r="AK524" s="48" t="str">
        <f>IF(AF524="","",_xll.IMDP("STK",$AF524,"시가총액"))</f>
        <v/>
      </c>
      <c r="AL524" s="20" t="str">
        <f t="shared" si="25"/>
        <v/>
      </c>
      <c r="AM524" s="21" t="str">
        <f>IF(AL524="","",_xll.IMDP("STK",$AL524,"한글종목명"))</f>
        <v/>
      </c>
      <c r="AN524" s="48" t="str">
        <f>IF(AL524="","",_xll.IMDP("STK",$AL524,"현재가"))</f>
        <v/>
      </c>
      <c r="AO524" s="48" t="str">
        <f>IF(AL524="","",_xll.IMDP("STK",$AL524,"전일대비"))</f>
        <v/>
      </c>
      <c r="AP524" s="49" t="str">
        <f>IF(AL524="","",_xll.IMDP("STK",$AL524,"등락률"))</f>
        <v/>
      </c>
      <c r="AQ524" s="48" t="str">
        <f>IF(AL524="","",_xll.IMDP("STK",$AL524,"시가총액"))</f>
        <v/>
      </c>
    </row>
    <row r="525" spans="3:43" x14ac:dyDescent="0.25">
      <c r="C525" s="22">
        <v>520</v>
      </c>
      <c r="Y525" s="25" t="s">
        <v>358</v>
      </c>
      <c r="Z525" s="20" t="str">
        <f t="shared" si="24"/>
        <v/>
      </c>
      <c r="AA525" s="21" t="str">
        <f>IF(Z525="","",_xll.IMDP("STK",$Z525,"한글종목명"))</f>
        <v/>
      </c>
      <c r="AB525" s="48" t="str">
        <f>IF(Z525="","",_xll.IMDP("STK",$Z525,"현재가"))</f>
        <v/>
      </c>
      <c r="AC525" s="48" t="str">
        <f>IF(Z525="","",_xll.IMDP("STK",$Z525,"전일대비"))</f>
        <v/>
      </c>
      <c r="AD525" s="49" t="str">
        <f>IF(Z525="","",_xll.IMDP("STK",$Z525,"등락률"))</f>
        <v/>
      </c>
      <c r="AE525" s="48" t="str">
        <f>IF(Z525="","",_xll.IMDP("STK",Z525,"시가총액"))</f>
        <v/>
      </c>
      <c r="AF525" s="20" t="str">
        <f t="shared" si="26"/>
        <v/>
      </c>
      <c r="AG525" s="21" t="str">
        <f>IF(AF525="","",_xll.IMDP("STK",$AF525,"한글종목명"))</f>
        <v/>
      </c>
      <c r="AH525" s="48" t="str">
        <f>IF(AF525="","",_xll.IMDP("STK",$AF525,"현재가"))</f>
        <v/>
      </c>
      <c r="AI525" s="48" t="str">
        <f>IF(AF525="","",_xll.IMDP("STK",$AF525,"전일대비"))</f>
        <v/>
      </c>
      <c r="AJ525" s="49" t="str">
        <f>IF(AF525="","",_xll.IMDP("STK",$AF525,"등락률"))</f>
        <v/>
      </c>
      <c r="AK525" s="48" t="str">
        <f>IF(AF525="","",_xll.IMDP("STK",$AF525,"시가총액"))</f>
        <v/>
      </c>
      <c r="AL525" s="20" t="str">
        <f t="shared" si="25"/>
        <v/>
      </c>
      <c r="AM525" s="21" t="str">
        <f>IF(AL525="","",_xll.IMDP("STK",$AL525,"한글종목명"))</f>
        <v/>
      </c>
      <c r="AN525" s="48" t="str">
        <f>IF(AL525="","",_xll.IMDP("STK",$AL525,"현재가"))</f>
        <v/>
      </c>
      <c r="AO525" s="48" t="str">
        <f>IF(AL525="","",_xll.IMDP("STK",$AL525,"전일대비"))</f>
        <v/>
      </c>
      <c r="AP525" s="49" t="str">
        <f>IF(AL525="","",_xll.IMDP("STK",$AL525,"등락률"))</f>
        <v/>
      </c>
      <c r="AQ525" s="48" t="str">
        <f>IF(AL525="","",_xll.IMDP("STK",$AL525,"시가총액"))</f>
        <v/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9525</xdr:rowOff>
                  </from>
                  <to>
                    <xdr:col>27</xdr:col>
                    <xdr:colOff>0</xdr:colOff>
                    <xdr:row>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defaultSize="0" autoLine="0" autoPict="0">
                <anchor moveWithCells="1">
                  <from>
                    <xdr:col>31</xdr:col>
                    <xdr:colOff>0</xdr:colOff>
                    <xdr:row>3</xdr:row>
                    <xdr:rowOff>0</xdr:rowOff>
                  </from>
                  <to>
                    <xdr:col>33</xdr:col>
                    <xdr:colOff>9525</xdr:colOff>
                    <xdr:row>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Drop Down 3">
              <controlPr defaultSize="0" autoLine="0" autoPict="0">
                <anchor moveWithCells="1">
                  <from>
                    <xdr:col>37</xdr:col>
                    <xdr:colOff>9525</xdr:colOff>
                    <xdr:row>3</xdr:row>
                    <xdr:rowOff>0</xdr:rowOff>
                  </from>
                  <to>
                    <xdr:col>39</xdr:col>
                    <xdr:colOff>0</xdr:colOff>
                    <xdr:row>4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재무제표비교</vt:lpstr>
      <vt:lpstr>업종분류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2018-07-02T05:42:02Z</dcterms:created>
  <dcterms:modified xsi:type="dcterms:W3CDTF">2023-08-31T01:49:35Z</dcterms:modified>
</cp:coreProperties>
</file>