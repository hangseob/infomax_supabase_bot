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현재_통합_문서" defaultThemeVersion="124226"/>
  <bookViews>
    <workbookView xWindow="2115" yWindow="165" windowWidth="24435" windowHeight="14820"/>
  </bookViews>
  <sheets>
    <sheet name="재무제표" sheetId="1" r:id="rId1"/>
    <sheet name="Sheet3" sheetId="5" state="hidden" r:id="rId2"/>
    <sheet name="Sheet2" sheetId="7" state="hidden" r:id="rId3"/>
  </sheets>
  <definedNames>
    <definedName name="기타_요약_자본변동표">Sheet3!$12639:$12752</definedName>
    <definedName name="기타_요약_재무상태표">Sheet3!$12435:$12515</definedName>
    <definedName name="기타_요약_포괄손익계산서">Sheet3!$12521:$12633</definedName>
    <definedName name="기타_요약_현금흐름표">Sheet3!$12758:$12987</definedName>
    <definedName name="기타_표준_자본변동표">Sheet3!$13562:$13686</definedName>
    <definedName name="기타_표준_재무상태표">Sheet3!$12993:$13251</definedName>
    <definedName name="기타_표준_포괄손익계산서">Sheet3!$13257:$13556</definedName>
    <definedName name="기타_표준_현금흐름표">Sheet3!$13692:$14059</definedName>
    <definedName name="보험_요약_자본변동표">Sheet3!$4322:$4435</definedName>
    <definedName name="보험_요약_재무상태표">Sheet3!$4169:$4217</definedName>
    <definedName name="보험_요약_포괄손익계산서">Sheet3!$4223:$4316</definedName>
    <definedName name="보험_요약_현금흐름표">Sheet3!$4441:$4653</definedName>
    <definedName name="보험_표준_자본변동표">Sheet3!$5422:$5546</definedName>
    <definedName name="보험_표준_재무상태표">Sheet3!$4659:$5013</definedName>
    <definedName name="보험_표준_포괄손익계산서">Sheet3!$5019:$5416</definedName>
    <definedName name="보험_표준_현금흐름표">Sheet3!$5552:$5940</definedName>
    <definedName name="비금융_요약_자본변동표">Sheet3!$185:$298</definedName>
    <definedName name="비금융_요약_재무상태표">Sheet3!$1:$70</definedName>
    <definedName name="비금융_요약_포괄손익계산서">Sheet3!$76:$179</definedName>
    <definedName name="비금융_요약_현금흐름표">Sheet3!$304:$539</definedName>
    <definedName name="비금융_표준_자본변동표">Sheet3!$1782:$1906</definedName>
    <definedName name="비금융_표준_재무상태표">Sheet3!$545:$1291</definedName>
    <definedName name="비금융_표준_포괄손익계산서">Sheet3!$1297:$1776</definedName>
    <definedName name="비금융_표준_현금흐름표">Sheet3!$1912:$2383</definedName>
    <definedName name="신금_표준_자본변동표">Sheet3!$8538:$8662</definedName>
    <definedName name="신금_표준_재무상태표">Sheet3!$7920:$8209</definedName>
    <definedName name="신금_표준_포괄손익계산서">Sheet3!$8215:$8532</definedName>
    <definedName name="신금_표준_현금흐름표">Sheet3!$8668:$9013</definedName>
    <definedName name="여신_요약_자본변동표">Sheet3!$10790:$10903</definedName>
    <definedName name="여신_요약_재무상태표">Sheet3!$10669:$10722</definedName>
    <definedName name="여신_요약_포괄손익계산서">Sheet3!$10728:$10784</definedName>
    <definedName name="여신_요약_현금흐름표">Sheet3!$10909:$11131</definedName>
    <definedName name="여신_표준_자본변동표">Sheet3!$11903:$12027</definedName>
    <definedName name="여신_표준_재무상태표">Sheet3!$11137:$11513</definedName>
    <definedName name="여신_표준_포괄손익계산서">Sheet3!$11519:$11897</definedName>
    <definedName name="여신_표준_현금흐름표">Sheet3!$12033:$12424</definedName>
    <definedName name="은행_요약_자본변동표">Sheet3!$2507:$2620</definedName>
    <definedName name="은행_요약_재무상태표">Sheet3!$2394:$2442</definedName>
    <definedName name="은행_요약_포괄손익계산서">Sheet3!$2448:$2501</definedName>
    <definedName name="은행_요약_현금흐름표">Sheet3!$2626:$2839</definedName>
    <definedName name="은행_표준_자본변동표">Sheet3!$3609:$3733</definedName>
    <definedName name="은행_표준_재무상태표">Sheet3!$2845:$3229</definedName>
    <definedName name="은행_표준_포괄손익계산서">Sheet3!$3235:$3603</definedName>
    <definedName name="은행_표준_현금흐름표">Sheet3!$3739:$4159</definedName>
    <definedName name="종금_요약_자본변동표">Sheet3!$9136:$9249</definedName>
    <definedName name="종금_요약_재무상태표">Sheet3!$9024:$9072</definedName>
    <definedName name="종금_요약_포괄손익계산서">Sheet3!$9078:$9130</definedName>
    <definedName name="종금_요약_현금흐름표">Sheet3!$9255:$9464</definedName>
    <definedName name="종금_표준_자본변동표">Sheet3!$10138:$10262</definedName>
    <definedName name="종금_표준_재무상태표">Sheet3!$9470:$9780</definedName>
    <definedName name="종금_표준_포괄손익계산서">Sheet3!$9786:$10131</definedName>
    <definedName name="종금_표준_현금흐름표">Sheet3!$10268:$10658</definedName>
    <definedName name="증권_요약_자본변동표">Sheet3!$6072:$6184</definedName>
    <definedName name="증권_요약_재무상태표">Sheet3!$5951:$6005</definedName>
    <definedName name="증권_요약_포괄손익계산서">Sheet3!$6011:$6066</definedName>
    <definedName name="증권_요약_현금흐름표">Sheet3!$6190:$6431</definedName>
    <definedName name="증권_표준_자본변동표">Sheet3!$7348:$7472</definedName>
    <definedName name="증권_표준_재무상태표">Sheet3!$6437:$6860</definedName>
    <definedName name="증권_표준_포괄손익계산서">Sheet3!$6866:$7342</definedName>
    <definedName name="증권_표준_현금흐름표">Sheet3!$7478:$7909</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1" l="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l="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Q5" i="1" a="1"/>
  <c r="Q5" i="1" s="1"/>
  <c r="P5" i="1" a="1"/>
  <c r="P5" i="1" s="1"/>
  <c r="O5" i="1" a="1"/>
  <c r="O5" i="1" s="1"/>
  <c r="N5" i="1" a="1"/>
  <c r="N5" i="1" s="1"/>
  <c r="M5" i="1" a="1"/>
  <c r="M5" i="1" s="1"/>
  <c r="I5" i="1" a="1"/>
  <c r="K5" i="1" a="1"/>
  <c r="J5" i="1" a="1"/>
  <c r="L5" i="1" a="1"/>
  <c r="H5" i="1" a="1"/>
  <c r="I5" i="1" l="1"/>
  <c r="K5" i="1"/>
  <c r="J5" i="1"/>
  <c r="L5" i="1"/>
  <c r="H5" i="1"/>
  <c r="F753" i="1" l="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I1" i="1" l="1"/>
  <c r="J1" i="1"/>
  <c r="K1" i="1"/>
  <c r="L1" i="1"/>
  <c r="M1" i="1"/>
  <c r="N1" i="1"/>
  <c r="O1" i="1"/>
  <c r="P1" i="1"/>
  <c r="Q1" i="1"/>
  <c r="H1" i="1"/>
  <c r="D2" i="7" l="1"/>
  <c r="A2" i="7"/>
  <c r="L2" i="7" l="1"/>
  <c r="I1" i="7"/>
  <c r="I2" i="7" s="1"/>
  <c r="I3" i="7" s="1"/>
  <c r="I4" i="7" s="1"/>
  <c r="I5" i="7" s="1"/>
  <c r="I6" i="7" s="1"/>
  <c r="I7" i="7" s="1"/>
  <c r="I8" i="7" s="1"/>
  <c r="I9" i="7" s="1"/>
  <c r="I10" i="7" s="1"/>
  <c r="I11" i="7" s="1"/>
  <c r="I12" i="7" s="1"/>
  <c r="F2" i="7"/>
  <c r="J6" i="7" l="1"/>
  <c r="Q6" i="1"/>
  <c r="M8" i="1"/>
  <c r="I10" i="1"/>
  <c r="O11" i="1"/>
  <c r="K13" i="1"/>
  <c r="Q14" i="1"/>
  <c r="Q16" i="1"/>
  <c r="Q18" i="1"/>
  <c r="H7" i="1"/>
  <c r="J8" i="1"/>
  <c r="L9" i="1"/>
  <c r="N10" i="1"/>
  <c r="P11" i="1"/>
  <c r="L13" i="1"/>
  <c r="N14" i="1"/>
  <c r="P15" i="1"/>
  <c r="H17" i="1"/>
  <c r="J18" i="1"/>
  <c r="P19" i="1"/>
  <c r="H21" i="1"/>
  <c r="J22" i="1"/>
  <c r="L23" i="1"/>
  <c r="M25" i="1"/>
  <c r="L6" i="1"/>
  <c r="P6" i="1"/>
  <c r="J7" i="1"/>
  <c r="N7" i="1"/>
  <c r="H8" i="1"/>
  <c r="L8" i="1"/>
  <c r="P8" i="1"/>
  <c r="J9" i="1"/>
  <c r="N9" i="1"/>
  <c r="H10" i="1"/>
  <c r="L10" i="1"/>
  <c r="P10" i="1"/>
  <c r="J11" i="1"/>
  <c r="N11" i="1"/>
  <c r="H12" i="1"/>
  <c r="L12" i="1"/>
  <c r="P12" i="1"/>
  <c r="J13" i="1"/>
  <c r="N13" i="1"/>
  <c r="H14" i="1"/>
  <c r="L14" i="1"/>
  <c r="P14" i="1"/>
  <c r="J15" i="1"/>
  <c r="N15" i="1"/>
  <c r="H16" i="1"/>
  <c r="L16" i="1"/>
  <c r="P16" i="1"/>
  <c r="J17" i="1"/>
  <c r="N17" i="1"/>
  <c r="H18" i="1"/>
  <c r="L18" i="1"/>
  <c r="P18" i="1"/>
  <c r="J19" i="1"/>
  <c r="N19" i="1"/>
  <c r="H20" i="1"/>
  <c r="L20" i="1"/>
  <c r="P20" i="1"/>
  <c r="J21" i="1"/>
  <c r="N21" i="1"/>
  <c r="H22" i="1"/>
  <c r="L22" i="1"/>
  <c r="P22" i="1"/>
  <c r="J23" i="1"/>
  <c r="N23" i="1"/>
  <c r="H24" i="1"/>
  <c r="L24" i="1"/>
  <c r="P24" i="1"/>
  <c r="K25" i="1"/>
  <c r="P25" i="1"/>
  <c r="K26" i="1"/>
  <c r="Q26" i="1"/>
  <c r="L27" i="1"/>
  <c r="I28" i="1"/>
  <c r="Q28" i="1"/>
  <c r="O29" i="1"/>
  <c r="M30" i="1"/>
  <c r="K31" i="1"/>
  <c r="I32" i="1"/>
  <c r="Q32" i="1"/>
  <c r="O33" i="1"/>
  <c r="M34" i="1"/>
  <c r="K35" i="1"/>
  <c r="I36" i="1"/>
  <c r="Q36" i="1"/>
  <c r="O37" i="1"/>
  <c r="K39" i="1"/>
  <c r="Q40" i="1"/>
  <c r="K7" i="1"/>
  <c r="Q8" i="1"/>
  <c r="M10" i="1"/>
  <c r="Q12" i="1"/>
  <c r="M14" i="1"/>
  <c r="M16" i="1"/>
  <c r="O17" i="1"/>
  <c r="K19" i="1"/>
  <c r="O19" i="1"/>
  <c r="I20" i="1"/>
  <c r="M20" i="1"/>
  <c r="Q20" i="1"/>
  <c r="K21" i="1"/>
  <c r="O21" i="1"/>
  <c r="I22" i="1"/>
  <c r="M22" i="1"/>
  <c r="Q22" i="1"/>
  <c r="K23" i="1"/>
  <c r="O23" i="1"/>
  <c r="I24" i="1"/>
  <c r="M24" i="1"/>
  <c r="Q24" i="1"/>
  <c r="L25" i="1"/>
  <c r="Q25" i="1"/>
  <c r="M26" i="1"/>
  <c r="H27" i="1"/>
  <c r="M27" i="1"/>
  <c r="J28" i="1"/>
  <c r="H29" i="1"/>
  <c r="P29" i="1"/>
  <c r="N30" i="1"/>
  <c r="L31" i="1"/>
  <c r="J32" i="1"/>
  <c r="H33" i="1"/>
  <c r="P33" i="1"/>
  <c r="N34" i="1"/>
  <c r="L35" i="1"/>
  <c r="J36" i="1"/>
  <c r="H37" i="1"/>
  <c r="I38" i="1"/>
  <c r="O39" i="1"/>
  <c r="K41" i="1"/>
  <c r="I6" i="1"/>
  <c r="O7" i="1"/>
  <c r="K9" i="1"/>
  <c r="Q10" i="1"/>
  <c r="M12" i="1"/>
  <c r="I14" i="1"/>
  <c r="O15" i="1"/>
  <c r="I18" i="1"/>
  <c r="J6" i="1"/>
  <c r="L7" i="1"/>
  <c r="N8" i="1"/>
  <c r="P9" i="1"/>
  <c r="H11" i="1"/>
  <c r="N12" i="1"/>
  <c r="P13" i="1"/>
  <c r="H15" i="1"/>
  <c r="J16" i="1"/>
  <c r="P17" i="1"/>
  <c r="H19" i="1"/>
  <c r="N20" i="1"/>
  <c r="P21" i="1"/>
  <c r="H23" i="1"/>
  <c r="J24" i="1"/>
  <c r="H25" i="1"/>
  <c r="N26" i="1"/>
  <c r="I27" i="1"/>
  <c r="O27" i="1"/>
  <c r="M28" i="1"/>
  <c r="K29" i="1"/>
  <c r="I30" i="1"/>
  <c r="Q30" i="1"/>
  <c r="O31" i="1"/>
  <c r="M32" i="1"/>
  <c r="K33" i="1"/>
  <c r="I34" i="1"/>
  <c r="Q34" i="1"/>
  <c r="O35" i="1"/>
  <c r="M36" i="1"/>
  <c r="K37" i="1"/>
  <c r="M38" i="1"/>
  <c r="I40" i="1"/>
  <c r="O41" i="1"/>
  <c r="M6" i="1"/>
  <c r="I8" i="1"/>
  <c r="O9" i="1"/>
  <c r="K11" i="1"/>
  <c r="I12" i="1"/>
  <c r="O13" i="1"/>
  <c r="K15" i="1"/>
  <c r="I16" i="1"/>
  <c r="K17" i="1"/>
  <c r="M18" i="1"/>
  <c r="N6" i="1"/>
  <c r="P7" i="1"/>
  <c r="H9" i="1"/>
  <c r="J10" i="1"/>
  <c r="L11" i="1"/>
  <c r="J12" i="1"/>
  <c r="H13" i="1"/>
  <c r="J14" i="1"/>
  <c r="L15" i="1"/>
  <c r="N16" i="1"/>
  <c r="L17" i="1"/>
  <c r="N18" i="1"/>
  <c r="L19" i="1"/>
  <c r="J20" i="1"/>
  <c r="L21" i="1"/>
  <c r="N22" i="1"/>
  <c r="P23" i="1"/>
  <c r="N24" i="1"/>
  <c r="I26" i="1"/>
  <c r="K6" i="1"/>
  <c r="O6" i="1"/>
  <c r="I7" i="1"/>
  <c r="M7" i="1"/>
  <c r="Q7" i="1"/>
  <c r="K8" i="1"/>
  <c r="O8" i="1"/>
  <c r="I9" i="1"/>
  <c r="M9" i="1"/>
  <c r="Q9" i="1"/>
  <c r="K10" i="1"/>
  <c r="O10" i="1"/>
  <c r="I11" i="1"/>
  <c r="M11" i="1"/>
  <c r="Q11" i="1"/>
  <c r="K12" i="1"/>
  <c r="O12" i="1"/>
  <c r="I13" i="1"/>
  <c r="M13" i="1"/>
  <c r="Q13" i="1"/>
  <c r="K14" i="1"/>
  <c r="O14" i="1"/>
  <c r="I15" i="1"/>
  <c r="M15" i="1"/>
  <c r="Q15" i="1"/>
  <c r="K16" i="1"/>
  <c r="O16" i="1"/>
  <c r="I17" i="1"/>
  <c r="M17" i="1"/>
  <c r="Q17" i="1"/>
  <c r="K18" i="1"/>
  <c r="O18" i="1"/>
  <c r="I19" i="1"/>
  <c r="M19" i="1"/>
  <c r="Q19" i="1"/>
  <c r="K20" i="1"/>
  <c r="O20" i="1"/>
  <c r="I21" i="1"/>
  <c r="M21" i="1"/>
  <c r="Q21" i="1"/>
  <c r="K22" i="1"/>
  <c r="O22" i="1"/>
  <c r="I23" i="1"/>
  <c r="M23" i="1"/>
  <c r="Q23" i="1"/>
  <c r="K24" i="1"/>
  <c r="O24" i="1"/>
  <c r="I25" i="1"/>
  <c r="O25" i="1"/>
  <c r="J26" i="1"/>
  <c r="O26" i="1"/>
  <c r="K27" i="1"/>
  <c r="P27" i="1"/>
  <c r="N28" i="1"/>
  <c r="L29" i="1"/>
  <c r="J30" i="1"/>
  <c r="H31" i="1"/>
  <c r="P31" i="1"/>
  <c r="N32" i="1"/>
  <c r="L33" i="1"/>
  <c r="J34" i="1"/>
  <c r="H35" i="1"/>
  <c r="P35" i="1"/>
  <c r="N36" i="1"/>
  <c r="L37" i="1"/>
  <c r="Q38" i="1"/>
  <c r="M40" i="1"/>
  <c r="I42" i="1"/>
  <c r="J25" i="1"/>
  <c r="N25" i="1"/>
  <c r="H26" i="1"/>
  <c r="L26" i="1"/>
  <c r="P26" i="1"/>
  <c r="J27" i="1"/>
  <c r="N27" i="1"/>
  <c r="H28" i="1"/>
  <c r="L28" i="1"/>
  <c r="P28" i="1"/>
  <c r="J29" i="1"/>
  <c r="N29" i="1"/>
  <c r="H30" i="1"/>
  <c r="L30" i="1"/>
  <c r="P30" i="1"/>
  <c r="J31" i="1"/>
  <c r="N31" i="1"/>
  <c r="H32" i="1"/>
  <c r="L32" i="1"/>
  <c r="P32" i="1"/>
  <c r="J33" i="1"/>
  <c r="N33" i="1"/>
  <c r="H34" i="1"/>
  <c r="L34" i="1"/>
  <c r="P34" i="1"/>
  <c r="J35" i="1"/>
  <c r="N35" i="1"/>
  <c r="H36" i="1"/>
  <c r="L36" i="1"/>
  <c r="P36" i="1"/>
  <c r="J37" i="1"/>
  <c r="N37" i="1"/>
  <c r="H38" i="1"/>
  <c r="L38" i="1"/>
  <c r="P38" i="1"/>
  <c r="J39" i="1"/>
  <c r="N39" i="1"/>
  <c r="H40" i="1"/>
  <c r="L40" i="1"/>
  <c r="P40" i="1"/>
  <c r="J41" i="1"/>
  <c r="N41" i="1"/>
  <c r="H42" i="1"/>
  <c r="L42" i="1"/>
  <c r="P42" i="1"/>
  <c r="J43" i="1"/>
  <c r="N43" i="1"/>
  <c r="H44" i="1"/>
  <c r="L44" i="1"/>
  <c r="P44" i="1"/>
  <c r="J45" i="1"/>
  <c r="N45" i="1"/>
  <c r="H46" i="1"/>
  <c r="L46" i="1"/>
  <c r="P46" i="1"/>
  <c r="J47" i="1"/>
  <c r="N47" i="1"/>
  <c r="H48" i="1"/>
  <c r="L48" i="1"/>
  <c r="P48" i="1"/>
  <c r="J49" i="1"/>
  <c r="N49" i="1"/>
  <c r="H50" i="1"/>
  <c r="L50" i="1"/>
  <c r="P50" i="1"/>
  <c r="J51" i="1"/>
  <c r="N51" i="1"/>
  <c r="H52" i="1"/>
  <c r="L52" i="1"/>
  <c r="P52" i="1"/>
  <c r="J53" i="1"/>
  <c r="N53" i="1"/>
  <c r="H54" i="1"/>
  <c r="L54" i="1"/>
  <c r="P54" i="1"/>
  <c r="J55" i="1"/>
  <c r="N55" i="1"/>
  <c r="H56" i="1"/>
  <c r="L56" i="1"/>
  <c r="P56" i="1"/>
  <c r="J57" i="1"/>
  <c r="N57" i="1"/>
  <c r="H58" i="1"/>
  <c r="L58" i="1"/>
  <c r="P58" i="1"/>
  <c r="J59" i="1"/>
  <c r="N59" i="1"/>
  <c r="H60" i="1"/>
  <c r="L60" i="1"/>
  <c r="P60" i="1"/>
  <c r="J61" i="1"/>
  <c r="N61" i="1"/>
  <c r="H62" i="1"/>
  <c r="L62" i="1"/>
  <c r="P62" i="1"/>
  <c r="J63" i="1"/>
  <c r="N63" i="1"/>
  <c r="H64" i="1"/>
  <c r="L64" i="1"/>
  <c r="P64" i="1"/>
  <c r="J65" i="1"/>
  <c r="N65" i="1"/>
  <c r="H66" i="1"/>
  <c r="L66" i="1"/>
  <c r="P66" i="1"/>
  <c r="J67" i="1"/>
  <c r="N67" i="1"/>
  <c r="H68" i="1"/>
  <c r="L68" i="1"/>
  <c r="P68" i="1"/>
  <c r="J69" i="1"/>
  <c r="N69" i="1"/>
  <c r="H70" i="1"/>
  <c r="L70" i="1"/>
  <c r="P70" i="1"/>
  <c r="J71" i="1"/>
  <c r="N71" i="1"/>
  <c r="H72" i="1"/>
  <c r="L72" i="1"/>
  <c r="P72" i="1"/>
  <c r="J73" i="1"/>
  <c r="N73" i="1"/>
  <c r="H74" i="1"/>
  <c r="L74" i="1"/>
  <c r="P74" i="1"/>
  <c r="J75" i="1"/>
  <c r="N75" i="1"/>
  <c r="M42" i="1"/>
  <c r="Q42" i="1"/>
  <c r="K43" i="1"/>
  <c r="O43" i="1"/>
  <c r="I44" i="1"/>
  <c r="M44" i="1"/>
  <c r="Q44" i="1"/>
  <c r="K45" i="1"/>
  <c r="O45" i="1"/>
  <c r="I46" i="1"/>
  <c r="M46" i="1"/>
  <c r="Q46" i="1"/>
  <c r="K47" i="1"/>
  <c r="O47" i="1"/>
  <c r="I48" i="1"/>
  <c r="M48" i="1"/>
  <c r="Q48" i="1"/>
  <c r="K49" i="1"/>
  <c r="O49" i="1"/>
  <c r="I50" i="1"/>
  <c r="M50" i="1"/>
  <c r="Q50" i="1"/>
  <c r="K51" i="1"/>
  <c r="O51" i="1"/>
  <c r="I52" i="1"/>
  <c r="M52" i="1"/>
  <c r="Q52" i="1"/>
  <c r="K53" i="1"/>
  <c r="O53" i="1"/>
  <c r="I54" i="1"/>
  <c r="M54" i="1"/>
  <c r="Q54" i="1"/>
  <c r="K55" i="1"/>
  <c r="O55" i="1"/>
  <c r="I56" i="1"/>
  <c r="M56" i="1"/>
  <c r="Q56" i="1"/>
  <c r="K57" i="1"/>
  <c r="O57" i="1"/>
  <c r="I58" i="1"/>
  <c r="M58" i="1"/>
  <c r="Q58" i="1"/>
  <c r="K59" i="1"/>
  <c r="O59" i="1"/>
  <c r="I60" i="1"/>
  <c r="M60" i="1"/>
  <c r="Q60" i="1"/>
  <c r="K61" i="1"/>
  <c r="O61" i="1"/>
  <c r="I62" i="1"/>
  <c r="M62" i="1"/>
  <c r="Q62" i="1"/>
  <c r="K63" i="1"/>
  <c r="O63" i="1"/>
  <c r="I64" i="1"/>
  <c r="M64" i="1"/>
  <c r="Q64" i="1"/>
  <c r="K65" i="1"/>
  <c r="O65" i="1"/>
  <c r="I66" i="1"/>
  <c r="M66" i="1"/>
  <c r="Q66" i="1"/>
  <c r="K67" i="1"/>
  <c r="O67" i="1"/>
  <c r="I68" i="1"/>
  <c r="M68" i="1"/>
  <c r="Q68" i="1"/>
  <c r="K69" i="1"/>
  <c r="O69" i="1"/>
  <c r="I70" i="1"/>
  <c r="M70" i="1"/>
  <c r="Q70" i="1"/>
  <c r="K71" i="1"/>
  <c r="O71" i="1"/>
  <c r="I72" i="1"/>
  <c r="M72" i="1"/>
  <c r="Q72" i="1"/>
  <c r="K73" i="1"/>
  <c r="O73" i="1"/>
  <c r="I74" i="1"/>
  <c r="M74" i="1"/>
  <c r="Q74" i="1"/>
  <c r="K75" i="1"/>
  <c r="O75" i="1"/>
  <c r="P37" i="1"/>
  <c r="J38" i="1"/>
  <c r="N38" i="1"/>
  <c r="H39" i="1"/>
  <c r="L39" i="1"/>
  <c r="P39" i="1"/>
  <c r="J40" i="1"/>
  <c r="N40" i="1"/>
  <c r="H41" i="1"/>
  <c r="L41" i="1"/>
  <c r="P41" i="1"/>
  <c r="J42" i="1"/>
  <c r="N42" i="1"/>
  <c r="H43" i="1"/>
  <c r="L43" i="1"/>
  <c r="P43" i="1"/>
  <c r="J44" i="1"/>
  <c r="N44" i="1"/>
  <c r="H45" i="1"/>
  <c r="L45" i="1"/>
  <c r="P45" i="1"/>
  <c r="J46" i="1"/>
  <c r="N46" i="1"/>
  <c r="H47" i="1"/>
  <c r="L47" i="1"/>
  <c r="P47" i="1"/>
  <c r="J48" i="1"/>
  <c r="N48" i="1"/>
  <c r="H49" i="1"/>
  <c r="L49" i="1"/>
  <c r="P49" i="1"/>
  <c r="J50" i="1"/>
  <c r="N50" i="1"/>
  <c r="H51" i="1"/>
  <c r="L51" i="1"/>
  <c r="P51" i="1"/>
  <c r="J52" i="1"/>
  <c r="N52" i="1"/>
  <c r="H53" i="1"/>
  <c r="L53" i="1"/>
  <c r="P53" i="1"/>
  <c r="J54" i="1"/>
  <c r="N54" i="1"/>
  <c r="H55" i="1"/>
  <c r="L55" i="1"/>
  <c r="P55" i="1"/>
  <c r="J56" i="1"/>
  <c r="N56" i="1"/>
  <c r="H57" i="1"/>
  <c r="L57" i="1"/>
  <c r="P57" i="1"/>
  <c r="J58" i="1"/>
  <c r="N58" i="1"/>
  <c r="H59" i="1"/>
  <c r="L59" i="1"/>
  <c r="P59" i="1"/>
  <c r="J60" i="1"/>
  <c r="N60" i="1"/>
  <c r="H61" i="1"/>
  <c r="L61" i="1"/>
  <c r="P61" i="1"/>
  <c r="J62" i="1"/>
  <c r="N62" i="1"/>
  <c r="H63" i="1"/>
  <c r="L63" i="1"/>
  <c r="P63" i="1"/>
  <c r="J64" i="1"/>
  <c r="N64" i="1"/>
  <c r="H65" i="1"/>
  <c r="L65" i="1"/>
  <c r="P65" i="1"/>
  <c r="J66" i="1"/>
  <c r="N66" i="1"/>
  <c r="H67" i="1"/>
  <c r="L67" i="1"/>
  <c r="P67" i="1"/>
  <c r="J68" i="1"/>
  <c r="N68" i="1"/>
  <c r="H69" i="1"/>
  <c r="L69" i="1"/>
  <c r="P69" i="1"/>
  <c r="J70" i="1"/>
  <c r="N70" i="1"/>
  <c r="H71" i="1"/>
  <c r="L71" i="1"/>
  <c r="P71" i="1"/>
  <c r="J72" i="1"/>
  <c r="N72" i="1"/>
  <c r="H73" i="1"/>
  <c r="L73" i="1"/>
  <c r="P73" i="1"/>
  <c r="J74" i="1"/>
  <c r="N74" i="1"/>
  <c r="H75" i="1"/>
  <c r="L75" i="1"/>
  <c r="P75" i="1"/>
  <c r="Q27" i="1"/>
  <c r="K28" i="1"/>
  <c r="O28" i="1"/>
  <c r="I29" i="1"/>
  <c r="M29" i="1"/>
  <c r="Q29" i="1"/>
  <c r="K30" i="1"/>
  <c r="O30" i="1"/>
  <c r="I31" i="1"/>
  <c r="M31" i="1"/>
  <c r="Q31" i="1"/>
  <c r="K32" i="1"/>
  <c r="O32" i="1"/>
  <c r="I33" i="1"/>
  <c r="M33" i="1"/>
  <c r="Q33" i="1"/>
  <c r="K34" i="1"/>
  <c r="O34" i="1"/>
  <c r="I35" i="1"/>
  <c r="M35" i="1"/>
  <c r="Q35" i="1"/>
  <c r="K36" i="1"/>
  <c r="O36" i="1"/>
  <c r="I37" i="1"/>
  <c r="M37" i="1"/>
  <c r="Q37" i="1"/>
  <c r="K38" i="1"/>
  <c r="O38" i="1"/>
  <c r="I39" i="1"/>
  <c r="M39" i="1"/>
  <c r="Q39" i="1"/>
  <c r="K40" i="1"/>
  <c r="O40" i="1"/>
  <c r="I41" i="1"/>
  <c r="M41" i="1"/>
  <c r="Q41" i="1"/>
  <c r="K42" i="1"/>
  <c r="O42" i="1"/>
  <c r="I43" i="1"/>
  <c r="M43" i="1"/>
  <c r="Q43" i="1"/>
  <c r="K44" i="1"/>
  <c r="O44" i="1"/>
  <c r="I45" i="1"/>
  <c r="M45" i="1"/>
  <c r="Q45" i="1"/>
  <c r="K46" i="1"/>
  <c r="O46" i="1"/>
  <c r="I47" i="1"/>
  <c r="M47" i="1"/>
  <c r="Q47" i="1"/>
  <c r="K48" i="1"/>
  <c r="O48" i="1"/>
  <c r="I49" i="1"/>
  <c r="M49" i="1"/>
  <c r="Q49" i="1"/>
  <c r="K50" i="1"/>
  <c r="O50" i="1"/>
  <c r="I51" i="1"/>
  <c r="M51" i="1"/>
  <c r="Q51" i="1"/>
  <c r="K52" i="1"/>
  <c r="O52" i="1"/>
  <c r="I53" i="1"/>
  <c r="M53" i="1"/>
  <c r="Q53" i="1"/>
  <c r="K54" i="1"/>
  <c r="O54" i="1"/>
  <c r="I55" i="1"/>
  <c r="M55" i="1"/>
  <c r="Q55" i="1"/>
  <c r="K56" i="1"/>
  <c r="O56" i="1"/>
  <c r="I57" i="1"/>
  <c r="M57" i="1"/>
  <c r="Q57" i="1"/>
  <c r="K58" i="1"/>
  <c r="O58" i="1"/>
  <c r="I59" i="1"/>
  <c r="M59" i="1"/>
  <c r="Q59" i="1"/>
  <c r="K60" i="1"/>
  <c r="O60" i="1"/>
  <c r="I61" i="1"/>
  <c r="M61" i="1"/>
  <c r="Q61" i="1"/>
  <c r="K62" i="1"/>
  <c r="O62" i="1"/>
  <c r="I63" i="1"/>
  <c r="M63" i="1"/>
  <c r="Q63" i="1"/>
  <c r="K64" i="1"/>
  <c r="O64" i="1"/>
  <c r="I65" i="1"/>
  <c r="M65" i="1"/>
  <c r="Q65" i="1"/>
  <c r="K66" i="1"/>
  <c r="O66" i="1"/>
  <c r="I67" i="1"/>
  <c r="M67" i="1"/>
  <c r="Q67" i="1"/>
  <c r="K68" i="1"/>
  <c r="O68" i="1"/>
  <c r="I69" i="1"/>
  <c r="M69" i="1"/>
  <c r="Q69" i="1"/>
  <c r="K70" i="1"/>
  <c r="O70" i="1"/>
  <c r="I71" i="1"/>
  <c r="M71" i="1"/>
  <c r="Q71" i="1"/>
  <c r="K72" i="1"/>
  <c r="O72" i="1"/>
  <c r="I73" i="1"/>
  <c r="M73" i="1"/>
  <c r="Q73" i="1"/>
  <c r="K74" i="1"/>
  <c r="O74" i="1"/>
  <c r="I75" i="1"/>
  <c r="M75" i="1"/>
  <c r="Q75" i="1"/>
  <c r="H6" i="1"/>
</calcChain>
</file>

<file path=xl/connections.xml><?xml version="1.0" encoding="utf-8"?>
<connections xmlns="http://schemas.openxmlformats.org/spreadsheetml/2006/main">
  <connection id="1" name="excelcode_klat" type="6" refreshedVersion="4" background="1" saveData="1">
    <textPr prompt="0" codePage="949" sourceFile="C:\Infomax\bin\code\excelcode_klat.dat" tab="0" delimiter="@">
      <textFields count="4">
        <textField type="text"/>
        <textField type="text"/>
        <textField type="text"/>
        <textField type="text"/>
      </textFields>
    </textPr>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<sst xmlns="http://schemas.openxmlformats.org/spreadsheetml/2006/main" count="13836" uniqueCount="5566">
  <si>
    <t>자산(요약재무)</t>
  </si>
  <si>
    <t>비유동자산(요약재무)</t>
  </si>
  <si>
    <t>유형자산(비금융요약재무)</t>
  </si>
  <si>
    <t>투자부동산(비금융요약재무)</t>
  </si>
  <si>
    <t>영업권(비금융요약재무)</t>
  </si>
  <si>
    <t>무형자산(비금융요약재무)</t>
  </si>
  <si>
    <t>비유동생물자산(요약재무)</t>
  </si>
  <si>
    <t>관계기업등지분관련투자자산(비금융요약재무)</t>
  </si>
  <si>
    <t>매도가능금융자산(비금융요약재무)</t>
  </si>
  <si>
    <t>만기보유금융자산(비금융요약재무)</t>
  </si>
  <si>
    <t>기타비유동금융자산(요약재무)</t>
  </si>
  <si>
    <t>장기매출채권및기타비유동채권(요약재무)</t>
  </si>
  <si>
    <t>이연법인세자산(비금융요약재무)</t>
  </si>
  <si>
    <t>장기당기법인세자산(요약재무)</t>
  </si>
  <si>
    <t>기타비유동자산(요약재무)</t>
  </si>
  <si>
    <t>기타금융업자산(비금융요약재무)</t>
  </si>
  <si>
    <t>유동자산(요약재무)</t>
  </si>
  <si>
    <t>재고자산(요약재무)</t>
  </si>
  <si>
    <t>유동생물자산(요약재무)</t>
  </si>
  <si>
    <t>유동금융자산(요약재무)</t>
  </si>
  <si>
    <t>매출채권및기타유동채권(요약재무)</t>
  </si>
  <si>
    <t>당기법인세자산선급법인세(비금융요약재무)</t>
  </si>
  <si>
    <t>기타유동자산(요약재무)</t>
  </si>
  <si>
    <t>현금및현금성자산(요약재무)</t>
  </si>
  <si>
    <t>매각예정비유동자산및처분자산집단(요약재무)</t>
  </si>
  <si>
    <t>현금및단기유가증권(요약재무)</t>
  </si>
  <si>
    <t>자본(요약재무)</t>
  </si>
  <si>
    <t>지배기업주주지분(요약재무)</t>
  </si>
  <si>
    <t>자본금(요약재무)</t>
  </si>
  <si>
    <t>신종자본증권(요약재무)</t>
  </si>
  <si>
    <t>자본잉여금(요약재무)</t>
  </si>
  <si>
    <t>기타자본(요약재무)</t>
  </si>
  <si>
    <t>기타포괄손익누계액(요약재무)</t>
  </si>
  <si>
    <t>이익잉여금결손금(요약재무)</t>
  </si>
  <si>
    <t>지배당기순손익(요약재무)</t>
  </si>
  <si>
    <t>비지배주주지분(요약재무)</t>
  </si>
  <si>
    <t>비지배당기순손익(요약재무)</t>
  </si>
  <si>
    <t>부채(요약재무)</t>
  </si>
  <si>
    <t>비유동부채(요약재무)</t>
  </si>
  <si>
    <t>사채(요약재무)</t>
  </si>
  <si>
    <t>장기차입금(요약재무)</t>
  </si>
  <si>
    <t>외화장기차입금(요약재무)</t>
  </si>
  <si>
    <t>특수관계자장기차입금(요약재무)</t>
  </si>
  <si>
    <t>주임종장기차입금(요약재무)</t>
  </si>
  <si>
    <t>비유동금융부채(요약재무)</t>
  </si>
  <si>
    <t>장기매입채무및기타비유동채무(요약재무)</t>
  </si>
  <si>
    <t>비유동종업원급여충당부채(비금융요약재무)</t>
  </si>
  <si>
    <t>기타장기충당부채(요약재무)</t>
  </si>
  <si>
    <t>이연법인세부채(비금융요약재무)</t>
  </si>
  <si>
    <t>장기당기법인세부채미지급법인세(요약재무)</t>
  </si>
  <si>
    <t>기타비유동부채(요약재무)</t>
  </si>
  <si>
    <t>기타금융업부채(비금융요약재무)</t>
  </si>
  <si>
    <t>유동부채(요약재무)</t>
  </si>
  <si>
    <t>단기사채(요약재무)</t>
  </si>
  <si>
    <t>단기차입금(요약재무)</t>
  </si>
  <si>
    <t>외화단기차입금(요약재무)</t>
  </si>
  <si>
    <t>특수관계자단기차입금(요약재무)</t>
  </si>
  <si>
    <t>주임종단기차입금(요약재무)</t>
  </si>
  <si>
    <t>유동성장기부채(요약재무)</t>
  </si>
  <si>
    <t>유동금융부채(요약재무)</t>
  </si>
  <si>
    <t>매입채무및기타유동채무(요약재무)</t>
  </si>
  <si>
    <t>유동종업원급여충당부채(요약재무)</t>
  </si>
  <si>
    <t>기타단기충당부채(요약재무)</t>
  </si>
  <si>
    <t>당기법인세부채미지급법인세(비금융요약재무)</t>
  </si>
  <si>
    <t>기타유동부채(요약재무)</t>
  </si>
  <si>
    <t>매각예정으로분류된처분자산집단에포함된부채(요약재무)</t>
  </si>
  <si>
    <t>매출액수익(요약손익)</t>
  </si>
  <si>
    <t>기말자본금(요약자본변동)</t>
  </si>
  <si>
    <t>영업활동으로인한현금흐름간접법(요약현금흐름)</t>
  </si>
  <si>
    <t>매출원가(요약손익)</t>
  </si>
  <si>
    <t>기초자본금(요약자본변동)</t>
  </si>
  <si>
    <t>직접법총현금유입(요약현금흐름)</t>
  </si>
  <si>
    <t>매출총이익손실(비금융요약손익)</t>
  </si>
  <si>
    <t>유상증자감자자본(요약자본변동)</t>
  </si>
  <si>
    <t>재화의판매와용역제공에따른현금유입(요약현금흐름)</t>
  </si>
  <si>
    <t>판매비와관리비물류원가등포함(요약손익)</t>
  </si>
  <si>
    <t>무상증자감자자본(요약자본변동)</t>
  </si>
  <si>
    <t>이자수취액(비금융요약현금흐름)</t>
  </si>
  <si>
    <t>급여(요약손익)</t>
  </si>
  <si>
    <t>주식매수선택권자본(요약자본변동)</t>
  </si>
  <si>
    <t>법인세환급(비금융요약현금흐름)</t>
  </si>
  <si>
    <t>대손상각비판관비(요약손익)</t>
  </si>
  <si>
    <t>전환사채(요약자본변동)</t>
  </si>
  <si>
    <t>기타현금유입액(비금융요약현금흐름)</t>
  </si>
  <si>
    <t>감가상각비(요약손익)</t>
  </si>
  <si>
    <t>신주인수권부사채(요약자본변동)</t>
  </si>
  <si>
    <t>직접법총현금유출(요약현금흐름)</t>
  </si>
  <si>
    <t>개발비상각(요약손익)</t>
  </si>
  <si>
    <t>주식배당(요약자본변동)</t>
  </si>
  <si>
    <t>재화와용역의구입에따른현금유출(요약현금흐름)</t>
  </si>
  <si>
    <t>기타무형자산상각비(요약손익)</t>
  </si>
  <si>
    <t>합병분할영업양수도등로인한변동자본(요약자본변동)</t>
  </si>
  <si>
    <t>수입보험료보험금연금및기타급부금관련현금유출(비금융요약현금흐름)</t>
  </si>
  <si>
    <t>연구개발비(요약손익)</t>
  </si>
  <si>
    <t>회계정책변경누적효과자본(요약자본변동)</t>
  </si>
  <si>
    <t>이자비용유출액(비금융요약현금흐름)</t>
  </si>
  <si>
    <t>기타판매비와관리비물류원가등포함(요약손익)</t>
  </si>
  <si>
    <t>오류수정등자본(요약자본변동)</t>
  </si>
  <si>
    <t>법인세납부(비금융요약현금흐름)</t>
  </si>
  <si>
    <t>영업이익(요약손익)</t>
  </si>
  <si>
    <t>외화환산차이자본(요약자본변동)</t>
  </si>
  <si>
    <t>기타현금유출액(비금융요약현금흐름)</t>
  </si>
  <si>
    <t>EBITDA(요약손익)</t>
  </si>
  <si>
    <t>기타자본(요약자본변동)</t>
  </si>
  <si>
    <t>당기순손익(요약현금흐름)</t>
  </si>
  <si>
    <t>기타이익(요약손익)</t>
  </si>
  <si>
    <t>기말신종자본증권(요약자본변동)</t>
  </si>
  <si>
    <t>법인세비용차감전순손익(요약현금흐름)</t>
  </si>
  <si>
    <t>이자수익기타(요약손익)</t>
  </si>
  <si>
    <t>기초신종자본증권(요약자본변동)</t>
  </si>
  <si>
    <t>현금유출이없는비용등가산(요약현금흐름)</t>
  </si>
  <si>
    <t>배당금수익기타(요약손익)</t>
  </si>
  <si>
    <t>신종자본증권의발행(요약자본변동)</t>
  </si>
  <si>
    <t>금융원가(요약현금흐름)</t>
  </si>
  <si>
    <t>외환거래이익기타(요약손익)</t>
  </si>
  <si>
    <t>기타신종자본(요약자본변동)</t>
  </si>
  <si>
    <t>이자비용(요약현금흐름)</t>
  </si>
  <si>
    <t>수수료수익(비금융요약손익)</t>
  </si>
  <si>
    <t>기말자본잉여금(요약자본변동)</t>
  </si>
  <si>
    <t>배당금지급(요약현금흐름)</t>
  </si>
  <si>
    <t>임대료(요약손익)</t>
  </si>
  <si>
    <t>기초자본잉여금(요약자본변동)</t>
  </si>
  <si>
    <t>대손상각비대손충당금전입액(비금융요약현금흐름)</t>
  </si>
  <si>
    <t>로열티수익(요약손익)</t>
  </si>
  <si>
    <t>유상증자감자잉여(요약자본변동)</t>
  </si>
  <si>
    <t>기타의대손상각비대손충당금전입액(요약현금흐름)</t>
  </si>
  <si>
    <t>대손충당금환입(요약손익)</t>
  </si>
  <si>
    <t>무상증자감자잉여(요약자본변동)</t>
  </si>
  <si>
    <t>퇴직급여(비금융요약현금흐름)</t>
  </si>
  <si>
    <t>충당부채환입액(요약손익)</t>
  </si>
  <si>
    <t>주식발행초과금(요약자본변동)</t>
  </si>
  <si>
    <t>종업원급여복리후생비등(요약현금흐름)</t>
  </si>
  <si>
    <t>자산처분폐기이익(요약손익)</t>
  </si>
  <si>
    <t>주식매수선택권잉여(요약자본변동)</t>
  </si>
  <si>
    <t>감가상각비(요약현금흐름)</t>
  </si>
  <si>
    <t>재고자산폐기처분이익(요약손익)</t>
  </si>
  <si>
    <t>감자차손익잉여(요약자본변동)</t>
  </si>
  <si>
    <t>개발비상각(요약현금흐름)</t>
  </si>
  <si>
    <t>자산평가이익(요약손익)</t>
  </si>
  <si>
    <t>보험차익(요약자본변동)</t>
  </si>
  <si>
    <t>기타무형자산상각비(요약현금흐름)</t>
  </si>
  <si>
    <t>자산재평가이익(요약손익)</t>
  </si>
  <si>
    <t>자기주식처분손익(요약자본변동)</t>
  </si>
  <si>
    <t>충당부채전입액(요약현금흐름)</t>
  </si>
  <si>
    <t>파생상품이익기타(요약손익)</t>
  </si>
  <si>
    <t>전환권대가전환사채(요약자본변동)</t>
  </si>
  <si>
    <t>외환거래손실(비금융요약현금흐름)</t>
  </si>
  <si>
    <t>자산손상차손환입(요약손익)</t>
  </si>
  <si>
    <t>신주인수권대가신주인수권부사채(요약자본변동)</t>
  </si>
  <si>
    <t>주식보상비(비금융요약현금흐름)</t>
  </si>
  <si>
    <t>종속기업공동지배기업및관계기업지분법관련이익기타(요약손익)</t>
  </si>
  <si>
    <t>교환권대가교환사채(요약자본변동)</t>
  </si>
  <si>
    <t>재고자산폐기처분손실(요약현금흐름)</t>
  </si>
  <si>
    <t>금융부채관련이익기타(요약손익)</t>
  </si>
  <si>
    <t>전환권재매입손익잉여(요약자본변동)</t>
  </si>
  <si>
    <t>매출채권처분손실(요약현금흐름)</t>
  </si>
  <si>
    <t>사채상환이익기타(요약손익)</t>
  </si>
  <si>
    <t>결손금처리잉여(요약자본변동)</t>
  </si>
  <si>
    <t>금융자산처분손실(요약현금흐름)</t>
  </si>
  <si>
    <t>법인세환급액(요약손익)</t>
  </si>
  <si>
    <t>지분법자본잉여금(요약자본변동)</t>
  </si>
  <si>
    <t>자산처분폐기손실(요약현금흐름)</t>
  </si>
  <si>
    <t>채무면제이익(요약손익)</t>
  </si>
  <si>
    <t>합병분할영업양수도등로인한변동잉여(요약자본변동)</t>
  </si>
  <si>
    <t>재고자산감모손실(요약현금흐름)</t>
  </si>
  <si>
    <t>보험차익(요약손익)</t>
  </si>
  <si>
    <t>회계정책변경누적효과잉여(요약자본변동)</t>
  </si>
  <si>
    <t>금융자산평가손실(요약현금흐름)</t>
  </si>
  <si>
    <t>퇴직연금운용이익(요약손익)</t>
  </si>
  <si>
    <t>오류수정등잉여(요약자본변동)</t>
  </si>
  <si>
    <t>투자자산평가손실(요약현금흐름)</t>
  </si>
  <si>
    <t>전기오류수정이익(요약손익)</t>
  </si>
  <si>
    <t>연결범위의변동잉여(요약자본변동)</t>
  </si>
  <si>
    <t>자산재평가손실(비금융요약현금흐름)</t>
  </si>
  <si>
    <t>기타이익기타(요약손익)</t>
  </si>
  <si>
    <t>외화환산차이잉여(요약자본변동)</t>
  </si>
  <si>
    <t>금융자산손상차손(요약현금흐름)</t>
  </si>
  <si>
    <t>기타손실(요약손익)</t>
  </si>
  <si>
    <t>기타잉여(요약자본변동)</t>
  </si>
  <si>
    <t>자산손상차손(비금융요약현금흐름)</t>
  </si>
  <si>
    <t>이자비용기타(요약손익)</t>
  </si>
  <si>
    <t>기말기타자본(요약자본변동)</t>
  </si>
  <si>
    <t>파생상품손실(요약현금흐름)</t>
  </si>
  <si>
    <t>외환거래손실기타(요약손익)</t>
  </si>
  <si>
    <t>기초기타자본(요약자본변동)</t>
  </si>
  <si>
    <t>지분법관련손실(요약현금흐름)</t>
  </si>
  <si>
    <t>기타대손상각비(요약손익)</t>
  </si>
  <si>
    <t>자기주식(요약자본변동)</t>
  </si>
  <si>
    <t>종속기업관련손실(요약현금흐름)</t>
  </si>
  <si>
    <t>충당부채전입액(요약손익)</t>
  </si>
  <si>
    <t>자기주식처분손실(요약자본변동)</t>
  </si>
  <si>
    <t>관계기업관련손익관계기업의당기순이익에대한지분감소(요약현금흐름)</t>
  </si>
  <si>
    <t>기부금(요약손익)</t>
  </si>
  <si>
    <t>주식할인발행차금(요약자본변동)</t>
  </si>
  <si>
    <t>금융부채관련손실(요약현금흐름)</t>
  </si>
  <si>
    <t>자산처분폐기손실(요약손익)</t>
  </si>
  <si>
    <t>주식매입선택권(요약자본변동)</t>
  </si>
  <si>
    <t>사채상환손실(요약현금흐름)</t>
  </si>
  <si>
    <t>재고자산폐기처분손실(요약손익)</t>
  </si>
  <si>
    <t>파생상품평가이익(요약자본변동)</t>
  </si>
  <si>
    <t>재해손실(요약현금흐름)</t>
  </si>
  <si>
    <t>자산평가손실(요약손익)</t>
  </si>
  <si>
    <t>파생상품평가손실(요약자본변동)</t>
  </si>
  <si>
    <t>법인세비용(비금융요약현금흐름)</t>
  </si>
  <si>
    <t>자산재평가손실(요약손익)</t>
  </si>
  <si>
    <t>출자전환채무(요약자본변동)</t>
  </si>
  <si>
    <t>구조조정활동의비용(요약현금흐름)</t>
  </si>
  <si>
    <t>파생상품손실기타(요약손익)</t>
  </si>
  <si>
    <t>신주청약증거금(요약자본변동)</t>
  </si>
  <si>
    <t>전기오류수정손익가산(비금융요약현금흐름)</t>
  </si>
  <si>
    <t>자산손상차손(요약손익)</t>
  </si>
  <si>
    <t>감자차손익기타(요약자본변동)</t>
  </si>
  <si>
    <t>비지배주주지분순손익가산(비금융요약현금흐름)</t>
  </si>
  <si>
    <t>종속기업공동지배기업및관계기업지분법관련손실기타(요약손익)</t>
  </si>
  <si>
    <t>전환권재매입손익기타(요약자본변동)</t>
  </si>
  <si>
    <t>보험수리적손실(비금융요약현금흐름)</t>
  </si>
  <si>
    <t>금융부채관련손실기타(요약손익)</t>
  </si>
  <si>
    <t>지분법자본조정(요약자본변동)</t>
  </si>
  <si>
    <t>기타가산(요약현금흐름)</t>
  </si>
  <si>
    <t>사채상환손실기타(요약손익)</t>
  </si>
  <si>
    <t>합병분할영업양수도등로인한변동기타(요약자본변동)</t>
  </si>
  <si>
    <t>(현금유입이없는수익등차감)(요약현금흐름)</t>
  </si>
  <si>
    <t>법인세추납액(요약손익)</t>
  </si>
  <si>
    <t>회계정책변경누적효과기타(요약자본변동)</t>
  </si>
  <si>
    <t>금융수익(요약현금흐름)</t>
  </si>
  <si>
    <t>퇴직연금운용손실(요약손익)</t>
  </si>
  <si>
    <t>오류수정등기타(요약자본변동)</t>
  </si>
  <si>
    <t>이자수익(비금융요약현금흐름)</t>
  </si>
  <si>
    <t>전기오류수정손실(요약손익)</t>
  </si>
  <si>
    <t>연결범위의변동기타(요약자본변동)</t>
  </si>
  <si>
    <t>배당금수익(요약현금흐름)</t>
  </si>
  <si>
    <t>기타손실기타(요약손익)</t>
  </si>
  <si>
    <t>외화환산차이기타(요약자본변동)</t>
  </si>
  <si>
    <t>대손충당금환입액(비금융요약현금흐름)</t>
  </si>
  <si>
    <t>금융수익(요약손익)</t>
  </si>
  <si>
    <t>기타자본기타(요약자본변동)</t>
  </si>
  <si>
    <t>퇴직급여충당부채환입액(요약현금흐름)</t>
  </si>
  <si>
    <t>이자수익금융(요약손익)</t>
  </si>
  <si>
    <t>기말기타포괄손익누계액(요약자본변동)</t>
  </si>
  <si>
    <t>충당부채환입액(요약현금흐름)</t>
  </si>
  <si>
    <t>배당금수익금융(요약손익)</t>
  </si>
  <si>
    <t>기초기타포괄손익누계액(요약자본변동)</t>
  </si>
  <si>
    <t>외환거래이익(비금융요약현금흐름)</t>
  </si>
  <si>
    <t>외환거래이익금융(요약손익)</t>
  </si>
  <si>
    <t>금융자산평가손익누계(요약자본변동)</t>
  </si>
  <si>
    <t>주식보상비환입(요약현금흐름)</t>
  </si>
  <si>
    <t>대손충당금환입액(요약손익)</t>
  </si>
  <si>
    <t>매도가능금융자산평가손익누계(요약자본변동)</t>
  </si>
  <si>
    <t>재고자산폐기처분이익(요약현금흐름)</t>
  </si>
  <si>
    <t>금융자산처분이익(요약손익)</t>
  </si>
  <si>
    <t>관계기업등기타포괄손익(요약자본변동)</t>
  </si>
  <si>
    <t>매출채권처분이익(요약현금흐름)</t>
  </si>
  <si>
    <t>매출채권처분이익(요약손익)</t>
  </si>
  <si>
    <t>환산관련외환차이적립금환율변동차이누계(요약자본변동)</t>
  </si>
  <si>
    <t>금융자산처분이익(요약현금흐름)</t>
  </si>
  <si>
    <t>금융자산평가이익(요약손익)</t>
  </si>
  <si>
    <t>해외사업장순투자위험회피적립금누계(요약자본변동)</t>
  </si>
  <si>
    <t>자산처분폐기이익(요약현금흐름)</t>
  </si>
  <si>
    <t>파생상품이익금융(요약손익)</t>
  </si>
  <si>
    <t>확정급여제도의보험수리적손익적립금누계(요약자본변동)</t>
  </si>
  <si>
    <t>재고자산감모손실환입(요약현금흐름)</t>
  </si>
  <si>
    <t>금융자산손상차손환입(요약손익)</t>
  </si>
  <si>
    <t>확정급여제도의재측정요소누계(요약자본변동)</t>
  </si>
  <si>
    <t>금융자산평가이익(요약현금흐름)</t>
  </si>
  <si>
    <t>종속기업공동지배기업및관계기업지분법관련이익금융(요약손익)</t>
  </si>
  <si>
    <t>현금흐름위험회피적립금누계(요약자본변동)</t>
  </si>
  <si>
    <t>투자자산평가이익(요약현금흐름)</t>
  </si>
  <si>
    <t>금융부채관련이익금융(요약손익)</t>
  </si>
  <si>
    <t>주식기준보상적립금누계(요약자본변동)</t>
  </si>
  <si>
    <t>자산재평가이익(요약현금흐름)</t>
  </si>
  <si>
    <t>사채상환이익금융(요약손익)</t>
  </si>
  <si>
    <t>재평가잉여금누계(요약자본변동)</t>
  </si>
  <si>
    <t>금융자산손상차손환입(요약현금흐름)</t>
  </si>
  <si>
    <t>기타금융수익(요약손익)</t>
  </si>
  <si>
    <t>합병분할영업양수도등로인한변동누계(요약자본변동)</t>
  </si>
  <si>
    <t>자산손상차손환입(비금융요약현금흐름)</t>
  </si>
  <si>
    <t>금융원가(요약손익)</t>
  </si>
  <si>
    <t>회계정책변경누적효과누계(요약자본변동)</t>
  </si>
  <si>
    <t>파생상품이익(요약현금흐름)</t>
  </si>
  <si>
    <t>이자비용금융(요약손익)</t>
  </si>
  <si>
    <t>오류수정등누계(요약자본변동)</t>
  </si>
  <si>
    <t>지분법관련이익(요약현금흐름)</t>
  </si>
  <si>
    <t>외환거래손실금융(요약손익)</t>
  </si>
  <si>
    <t>연결범위의변동누계(요약자본변동)</t>
  </si>
  <si>
    <t>종속회사관련이익(요약현금흐름)</t>
  </si>
  <si>
    <t>대손상각비금융(요약손익)</t>
  </si>
  <si>
    <t>외화환산차이누계(요약자본변동)</t>
  </si>
  <si>
    <t>관계기업관련손익관계기업의당기순이익에대한지분증가(요약현금흐름)</t>
  </si>
  <si>
    <t>금융자산처분손실(요약손익)</t>
  </si>
  <si>
    <t>기타누계(요약자본변동)</t>
  </si>
  <si>
    <t>금융부채관련이익(요약현금흐름)</t>
  </si>
  <si>
    <t>매출채권처분손실(요약손익)</t>
  </si>
  <si>
    <t>기말이익잉여금결손금(요약자본변동)</t>
  </si>
  <si>
    <t>사채상환이익(요약현금흐름)</t>
  </si>
  <si>
    <t>금융자산평가손실(요약손익)</t>
  </si>
  <si>
    <t>처분후이익잉여금결손금(요약자본변동)</t>
  </si>
  <si>
    <t>채무면제이익(요약현금흐름)</t>
  </si>
  <si>
    <t>파생상품손실금융(요약손익)</t>
  </si>
  <si>
    <t>수정후이익잉여금결손금(요약자본변동)</t>
  </si>
  <si>
    <t>법인세수익(비금융요약현금흐름)</t>
  </si>
  <si>
    <t>금융자산손상차손(요약손익)</t>
  </si>
  <si>
    <t>(연차배당)(요약자본변동)</t>
  </si>
  <si>
    <t>전기오류수정손익차감(비금융요약현금흐름)</t>
  </si>
  <si>
    <t>종속기업공동지배기업및관계기업지분법관련손실금융(요약손익)</t>
  </si>
  <si>
    <t>(신종자본증권분배금)(요약자본변동)</t>
  </si>
  <si>
    <t>보험수리적이익(비금융요약현금흐름)</t>
  </si>
  <si>
    <t>금융부채관련손실금융(요약손익)</t>
  </si>
  <si>
    <t>주식할인발행차금의상각(요약자본변동)</t>
  </si>
  <si>
    <t>기타차감(요약현금흐름)</t>
  </si>
  <si>
    <t>사채상환손실금융(요약손익)</t>
  </si>
  <si>
    <t>자기주식처분손실의상각(요약자본변동)</t>
  </si>
  <si>
    <t>영업활동으로인한자산부채변동운전자본변동(요약현금흐름)</t>
  </si>
  <si>
    <t>기타금융원가(요약손익)</t>
  </si>
  <si>
    <t>결손금처리결손(요약자본변동)</t>
  </si>
  <si>
    <t>자산의감소증가(요약현금흐름)</t>
  </si>
  <si>
    <t>종속기업공동지배기업및관계기업관련손익(요약손익)</t>
  </si>
  <si>
    <t>기타이익잉여금처분액(요약자본변동)</t>
  </si>
  <si>
    <t>부채의증가감소(요약현금흐름)</t>
  </si>
  <si>
    <t>지분법관련손익(요약손익)</t>
  </si>
  <si>
    <t>(중간배당)결손(요약자본변동)</t>
  </si>
  <si>
    <t>정부보조금등의변동영업(요약현금흐름)</t>
  </si>
  <si>
    <t>관계기업관련손익(요약손익)</t>
  </si>
  <si>
    <t>확정급여제도의재측정요소결손(요약자본변동)</t>
  </si>
  <si>
    <t>기타운전자본의변동(요약현금흐름)</t>
  </si>
  <si>
    <t>종속기업관련손익(요약손익)</t>
  </si>
  <si>
    <t>기타포괄손익(요약자본변동)</t>
  </si>
  <si>
    <t>영업에서창출된현금흐름(요약현금흐름)</t>
  </si>
  <si>
    <t>기타종속(요약손익)</t>
  </si>
  <si>
    <t>당기순이익총포괄손익결손(요약자본변동)</t>
  </si>
  <si>
    <t>이자수입영업(요약현금흐름)</t>
  </si>
  <si>
    <t>법인세비용차감전순이익손실(요약손익)</t>
  </si>
  <si>
    <t>보험수리적손익(요약자본변동)</t>
  </si>
  <si>
    <t>이자지급영업(요약현금흐름)</t>
  </si>
  <si>
    <t>법인세비용(요약손익)</t>
  </si>
  <si>
    <t>재평가손익(요약자본변동)</t>
  </si>
  <si>
    <t>배당금수입영업(요약현금흐름)</t>
  </si>
  <si>
    <t>계속영업이익손실(요약손익)</t>
  </si>
  <si>
    <t>지분법이익잉여금(요약자본변동)</t>
  </si>
  <si>
    <t>배당금지급영업(요약현금흐름)</t>
  </si>
  <si>
    <t>중단영업이익손실(요약손익)</t>
  </si>
  <si>
    <t>합병분할영업양수도등로인한변동결손(요약자본변동)</t>
  </si>
  <si>
    <t>법인세환입영업(요약현금흐름)</t>
  </si>
  <si>
    <t>중단영업손익법인세효과(요약손익)</t>
  </si>
  <si>
    <t>연결범위의변동결손(요약자본변동)</t>
  </si>
  <si>
    <t>법인세납부영업(요약현금흐름)</t>
  </si>
  <si>
    <t>당기순이익손실(요약손익)</t>
  </si>
  <si>
    <t>외화환산차이결손(요약자본변동)</t>
  </si>
  <si>
    <t>중단영업관련현금흐름영업(요약현금흐름)</t>
  </si>
  <si>
    <t>기타포괄손익(요약손익)</t>
  </si>
  <si>
    <t>기타결손(요약자본변동)</t>
  </si>
  <si>
    <t>투자활동으로인한현금흐름(요약현금흐름)</t>
  </si>
  <si>
    <t>총포괄손익(요약손익)</t>
  </si>
  <si>
    <t>기말비지배주주지분(요약자본변동)</t>
  </si>
  <si>
    <t>투자활동으로인한현금유입액(요약현금흐름)</t>
  </si>
  <si>
    <t>당기순손익귀속지배기업주주지분(요약손익)</t>
  </si>
  <si>
    <t>처분후비지배주주지분(요약자본변동)</t>
  </si>
  <si>
    <t>유동금융자산의감소(요약현금흐름)</t>
  </si>
  <si>
    <t>계속영업손익귀속지배기업주주지분(요약손익)</t>
  </si>
  <si>
    <t>수정후비지배주주지분(요약자본변동)</t>
  </si>
  <si>
    <t>당기손익인식지정금융자산의감소(비금융요약현금흐름)</t>
  </si>
  <si>
    <t>중단영업손익귀속지배기업주주지분(요약손익)</t>
  </si>
  <si>
    <t>(종속회사의배당금)(요약자본변동)</t>
  </si>
  <si>
    <t>리스자산의감소(비금융요약현금흐름)</t>
  </si>
  <si>
    <t>당기순손익귀속비지배주주지분(요약손익)</t>
  </si>
  <si>
    <t>당기순이익총포괄손익비지배(요약자본변동)</t>
  </si>
  <si>
    <t>리스채권의감소(요약현금흐름)</t>
  </si>
  <si>
    <t>계속영업손익귀속비지배기업주주지분(요약손익)</t>
  </si>
  <si>
    <t>재평가잉여금비지배(요약자본변동)</t>
  </si>
  <si>
    <t>장기금융상품의감소(요약현금흐름)</t>
  </si>
  <si>
    <t>중단영업손익귀속비지배기업주주지분(요약손익)</t>
  </si>
  <si>
    <t>매도가능금융자산평가손익비지배(요약자본변동)</t>
  </si>
  <si>
    <t>매도가능금융자산의감소(비금융요약현금흐름)</t>
  </si>
  <si>
    <t>총포괄손익귀속지배기업주주지분(요약손익)</t>
  </si>
  <si>
    <t>관계기업등지분법평가손익(요약자본변동)</t>
  </si>
  <si>
    <t>만기보유금융자산의감소(비금융요약현금흐름)</t>
  </si>
  <si>
    <t>총포괄손익귀속비지배주주지분(요약손익)</t>
  </si>
  <si>
    <t>환산관련외환차이적립금환율변동차이비지배(요약자본변동)</t>
  </si>
  <si>
    <t>장기대여금의감소(요약현금흐름)</t>
  </si>
  <si>
    <t>해외사업장순투자위험회피적립금비지배(요약자본변동)</t>
  </si>
  <si>
    <t>파생상품의변동투자유입(비금융요약현금흐름)</t>
  </si>
  <si>
    <t>확정급여제도의보험수리적손익적립금비지배(요약자본변동)</t>
  </si>
  <si>
    <t>기타비유동금융자산의감소(요약현금흐름)</t>
  </si>
  <si>
    <t>확정급여제도의재측정요소비지배(요약자본변동)</t>
  </si>
  <si>
    <t>관계기업등지분관련투자자산의감소(요약현금흐름)</t>
  </si>
  <si>
    <t>퇴직급여자산의감소(비금융요약현금흐름)</t>
  </si>
  <si>
    <t>주식기준보상적립금비지배(요약자본변동)</t>
  </si>
  <si>
    <t>생물자산의감소(요약현금흐름)</t>
  </si>
  <si>
    <t>기타포괄손익누계액(요약자본변동)</t>
  </si>
  <si>
    <t>투자부동산의감소(비금융요약현금흐름)</t>
  </si>
  <si>
    <t>합병분할로인한변동(요약자본변동)</t>
  </si>
  <si>
    <t>유형자산의감소(비금융요약현금흐름)</t>
  </si>
  <si>
    <t>연결범위의변동비지배(요약자본변동)</t>
  </si>
  <si>
    <t>무형자산의감소(비금융요약현금흐름)</t>
  </si>
  <si>
    <t>기타비지배(요약자본변동)</t>
  </si>
  <si>
    <t>선급금등의감소(요약현금흐름)</t>
  </si>
  <si>
    <t>합계(요약자본변동)</t>
  </si>
  <si>
    <t>미수금의감소(비금융요약현금흐름)</t>
  </si>
  <si>
    <t>기타유동자산의감소(요약현금흐름)</t>
  </si>
  <si>
    <t>보증금등의감소투자유입(요약현금흐름)</t>
  </si>
  <si>
    <t>기타비유동자산의감소(요약현금흐름)</t>
  </si>
  <si>
    <t>처분자산집단의감소(요약현금흐름)</t>
  </si>
  <si>
    <t>기타금융업자산의감소(비금융요약현금흐름)</t>
  </si>
  <si>
    <t>매각예정비유동자산의감소(요약현금흐름)</t>
  </si>
  <si>
    <t>정부보조금등의변동투자유입(비금융요약현금흐름)</t>
  </si>
  <si>
    <t>종속기업및기타사업의지배력관련한현금흐름투자유입(비금융요약현금흐름)</t>
  </si>
  <si>
    <t>합병분할양수도등으로인한현금유입액투자유입(요약현금흐름)</t>
  </si>
  <si>
    <t>기타투자활동으로인한현금유입액(요약현금흐름)</t>
  </si>
  <si>
    <t>(투자활동으로인한현금유출액)(요약현금흐름)</t>
  </si>
  <si>
    <t>유동금융자산의증가(요약현금흐름)</t>
  </si>
  <si>
    <t>당기손익인식지정금융자산의증가(비금융요약현금흐름)</t>
  </si>
  <si>
    <t>리스자산의증가(비금융요약현금흐름)</t>
  </si>
  <si>
    <t>리스채권의증가(요약현금흐름)</t>
  </si>
  <si>
    <t>장기금융상품의증가(요약현금흐름)</t>
  </si>
  <si>
    <t>매도가능금융자산의증가(비금융요약현금흐름)</t>
  </si>
  <si>
    <t>만기보유금융자산의증가(비금융요약현금흐름)</t>
  </si>
  <si>
    <t>장기대여금의증가(요약현금흐름)</t>
  </si>
  <si>
    <t>파생상품의변동투자유출(비금융요약현금흐름)</t>
  </si>
  <si>
    <t>기타비유동금융자산의증가(요약현금흐름)</t>
  </si>
  <si>
    <t>관계기업등지분관련투자자산의증가(요약현금흐름)</t>
  </si>
  <si>
    <t>퇴직급여자산의증가(비금융요약현금흐름)</t>
  </si>
  <si>
    <t>생물자산의증가(요약현금흐름)</t>
  </si>
  <si>
    <t>투자부동산의증가(비금융요약현금흐름)</t>
  </si>
  <si>
    <t>유형자산의증가(비금융요약현금흐름)</t>
  </si>
  <si>
    <t>무형자산의증가(비금융요약현금흐름)</t>
  </si>
  <si>
    <t>선급금등의증가(요약현금흐름)</t>
  </si>
  <si>
    <t>미수금의증가(비금융요약현금흐름)</t>
  </si>
  <si>
    <t>기타유동자산의증가(요약현금흐름)</t>
  </si>
  <si>
    <t>보증금등의증가투자유출(요약현금흐름)</t>
  </si>
  <si>
    <t>기타비유동자산의증가(요약현금흐름)</t>
  </si>
  <si>
    <t>처분자산집단의증가(요약현금흐름)</t>
  </si>
  <si>
    <t>기타금융업자산의증가(비금융요약현금흐름)</t>
  </si>
  <si>
    <t>매각예정비유동자산의증가(요약현금흐름)</t>
  </si>
  <si>
    <t>정부보조금등의변동투자유출(비금융요약현금흐름)</t>
  </si>
  <si>
    <t>종속기업및기타사업의지배력관련한현금흐름투자유출(비금융요약현금흐름)</t>
  </si>
  <si>
    <t>합병분할양수도등으로인한현금유출액투자유출(요약현금흐름)</t>
  </si>
  <si>
    <t>기타투자활동으로인한현금유출액(요약현금흐름)</t>
  </si>
  <si>
    <t>이자수입투자(요약현금흐름)</t>
  </si>
  <si>
    <t>이자지급투자(요약현금흐름)</t>
  </si>
  <si>
    <t>배당금수입투자(요약현금흐름)</t>
  </si>
  <si>
    <t>배당금지급투자(요약현금흐름)</t>
  </si>
  <si>
    <t>법인세납부투자(요약현금흐름)</t>
  </si>
  <si>
    <t>중단영업관련현금흐름투자(요약현금흐름)</t>
  </si>
  <si>
    <t>재무활동으로인한현금흐름(요약현금흐름)</t>
  </si>
  <si>
    <t>재무활동으로인한현금유입액(요약현금흐름)</t>
  </si>
  <si>
    <t>단기사채의증가(요약현금흐름)</t>
  </si>
  <si>
    <t>단기차입금의증가(요약현금흐름)</t>
  </si>
  <si>
    <t>당좌차월의증가(요약현금흐름)</t>
  </si>
  <si>
    <t>유동성사채의증가(요약현금흐름)</t>
  </si>
  <si>
    <t>유동성장기차입금의증가(요약현금흐름)</t>
  </si>
  <si>
    <t>유동성유동화채무의증가(요약현금흐름)</t>
  </si>
  <si>
    <t>기타유동성장기부채의증가(요약현금흐름)</t>
  </si>
  <si>
    <t>미지급금의증가(비금융요약현금흐름)</t>
  </si>
  <si>
    <t>장기사채의증가(요약현금흐름)</t>
  </si>
  <si>
    <t>장기차입금의증가(요약현금흐름)</t>
  </si>
  <si>
    <t>장기미지급금의증가(요약현금흐름)</t>
  </si>
  <si>
    <t>유동화채무의증가(요약현금흐름)</t>
  </si>
  <si>
    <t>상환우선주부채의증가(요약현금흐름)</t>
  </si>
  <si>
    <t>파생상품의변동재무유입(비금융요약현금흐름)</t>
  </si>
  <si>
    <t>금융리스부채의증가(요약현금흐름)</t>
  </si>
  <si>
    <t>보증금등의증가재무유입(요약현금흐름)</t>
  </si>
  <si>
    <t>기타금융부채의증가(요약현금흐름)</t>
  </si>
  <si>
    <t>기타부채의증가(비금융요약현금흐름)</t>
  </si>
  <si>
    <t>유상증자(비금융요약현금흐름)</t>
  </si>
  <si>
    <t>자본금의증가(비금융요약현금흐름)</t>
  </si>
  <si>
    <t>자본잉여금의증가(비금융요약현금흐름)</t>
  </si>
  <si>
    <t>종속회사의증자등(비금융요약현금흐름)</t>
  </si>
  <si>
    <t>이익잉여금의증가(비금융요약현금흐름)</t>
  </si>
  <si>
    <t>자기주식의처분(비금융요약현금흐름)</t>
  </si>
  <si>
    <t>주식매입선택권의행사(비금융요약현금흐름)</t>
  </si>
  <si>
    <t>연결자본거래로인한현금유입액(비금융요약현금흐름)</t>
  </si>
  <si>
    <t>종속기업소유지분변동에따른현금흐름재무유입(비금융요약현금흐름)</t>
  </si>
  <si>
    <t>비지배주주지분의증가(비금융요약현금흐름)</t>
  </si>
  <si>
    <t>정부보조금등의변동재무유입(비금융요약현금흐름)</t>
  </si>
  <si>
    <t>합병분할양수도등으로인한현금유입액재무유입(요약현금흐름)</t>
  </si>
  <si>
    <t>기타재무활동으로인한현금유입액(요약현금흐름)</t>
  </si>
  <si>
    <t>(재무활동으로인한현금유출액)(요약현금흐름)</t>
  </si>
  <si>
    <t>단기사채의감소(요약현금흐름)</t>
  </si>
  <si>
    <t>단기차입금의감소(요약현금흐름)</t>
  </si>
  <si>
    <t>당좌차월의감소(요약현금흐름)</t>
  </si>
  <si>
    <t>유동성사채의감소(요약현금흐름)</t>
  </si>
  <si>
    <t>유동성장기차입금의감소(요약현금흐름)</t>
  </si>
  <si>
    <t>유동성유동화채무의감소(요약현금흐름)</t>
  </si>
  <si>
    <t>기타유동성장기부채의감소(요약현금흐름)</t>
  </si>
  <si>
    <t>미지급금의감소(비금융요약현금흐름)</t>
  </si>
  <si>
    <t>장기사채의감소(요약현금흐름)</t>
  </si>
  <si>
    <t>장기차입금의감소(요약현금흐름)</t>
  </si>
  <si>
    <t>장기미지급금의감소(요약현금흐름)</t>
  </si>
  <si>
    <t>유동화채무의감소(요약현금흐름)</t>
  </si>
  <si>
    <t>상환우선주부채의감소(요약현금흐름)</t>
  </si>
  <si>
    <t>파생상품의변동재무유출(비금융요약현금흐름)</t>
  </si>
  <si>
    <t>금융리스부채의감소(요약현금흐름)</t>
  </si>
  <si>
    <t>보증금등의감소재무유출(요약현금흐름)</t>
  </si>
  <si>
    <t>기타금융부채의감소(요약현금흐름)</t>
  </si>
  <si>
    <t>기타부채의감소(비금융요약현금흐름)</t>
  </si>
  <si>
    <t>유상감자(비금융요약현금흐름)</t>
  </si>
  <si>
    <t>자본금의감소(비금융요약현금흐름)</t>
  </si>
  <si>
    <t>자본잉여금의감소(비금융요약현금흐름)</t>
  </si>
  <si>
    <t>종속회사의감자등(비금융요약현금흐름)</t>
  </si>
  <si>
    <t>이익잉여금의감소(비금융요약현금흐름)</t>
  </si>
  <si>
    <t>자기주식의취득(비금융요약현금흐름)</t>
  </si>
  <si>
    <t>연결자본거래로인한현금유출액(비금융요약현금흐름)</t>
  </si>
  <si>
    <t>종속기업소유지분변동에따른현금흐름재무유출(비금융요약현금흐름)</t>
  </si>
  <si>
    <t>비지배주주지분의감소(비금융요약현금흐름)</t>
  </si>
  <si>
    <t>정부보조금등의변동재무유출(비금융요약현금흐름)</t>
  </si>
  <si>
    <t>환율변동으로인한차이조정재무유출(비금융요약현금흐름)</t>
  </si>
  <si>
    <t>합병분할양수도등으로인한현금유출액재무유출(요약현금흐름)</t>
  </si>
  <si>
    <t>기타재무활동으로인한현금유출액(요약현금흐름)</t>
  </si>
  <si>
    <t>이자수입재무(요약현금흐름)</t>
  </si>
  <si>
    <t>이자지급재무(요약현금흐름)</t>
  </si>
  <si>
    <t>배당금수입재무(요약현금흐름)</t>
  </si>
  <si>
    <t>배당금지급재무(요약현금흐름)</t>
  </si>
  <si>
    <t>법인세납부재무(요약현금흐름)</t>
  </si>
  <si>
    <t>중단영업관련현금흐름재무(요약현금흐름)</t>
  </si>
  <si>
    <t>영업투자재무활동기타현금흐름(요약현금흐름)</t>
  </si>
  <si>
    <t>연결범위변동으로인한현금의증가(요약현금흐름)</t>
  </si>
  <si>
    <t>환율변동효과(요약현금흐름)</t>
  </si>
  <si>
    <t>현금및현금성자산의증가(요약현금흐름)</t>
  </si>
  <si>
    <t>기초현금및현금성자산(요약현금흐름)</t>
  </si>
  <si>
    <t>기말현금및현금성자산(요약현금흐름)</t>
  </si>
  <si>
    <t>리스사용권자산(요약재무)</t>
  </si>
  <si>
    <t>비지배주주지분초과손실액(요약재무)</t>
  </si>
  <si>
    <t>리스부채(요약재무)</t>
  </si>
  <si>
    <t>유동성리스부채(요약재무)</t>
  </si>
  <si>
    <t>현금흐름위험회피적립금비지배(요약자본변동)</t>
  </si>
  <si>
    <t>자산(표준재무)</t>
  </si>
  <si>
    <t>순자산(표준재무)</t>
  </si>
  <si>
    <t>비유동자산(표준재무)</t>
  </si>
  <si>
    <t>유형자산(비금융표준재무)</t>
  </si>
  <si>
    <t>토지(비금융표준재무)</t>
  </si>
  <si>
    <t>(손상차손누계액)토지(비금융표준재무)</t>
  </si>
  <si>
    <t>(정부보조금등)토지(표준재무)</t>
  </si>
  <si>
    <t>건물및부속설비(비금융표준재무)</t>
  </si>
  <si>
    <t>(감가상각누계액)건물및부속설비(비금융표준재무)</t>
  </si>
  <si>
    <t>(손상차손누계액)건물및부속설비(비금융표준재무)</t>
  </si>
  <si>
    <t>(정부보조금등)건물및부속설비(표준재무)</t>
  </si>
  <si>
    <t>구축물(표준재무)</t>
  </si>
  <si>
    <t>(감가상각누계액)구축물(표준재무)</t>
  </si>
  <si>
    <t>(손상차손누계액)구축물(표준재무)</t>
  </si>
  <si>
    <t>(정부보조금등)구축물(표준재무)</t>
  </si>
  <si>
    <t>기계장치(표준재무)</t>
  </si>
  <si>
    <t>(감가상각누계액)기계장치(표준재무)</t>
  </si>
  <si>
    <t>(손상차손누계액)기계장치(표준재무)</t>
  </si>
  <si>
    <t>(정부보조금등)기계장치(표준재무)</t>
  </si>
  <si>
    <t>중장비(표준재무)</t>
  </si>
  <si>
    <t>(감가상각누계액)중장비(표준재무)</t>
  </si>
  <si>
    <t>(손상차손누계액)중장비(표준재무)</t>
  </si>
  <si>
    <t>(정부보조금등)중장비(표준재무)</t>
  </si>
  <si>
    <t>시설장치(표준재무)</t>
  </si>
  <si>
    <t>(감가상각누계액)시설장치(표준재무)</t>
  </si>
  <si>
    <t>(손상차손누계액)시설장치(표준재무)</t>
  </si>
  <si>
    <t>(정부보조금등)시설장치(표준재무)</t>
  </si>
  <si>
    <t>제설비(표준재무)</t>
  </si>
  <si>
    <t>(감가상각누계액)제설비(표준재무)</t>
  </si>
  <si>
    <t>(손상차손누계액)제설비(표준재무)</t>
  </si>
  <si>
    <t>(정부보조금등)제설비(표준재무)</t>
  </si>
  <si>
    <t>미착자산(표준재무)</t>
  </si>
  <si>
    <t>(감가상각누계액)미착자산(표준재무)</t>
  </si>
  <si>
    <t>(정부보조금등)미착자산(표준재무)</t>
  </si>
  <si>
    <t>차량운반구(비금융표준재무)</t>
  </si>
  <si>
    <t>(감가상각누계액)차량운반구(비금융표준재무)</t>
  </si>
  <si>
    <t>(손상차손누계액)차량운반구(비금융표준재무)</t>
  </si>
  <si>
    <t>(정부보조금등)차량운반구(표준재무)</t>
  </si>
  <si>
    <t>선박(표준재무)</t>
  </si>
  <si>
    <t>(감가상각누계액)선박(표준재무)</t>
  </si>
  <si>
    <t>(손상차손누계액)선박(표준재무)</t>
  </si>
  <si>
    <t>항공기(표준재무)</t>
  </si>
  <si>
    <t>(감가상각누계액)항공기(표준재무)</t>
  </si>
  <si>
    <t>(손상차손누계액)항공기(표준재무)</t>
  </si>
  <si>
    <t>(정부보조금등)항공기(표준재무)</t>
  </si>
  <si>
    <t>공구기구비품(비금융표준재무)</t>
  </si>
  <si>
    <t>(감가상각누계액)공구기구비품(비금융표준재무)</t>
  </si>
  <si>
    <t>(손상차손누계액)공구기구비품(비금융표준재무)</t>
  </si>
  <si>
    <t>(정부보조금등)공구기구비품(표준재무)</t>
  </si>
  <si>
    <t>리스자산(표준재무)</t>
  </si>
  <si>
    <t>(감가상각누계액)리스자산(표준재무)</t>
  </si>
  <si>
    <t>(손상차손누계액)리스자산(표준재무)</t>
  </si>
  <si>
    <t>(정부보조금등)리스자산(표준재무)</t>
  </si>
  <si>
    <t>리스개량자산(표준재무)</t>
  </si>
  <si>
    <t>(감가상각누계액)리스개량자산(표준재무)</t>
  </si>
  <si>
    <t>(손상차손누계액)리스개량자산(표준재무)</t>
  </si>
  <si>
    <t>(정부보조금등)리스개량자산(표준재무)</t>
  </si>
  <si>
    <t>임대주택자산(표준재무)</t>
  </si>
  <si>
    <t>(감가상각누계액)임대주택자산(표준재무)</t>
  </si>
  <si>
    <t>(손상차손누계액)임대주택자산(표준재무)</t>
  </si>
  <si>
    <t>(정부보조금등)임대주택자산(표준재무)</t>
  </si>
  <si>
    <t>임차개량자산(표준재무)</t>
  </si>
  <si>
    <t>(감가상각누계액)임차개량자산(표준재무)</t>
  </si>
  <si>
    <t>(손상차손누계액)임차개량자산(표준재무)</t>
  </si>
  <si>
    <t>(정부보조금등)임차개량자산(표준재무)</t>
  </si>
  <si>
    <t>건설중인자산(비금융표준재무)</t>
  </si>
  <si>
    <t>(손상차손누계액)건설중인자산(비금융표준재무)</t>
  </si>
  <si>
    <t>(정부보조금등)건설중인자산(표준재무)</t>
  </si>
  <si>
    <t>유형탐사평가자산(표준재무)</t>
  </si>
  <si>
    <t>(감가상각누계액)유형탐사평가자산(표준재무)</t>
  </si>
  <si>
    <t>(손상차손누계액)유형탐사평가자산(표준재무)</t>
  </si>
  <si>
    <t>임대주택용지(표준재무)</t>
  </si>
  <si>
    <t>미완성임대주택(표준재무)</t>
  </si>
  <si>
    <t>임대주택토지(표준재무)</t>
  </si>
  <si>
    <t>기타임대주택자산(표준재무)</t>
  </si>
  <si>
    <t>기타유형자산(비금융표준재무)</t>
  </si>
  <si>
    <t>(감가상각누계액)기타유형자산(비금융표준재무)</t>
  </si>
  <si>
    <t>(손상차손누계액)기타유형자산(비금융표준재무)</t>
  </si>
  <si>
    <t>(정부보조금등)기타유형자산(표준재무)</t>
  </si>
  <si>
    <t>투자부동산(비금융표준재무)</t>
  </si>
  <si>
    <t>토지투자부동산(비금융표준재무)</t>
  </si>
  <si>
    <t>(손상차손누계액)토지투자부동산(표준재무)</t>
  </si>
  <si>
    <t>(정부보조금등)토지투자부동산(표준재무)</t>
  </si>
  <si>
    <t>건물(비금융표준재무)</t>
  </si>
  <si>
    <t>(감가상각누계액)건물(비금융표준재무)</t>
  </si>
  <si>
    <t>(손상차손누계액)건물(비금융표준재무)</t>
  </si>
  <si>
    <t>(정부보조금등)건물(표준재무)</t>
  </si>
  <si>
    <t>기타투자부동산(비금융표준재무)</t>
  </si>
  <si>
    <t>(감가상각누계액)기타투자부동산(비금융표준재무)</t>
  </si>
  <si>
    <t>(손상차손누계액)기타투자부동산(표준재무)</t>
  </si>
  <si>
    <t>(정부보조금등)기타투자부동산(표준재무)</t>
  </si>
  <si>
    <t>영업권(비금융표준재무)</t>
  </si>
  <si>
    <t>(손상차손누계액)영업권(비금융표준재무)</t>
  </si>
  <si>
    <t>(정부보조금등)영업권(비금융표준재무)</t>
  </si>
  <si>
    <t>무형자산(비금융표준재무)</t>
  </si>
  <si>
    <t>개발비(비금융표준재무)</t>
  </si>
  <si>
    <t>(상각누계액)개발비(표준재무)</t>
  </si>
  <si>
    <t>(손상차손누계액)개발비(표준재무)</t>
  </si>
  <si>
    <t>(정부보조금등)개발비(표준재무)</t>
  </si>
  <si>
    <t>특허권(표준재무)</t>
  </si>
  <si>
    <t>(상각누계액)특허권(표준재무)</t>
  </si>
  <si>
    <t>(손상차손누계액)특허권(표준재무)</t>
  </si>
  <si>
    <t>(정부보조금등)특허권(표준재무)</t>
  </si>
  <si>
    <t>기타산업재산권(표준재무)</t>
  </si>
  <si>
    <t>(상각누계액)기타산업재산권(표준재무)</t>
  </si>
  <si>
    <t>(손상차손누계액)기타산업재산권(표준재무)</t>
  </si>
  <si>
    <t>(정부보조금등)기타산업재산권(표준재무)</t>
  </si>
  <si>
    <t>컴퓨터소프트웨어(비금융표준재무)</t>
  </si>
  <si>
    <t>(상각누계액)컴퓨터소프트웨어(표준재무)</t>
  </si>
  <si>
    <t>(손상차손누계액)컴퓨터소프트웨어(표준재무)</t>
  </si>
  <si>
    <t>(정부보조금등)컴퓨터소프트웨어(표준재무)</t>
  </si>
  <si>
    <t>브랜드(표준재무)</t>
  </si>
  <si>
    <t>(상각누계액)브랜드(표준재무)</t>
  </si>
  <si>
    <t>(손상차손누계액)브랜드(표준재무)</t>
  </si>
  <si>
    <t>라이선스와프랜차이즈(표준재무)</t>
  </si>
  <si>
    <t>(상각누계액)라이선스와프랜차이즈(표준재무)</t>
  </si>
  <si>
    <t>(손상차손누계액)라이선스와프랜차이즈(표준재무)</t>
  </si>
  <si>
    <t>(정부보조금등)라이선스와프랜차이즈(표준재무)</t>
  </si>
  <si>
    <t>저작권(표준재무)</t>
  </si>
  <si>
    <t>(상각누계액)저작권(표준재무)</t>
  </si>
  <si>
    <t>(손상차손누계액)저작권(표준재무)</t>
  </si>
  <si>
    <t>(정부보조금등)저작권(표준재무)</t>
  </si>
  <si>
    <t>회원권(비금융표준재무)</t>
  </si>
  <si>
    <t>(상각누계액)회원권(표준재무)</t>
  </si>
  <si>
    <t>(손상차손누계액)회원권(표준재무)</t>
  </si>
  <si>
    <t>(정부보조금등)회원권(표준재무)</t>
  </si>
  <si>
    <t>제이용권사용권(표준재무)</t>
  </si>
  <si>
    <t>(상각누계액)제이용권사용권(표준재무)</t>
  </si>
  <si>
    <t>(손상차손누계액)제이용권사용권(표준재무)</t>
  </si>
  <si>
    <t>(정부보조금등)제이용권사용권(표준재무)</t>
  </si>
  <si>
    <t>개발중인무형자산(표준재무)</t>
  </si>
  <si>
    <t>(손상차손누계액)개발중인무형자산(표준재무)</t>
  </si>
  <si>
    <t>(정부보조금등)개발중인무형자산(표준재무)</t>
  </si>
  <si>
    <t>무형탐사평가자산(표준재무)</t>
  </si>
  <si>
    <t>(상각누계액)무형탐사평가자산(표준재무)</t>
  </si>
  <si>
    <t>(손상차손누계액)무형탐사평가자산(표준재무)</t>
  </si>
  <si>
    <t>(정부보조금등)무형탐사평가자산(표준재무)</t>
  </si>
  <si>
    <t>제호와출판표제(표준재무)</t>
  </si>
  <si>
    <t>조리법공식모형설계및시제품(표준재무)</t>
  </si>
  <si>
    <t>(상각누계액)조리법공식모형설계및시제품(표준재무)</t>
  </si>
  <si>
    <t>배출권자산(표준재무)</t>
  </si>
  <si>
    <t>(정부보조금등)배출권자산(표준재무)</t>
  </si>
  <si>
    <t>기타무형자산(비금융표준재무)</t>
  </si>
  <si>
    <t>(상각누계액)기타무형자산(표준재무)</t>
  </si>
  <si>
    <t>(손상차손누계액)기타무형자산(표준재무)</t>
  </si>
  <si>
    <t>(정부보조금등)기타무형자산(표준재무)</t>
  </si>
  <si>
    <t>비유동생물자산(표준재무)</t>
  </si>
  <si>
    <t>식물조림비유동(표준재무)</t>
  </si>
  <si>
    <t>축산물비유동(표준재무)</t>
  </si>
  <si>
    <t>(상각누계액)축산물비유동(표준재무)</t>
  </si>
  <si>
    <t>기타생물자산비유동(표준재무)</t>
  </si>
  <si>
    <t>(상각누계액)기타생물자산비유동(표준재무)</t>
  </si>
  <si>
    <t>관계기업등지분관련투자자산(비금융표준재무)</t>
  </si>
  <si>
    <t>관계기업투자지분법적용투자(비금융표준재무)</t>
  </si>
  <si>
    <t>종속기업투자(비금융표준재무)</t>
  </si>
  <si>
    <t>조인트벤처투자공동기업투자(비금융표준재무)</t>
  </si>
  <si>
    <t>기타관계기업등지분관련투자자산(비금융표준재무)</t>
  </si>
  <si>
    <t>매도가능금융자산(비금융표준재무)</t>
  </si>
  <si>
    <t>주식(표준재무)</t>
  </si>
  <si>
    <t>채권(표준재무)</t>
  </si>
  <si>
    <t>출자금(표준재무)</t>
  </si>
  <si>
    <t>특수관계자유가증권(표준재무)</t>
  </si>
  <si>
    <t>외화증권(표준재무)</t>
  </si>
  <si>
    <t>수익증권(표준재무)</t>
  </si>
  <si>
    <t>기타장기매도가능금융자산(표준재무)</t>
  </si>
  <si>
    <t>만기보유금융자산(비금융표준재무)</t>
  </si>
  <si>
    <t>국공채(표준재무)</t>
  </si>
  <si>
    <t>특수채(표준재무)</t>
  </si>
  <si>
    <t>회사채(표준재무)</t>
  </si>
  <si>
    <t>후순위채(표준재무)</t>
  </si>
  <si>
    <t>기타장기만기보유금융자산(표준재무)</t>
  </si>
  <si>
    <t>당기손익공정가치측정금융자산비유동(표준재무)</t>
  </si>
  <si>
    <t>기타포괄손익공정가치측정금융자산비유동(표준재무)</t>
  </si>
  <si>
    <t>상각후원가측정유가증권비유동(표준재무)</t>
  </si>
  <si>
    <t>상각후원가측정금융자산비유동(표준재무)</t>
  </si>
  <si>
    <t>기타비유동금융자산(표준재무)</t>
  </si>
  <si>
    <t>장기당기손익인식금융자산(표준재무)</t>
  </si>
  <si>
    <t>장기금융상품금융기관예치금(표준재무)</t>
  </si>
  <si>
    <t>(정부보조금등)장기금융상품금융기관예치금(표준재무)</t>
  </si>
  <si>
    <t>장기대여금(표준재무)</t>
  </si>
  <si>
    <t>(대손충당금)장기대여금(표준재무)</t>
  </si>
  <si>
    <t>(현재가치할인차금)장기대여금(표준재무)</t>
  </si>
  <si>
    <t>특수관계자장기대여금(표준재무)</t>
  </si>
  <si>
    <t>주임종장기대여금(표준재무)</t>
  </si>
  <si>
    <t>장기파생상품자산(표준재무)</t>
  </si>
  <si>
    <t>옵션비유동자산(표준재무)</t>
  </si>
  <si>
    <t>선물비유동자산(표준재무)</t>
  </si>
  <si>
    <t>선도비유동자산(표준재무)</t>
  </si>
  <si>
    <t>스왑비유동자산(표준재무)</t>
  </si>
  <si>
    <t>기타장기파생상품(표준재무)</t>
  </si>
  <si>
    <t>신주인수권(표준재무)</t>
  </si>
  <si>
    <t>지급금융보증계약자산비유동(표준재무)</t>
  </si>
  <si>
    <t>(대손충당금)지급금융보증계약자산비유동(표준재무)</t>
  </si>
  <si>
    <t>(현재가치할인차금)지급금융보증계약자산비유동(표준재무)</t>
  </si>
  <si>
    <t>보증금비유동자산(표준재무)</t>
  </si>
  <si>
    <t>(대손충당금)보증금비유동자산(표준재무)</t>
  </si>
  <si>
    <t>(현재가치할인차금)보증금비유동자산(표준재무)</t>
  </si>
  <si>
    <t>기타비유동금융자산기타(표준재무)</t>
  </si>
  <si>
    <t>(대손충당금)기타비유동금융자산기타(표준재무)</t>
  </si>
  <si>
    <t>(현재가치할인차금)기타비유동금융자산기타(표준재무)</t>
  </si>
  <si>
    <t>장기매출채권및기타비유동채권(표준재무)</t>
  </si>
  <si>
    <t>장기매출채권(표준재무)</t>
  </si>
  <si>
    <t>(대손충당금)장기매출채권(표준재무)</t>
  </si>
  <si>
    <t>(현재가치할인차금)장기매출채권(표준재무)</t>
  </si>
  <si>
    <t>특수관계자장기매출채권(표준재무)</t>
  </si>
  <si>
    <t>장기공사미수금(표준재무)</t>
  </si>
  <si>
    <t>(대손충당금)장기공사미수금(표준재무)</t>
  </si>
  <si>
    <t>(현재가치할인차금)장기공사미수금(표준재무)</t>
  </si>
  <si>
    <t>장기분양미수금(표준재무)</t>
  </si>
  <si>
    <t>장기미수금(표준재무)</t>
  </si>
  <si>
    <t>(대손충당금)장기미수금(표준재무)</t>
  </si>
  <si>
    <t>(현재가치할인차금)장기미수금(표준재무)</t>
  </si>
  <si>
    <t>특수관계자장기미수금(표준재무)</t>
  </si>
  <si>
    <t>장기임대미수금(표준재무)</t>
  </si>
  <si>
    <t>(대손충당금)장기임대미수금(표준재무)</t>
  </si>
  <si>
    <t>(현재가치할인차금)장기임대미수금(표준재무)</t>
  </si>
  <si>
    <t>장기미청구공사(표준재무)</t>
  </si>
  <si>
    <t>(추정공사손실)장기미청구공사(표준재무)</t>
  </si>
  <si>
    <t>(대손충당금)장기미청구공사(표준재무)</t>
  </si>
  <si>
    <t>(현재가치할인차금)장기미청구공사(표준재무)</t>
  </si>
  <si>
    <t>장기대출채권(표준재무)</t>
  </si>
  <si>
    <t>(대손충당금)장기대출채권(표준재무)</t>
  </si>
  <si>
    <t>장기미수수익(표준재무)</t>
  </si>
  <si>
    <t>(대손충당금)장기미수수익(표준재무)</t>
  </si>
  <si>
    <t>(현재가치할인차금)장기미수수익(표준재무)</t>
  </si>
  <si>
    <t>장기보증금매출채권(표준재무)</t>
  </si>
  <si>
    <t>(대손충당금)장기보증금매출채권(표준재무)</t>
  </si>
  <si>
    <t>(현재가치할인차금)장기보증금매출채권(표준재무)</t>
  </si>
  <si>
    <t>기타장기채권(표준재무)</t>
  </si>
  <si>
    <t>(대손충당금)기타장기채권(표준재무)</t>
  </si>
  <si>
    <t>(현재가치할인차금)기타장기채권(표준재무)</t>
  </si>
  <si>
    <t>이연법인세자산(비금융표준재무)</t>
  </si>
  <si>
    <t>장기당기법인세자산(표준재무)</t>
  </si>
  <si>
    <t>계약자산비유동(표준재무)</t>
  </si>
  <si>
    <t>(대손충당금)계약자산비유동(표준재무)</t>
  </si>
  <si>
    <t>반품환불자산비유동(표준재무)</t>
  </si>
  <si>
    <t>기타비유동자산(표준재무)</t>
  </si>
  <si>
    <t>리스사용권자산(표준재무)</t>
  </si>
  <si>
    <t>금융리스자산(표준재무)</t>
  </si>
  <si>
    <t>(감가상각누계액)금융리스자산(표준재무)</t>
  </si>
  <si>
    <t>운용리스자산(비금융표준재무)</t>
  </si>
  <si>
    <t>(감가상각누계액)운용리스자산(비금융표준재무)</t>
  </si>
  <si>
    <t>기타리스사용권자산(표준재무)</t>
  </si>
  <si>
    <t>(정부보조금등)기타리스사용권자산(표준재무)</t>
  </si>
  <si>
    <t>(감가상각누계액)기타리스사용권자산(표준재무)</t>
  </si>
  <si>
    <t>(손상차손누계액)기타리스사용권자산(표준재무)</t>
  </si>
  <si>
    <t>리스채권(표준재무)</t>
  </si>
  <si>
    <t>금융리스채권비유동(표준재무)</t>
  </si>
  <si>
    <t>(대손충당금)금융리스채권비유동(표준재무)</t>
  </si>
  <si>
    <t>(현재가치할인차금)금융리스채권비유동(표준재무)</t>
  </si>
  <si>
    <t>기타리스채권(표준재무)</t>
  </si>
  <si>
    <t>(대손충당금)기타리스채권(표준재무)</t>
  </si>
  <si>
    <t>(현재가치할인차금)기타리스채권(표준재무)</t>
  </si>
  <si>
    <t>확정급여자산등(비금융표준재무)</t>
  </si>
  <si>
    <t>장기선급금(표준재무)</t>
  </si>
  <si>
    <t>(대손충당금)장기선급금(표준재무)</t>
  </si>
  <si>
    <t>(현재가치할인차금)장기선급금(표준재무)</t>
  </si>
  <si>
    <t>장기선급비용(표준재무)</t>
  </si>
  <si>
    <t>(대손충당금)장기선급비용(표준재무)</t>
  </si>
  <si>
    <t>(현재가치할인차금)장기선급비용(표준재무)</t>
  </si>
  <si>
    <t>장기보증금비유동(표준재무)</t>
  </si>
  <si>
    <t>(대손충당금)장기보증금비유동(표준재무)</t>
  </si>
  <si>
    <t>(현재가치할인차금)장기보증금비유동(표준재무)</t>
  </si>
  <si>
    <t>기타비유동자산기타(표준재무)</t>
  </si>
  <si>
    <t>(대손충당금)기타비유동자산기타(표준재무)</t>
  </si>
  <si>
    <t>(현재가치할인차금)기타비유동자산기타(표준재무)</t>
  </si>
  <si>
    <t>기타금융업자산(비금융표준재무)</t>
  </si>
  <si>
    <t>유동자산(표준재무)</t>
  </si>
  <si>
    <t>재고자산(표준재무)</t>
  </si>
  <si>
    <t>상품(표준재무)</t>
  </si>
  <si>
    <t>(평가손실충당금)상품(표준재무)</t>
  </si>
  <si>
    <t>제품(표준재무)</t>
  </si>
  <si>
    <t>(평가손실충당금)제품(표준재무)</t>
  </si>
  <si>
    <t>완성건물(표준재무)</t>
  </si>
  <si>
    <t>(평가손실충당금)완성건물(표준재무)</t>
  </si>
  <si>
    <t>원재료부재료(표준재무)</t>
  </si>
  <si>
    <t>(평가손실충당금)원재료부재료(표준재무)</t>
  </si>
  <si>
    <t>용지(표준재무)</t>
  </si>
  <si>
    <t>(평가손실충당금)용지(표준재무)</t>
  </si>
  <si>
    <t>재공품(표준재무)</t>
  </si>
  <si>
    <t>(평가손실충당금)재공품(표준재무)</t>
  </si>
  <si>
    <t>미완성건물(표준재무)</t>
  </si>
  <si>
    <t>(평가손실충당금)미완성건물(표준재무)</t>
  </si>
  <si>
    <t>미완성공사(표준재무)</t>
  </si>
  <si>
    <t>(평가손실충당금)미완성공사(표준재무)</t>
  </si>
  <si>
    <t>반제품(표준재무)</t>
  </si>
  <si>
    <t>(평가손실충당금)반제품(표준재무)</t>
  </si>
  <si>
    <t>미착품(표준재무)</t>
  </si>
  <si>
    <t>(평가손실충당금)미착품(표준재무)</t>
  </si>
  <si>
    <t>저장품소모품(표준재무)</t>
  </si>
  <si>
    <t>(평가손실충당금)저장품소모품(표준재무)</t>
  </si>
  <si>
    <t>반환반품재고자산(표준재무)</t>
  </si>
  <si>
    <t>(평가손실충당금)반환반품재고자산(표준재무)</t>
  </si>
  <si>
    <t>기타재고자산(표준재무)</t>
  </si>
  <si>
    <t>(평가손실충당금)기타재고자산(표준재무)</t>
  </si>
  <si>
    <t>유동생물자산(표준재무)</t>
  </si>
  <si>
    <t>축산물유동(표준재무)</t>
  </si>
  <si>
    <t>(상각누계액)축산물유동(표준재무)</t>
  </si>
  <si>
    <t>수산물유동(표준재무)</t>
  </si>
  <si>
    <t>기타생물자산유동(표준재무)</t>
  </si>
  <si>
    <t>당기손익공정가치측정금융자산유동(표준재무)</t>
  </si>
  <si>
    <t>기타포괄손익공정가치측정금융자산유동(표준재무)</t>
  </si>
  <si>
    <t>상각후원가측정유가증권유동(표준재무)</t>
  </si>
  <si>
    <t>상각후원가측정금융자산유동(표준재무)</t>
  </si>
  <si>
    <t>유동금융자산(표준재무)</t>
  </si>
  <si>
    <t>단기매매금융자산(비금융표준재무)</t>
  </si>
  <si>
    <t>당기손익인식지정금융자산(비금융표준재무)</t>
  </si>
  <si>
    <t>단기금융상품금융기관예치금(표준재무)</t>
  </si>
  <si>
    <t>단기대여금(표준재무)</t>
  </si>
  <si>
    <t>(대손충당금)단기대여금(표준재무)</t>
  </si>
  <si>
    <t>외화단기대여금(표준재무)</t>
  </si>
  <si>
    <t>특수관계자단기대여금(표준재무)</t>
  </si>
  <si>
    <t>주임종단기대여금(표준재무)</t>
  </si>
  <si>
    <t>단기매도가능금융자산(표준재무)</t>
  </si>
  <si>
    <t>단기만기보유금융자산(표준재무)</t>
  </si>
  <si>
    <t>단기파생상품자산(표준재무)</t>
  </si>
  <si>
    <t>옵션유동자산(표준재무)</t>
  </si>
  <si>
    <t>선물유동자산(표준재무)</t>
  </si>
  <si>
    <t>선도유동자산(표준재무)</t>
  </si>
  <si>
    <t>스왑유동자산(표준재무)</t>
  </si>
  <si>
    <t>기타단기파생상품자산(표준재무)</t>
  </si>
  <si>
    <t>금융리스채권유동(표준재무)</t>
  </si>
  <si>
    <t>(대손충당금)금융리스채권유동(표준재무)</t>
  </si>
  <si>
    <t>지급금융보증계약자산유동(표준재무)</t>
  </si>
  <si>
    <t>(대손충당금)지급금융보증계약자산유동(표준재무)</t>
  </si>
  <si>
    <t>단기보증금유동자산(표준재무)</t>
  </si>
  <si>
    <t>(대손충당금)단기보증금유동자산(표준재무)</t>
  </si>
  <si>
    <t>기타유동금융자산(표준재무)</t>
  </si>
  <si>
    <t>(대손충당금)기타유동금융자산(표준재무)</t>
  </si>
  <si>
    <t>매출채권및기타유동채권(표준재무)</t>
  </si>
  <si>
    <t>매출채권(비금융표준재무)</t>
  </si>
  <si>
    <t>(대손충당금)매출채권(비금융표준재무)</t>
  </si>
  <si>
    <t>외화매출채권(표준재무)</t>
  </si>
  <si>
    <t>특수관계자매출채권(표준재무)</t>
  </si>
  <si>
    <t>공사미수금(표준재무)</t>
  </si>
  <si>
    <t>(대손충당금)공사미수금(표준재무)</t>
  </si>
  <si>
    <t>분양미수금(표준재무)</t>
  </si>
  <si>
    <t>(대손충당금)분양미수금(표준재무)</t>
  </si>
  <si>
    <t>임대미수금(표준재무)</t>
  </si>
  <si>
    <t>(대손충당금)임대미수금(표준재무)</t>
  </si>
  <si>
    <t>미수금(비금융표준재무)</t>
  </si>
  <si>
    <t>(대손충당금)미수금(비금융표준재무)</t>
  </si>
  <si>
    <t>외화미수금(표준재무)</t>
  </si>
  <si>
    <t>특수관계자미수금(표준재무)</t>
  </si>
  <si>
    <t>단기미청구공사(표준재무)</t>
  </si>
  <si>
    <t>(추정공사손실)단기미청구공사(표준재무)</t>
  </si>
  <si>
    <t>(대손충당금)단기미청구공사(표준재무)</t>
  </si>
  <si>
    <t>단기대출채권(표준재무)</t>
  </si>
  <si>
    <t>(대손충당금)단기대출채권(표준재무)</t>
  </si>
  <si>
    <t>미수법인세환급액(표준재무)</t>
  </si>
  <si>
    <t>미수수익(비금융표준재무)</t>
  </si>
  <si>
    <t>(대손충당금)미수수익(비금융표준재무)</t>
  </si>
  <si>
    <t>외화미수수익(표준재무)</t>
  </si>
  <si>
    <t>단기보증금매출채권(표준재무)</t>
  </si>
  <si>
    <t>(대손충당금)단기보증금매출채권(표준재무)</t>
  </si>
  <si>
    <t>기타단기채권(표준재무)</t>
  </si>
  <si>
    <t>(대손충당금)기타단기채권(표준재무)</t>
  </si>
  <si>
    <t>당기법인세자산선급법인세(비금융표준재무)</t>
  </si>
  <si>
    <t>계약자산유동(표준재무)</t>
  </si>
  <si>
    <t>(대손충당금)계약자산유동(표준재무)</t>
  </si>
  <si>
    <t>반품환불자산유동(표준재무)</t>
  </si>
  <si>
    <t>배출권유동(표준재무)</t>
  </si>
  <si>
    <t>기타유동자산(표준재무)</t>
  </si>
  <si>
    <t>선급금(비금융표준재무)</t>
  </si>
  <si>
    <t>(대손충당금)선급금(표준재무)</t>
  </si>
  <si>
    <t>선급공사비외주비(표준재무)</t>
  </si>
  <si>
    <t>(대손충당금)선급공사비외주비(표준재무)</t>
  </si>
  <si>
    <t>선급제세(표준재무)</t>
  </si>
  <si>
    <t>선급비용(비금융표준재무)</t>
  </si>
  <si>
    <t>(대손충당금)선급비용(표준재무)</t>
  </si>
  <si>
    <t>보증금유동자산(표준재무)</t>
  </si>
  <si>
    <t>(대손충당금)보증금유동자산(표준재무)</t>
  </si>
  <si>
    <t>기타유동자산기타(표준재무)</t>
  </si>
  <si>
    <t>(대손충당금)기타유동자산기타(표준재무)</t>
  </si>
  <si>
    <t>현금및현금성자산(비금융표준재무)</t>
  </si>
  <si>
    <t>(정부보조금등)현금및현금성자산(표준재무)</t>
  </si>
  <si>
    <t>현금(비금융표준재무)</t>
  </si>
  <si>
    <t>보통예금(비금융표준재무)</t>
  </si>
  <si>
    <t>당좌예금(비금융표준재무)</t>
  </si>
  <si>
    <t>외화예금(비금융표준재무)</t>
  </si>
  <si>
    <t>외화(표준재무)</t>
  </si>
  <si>
    <t>기타예금요구불예금(표준재무)</t>
  </si>
  <si>
    <t>현금성자산현금등가물(표준재무)</t>
  </si>
  <si>
    <t>기타현금및현금성자산(비금융표준재무)</t>
  </si>
  <si>
    <t>매각예정비유동자산및처분자산집단(표준재무)</t>
  </si>
  <si>
    <t>비유동자산매각예정(표준재무)</t>
  </si>
  <si>
    <t>유형자산매각예정(표준재무)</t>
  </si>
  <si>
    <t>투자부동산매각예정(표준재무)</t>
  </si>
  <si>
    <t>영업권매각예정(표준재무)</t>
  </si>
  <si>
    <t>무형자산매각예정(표준재무)</t>
  </si>
  <si>
    <t>관계기업등지분관련투자자산매각예정(표준재무)</t>
  </si>
  <si>
    <t>비유동금융자산매각예정(표준재무)</t>
  </si>
  <si>
    <t>장기매출채권및기타비유동채권매각예정(표준재무)</t>
  </si>
  <si>
    <t>기타비유동자산매각예정(표준재무)</t>
  </si>
  <si>
    <t>유동자산매각예정(표준재무)</t>
  </si>
  <si>
    <t>재고자산매각예정(표준재무)</t>
  </si>
  <si>
    <t>유동생물자산매각예정(표준재무)</t>
  </si>
  <si>
    <t>유동금융자산매각예정(표준재무)</t>
  </si>
  <si>
    <t>매출채권및기타유동채권매각예정(표준재무)</t>
  </si>
  <si>
    <t>기타유동자산매각예정(표준재무)</t>
  </si>
  <si>
    <t>현금및현금성자산매각예정(표준재무)</t>
  </si>
  <si>
    <t>기타자산매각예정(표준재무)</t>
  </si>
  <si>
    <t>현금및단기유가증권(표준재무)</t>
  </si>
  <si>
    <t>자본(표준재무)</t>
  </si>
  <si>
    <t>수권주식수(표준재무)</t>
  </si>
  <si>
    <t>주당액면가액(표준재무)</t>
  </si>
  <si>
    <t>발행한주식총수(표준재무)</t>
  </si>
  <si>
    <t>보통주(표준재무)</t>
  </si>
  <si>
    <t>우선주(표준재무)</t>
  </si>
  <si>
    <t>지배기업주주지분(표준재무)</t>
  </si>
  <si>
    <t>자본금(표준재무)</t>
  </si>
  <si>
    <t>보통주자본금(표준재무)</t>
  </si>
  <si>
    <t>우선주자본금(표준재무)</t>
  </si>
  <si>
    <t>신종자본증권(표준재무)</t>
  </si>
  <si>
    <t>자본잉여금(표준재무)</t>
  </si>
  <si>
    <t>주식발행초과금(표준재무)</t>
  </si>
  <si>
    <t>배당건설이자(표준재무)</t>
  </si>
  <si>
    <t>주식매입선택권자본잉여(표준재무)</t>
  </si>
  <si>
    <t>감자차익(표준재무)</t>
  </si>
  <si>
    <t>보험차익(표준재무)</t>
  </si>
  <si>
    <t>합병차익(표준재무)</t>
  </si>
  <si>
    <t>자산수증이익(표준재무)</t>
  </si>
  <si>
    <t>채무면제이익(표준재무)</t>
  </si>
  <si>
    <t>자기주식처분이익(표준재무)</t>
  </si>
  <si>
    <t>전환권대가(표준재무)</t>
  </si>
  <si>
    <t>신주인수권대가(표준재무)</t>
  </si>
  <si>
    <t>교환권대가(표준재무)</t>
  </si>
  <si>
    <t>전환권재매입이익(표준재무)</t>
  </si>
  <si>
    <t>기타자본잉여금(표준재무)</t>
  </si>
  <si>
    <t>재평가적립금2001년이전(표준재무)</t>
  </si>
  <si>
    <t>기타자본(표준재무)</t>
  </si>
  <si>
    <t>자기주식(표준재무)</t>
  </si>
  <si>
    <t>자기주식처분손실(표준재무)</t>
  </si>
  <si>
    <t>주식할인발행차금(표준재무)</t>
  </si>
  <si>
    <t>주식매입선택권기타자본(표준재무)</t>
  </si>
  <si>
    <t>감자차손(표준재무)</t>
  </si>
  <si>
    <t>파생상품평가이익(표준재무)</t>
  </si>
  <si>
    <t>파생상품평가손실(표준재무)</t>
  </si>
  <si>
    <t>전환권재매입손실(표준재무)</t>
  </si>
  <si>
    <t>기타자본기타(표준재무)</t>
  </si>
  <si>
    <t>기타포괄손익누계액(표준재무)</t>
  </si>
  <si>
    <t>금융자산평가손익(표준재무)</t>
  </si>
  <si>
    <t>기타포괄손익공정가치측정금융자산평가손익(표준재무)</t>
  </si>
  <si>
    <t>당기손익조정접근법조정손익(표준재무)</t>
  </si>
  <si>
    <t>당기손익공정가치측정금융부채평가손익(표준재무)</t>
  </si>
  <si>
    <t>매도가능금융자산평가손익(표준재무)</t>
  </si>
  <si>
    <t>관계기업등기타포괄손익(표준재무)</t>
  </si>
  <si>
    <t>환산관련외환차이적립금환율변동차이(표준재무)</t>
  </si>
  <si>
    <t>해외사업장순투자위험회피적립금(표준재무)</t>
  </si>
  <si>
    <t>확정급여제도의보험수리적손익적립금(표준재무)</t>
  </si>
  <si>
    <t>확정급여제도의재측정요소(표준재무)</t>
  </si>
  <si>
    <t>현금흐름위험회피적립금(표준재무)</t>
  </si>
  <si>
    <t>주식기준보상적립금(표준재무)</t>
  </si>
  <si>
    <t>재평가잉여금(표준재무)</t>
  </si>
  <si>
    <t>기타누계기타(표준재무)</t>
  </si>
  <si>
    <t>이익잉여금결손금(표준재무)</t>
  </si>
  <si>
    <t>지배당기순손익(표준재무)</t>
  </si>
  <si>
    <t>이익준비금(표준재무)</t>
  </si>
  <si>
    <t>재무구조개선적립금(표준재무)</t>
  </si>
  <si>
    <t>기업합리화적립금(표준재무)</t>
  </si>
  <si>
    <t>기업발전적립금(표준재무)</t>
  </si>
  <si>
    <t>기타법정적립금(표준재무)</t>
  </si>
  <si>
    <t>재평가손익(표준재무)</t>
  </si>
  <si>
    <t>보험수리적손익(비금융표준재무)</t>
  </si>
  <si>
    <t>기술개발준비금(표준재무)</t>
  </si>
  <si>
    <t>연구및인력개발준비금(표준재무)</t>
  </si>
  <si>
    <t>사업손실준비금(표준재무)</t>
  </si>
  <si>
    <t>퇴직급여적립금(표준재무)</t>
  </si>
  <si>
    <t>기타임의적립금(표준재무)</t>
  </si>
  <si>
    <t>기타이익잉여금(표준재무)</t>
  </si>
  <si>
    <t>미처분이익잉여금결손금(표준재무)</t>
  </si>
  <si>
    <t>전기이월미처분이익잉여금결손금(표준재무)</t>
  </si>
  <si>
    <t>비지배주주지분(표준재무)</t>
  </si>
  <si>
    <t>비지배당기순손익(표준재무)</t>
  </si>
  <si>
    <t>비지배주주지분초과손실액(표준재무)</t>
  </si>
  <si>
    <t>부채(표준재무)</t>
  </si>
  <si>
    <t>총차입금(표준재무)</t>
  </si>
  <si>
    <t>순차입금(표준재무)</t>
  </si>
  <si>
    <t>사채부채(표준재무)</t>
  </si>
  <si>
    <t>비유동부채(표준재무)</t>
  </si>
  <si>
    <t>사채전체(표준재무)</t>
  </si>
  <si>
    <t>장기미지급이자사채전체(표준재무)</t>
  </si>
  <si>
    <t>사채상환할증금사채전체(표준재무)</t>
  </si>
  <si>
    <t>사채할증발행차금사채전체(표준재무)</t>
  </si>
  <si>
    <t>(사채할인발행차금)사채전체(표준재무)</t>
  </si>
  <si>
    <t>(사채조정계정)사채전체(표준재무)</t>
  </si>
  <si>
    <t>사채(비금융표준재무)</t>
  </si>
  <si>
    <t>장기미지급이자사채(표준재무)</t>
  </si>
  <si>
    <t>사채상환할증금사채(비금융표준재무)</t>
  </si>
  <si>
    <t>사채할증발행차금사채(비금융표준재무)</t>
  </si>
  <si>
    <t>(사채할인발행차금)사채(비금융표준재무)</t>
  </si>
  <si>
    <t>전환사채(표준재무)</t>
  </si>
  <si>
    <t>장기미지급이자전환사채(표준재무)</t>
  </si>
  <si>
    <t>사채상환할증금전환사채(표준재무)</t>
  </si>
  <si>
    <t>사채할증발행차금전환사채(표준재무)</t>
  </si>
  <si>
    <t>(사채할인발행차금)전환사채(표준재무)</t>
  </si>
  <si>
    <t>(전환사채조정계정)(표준재무)</t>
  </si>
  <si>
    <t>신주인수권부사채(표준재무)</t>
  </si>
  <si>
    <t>장기미지급이자신주인수권부사채(표준재무)</t>
  </si>
  <si>
    <t>사채상환할증금신주인수권부사채(표준재무)</t>
  </si>
  <si>
    <t>사채할증발행차금신주인수권부사채(표준재무)</t>
  </si>
  <si>
    <t>(사채할인발행차금)신주인수권부사채(표준재무)</t>
  </si>
  <si>
    <t>(신주인수권부사채조정계정)(표준재무)</t>
  </si>
  <si>
    <t>교환사채(표준재무)</t>
  </si>
  <si>
    <t>사채상환할증금교환사채(표준재무)</t>
  </si>
  <si>
    <t>사채할증발행차금교환사채(표준재무)</t>
  </si>
  <si>
    <t>(사채할인발행차금)교환사채(표준재무)</t>
  </si>
  <si>
    <t>(교환사채조정계정)(표준재무)</t>
  </si>
  <si>
    <t>장기차입금전체(표준재무)</t>
  </si>
  <si>
    <t>(현재가치할인차금)장기차입금전체(표준재무)</t>
  </si>
  <si>
    <t>외화장기차입금(표준재무)</t>
  </si>
  <si>
    <t>특수관계자장기차입금(표준재무)</t>
  </si>
  <si>
    <t>주임종장기차입금(표준재무)</t>
  </si>
  <si>
    <t>장기차입금(표준재무)</t>
  </si>
  <si>
    <t>(현재가치할인차금)장기차입금(표준재무)</t>
  </si>
  <si>
    <t>국민주택기금차입금(표준재무)</t>
  </si>
  <si>
    <t>기타장기차입금(표준재무)</t>
  </si>
  <si>
    <t>(현재가치할인차금)기타장기차입금(표준재무)</t>
  </si>
  <si>
    <t>당기손익공정가치측정금융부채비유동(표준재무)</t>
  </si>
  <si>
    <t>상각후원가측정금융부채비유동(표준재무)</t>
  </si>
  <si>
    <t>비유동금융부채(표준재무)</t>
  </si>
  <si>
    <t>(현재가치할인차금)비유동금융부채(표준재무)</t>
  </si>
  <si>
    <t>장기당기손익인식금융부채(표준재무)</t>
  </si>
  <si>
    <t>장기파생상품부채(표준재무)</t>
  </si>
  <si>
    <t>옵션비유동부채(표준재무)</t>
  </si>
  <si>
    <t>선물비유동부채(표준재무)</t>
  </si>
  <si>
    <t>선도비유동부채(표준재무)</t>
  </si>
  <si>
    <t>스왑비유동부채(표준재무)</t>
  </si>
  <si>
    <t>신주인수권전환권비유동부채(표준재무)</t>
  </si>
  <si>
    <t>기타장기파생상품부채(표준재무)</t>
  </si>
  <si>
    <t>금융리스부채비유동(표준재무)</t>
  </si>
  <si>
    <t>(현재가치할인차금)금융리스부채비유동(표준재무)</t>
  </si>
  <si>
    <t>장기상환우선주부채(표준재무)</t>
  </si>
  <si>
    <t>(현재가치할인차금)장기상환우선주부채(표준재무)</t>
  </si>
  <si>
    <t>장기유동화채무(표준재무)</t>
  </si>
  <si>
    <t>보증금비유동부채(표준재무)</t>
  </si>
  <si>
    <t>(현재가치할인차금)보증금비유동부채(표준재무)</t>
  </si>
  <si>
    <t>지급금융보증계약부채비유동(표준재무)</t>
  </si>
  <si>
    <t>(현재가치할인차금)지급금융보증계약부채비유동(표준재무)</t>
  </si>
  <si>
    <t>정부보조금비유동(표준재무)</t>
  </si>
  <si>
    <t>기타비유동금융부채(표준재무)</t>
  </si>
  <si>
    <t>(현재가치할인차금)기타비유동금융부채(표준재무)</t>
  </si>
  <si>
    <t>장기매입채무및기타비유동채무(표준재무)</t>
  </si>
  <si>
    <t>장기매입채무전체(표준재무)</t>
  </si>
  <si>
    <t>(현재가치할인차금)장기매입채무전체(표준재무)</t>
  </si>
  <si>
    <t>장기매입채무(표준재무)</t>
  </si>
  <si>
    <t>(현재가치할인차금)장기매입채무(표준재무)</t>
  </si>
  <si>
    <t>기타장기매입채무(표준재무)</t>
  </si>
  <si>
    <t>장기미지급금전체(표준재무)</t>
  </si>
  <si>
    <t>(현재가치할인차금)장기미지급금전체(표준재무)</t>
  </si>
  <si>
    <t>외화장기미지급금(표준재무)</t>
  </si>
  <si>
    <t>특수관계자장기미지급금(표준재무)</t>
  </si>
  <si>
    <t>장기미지급금(표준재무)</t>
  </si>
  <si>
    <t>(현재가치할인차금)장기미지급금(표준재무)</t>
  </si>
  <si>
    <t>기타장기미지급금(표준재무)</t>
  </si>
  <si>
    <t>(현재가치할인차금)기타장기미지급금(표준재무)</t>
  </si>
  <si>
    <t>장기초과청구공사(표준재무)</t>
  </si>
  <si>
    <t>장기예수금전체(표준재무)</t>
  </si>
  <si>
    <t>(현재가치할인차금)장기예수금전체(표준재무)</t>
  </si>
  <si>
    <t>장기예수금(표준재무)</t>
  </si>
  <si>
    <t>(현재가치할인차금)장기예수금(표준재무)</t>
  </si>
  <si>
    <t>부가세장기예수금(표준재무)</t>
  </si>
  <si>
    <t>장기예수보증금(표준재무)</t>
  </si>
  <si>
    <t>(현재가치할인차금)장기예수보증금(표준재무)</t>
  </si>
  <si>
    <t>기타장기예수금(표준재무)</t>
  </si>
  <si>
    <t>(현재가치할인차금)기타장기예수금(표준재무)</t>
  </si>
  <si>
    <t>장기금융예수금(표준재무)</t>
  </si>
  <si>
    <t>장기미지급비용전체(표준재무)</t>
  </si>
  <si>
    <t>(현재가치할인차금)장기미지급비용전체(표준재무)</t>
  </si>
  <si>
    <t>장기미지급비용(표준재무)</t>
  </si>
  <si>
    <t>(현재가치할인차금)장기미지급비용(표준재무)</t>
  </si>
  <si>
    <t>장기미지급제세(표준재무)</t>
  </si>
  <si>
    <t>장기미지급배당금(표준재무)</t>
  </si>
  <si>
    <t>기타장기미지급비용(표준재무)</t>
  </si>
  <si>
    <t>장기보증금매입채무(표준재무)</t>
  </si>
  <si>
    <t>(현재가치할인차금)장기보증금매입채무(표준재무)</t>
  </si>
  <si>
    <t>수입보증금비유동(표준재무)</t>
  </si>
  <si>
    <t>(현재가치할인차금)수입보증금매입채무(표준재무)</t>
  </si>
  <si>
    <t>장기임대보증금(표준재무)</t>
  </si>
  <si>
    <t>(현재가치할인차금)장기임대보증금(표준재무)</t>
  </si>
  <si>
    <t>기타장기보증금(표준재무)</t>
  </si>
  <si>
    <t>(현재가치할인차금)기타장기보증금(표준재무)</t>
  </si>
  <si>
    <t>기타장기채무(표준재무)</t>
  </si>
  <si>
    <t>(현재가치할인차금)기타장기채무(표준재무)</t>
  </si>
  <si>
    <t>비유동종업원급여충당부채(비금융표준재무)</t>
  </si>
  <si>
    <t>확정급여부채비유동(표준재무)</t>
  </si>
  <si>
    <t>(사외적립자산)확정급여부채비유동(표준재무)</t>
  </si>
  <si>
    <t>(현재가치할인차금)확정급여부채비유동(표준재무)</t>
  </si>
  <si>
    <t>미인식보험수리적손익비유동(표준재무)</t>
  </si>
  <si>
    <t>미인식과거근무원가비유동(표준재무)</t>
  </si>
  <si>
    <t>기타장기종업원급여부채연차상여등(비금융표준재무)</t>
  </si>
  <si>
    <t>기타비유동종업원급여충당부채(비금융표준재무)</t>
  </si>
  <si>
    <t>기타장기충당부채(표준재무)</t>
  </si>
  <si>
    <t>반품충당부채기타장기(표준재무)</t>
  </si>
  <si>
    <t>공사손실부담계약충당부채기타장기(표준재무)</t>
  </si>
  <si>
    <t>구조조정충당부채기타장기(표준재무)</t>
  </si>
  <si>
    <t>제품보증충당부채기타장기(표준재무)</t>
  </si>
  <si>
    <t>원상복구및사후처리충당부채기타장기(표준재무)</t>
  </si>
  <si>
    <t>하자보수충당부채기타장기(표준재무)</t>
  </si>
  <si>
    <t>지급금융보증충당부채기타장기(표준재무)</t>
  </si>
  <si>
    <t>법적소송충당부채기타장기(표준재무)</t>
  </si>
  <si>
    <t>기타장기충당부채기타(표준재무)</t>
  </si>
  <si>
    <t>이연법인세부채(비금융표준재무)</t>
  </si>
  <si>
    <t>장기당기법인세부채미지급법인세(표준재무)</t>
  </si>
  <si>
    <t>계약부채기타장기(표준재무)</t>
  </si>
  <si>
    <t>반품환불부채기타장기(표준재무)</t>
  </si>
  <si>
    <t>배출부채기타장기(표준재무)</t>
  </si>
  <si>
    <t>기타비유동부채(표준재무)</t>
  </si>
  <si>
    <t>장기선수금전체(표준재무)</t>
  </si>
  <si>
    <t>(현재가치할인차금)장기선수금전체(표준재무)</t>
  </si>
  <si>
    <t>장기선수금(표준재무)</t>
  </si>
  <si>
    <t>장기공사선수금(표준재무)</t>
  </si>
  <si>
    <t>장기분양선수금(표준재무)</t>
  </si>
  <si>
    <t>장기임대선수금(표준재무)</t>
  </si>
  <si>
    <t>(현재가치할인차금)장기임대선수금(표준재무)</t>
  </si>
  <si>
    <t>기타장기선수금(표준재무)</t>
  </si>
  <si>
    <t>장기선수수익(표준재무)</t>
  </si>
  <si>
    <t>(현재가치할인차금)장기선수수익(표준재무)</t>
  </si>
  <si>
    <t>이연수익정부보조금포인트관련등비유동(표준재무)</t>
  </si>
  <si>
    <t>보증금기타비유동부채(표준재무)</t>
  </si>
  <si>
    <t>(현재가치할인차금)보증금기타비유동부채(표준재무)</t>
  </si>
  <si>
    <t>기타비유동부채기타(표준재무)</t>
  </si>
  <si>
    <t>(현재가치할인차금)기타비유동부채기타(표준재무)</t>
  </si>
  <si>
    <t>기타금융업부채(비금융표준재무)</t>
  </si>
  <si>
    <t>유동부채(표준재무)</t>
  </si>
  <si>
    <t>단기사채(표준재무)</t>
  </si>
  <si>
    <t>장기미지급이자단기사채(표준재무)</t>
  </si>
  <si>
    <t>사채상환할증금단기사채(표준재무)</t>
  </si>
  <si>
    <t>사채할증발행차금단기사채(표준재무)</t>
  </si>
  <si>
    <t>(사채할인발행차금)단기사채(표준재무)</t>
  </si>
  <si>
    <t>(사채조정계정)단기사채(표준재무)</t>
  </si>
  <si>
    <t>단기차입금전체(표준재무)</t>
  </si>
  <si>
    <t>외화단기차입금(표준재무)</t>
  </si>
  <si>
    <t>특수관계자단기차입금(표준재무)</t>
  </si>
  <si>
    <t>주임종단기차입금(표준재무)</t>
  </si>
  <si>
    <t>당좌차월(표준재무)</t>
  </si>
  <si>
    <t>단기차입금(표준재무)</t>
  </si>
  <si>
    <t>기타단기차입금(표준재무)</t>
  </si>
  <si>
    <t>유동성장기부채(표준재무)</t>
  </si>
  <si>
    <t>(현재가치할인차금)유동성장기부채(표준재무)</t>
  </si>
  <si>
    <t>유동성사채(표준재무)</t>
  </si>
  <si>
    <t>장기미지급이자유동성장기부채(표준재무)</t>
  </si>
  <si>
    <t>사채상환할증금유동성장기부채(표준재무)</t>
  </si>
  <si>
    <t>사채할증발행차금유동성장기부채(표준재무)</t>
  </si>
  <si>
    <t>(사채할인발행차금)유동성장기부채(표준재무)</t>
  </si>
  <si>
    <t>(사채조정계정)유동성장기부채(표준재무)</t>
  </si>
  <si>
    <t>유동성장기차입금(표준재무)</t>
  </si>
  <si>
    <t>유동성외화장기차입금(표준재무)</t>
  </si>
  <si>
    <t>유동성유동화채무(표준재무)</t>
  </si>
  <si>
    <t>유동성연불매입채무(표준재무)</t>
  </si>
  <si>
    <t>유동성금융리스부채미지급금등(표준재무)</t>
  </si>
  <si>
    <t>기타유동성장기부채(표준재무)</t>
  </si>
  <si>
    <t>당기손익공정가치측정금융부채유동(표준재무)</t>
  </si>
  <si>
    <t>상각후원가측정금융부채유동(표준재무)</t>
  </si>
  <si>
    <t>유동금융부채(표준재무)</t>
  </si>
  <si>
    <t>(현재가치할인차금)유동금융부채(표준재무)</t>
  </si>
  <si>
    <t>단기매매금융부채(비금융표준재무)</t>
  </si>
  <si>
    <t>당기손익인식지정금융부채(비금융표준재무)</t>
  </si>
  <si>
    <t>단기파생상품부채(표준재무)</t>
  </si>
  <si>
    <t>옵션유동부채(표준재무)</t>
  </si>
  <si>
    <t>선물유동부채(표준재무)</t>
  </si>
  <si>
    <t>선도유동부채(표준재무)</t>
  </si>
  <si>
    <t>스왑유동부채(표준재무)</t>
  </si>
  <si>
    <t>신주인수권전환권유동부채(표준재무)</t>
  </si>
  <si>
    <t>기타단기파생상품부채(표준재무)</t>
  </si>
  <si>
    <t>금융리스부채유동(표준재무)</t>
  </si>
  <si>
    <t>보증금유동부채(표준재무)</t>
  </si>
  <si>
    <t>단기상환우선주부채(표준재무)</t>
  </si>
  <si>
    <t>단기유동화채무(표준재무)</t>
  </si>
  <si>
    <t>지급금융보증계약부채유동(표준재무)</t>
  </si>
  <si>
    <t>정부보조금유동(표준재무)</t>
  </si>
  <si>
    <t>기타유동금융부채(표준재무)</t>
  </si>
  <si>
    <t>매입채무및기타유동채무(표준재무)</t>
  </si>
  <si>
    <t>매입채무(표준재무)</t>
  </si>
  <si>
    <t>외화매입채무(표준재무)</t>
  </si>
  <si>
    <t>특수관계자매입채무(표준재무)</t>
  </si>
  <si>
    <t>미지급금전체(표준재무)</t>
  </si>
  <si>
    <t>외화미지급금(표준재무)</t>
  </si>
  <si>
    <t>특수관계자미지급금(표준재무)</t>
  </si>
  <si>
    <t>미지급금(비금융표준재무)</t>
  </si>
  <si>
    <t>공사미지급금(표준재무)</t>
  </si>
  <si>
    <t>기타미지급금(표준재무)</t>
  </si>
  <si>
    <t>초과청구공사(표준재무)</t>
  </si>
  <si>
    <t>예수금전체(표준재무)</t>
  </si>
  <si>
    <t>예수금(비금융표준재무)</t>
  </si>
  <si>
    <t>부가세예수금(표준재무)</t>
  </si>
  <si>
    <t>예수보증금(표준재무)</t>
  </si>
  <si>
    <t>기타예수금(표준재무)</t>
  </si>
  <si>
    <t>단기금융예수금(표준재무)</t>
  </si>
  <si>
    <t>미지급비용전체(비금융표준재무)</t>
  </si>
  <si>
    <t>미지급비용(비금융표준재무)</t>
  </si>
  <si>
    <t>미지급제세(표준재무)</t>
  </si>
  <si>
    <t>미지급배당금(비금융표준재무)</t>
  </si>
  <si>
    <t>기타미지급비용(비금융표준재무)</t>
  </si>
  <si>
    <t>보증금매입채무(표준재무)</t>
  </si>
  <si>
    <t>수입보증금유동(표준재무)</t>
  </si>
  <si>
    <t>임대보증금(비금융표준재무)</t>
  </si>
  <si>
    <t>기타보증금(표준재무)</t>
  </si>
  <si>
    <t>기타채무(표준재무)</t>
  </si>
  <si>
    <t>유동종업원급여충당부채(표준재무)</t>
  </si>
  <si>
    <t>확정급여부채유동(표준재무)</t>
  </si>
  <si>
    <t>(사외적립자산)확정급여부채유동(표준재무)</t>
  </si>
  <si>
    <t>기타단기종업원급여충당부채(표준재무)</t>
  </si>
  <si>
    <t>기타유동종업원급여충당부채(표준재무)</t>
  </si>
  <si>
    <t>기타단기충당부채(표준재무)</t>
  </si>
  <si>
    <t>반품충당부채기타단기(표준재무)</t>
  </si>
  <si>
    <t>공사손실부담계약충당부채기타단기(표준재무)</t>
  </si>
  <si>
    <t>구조조정충당부채기타단기(표준재무)</t>
  </si>
  <si>
    <t>제품보증충당부채기타단기(표준재무)</t>
  </si>
  <si>
    <t>원상복구및사후처리충당부채기타단기(표준재무)</t>
  </si>
  <si>
    <t>하자보수충당부채기타단기(표준재무)</t>
  </si>
  <si>
    <t>지급금융보증충당부채기타단기(표준재무)</t>
  </si>
  <si>
    <t>법적소송충당부채기타단기(표준재무)</t>
  </si>
  <si>
    <t>기타단기충당부채기타(표준재무)</t>
  </si>
  <si>
    <t>당기법인세부채미지급법인세(비금융표준재무)</t>
  </si>
  <si>
    <t>계약부채기타단기(표준재무)</t>
  </si>
  <si>
    <t>반품환불부채기타단기(표준재무)</t>
  </si>
  <si>
    <t>배출부채기타단기(표준재무)</t>
  </si>
  <si>
    <t>기타유동부채(표준재무)</t>
  </si>
  <si>
    <t>선수금전체(표준재무)</t>
  </si>
  <si>
    <t>선수금(비금융표준재무)</t>
  </si>
  <si>
    <t>공사선수금(표준재무)</t>
  </si>
  <si>
    <t>분양선수금(표준재무)</t>
  </si>
  <si>
    <t>임대선수금(표준재무)</t>
  </si>
  <si>
    <t>기타선수금(표준재무)</t>
  </si>
  <si>
    <t>선수수익(비금융표준재무)</t>
  </si>
  <si>
    <t>이연수익정부보조금포인트관련등유동(표준재무)</t>
  </si>
  <si>
    <t>보증금기타유동부채(표준재무)</t>
  </si>
  <si>
    <t>기타유동부채기타(표준재무)</t>
  </si>
  <si>
    <t>매각예정으로분류된처분자산집단에포함된부채(표준재무)</t>
  </si>
  <si>
    <t>비유동부채매각예정(표준재무)</t>
  </si>
  <si>
    <t>장기차입금매각예정(표준재무)</t>
  </si>
  <si>
    <t>비유동금융부채매각예정(표준재무)</t>
  </si>
  <si>
    <t>장기매입채무및기타비유동채무매각예정(표준재무)</t>
  </si>
  <si>
    <t>비유동종업원급여충당부채매각예정(표준재무)</t>
  </si>
  <si>
    <t>기타장기충당부채매각예정(표준재무)</t>
  </si>
  <si>
    <t>이연법인세부채매각예정(표준재무)</t>
  </si>
  <si>
    <t>기타비유동부채매각예정(표준재무)</t>
  </si>
  <si>
    <t>유동부채매각예정(표준재무)</t>
  </si>
  <si>
    <t>사채유동부채매각예정(표준재무)</t>
  </si>
  <si>
    <t>단기차입금매각예정(표준재무)</t>
  </si>
  <si>
    <t>유동금융부채매각예정(표준재무)</t>
  </si>
  <si>
    <t>단기매입채무및기타유동채무(표준재무)</t>
  </si>
  <si>
    <t>기타단기충당부채매각예정(표준재무)</t>
  </si>
  <si>
    <t>기타유동부채매각예정(표준재무)</t>
  </si>
  <si>
    <t>기타부채매각예정(표준재무)</t>
  </si>
  <si>
    <t>BPS(표준재무)</t>
  </si>
  <si>
    <t>매출액수익(표준손익)</t>
  </si>
  <si>
    <t>수출(표준손익)</t>
  </si>
  <si>
    <t>내수(표준손익)</t>
  </si>
  <si>
    <t>특수관계자매출수익(표준손익)</t>
  </si>
  <si>
    <t>상품매출액(표준손익)</t>
  </si>
  <si>
    <t>상품수출매출(표준손익)</t>
  </si>
  <si>
    <t>제품매출액(표준손익)</t>
  </si>
  <si>
    <t>제품수출매출(표준손익)</t>
  </si>
  <si>
    <t>재화의판매로인한수익상품제품매출액(표준손익)</t>
  </si>
  <si>
    <t>수출매출(표준손익)</t>
  </si>
  <si>
    <t>건설계약으로인한수익공사수익(표준손익)</t>
  </si>
  <si>
    <t>해외건설계약(표준손익)</t>
  </si>
  <si>
    <t>분양수익(표준손익)</t>
  </si>
  <si>
    <t>용역의제공으로인한수익매출액(표준손익)</t>
  </si>
  <si>
    <t>임대수익(표준손익)</t>
  </si>
  <si>
    <t>수수료수익(비금융표준손익)</t>
  </si>
  <si>
    <t>로열티수익(표준손익)</t>
  </si>
  <si>
    <t>용지매출수익(표준손익)</t>
  </si>
  <si>
    <t>지분법이익(표준손익)</t>
  </si>
  <si>
    <t>금융수익매출액(표준손익)</t>
  </si>
  <si>
    <t>배당수익(표준손익)</t>
  </si>
  <si>
    <t>이자수익(비금융표준손익)</t>
  </si>
  <si>
    <t>통신방송제작수익(표준손익)</t>
  </si>
  <si>
    <t>리스렌탈수익(표준손익)</t>
  </si>
  <si>
    <t>기타수익(표준손익)</t>
  </si>
  <si>
    <t>(매출조정)(표준손익)</t>
  </si>
  <si>
    <t>(매출에누리와환입)(표준손익)</t>
  </si>
  <si>
    <t>반품추정매출(표준손익)</t>
  </si>
  <si>
    <t>(매출할인)(표준손익)</t>
  </si>
  <si>
    <t>(매출장려금)(표준손익)</t>
  </si>
  <si>
    <t>(주세담배소비세등)(표준손익)</t>
  </si>
  <si>
    <t>(기타매출조정)(표준손익)</t>
  </si>
  <si>
    <t>매출원가(표준손익)</t>
  </si>
  <si>
    <t>특수관계자매출원가(표준손익)</t>
  </si>
  <si>
    <t>상품매출원가(표준손익)</t>
  </si>
  <si>
    <t>기초상품재고액(표준손익)</t>
  </si>
  <si>
    <t>당기상품매입액(표준손익)</t>
  </si>
  <si>
    <t>재고자산평가손실환입상품매출원가(표준손익)</t>
  </si>
  <si>
    <t>전입상품매출원가(표준손익)</t>
  </si>
  <si>
    <t>(관세환급금)상품매출원가(표준손익)</t>
  </si>
  <si>
    <t>(대체)상품매출원가(표준손익)</t>
  </si>
  <si>
    <t>(기말상품재고액)(표준손익)</t>
  </si>
  <si>
    <t>제품매출원가(표준손익)</t>
  </si>
  <si>
    <t>기초제품재고액(표준손익)</t>
  </si>
  <si>
    <t>당기제조원가(표준손익)</t>
  </si>
  <si>
    <t>재고자산평가손실환입제품매출원가(표준손익)</t>
  </si>
  <si>
    <t>전입제품매출원가(표준손익)</t>
  </si>
  <si>
    <t>(관세환급금)제품매출원가(표준손익)</t>
  </si>
  <si>
    <t>(대체)제품매출원가(표준손익)</t>
  </si>
  <si>
    <t>(기말제품재고액)(표준손익)</t>
  </si>
  <si>
    <t>상품제품매출원가(표준손익)</t>
  </si>
  <si>
    <t>기초재고액(표준손익)</t>
  </si>
  <si>
    <t>당기매입액(표준손익)</t>
  </si>
  <si>
    <t>재고자산평가손실환입상품제품매출원가(표준손익)</t>
  </si>
  <si>
    <t>전입상품제품매출원가(표준손익)</t>
  </si>
  <si>
    <t>(관세환급금)상품제품매출원가(표준손익)</t>
  </si>
  <si>
    <t>(대체)상품제품매출원가(표준손익)</t>
  </si>
  <si>
    <t>(기말재고액)(표준손익)</t>
  </si>
  <si>
    <t>건설계약원가(표준손익)</t>
  </si>
  <si>
    <t>분양원가(표준손익)</t>
  </si>
  <si>
    <t>용역원가(표준손익)</t>
  </si>
  <si>
    <t>임대원가(표준손익)</t>
  </si>
  <si>
    <t>수수료원가(표준손익)</t>
  </si>
  <si>
    <t>로열티원가(표준손익)</t>
  </si>
  <si>
    <t>용지매출원가(표준손익)</t>
  </si>
  <si>
    <t>지분법손실매출원가(표준손익)</t>
  </si>
  <si>
    <t>금융비용(표준손익)</t>
  </si>
  <si>
    <t>이자비용매출원가(표준손익)</t>
  </si>
  <si>
    <t>통신방송제작비매출원가(표준손익)</t>
  </si>
  <si>
    <t>리스렌탈원가매출원가(표준손익)</t>
  </si>
  <si>
    <t>기타매출원가(표준손익)</t>
  </si>
  <si>
    <t>(매출원가조정)(표준손익)</t>
  </si>
  <si>
    <t>(매입에누리와환출)(표준손익)</t>
  </si>
  <si>
    <t>반품추정매출원가(표준손익)</t>
  </si>
  <si>
    <t>(매입할인)(표준손익)</t>
  </si>
  <si>
    <t>(관세환급금)기타매출원가(표준손익)</t>
  </si>
  <si>
    <t>재고자산평가손실환입기타매출원가(표준손익)</t>
  </si>
  <si>
    <t>(기타매출원가조정)(표준손익)</t>
  </si>
  <si>
    <t>매출총이익손실(비금융표준손익)</t>
  </si>
  <si>
    <t>상각후원가로측정하는금융자산의제거로부터발생한이익(표준손익)</t>
  </si>
  <si>
    <t>기타영업수익(비금융표준손익)</t>
  </si>
  <si>
    <t>이자수익기타수익(표준손익)</t>
  </si>
  <si>
    <t>배당금수익기타수익(표준손익)</t>
  </si>
  <si>
    <t>외환거래이익기타수익(표준손익)</t>
  </si>
  <si>
    <t>외환차익기타수익(표준손익)</t>
  </si>
  <si>
    <t>외환환산이익기타수익(표준손익)</t>
  </si>
  <si>
    <t>기타외화거래이익기타수익(표준손익)</t>
  </si>
  <si>
    <t>수수료수익기타수익(표준손익)</t>
  </si>
  <si>
    <t>임대료기타수익(표준손익)</t>
  </si>
  <si>
    <t>로열티수익기타수익(표준손익)</t>
  </si>
  <si>
    <t>연체료수익(표준손익)</t>
  </si>
  <si>
    <t>대손충당금환입기타수익(표준손익)</t>
  </si>
  <si>
    <t>충당부채환입액기타수익(표준손익)</t>
  </si>
  <si>
    <t>자산처분폐기이익기타수익(표준손익)</t>
  </si>
  <si>
    <t>투자부동산처분이익기타수익(표준손익)</t>
  </si>
  <si>
    <t>투자자산처분이익기타수익(표준손익)</t>
  </si>
  <si>
    <t>유형리스자산처분이익기타수익(표준손익)</t>
  </si>
  <si>
    <t>무형자산처분이익기타수익(표준손익)</t>
  </si>
  <si>
    <t>기타자산처분이익기타수익(표준손익)</t>
  </si>
  <si>
    <t>재고자산폐기처분이익기타수익(표준손익)</t>
  </si>
  <si>
    <t>재고자산감모손실환입(표준손익)</t>
  </si>
  <si>
    <t>자산평가이익기타수익(표준손익)</t>
  </si>
  <si>
    <t>자산재평가이익기타수익(표준손익)</t>
  </si>
  <si>
    <t>파생상품이익기타수익(표준손익)</t>
  </si>
  <si>
    <t>파생상품평가이익기타수익(표준손익)</t>
  </si>
  <si>
    <t>파생상품거래이익기타수익(표준손익)</t>
  </si>
  <si>
    <t>기타파생상품이익기타수익(표준손익)</t>
  </si>
  <si>
    <t>자산손상차손환입기타수익(표준손익)</t>
  </si>
  <si>
    <t>재고자산손상차손평가손실환입기타수익(표준손익)</t>
  </si>
  <si>
    <t>유형자산손상차손환입기타수익(표준손익)</t>
  </si>
  <si>
    <t>무형자산손상차손환입기타수익(표준손익)</t>
  </si>
  <si>
    <t>매각예정처분자산집단손상차손환입(표준손익)</t>
  </si>
  <si>
    <t>기타자산손상차손환입기타수익(표준손익)</t>
  </si>
  <si>
    <t>종속기업공동지배기업및관계기업지분법관련이익기타수익(표준손익)</t>
  </si>
  <si>
    <t>법인세환급액기타수익(표준손익)</t>
  </si>
  <si>
    <t>채무면제이익기타수익(표준손익)</t>
  </si>
  <si>
    <t>보험차익기타수익(표준손익)</t>
  </si>
  <si>
    <t>정부보조금으로인한이익(표준손익)</t>
  </si>
  <si>
    <t>순사외적립자산기대수익(표준손익)</t>
  </si>
  <si>
    <t>전기오류수정이익기타수익(표준손익)</t>
  </si>
  <si>
    <t>보험수리적이익(비금융표준손익)</t>
  </si>
  <si>
    <t>기타영업수익기타(비금융표준손익)</t>
  </si>
  <si>
    <t>판매비와관리비물류원가등포함(표준손익)</t>
  </si>
  <si>
    <t>급여(표준손익)</t>
  </si>
  <si>
    <t>퇴직급여(표준손익)</t>
  </si>
  <si>
    <t>명예퇴직(표준손익)</t>
  </si>
  <si>
    <t>복리후생비(표준손익)</t>
  </si>
  <si>
    <t>주식보상비(표준손익)</t>
  </si>
  <si>
    <t>교육훈련비(표준손익)</t>
  </si>
  <si>
    <t>여비교통비(표준손익)</t>
  </si>
  <si>
    <t>통신비(표준손익)</t>
  </si>
  <si>
    <t>소모품비(표준손익)</t>
  </si>
  <si>
    <t>수도광열비(표준손익)</t>
  </si>
  <si>
    <t>세금과공과판관비(표준손익)</t>
  </si>
  <si>
    <t>협회비등(표준손익)</t>
  </si>
  <si>
    <t>임차료(표준손익)</t>
  </si>
  <si>
    <t>리스료(표준손익)</t>
  </si>
  <si>
    <t>전산처리비(표준손익)</t>
  </si>
  <si>
    <t>도서구입비(표준손익)</t>
  </si>
  <si>
    <t>수선비(표준손익)</t>
  </si>
  <si>
    <t>차량유지비(표준손익)</t>
  </si>
  <si>
    <t>보험료(표준손익)</t>
  </si>
  <si>
    <t>보상비(표준손익)</t>
  </si>
  <si>
    <t>사무비(표준손익)</t>
  </si>
  <si>
    <t>체육비(표준손익)</t>
  </si>
  <si>
    <t>지급수수료(표준손익)</t>
  </si>
  <si>
    <t>용역비(표준손익)</t>
  </si>
  <si>
    <t>미분양주택관리비판관비(표준손익)</t>
  </si>
  <si>
    <t>기타관리비(표준손익)</t>
  </si>
  <si>
    <t>광고선전비(표준손익)</t>
  </si>
  <si>
    <t>도서인쇄비(표준손익)</t>
  </si>
  <si>
    <t>견본비(표준손익)</t>
  </si>
  <si>
    <t>해외시장개척비(표준손익)</t>
  </si>
  <si>
    <t>수출비용(표준손익)</t>
  </si>
  <si>
    <t>판매촉진비(표준손익)</t>
  </si>
  <si>
    <t>판매수수료(표준손익)</t>
  </si>
  <si>
    <t>분양대행수수료(표준손익)</t>
  </si>
  <si>
    <t>광고대행수수료(표준손익)</t>
  </si>
  <si>
    <t>보관료(표준손익)</t>
  </si>
  <si>
    <t>포장비(표준손익)</t>
  </si>
  <si>
    <t>운반비(표준손익)</t>
  </si>
  <si>
    <t>기타물류원가(표준손익)</t>
  </si>
  <si>
    <t>애프터서비스비(표준손익)</t>
  </si>
  <si>
    <t>대손상각비판관비(표준손익)</t>
  </si>
  <si>
    <t>감가상각비(표준손익)</t>
  </si>
  <si>
    <t>개발비상각(표준손익)</t>
  </si>
  <si>
    <t>기타무형자산상각비(표준손익)</t>
  </si>
  <si>
    <t>수주비상각(표준손익)</t>
  </si>
  <si>
    <t>기타비화폐적비용(표준손익)</t>
  </si>
  <si>
    <t>하자보수충당부채전입액(표준손익)</t>
  </si>
  <si>
    <t>반품비용(표준손익)</t>
  </si>
  <si>
    <t>행사비(표준손익)</t>
  </si>
  <si>
    <t>접대비(표준손익)</t>
  </si>
  <si>
    <t>연구개발비(표준손익)</t>
  </si>
  <si>
    <t>특허권등사용료(표준손익)</t>
  </si>
  <si>
    <t>국제정산부담금(표준손익)</t>
  </si>
  <si>
    <t>전용회선료회선사용료(표준손익)</t>
  </si>
  <si>
    <t>접속료(표준손익)</t>
  </si>
  <si>
    <t>정산료(표준손익)</t>
  </si>
  <si>
    <t>상품매출원가판관비(표준손익)</t>
  </si>
  <si>
    <t>제품매출원가판관비(표준손익)</t>
  </si>
  <si>
    <t>통신방송제작비판관비(표준손익)</t>
  </si>
  <si>
    <t>리스렌탈원가판관비(표준손익)</t>
  </si>
  <si>
    <t>기타판매비(표준손익)</t>
  </si>
  <si>
    <t>기타판매비와관리비물류원가등포함(표준손익)</t>
  </si>
  <si>
    <t>기타영업비용(비금융표준손익)</t>
  </si>
  <si>
    <t>이자비용기타비용(표준손익)</t>
  </si>
  <si>
    <t>외환거래손실기타비용(표준손익)</t>
  </si>
  <si>
    <t>외환차손기타비용(표준손익)</t>
  </si>
  <si>
    <t>외화환산손실기타비용(표준손익)</t>
  </si>
  <si>
    <t>기타외환거래손실기타비용(표준손익)</t>
  </si>
  <si>
    <t>기타대손상각비기타비용(표준손익)</t>
  </si>
  <si>
    <t>충당부채전입액기타비용(표준손익)</t>
  </si>
  <si>
    <t>분양관리비(표준손익)</t>
  </si>
  <si>
    <t>하자보수비(표준손익)</t>
  </si>
  <si>
    <t>기부금기타비용(표준손익)</t>
  </si>
  <si>
    <t>자산처분폐기손실기타비용(표준손익)</t>
  </si>
  <si>
    <t>투자부동산처분손실기타비용(표준손익)</t>
  </si>
  <si>
    <t>투자자산처분손실기타비용(표준손익)</t>
  </si>
  <si>
    <t>유형리스자산처분손실기타비용(표준손익)</t>
  </si>
  <si>
    <t>무형자산처분손실기타비용(표준손익)</t>
  </si>
  <si>
    <t>기타자산처분손실기타비용(표준손익)</t>
  </si>
  <si>
    <t>재고자산폐기처분손실기타비용(표준손익)</t>
  </si>
  <si>
    <t>재고자산감모손실(표준손익)</t>
  </si>
  <si>
    <t>자산평가손실기타비용(표준손익)</t>
  </si>
  <si>
    <t>자산재평가손실기타비용(표준손익)</t>
  </si>
  <si>
    <t>파생상품손실기타비용(표준손익)</t>
  </si>
  <si>
    <t>파생상품평가손실기타비용(표준손익)</t>
  </si>
  <si>
    <t>파생상품거래손실기타비용(표준손익)</t>
  </si>
  <si>
    <t>기타파생상품손실기타비용(표준손익)</t>
  </si>
  <si>
    <t>자산손상차손기타비용(표준손익)</t>
  </si>
  <si>
    <t>재고자산손상차손평가손실기타비용(표준손익)</t>
  </si>
  <si>
    <t>유형자산손상차손기타비용(표준손익)</t>
  </si>
  <si>
    <t>임대주택자산손상차손기타비용(표준손익)</t>
  </si>
  <si>
    <t>영업권손상차손기타비용(표준손익)</t>
  </si>
  <si>
    <t>무형자산손상차손기타비용(표준손익)</t>
  </si>
  <si>
    <t>매각예정처분자산집단손상차손(표준손익)</t>
  </si>
  <si>
    <t>기타자산손상차손기타비용(표준손익)</t>
  </si>
  <si>
    <t>종속기업공동지배기업및관계기업지분법관련손실기타비용(표준손익)</t>
  </si>
  <si>
    <t>법인세추납액기타비용(표준손익)</t>
  </si>
  <si>
    <t>구조조정활동비용(표준손익)</t>
  </si>
  <si>
    <t>정부보조금으로인한손실(표준손익)</t>
  </si>
  <si>
    <t>전기오류수정손실기타비용(표준손익)</t>
  </si>
  <si>
    <t>보험수리적손실(비금융표준손익)</t>
  </si>
  <si>
    <t>기타영업비용기타(비금융표준손익)</t>
  </si>
  <si>
    <t>영업이익(표준손익)</t>
  </si>
  <si>
    <t>EBITDA(표준손익)</t>
  </si>
  <si>
    <t>영업이익매출총이익판관비(표준손익)</t>
  </si>
  <si>
    <t>EBITDA(GAAP)(표준손익)</t>
  </si>
  <si>
    <t>기타이익(표준손익)</t>
  </si>
  <si>
    <t>이자수익기타이익(표준손익)</t>
  </si>
  <si>
    <t>배당금수익기타이익(표준손익)</t>
  </si>
  <si>
    <t>외환거래이익기타이익(표준손익)</t>
  </si>
  <si>
    <t>외환차익기타이익(표준손익)</t>
  </si>
  <si>
    <t>외환환산이익기타이익(표준손익)</t>
  </si>
  <si>
    <t>기타외화거래이익기타이익(표준손익)</t>
  </si>
  <si>
    <t>수수료수익기타이익(표준손익)</t>
  </si>
  <si>
    <t>임대료기타이익(표준손익)</t>
  </si>
  <si>
    <t>로열티수익기타이익(표준손익)</t>
  </si>
  <si>
    <t>대손충당금환입기타이익(표준손익)</t>
  </si>
  <si>
    <t>충당부채환입액기타이익(표준손익)</t>
  </si>
  <si>
    <t>자산처분폐기이익기타이익(표준손익)</t>
  </si>
  <si>
    <t>투자부동산처분이익기타이익(표준손익)</t>
  </si>
  <si>
    <t>투자자산처분이익기타이익(표준손익)</t>
  </si>
  <si>
    <t>유형리스자산처분이익기타이익(표준손익)</t>
  </si>
  <si>
    <t>임대주택자산처분이익기타이익(표준손익)</t>
  </si>
  <si>
    <t>무형자산처분이익기타이익(표준손익)</t>
  </si>
  <si>
    <t>매각예정처분자산집단처분이익(표준손익)</t>
  </si>
  <si>
    <t>당기손익공정가치측정금융자산처분이익기타이익(표준손익)</t>
  </si>
  <si>
    <t>기타포괄손익공정가치측정금융자산처분이익기타이익(표준손익)</t>
  </si>
  <si>
    <t>상각후원가측정금융자산처분이익기타이익(표준손익)</t>
  </si>
  <si>
    <t>기타자산처분이익기타이익(표준손익)</t>
  </si>
  <si>
    <t>재고자산폐기처분이익기타이익(표준손익)</t>
  </si>
  <si>
    <t>당기손익공정가치측정금융자산평가이익기타이익(표준손익)</t>
  </si>
  <si>
    <t>자산평가이익기타이익(표준손익)</t>
  </si>
  <si>
    <t>자산재평가이익기타이익(표준손익)</t>
  </si>
  <si>
    <t>파생상품이익기타이익(표준손익)</t>
  </si>
  <si>
    <t>파생상품평가이익기타이익(표준손익)</t>
  </si>
  <si>
    <t>파생상품거래이익기타이익(표준손익)</t>
  </si>
  <si>
    <t>기타파생상품이익기타이익(표준손익)</t>
  </si>
  <si>
    <t>자산손상차손환입기타이익(표준손익)</t>
  </si>
  <si>
    <t>재고자산손상차손평가손실환입기타이익(표준손익)</t>
  </si>
  <si>
    <t>유형자산손상차손환입기타이익(표준손익)</t>
  </si>
  <si>
    <t>임대주택자산손상차손환입기타이익(표준손익)</t>
  </si>
  <si>
    <t>무형자산손상차손환입기타이익(표준손익)</t>
  </si>
  <si>
    <t>기타포괄손익공정가치측정금융자산손상차손환입기타이익(표준손익)</t>
  </si>
  <si>
    <t>기타자산손상차손환입기타이익(표준손익)</t>
  </si>
  <si>
    <t>종속기업공동지배기업및관계기업지분법관련이익기타이익(표준손익)</t>
  </si>
  <si>
    <t>금융부채관련이익기타이익(표준손익)</t>
  </si>
  <si>
    <t>사채상환이익기타이익(표준손익)</t>
  </si>
  <si>
    <t>법인세환급액기타이익(표준손익)</t>
  </si>
  <si>
    <t>채무면제이익기타이익(표준손익)</t>
  </si>
  <si>
    <t>보험차익기타이익(표준손익)</t>
  </si>
  <si>
    <t>퇴직연금운용이익(비금융표준손익)</t>
  </si>
  <si>
    <t>전기오류수정이익기타이익(표준손익)</t>
  </si>
  <si>
    <t>기타이익기타(표준손익)</t>
  </si>
  <si>
    <t>기타손실(표준손익)</t>
  </si>
  <si>
    <t>이자비용기타손실(표준손익)</t>
  </si>
  <si>
    <t>외환거래손실기타손실(표준손익)</t>
  </si>
  <si>
    <t>외환차손기타손실(표준손익)</t>
  </si>
  <si>
    <t>외화환산손실기타손실(표준손익)</t>
  </si>
  <si>
    <t>기타외환거래손실기타손실(표준손익)</t>
  </si>
  <si>
    <t>기타대손상각비기타손실(표준손익)</t>
  </si>
  <si>
    <t>충당부채전입액기타손실(표준손익)</t>
  </si>
  <si>
    <t>기부금기타손실(표준손익)</t>
  </si>
  <si>
    <t>자산처분폐기손실기타손실(표준손익)</t>
  </si>
  <si>
    <t>매출채권처분손실기타손실(표준손익)</t>
  </si>
  <si>
    <t>투자부동산처분손실기타손실(표준손익)</t>
  </si>
  <si>
    <t>투자자산처분손실기타손실(표준손익)</t>
  </si>
  <si>
    <t>유형리스자산처분손실기타손실(표준손익)</t>
  </si>
  <si>
    <t>임대주택자산처분손실기타손실(표준손익)</t>
  </si>
  <si>
    <t>무형자산처분손실기타손실(표준손익)</t>
  </si>
  <si>
    <t>매각예정처분자산집단처분손실(표준손익)</t>
  </si>
  <si>
    <t>당기손익공정가치측정금융자산처분손실기타손실(표준손익)</t>
  </si>
  <si>
    <t>기타포괄손익공정가치측정금융자산처분손실기타손실(표준손익)</t>
  </si>
  <si>
    <t>상각후원가측정금융자산처분손실기타손실(표준손익)</t>
  </si>
  <si>
    <t>기타자산처분손실기타손실(표준손익)</t>
  </si>
  <si>
    <t>재고자산폐기처분손실기타손실(표준손익)</t>
  </si>
  <si>
    <t>당기손익공정가치측정금융자산평가손실기타손실(표준손익)</t>
  </si>
  <si>
    <t>자산평가손실기타손실(표준손익)</t>
  </si>
  <si>
    <t>자산재평가손실기타손실(표준손익)</t>
  </si>
  <si>
    <t>파생상품손실기타손실(표준손익)</t>
  </si>
  <si>
    <t>파생상품평가손실기타손실(표준손익)</t>
  </si>
  <si>
    <t>파생상품거래손실기타손실(표준손익)</t>
  </si>
  <si>
    <t>기타파생상품손실기타손실(표준손익)</t>
  </si>
  <si>
    <t>자산손상차손기타손실(표준손익)</t>
  </si>
  <si>
    <t>재고자산손상차손평가손실기타손실(표준손익)</t>
  </si>
  <si>
    <t>유형자산손상차손기타손실(표준손익)</t>
  </si>
  <si>
    <t>영업권손상차손기타손실(표준손익)</t>
  </si>
  <si>
    <t>무형자산손상차손기타손실(표준손익)</t>
  </si>
  <si>
    <t>기타포괄손익공정가치측정금융자산손상차손기타손실(표준손익)</t>
  </si>
  <si>
    <t>상각후원가측정금융자산손상차손기타손실(표준손익)</t>
  </si>
  <si>
    <t>기타자산손상차손기타손실(표준손익)</t>
  </si>
  <si>
    <t>종속기업공동지배기업및관계기업지분법관련손실기타손실(표준손익)</t>
  </si>
  <si>
    <t>금융부채관련손실기타손실(표준손익)</t>
  </si>
  <si>
    <t>사채상환손실기타손실(표준손익)</t>
  </si>
  <si>
    <t>법인세추납액기타손실(표준손익)</t>
  </si>
  <si>
    <t>퇴직연금운용손실(비금융표준손익)</t>
  </si>
  <si>
    <t>전기오류수정손실기타손실(표준손익)</t>
  </si>
  <si>
    <t>기타손실기타(표준손익)</t>
  </si>
  <si>
    <t>금융수익(표준손익)</t>
  </si>
  <si>
    <t>이자수익금융수익(표준손익)</t>
  </si>
  <si>
    <t>배당금수익금융수익(표준손익)</t>
  </si>
  <si>
    <t>외환거래이익금융수익(표준손익)</t>
  </si>
  <si>
    <t>외환차익금융수익(표준손익)</t>
  </si>
  <si>
    <t>외환환산이익금융수익(표준손익)</t>
  </si>
  <si>
    <t>기타외화거래이익금융수익(표준손익)</t>
  </si>
  <si>
    <t>대손충당금환입액(비금융표준손익)</t>
  </si>
  <si>
    <t>당기손익공정가치측정금융자산관련이익(비금융표준손익)</t>
  </si>
  <si>
    <t>금융자산처분이익(표준손익)</t>
  </si>
  <si>
    <t>당기손익공정가치측정금융자산처분이익금융수익(표준손익)</t>
  </si>
  <si>
    <t>기타포괄손익공정가치측정금융자산처분이익금융수익(표준손익)</t>
  </si>
  <si>
    <t>상각후원가측정금융자산처분이익금융수익(표준손익)</t>
  </si>
  <si>
    <t>당기손익인식지정금융자산처분이익(표준손익)</t>
  </si>
  <si>
    <t>단기매매금융자산처분이익(비금융표준손익)</t>
  </si>
  <si>
    <t>단기투자자산처분이익(표준손익)</t>
  </si>
  <si>
    <t>매도가능금융자산처분이익(비금융표준손익)</t>
  </si>
  <si>
    <t>만기보유금융자산처분이익(비금융표준손익)</t>
  </si>
  <si>
    <t>기타금융자산처분이익(표준손익)</t>
  </si>
  <si>
    <t>매출채권처분이익(표준손익)</t>
  </si>
  <si>
    <t>금융자산평가이익(표준손익)</t>
  </si>
  <si>
    <t>당기손익공정가치측정금융자산평가이익금융수익(표준손익)</t>
  </si>
  <si>
    <t>당기손익인식지정금융자산평가이익(비금융표준손익)</t>
  </si>
  <si>
    <t>단기매매금융자산평가이익(비금융표준손익)</t>
  </si>
  <si>
    <t>단기투자자산평가이익(표준손익)</t>
  </si>
  <si>
    <t>매도가능금융자산평가이익(표준손익)</t>
  </si>
  <si>
    <t>만기보유금융자산평가이익(표준손익)</t>
  </si>
  <si>
    <t>기타금융자산평가이익(표준손익)</t>
  </si>
  <si>
    <t>파생상품이익금융수익(표준손익)</t>
  </si>
  <si>
    <t>파생상품평가이익금융수익(표준손익)</t>
  </si>
  <si>
    <t>파생상품거래이익금융수익(표준손익)</t>
  </si>
  <si>
    <t>기타파생상품이익금융수익(표준손익)</t>
  </si>
  <si>
    <t>금융자산손상차손환입(표준손익)</t>
  </si>
  <si>
    <t>기타포괄손익공정가치측정금융자산손상차손환입금융수익(표준손익)</t>
  </si>
  <si>
    <t>상각후원가측정금융자산손상차손환입금융수익(표준손익)</t>
  </si>
  <si>
    <t>매도가능금융자산손상차손환입(비금융표준손익)</t>
  </si>
  <si>
    <t>만기보유금융자산손상차손환입(비금융표준손익)</t>
  </si>
  <si>
    <t>기타금융자산손상차손환입(표준손익)</t>
  </si>
  <si>
    <t>종속기업공동지배기업및관계기업지분법관련이익금융수익(표준손익)</t>
  </si>
  <si>
    <t>금융부채관련이익금융수익(표준손익)</t>
  </si>
  <si>
    <t>사채상환이익금융수익(표준손익)</t>
  </si>
  <si>
    <t>기타금융수익(비금융표준손익)</t>
  </si>
  <si>
    <t>금융원가(표준손익)</t>
  </si>
  <si>
    <t>이자비용금융원가(표준손익)</t>
  </si>
  <si>
    <t>외환거래손실금융원가(표준손익)</t>
  </si>
  <si>
    <t>외환차손금융원가(표준손익)</t>
  </si>
  <si>
    <t>외화환산손실금융원가(표준손익)</t>
  </si>
  <si>
    <t>기타외환거래손실금융원가(표준손익)</t>
  </si>
  <si>
    <t>대손상각비금융원가(표준손익)</t>
  </si>
  <si>
    <t>당기손익공정가치측정금융자산관련손실(비금융표준손익)</t>
  </si>
  <si>
    <t>금융자산처분손실(표준손익)</t>
  </si>
  <si>
    <t>당기손익공정가치측정금융자산처분손실금융원가(표준손익)</t>
  </si>
  <si>
    <t>기타포괄손익공정가치측정금융자산처분손실금융원가(표준손익)</t>
  </si>
  <si>
    <t>상각후원가측정금융자산처분손실금융원가(표준손익)</t>
  </si>
  <si>
    <t>당기손익인식지정금융자산처분손실(표준손익)</t>
  </si>
  <si>
    <t>단기매매금융자산처분손실(비금융표준손익)</t>
  </si>
  <si>
    <t>단기투자자산처분손실(표준손익)</t>
  </si>
  <si>
    <t>매도가능금융자산처분손실(비금융표준손익)</t>
  </si>
  <si>
    <t>만기보유금융자산처분손실(비금융표준손익)</t>
  </si>
  <si>
    <t>기타금융자산처분손실(표준손익)</t>
  </si>
  <si>
    <t>매출채권처분손실금융원가(표준손익)</t>
  </si>
  <si>
    <t>금융자산평가손실(표준손익)</t>
  </si>
  <si>
    <t>당기손익공정가치측정금융자산평가손실금융원가(표준손익)</t>
  </si>
  <si>
    <t>당기손익인식지정금융자산평가손실(비금융표준손익)</t>
  </si>
  <si>
    <t>단기매매금융자산평가손실(비금융표준손익)</t>
  </si>
  <si>
    <t>단기투자자산평가손실(표준손익)</t>
  </si>
  <si>
    <t>매도가능금융자산평가손실(표준손익)</t>
  </si>
  <si>
    <t>만기보유금융자산평가손실(표준손익)</t>
  </si>
  <si>
    <t>기타금융자산평가손실(표준손익)</t>
  </si>
  <si>
    <t>파생상품손실금융원가(표준손익)</t>
  </si>
  <si>
    <t>파생상품평가손실금융원가(표준손익)</t>
  </si>
  <si>
    <t>파생상품거래손실금융원가(표준손익)</t>
  </si>
  <si>
    <t>기타파생상품손실금융원가(표준손익)</t>
  </si>
  <si>
    <t>금융자산손상차손(표준손익)</t>
  </si>
  <si>
    <t>기타포괄손익공정가치측정금융자산손상차손금융원가(표준손익)</t>
  </si>
  <si>
    <t>상각후원가측정금융자산손상차손금융원가(표준손익)</t>
  </si>
  <si>
    <t>매도가능금융자산손상차손(비금융표준손익)</t>
  </si>
  <si>
    <t>만기보유금융자산손상차손(비금융표준손익)</t>
  </si>
  <si>
    <t>기타금융자산손상차손(표준손익)</t>
  </si>
  <si>
    <t>종속기업공동지배기업및관계기업지분법관련손실금융원가(표준손익)</t>
  </si>
  <si>
    <t>금융부채관련손실금융원가(표준손익)</t>
  </si>
  <si>
    <t>사채상환손실금융원가(표준손익)</t>
  </si>
  <si>
    <t>기타금융원가(표준손익)</t>
  </si>
  <si>
    <t>종속기업공동지배기업및관계기업관련손익(표준손익)</t>
  </si>
  <si>
    <t>지분법관련손익(표준손익)</t>
  </si>
  <si>
    <t>지분법이익지분법관련손익(표준손익)</t>
  </si>
  <si>
    <t>지분법손실지분법관련손익(표준손익)</t>
  </si>
  <si>
    <t>지분법적용회사투자이익(표준손익)</t>
  </si>
  <si>
    <t>지분법적용회사투자손실(표준손익)</t>
  </si>
  <si>
    <t>지분법적용투자주식처분이익(표준손익)</t>
  </si>
  <si>
    <t>지분법적용투자주식처분손실(표준손익)</t>
  </si>
  <si>
    <t>지분법적용투자주식손상차손(표준손익)</t>
  </si>
  <si>
    <t>기타지분법관련손익(표준손익)</t>
  </si>
  <si>
    <t>관계기업관련손익(표준손익)</t>
  </si>
  <si>
    <t>관계기업처분이익(표준손익)</t>
  </si>
  <si>
    <t>관계기업처분손실(표준손익)</t>
  </si>
  <si>
    <t>관계기업손상차손환입(표준손익)</t>
  </si>
  <si>
    <t>관계기업손상차손(표준손익)</t>
  </si>
  <si>
    <t>기타관계기업관련손익(표준손익)</t>
  </si>
  <si>
    <t>종속기업관련손익(표준손익)</t>
  </si>
  <si>
    <t>종속기업처분이익(표준손익)</t>
  </si>
  <si>
    <t>종속기업처분손실(표준손익)</t>
  </si>
  <si>
    <t>종속기업손상차손환입(표준손익)</t>
  </si>
  <si>
    <t>종속기업손상차손(표준손익)</t>
  </si>
  <si>
    <t>기타종속기업관련손익(표준손익)</t>
  </si>
  <si>
    <t>기타종속기업공동지배기업및관계기업관련손익(표준손익)</t>
  </si>
  <si>
    <t>법인세비용차감전순이익손실(표준손익)</t>
  </si>
  <si>
    <t>법인세비용(표준손익)</t>
  </si>
  <si>
    <t>계속영업이익손실(표준손익)</t>
  </si>
  <si>
    <t>중단영업이익손실(표준손익)</t>
  </si>
  <si>
    <t>중단영업손익법인세효과(표준손익)</t>
  </si>
  <si>
    <t>당기순이익손실(표준손익)</t>
  </si>
  <si>
    <t>기타포괄손익(표준손익)</t>
  </si>
  <si>
    <t>금융자산평가손익(표준손익)</t>
  </si>
  <si>
    <t>기타포괄손익공정가치측정금융자산평가손익(표준손익)</t>
  </si>
  <si>
    <t>당기손익조정접근법조정손익(표준손익)</t>
  </si>
  <si>
    <t>당기손익공정가치측정금융부채평가손익(표준손익)</t>
  </si>
  <si>
    <t>매도가능금융자산평가손익(표준손익)</t>
  </si>
  <si>
    <t>관계기업등기타포괄손익(표준손익)</t>
  </si>
  <si>
    <t>환산관련외환차이환율변동차이(표준손익)</t>
  </si>
  <si>
    <t>해외사업장순투자위험회피(표준손익)</t>
  </si>
  <si>
    <t>현금흐름위험회피적립금(표준손익)</t>
  </si>
  <si>
    <t>확정급여제도의보험수리적손익(표준손익)</t>
  </si>
  <si>
    <t>확정급여제도의재측정요소(표준손익)</t>
  </si>
  <si>
    <t>주식기준보상적립금(표준손익)</t>
  </si>
  <si>
    <t>재평가손익(표준손익)</t>
  </si>
  <si>
    <t>기타포괄손익기타(표준손익)</t>
  </si>
  <si>
    <t>기타포괄손익관련법인세(표준손익)</t>
  </si>
  <si>
    <t>총포괄손익(표준손익)</t>
  </si>
  <si>
    <t>당기순손익귀속지배기업주주지분(표준손익)</t>
  </si>
  <si>
    <t>계속영업손익귀속지배기업주주지분(표준손익)</t>
  </si>
  <si>
    <t>중단영업손익지배(표준손익)</t>
  </si>
  <si>
    <t>당기순손익귀속비지배주주지분(표준손익)</t>
  </si>
  <si>
    <t>계속영업손익귀속비지배기업주주지분(표준손익)</t>
  </si>
  <si>
    <t>중단영업손익비지배(표준손익)</t>
  </si>
  <si>
    <t>총포괄손익귀속지배기업주주지분(표준손익)</t>
  </si>
  <si>
    <t>총포괄손익귀속비지배주주지분(표준손익)</t>
  </si>
  <si>
    <t>주당계속영업이익(표준손익)</t>
  </si>
  <si>
    <t>주당순손익(표준손익)</t>
  </si>
  <si>
    <t>희석주당계속영업이익(표준손익)</t>
  </si>
  <si>
    <t>희석주당순손익(표준손익)</t>
  </si>
  <si>
    <t>지배기업주주지분주당계속영업이익(표준손익)</t>
  </si>
  <si>
    <t>지배기업주주지분주당순손익(표준손익)</t>
  </si>
  <si>
    <t>지배기업주주지분희석주당계속영업이익(표준손익)</t>
  </si>
  <si>
    <t>지배기업주주지분희석주당순손익(표준손익)</t>
  </si>
  <si>
    <t>성격별비용계정(표준손익)</t>
  </si>
  <si>
    <t>제품과재공품의변동(표준손익)</t>
  </si>
  <si>
    <t>기업이수행한용역으로서자본화되어있는부분(표준손익)</t>
  </si>
  <si>
    <t>원재료와저장품소모품의사용액(표준손익)</t>
  </si>
  <si>
    <t>상품의판매(표준손익)</t>
  </si>
  <si>
    <t>기타원가(표준손익)</t>
  </si>
  <si>
    <t>종업원급여비용(표준손익)</t>
  </si>
  <si>
    <t>감가상각비와기타상각비및손상차손(표준손익)</t>
  </si>
  <si>
    <t>세금과공과(표준손익)</t>
  </si>
  <si>
    <t>대손상각비(표준손익)</t>
  </si>
  <si>
    <t>물류비운송보관(표준손익)</t>
  </si>
  <si>
    <t>광고및판매촉진비(표준손익)</t>
  </si>
  <si>
    <t>임차료및리스료(표준손익)</t>
  </si>
  <si>
    <t>경상연구개발비(표준손익)</t>
  </si>
  <si>
    <t>기타비용(표준손익)</t>
  </si>
  <si>
    <t>기말자본금(표준자본변동)</t>
  </si>
  <si>
    <t>기초자본금(표준자본변동)</t>
  </si>
  <si>
    <t>유상증자감자자본(표준자본변동)</t>
  </si>
  <si>
    <t>무상증자감자자본(표준자본변동)</t>
  </si>
  <si>
    <t>주식매수선택권자본(표준자본변동)</t>
  </si>
  <si>
    <t>전환사채(표준자본변동)</t>
  </si>
  <si>
    <t>신주인수권부사채(표준자본변동)</t>
  </si>
  <si>
    <t>주식배당(표준자본변동)</t>
  </si>
  <si>
    <t>합병분할영업양수도등로인한변동자본(표준자본변동)</t>
  </si>
  <si>
    <t>회계정책변경누적효과자본(표준자본변동)</t>
  </si>
  <si>
    <t>오류수정등자본(표준자본변동)</t>
  </si>
  <si>
    <t>외화환산차이자본(표준자본변동)</t>
  </si>
  <si>
    <t>기타기말자본금(표준자본변동)</t>
  </si>
  <si>
    <t>기말신종자본증권(표준자본변동)</t>
  </si>
  <si>
    <t>기초신종자본증권(표준자본변동)</t>
  </si>
  <si>
    <t>신종자본증권의발행(표준자본변동)</t>
  </si>
  <si>
    <t>기타기말신종자본증권(표준자본변동)</t>
  </si>
  <si>
    <t>기말자본잉여금(표준자본변동)</t>
  </si>
  <si>
    <t>기초자본잉여금(표준자본변동)</t>
  </si>
  <si>
    <t>유상증자감자기말자본잉여(표준자본변동)</t>
  </si>
  <si>
    <t>무상증자감자기말자본잉여(표준자본변동)</t>
  </si>
  <si>
    <t>주식발행초과금(표준자본변동)</t>
  </si>
  <si>
    <t>주식매수선택권기말자본잉여(표준자본변동)</t>
  </si>
  <si>
    <t>감자차손익기말자본잉여(표준자본변동)</t>
  </si>
  <si>
    <t>보험차익(표준자본변동)</t>
  </si>
  <si>
    <t>자기주식처분손익(표준자본변동)</t>
  </si>
  <si>
    <t>전환권대가전환사채(표준자본변동)</t>
  </si>
  <si>
    <t>신주인수권대가신주인수권부사채(표준자본변동)</t>
  </si>
  <si>
    <t>교환권대가교환사채(표준자본변동)</t>
  </si>
  <si>
    <t>전환권재매입손익자본잉여(표준자본변동)</t>
  </si>
  <si>
    <t>결손금처리자본잉여(표준자본변동)</t>
  </si>
  <si>
    <t>지분법자본잉여금(표준자본변동)</t>
  </si>
  <si>
    <t>합병분할영업양수도등로인한변동자본잉여(표준자본변동)</t>
  </si>
  <si>
    <t>회계정책변경누적효과자본잉여(표준자본변동)</t>
  </si>
  <si>
    <t>오류수정등자본잉여(표준자본변동)</t>
  </si>
  <si>
    <t>연결범위의변동자본잉여(표준자본변동)</t>
  </si>
  <si>
    <t>외화환산차이자본잉여(표준자본변동)</t>
  </si>
  <si>
    <t>기타기말자본잉여금(표준자본변동)</t>
  </si>
  <si>
    <t>기말기타자본(표준자본변동)</t>
  </si>
  <si>
    <t>기초기타자본(표준자본변동)</t>
  </si>
  <si>
    <t>자기주식(표준자본변동)</t>
  </si>
  <si>
    <t>자기주식처분손실(표준자본변동)</t>
  </si>
  <si>
    <t>주식할인발행차금(표준자본변동)</t>
  </si>
  <si>
    <t>주식매입선택권(표준자본변동)</t>
  </si>
  <si>
    <t>파생상품평가이익(표준자본변동)</t>
  </si>
  <si>
    <t>파생상품평가손실(표준자본변동)</t>
  </si>
  <si>
    <t>출자전환채무(표준자본변동)</t>
  </si>
  <si>
    <t>신주청약증거금(표준자본변동)</t>
  </si>
  <si>
    <t>감자차손익기타자본(표준자본변동)</t>
  </si>
  <si>
    <t>전환권재매입손익기타자본(표준자본변동)</t>
  </si>
  <si>
    <t>지분법자본조정(표준자본변동)</t>
  </si>
  <si>
    <t>합병분할영업양수도등로인한변동기타자본(표준자본변동)</t>
  </si>
  <si>
    <t>회계정책변경누적효과기타자본(표준자본변동)</t>
  </si>
  <si>
    <t>오류수정등기타자본(표준자본변동)</t>
  </si>
  <si>
    <t>연결범위의변동기타자본(표준자본변동)</t>
  </si>
  <si>
    <t>외화환산차이기타자본(표준자본변동)</t>
  </si>
  <si>
    <t>기타기말기타자본(표준자본변동)</t>
  </si>
  <si>
    <t>기말기타포괄손익누계액(표준자본변동)</t>
  </si>
  <si>
    <t>기초기타포괄손익누계액(표준자본변동)</t>
  </si>
  <si>
    <t>금융자산평가손익누계(표준자본변동)</t>
  </si>
  <si>
    <t>기타포괄손익공정가치측정금융자산평가손익누계(표준자본변동)</t>
  </si>
  <si>
    <t>당기손익조정접근법조정손익(표준자본변동)</t>
  </si>
  <si>
    <t>당기손익공정가치측정금융부채평가손익(표준자본변동)</t>
  </si>
  <si>
    <t>매도가능금융자산평가손익누계(표준자본변동)</t>
  </si>
  <si>
    <t>관계기업등기타포괄손익(표준자본변동)</t>
  </si>
  <si>
    <t>환산관련외환차이적립금환율변동차이누계(표준자본변동)</t>
  </si>
  <si>
    <t>해외사업장순투자위험회피적립금누계(표준자본변동)</t>
  </si>
  <si>
    <t>확정급여제도의보험수리적손익적립금누계(표준자본변동)</t>
  </si>
  <si>
    <t>확정급여제도의재측정요소누계(표준자본변동)</t>
  </si>
  <si>
    <t>현금흐름위험회피적립금누계(표준자본변동)</t>
  </si>
  <si>
    <t>주식기준보상적립금누계(표준자본변동)</t>
  </si>
  <si>
    <t>재평가잉여금누계(표준자본변동)</t>
  </si>
  <si>
    <t>합병분할영업양수도등로인한변동누계(표준자본변동)</t>
  </si>
  <si>
    <t>회계정책변경누적효과누계(표준자본변동)</t>
  </si>
  <si>
    <t>오류수정등누계(표준자본변동)</t>
  </si>
  <si>
    <t>연결범위의변동누계(표준자본변동)</t>
  </si>
  <si>
    <t>외화환산차이누계(표준자본변동)</t>
  </si>
  <si>
    <t>기타포괄손익누계액기타(표준자본변동)</t>
  </si>
  <si>
    <t>기말이익잉여금결손금(표준자본변동)</t>
  </si>
  <si>
    <t>처분후이익잉여금결손금(표준자본변동)</t>
  </si>
  <si>
    <t>수정후이익잉여금결손금(표준자본변동)</t>
  </si>
  <si>
    <t>기초이익잉여금결손금(표준자본변동)</t>
  </si>
  <si>
    <t>회계정책변경누적효과이익잉여(표준자본변동)</t>
  </si>
  <si>
    <t>전기오류수정손익이익잉여(표준자본변동)</t>
  </si>
  <si>
    <t>기타이익잉여금(표준자본변동)</t>
  </si>
  <si>
    <t>(연차배당)(표준자본변동)</t>
  </si>
  <si>
    <t>(신종자본증권분배금)(표준자본변동)</t>
  </si>
  <si>
    <t>주식할인발행차금의상각(표준자본변동)</t>
  </si>
  <si>
    <t>자기주식처분손실의상각(표준자본변동)</t>
  </si>
  <si>
    <t>결손금처리이익잉여(표준자본변동)</t>
  </si>
  <si>
    <t>기타이익잉여금처분액(표준자본변동)</t>
  </si>
  <si>
    <t>(중간배당)이익잉여(표준자본변동)</t>
  </si>
  <si>
    <t>확정급여제도의재측정요소이익잉여(표준자본변동)</t>
  </si>
  <si>
    <t>기타포괄손익(표준자본변동)</t>
  </si>
  <si>
    <t>당기순이익총포괄손익이익잉여(표준자본변동)</t>
  </si>
  <si>
    <t>보험수리적손익(표준자본변동)</t>
  </si>
  <si>
    <t>재평가손익(표준자본변동)</t>
  </si>
  <si>
    <t>지분법이익잉여금(표준자본변동)</t>
  </si>
  <si>
    <t>합병분할영업양수도등로인한변동이익잉여(표준자본변동)</t>
  </si>
  <si>
    <t>연결범위의변동이익잉여(표준자본변동)</t>
  </si>
  <si>
    <t>외화환산차이이익잉여(표준자본변동)</t>
  </si>
  <si>
    <t>기타기말이익잉여금(표준자본변동)</t>
  </si>
  <si>
    <t>기말비지배주주지분(표준자본변동)</t>
  </si>
  <si>
    <t>처분후비지배주주지분(표준자본변동)</t>
  </si>
  <si>
    <t>수정후비지배주주지분(표준자본변동)</t>
  </si>
  <si>
    <t>기초비지배주주지분(표준자본변동)</t>
  </si>
  <si>
    <t>회계정책변경누적효과수정후비지배(표준자본변동)</t>
  </si>
  <si>
    <t>전기오류수정손익수정후비지배(표준자본변동)</t>
  </si>
  <si>
    <t>(종속회사의배당금)(표준자본변동)</t>
  </si>
  <si>
    <t>당기순이익총포괄손익기말비지배(표준자본변동)</t>
  </si>
  <si>
    <t>재평가잉여금기말비지배(표준자본변동)</t>
  </si>
  <si>
    <t>기타포괄손익공정가치측정금융자산평가손익기말비지배(표준자본변동)</t>
  </si>
  <si>
    <t>매도가능금융자산평가손익기말비지배(표준자본변동)</t>
  </si>
  <si>
    <t>관계기업등지분법평가손익(표준자본변동)</t>
  </si>
  <si>
    <t>환산관련외환차이적립금환율변동차이기말비지배(표준자본변동)</t>
  </si>
  <si>
    <t>해외사업장순투자위험회피적립금기말비지배(표준자본변동)</t>
  </si>
  <si>
    <t>확정급여제도의보험수리적손익적립금기말비지배(표준자본변동)</t>
  </si>
  <si>
    <t>확정급여제도의재측정요소기말비지배(표준자본변동)</t>
  </si>
  <si>
    <t>현금흐름위험회피적립금비지배(표준자본변동)</t>
  </si>
  <si>
    <t>주식기준보상적립금비지배(표준자본변동)</t>
  </si>
  <si>
    <t>기타포괄손익누계액(표준자본변동)</t>
  </si>
  <si>
    <t>합병분할로인한변동(표준자본변동)</t>
  </si>
  <si>
    <t>연결범위의변동기말비지배(표준자본변동)</t>
  </si>
  <si>
    <t>기타기말비지배주주지분(표준자본변동)</t>
  </si>
  <si>
    <t>합계(표준자본변동)</t>
  </si>
  <si>
    <t>영업활동으로인한현금흐름간접법(표준현금흐름)</t>
  </si>
  <si>
    <t>직접법총현금유입(표준현금흐름)</t>
  </si>
  <si>
    <t>재화의판매와용역제공에따른현금유입(표준현금흐름)</t>
  </si>
  <si>
    <t>이자수취액(비금융표준현금흐름)</t>
  </si>
  <si>
    <t>법인세환급(비금융표준현금흐름)</t>
  </si>
  <si>
    <t>기타현금유입액(비금융표준현금흐름)</t>
  </si>
  <si>
    <t>직접법총현금유출(표준현금흐름)</t>
  </si>
  <si>
    <t>재화와용역의구입에따른현금유출(표준현금흐름)</t>
  </si>
  <si>
    <t>수입보험료보험금연금및기타급부금관련현금유출(비금융표준현금흐름)</t>
  </si>
  <si>
    <t>이자비용유출액(비금융표준현금흐름)</t>
  </si>
  <si>
    <t>법인세납부(비금융표준현금흐름)</t>
  </si>
  <si>
    <t>기타현금유출액(비금융표준현금흐름)</t>
  </si>
  <si>
    <t>당기순손익(표준현금흐름)</t>
  </si>
  <si>
    <t>법인세비용차감전순손익(표준현금흐름)</t>
  </si>
  <si>
    <t>현금유출이없는비용등가산(표준현금흐름)</t>
  </si>
  <si>
    <t>금융원가(표준현금흐름)</t>
  </si>
  <si>
    <t>이자비용(표준현금흐름)</t>
  </si>
  <si>
    <t>장기미지급이자(표준현금흐름)</t>
  </si>
  <si>
    <t>사채할인발행차금상각(표준현금흐름)</t>
  </si>
  <si>
    <t>현재가치할인발행차금상각(표준현금흐름)</t>
  </si>
  <si>
    <t>기타이자비용(표준현금흐름)</t>
  </si>
  <si>
    <t>배당금지급가산(표준현금흐름)</t>
  </si>
  <si>
    <t>대손상각비대손충당금전입액(비금융표준현금흐름)</t>
  </si>
  <si>
    <t>기타의대손상각비대손충당금전입액(표준현금흐름)</t>
  </si>
  <si>
    <t>퇴직급여(비금융표준현금흐름)</t>
  </si>
  <si>
    <t>종업원급여복리후생비등(표준현금흐름)</t>
  </si>
  <si>
    <t>유·무형감가상각비(표준현금흐름)</t>
  </si>
  <si>
    <t>감가상각비(표준현금흐름)</t>
  </si>
  <si>
    <t>개발비상각(표준현금흐름)</t>
  </si>
  <si>
    <t>기타무형자산상각비(표준현금흐름)</t>
  </si>
  <si>
    <t>계약부채전입액(표준현금흐름)</t>
  </si>
  <si>
    <t>반품환불부채전입액(표준현금흐름)</t>
  </si>
  <si>
    <t>배출부채전입액(표준현금흐름)</t>
  </si>
  <si>
    <t>충당부채전입액(표준현금흐름)</t>
  </si>
  <si>
    <t>외환거래손실(비금융표준현금흐름)</t>
  </si>
  <si>
    <t>외화차손(표준현금흐름)</t>
  </si>
  <si>
    <t>외화환산손실(표준현금흐름)</t>
  </si>
  <si>
    <t>기타외환거래손실(비금융표준현금흐름)</t>
  </si>
  <si>
    <t>주식보상비(비금융표준현금흐름)</t>
  </si>
  <si>
    <t>재고자산폐기처분손실(표준현금흐름)</t>
  </si>
  <si>
    <t>매출채권처분손실(표준현금흐름)</t>
  </si>
  <si>
    <t>당기손익공정가치측정금융자산관련손실(비금융표준현금흐름)</t>
  </si>
  <si>
    <t>금융자산처분손실(표준현금흐름)</t>
  </si>
  <si>
    <t>당기손익공정가치측정금융자산처분손실(비금융표준현금흐름)</t>
  </si>
  <si>
    <t>기타포괄손익공정가치측정금융자산처분손실(비금융표준현금흐름)</t>
  </si>
  <si>
    <t>상각후원가측정금융자산처분손실(비금융표준현금흐름)</t>
  </si>
  <si>
    <t>당기손익인식지정금융상품처분손실(표준현금흐름)</t>
  </si>
  <si>
    <t>단기매매금융자산처분손실(비금융표준현금흐름)</t>
  </si>
  <si>
    <t>단기투자자산처분손실(표준현금흐름)</t>
  </si>
  <si>
    <t>매도가능금융자산처분손실(비금융표준현금흐름)</t>
  </si>
  <si>
    <t>만기보유금융자산처분손실(비금융표준현금흐름)</t>
  </si>
  <si>
    <t>기타금융자산처분손실(표준현금흐름)</t>
  </si>
  <si>
    <t>자산처분폐기손실(표준현금흐름)</t>
  </si>
  <si>
    <t>투자부동산처분손실(표준현금흐름)</t>
  </si>
  <si>
    <t>투자자산처분손실(표준현금흐름)</t>
  </si>
  <si>
    <t>유형리스자산처분손실(표준현금흐름)</t>
  </si>
  <si>
    <t>임대주택자산처분손실(표준현금흐름)</t>
  </si>
  <si>
    <t>무형자산처분손실(비금융표준현금흐름)</t>
  </si>
  <si>
    <t>기타자산처분손실(비금융표준현금흐름)</t>
  </si>
  <si>
    <t>재고자산감모손실(표준현금흐름)</t>
  </si>
  <si>
    <t>금융자산평가손실(표준현금흐름)</t>
  </si>
  <si>
    <t>당기손익공정가치측정금융자산평가손실(비금융표준현금흐름)</t>
  </si>
  <si>
    <t>당기손익인식지정금융상품평가손실(표준현금흐름)</t>
  </si>
  <si>
    <t>단기매매금융자산평가손실(비금융표준현금흐름)</t>
  </si>
  <si>
    <t>단기투자자산평가손실(표준현금흐름)</t>
  </si>
  <si>
    <t>매도가능금융자산평가손실(표준현금흐름)</t>
  </si>
  <si>
    <t>만기보유금융자산평가손실(표준현금흐름)</t>
  </si>
  <si>
    <t>기타금융자산평가손실(표준현금흐름)</t>
  </si>
  <si>
    <t>투자자산평가손실(표준현금흐름)</t>
  </si>
  <si>
    <t>자산재평가손실(비금융표준현금흐름)</t>
  </si>
  <si>
    <t>금융자산손상차손(표준현금흐름)</t>
  </si>
  <si>
    <t>기타포괄손익공정가치측정금융자산손상차손(비금융표준현금흐름)</t>
  </si>
  <si>
    <t>상각후원가측정금융자산손상차손(비금융표준현금흐름)</t>
  </si>
  <si>
    <t>매도가능금융자산손상차손(비금융표준현금흐름)</t>
  </si>
  <si>
    <t>만기보유금융자산손상차손(비금융표준현금흐름)</t>
  </si>
  <si>
    <t>기타금융자산손상차손(표준현금흐름)</t>
  </si>
  <si>
    <t>자산손상차손(비금융표준현금흐름)</t>
  </si>
  <si>
    <t>매출채권및기타채권손상차손(표준현금흐름)</t>
  </si>
  <si>
    <t>재고자산손상차손평가손실(표준현금흐름)</t>
  </si>
  <si>
    <t>유형자산손상차손(비금융표준현금흐름)</t>
  </si>
  <si>
    <t>영업권손상차손(비금융표준현금흐름)</t>
  </si>
  <si>
    <t>무형자산손상차손(비금융표준현금흐름)</t>
  </si>
  <si>
    <t>매각예정처분자산집단손상차손(표준현금흐름)</t>
  </si>
  <si>
    <t>기타자산손상차손(비금융표준현금흐름)</t>
  </si>
  <si>
    <t>파생상품손실(표준현금흐름)</t>
  </si>
  <si>
    <t>파생상품평가손실(표준현금흐름)</t>
  </si>
  <si>
    <t>파생상품거래손실(표준현금흐름)</t>
  </si>
  <si>
    <t>기타파생상품손실(표준현금흐름)</t>
  </si>
  <si>
    <t>지분법관련손실(비금융표준현금흐름)</t>
  </si>
  <si>
    <t>지분법손실(표준현금흐름)</t>
  </si>
  <si>
    <t>지분법적용회사투자손실(표준현금흐름)</t>
  </si>
  <si>
    <t>지분법적용투자주식처분손실(표준현금흐름)</t>
  </si>
  <si>
    <t>지분법적용투자주식손상차손(표준현금흐름)</t>
  </si>
  <si>
    <t>기타지분법관련손실(표준현금흐름)</t>
  </si>
  <si>
    <t>종속기업관련손실(비금융표준현금흐름)</t>
  </si>
  <si>
    <t>관계기업관련손익관계기업의당기순이익에대한지분감소(표준현금흐름)</t>
  </si>
  <si>
    <t>금융부채관련손실(표준현금흐름)</t>
  </si>
  <si>
    <t>사채상환손실(표준현금흐름)</t>
  </si>
  <si>
    <t>재해손실(표준현금흐름)</t>
  </si>
  <si>
    <t>법인세비용(비금융표준현금흐름)</t>
  </si>
  <si>
    <t>구조조정활동의비용(표준현금흐름)</t>
  </si>
  <si>
    <t>전기오류수정손익가산(비금융표준현금흐름)</t>
  </si>
  <si>
    <t>비지배주주지분순손익가산(비금융표준현금흐름)</t>
  </si>
  <si>
    <t>보험수리적손실(비금융표준현금흐름)</t>
  </si>
  <si>
    <t>기타현금유출이없는비용등가산(표준현금흐름)</t>
  </si>
  <si>
    <t>(현금유입이없는수익등차감)(표준현금흐름)</t>
  </si>
  <si>
    <t>금융수익(표준현금흐름)</t>
  </si>
  <si>
    <t>이자수익(비금융표준현금흐름)</t>
  </si>
  <si>
    <t>배당금수익(표준현금흐름)</t>
  </si>
  <si>
    <t>대손충당금환입액(비금융표준현금흐름)</t>
  </si>
  <si>
    <t>퇴직급여충당부채환입액(표준현금흐름)</t>
  </si>
  <si>
    <t>계약부채환입액(표준현금흐름)</t>
  </si>
  <si>
    <t>반품환불부채환입액(표준현금흐름)</t>
  </si>
  <si>
    <t>배출부채환입액(표준현금흐름)</t>
  </si>
  <si>
    <t>충당부채환입액(표준현금흐름)</t>
  </si>
  <si>
    <t>외환거래이익(비금융표준현금흐름)</t>
  </si>
  <si>
    <t>외환차익(표준현금흐름)</t>
  </si>
  <si>
    <t>외화환산이익(표준현금흐름)</t>
  </si>
  <si>
    <t>기타외환거래이익(표준현금흐름)</t>
  </si>
  <si>
    <t>주식보상비환입(표준현금흐름)</t>
  </si>
  <si>
    <t>재고자산폐기처분이익(표준현금흐름)</t>
  </si>
  <si>
    <t>매출채권처분이익(표준현금흐름)</t>
  </si>
  <si>
    <t>당기손익공정가치측정금융자산관련이익(비금융표준현금흐름)</t>
  </si>
  <si>
    <t>금융자산처분이익(표준현금흐름)</t>
  </si>
  <si>
    <t>당기손익공정가치측정금융자산처분이익(비금융표준현금흐름)</t>
  </si>
  <si>
    <t>기타포괄손익공정가치측정금융자산처분이익(비금융표준현금흐름)</t>
  </si>
  <si>
    <t>상각후원가측정금융자산처분이익(비금융표준현금흐름)</t>
  </si>
  <si>
    <t>당기손익인식지정금융상품처분이익(표준현금흐름)</t>
  </si>
  <si>
    <t>단기매매금융자산처분이익(비금융표준현금흐름)</t>
  </si>
  <si>
    <t>단기투자자산처분이익(표준현금흐름)</t>
  </si>
  <si>
    <t>매도가능금융자산처분이익(비금융표준현금흐름)</t>
  </si>
  <si>
    <t>만기보유금융자산처분이익(비금융표준현금흐름)</t>
  </si>
  <si>
    <t>기타금융자산처분이익(표준현금흐름)</t>
  </si>
  <si>
    <t>자산처분폐기이익(표준현금흐름)</t>
  </si>
  <si>
    <t>투자부동산처분이익(표준현금흐름)</t>
  </si>
  <si>
    <t>투자자산처분이익(표준현금흐름)</t>
  </si>
  <si>
    <t>유형리스자산처분이익(표준현금흐름)</t>
  </si>
  <si>
    <t>무형자산처분이익(비금융표준현금흐름)</t>
  </si>
  <si>
    <t>기타자산처분이익(비금융표준현금흐름)</t>
  </si>
  <si>
    <t>재고자산감모손실환입(표준현금흐름)</t>
  </si>
  <si>
    <t>금융자산평가이익(표준현금흐름)</t>
  </si>
  <si>
    <t>당기손익공정가치측정금융자산평가이익(비금융표준현금흐름)</t>
  </si>
  <si>
    <t>당기손익인식지정금융상품평가이익(표준현금흐름)</t>
  </si>
  <si>
    <t>단기매매금융자산평가이익(비금융표준현금흐름)</t>
  </si>
  <si>
    <t>단기투자자산평가이익(표준현금흐름)</t>
  </si>
  <si>
    <t>매도가능금융자산평가이익(표준현금흐름)</t>
  </si>
  <si>
    <t>만기보유금융자산평가이익(표준현금흐름)</t>
  </si>
  <si>
    <t>기타금융자산평가이익(표준현금흐름)</t>
  </si>
  <si>
    <t>투자자산평가이익(표준현금흐름)</t>
  </si>
  <si>
    <t>자산재평가이익(표준현금흐름)</t>
  </si>
  <si>
    <t>금융자산손상차손환입(표준현금흐름)</t>
  </si>
  <si>
    <t>상각후원가측정금융자산손상차손환입(비금융표준현금흐름)</t>
  </si>
  <si>
    <t>매도가능금융자산손상차손환입(비금융표준현금흐름)</t>
  </si>
  <si>
    <t>만기보유금융자산손상차손환입(비금융표준현금흐름)</t>
  </si>
  <si>
    <t>기타금융자산손상차손환입(표준현금흐름)</t>
  </si>
  <si>
    <t>자산손상차손환입(비금융표준현금흐름)</t>
  </si>
  <si>
    <t>매출채권및기타채권손상차손환입(표준현금흐름)</t>
  </si>
  <si>
    <t>재고자산손상차손평가손실환입(표준현금흐름)</t>
  </si>
  <si>
    <t>유형자산손상차손환입(비금융표준현금흐름)</t>
  </si>
  <si>
    <t>임대주택자산손상차손환입(표준현금흐름)</t>
  </si>
  <si>
    <t>무형자산손상차손환입(비금융표준현금흐름)</t>
  </si>
  <si>
    <t>매각예정처분자산집단손상차손환입(표준현금흐름)</t>
  </si>
  <si>
    <t>기타자산손상차손환입(비금융표준현금흐름)</t>
  </si>
  <si>
    <t>파생상품이익(표준현금흐름)</t>
  </si>
  <si>
    <t>파생상품평가이익(표준현금흐름)</t>
  </si>
  <si>
    <t>파생상품거래이익(표준현금흐름)</t>
  </si>
  <si>
    <t>기타파생상품이익(표준현금흐름)</t>
  </si>
  <si>
    <t>지분법관련이익(비금융표준현금흐름)</t>
  </si>
  <si>
    <t>지분법이익(표준현금흐름)</t>
  </si>
  <si>
    <t>지분법적용회사투자이익(표준현금흐름)</t>
  </si>
  <si>
    <t>지분법적용투자주식처분이익(표준현금흐름)</t>
  </si>
  <si>
    <t>지분법적용투자주식손상차손환입(표준현금흐름)</t>
  </si>
  <si>
    <t>기타지분법관련이익(표준현금흐름)</t>
  </si>
  <si>
    <t>종속회사관련이익(표준현금흐름)</t>
  </si>
  <si>
    <t>관계기업관련손익관계기업의당기순이익에대한지분증가(표준현금흐름)</t>
  </si>
  <si>
    <t>금융부채관련이익(표준현금흐름)</t>
  </si>
  <si>
    <t>사채상환이익(표준현금흐름)</t>
  </si>
  <si>
    <t>채무면제이익(표준현금흐름)</t>
  </si>
  <si>
    <t>법인세수익(비금융표준현금흐름)</t>
  </si>
  <si>
    <t>전기오류수정손익차감(비금융표준현금흐름)</t>
  </si>
  <si>
    <t>보험수리적이익(비금융표준현금흐름)</t>
  </si>
  <si>
    <t>기타현금유입이없는수익등차감(표준현금흐름)</t>
  </si>
  <si>
    <t>영업활동으로인한자산부채변동운전자본변동(표준현금흐름)</t>
  </si>
  <si>
    <t>자산의감소증가(표준현금흐름)</t>
  </si>
  <si>
    <t>매출채권및기타채권의감소증가(표준현금흐름)</t>
  </si>
  <si>
    <t>매출채권의감소증가(비금융표준현금흐름)</t>
  </si>
  <si>
    <t>공사미수금의감소증가(표준현금흐름)</t>
  </si>
  <si>
    <t>분양미수금의감소증가(표준현금흐름)</t>
  </si>
  <si>
    <t>미수금의감소증가(비금융표준현금흐름)</t>
  </si>
  <si>
    <t>미청구공사의감소증가(표준현금흐름)</t>
  </si>
  <si>
    <t>대출채권의감소증가(비금융표준현금흐름)</t>
  </si>
  <si>
    <t>재고자산의감소증가(표준현금흐름)</t>
  </si>
  <si>
    <t>미수수익의감소증가(비금융표준현금흐름)</t>
  </si>
  <si>
    <t>선급금의감소증가(비금융표준현금흐름)</t>
  </si>
  <si>
    <t>선급공사비의감소증가(표준현금흐름)</t>
  </si>
  <si>
    <t>선급비용의감소증가(비금융표준현금흐름)</t>
  </si>
  <si>
    <t>당기법인세자산선급법인세의감소증가(표준현금흐름)</t>
  </si>
  <si>
    <t>선급제세의감소증가(표준현금흐름)</t>
  </si>
  <si>
    <t>파생금융자산의감소증가(표준현금흐름)</t>
  </si>
  <si>
    <t>자산보증금등의감소증가(표준현금흐름)</t>
  </si>
  <si>
    <t>이연법인세자산의감소증가(비금융표준현금흐름)</t>
  </si>
  <si>
    <t>기타금융업자산의감소증가(표준현금흐름)</t>
  </si>
  <si>
    <t>대여금및수취채권의감소증가(비금융표준현금흐름)</t>
  </si>
  <si>
    <t>금융자산의감소증가(표준현금흐름)</t>
  </si>
  <si>
    <t>계약자산원가의감소증가(표준현금흐름)</t>
  </si>
  <si>
    <t>반품회수권자산환불자산의감소증가(표준현금흐름)</t>
  </si>
  <si>
    <t>배출권의감소증가(표준현금흐름)</t>
  </si>
  <si>
    <t>기타자산의감소증가(비금융표준현금흐름)</t>
  </si>
  <si>
    <t>매각예정자산의감소증가(표준현금흐름)</t>
  </si>
  <si>
    <t>부채의증가감소(표준현금흐름)</t>
  </si>
  <si>
    <t>매입채무및기타채무의증가감소(표준현금흐름)</t>
  </si>
  <si>
    <t>매입채무의증가감소(표준현금흐름)</t>
  </si>
  <si>
    <t>공사미지급금의증가감소(표준현금흐름)</t>
  </si>
  <si>
    <t>미지급금의증가감소(비금융표준현금흐름)</t>
  </si>
  <si>
    <t>초과청구공사의증가감소(표준현금흐름)</t>
  </si>
  <si>
    <t>공사선수금의증가감소(표준현금흐름)</t>
  </si>
  <si>
    <t>분양선수금의증가감소(표준현금흐름)</t>
  </si>
  <si>
    <t>선수금의증가감소(비금융표준현금흐름)</t>
  </si>
  <si>
    <t>선수수익의증가감소(비금융표준현금흐름)</t>
  </si>
  <si>
    <t>예수금의증가감소(비금융표준현금흐름)</t>
  </si>
  <si>
    <t>부가세예수금의증가감소(표준현금흐름)</t>
  </si>
  <si>
    <t>미지급비용의증가감소(비금융표준현금흐름)</t>
  </si>
  <si>
    <t>당기법인세부채미지급법인세의증가감소(표준현금흐름)</t>
  </si>
  <si>
    <t>미지급제세의증가감소(비금융표준현금흐름)</t>
  </si>
  <si>
    <t>파생금융부채의증가감소(표준현금흐름)</t>
  </si>
  <si>
    <t>부채보증금등의증가감소(표준현금흐름)</t>
  </si>
  <si>
    <t>충당부채의증가감소(표준현금흐름)</t>
  </si>
  <si>
    <t>퇴직급여채무종업원급여충당부채확정급여부채의증가감소(비금융표준현금흐름)</t>
  </si>
  <si>
    <t>사외적립자산의감소증가(비금융표준현금흐름)</t>
  </si>
  <si>
    <t>퇴직급여채무의전입전출(비금융표준현금흐름)</t>
  </si>
  <si>
    <t>퇴직금의지급(비금융표준현금흐름)</t>
  </si>
  <si>
    <t>퇴직연금미지급금의감소증가(비금융표준현금흐름)</t>
  </si>
  <si>
    <t>기타퇴직금관련변동(비금융표준현금흐름)</t>
  </si>
  <si>
    <t>이연법인세부채의증가감소(비금융표준현금흐름)</t>
  </si>
  <si>
    <t>기타금융업부채의증가감소(표준현금흐름)</t>
  </si>
  <si>
    <t>금융부채의증가감소(표준현금흐름)</t>
  </si>
  <si>
    <t>계약부채의증가감소(표준현금흐름)</t>
  </si>
  <si>
    <t>반품환불부채의증가감소(표준현금흐름)</t>
  </si>
  <si>
    <t>배출부채의증가감소(표준현금흐름)</t>
  </si>
  <si>
    <t>기타부채의증가감소(비금융표준현금흐름)</t>
  </si>
  <si>
    <t>매각예정부채의증가감소(표준현금흐름)</t>
  </si>
  <si>
    <t>정부보조금등의변동영업(표준현금흐름)</t>
  </si>
  <si>
    <t>기타운전자본의변동(표준현금흐름)</t>
  </si>
  <si>
    <t>영업에서창출된현금흐름(표준현금흐름)</t>
  </si>
  <si>
    <t>이자수입영업(표준현금흐름)</t>
  </si>
  <si>
    <t>이자지급영업(표준현금흐름)</t>
  </si>
  <si>
    <t>배당금수입영업(표준현금흐름)</t>
  </si>
  <si>
    <t>배당금지급영업(표준현금흐름)</t>
  </si>
  <si>
    <t>법인세환입영업(표준현금흐름)</t>
  </si>
  <si>
    <t>법인세납부영업(표준현금흐름)</t>
  </si>
  <si>
    <t>중단영업관련현금흐름영업(표준현금흐름)</t>
  </si>
  <si>
    <t>투자활동으로인한현금흐름(표준현금흐름)</t>
  </si>
  <si>
    <t>투자활동으로인한현금유입액(표준현금흐름)</t>
  </si>
  <si>
    <t>유동금융자산의감소(표준현금흐름)</t>
  </si>
  <si>
    <t>단기금융상품의감소(표준현금흐름)</t>
  </si>
  <si>
    <t>단기매매금융자산의감소(비금융표준현금흐름)</t>
  </si>
  <si>
    <t>단기매도가능금융자산의감소(표준현금흐름)</t>
  </si>
  <si>
    <t>단기만기보유금융자산의감소(표준현금흐름)</t>
  </si>
  <si>
    <t>단기대여금의감소(표준현금흐름)</t>
  </si>
  <si>
    <t>기타유동금융자산의감소(표준현금흐름)</t>
  </si>
  <si>
    <t>당기손익인식지정금융자산의감소(비금융표준현금흐름)</t>
  </si>
  <si>
    <t>당기손익공정가치측정금융자산의감소(비금융표준현금흐름)</t>
  </si>
  <si>
    <t>기타포괄손익공정가치측정금융자산의감소(비금융표준현금흐름)</t>
  </si>
  <si>
    <t>상각후원가측정금융자산의감소(비금융표준현금흐름)</t>
  </si>
  <si>
    <t>리스사용권자산의감소(비금융표준현금흐름)</t>
  </si>
  <si>
    <t>리스채권의감소(표준현금흐름)</t>
  </si>
  <si>
    <t>장기금융상품의감소(표준현금흐름)</t>
  </si>
  <si>
    <t>매도가능금융자산의감소(비금융표준현금흐름)</t>
  </si>
  <si>
    <t>만기보유금융자산의감소(비금융표준현금흐름)</t>
  </si>
  <si>
    <t>장기대여금의감소(표준현금흐름)</t>
  </si>
  <si>
    <t>파생상품의변동투자유입(비금융표준현금흐름)</t>
  </si>
  <si>
    <t>기타비유동금융자산의감소(표준현금흐름)</t>
  </si>
  <si>
    <t>관계기업등지분관련투자자산의감소(표준현금흐름)</t>
  </si>
  <si>
    <t>관계기업투자지분법적용투자주식의감소(표준현금흐름)</t>
  </si>
  <si>
    <t>종속기업투자의감소(표준현금흐름)</t>
  </si>
  <si>
    <t>조인트벤처투자의감소(표준현금흐름)</t>
  </si>
  <si>
    <t>기타투자자산의감소(표준현금흐름)</t>
  </si>
  <si>
    <t>퇴직급여자산의감소(비금융표준현금흐름)</t>
  </si>
  <si>
    <t>생물자산의감소(표준현금흐름)</t>
  </si>
  <si>
    <t>투자부동산의감소(비금융표준현금흐름)</t>
  </si>
  <si>
    <t>유형자산의감소(비금융표준현금흐름)</t>
  </si>
  <si>
    <t>토지(비금융표준현금흐름)</t>
  </si>
  <si>
    <t>건물및부속설비의감소(표준현금흐름)</t>
  </si>
  <si>
    <t>구축물의감소(표준현금흐름)</t>
  </si>
  <si>
    <t>건설중인자산의감소(표준현금흐름)</t>
  </si>
  <si>
    <t>기계장치의감소(표준현금흐름)</t>
  </si>
  <si>
    <t>중장비의감소(표준현금흐름)</t>
  </si>
  <si>
    <t>시설장치의감소(표준현금흐름)</t>
  </si>
  <si>
    <t>미착자산의감소(표준현금흐름)</t>
  </si>
  <si>
    <t>차량운반구의감소(표준현금흐름)</t>
  </si>
  <si>
    <t>선박의감소(표준현금흐름)</t>
  </si>
  <si>
    <t>공구기구비품의감소(표준현금흐름)</t>
  </si>
  <si>
    <t>유형탐사평가자산의감소(표준현금흐름)</t>
  </si>
  <si>
    <t>기타유형자산의감소(표준현금흐름)</t>
  </si>
  <si>
    <t>무형자산의감소(비금융표준현금흐름)</t>
  </si>
  <si>
    <t>영업권의감소(표준현금흐름)</t>
  </si>
  <si>
    <t>개발비의감소(표준현금흐름)</t>
  </si>
  <si>
    <t>특허권의감소(표준현금흐름)</t>
  </si>
  <si>
    <t>기타산업재산권의감소(표준현금흐름)</t>
  </si>
  <si>
    <t>컴퓨터소프트웨어의감소(표준현금흐름)</t>
  </si>
  <si>
    <t>브랜드의감소(표준현금흐름)</t>
  </si>
  <si>
    <t>라이선스와프랜차이즈의감소(표준현금흐름)</t>
  </si>
  <si>
    <t>저작권의감소(표준현금흐름)</t>
  </si>
  <si>
    <t>회원권의감소(표준현금흐름)</t>
  </si>
  <si>
    <t>제이용권의감소(표준현금흐름)</t>
  </si>
  <si>
    <t>무형탐사평가자산의감소(표준현금흐름)</t>
  </si>
  <si>
    <t>기타무형자산의감소(표준현금흐름)</t>
  </si>
  <si>
    <t>선급금등의감소(표준현금흐름)</t>
  </si>
  <si>
    <t>미수금의감소(비금융표준현금흐름)</t>
  </si>
  <si>
    <t>기타유동자산의감소(표준현금흐름)</t>
  </si>
  <si>
    <t>보증금등의감소투자유입(표준현금흐름)</t>
  </si>
  <si>
    <t>기타비유동자산의감소(표준현금흐름)</t>
  </si>
  <si>
    <t>처분자산집단의감소(표준현금흐름)</t>
  </si>
  <si>
    <t>기타금융업자산의감소(비금융표준현금흐름)</t>
  </si>
  <si>
    <t>매각예정비유동자산의감소(표준현금흐름)</t>
  </si>
  <si>
    <t>정부보조금등의변동투자유입(비금융표준현금흐름)</t>
  </si>
  <si>
    <t>종속기업및기타사업의지배력관련한현금흐름투자유입(비금융표준현금흐름)</t>
  </si>
  <si>
    <t>합병분할양수도등으로인한현금유입액투자유입(표준현금흐름)</t>
  </si>
  <si>
    <t>기타투자활동으로인한현금유입액(표준현금흐름)</t>
  </si>
  <si>
    <t>(투자활동으로인한현금유출액)(표준현금흐름)</t>
  </si>
  <si>
    <t>유동금융자산의증가(표준현금흐름)</t>
  </si>
  <si>
    <t>단기금융상품의증가(표준현금흐름)</t>
  </si>
  <si>
    <t>단기매매금융자산의증가(비금융표준현금흐름)</t>
  </si>
  <si>
    <t>단기매도가능금융자산의증가(표준현금흐름)</t>
  </si>
  <si>
    <t>단기만기보유금융자산의증가(표준현금흐름)</t>
  </si>
  <si>
    <t>단기대여금의증가(표준현금흐름)</t>
  </si>
  <si>
    <t>기타유동금융자산의증가(표준현금흐름)</t>
  </si>
  <si>
    <t>당기손익인식지정금융자산의증가(비금융표준현금흐름)</t>
  </si>
  <si>
    <t>당기손익공정가치측정금융자산의증가(비금융표준현금흐름)</t>
  </si>
  <si>
    <t>기타포괄손익공정가치측정금융자산의증가(비금융표준현금흐름)</t>
  </si>
  <si>
    <t>상각후원가측정금융자산의증가(비금융표준현금흐름)</t>
  </si>
  <si>
    <t>리스사용권자산의증가(비금융표준현금흐름)</t>
  </si>
  <si>
    <t>리스채권의증가(표준현금흐름)</t>
  </si>
  <si>
    <t>장기금융상품의증가(표준현금흐름)</t>
  </si>
  <si>
    <t>매도가능금융자산의증가(비금융표준현금흐름)</t>
  </si>
  <si>
    <t>만기보유금융자산의증가(비금융표준현금흐름)</t>
  </si>
  <si>
    <t>장기대여금의증가(표준현금흐름)</t>
  </si>
  <si>
    <t>파생상품의변동투자유출(비금융표준현금흐름)</t>
  </si>
  <si>
    <t>기타비유동금융자산의증가(표준현금흐름)</t>
  </si>
  <si>
    <t>관계기업등지분관련투자자산의증가(표준현금흐름)</t>
  </si>
  <si>
    <t>관계기업투자지분법적용투자주식의증가(표준현금흐름)</t>
  </si>
  <si>
    <t>종속기업투자의증가(표준현금흐름)</t>
  </si>
  <si>
    <t>조인트벤처투자의증가(표준현금흐름)</t>
  </si>
  <si>
    <t>기타투자자산의증가(표준현금흐름)</t>
  </si>
  <si>
    <t>퇴직급여자산의증가(비금융표준현금흐름)</t>
  </si>
  <si>
    <t>생물자산의증가(표준현금흐름)</t>
  </si>
  <si>
    <t>투자부동산의증가(비금융표준현금흐름)</t>
  </si>
  <si>
    <t>유형자산의증가(비금융표준현금흐름)</t>
  </si>
  <si>
    <t>토지의감소(표준현금흐름)</t>
  </si>
  <si>
    <t>건물및부속설비의증가(표준현금흐름)</t>
  </si>
  <si>
    <t>구축물의증가(표준현금흐름)</t>
  </si>
  <si>
    <t>건설중인자산의증가(표준현금흐름)</t>
  </si>
  <si>
    <t>기계장치의증가(표준현금흐름)</t>
  </si>
  <si>
    <t>중장비의증가(표준현금흐름)</t>
  </si>
  <si>
    <t>시설장치의증가(표준현금흐름)</t>
  </si>
  <si>
    <t>미착자산의증가(표준현금흐름)</t>
  </si>
  <si>
    <t>차량운반구의증가(표준현금흐름)</t>
  </si>
  <si>
    <t>선박의증가(표준현금흐름)</t>
  </si>
  <si>
    <t>항공기의증가(표준현금흐름)</t>
  </si>
  <si>
    <t>공구기구비품의증가(표준현금흐름)</t>
  </si>
  <si>
    <t>유형탐사평가자산의증가(표준현금흐름)</t>
  </si>
  <si>
    <t>기타유형자산의증가(표준현금흐름)</t>
  </si>
  <si>
    <t>무형자산의증가(비금융표준현금흐름)</t>
  </si>
  <si>
    <t>영업권의증가(표준현금흐름)</t>
  </si>
  <si>
    <t>개발비의증가(표준현금흐름)</t>
  </si>
  <si>
    <t>특허권의증가(표준현금흐름)</t>
  </si>
  <si>
    <t>기타산업재산권의증가(표준현금흐름)</t>
  </si>
  <si>
    <t>컴퓨터소프트웨어의증가(표준현금흐름)</t>
  </si>
  <si>
    <t>브랜드의증가(표준현금흐름)</t>
  </si>
  <si>
    <t>라이선스와프랜차이즈의증가(표준현금흐름)</t>
  </si>
  <si>
    <t>저작권의증가(표준현금흐름)</t>
  </si>
  <si>
    <t>회원권의증가(표준현금흐름)</t>
  </si>
  <si>
    <t>제이용권의증가(표준현금흐름)</t>
  </si>
  <si>
    <t>무형탐사평가자산의증가(표준현금흐름)</t>
  </si>
  <si>
    <t>조리법공식모형설계및시제품의증가(표준현금흐름)</t>
  </si>
  <si>
    <t>기타무형자산의증가(표준현금흐름)</t>
  </si>
  <si>
    <t>선급금등의증가(표준현금흐름)</t>
  </si>
  <si>
    <t>미수금의증가(비금융표준현금흐름)</t>
  </si>
  <si>
    <t>기타유동자산의증가(표준현금흐름)</t>
  </si>
  <si>
    <t>보증금등의증가투자유출(표준현금흐름)</t>
  </si>
  <si>
    <t>기타비유동자산의증가(표준현금흐름)</t>
  </si>
  <si>
    <t>처분자산집단의증가(표준현금흐름)</t>
  </si>
  <si>
    <t>기타금융업자산의증가(비금융표준현금흐름)</t>
  </si>
  <si>
    <t>매각예정비유동자산의증가(표준현금흐름)</t>
  </si>
  <si>
    <t>정부보조금등의변동투자유출(비금융표준현금흐름)</t>
  </si>
  <si>
    <t>종속기업및기타사업의지배력관련한현금흐름투자유출(비금융표준현금흐름)</t>
  </si>
  <si>
    <t>합병분할양수도등으로인한현금유출액투자유출(표준현금흐름)</t>
  </si>
  <si>
    <t>기타투자활동으로인한현금유출액(표준현금흐름)</t>
  </si>
  <si>
    <t>이자수입투자(표준현금흐름)</t>
  </si>
  <si>
    <t>이자지급투자(표준현금흐름)</t>
  </si>
  <si>
    <t>배당금수입투자(표준현금흐름)</t>
  </si>
  <si>
    <t>배당금지급투자(표준현금흐름)</t>
  </si>
  <si>
    <t>법인세납부투자(표준현금흐름)</t>
  </si>
  <si>
    <t>중단영업관련현금흐름투자(표준현금흐름)</t>
  </si>
  <si>
    <t>재무활동으로인한현금흐름(표준현금흐름)</t>
  </si>
  <si>
    <t>재무활동으로인한현금유입액(표준현금흐름)</t>
  </si>
  <si>
    <t>단기사채의증가(표준현금흐름)</t>
  </si>
  <si>
    <t>단기차입금의증가(표준현금흐름)</t>
  </si>
  <si>
    <t>당좌차월의증가(표준현금흐름)</t>
  </si>
  <si>
    <t>유동성사채의증가(표준현금흐름)</t>
  </si>
  <si>
    <t>유동성장기차입금의증가(표준현금흐름)</t>
  </si>
  <si>
    <t>유동성유동화채무의증가(표준현금흐름)</t>
  </si>
  <si>
    <t>기타유동성장기부채의증가(표준현금흐름)</t>
  </si>
  <si>
    <t>미지급금의증가(비금융표준현금흐름)</t>
  </si>
  <si>
    <t>장기사채의증가(표준현금흐름)</t>
  </si>
  <si>
    <t>장기차입금의증가(표준현금흐름)</t>
  </si>
  <si>
    <t>장기미지급금의증가(표준현금흐름)</t>
  </si>
  <si>
    <t>유동화채무의증가(표준현금흐름)</t>
  </si>
  <si>
    <t>상환우선주부채의증가(표준현금흐름)</t>
  </si>
  <si>
    <t>파생상품의변동재무유입(비금융표준현금흐름)</t>
  </si>
  <si>
    <t>금융리스부채의증가(표준현금흐름)</t>
  </si>
  <si>
    <t>보증금등의증가재무유입(표준현금흐름)</t>
  </si>
  <si>
    <t>기타금융부채의증가(표준현금흐름)</t>
  </si>
  <si>
    <t>기타부채의증가(비금융표준현금흐름)</t>
  </si>
  <si>
    <t>유상증자(비금융표준현금흐름)</t>
  </si>
  <si>
    <t>자본금의증가(비금융표준현금흐름)</t>
  </si>
  <si>
    <t>자본잉여금의증가(비금융표준현금흐름)</t>
  </si>
  <si>
    <t>종속회사의증자등(비금융표준현금흐름)</t>
  </si>
  <si>
    <t>이익잉여금의증가(비금융표준현금흐름)</t>
  </si>
  <si>
    <t>자기주식의처분(비금융표준현금흐름)</t>
  </si>
  <si>
    <t>주식매입선택권의행사(비금융표준현금흐름)</t>
  </si>
  <si>
    <t>연결자본거래로인한현금유입액(비금융표준현금흐름)</t>
  </si>
  <si>
    <t>종속기업소유지분변동에따른현금흐름재무유입(비금융표준현금흐름)</t>
  </si>
  <si>
    <t>비지배주주지분의증가(비금융표준현금흐름)</t>
  </si>
  <si>
    <t>정부보조금등의변동재무유입(비금융표준현금흐름)</t>
  </si>
  <si>
    <t>합병분할양수도등으로인한현금유입액재무유입(표준현금흐름)</t>
  </si>
  <si>
    <t>기타재무활동으로인한현금유입액(표준현금흐름)</t>
  </si>
  <si>
    <t>(재무활동으로인한현금유출액)(표준현금흐름)</t>
  </si>
  <si>
    <t>단기사채의감소(표준현금흐름)</t>
  </si>
  <si>
    <t>단기차입금의감소(표준현금흐름)</t>
  </si>
  <si>
    <t>당좌차월의감소(표준현금흐름)</t>
  </si>
  <si>
    <t>유동성사채의감소(표준현금흐름)</t>
  </si>
  <si>
    <t>유동성장기차입금의감소(표준현금흐름)</t>
  </si>
  <si>
    <t>유동성유동화채무의감소(표준현금흐름)</t>
  </si>
  <si>
    <t>기타유동성장기부채의감소(표준현금흐름)</t>
  </si>
  <si>
    <t>미지급금의감소(비금융표준현금흐름)</t>
  </si>
  <si>
    <t>장기사채의감소(표준현금흐름)</t>
  </si>
  <si>
    <t>장기차입금의감소(표준현금흐름)</t>
  </si>
  <si>
    <t>장기미지급금의감소(표준현금흐름)</t>
  </si>
  <si>
    <t>유동화채무의감소(표준현금흐름)</t>
  </si>
  <si>
    <t>상환우선주부채의감소(표준현금흐름)</t>
  </si>
  <si>
    <t>파생상품의변동재무유출(비금융표준현금흐름)</t>
  </si>
  <si>
    <t>금융리스부채의감소(표준현금흐름)</t>
  </si>
  <si>
    <t>보증금등의감소재무유출(표준현금흐름)</t>
  </si>
  <si>
    <t>기타금융부채의감소(표준현금흐름)</t>
  </si>
  <si>
    <t>기타부채의감소(비금융표준현금흐름)</t>
  </si>
  <si>
    <t>유상감자(비금융표준현금흐름)</t>
  </si>
  <si>
    <t>자본금의감소(비금융표준현금흐름)</t>
  </si>
  <si>
    <t>자본잉여금의감소(비금융표준현금흐름)</t>
  </si>
  <si>
    <t>종속회사의감자등(비금융표준현금흐름)</t>
  </si>
  <si>
    <t>이익잉여금의감소(비금융표준현금흐름)</t>
  </si>
  <si>
    <t>자기주식의취득(비금융표준현금흐름)</t>
  </si>
  <si>
    <t>연결자본거래로인한현금유출액(비금융표준현금흐름)</t>
  </si>
  <si>
    <t>종속기업소유지분변동에따른현금흐름재무유출(비금융표준현금흐름)</t>
  </si>
  <si>
    <t>비지배주주지분의감소(비금융표준현금흐름)</t>
  </si>
  <si>
    <t>정부보조금등의변동재무유출(비금융표준현금흐름)</t>
  </si>
  <si>
    <t>환율변동으로인한차이조정재무유출(비금융표준현금흐름)</t>
  </si>
  <si>
    <t>합병분할양수도등으로인한현금유출액재무유출(표준현금흐름)</t>
  </si>
  <si>
    <t>기타재무활동으로인한현금유출액(표준현금흐름)</t>
  </si>
  <si>
    <t>이자수입재무(표준현금흐름)</t>
  </si>
  <si>
    <t>이자지급재무(표준현금흐름)</t>
  </si>
  <si>
    <t>배당금수입재무(표준현금흐름)</t>
  </si>
  <si>
    <t>배당금지급재무(표준현금흐름)</t>
  </si>
  <si>
    <t>법인세납부재무(표준현금흐름)</t>
  </si>
  <si>
    <t>중단영업관련현금흐름재무(표준현금흐름)</t>
  </si>
  <si>
    <t>영업투자재무활동기타현금흐름(표준현금흐름)</t>
  </si>
  <si>
    <t>연결범위변동으로인한현금의증가(표준현금흐름)</t>
  </si>
  <si>
    <t>환율변동효과(표준현금흐름)</t>
  </si>
  <si>
    <t>현금및현금성자산의증가(표준현금흐름)</t>
  </si>
  <si>
    <t>기초현금및현금성자산(표준현금흐름)</t>
  </si>
  <si>
    <t>기말현금및현금성자산(표준현금흐름)</t>
  </si>
  <si>
    <t>FCF(표준현금흐름)</t>
  </si>
  <si>
    <t>000660</t>
    <phoneticPr fontId="1" type="noConversion"/>
  </si>
  <si>
    <t>068270</t>
    <phoneticPr fontId="1" type="noConversion"/>
  </si>
  <si>
    <t>연결</t>
    <phoneticPr fontId="1" type="noConversion"/>
  </si>
  <si>
    <t>개별</t>
    <phoneticPr fontId="1" type="noConversion"/>
  </si>
  <si>
    <t>누적</t>
    <phoneticPr fontId="1" type="noConversion"/>
  </si>
  <si>
    <t>순</t>
    <phoneticPr fontId="1" type="noConversion"/>
  </si>
  <si>
    <t>035420</t>
    <phoneticPr fontId="1" type="noConversion"/>
  </si>
  <si>
    <t>4Q</t>
    <phoneticPr fontId="1" type="noConversion"/>
  </si>
  <si>
    <t>3Q</t>
    <phoneticPr fontId="1" type="noConversion"/>
  </si>
  <si>
    <t>2Q</t>
    <phoneticPr fontId="1" type="noConversion"/>
  </si>
  <si>
    <t>1Q</t>
    <phoneticPr fontId="1" type="noConversion"/>
  </si>
  <si>
    <t>1231</t>
    <phoneticPr fontId="1" type="noConversion"/>
  </si>
  <si>
    <t>0930</t>
    <phoneticPr fontId="1" type="noConversion"/>
  </si>
  <si>
    <t>0630</t>
    <phoneticPr fontId="1" type="noConversion"/>
  </si>
  <si>
    <t>0331</t>
    <phoneticPr fontId="1" type="noConversion"/>
  </si>
  <si>
    <t>005380</t>
    <phoneticPr fontId="1" type="noConversion"/>
  </si>
  <si>
    <t xml:space="preserve">    재무제표 비교 (요약/표준)</t>
    <phoneticPr fontId="1" type="noConversion"/>
  </si>
  <si>
    <t>표준_재무상태표</t>
  </si>
  <si>
    <t>표준_포괄손익계산서</t>
  </si>
  <si>
    <t>표준_자본변동표</t>
  </si>
  <si>
    <t>표준_현금흐름표</t>
  </si>
  <si>
    <t>연결우선</t>
    <phoneticPr fontId="1" type="noConversion"/>
  </si>
  <si>
    <t>비금융</t>
    <phoneticPr fontId="1" type="noConversion"/>
  </si>
  <si>
    <t>은행</t>
    <phoneticPr fontId="1" type="noConversion"/>
  </si>
  <si>
    <t>보험</t>
    <phoneticPr fontId="1" type="noConversion"/>
  </si>
  <si>
    <t>증권</t>
    <phoneticPr fontId="1" type="noConversion"/>
  </si>
  <si>
    <t>신금</t>
    <phoneticPr fontId="1" type="noConversion"/>
  </si>
  <si>
    <t>종금</t>
    <phoneticPr fontId="1" type="noConversion"/>
  </si>
  <si>
    <t>여신</t>
    <phoneticPr fontId="1" type="noConversion"/>
  </si>
  <si>
    <t>기타</t>
    <phoneticPr fontId="1" type="noConversion"/>
  </si>
  <si>
    <t>005930</t>
    <phoneticPr fontId="1" type="noConversion"/>
  </si>
  <si>
    <t>현금및예치금(요약재무)</t>
  </si>
  <si>
    <t>당기손익인식지정금융자산(요약재무)</t>
  </si>
  <si>
    <t>파생결합증권신종증권(요약재무)</t>
  </si>
  <si>
    <t>단기매매금융자산(요약재무)</t>
  </si>
  <si>
    <t>매매목적파생상품자산(요약재무)</t>
  </si>
  <si>
    <t>위험회피파생상품자산(요약재무)</t>
  </si>
  <si>
    <t>매도가능금융자산(요약재무)</t>
  </si>
  <si>
    <t>만기보유금융자산(요약재무)</t>
  </si>
  <si>
    <t>관계기업등지분관련투자자산(요약재무)</t>
  </si>
  <si>
    <t>기타유가증권(요약재무)</t>
  </si>
  <si>
    <t>대출채권(요약재무)</t>
  </si>
  <si>
    <t>기타금융업자산(요약재무)</t>
  </si>
  <si>
    <t>유형자산(요약재무)</t>
  </si>
  <si>
    <t>영업권(요약재무)</t>
  </si>
  <si>
    <t>무형자산(요약재무)</t>
  </si>
  <si>
    <t>투자부동산(요약재무)</t>
  </si>
  <si>
    <t>비업무용자산(요약재무)</t>
  </si>
  <si>
    <t>이연법인세자산(요약재무)</t>
  </si>
  <si>
    <t>당기법인세자산선급법인세(요약재무)</t>
  </si>
  <si>
    <t>기타자산(요약재무)</t>
  </si>
  <si>
    <t>대손준비금적립예정액(요약재무)</t>
  </si>
  <si>
    <t>당기손익인식지정금융부채(요약재무)</t>
  </si>
  <si>
    <t>매도파생결합증권(요약재무)</t>
  </si>
  <si>
    <t>단기매매금융부채(요약재무)</t>
  </si>
  <si>
    <t>매도유가증권(요약재무)</t>
  </si>
  <si>
    <t>매매목적파생상품부채(요약재무)</t>
  </si>
  <si>
    <t>위험회피파생상품부채(요약재무)</t>
  </si>
  <si>
    <t>예수부채(요약재무)</t>
  </si>
  <si>
    <t>차입부채(요약재무)</t>
  </si>
  <si>
    <t>기타금융업부채(요약재무)</t>
  </si>
  <si>
    <t>비유동종업원급여충당부채(요약재무)</t>
  </si>
  <si>
    <t>기타충당부채(요약재무)</t>
  </si>
  <si>
    <t>이연법인세부채(요약재무)</t>
  </si>
  <si>
    <t>당기법인세부채미지급법인세(요약재무)</t>
  </si>
  <si>
    <t>기타부채(요약재무)</t>
  </si>
  <si>
    <t>영업수익계산수치(요약손익)</t>
  </si>
  <si>
    <t>순이자손익(요약손익)</t>
  </si>
  <si>
    <t>이자수익(요약손익)</t>
  </si>
  <si>
    <t>(이자비용)(요약손익)</t>
  </si>
  <si>
    <t>기타이자손익(요약손익)</t>
  </si>
  <si>
    <t>순수수료손익(요약손익)</t>
  </si>
  <si>
    <t>수수료수익(요약손익)</t>
  </si>
  <si>
    <t>(수수료비용)(요약손익)</t>
  </si>
  <si>
    <t>금융상품관련손익(요약손익)</t>
  </si>
  <si>
    <t>금융상품관련이익(요약손익)</t>
  </si>
  <si>
    <t>(금융상품관련손실)(요약손익)</t>
  </si>
  <si>
    <t>배당금수익(요약손익)</t>
  </si>
  <si>
    <t>기타금융상품관련손익(요약손익)</t>
  </si>
  <si>
    <t>위험회피회계파생상품관련손익(요약손익)</t>
  </si>
  <si>
    <t>파생상품이익(요약손익)</t>
  </si>
  <si>
    <t>(파생상품손실)(요약손익)</t>
  </si>
  <si>
    <t>외환거래환율변동손익(요약손익)</t>
  </si>
  <si>
    <t>외환거래이익(요약손익)</t>
  </si>
  <si>
    <t>(외환거래손실)(요약손익)</t>
  </si>
  <si>
    <t>금융자산관련손익(요약손익)</t>
  </si>
  <si>
    <t>대출채권평가및처분이익(요약손익)</t>
  </si>
  <si>
    <t>(대출채권평가및처분손실)(요약손익)</t>
  </si>
  <si>
    <t>기타금융자산관련이익(요약손익)</t>
  </si>
  <si>
    <t>(기타금융자산관련손실)(요약손익)</t>
  </si>
  <si>
    <t>기타영업손익(요약손익)</t>
  </si>
  <si>
    <t>기타영업수익(요약손익)</t>
  </si>
  <si>
    <t>(기타영업비용)(요약손익)</t>
  </si>
  <si>
    <t>순영업손익(요약손익)</t>
  </si>
  <si>
    <t>회사기재상순영업손익(요약손익)</t>
  </si>
  <si>
    <t>판매비와관리비(요약손익)</t>
  </si>
  <si>
    <t>대손상각비(요약손익)</t>
  </si>
  <si>
    <t>유형리스자산감가상각비(요약손익)</t>
  </si>
  <si>
    <t>무형자산상각비(요약손익)</t>
  </si>
  <si>
    <t>기타판매비와관리비(요약손익)</t>
  </si>
  <si>
    <t>영업외수익(요약손익)</t>
  </si>
  <si>
    <t>영업외비용(요약손익)</t>
  </si>
  <si>
    <t>매출등수익활동으로발생하는현금유입(요약현금흐름)</t>
  </si>
  <si>
    <t>배당금수취액(요약현금흐름)</t>
  </si>
  <si>
    <t>매입및종업원과관련하여직·간접으로발생하는현금유출(요약현금흐름)</t>
  </si>
  <si>
    <t>이자비용유출액(요약현금흐름)</t>
  </si>
  <si>
    <t>배당금지급액(요약현금흐름)</t>
  </si>
  <si>
    <t>단기매매목적으로보유하는계약에서발생하는현금유출(요약현금흐름)</t>
  </si>
  <si>
    <t>당기손익인식지정금융자산평가손실(요약현금흐름)</t>
  </si>
  <si>
    <t>당기손익인식지정금융자산매매손실(요약현금흐름)</t>
  </si>
  <si>
    <t>당기손익인식지정금융자산관련손실(요약현금흐름)</t>
  </si>
  <si>
    <t>단기매매금융자산평가손실(요약현금흐름)</t>
  </si>
  <si>
    <t>당기손익인식지정금융부채평가손실(요약현금흐름)</t>
  </si>
  <si>
    <t>당기손익인식지정금융부채매매손실(요약현금흐름)</t>
  </si>
  <si>
    <t>당기손익인식지정금융부채관련손실(요약현금흐름)</t>
  </si>
  <si>
    <t>단기매매금융부채평가손실(요약현금흐름)</t>
  </si>
  <si>
    <t>매매목적파생상품손실(요약현금흐름)</t>
  </si>
  <si>
    <t>공정가액위험회피대상관련비용(요약현금흐름)</t>
  </si>
  <si>
    <t>위험회피파생상품손실(요약현금흐름)</t>
  </si>
  <si>
    <t>유가증권처분손실(요약현금흐름)</t>
  </si>
  <si>
    <t>유가증권손상차손(요약현금흐름)</t>
  </si>
  <si>
    <t>종속기업공동지배기업및관계기업관련손실(요약현금흐름)</t>
  </si>
  <si>
    <t>자산처분손실(요약현금흐름)</t>
  </si>
  <si>
    <t>자산손상차손(요약현금흐름)</t>
  </si>
  <si>
    <t>자산재평가손실(요약현금흐름)</t>
  </si>
  <si>
    <t>대손상각비대손충당금전입액(요약현금흐름)</t>
  </si>
  <si>
    <t>유형자산등감가상각비(요약현금흐름)</t>
  </si>
  <si>
    <t>리스자산감가상각비(요약현금흐름)</t>
  </si>
  <si>
    <t>렌탈자산감가상각비(요약현금흐름)</t>
  </si>
  <si>
    <t>무형자산상각비(요약현금흐름)</t>
  </si>
  <si>
    <t>퇴직급여(요약현금흐름)</t>
  </si>
  <si>
    <t>종업원관련비용급여등(요약현금흐름)</t>
  </si>
  <si>
    <t>주식보상비(요약현금흐름)</t>
  </si>
  <si>
    <t>법인세비용(요약현금흐름)</t>
  </si>
  <si>
    <t>이자비용사채할인발행차금상각등(요약현금흐름)</t>
  </si>
  <si>
    <t>지급보증충당부채전입액(요약현금흐름)</t>
  </si>
  <si>
    <t>미사용약정충당부채전입액(요약현금흐름)</t>
  </si>
  <si>
    <t>복구충당부채전입액(요약현금흐름)</t>
  </si>
  <si>
    <t>기타충당부채전입액(요약현금흐름)</t>
  </si>
  <si>
    <t>부채상환손실(요약현금흐름)</t>
  </si>
  <si>
    <t>외환거래손실(요약현금흐름)</t>
  </si>
  <si>
    <t>전기오류수정손익가산(요약현금흐름)</t>
  </si>
  <si>
    <t>비지배주주지분순손익가산(요약현금흐름)</t>
  </si>
  <si>
    <t>보험수리적손실(요약현금흐름)</t>
  </si>
  <si>
    <t>기타현금의유출이없는비용등가산(요약현금흐름)</t>
  </si>
  <si>
    <t>당기손익인식지정금융자산평가이익(요약현금흐름)</t>
  </si>
  <si>
    <t>당기손익인식지정금융자산매매이익(요약현금흐름)</t>
  </si>
  <si>
    <t>당기손익인식지정금융자산관련이익(요약현금흐름)</t>
  </si>
  <si>
    <t>단기매매금융자산평가이익(요약현금흐름)</t>
  </si>
  <si>
    <t>당기손익인식지정금융부채평가이익(요약현금흐름)</t>
  </si>
  <si>
    <t>당기손익인식지정금융부채매매이익(요약현금흐름)</t>
  </si>
  <si>
    <t>당기손익인식지정금융부채관련이익(요약현금흐름)</t>
  </si>
  <si>
    <t>단기매매금융부채평가이익(요약현금흐름)</t>
  </si>
  <si>
    <t>매매목적파생상품이익(요약현금흐름)</t>
  </si>
  <si>
    <t>공정가액위험회피대상관련이익(요약현금흐름)</t>
  </si>
  <si>
    <t>위험회피파생상품이익(요약현금흐름)</t>
  </si>
  <si>
    <t>유가증권처분이익(요약현금흐름)</t>
  </si>
  <si>
    <t>유가증권손상차손환입(요약현금흐름)</t>
  </si>
  <si>
    <t>종속기업공동지배기업및관계기업관련이익(요약현금흐름)</t>
  </si>
  <si>
    <t>자산처분이익(요약현금흐름)</t>
  </si>
  <si>
    <t>자산손상차손환입(요약현금흐름)</t>
  </si>
  <si>
    <t>자산재평가손실환입(요약현금흐름)</t>
  </si>
  <si>
    <t>대손충당금환입액(요약현금흐름)</t>
  </si>
  <si>
    <t>주식보상비용환입(요약현금흐름)</t>
  </si>
  <si>
    <t>법인세수익(요약현금흐름)</t>
  </si>
  <si>
    <t>이자수익(요약현금흐름)</t>
  </si>
  <si>
    <t>주식배당액(요약현금흐름)</t>
  </si>
  <si>
    <t>지급보증충당부채환입액(요약현금흐름)</t>
  </si>
  <si>
    <t>미사용약정충당부채환입액(요약현금흐름)</t>
  </si>
  <si>
    <t>복구충당부채환입액(요약현금흐름)</t>
  </si>
  <si>
    <t>기타충당부채환입액(요약현금흐름)</t>
  </si>
  <si>
    <t>부채상환이익(요약현금흐름)</t>
  </si>
  <si>
    <t>외환거래이익(요약현금흐름)</t>
  </si>
  <si>
    <t>전기오류수정손익차감(요약현금흐름)</t>
  </si>
  <si>
    <t>비지배주주지분순손익차감(요약현금흐름)</t>
  </si>
  <si>
    <t>보험수리적이익(요약현금흐름)</t>
  </si>
  <si>
    <t>기타현금의유입이없는수익등차감(요약현금흐름)</t>
  </si>
  <si>
    <t>예치금의감소(요약현금흐름)</t>
  </si>
  <si>
    <t>당기손익인식지정금융자산의감소(요약현금흐름)</t>
  </si>
  <si>
    <t>단기매매금융자산의감소(요약현금흐름)</t>
  </si>
  <si>
    <t>매도가능금융자산의감소(요약현금흐름)</t>
  </si>
  <si>
    <t>만기보유금융자산의감소(요약현금흐름)</t>
  </si>
  <si>
    <t>기타유가증권의감소(요약현금흐름)</t>
  </si>
  <si>
    <t>관계기업투자등지분법적용투자주식의감소(요약현금흐름)</t>
  </si>
  <si>
    <t>대출채권의감소(요약현금흐름)</t>
  </si>
  <si>
    <t>유형자산의감소(요약현금흐름)</t>
  </si>
  <si>
    <t>무형자산의감소(요약현금흐름)</t>
  </si>
  <si>
    <t>투자부동산의감소(요약현금흐름)</t>
  </si>
  <si>
    <t>비업무용자산의감소(요약현금흐름)</t>
  </si>
  <si>
    <t>미수금의감소(요약현금흐름)</t>
  </si>
  <si>
    <t>대여금의감소(요약현금흐름)</t>
  </si>
  <si>
    <t>보증금등의감소(요약현금흐름)</t>
  </si>
  <si>
    <t>미회수내국환채권의감소(요약현금흐름)</t>
  </si>
  <si>
    <t>파생상품의변동투자유입(요약현금흐름)</t>
  </si>
  <si>
    <t>매각및처분예정자산집단의감소(요약현금흐름)</t>
  </si>
  <si>
    <t>기타자산의감소(요약현금흐름)</t>
  </si>
  <si>
    <t>기타금융업자산의감소(요약현금흐름)</t>
  </si>
  <si>
    <t>종속기업및기타사업의지배력관련한현금흐름투자유입(요약현금흐름)</t>
  </si>
  <si>
    <t>합병분할영업양수도에따른현금유입투자유입(요약현금흐름)</t>
  </si>
  <si>
    <t>예치금의증가(요약현금흐름)</t>
  </si>
  <si>
    <t>당기손익인식지정금융자산의증가(요약현금흐름)</t>
  </si>
  <si>
    <t>단기매매금융자산의증가(요약현금흐름)</t>
  </si>
  <si>
    <t>매도가능금융자산의증가(요약현금흐름)</t>
  </si>
  <si>
    <t>만기보유금융자산의증가(요약현금흐름)</t>
  </si>
  <si>
    <t>기타유가증권의증가(요약현금흐름)</t>
  </si>
  <si>
    <t>관계기업투자등지분법적용투자주식의증가(요약현금흐름)</t>
  </si>
  <si>
    <t>대출채권의증가(요약현금흐름)</t>
  </si>
  <si>
    <t>유형자산의증가(요약현금흐름)</t>
  </si>
  <si>
    <t>무형자산의증가(요약현금흐름)</t>
  </si>
  <si>
    <t>투자부동산의증가(요약현금흐름)</t>
  </si>
  <si>
    <t>비업무용자산의증가(요약현금흐름)</t>
  </si>
  <si>
    <t>미수금의증가(요약현금흐름)</t>
  </si>
  <si>
    <t>대여금의증가(요약현금흐름)</t>
  </si>
  <si>
    <t>보증금등의증가(요약현금흐름)</t>
  </si>
  <si>
    <t>미회수내국환채권의증가(요약현금흐름)</t>
  </si>
  <si>
    <t>파생상품의변동투자유출(요약현금흐름)</t>
  </si>
  <si>
    <t>매각및처분예정자산집단의증가(요약현금흐름)</t>
  </si>
  <si>
    <t>기타자산의증가(요약현금흐름)</t>
  </si>
  <si>
    <t>기타금융업자산의증가(요약현금흐름)</t>
  </si>
  <si>
    <t>종속기업및기타사업의지배력관련한현금흐름투자유출(요약현금흐름)</t>
  </si>
  <si>
    <t>합병분할영업양수도에따른현금유출투자유출(요약현금흐름)</t>
  </si>
  <si>
    <t>당기손익인식지정금융부채의증가(요약현금흐름)</t>
  </si>
  <si>
    <t>단기매매금융부채의증가(요약현금흐름)</t>
  </si>
  <si>
    <t>예수부채의증가(요약현금흐름)</t>
  </si>
  <si>
    <t>차입부채의증가(요약현금흐름)</t>
  </si>
  <si>
    <t>신탁계정미지급금신탁계정차의증가(요약현금흐름)</t>
  </si>
  <si>
    <t>미지급금의증가(요약현금흐름)</t>
  </si>
  <si>
    <t>선수금의증가(요약현금흐름)</t>
  </si>
  <si>
    <t>미지급외국환채무의증가(요약현금흐름)</t>
  </si>
  <si>
    <t>수입보증금의증가(요약현금흐름)</t>
  </si>
  <si>
    <t>리스보증금의증가(요약현금흐름)</t>
  </si>
  <si>
    <t>임대보증금의증가(요약현금흐름)</t>
  </si>
  <si>
    <t>파생상품의변동재무유입(요약현금흐름)</t>
  </si>
  <si>
    <t>기타부채의증가(요약현금흐름)</t>
  </si>
  <si>
    <t>기타금융업부채의증가(요약현금흐름)</t>
  </si>
  <si>
    <t>유상증자(요약현금흐름)</t>
  </si>
  <si>
    <t>자본금의증가(요약현금흐름)</t>
  </si>
  <si>
    <t>신종자본증권의증가(요약현금흐름)</t>
  </si>
  <si>
    <t>자본잉여금의증가(요약현금흐름)</t>
  </si>
  <si>
    <t>이익잉여금의증가(요약현금흐름)</t>
  </si>
  <si>
    <t>자기주식의처분(요약현금흐름)</t>
  </si>
  <si>
    <t>주식매입선택권의행사(요약현금흐름)</t>
  </si>
  <si>
    <t>종속기업소유지분변동에따른현금흐름재무유입(요약현금흐름)</t>
  </si>
  <si>
    <t>정부보조금등의변동재무유입(요약현금흐름)</t>
  </si>
  <si>
    <t>당기손익인식지정금융부채의감소(요약현금흐름)</t>
  </si>
  <si>
    <t>단기매매금융부채의감소(요약현금흐름)</t>
  </si>
  <si>
    <t>예수부채의감소(요약현금흐름)</t>
  </si>
  <si>
    <t>차입부채의감소(요약현금흐름)</t>
  </si>
  <si>
    <t>신탁계정미지급금신탁계정차의감소(요약현금흐름)</t>
  </si>
  <si>
    <t>미지급금의감소(요약현금흐름)</t>
  </si>
  <si>
    <t>선수금의감소(요약현금흐름)</t>
  </si>
  <si>
    <t>미지급내국환채무의감소(요약현금흐름)</t>
  </si>
  <si>
    <t>수입보증금의감소(요약현금흐름)</t>
  </si>
  <si>
    <t>리스보증금의감소(요약현금흐름)</t>
  </si>
  <si>
    <t>임대보증금의감소(요약현금흐름)</t>
  </si>
  <si>
    <t>파생상품의변동재무유출(요약현금흐름)</t>
  </si>
  <si>
    <t>기타부채의감소(요약현금흐름)</t>
  </si>
  <si>
    <t>기타금융업부채의감소(요약현금흐름)</t>
  </si>
  <si>
    <t>유상감자(요약현금흐름)</t>
  </si>
  <si>
    <t>신종자본증권의감소(요약현금흐름)</t>
  </si>
  <si>
    <t>자본잉여금의감소(요약현금흐름)</t>
  </si>
  <si>
    <t>종속회사의감자등(요약현금흐름)</t>
  </si>
  <si>
    <t>이익잉여금의감소(요약현금흐름)</t>
  </si>
  <si>
    <t>자기주식의취득(요약현금흐름)</t>
  </si>
  <si>
    <t>종속기업소유지분변동에따른현금흐름재무유출(요약현금흐름)</t>
  </si>
  <si>
    <t>비지배주주지분의감소(요약현금흐름)</t>
  </si>
  <si>
    <t>정부보조금등의변동재무유출(요약현금흐름)</t>
  </si>
  <si>
    <t>합병분할영업양수도에따른현금유출재무유출(요약현금흐름)</t>
  </si>
  <si>
    <t>현금및예치금(표준재무)</t>
  </si>
  <si>
    <t>현금및현금성자산(표준재무)</t>
  </si>
  <si>
    <t>외국통화(표준재무)</t>
  </si>
  <si>
    <t>원화예치금(표준재무)</t>
  </si>
  <si>
    <t>지급준비예치금(표준재무)</t>
  </si>
  <si>
    <t>기타예치금원화(표준재무)</t>
  </si>
  <si>
    <t>외화예치금(표준재무)</t>
  </si>
  <si>
    <t>외화타점예치금(표준재무)</t>
  </si>
  <si>
    <t>정기예치금(표준재무)</t>
  </si>
  <si>
    <t>기타예치금외화(표준재무)</t>
  </si>
  <si>
    <t>금예치(표준재무)</t>
  </si>
  <si>
    <t>기타현금및예치금(표준재무)</t>
  </si>
  <si>
    <t>당기손익인식지정금융자산(표준재무)</t>
  </si>
  <si>
    <t>당기손익공정가치측정금융자산(표준재무)</t>
  </si>
  <si>
    <t>파생결합증권신종증권(표준재무)</t>
  </si>
  <si>
    <t>단기매매금융자산(표준재무)</t>
  </si>
  <si>
    <t>주식단기매매(표준재무)</t>
  </si>
  <si>
    <t>국공채단기매매(표준재무)</t>
  </si>
  <si>
    <t>회사채단기매매(표준재무)</t>
  </si>
  <si>
    <t>금융채단기매매(표준재무)</t>
  </si>
  <si>
    <t>수익증권집합투자증권단기매매(표준재무)</t>
  </si>
  <si>
    <t>외화증권단기매매(표준재무)</t>
  </si>
  <si>
    <t>기타단기매매(표준재무)</t>
  </si>
  <si>
    <t>매매목적파생상품자산(표준재무)</t>
  </si>
  <si>
    <t>이자율관련매매목적자산(표준재무)</t>
  </si>
  <si>
    <t>통화관련매매목적자산(표준재무)</t>
  </si>
  <si>
    <t>주식관련매매목적자산(표준재무)</t>
  </si>
  <si>
    <t>신용관련매매목적자산(표준재무)</t>
  </si>
  <si>
    <t>기타파생상품자산매매목적자산(표준재무)</t>
  </si>
  <si>
    <t>위험회피파생상품자산(표준재무)</t>
  </si>
  <si>
    <t>이자율관련위험회피자산(표준재무)</t>
  </si>
  <si>
    <t>통화관련위험회피자산(표준재무)</t>
  </si>
  <si>
    <t>주식관련위험회피자산(표준재무)</t>
  </si>
  <si>
    <t>신용관련위험회피자산(표준재무)</t>
  </si>
  <si>
    <t>기타파생상품자산위험회피자산(표준재무)</t>
  </si>
  <si>
    <t>매도가능금융자산(표준재무)</t>
  </si>
  <si>
    <t>주식매도가능(표준재무)</t>
  </si>
  <si>
    <t>국공채매도가능(표준재무)</t>
  </si>
  <si>
    <t>회사채매도가능(표준재무)</t>
  </si>
  <si>
    <t>금융채매도가능(표준재무)</t>
  </si>
  <si>
    <t>출자금매도가능(표준재무)</t>
  </si>
  <si>
    <t>수익증권집합투자증권매도가능(표준재무)</t>
  </si>
  <si>
    <t>외화증권매도가능(표준재무)</t>
  </si>
  <si>
    <t>기타매도가능(표준재무)</t>
  </si>
  <si>
    <t>기타포괄손익공정가치측정금융자산(표준재무)</t>
  </si>
  <si>
    <t>만기보유금융자산(표준재무)</t>
  </si>
  <si>
    <t>국공채만기보유(표준재무)</t>
  </si>
  <si>
    <t>회사채만기보유(표준재무)</t>
  </si>
  <si>
    <t>금융채(표준재무)</t>
  </si>
  <si>
    <t>외화증권만기보유(표준재무)</t>
  </si>
  <si>
    <t>대여증권(표준재무)</t>
  </si>
  <si>
    <t>기타만기보유(표준재무)</t>
  </si>
  <si>
    <t>상각후원가측정유가증권(표준재무)</t>
  </si>
  <si>
    <t>관계기업등지분관련투자자산(표준재무)</t>
  </si>
  <si>
    <t>관계기업투자지분법적용투자(표준재무)</t>
  </si>
  <si>
    <t>종속기업투자(표준재무)</t>
  </si>
  <si>
    <t>조인트벤처투자공동기업투자(표준재무)</t>
  </si>
  <si>
    <t>기타관계기업등지분관련투자자산(표준재무)</t>
  </si>
  <si>
    <t>기타유가증권(표준재무)</t>
  </si>
  <si>
    <t>상각후원가측정금융자산(표준재무)</t>
  </si>
  <si>
    <t>대출채권(표준재무)</t>
  </si>
  <si>
    <t>(대손충당금)대출채권(표준재무)</t>
  </si>
  <si>
    <t>(현재가치할인차금)대출채권(표준재무)</t>
  </si>
  <si>
    <t>이연대출부대수익비용대출채권(표준재무)</t>
  </si>
  <si>
    <t>콜론(표준재무)</t>
  </si>
  <si>
    <t>(대손충당금)콜론(표준재무)</t>
  </si>
  <si>
    <t>원화콜론(표준재무)</t>
  </si>
  <si>
    <t>외화콜론(표준재무)</t>
  </si>
  <si>
    <t>내국수입유산스(표준재무)</t>
  </si>
  <si>
    <t>(대손충당금)내국수입유산스(표준재무)</t>
  </si>
  <si>
    <t>신용카드채권(표준재무)</t>
  </si>
  <si>
    <t>(대손충당금)신용카드채권(표준재무)</t>
  </si>
  <si>
    <t>매입외환(표준재무)</t>
  </si>
  <si>
    <t>(대손충당금)매입외환(표준재무)</t>
  </si>
  <si>
    <t>매입어음(표준재무)</t>
  </si>
  <si>
    <t>(대손충당금)매입어음(표준재무)</t>
  </si>
  <si>
    <t>환매조건부채권매수(표준재무)</t>
  </si>
  <si>
    <t>(대손충당금)환매조건부채권매수(표준재무)</t>
  </si>
  <si>
    <t>원화대출금(표준재무)</t>
  </si>
  <si>
    <t>(대손충당금)원화대출금(표준재무)</t>
  </si>
  <si>
    <t>(현재가치할인차금)원화대출금(표준재무)</t>
  </si>
  <si>
    <t>은행계정(표준재무)</t>
  </si>
  <si>
    <t>신탁계정(표준재무)</t>
  </si>
  <si>
    <t>자회사(표준재무)</t>
  </si>
  <si>
    <t>기업자금대출(표준재무)</t>
  </si>
  <si>
    <t>가계자금대출(표준재무)</t>
  </si>
  <si>
    <t>공공및기타자금대출(표준재무)</t>
  </si>
  <si>
    <t>재형저축자금대출(표준재무)</t>
  </si>
  <si>
    <t>주택자금대출금(표준재무)</t>
  </si>
  <si>
    <t>은행간대여금(표준재무)</t>
  </si>
  <si>
    <t>기타대출금(표준재무)</t>
  </si>
  <si>
    <t>외화대출금전체(표준재무)</t>
  </si>
  <si>
    <t>(대손충당금)외화대출금전체(표준재무)</t>
  </si>
  <si>
    <t>외화대출금(표준재무)</t>
  </si>
  <si>
    <t>외화차관자금대출금(표준재무)</t>
  </si>
  <si>
    <t>은행간외화대여금(표준재무)</t>
  </si>
  <si>
    <t>역외외화대출금(표준재무)</t>
  </si>
  <si>
    <t>기타외화대출금(표준재무)</t>
  </si>
  <si>
    <t>팩토링채권(표준재무)</t>
  </si>
  <si>
    <t>(대손충당금)팩토링채권(표준재무)</t>
  </si>
  <si>
    <t>지급보증대지급금(표준재무)</t>
  </si>
  <si>
    <t>(대손충당금)지급보증대지급금(표준재무)</t>
  </si>
  <si>
    <t>사모사채(표준재무)</t>
  </si>
  <si>
    <t>(대손충당금)사모사채(표준재무)</t>
  </si>
  <si>
    <t>출자전환채권(표준재무)</t>
  </si>
  <si>
    <t>대여금이연대출(표준재무)</t>
  </si>
  <si>
    <t>(대손충당금)대여금이연대출(표준재무)</t>
  </si>
  <si>
    <t>기타대출채권(표준재무)</t>
  </si>
  <si>
    <t>(대손충당금)기타대출채권(표준재무)</t>
  </si>
  <si>
    <t>기타금융업자산(표준재무)</t>
  </si>
  <si>
    <t>(대손충당금)기타금융업자산(표준재무)</t>
  </si>
  <si>
    <t>이연대출부대수익비용기타자산(표준재무)</t>
  </si>
  <si>
    <t>유형자산(표준재무)</t>
  </si>
  <si>
    <t>(감가상각누계액)유형자산(표준재무)</t>
  </si>
  <si>
    <t>(손상차손누계액)유형자산(표준재무)</t>
  </si>
  <si>
    <t>업무용토지(표준재무)</t>
  </si>
  <si>
    <t>(손상차손누계액)업무용토지(표준재무)</t>
  </si>
  <si>
    <t>업무용건물(표준재무)</t>
  </si>
  <si>
    <t>(감가상각누계액)업무용건물(표준재무)</t>
  </si>
  <si>
    <t>(손상차손누계액)업무용건물(표준재무)</t>
  </si>
  <si>
    <t>업무용동산(표준재무)</t>
  </si>
  <si>
    <t>(감가상각누계액)업무용동산(표준재무)</t>
  </si>
  <si>
    <t>건설중인자산(표준재무)</t>
  </si>
  <si>
    <t>임차시설물및보증금(표준재무)</t>
  </si>
  <si>
    <t>(감가상각누계액)임차시설물및보증금(표준재무)</t>
  </si>
  <si>
    <t>(손상차손누계액)임차시설물및보증금(표준재무)</t>
  </si>
  <si>
    <t>차량운반구(표준재무)</t>
  </si>
  <si>
    <t>(감가상각누계액)차량운반구(표준재무)</t>
  </si>
  <si>
    <t>집기기구비품(표준재무)</t>
  </si>
  <si>
    <t>(감가상각누계액)집기기구비품(표준재무)</t>
  </si>
  <si>
    <t>(손상차손누계액)집기기구비품(표준재무)</t>
  </si>
  <si>
    <t>(정부보조금등차감액)집기기구비품(표준재무)</t>
  </si>
  <si>
    <t>기타유형자산(표준재무)</t>
  </si>
  <si>
    <t>(감가상각누계액)기타유형자산(표준재무)</t>
  </si>
  <si>
    <t>(손상차손누계액)기타유형자산(표준재무)</t>
  </si>
  <si>
    <t>(정부보조금등차감액)기타유형자산(표준재무)</t>
  </si>
  <si>
    <t>영업권(표준재무)</t>
  </si>
  <si>
    <t>(손상차손누계액)영업권(표준재무)</t>
  </si>
  <si>
    <t>무형자산(표준재무)</t>
  </si>
  <si>
    <t>개발비(표준재무)</t>
  </si>
  <si>
    <t>산업재산권(표준재무)</t>
  </si>
  <si>
    <t>컴퓨터소프트웨어(표준재무)</t>
  </si>
  <si>
    <t>회원권(표준재무)</t>
  </si>
  <si>
    <t>기타무형자산(표준재무)</t>
  </si>
  <si>
    <t>투자부동산(표준재무)</t>
  </si>
  <si>
    <t>(감가상각누계액)투자부동산(표준재무)</t>
  </si>
  <si>
    <t>토지의증가(표준현금흐름)</t>
  </si>
  <si>
    <t>건물및구축물(표준재무)</t>
  </si>
  <si>
    <t>(감가상각누계액)건물및구축물(표준재무)</t>
  </si>
  <si>
    <t>기타투자부동산(표준재무)</t>
  </si>
  <si>
    <t>(감가상각누계액)기타투자부동산(표준재무)</t>
  </si>
  <si>
    <t>비업무용자산(표준재무)</t>
  </si>
  <si>
    <t>(감가상각누계액)비업무용자산(표준재무)</t>
  </si>
  <si>
    <t>(평가충당금)비업무용자산(표준재무)</t>
  </si>
  <si>
    <t>이연법인세자산(표준재무)</t>
  </si>
  <si>
    <t>당기법인세자산선급법인세(표준재무)</t>
  </si>
  <si>
    <t>기타자산(표준재무)</t>
  </si>
  <si>
    <t>미수금(표준재무)</t>
  </si>
  <si>
    <t>(대손충당금)미수금(표준재무)</t>
  </si>
  <si>
    <t>(현재가치할인차금)미수금(표준재무)</t>
  </si>
  <si>
    <t>미수수익(표준재무)</t>
  </si>
  <si>
    <t>(대손충당금)미수수익(표준재무)</t>
  </si>
  <si>
    <t>선급금(표준재무)</t>
  </si>
  <si>
    <t>선급비용(표준재무)</t>
  </si>
  <si>
    <t>선급제세미수법인세환급액(표준재무)</t>
  </si>
  <si>
    <t>대여금기타자산(표준재무)</t>
  </si>
  <si>
    <t>(대손충당금)대여금기타자산(표준재무)</t>
  </si>
  <si>
    <t>(현재가치할인차금)대여금기타자산(표준재무)</t>
  </si>
  <si>
    <t>가지급금(표준재무)</t>
  </si>
  <si>
    <t>(대손충당금)가지급금(표준재무)</t>
  </si>
  <si>
    <t>매출채권(표준재무)</t>
  </si>
  <si>
    <t>(대손충당금)매출채권(표준재무)</t>
  </si>
  <si>
    <t>미회수내국환채권(표준재무)</t>
  </si>
  <si>
    <t>미회수외국환채권(표준재무)</t>
  </si>
  <si>
    <t>CMA어음관리계좌운용자산(표준재무)</t>
  </si>
  <si>
    <t>보증금등(표준재무)</t>
  </si>
  <si>
    <t>용도품(표준재무)</t>
  </si>
  <si>
    <t>공탁금(표준재무)</t>
  </si>
  <si>
    <t>확정급여자산등(표준재무)</t>
  </si>
  <si>
    <t>매각및처분예정자산집단(표준재무)</t>
  </si>
  <si>
    <t>기타자산기타(표준재무)</t>
  </si>
  <si>
    <t>(대손충당금)기타자산기타(표준재무)</t>
  </si>
  <si>
    <t>(현재가치할인차금)기타자산기타(표준재무)</t>
  </si>
  <si>
    <t>대손준비금적립예정액(표준재무)</t>
  </si>
  <si>
    <t>대손준비금(표준재무)</t>
  </si>
  <si>
    <t>보험수리적손익(표준재무)</t>
  </si>
  <si>
    <t>임의적립금(표준재무)</t>
  </si>
  <si>
    <t>당기손익인식지정금융부채(표준재무)</t>
  </si>
  <si>
    <t>당기손익공정가치측정금융부채(표준재무)</t>
  </si>
  <si>
    <t>매도파생결합증권(표준재무)</t>
  </si>
  <si>
    <t>단기매매금융부채(표준재무)</t>
  </si>
  <si>
    <t>매도유가증권(표준재무)</t>
  </si>
  <si>
    <t>매매목적파생상품부채(표준재무)</t>
  </si>
  <si>
    <t>이자율관련매매목적부채(표준재무)</t>
  </si>
  <si>
    <t>통화관련매매목적부채(표준재무)</t>
  </si>
  <si>
    <t>주식관련매매목적부채(표준재무)</t>
  </si>
  <si>
    <t>신용관련매매목적부채(표준재무)</t>
  </si>
  <si>
    <t>기타파생상품부채매매목적부채(표준재무)</t>
  </si>
  <si>
    <t>위험회피파생상품부채(표준재무)</t>
  </si>
  <si>
    <t>이자율관련위험회피부채(표준재무)</t>
  </si>
  <si>
    <t>통화관련위험회피부채(표준재무)</t>
  </si>
  <si>
    <t>주식관련위험회피부채(표준재무)</t>
  </si>
  <si>
    <t>신용관련위험회피부채(표준재무)</t>
  </si>
  <si>
    <t>기타파생상품부채위험회피부채(표준재무)</t>
  </si>
  <si>
    <t>예수부채(표준재무)</t>
  </si>
  <si>
    <t>요구불예금(표준재무)</t>
  </si>
  <si>
    <t>원화요구불예금(표준재무)</t>
  </si>
  <si>
    <t>당좌예금원화(표준재무)</t>
  </si>
  <si>
    <t>가계종합예금원화(표준재무)</t>
  </si>
  <si>
    <t>별단예금원화(표준재무)</t>
  </si>
  <si>
    <t>보통예금원화(표준재무)</t>
  </si>
  <si>
    <t>공금예금원화(표준재무)</t>
  </si>
  <si>
    <t>기타원화요구불(표준재무)</t>
  </si>
  <si>
    <t>외화요구불예금(표준재무)</t>
  </si>
  <si>
    <t>당좌예금외화(표준재무)</t>
  </si>
  <si>
    <t>보통예금외화(표준재무)</t>
  </si>
  <si>
    <t>통지예금외화요구불(표준재무)</t>
  </si>
  <si>
    <t>별단예금외화(표준재무)</t>
  </si>
  <si>
    <t>기타외화요구불(표준재무)</t>
  </si>
  <si>
    <t>기한부예금(표준재무)</t>
  </si>
  <si>
    <t>원화저축성예금(표준재무)</t>
  </si>
  <si>
    <t>저축예금(표준재무)</t>
  </si>
  <si>
    <t>정기예금원화(표준재무)</t>
  </si>
  <si>
    <t>정기적금(표준재무)</t>
  </si>
  <si>
    <t>수입부금(표준재무)</t>
  </si>
  <si>
    <t>주택부금(표준재무)</t>
  </si>
  <si>
    <t>기타원화저축성예금(표준재무)</t>
  </si>
  <si>
    <t>외화저축성예금(표준재무)</t>
  </si>
  <si>
    <t>정기예금외화(표준재무)</t>
  </si>
  <si>
    <t>통지예금외화저축성(표준재무)</t>
  </si>
  <si>
    <t>기타외화저축성예금(표준재무)</t>
  </si>
  <si>
    <t>상호부금(표준재무)</t>
  </si>
  <si>
    <t>기타기한부예금(표준재무)</t>
  </si>
  <si>
    <t>양도성예금증서(표준재무)</t>
  </si>
  <si>
    <t>금예수금(표준재무)</t>
  </si>
  <si>
    <t>기타예수부채(표준재무)</t>
  </si>
  <si>
    <t>차입부채(표준재무)</t>
  </si>
  <si>
    <t>콜머니(표준재무)</t>
  </si>
  <si>
    <t>원화콜머니(표준재무)</t>
  </si>
  <si>
    <t>외화콜머니(표준재무)</t>
  </si>
  <si>
    <t>매출어음(표준재무)</t>
  </si>
  <si>
    <t>환매조건부채권매도(표준재무)</t>
  </si>
  <si>
    <t>원화차입금(표준재무)</t>
  </si>
  <si>
    <t>한은차입금(표준재무)</t>
  </si>
  <si>
    <t>정부차입금(표준재무)</t>
  </si>
  <si>
    <t>예금은행차입금(표준재무)</t>
  </si>
  <si>
    <t>일반차입금(표준재무)</t>
  </si>
  <si>
    <t>국민투자기금차입금(표준재무)</t>
  </si>
  <si>
    <t>기타차입금(은행표준재무)</t>
  </si>
  <si>
    <t>외화차입금(은행표준재무)</t>
  </si>
  <si>
    <t>사채(표준재무)</t>
  </si>
  <si>
    <t>공정가치위험회피손실이익사채(표준재무)</t>
  </si>
  <si>
    <t>사채상환할증금사채(표준재무)</t>
  </si>
  <si>
    <t>(사채조정계정)사채(표준재무)</t>
  </si>
  <si>
    <t>(사채할인발행차금)사채(표준재무)</t>
  </si>
  <si>
    <t>사채할증발행차금사채(표준재무)</t>
  </si>
  <si>
    <t>원화사채(표준재무)</t>
  </si>
  <si>
    <t>공정가치위험회피손실이익원화사채(표준재무)</t>
  </si>
  <si>
    <t>사채상환할증금원화사채(표준재무)</t>
  </si>
  <si>
    <t>(사채조정계정)원화사채(표준재무)</t>
  </si>
  <si>
    <t>(사채할인발행차금)원화사채(표준재무)</t>
  </si>
  <si>
    <t>외화사채(표준재무)</t>
  </si>
  <si>
    <t>공정가치위험회피손실이익외화사채(표준재무)</t>
  </si>
  <si>
    <t>(사채할인발행차금)외화사채(표준재무)</t>
  </si>
  <si>
    <t>금차입(표준재무)</t>
  </si>
  <si>
    <t>비지배지분부채(표준재무)</t>
  </si>
  <si>
    <t>기타차입부채(표준재무)</t>
  </si>
  <si>
    <t>기타금융업부채(표준재무)</t>
  </si>
  <si>
    <t>비유동종업원급여충당부채(표준재무)</t>
  </si>
  <si>
    <t>확정급여부채(표준재무)</t>
  </si>
  <si>
    <t>(사외적립자산)확정급여부채(표준재무)</t>
  </si>
  <si>
    <t>(현재가치할인차금)확정급여부채(표준재무)</t>
  </si>
  <si>
    <t>미인식보험수리적손익(표준재무)</t>
  </si>
  <si>
    <t>기타장기종업원급여부채연차상여등(표준재무)</t>
  </si>
  <si>
    <t>기타비유동종업원급여충당부채(표준재무)</t>
  </si>
  <si>
    <t>기타충당부채(표준재무)</t>
  </si>
  <si>
    <t>손실부담계약충당부채(표준재무)</t>
  </si>
  <si>
    <t>지급보증충당부채(표준재무)</t>
  </si>
  <si>
    <t>미사용약정충당부채(표준재무)</t>
  </si>
  <si>
    <t>소송충당부채(표준재무)</t>
  </si>
  <si>
    <t>복구충당부채(표준재무)</t>
  </si>
  <si>
    <t>포인트충당부채(표준재무)</t>
  </si>
  <si>
    <t>기타충당부채기타(표준재무)</t>
  </si>
  <si>
    <t>이연법인세부채(표준재무)</t>
  </si>
  <si>
    <t>당기법인세부채미지급법인세(표준재무)</t>
  </si>
  <si>
    <t>기타부채(표준재무)</t>
  </si>
  <si>
    <t>미지급금(표준재무)</t>
  </si>
  <si>
    <t>미지급내국환채무(표준재무)</t>
  </si>
  <si>
    <t>미지급외국환채무(표준재무)</t>
  </si>
  <si>
    <t>신탁계정미지급금신탁계정차(표준재무)</t>
  </si>
  <si>
    <t>신종자본증권미지급이자(표준재무)</t>
  </si>
  <si>
    <t>미지급비용전체(표준재무)</t>
  </si>
  <si>
    <t>미지급비용(표준재무)</t>
  </si>
  <si>
    <t>미지급배당금(표준재무)</t>
  </si>
  <si>
    <t>미지급이자(표준재무)</t>
  </si>
  <si>
    <t>기타미지급비용(표준재무)</t>
  </si>
  <si>
    <t>선수금(표준재무)</t>
  </si>
  <si>
    <t>선수수익(표준재무)</t>
  </si>
  <si>
    <t>예수금(표준재무)</t>
  </si>
  <si>
    <t>제세예수금(표준재무)</t>
  </si>
  <si>
    <t>수입제세(표준재무)</t>
  </si>
  <si>
    <t>가수금(표준재무)</t>
  </si>
  <si>
    <t>수입보증금(표준재무)</t>
  </si>
  <si>
    <t>리스보증금(표준재무)</t>
  </si>
  <si>
    <t>임대보증금(표준재무)</t>
  </si>
  <si>
    <t>선불카드채무(표준재무)</t>
  </si>
  <si>
    <t>직불카드채무(표준재무)</t>
  </si>
  <si>
    <t>타행간현송채무(표준재무)</t>
  </si>
  <si>
    <t>여신관리자금(표준재무)</t>
  </si>
  <si>
    <t>유가증권청약증거금(표준재무)</t>
  </si>
  <si>
    <t>대행업무지로수입금(표준재무)</t>
  </si>
  <si>
    <t>대리점(표준재무)</t>
  </si>
  <si>
    <t>복권(표준재무)</t>
  </si>
  <si>
    <t>금융보증부채(표준재무)</t>
  </si>
  <si>
    <t>매각및처분예정부채집단(표준재무)</t>
  </si>
  <si>
    <t>리스부채(표준재무)</t>
  </si>
  <si>
    <t>기타부채기타(표준재무)</t>
  </si>
  <si>
    <t>(현재가치할인차금)기타부채기타(표준재무)</t>
  </si>
  <si>
    <t>순이자손익(표준손익)</t>
  </si>
  <si>
    <t>이자수익(표준손익)</t>
  </si>
  <si>
    <t>원화이자수익(표준손익)</t>
  </si>
  <si>
    <t>외화이자수익(표준손익)</t>
  </si>
  <si>
    <t>현금및예치금이자(표준손익)</t>
  </si>
  <si>
    <t>당기손익인식지정금융자산이자(표준손익)</t>
  </si>
  <si>
    <t>당기손익공정가치측정금융자산이자(표준손익)</t>
  </si>
  <si>
    <t>유가증권이자(표준손익)</t>
  </si>
  <si>
    <t>단기매매금융자산이자(표준손익)</t>
  </si>
  <si>
    <t>기타포괄손익공정가치측정금융자산이자(표준손익)</t>
  </si>
  <si>
    <t>상각후원가측정유가증권이자(표준손익)</t>
  </si>
  <si>
    <t>매도가능금융자산이자(표준손익)</t>
  </si>
  <si>
    <t>만기보유금융자산이자(표준손익)</t>
  </si>
  <si>
    <t>기타유가증권이자(표준손익)</t>
  </si>
  <si>
    <t>상각후원가측정금융자산이자(표준손익)</t>
  </si>
  <si>
    <t>대출채권이자(표준손익)</t>
  </si>
  <si>
    <t>대출금이자(표준손익)</t>
  </si>
  <si>
    <t>원화대출금이자(표준손익)</t>
  </si>
  <si>
    <t>외화대출금이자(표준손익)</t>
  </si>
  <si>
    <t>콜론이자(은행표준손익)</t>
  </si>
  <si>
    <t>매입어음이자(표준손익)</t>
  </si>
  <si>
    <t>매입외환할인료(표준손익)</t>
  </si>
  <si>
    <t>지급보증대지급금이자(표준손익)</t>
  </si>
  <si>
    <t>내국수입유산스이자(표준손익)</t>
  </si>
  <si>
    <t>신용카드채권이자(표준손익)</t>
  </si>
  <si>
    <t>환매조건부채권매수이자(표준손익)</t>
  </si>
  <si>
    <t>사모사채이자(표준손익)</t>
  </si>
  <si>
    <t>기타대출채권이자(표준손익)</t>
  </si>
  <si>
    <t>예금이자(표준손익)</t>
  </si>
  <si>
    <t>대여금및수취채권이자(표준손익)</t>
  </si>
  <si>
    <t>기타이자수익(표준손익)</t>
  </si>
  <si>
    <t>(이자비용)(표준손익)</t>
  </si>
  <si>
    <t>당기손익인식지정금융부채이자(표준손익)</t>
  </si>
  <si>
    <t>당기손익공정가치측정금융부채이자(표준손익)</t>
  </si>
  <si>
    <t>예수부채이자(표준손익)</t>
  </si>
  <si>
    <t>원화예수금이자(표준손익)</t>
  </si>
  <si>
    <t>외화예수금이자(표준손익)</t>
  </si>
  <si>
    <t>양도성예금증서이자(표준손익)</t>
  </si>
  <si>
    <t>기타예수부채이자(표준손익)</t>
  </si>
  <si>
    <t>차입부채이자(표준손익)</t>
  </si>
  <si>
    <t>차입금이자(표준손익)</t>
  </si>
  <si>
    <t>콜머니이자(표준손익)</t>
  </si>
  <si>
    <t>사채이자(표준손익)</t>
  </si>
  <si>
    <t>매출어음할인료(표준손익)</t>
  </si>
  <si>
    <t>환매조건부채권매도이자(표준손익)</t>
  </si>
  <si>
    <t>기타차입부채이자(표준손익)</t>
  </si>
  <si>
    <t>신탁계정미지급금신탁계정차이자(표준손익)</t>
  </si>
  <si>
    <t>기타이자비용(표준손익)</t>
  </si>
  <si>
    <t>기타이자손익(표준손익)</t>
  </si>
  <si>
    <t>순수수료손익(표준손익)</t>
  </si>
  <si>
    <t>수수료수익(표준손익)</t>
  </si>
  <si>
    <t>수입수수료수수료수익(표준손익)</t>
  </si>
  <si>
    <t>수입보증료지급보증수수료(표준손익)</t>
  </si>
  <si>
    <t>신용카드관련수수료수수료수익(표준손익)</t>
  </si>
  <si>
    <t>중도해지수수료(표준손익)</t>
  </si>
  <si>
    <t>기타수입수수료(표준손익)</t>
  </si>
  <si>
    <t>(수수료비용)(표준손익)</t>
  </si>
  <si>
    <t>지급수수료(수수료비용)(표준손익)</t>
  </si>
  <si>
    <t>신용카드관련수수료(수수료비용)(표준손익)</t>
  </si>
  <si>
    <t>기타지급수수료(표준손익)</t>
  </si>
  <si>
    <t>금융상품관련손익(표준손익)</t>
  </si>
  <si>
    <t>금융상품관련이익(표준손익)</t>
  </si>
  <si>
    <t>당기손익인식지정금융자산평가이익(표준손익)</t>
  </si>
  <si>
    <t>당기손익인식지정금융자산매매이익(표준손익)</t>
  </si>
  <si>
    <t>당기손익인식지정금융자산관련이익(표준손익)</t>
  </si>
  <si>
    <t>당기손익공정가치측정금융자산평가이익(표준손익)</t>
  </si>
  <si>
    <t>당기손익공정가치측정금융자산처분이익(표준손익)</t>
  </si>
  <si>
    <t>당기손익공정가치측정금융자산관련이익(표준손익)</t>
  </si>
  <si>
    <t>매매목적파생상품관련이익(표준손익)</t>
  </si>
  <si>
    <t>파생상품거래이익매매목적(표준손익)</t>
  </si>
  <si>
    <t>파생상품평가이익매매목적(표준손익)</t>
  </si>
  <si>
    <t>기타파생상품이익매매목적(표준손익)</t>
  </si>
  <si>
    <t>단기매매금융자산관련이익(표준손익)</t>
  </si>
  <si>
    <t>단기매매금융자산평가이익(표준손익)</t>
  </si>
  <si>
    <t>단기매매금융자산처분이익(표준손익)</t>
  </si>
  <si>
    <t>단기매매금융자산상환이익(표준손익)</t>
  </si>
  <si>
    <t>매도가능금융자산처분이익(표준손익)</t>
  </si>
  <si>
    <t>매도가능금융자산상환이익(표준손익)</t>
  </si>
  <si>
    <t>만기보유금융자산처분이익(표준손익)</t>
  </si>
  <si>
    <t>매도가능금융자산손상차손환입(표준손익)</t>
  </si>
  <si>
    <t>만기보유금융자산손상차손환입(표준손익)</t>
  </si>
  <si>
    <t>기타포괄손익공정가치측정금융자산처분이익(표준손익)</t>
  </si>
  <si>
    <t>기타포괄손익공정가치측정금융자산상환이익(표준손익)</t>
  </si>
  <si>
    <t>기타포괄손익공정가치측정금융자산손상차손환입(표준손익)</t>
  </si>
  <si>
    <t>기타포괄손익공정가치측정금융자산관련이익(표준손익)</t>
  </si>
  <si>
    <t>상각후원가측정금융자산처분이익(표준손익)</t>
  </si>
  <si>
    <t>상각후원가측정금융자산손상차손환입(표준손익)</t>
  </si>
  <si>
    <t>당기손익인식지정금융부채평가이익(표준손익)</t>
  </si>
  <si>
    <t>당기손익인식지정금융부채매매이익(표준손익)</t>
  </si>
  <si>
    <t>당기손익인식지정금융부채관련이익(표준손익)</t>
  </si>
  <si>
    <t>당기손익공정가치측정금융부채평가이익(표준손익)</t>
  </si>
  <si>
    <t>당기손익공정가치측정금융부채매매이익(표준손익)</t>
  </si>
  <si>
    <t>당기손익공정가치측정금융부채관련이익(표준손익)</t>
  </si>
  <si>
    <t>단기매매금융부채평가이익(표준손익)</t>
  </si>
  <si>
    <t>단기매매금융부채상환이익(표준손익)</t>
  </si>
  <si>
    <t>매도유가증권관련이익(표준손익)</t>
  </si>
  <si>
    <t>종속기업공동지배기업및관계기업지분법관련이익(표준손익)</t>
  </si>
  <si>
    <t>기타유가증권관련이익(표준손익)</t>
  </si>
  <si>
    <t>(금융상품관련손실)(표준손익)</t>
  </si>
  <si>
    <t>당기손익인식지정금융자산평가손실(표준손익)</t>
  </si>
  <si>
    <t>당기손익인식지정금융자산매매손실(표준손익)</t>
  </si>
  <si>
    <t>당기손익인식지정금융자산관련손실(표준손익)</t>
  </si>
  <si>
    <t>당기손익공정가치측정금융자산평가손실(표준손익)</t>
  </si>
  <si>
    <t>당기손익공정가치측정금융자산처분손실(표준손익)</t>
  </si>
  <si>
    <t>당기손익공정가치측정금융자산관련손실(표준손익)</t>
  </si>
  <si>
    <t>매매목적파생상품관련손실(표준손익)</t>
  </si>
  <si>
    <t>파생상품거래손실매매목적(표준손익)</t>
  </si>
  <si>
    <t>파생상품평가손실매매목적(표준손익)</t>
  </si>
  <si>
    <t>기타파생상품손실매매목적(표준손익)</t>
  </si>
  <si>
    <t>단기매매금융자산관련손실(표준손익)</t>
  </si>
  <si>
    <t>단기매매금융자산평가손실(표준손익)</t>
  </si>
  <si>
    <t>단기매매금융자산처분손실(표준손익)</t>
  </si>
  <si>
    <t>단기매매금융자산상환손실(표준손익)</t>
  </si>
  <si>
    <t>매도가능금융자산처분손실(표준손익)</t>
  </si>
  <si>
    <t>매도가능금융자산상환손실(표준손익)</t>
  </si>
  <si>
    <t>만기보유금융자산처분손실(표준손익)</t>
  </si>
  <si>
    <t>매도가능금융자산손상차손(표준손익)</t>
  </si>
  <si>
    <t>기타포괄손익공정가치측정금융자산처분손실(표준손익)</t>
  </si>
  <si>
    <t>기타포괄손익공정가치측정금융자산상환손실(표준손익)</t>
  </si>
  <si>
    <t>기타포괄손익공정가치측정금융자산손상차손(표준손익)</t>
  </si>
  <si>
    <t>기타포괄손익공정가치측정금융자산관련손실(표준손익)</t>
  </si>
  <si>
    <t>상각후원가측정금융자산처분손실(표준손익)</t>
  </si>
  <si>
    <t>상각후원가측정금융자산손상차손(표준손익)</t>
  </si>
  <si>
    <t>당기손익인식지정금융부채평가손실(표준손익)</t>
  </si>
  <si>
    <t>당기손익인식지정금융부채매매손실(표준손익)</t>
  </si>
  <si>
    <t>당기손익인식지정금융부채관련손실(표준손익)</t>
  </si>
  <si>
    <t>당기손익공정가치측정금융부채평가손실(표준손익)</t>
  </si>
  <si>
    <t>당기손익공정가치측정금융부채매매손실(표준손익)</t>
  </si>
  <si>
    <t>당기손익공정가치측정금융부채관련손실(표준손익)</t>
  </si>
  <si>
    <t>단기매매금융부채평가손실(표준손익)</t>
  </si>
  <si>
    <t>단기매매금융부채상환손실(표준손익)</t>
  </si>
  <si>
    <t>매도유가증권관련손실(표준손익)</t>
  </si>
  <si>
    <t>종속기업공동지배기업및관계기업지분법관련손실(표준손익)</t>
  </si>
  <si>
    <t>기타유가증권관련손실(표준손익)</t>
  </si>
  <si>
    <t>배당금수익(표준손익)</t>
  </si>
  <si>
    <t>당기손익공정가치측정금융자산배당금수익(표준손익)</t>
  </si>
  <si>
    <t>기타포괄손익공정가치측정금융자산배당금수익(표준손익)</t>
  </si>
  <si>
    <t>단기매매금융자산배당금수익(표준손익)</t>
  </si>
  <si>
    <t>매도가능금융자산배당금수익(표준손익)</t>
  </si>
  <si>
    <t>종속기업공동지배기업및관계기업배당금수익(표준손익)</t>
  </si>
  <si>
    <t>기타배당금수익(표준손익)</t>
  </si>
  <si>
    <t>기타금융상품관련손익(표준손익)</t>
  </si>
  <si>
    <t>위험회피회계파생상품관련손익(표준손익)</t>
  </si>
  <si>
    <t>파생상품이익위험회피(표준손익)</t>
  </si>
  <si>
    <t>파생상품거래이익위험회피(표준손익)</t>
  </si>
  <si>
    <t>파생상품평가이익위험회피(표준손익)</t>
  </si>
  <si>
    <t>기타파생상품이익위험회피(표준손익)</t>
  </si>
  <si>
    <t>(파생상품손실)(표준손익)</t>
  </si>
  <si>
    <t>파생상품거래손실위험회피(표준손익)</t>
  </si>
  <si>
    <t>파생상품평가손실위험회피(표준손익)</t>
  </si>
  <si>
    <t>기타파생상품손실위험회피(은행표준손익)</t>
  </si>
  <si>
    <t>외환거래환율변동손익(표준손익)</t>
  </si>
  <si>
    <t>외환거래이익(표준손익)</t>
  </si>
  <si>
    <t>외환차익(표준손익)</t>
  </si>
  <si>
    <t>외화환산이익(표준손익)</t>
  </si>
  <si>
    <t>기타외환거래이익(표준손익)</t>
  </si>
  <si>
    <t>(외환거래손실)(표준손익)</t>
  </si>
  <si>
    <t>외환차손(표준손익)</t>
  </si>
  <si>
    <t>외화환산손실(표준손익)</t>
  </si>
  <si>
    <t>기타외환거래손실(표준손익)</t>
  </si>
  <si>
    <t>금융자산관련손익(표준손익)</t>
  </si>
  <si>
    <t>대출채권평가및처분이익(은행표준손익)</t>
  </si>
  <si>
    <t>대손충당금환입액(표준손익)</t>
  </si>
  <si>
    <t>대출채권처분이익(표준손익)</t>
  </si>
  <si>
    <t>기타대출채권평가및처분이익(표준손익)</t>
  </si>
  <si>
    <t>(대출채권평가및처분손실)(표준손익)</t>
  </si>
  <si>
    <t>대손상각비(대출채권평가및처분손실)(표준손익)</t>
  </si>
  <si>
    <t>대출채권처분손실(표준손익)</t>
  </si>
  <si>
    <t>기타(대출채권평가및처분손실)(표준손익)</t>
  </si>
  <si>
    <t>기타금융자산관련이익(표준손익)</t>
  </si>
  <si>
    <t>신탁업무운용수익(표준손익)</t>
  </si>
  <si>
    <t>기타금융수익(표준손익)</t>
  </si>
  <si>
    <t>(기타금융자산관련손실)(표준손익)</t>
  </si>
  <si>
    <t>신탁업무운용손실(표준손익)</t>
  </si>
  <si>
    <t>기타금융비용(표준손익)</t>
  </si>
  <si>
    <t>기타영업손익(표준손익)</t>
  </si>
  <si>
    <t>기타영업수익(표준손익)</t>
  </si>
  <si>
    <t>금거래이익(표준손익)</t>
  </si>
  <si>
    <t>지급보증충당부채환입액(표준손익)</t>
  </si>
  <si>
    <t>미사용약정충당부채환입액(표준손익)</t>
  </si>
  <si>
    <t>소송충당부채환입액(표준손익)</t>
  </si>
  <si>
    <t>복구충당부채환입액(표준손익)</t>
  </si>
  <si>
    <t>포인트충당부채환입액(표준손익)</t>
  </si>
  <si>
    <t>기타충당부채환입액(표준손익)</t>
  </si>
  <si>
    <t>공정가액위험회피대상관련수익(표준손익)</t>
  </si>
  <si>
    <t>종합금융계정영업수익(표준손익)</t>
  </si>
  <si>
    <t>기타영업수익기타(표준손익)</t>
  </si>
  <si>
    <t>(기타영업비용)(표준손익)</t>
  </si>
  <si>
    <t>금거래손실(표준손익)</t>
  </si>
  <si>
    <t>기금출연금(표준손익)</t>
  </si>
  <si>
    <t>예금보험료(표준손익)</t>
  </si>
  <si>
    <t>지급보증충당부채전입액(표준손익)</t>
  </si>
  <si>
    <t>미사용약정충당부채전입액(표준손익)</t>
  </si>
  <si>
    <t>소송충당부채전입액(표준손익)</t>
  </si>
  <si>
    <t>복구충당부채전입액(표준손익)</t>
  </si>
  <si>
    <t>포인트충당부채전입액(표준손익)</t>
  </si>
  <si>
    <t>기타충당부채전입액(표준손익)</t>
  </si>
  <si>
    <t>공정가액위험회피대상관련비용(표준손익)</t>
  </si>
  <si>
    <t>종합금융계정영업비용(표준손익)</t>
  </si>
  <si>
    <t>기타영업비용기타(표준손익)</t>
  </si>
  <si>
    <t>순영업손익(표준손익)</t>
  </si>
  <si>
    <t>회사기재상순영업손익(표준손익)</t>
  </si>
  <si>
    <t>판매비와관리비(표준손익)</t>
  </si>
  <si>
    <t>명예퇴직금(표준손익)</t>
  </si>
  <si>
    <t>교육훈련비연수비(표준손익)</t>
  </si>
  <si>
    <t>수도광열비전력유류비등(표준손익)</t>
  </si>
  <si>
    <t>전산비(표준손익)</t>
  </si>
  <si>
    <t>도서비구입및인쇄(표준손익)</t>
  </si>
  <si>
    <t>차량비(표준손익)</t>
  </si>
  <si>
    <t>지급수수료판관비(표준손익)</t>
  </si>
  <si>
    <t>유형리스자산감가상각비(표준손익)</t>
  </si>
  <si>
    <t>무형자산상각비(표준손익)</t>
  </si>
  <si>
    <t>접대비업무추진비(표준손익)</t>
  </si>
  <si>
    <t>기타판매비와관리비(표준손익)</t>
  </si>
  <si>
    <t>영업외수익(표준손익)</t>
  </si>
  <si>
    <t>이자수익영업외(표준손익)</t>
  </si>
  <si>
    <t>배당금수익영업외(표준손익)</t>
  </si>
  <si>
    <t>외환거래이익영업외(표준손익)</t>
  </si>
  <si>
    <t>외환차익영업외(표준손익)</t>
  </si>
  <si>
    <t>외환환산이익(표준손익)</t>
  </si>
  <si>
    <t>기타외화거래이익(표준손익)</t>
  </si>
  <si>
    <t>수입수수료영업외(표준손익)</t>
  </si>
  <si>
    <t>상각채권추심이익(표준손익)</t>
  </si>
  <si>
    <t>임대료(표준손익)</t>
  </si>
  <si>
    <t>대손충당금환입액영업외(표준손익)</t>
  </si>
  <si>
    <t>충당부채환입액(표준손익)</t>
  </si>
  <si>
    <t>유가증권처분이익(표준손익)</t>
  </si>
  <si>
    <t>매도가능금융자산처분이익영업외(표준손익)</t>
  </si>
  <si>
    <t>만기보유금융자산처분이익영업외(표준손익)</t>
  </si>
  <si>
    <t>기타유가증권처분이익(표준손익)</t>
  </si>
  <si>
    <t>유가증권손상차손환입(표준손익)</t>
  </si>
  <si>
    <t>매도가능금융자산손상차손환입영업외(표준손익)</t>
  </si>
  <si>
    <t>만기보유금융자산손상차손환입영업외(표준손익)</t>
  </si>
  <si>
    <t>기타유가증권손상차손환입(표준손익)</t>
  </si>
  <si>
    <t>종속기업공동지배기업및관계기업관련이익(표준손익)</t>
  </si>
  <si>
    <t>지분법관련이익(표준손익)</t>
  </si>
  <si>
    <t>관계기업관련이익(표준손익)</t>
  </si>
  <si>
    <t>종속기업관련이익(표준손익)</t>
  </si>
  <si>
    <t>기타종속기업공동지배기업및관계기업관련이익(표준손익)</t>
  </si>
  <si>
    <t>파생상품이익영업외(표준손익)</t>
  </si>
  <si>
    <t>파생상품거래이익영업외(표준손익)</t>
  </si>
  <si>
    <t>파생상품평가이익영업외(표준손익)</t>
  </si>
  <si>
    <t>사채상환이익(표준손익)</t>
  </si>
  <si>
    <t>자산처분이익(표준손익)</t>
  </si>
  <si>
    <t>유형리스사용권자산처분이익(표준손익)</t>
  </si>
  <si>
    <t>무형자산처분이익(표준손익)</t>
  </si>
  <si>
    <t>매각및처분예정자산집단처분이익(표준손익)</t>
  </si>
  <si>
    <t>기타자산처분이익(표준손익)</t>
  </si>
  <si>
    <t>자산손상차손환입(표준손익)</t>
  </si>
  <si>
    <t>무형자산손상차손환입(표준손익)</t>
  </si>
  <si>
    <t>기타자산손상차손환입(표준손익)</t>
  </si>
  <si>
    <t>자산수증이익(표준손익)</t>
  </si>
  <si>
    <t>보험차익(표준손익)</t>
  </si>
  <si>
    <t>법인세환급액(표준손익)</t>
  </si>
  <si>
    <t>전기오류수정이익(표준손익)</t>
  </si>
  <si>
    <t>보험수리적이익(표준손익)</t>
  </si>
  <si>
    <t>기타영업외수익(표준손익)</t>
  </si>
  <si>
    <t>영업외비용(표준손익)</t>
  </si>
  <si>
    <t>이자비용(표준손익)</t>
  </si>
  <si>
    <t>외환거래손실(표준손익)</t>
  </si>
  <si>
    <t>외환차손영업외(표준손익)</t>
  </si>
  <si>
    <t>외화환산손실영업외(표준손익)</t>
  </si>
  <si>
    <t>기타외환거래손실영업외(표준손익)</t>
  </si>
  <si>
    <t>지급수수료영업외(표준손익)</t>
  </si>
  <si>
    <t>기부금(표준손익)</t>
  </si>
  <si>
    <t>기타대손상각비(표준손익)</t>
  </si>
  <si>
    <t>충당부채전입액(표준손익)</t>
  </si>
  <si>
    <t>유가증권처분손실(표준손익)</t>
  </si>
  <si>
    <t>매도가능금융자산처분손실영업외(표준손익)</t>
  </si>
  <si>
    <t>만기보유금융자산처분손실영업외(표준손익)</t>
  </si>
  <si>
    <t>기타유가증권처분손실(표준손익)</t>
  </si>
  <si>
    <t>유가증권손상차손(표준손익)</t>
  </si>
  <si>
    <t>매도가능금융자산손상차손영업외(표준손익)</t>
  </si>
  <si>
    <t>만기보유금융자산손상차손영업외(표준손익)</t>
  </si>
  <si>
    <t>기타유가증권손상차손(표준손익)</t>
  </si>
  <si>
    <t>종속기업공동지배기업및관계기업관련손실(표준손익)</t>
  </si>
  <si>
    <t>지분법관련손실(표준손익)</t>
  </si>
  <si>
    <t>관계기업관련손실(표준손익)</t>
  </si>
  <si>
    <t>종속기업관련손실(표준손익)</t>
  </si>
  <si>
    <t>기타종속기업공동지배기업및관계기업관련손실(표준손익)</t>
  </si>
  <si>
    <t>파생상품손실(표준손익)</t>
  </si>
  <si>
    <t>파생상품거래손실영업외(표준손익)</t>
  </si>
  <si>
    <t>파생상품평가손실영업외(표준손익)</t>
  </si>
  <si>
    <t>사채상환손실(표준손익)</t>
  </si>
  <si>
    <t>자산처분손실(표준손익)</t>
  </si>
  <si>
    <t>유형리스사용권자산처분손실(표준손익)</t>
  </si>
  <si>
    <t>무형자산처분손실(표준손익)</t>
  </si>
  <si>
    <t>매각및처분예정자산집단처분손실(표준손익)</t>
  </si>
  <si>
    <t>기타자산처분손실(표준손익)</t>
  </si>
  <si>
    <t>자산손상차손(표준손익)</t>
  </si>
  <si>
    <t>유형자산손상차손(표준손익)</t>
  </si>
  <si>
    <t>무형자산손상차손(표준손익)</t>
  </si>
  <si>
    <t>기타자산손상차손(표준손익)</t>
  </si>
  <si>
    <t>자산재평가손실(표준손익)</t>
  </si>
  <si>
    <t>법인세추납액(표준손익)</t>
  </si>
  <si>
    <t>전기오류수정손실(표준손익)</t>
  </si>
  <si>
    <t>보험수리적손실(표준손익)</t>
  </si>
  <si>
    <t>기타영업외비용(표준손익)</t>
  </si>
  <si>
    <t>계속영업손익지배(표준손익)</t>
  </si>
  <si>
    <t>계속영업손익비지배(표준손익)</t>
  </si>
  <si>
    <t>매출등수익활동으로발생하는현금유입(표준현금흐름)</t>
  </si>
  <si>
    <t>배당금수취액(표준현금흐름)</t>
  </si>
  <si>
    <t>매입및종업원과관련하여직·간접으로발생하는현금유출(표준현금흐름)</t>
  </si>
  <si>
    <t>이자비용유출액(표준현금흐름)</t>
  </si>
  <si>
    <t>배당금지급액(표준현금흐름)</t>
  </si>
  <si>
    <t>단기매매목적으로보유하는계약에서발생하는현금유출(표준현금흐름)</t>
  </si>
  <si>
    <t>당기손익인식지정금융자산평가손실(표준현금흐름)</t>
  </si>
  <si>
    <t>당기손익인식지정금융자산매매손실(표준현금흐름)</t>
  </si>
  <si>
    <t>당기손익인식지정금융자산관련손실(표준현금흐름)</t>
  </si>
  <si>
    <t>당기손익공정가치측정금융자산평가손실(표준현금흐름)</t>
  </si>
  <si>
    <t>당기손익공정가치측정금융자산처분손실(표준현금흐름)</t>
  </si>
  <si>
    <t>당기손익공정가치측정금융자산관련손실(표준현금흐름)</t>
  </si>
  <si>
    <t>단기매매금융자산평가손실(표준현금흐름)</t>
  </si>
  <si>
    <t>당기손익인식지정금융부채평가손실(표준현금흐름)</t>
  </si>
  <si>
    <t>당기손익인식지정금융부채매매손실(표준현금흐름)</t>
  </si>
  <si>
    <t>당기손익인식지정금융부채관련손실(표준현금흐름)</t>
  </si>
  <si>
    <t>당기손익공정가치측정금융부채평가손실(표준현금흐름)</t>
  </si>
  <si>
    <t>단기매매금융부채평가손실(표준현금흐름)</t>
  </si>
  <si>
    <t>매매목적파생상품손실(표준현금흐름)</t>
  </si>
  <si>
    <t>파생상품거래손실매매목적(표준현금흐름)</t>
  </si>
  <si>
    <t>파생상품평가손실매매목적(표준현금흐름)</t>
  </si>
  <si>
    <t>기타파생상품손실매매목적(표준현금흐름)</t>
  </si>
  <si>
    <t>공정가액위험회피대상관련비용(표준현금흐름)</t>
  </si>
  <si>
    <t>위험회피파생상품손실(표준현금흐름)</t>
  </si>
  <si>
    <t>파생상품거래손실위험회피(표준현금흐름)</t>
  </si>
  <si>
    <t>파생상품평가손실위험회피(표준현금흐름)</t>
  </si>
  <si>
    <t>기타파생상품손실위험회피(표준현금흐름)</t>
  </si>
  <si>
    <t>기타포괄손익공정가치측정금융자산처분손실(표준현금흐름)</t>
  </si>
  <si>
    <t>기타포괄손익공정가치측정금융자산손상차손(표준현금흐름)</t>
  </si>
  <si>
    <t>기타포괄손익공정가치측정금융자산관련손실(표준현금흐름)</t>
  </si>
  <si>
    <t>상각후원가측정금융자산처분손실(표준현금흐름)</t>
  </si>
  <si>
    <t>상각후원가측정금융자산손상차손(표준현금흐름)</t>
  </si>
  <si>
    <t>상각후원가측정금융자산관련손실(표준현금흐름)</t>
  </si>
  <si>
    <t>유가증권처분손실(표준현금흐름)</t>
  </si>
  <si>
    <t>단기매매금융자산처분손실(표준현금흐름)</t>
  </si>
  <si>
    <t>매도가능금융자산처분손실(표준현금흐름)</t>
  </si>
  <si>
    <t>만기보유금융자산처분손실(표준현금흐름)</t>
  </si>
  <si>
    <t>기타유가증권처분손실(표준현금흐름)</t>
  </si>
  <si>
    <t>유가증권손상차손(표준현금흐름)</t>
  </si>
  <si>
    <t>매도가능금융자산손상차손(표준현금흐름)</t>
  </si>
  <si>
    <t>만기보유금융자산손상차손(표준현금흐름)</t>
  </si>
  <si>
    <t>기타유가증권손상차손(표준현금흐름)</t>
  </si>
  <si>
    <t>종속기업공동지배기업및관계기업관련손실(표준현금흐름)</t>
  </si>
  <si>
    <t>지분법관련손실(표준현금흐름)</t>
  </si>
  <si>
    <t>관계기업관련손실(표준현금흐름)</t>
  </si>
  <si>
    <t>종속기업관련손실(은행표준현금흐름)</t>
  </si>
  <si>
    <t>기타종속기업공동지배기업및관계기업관련손실(표준현금흐름)</t>
  </si>
  <si>
    <t>자산처분손실(표준현금흐름)</t>
  </si>
  <si>
    <t>대출채권매각손실(표준현금흐름)</t>
  </si>
  <si>
    <t>유형리스사용권자산처분손실(표준현금흐름)</t>
  </si>
  <si>
    <t>무형자산처분손실(표준현금흐름)</t>
  </si>
  <si>
    <t>매각및처분예정자산집단처분손실(표준현금흐름)</t>
  </si>
  <si>
    <t>기타자산처분손실(표준현금흐름)</t>
  </si>
  <si>
    <t>자산손상차손(표준현금흐름)</t>
  </si>
  <si>
    <t>유형자산손상차손(표준현금흐름)</t>
  </si>
  <si>
    <t>영업권손상차손(표준현금흐름)</t>
  </si>
  <si>
    <t>무형자산손상차손(표준현금흐름)</t>
  </si>
  <si>
    <t>기타자산손상차손(표준현금흐름)</t>
  </si>
  <si>
    <t>자산재평가손실(표준현금흐름)</t>
  </si>
  <si>
    <t>대손상각비대손충당금전입액(표준현금흐름)</t>
  </si>
  <si>
    <t>유형자산등감가상각비(표준현금흐름)</t>
  </si>
  <si>
    <t>리스사용권자산감가상각비(표준현금흐름)</t>
  </si>
  <si>
    <t>렌탈자산감가상각비(표준현금흐름)</t>
  </si>
  <si>
    <t>무형자산상각비(표준현금흐름)</t>
  </si>
  <si>
    <t>퇴직급여(표준현금흐름)</t>
  </si>
  <si>
    <t>종업원관련비용급여등(표준현금흐름)</t>
  </si>
  <si>
    <t>주식보상비(표준현금흐름)</t>
  </si>
  <si>
    <t>법인세비용(표준현금흐름)</t>
  </si>
  <si>
    <t>이자비용사채할인발행차금상각등(표준현금흐름)</t>
  </si>
  <si>
    <t>지급보증충당부채전입액(표준현금흐름)</t>
  </si>
  <si>
    <t>미사용약정충당부채전입액(표준현금흐름)</t>
  </si>
  <si>
    <t>복구충당부채전입액(표준현금흐름)</t>
  </si>
  <si>
    <t>기타충당부채전입액(표준현금흐름)</t>
  </si>
  <si>
    <t>부채상환손실(표준현금흐름)</t>
  </si>
  <si>
    <t>외환거래손실(표준현금흐름)</t>
  </si>
  <si>
    <t>전기오류수정손익가산(표준현금흐름)</t>
  </si>
  <si>
    <t>비지배주주지분순손익가산(표준현금흐름)</t>
  </si>
  <si>
    <t>보험수리적손실(표준현금흐름)</t>
  </si>
  <si>
    <t>기타현금의유출이없는비용등가산(표준현금흐름)</t>
  </si>
  <si>
    <t>당기손익인식지정금융자산평가이익(표준현금흐름)</t>
  </si>
  <si>
    <t>당기손익인식지정금융자산매매이익(표준현금흐름)</t>
  </si>
  <si>
    <t>당기손익인식지정금융자산관련이익(표준현금흐름)</t>
  </si>
  <si>
    <t>당기손익공정가치측정금융자산평가이익(표준현금흐름)</t>
  </si>
  <si>
    <t>당기손익공정가치측정금융자산처분이익(표준현금흐름)</t>
  </si>
  <si>
    <t>당기손익공정가치측정금융자산관련이익(표준현금흐름)</t>
  </si>
  <si>
    <t>단기매매금융자산평가이익(표준현금흐름)</t>
  </si>
  <si>
    <t>당기손익인식지정금융부채평가이익(표준현금흐름)</t>
  </si>
  <si>
    <t>당기손익인식지정금융부채매매이익(표준현금흐름)</t>
  </si>
  <si>
    <t>당기손익인식지정금융부채관련이익(표준현금흐름)</t>
  </si>
  <si>
    <t>당기손익공정가치측정금융부채평가이익(표준현금흐름)</t>
  </si>
  <si>
    <t>당기손익공정가치측정금융부채관련이익(표준현금흐름)</t>
  </si>
  <si>
    <t>단기매매금융부채평가이익(표준현금흐름)</t>
  </si>
  <si>
    <t>매매목적파생상품이익(표준현금흐름)</t>
  </si>
  <si>
    <t>파생상품거래이익매매목적(표준현금흐름)</t>
  </si>
  <si>
    <t>파생상품평가이익매매목적(표준현금흐름)</t>
  </si>
  <si>
    <t>기타파생상품이익매매목적(표준현금흐름)</t>
  </si>
  <si>
    <t>공정가액위험회피대상관련이익(표준현금흐름)</t>
  </si>
  <si>
    <t>위험회피파생상품이익(표준현금흐름)</t>
  </si>
  <si>
    <t>파생상품거래이익위험회피(표준현금흐름)</t>
  </si>
  <si>
    <t>파생상품평가이익위험회피(표준현금흐름)</t>
  </si>
  <si>
    <t>기타파생상품이익위험회피(표준현금흐름)</t>
  </si>
  <si>
    <t>기타포괄손익공정가치측정금융자산처분이익(표준현금흐름)</t>
  </si>
  <si>
    <t>기타포괄손익공정가치측정금융자산손상차손환입(표준현금흐름)</t>
  </si>
  <si>
    <t>기타포괄손익공정가치측정금융자산관련이익(표준현금흐름)</t>
  </si>
  <si>
    <t>상각후원가측정금융자산처분이익(표준현금흐름)</t>
  </si>
  <si>
    <t>상각후원가측정금융자산손상차손환입(표준현금흐름)</t>
  </si>
  <si>
    <t>상각후원가측정금융자산관련이익(표준현금흐름)</t>
  </si>
  <si>
    <t>유가증권처분이익(표준현금흐름)</t>
  </si>
  <si>
    <t>단기매매금융자산처분이익(표준현금흐름)</t>
  </si>
  <si>
    <t>매도가능금융자산처분이익(표준현금흐름)</t>
  </si>
  <si>
    <t>만기보유금융자산처분이익(표준현금흐름)</t>
  </si>
  <si>
    <t>기타유가증권처분이익(표준현금흐름)</t>
  </si>
  <si>
    <t>유가증권손상차손환입(표준현금흐름)</t>
  </si>
  <si>
    <t>매도가능금융자산손상차손환입(표준현금흐름)</t>
  </si>
  <si>
    <t>만기보유금융자산손상차손환입(표준현금흐름)</t>
  </si>
  <si>
    <t>기타유가증권손상차손환입(표준현금흐름)</t>
  </si>
  <si>
    <t>종속기업공동지배기업및관계기업관련이익(표준현금흐름)</t>
  </si>
  <si>
    <t>지분법관련이익(표준현금흐름)</t>
  </si>
  <si>
    <t>관계기업관련이익(표준현금흐름)</t>
  </si>
  <si>
    <t>종속기업관련이익(표준현금흐름)</t>
  </si>
  <si>
    <t>기타종속기업공동지배기업및관계기업관련이익(표준현금흐름)</t>
  </si>
  <si>
    <t>자산처분이익(표준현금흐름)</t>
  </si>
  <si>
    <t>대출채권매각이익(표준현금흐름)</t>
  </si>
  <si>
    <t>유형리스사용권자산처분이익(표준현금흐름)</t>
  </si>
  <si>
    <t>무형자산처분이익(표준현금흐름)</t>
  </si>
  <si>
    <t>매각및처분예정자산집단처분이익(표준현금흐름)</t>
  </si>
  <si>
    <t>기타자산처분이익(표준현금흐름)</t>
  </si>
  <si>
    <t>자산손상차손환입(표준현금흐름)</t>
  </si>
  <si>
    <t>유형자산손상차손환입(표준현금흐름)</t>
  </si>
  <si>
    <t>영업권손상차손환입(표준현금흐름)</t>
  </si>
  <si>
    <t>무형자산손상차손환입(표준현금흐름)</t>
  </si>
  <si>
    <t>기타자산손상차손환입(표준현금흐름)</t>
  </si>
  <si>
    <t>자산재평가손실환입(표준현금흐름)</t>
  </si>
  <si>
    <t>대손충당금환입액(표준현금흐름)</t>
  </si>
  <si>
    <t>주식보상비용환입(표준현금흐름)</t>
  </si>
  <si>
    <t>법인세수익(표준현금흐름)</t>
  </si>
  <si>
    <t>이자수익(표준현금흐름)</t>
  </si>
  <si>
    <t>주식배당액(표준현금흐름)</t>
  </si>
  <si>
    <t>지급보증충당부채환입액(표준현금흐름)</t>
  </si>
  <si>
    <t>미사용약정충당부채환입액(표준현금흐름)</t>
  </si>
  <si>
    <t>복구충당부채환입액(표준현금흐름)</t>
  </si>
  <si>
    <t>기타충당부채환입액(표준현금흐름)</t>
  </si>
  <si>
    <t>부채상환이익(표준현금흐름)</t>
  </si>
  <si>
    <t>외환거래이익(표준현금흐름)</t>
  </si>
  <si>
    <t>전기오류수정손익차감(표준현금흐름)</t>
  </si>
  <si>
    <t>비지배주주지분순손익차감(표준현금흐름)</t>
  </si>
  <si>
    <t>보험수리적이익(표준현금흐름)</t>
  </si>
  <si>
    <t>기타현금의유입이없는수익등차감(표준현금흐름)</t>
  </si>
  <si>
    <t>예치금등의감소증가(표준현금흐름)</t>
  </si>
  <si>
    <t>당기손익공정가치측정금융자산의감소증가(표준현금흐름)</t>
  </si>
  <si>
    <t>기타포괄손익공정가치측정금융자산의감소증가(표준현금흐름)</t>
  </si>
  <si>
    <t>상각후원가측정금융자산의감소증가(표준현금흐름)</t>
  </si>
  <si>
    <t>당기손익인식지정금융자산의감소증가(표준현금흐름)</t>
  </si>
  <si>
    <t>단기매매금융자산의감소증가(표준현금흐름)</t>
  </si>
  <si>
    <t>매매목적파생상품자산의감소증가(표준현금흐름)</t>
  </si>
  <si>
    <t>위험회피파생상품자산의감소증가(표준현금흐름)</t>
  </si>
  <si>
    <t>매도가능금융자산의감소증가(표준현금흐름)</t>
  </si>
  <si>
    <t>만기보유금융자산의감소증가(표준현금흐름)</t>
  </si>
  <si>
    <t>파생결합증권의감소증가(표준현금흐름)</t>
  </si>
  <si>
    <t>배당금의수령(표준현금흐름)</t>
  </si>
  <si>
    <t>관계기업등의감소증가(표준현금흐름)</t>
  </si>
  <si>
    <t>기타유가증권의감소증가(표준현금흐름)</t>
  </si>
  <si>
    <t>대출채권의감소증가(표준현금흐름)</t>
  </si>
  <si>
    <t>콜론의감소증가(표준현금흐름)</t>
  </si>
  <si>
    <t>신용카드채권의감소증가(표준현금흐름)</t>
  </si>
  <si>
    <t>매입외환의감소증가(표준현금흐름)</t>
  </si>
  <si>
    <t>매입어음의감소증가(표준현금흐름)</t>
  </si>
  <si>
    <t>환매조건부채권매수의감소증가(표준현금흐름)</t>
  </si>
  <si>
    <t>대출금의감소증가(표준현금흐름)</t>
  </si>
  <si>
    <t>팩토링채권의감소증가(표준현금흐름)</t>
  </si>
  <si>
    <t>지급보증대지급금의감소증가(표준현금흐름)</t>
  </si>
  <si>
    <t>사모사채의감소증가(표준현금흐름)</t>
  </si>
  <si>
    <t>기타대출채권의감소증가(표준현금흐름)</t>
  </si>
  <si>
    <t>이연대출부대수익비용의감소증가(표준현금흐름)</t>
  </si>
  <si>
    <t>현재가치할인할증차금의감소증가(표준현금흐름)</t>
  </si>
  <si>
    <t>대손충당금의감소증가(표준현금흐름)</t>
  </si>
  <si>
    <t>대여금및수취채권의감소증가(표준현금흐름)</t>
  </si>
  <si>
    <t>기타금융자산의감소증가(표준현금흐름)</t>
  </si>
  <si>
    <t>미수금의감소증가(표준현금흐름)</t>
  </si>
  <si>
    <t>미수수익의감소증가(표준현금흐름)</t>
  </si>
  <si>
    <t>선급금의감소증가(표준현금흐름)</t>
  </si>
  <si>
    <t>선급비용의감소증가(표준현금흐름)</t>
  </si>
  <si>
    <t>선급제세미수법인세환급액의감소증가(표준현금흐름)</t>
  </si>
  <si>
    <t>대여금의감소증가(표준현금흐름)</t>
  </si>
  <si>
    <t>가지급금의감소증가(표준현금흐름)</t>
  </si>
  <si>
    <t>매출채권의감소증가(표준현금흐름)</t>
  </si>
  <si>
    <t>보증금등의감소증가(표준현금흐름)</t>
  </si>
  <si>
    <t>이연법인세자산의감소증가(표준현금흐름)</t>
  </si>
  <si>
    <t>기타자산의감소증가(표준현금흐름)</t>
  </si>
  <si>
    <t>당기손익공정가치측정금융부채의증가감소(표준현금흐름)</t>
  </si>
  <si>
    <t>당기손익인식지정금융부채의증가감소(표준현금흐름)</t>
  </si>
  <si>
    <t>단기매매금융부채의증가감소(표준현금흐름)</t>
  </si>
  <si>
    <t>매매목적파생상품부채의증가감소(표준현금흐름)</t>
  </si>
  <si>
    <t>위험회피파생상품부채의증가감소(표준현금흐름)</t>
  </si>
  <si>
    <t>예수금의증가감소(표준현금흐름)</t>
  </si>
  <si>
    <t>환매조건부채권매도의증가감소(표준현금흐름)</t>
  </si>
  <si>
    <t>신용카드채권매출의증가감소(표준현금흐름)</t>
  </si>
  <si>
    <t>기타차입부채의증가감소(표준현금흐름)</t>
  </si>
  <si>
    <t>기타금융부채의증가감소(표준현금흐름)</t>
  </si>
  <si>
    <t>미지급금의증가감소(표준현금흐름)</t>
  </si>
  <si>
    <t>미지급비용의증가감소(표준현금흐름)</t>
  </si>
  <si>
    <t>미지급제세의증가감소(표준현금흐름)</t>
  </si>
  <si>
    <t>당기법인세미지급법인세의증가감소(표준현금흐름)</t>
  </si>
  <si>
    <t>선수금의증가감소(표준현금흐름)</t>
  </si>
  <si>
    <t>선수수익의증가감소(표준현금흐름)</t>
  </si>
  <si>
    <t>가수금의증가감소(표준현금흐름)</t>
  </si>
  <si>
    <t>보증금의증가감소(표준현금흐름)</t>
  </si>
  <si>
    <t>수입제세의증가감소(표준현금흐름)</t>
  </si>
  <si>
    <t>지급보증충당부채의증가감소(표준현금흐름)</t>
  </si>
  <si>
    <t>미사용약정충당부채의증가감소(표준현금흐름)</t>
  </si>
  <si>
    <t>기타충당부채의증가감소(표준현금흐름)</t>
  </si>
  <si>
    <t>퇴직급여채무종업원급여충당부채확정급여부채의증가감소(표준현금흐름)</t>
  </si>
  <si>
    <t>사외적립자산의감소증가(표준현금흐름)</t>
  </si>
  <si>
    <t>퇴직급여채무의전입전출(표준현금흐름)</t>
  </si>
  <si>
    <t>퇴직금의지급(표준현금흐름)</t>
  </si>
  <si>
    <t>퇴직연금미지급금의감소증가(표준현금흐름)</t>
  </si>
  <si>
    <t>기타퇴직금관련변동(표준현금흐름)</t>
  </si>
  <si>
    <t>이연법인세부채의증가감소(표준현금흐름)</t>
  </si>
  <si>
    <t>기타부채의증가감소(표준현금흐름)</t>
  </si>
  <si>
    <t>예치금의감소(표준현금흐름)</t>
  </si>
  <si>
    <t>당기손익공정가치측정금융자산의감소(표준현금흐름)</t>
  </si>
  <si>
    <t>기타포괄손익공정가치측정금융자산의감소(표준현금흐름)</t>
  </si>
  <si>
    <t>상각후원가측정금융자산의감소(표준현금흐름)</t>
  </si>
  <si>
    <t>당기손익인식지정금융자산의감소(표준현금흐름)</t>
  </si>
  <si>
    <t>단기매매금융자산의감소(표준현금흐름)</t>
  </si>
  <si>
    <t>매도가능금융자산의감소(표준현금흐름)</t>
  </si>
  <si>
    <t>만기보유금융자산의감소(표준현금흐름)</t>
  </si>
  <si>
    <t>기타유가증권의감소(표준현금흐름)</t>
  </si>
  <si>
    <t>관계기업투자등지분법적용투자주식의감소(표준현금흐름)</t>
  </si>
  <si>
    <t>대출채권의감소(표준현금흐름)</t>
  </si>
  <si>
    <t>콜론의감소(표준현금흐름)</t>
  </si>
  <si>
    <t>내국수입유산스의감소(표준현금흐름)</t>
  </si>
  <si>
    <t>신용카드채권의감소(표준현금흐름)</t>
  </si>
  <si>
    <t>매입어음의감소(표준현금흐름)</t>
  </si>
  <si>
    <t>매입외환의감소(표준현금흐름)</t>
  </si>
  <si>
    <t>환매조건부채권매수의감소(표준현금흐름)</t>
  </si>
  <si>
    <t>원화대출금의감소(표준현금흐름)</t>
  </si>
  <si>
    <t>외화대출금의감소(표준현금흐름)</t>
  </si>
  <si>
    <t>지급보증대지급금의감소(표준현금흐름)</t>
  </si>
  <si>
    <t>사모사채의감소(표준현금흐름)</t>
  </si>
  <si>
    <t>팩토링채권의감소(표준현금흐름)</t>
  </si>
  <si>
    <t>출자전환채권의감소(표준현금흐름)</t>
  </si>
  <si>
    <t>대여금의감소대출채권(표준현금흐름)</t>
  </si>
  <si>
    <t>금대출의감소(표준현금흐름)</t>
  </si>
  <si>
    <t>기타대출채권의감소(표준현금흐름)</t>
  </si>
  <si>
    <t>유형자산의감소(표준현금흐름)</t>
  </si>
  <si>
    <t>무형자산의감소(표준현금흐름)</t>
  </si>
  <si>
    <t>투자부동산의감소(표준현금흐름)</t>
  </si>
  <si>
    <t>비업무용자산의감소(표준현금흐름)</t>
  </si>
  <si>
    <t>미수금의감소(표준현금흐름)</t>
  </si>
  <si>
    <t>대여금의감소(표준현금흐름)</t>
  </si>
  <si>
    <t>보증금등의감소(표준현금흐름)</t>
  </si>
  <si>
    <t>미회수내국환채권의감소(표준현금흐름)</t>
  </si>
  <si>
    <t>파생상품의변동투자유입(표준현금흐름)</t>
  </si>
  <si>
    <t>매각및처분예정자산집단의감소(표준현금흐름)</t>
  </si>
  <si>
    <t>기타자산의감소(표준현금흐름)</t>
  </si>
  <si>
    <t>기타금융업자산의감소(표준현금흐름)</t>
  </si>
  <si>
    <t>종속기업및기타사업의지배력관련한현금흐름투자유입(표준현금흐름)</t>
  </si>
  <si>
    <t>합병분할영업양수도에따른현금유입투자유입(표준현금흐름)</t>
  </si>
  <si>
    <t>예치금의증가(표준현금흐름)</t>
  </si>
  <si>
    <t>당기손익공정가치측정금융자산의증가(표준현금흐름)</t>
  </si>
  <si>
    <t>기타포괄손익공정가치측정금융자산의증가(표준현금흐름)</t>
  </si>
  <si>
    <t>상각후원가측정금융자산의증가(표준현금흐름)</t>
  </si>
  <si>
    <t>당기손익인식지정금융자산의증가(표준현금흐름)</t>
  </si>
  <si>
    <t>단기매매금융자산의증가(표준현금흐름)</t>
  </si>
  <si>
    <t>매도가능금융자산의증가(표준현금흐름)</t>
  </si>
  <si>
    <t>만기보유금융자산의증가(표준현금흐름)</t>
  </si>
  <si>
    <t>기타유가증권의증가(표준현금흐름)</t>
  </si>
  <si>
    <t>관계기업투자등지분법적용투자주식의증가(표준현금흐름)</t>
  </si>
  <si>
    <t>대출채권의증가(표준현금흐름)</t>
  </si>
  <si>
    <t>콜론의증가(표준현금흐름)</t>
  </si>
  <si>
    <t>내국수입유산스의증가(표준현금흐름)</t>
  </si>
  <si>
    <t>신용카드채권의증가(표준현금흐름)</t>
  </si>
  <si>
    <t>매입어음의증가(표준현금흐름)</t>
  </si>
  <si>
    <t>매입외환의증가(표준현금흐름)</t>
  </si>
  <si>
    <t>환매조건부채권매수의증가(표준현금흐름)</t>
  </si>
  <si>
    <t>원화대출금의증가(표준현금흐름)</t>
  </si>
  <si>
    <t>외화대출금의증가(표준현금흐름)</t>
  </si>
  <si>
    <t>지급보증대지급금의증가(표준현금흐름)</t>
  </si>
  <si>
    <t>사모사채의증가(표준현금흐름)</t>
  </si>
  <si>
    <t>팩토링채권의증가(표준현금흐름)</t>
  </si>
  <si>
    <t>출자전환채권의증가(표준현금흐름)</t>
  </si>
  <si>
    <t>대여금의증가대출채권(표준현금흐름)</t>
  </si>
  <si>
    <t>금대출의증가(표준현금흐름)</t>
  </si>
  <si>
    <t>기타대출채권의증가(표준현금흐름)</t>
  </si>
  <si>
    <t>유형자산의증가(표준현금흐름)</t>
  </si>
  <si>
    <t>무형자산의증가(표준현금흐름)</t>
  </si>
  <si>
    <t>투자부동산의증가(표준현금흐름)</t>
  </si>
  <si>
    <t>비업무용자산의증가(표준현금흐름)</t>
  </si>
  <si>
    <t>미수금의증가(표준현금흐름)</t>
  </si>
  <si>
    <t>대여금의증가(표준현금흐름)</t>
  </si>
  <si>
    <t>보증금등의증가(표준현금흐름)</t>
  </si>
  <si>
    <t>미회수내국환채권의증가(표준현금흐름)</t>
  </si>
  <si>
    <t>파생상품의변동투자유출(표준현금흐름)</t>
  </si>
  <si>
    <t>매각및처분예정자산집단의증가(표준현금흐름)</t>
  </si>
  <si>
    <t>기타자산의증가(표준현금흐름)</t>
  </si>
  <si>
    <t>기타금융업자산의증가(표준현금흐름)</t>
  </si>
  <si>
    <t>종속기업및기타사업의지배력관련한현금흐름투자유출(표준현금흐름)</t>
  </si>
  <si>
    <t>합병분할영업양수도에따른현금유출투자유출(표준현금흐름)</t>
  </si>
  <si>
    <t>당기손익인식지정금융부채의증가(표준현금흐름)</t>
  </si>
  <si>
    <t>단기매매금융부채의증가(표준현금흐름)</t>
  </si>
  <si>
    <t>예수부채의증가(표준현금흐름)</t>
  </si>
  <si>
    <t>원화예수금의증가(표준현금흐름)</t>
  </si>
  <si>
    <t>외화예수금의증가(표준현금흐름)</t>
  </si>
  <si>
    <t>양도성예금증서의증가(표준현금흐름)</t>
  </si>
  <si>
    <t>기타예수부채의증가(표준현금흐름)</t>
  </si>
  <si>
    <t>차입부채의증가(표준현금흐름)</t>
  </si>
  <si>
    <t>원화차입금의증가(표준현금흐름)</t>
  </si>
  <si>
    <t>외화차입금의증가(표준현금흐름)</t>
  </si>
  <si>
    <t>콜머니의증가(표준현금흐름)</t>
  </si>
  <si>
    <t>매출어음의증가(표준현금흐름)</t>
  </si>
  <si>
    <t>환매조건부채권매도의증가(표준현금흐름)</t>
  </si>
  <si>
    <t>외화수탁금의증가(표준현금흐름)</t>
  </si>
  <si>
    <t>금차입의증가(표준현금흐름)</t>
  </si>
  <si>
    <t>사채의증가(표준현금흐름)</t>
  </si>
  <si>
    <t>기타차입부채의증가(표준현금흐름)</t>
  </si>
  <si>
    <t>신탁계정미지급금신탁계정차의증가(표준현금흐름)</t>
  </si>
  <si>
    <t>미지급금의증가(표준현금흐름)</t>
  </si>
  <si>
    <t>선수금의증가(표준현금흐름)</t>
  </si>
  <si>
    <t>미지급외국환채무의증가(표준현금흐름)</t>
  </si>
  <si>
    <t>수입보증금의증가(표준현금흐름)</t>
  </si>
  <si>
    <t>리스보증금의증가(표준현금흐름)</t>
  </si>
  <si>
    <t>임대보증금의증가(표준현금흐름)</t>
  </si>
  <si>
    <t>파생상품의변동재무유입(표준현금흐름)</t>
  </si>
  <si>
    <t>기타부채의증가(표준현금흐름)</t>
  </si>
  <si>
    <t>기타금융업부채의증가(표준현금흐름)</t>
  </si>
  <si>
    <t>유상증자(표준현금흐름)</t>
  </si>
  <si>
    <t>자본금의증가(표준현금흐름)</t>
  </si>
  <si>
    <t>신종자본증권의증가(표준현금흐름)</t>
  </si>
  <si>
    <t>자본잉여금의증가(표준현금흐름)</t>
  </si>
  <si>
    <t>이익잉여금의증가(표준현금흐름)</t>
  </si>
  <si>
    <t>자기주식의처분(표준현금흐름)</t>
  </si>
  <si>
    <t>주식매입선택권의행사(표준현금흐름)</t>
  </si>
  <si>
    <t>종속기업소유지분변동에따른현금흐름재무유입(표준현금흐름)</t>
  </si>
  <si>
    <t>정부보조금등의변동재무유입(표준현금흐름)</t>
  </si>
  <si>
    <t>당기손익인식지정금융부채의감소(표준현금흐름)</t>
  </si>
  <si>
    <t>단기매매금융부채의감소(표준현금흐름)</t>
  </si>
  <si>
    <t>예수부채의감소(표준현금흐름)</t>
  </si>
  <si>
    <t>원화예수금의감소(표준현금흐름)</t>
  </si>
  <si>
    <t>외화예수금의감소(표준현금흐름)</t>
  </si>
  <si>
    <t>양도성예금증서의감소(표준현금흐름)</t>
  </si>
  <si>
    <t>기타예수부채의감소(표준현금흐름)</t>
  </si>
  <si>
    <t>차입부채의감소(표준현금흐름)</t>
  </si>
  <si>
    <t>콜머니의감소(은행표준현금흐름)</t>
  </si>
  <si>
    <t>원화차입금의감소(표준현금흐름)</t>
  </si>
  <si>
    <t>외화차입금의감소(표준현금흐름)</t>
  </si>
  <si>
    <t>매출어음의감소(표준현금흐름)</t>
  </si>
  <si>
    <t>환매조건부채권매도의감소(표준현금흐름)</t>
  </si>
  <si>
    <t>외화수탁금의감소(표준현금흐름)</t>
  </si>
  <si>
    <t>금차입의감소(표준현금흐름)</t>
  </si>
  <si>
    <t>사채의감소(표준현금흐름)</t>
  </si>
  <si>
    <t>기타차입부채의감소(표준현금흐름)</t>
  </si>
  <si>
    <t>신탁계정미지급금신탁계정차의감소(표준현금흐름)</t>
  </si>
  <si>
    <t>미지급금의감소(표준현금흐름)</t>
  </si>
  <si>
    <t>선수금의감소(표준현금흐름)</t>
  </si>
  <si>
    <t>미지급내국환채무의감소(표준현금흐름)</t>
  </si>
  <si>
    <t>수입보증금의감소(표준현금흐름)</t>
  </si>
  <si>
    <t>리스보증금의감소(표준현금흐름)</t>
  </si>
  <si>
    <t>임대보증금의감소(표준현금흐름)</t>
  </si>
  <si>
    <t>파생상품의변동재무유출(표준현금흐름)</t>
  </si>
  <si>
    <t>리스부채의감소(표준현금흐름)</t>
  </si>
  <si>
    <t>기타부채의감소(표준현금흐름)</t>
  </si>
  <si>
    <t>기타금융업부채의감소(표준현금흐름)</t>
  </si>
  <si>
    <t>유상감자(표준현금흐름)</t>
  </si>
  <si>
    <t>신종자본증권의감소(표준현금흐름)</t>
  </si>
  <si>
    <t>자본잉여금의감소(표준현금흐름)</t>
  </si>
  <si>
    <t>종속회사의감자등(표준현금흐름)</t>
  </si>
  <si>
    <t>이익잉여금의감소(표준현금흐름)</t>
  </si>
  <si>
    <t>자기주식의취득(표준현금흐름)</t>
  </si>
  <si>
    <t>종속기업소유지분변동에따른현금흐름재무유출(표준현금흐름)</t>
  </si>
  <si>
    <t>비지배주주지분의감소(표준현금흐름)</t>
  </si>
  <si>
    <t>정부보조금등의변동재무유출(표준현금흐름)</t>
  </si>
  <si>
    <t>합병분할영업양수도에따른현금유출재무유출(표준현금흐름)</t>
  </si>
  <si>
    <r>
      <rPr>
        <b/>
        <sz val="11"/>
        <color rgb="FFFF0000"/>
        <rFont val="맑은 고딕"/>
        <family val="3"/>
        <charset val="129"/>
      </rPr>
      <t xml:space="preserve">※ </t>
    </r>
    <r>
      <rPr>
        <b/>
        <sz val="11"/>
        <color rgb="FFFF0000"/>
        <rFont val="맑은 고딕"/>
        <family val="3"/>
        <charset val="129"/>
        <scheme val="minor"/>
      </rPr>
      <t>동일 업종 비교</t>
    </r>
    <phoneticPr fontId="1" type="noConversion"/>
  </si>
  <si>
    <t>특별계정자산(요약재무)</t>
  </si>
  <si>
    <t>보험계약부채책임준비금(요약재무)</t>
  </si>
  <si>
    <t>계약자지분조정(요약재무)</t>
  </si>
  <si>
    <t>특별계정부채(요약재무)</t>
  </si>
  <si>
    <t>영업수익(요약손익)</t>
  </si>
  <si>
    <t>보험료수익(요약손익)</t>
  </si>
  <si>
    <t>재보험수익(요약손익)</t>
  </si>
  <si>
    <t>재보험금수익(요약손익)</t>
  </si>
  <si>
    <t>이자수익영업(요약손익)</t>
  </si>
  <si>
    <t>수수료수익(보험요약손익)</t>
  </si>
  <si>
    <t>금융상품관련이익(보험요약손익)</t>
  </si>
  <si>
    <t>배당금영업(요약손익)</t>
  </si>
  <si>
    <t>위험회피회계파생상품관련이익(요약손익)</t>
  </si>
  <si>
    <t>외환거래이익영업(요약손익)</t>
  </si>
  <si>
    <t>대출채권평가및처분이익(보험요약손익)</t>
  </si>
  <si>
    <t>기타금융자산관련이익(보험요약손익)</t>
  </si>
  <si>
    <t>기타영업수익(보험요약손익)</t>
  </si>
  <si>
    <t>영업비용(요약손익)</t>
  </si>
  <si>
    <t>보험계약부채책임준비금전입액(요약손익)</t>
  </si>
  <si>
    <t>지급보험금(요약손익)</t>
  </si>
  <si>
    <t>보험금비용(요약손익)</t>
  </si>
  <si>
    <t>배당금비용(요약손익)</t>
  </si>
  <si>
    <t>환급금비용(요약손익)</t>
  </si>
  <si>
    <t>손해조사비(요약손익)</t>
  </si>
  <si>
    <t>재보험비용(요약손익)</t>
  </si>
  <si>
    <t>재보험료비용(요약손익)</t>
  </si>
  <si>
    <t>기타(요약손익)</t>
  </si>
  <si>
    <t>급여(보험요약손익)</t>
  </si>
  <si>
    <t>유형리스자산감가상각비(보험요약손익)</t>
  </si>
  <si>
    <t>무형자산상각비(보험요약손익)</t>
  </si>
  <si>
    <t>신계약비상각비(요약손익)</t>
  </si>
  <si>
    <t>이자비용영업(요약손익)</t>
  </si>
  <si>
    <t>수수료비용(요약손익)</t>
  </si>
  <si>
    <t>금융상품관련손실(요약손익)</t>
  </si>
  <si>
    <t>위험회피회계파생상품관련손실(요약손익)</t>
  </si>
  <si>
    <t>외환거래손실영업(요약손익)</t>
  </si>
  <si>
    <t>대출채권평가및처분손실(요약손익)</t>
  </si>
  <si>
    <t>기타금융자산관련손실(요약손익)</t>
  </si>
  <si>
    <t>기타영업비용(요약손익)</t>
  </si>
  <si>
    <t>매출총이익손실(요약손익)</t>
  </si>
  <si>
    <t>이자수익영업외(요약손익)</t>
  </si>
  <si>
    <t>배당금수익영업외(요약손익)</t>
  </si>
  <si>
    <t>외환거래이익영업외(요약손익)</t>
  </si>
  <si>
    <t>수입수수료(요약손익)</t>
  </si>
  <si>
    <t>상각채권추심이익(요약손익)</t>
  </si>
  <si>
    <t>임대료(보험요약손익)</t>
  </si>
  <si>
    <t>대손충당금환입액(보험요약손익)</t>
  </si>
  <si>
    <t>충당부채환입액(보험요약손익)</t>
  </si>
  <si>
    <t>유가증권처분이익(요약손익)</t>
  </si>
  <si>
    <t>유가증권손상차손환입(요약손익)</t>
  </si>
  <si>
    <t>종속기업공동지배기업및관계기업관련이익(요약손익)</t>
  </si>
  <si>
    <t>파생상품이익(보험요약손익)</t>
  </si>
  <si>
    <t>사채상환이익(요약손익)</t>
  </si>
  <si>
    <t>자산처분이익(요약손익)</t>
  </si>
  <si>
    <t>자산손상차손환입(보험요약손익)</t>
  </si>
  <si>
    <t>자산수증이익(요약손익)</t>
  </si>
  <si>
    <t>보험차익(보험요약손익)</t>
  </si>
  <si>
    <t>법인세환급액(보험요약손익)</t>
  </si>
  <si>
    <t>전기오류수정이익(보험요약손익)</t>
  </si>
  <si>
    <t>보험수리적이익(요약손익)</t>
  </si>
  <si>
    <t>기타영업외수익(요약손익)</t>
  </si>
  <si>
    <t>이자비용영업외(요약손익)</t>
  </si>
  <si>
    <t>외환거래손실영업외(요약손익)</t>
  </si>
  <si>
    <t>지급수수료(요약손익)</t>
  </si>
  <si>
    <t>기타대손상각비(보험요약손익)</t>
  </si>
  <si>
    <t>충당부채전입액(보험요약손익)</t>
  </si>
  <si>
    <t>유가증권처분손실(요약손익)</t>
  </si>
  <si>
    <t>유가증권손상차손(요약손익)</t>
  </si>
  <si>
    <t>종속기업공동지배기업및관계기업관련손실(요약손익)</t>
  </si>
  <si>
    <t>파생상품손실(요약손익)</t>
  </si>
  <si>
    <t>사채상환손실(요약손익)</t>
  </si>
  <si>
    <t>자산처분손실(요약손익)</t>
  </si>
  <si>
    <t>자산손상차손(보험요약손익)</t>
  </si>
  <si>
    <t>자산재평가손실(보험요약손익)</t>
  </si>
  <si>
    <t>법인세추납액(보험요약손익)</t>
  </si>
  <si>
    <t>전기오류수정손실(보험요약손익)</t>
  </si>
  <si>
    <t>보험수리적손실(요약손익)</t>
  </si>
  <si>
    <t>기타영업외비용(요약손익)</t>
  </si>
  <si>
    <t>신계약비상각비(요약현금흐름)</t>
  </si>
  <si>
    <t>책임준비금전입액(요약현금흐름)</t>
  </si>
  <si>
    <t>비상위험준비금전입액(요약현금흐름)</t>
  </si>
  <si>
    <t>구상손실(요약현금흐름)</t>
  </si>
  <si>
    <t>책임준비금환입액(요약현금흐름)</t>
  </si>
  <si>
    <t>비상위험준비금환입액(요약현금흐름)</t>
  </si>
  <si>
    <t>구상이익(요약현금흐름)</t>
  </si>
  <si>
    <t>예금의감소(요약현금흐름)</t>
  </si>
  <si>
    <t>기타예치금의감소(요약현금흐름)</t>
  </si>
  <si>
    <t>공탁금의감소(요약현금흐름)</t>
  </si>
  <si>
    <t>예금의증가(요약현금흐름)</t>
  </si>
  <si>
    <t>기타예치금의증가(요약현금흐름)</t>
  </si>
  <si>
    <t>공탁금의증가(요약현금흐름)</t>
  </si>
  <si>
    <t>차입금의증가(요약현금흐름)</t>
  </si>
  <si>
    <t>사채의증가(요약현금흐름)</t>
  </si>
  <si>
    <t>차입금의감소(요약현금흐름)</t>
  </si>
  <si>
    <t>사채의감소(요약현금흐름)</t>
  </si>
  <si>
    <t>현금(보험표준재무)</t>
  </si>
  <si>
    <t>예금(표준재무)</t>
  </si>
  <si>
    <t>당좌예금(표준재무)</t>
  </si>
  <si>
    <t>보통예금(표준재무)</t>
  </si>
  <si>
    <t>정기예금(보험표준재무)</t>
  </si>
  <si>
    <t>외화예금(표준재무)</t>
  </si>
  <si>
    <t>기타예금(표준재무)</t>
  </si>
  <si>
    <t>선물거래예치금(보험표준재무)</t>
  </si>
  <si>
    <t>특수채단기매매(표준재무)</t>
  </si>
  <si>
    <t>해외유가증권단기매매(표준재무)</t>
  </si>
  <si>
    <t>신종유가증권단기매매(표준재무)</t>
  </si>
  <si>
    <t>기타단기매매금융자산(표준재무)</t>
  </si>
  <si>
    <t>특수채매도가능(표준재무)</t>
  </si>
  <si>
    <t>해외유가증권매도가능(표준재무)</t>
  </si>
  <si>
    <t>신종유가증권매도가능(표준재무)</t>
  </si>
  <si>
    <t>기타매도가능금융자산(표준재무)</t>
  </si>
  <si>
    <t>금융채만기보유(표준재무)</t>
  </si>
  <si>
    <t>특수채만기보유(표준재무)</t>
  </si>
  <si>
    <t>해외유가증권만기보유(표준재무)</t>
  </si>
  <si>
    <t>기타만기보유금융자산(표준재무)</t>
  </si>
  <si>
    <t>기타관계기업투자자산(표준재무)</t>
  </si>
  <si>
    <t>(현재가치할인차금)콜론(표준재무)</t>
  </si>
  <si>
    <t>보험약관대출금(표준재무)</t>
  </si>
  <si>
    <t>(대손충당금)보험약관대출금(표준재무)</t>
  </si>
  <si>
    <t>(현재가치할인차금)보험약관대출금(표준재무)</t>
  </si>
  <si>
    <t>담보대출금(표준재무)</t>
  </si>
  <si>
    <t>(대손충당금)담보대출금(표준재무)</t>
  </si>
  <si>
    <t>(현재가치할인차금)담보대출금(표준재무)</t>
  </si>
  <si>
    <t>유가증권담보대출금(표준재무)</t>
  </si>
  <si>
    <t>(대손충당금)유가증권담보대출금(표준재무)</t>
  </si>
  <si>
    <t>(현재가치할인차금)유가증권담보대출금(표준재무)</t>
  </si>
  <si>
    <t>부동산담보대출금(표준재무)</t>
  </si>
  <si>
    <t>(대손충당금)부동산담보대출금(표준재무)</t>
  </si>
  <si>
    <t>(현재가치할인차금)부동산담보대출금(표준재무)</t>
  </si>
  <si>
    <t>신용대출금(표준재무)</t>
  </si>
  <si>
    <t>(대손충당금)신용대출금(표준재무)</t>
  </si>
  <si>
    <t>(현재가치할인차금)신용대출금(표준재무)</t>
  </si>
  <si>
    <t>어음할인대출금(표준재무)</t>
  </si>
  <si>
    <t>(대손충당금)어음할인대출금(표준재무)</t>
  </si>
  <si>
    <t>(현재가치할인차금)어음할인대출금(표준재무)</t>
  </si>
  <si>
    <t>지급보증대출금(표준재무)</t>
  </si>
  <si>
    <t>(대손충당금)지급보증대출금(표준재무)</t>
  </si>
  <si>
    <t>(현재가치할인차금)지급보증대출금(표준재무)</t>
  </si>
  <si>
    <t>(현재가치할인차금)기타대출채권(표준재무)</t>
  </si>
  <si>
    <t>토지(표준재무)</t>
  </si>
  <si>
    <t>(손상차손누계액)토지(표준재무)</t>
  </si>
  <si>
    <t>건물(표준재무)</t>
  </si>
  <si>
    <t>(감가상각누계액)건물(표준재무)</t>
  </si>
  <si>
    <t>(손상차손누계액)건물(표준재무)</t>
  </si>
  <si>
    <t>구축물(보험표준재무)</t>
  </si>
  <si>
    <t>(감가상각누계액)구축물(보험표준재무)</t>
  </si>
  <si>
    <t>(손상차손누계액)구축물(보험표준재무)</t>
  </si>
  <si>
    <t>공구기구비품(표준재무)</t>
  </si>
  <si>
    <t>(감가상각누계액)공구기구비품(표준재무)</t>
  </si>
  <si>
    <t>(손상차손누계액)공구기구비품(표준재무)</t>
  </si>
  <si>
    <t>(정부보조금등차감액)공구기구비품(표준재무)</t>
  </si>
  <si>
    <t>토지투자부동산(표준재무)</t>
  </si>
  <si>
    <t>보험미수금(표준재무)</t>
  </si>
  <si>
    <t>(대손충당금)보험미수금(표준재무)</t>
  </si>
  <si>
    <t>미수보험료(표준재무)</t>
  </si>
  <si>
    <t>대리점미수금(표준재무)</t>
  </si>
  <si>
    <t>공동보험미수금(표준재무)</t>
  </si>
  <si>
    <t>대리업무미수금(표준재무)</t>
  </si>
  <si>
    <t>재보험미수금(표준재무)</t>
  </si>
  <si>
    <t>외국재보험미수금(표준재무)</t>
  </si>
  <si>
    <t>특약수재예탁금(표준재무)</t>
  </si>
  <si>
    <t>기타보험미수금(표준재무)</t>
  </si>
  <si>
    <t>재보험자산(표준재무)</t>
  </si>
  <si>
    <t>출재지급준비금(표준재무)</t>
  </si>
  <si>
    <t>출재미경과보험료적립금(표준재무)</t>
  </si>
  <si>
    <t>출재미보고발생손해액(표준재무)</t>
  </si>
  <si>
    <t>기타재보험자산(표준재무)</t>
  </si>
  <si>
    <t>대여금(표준재무)</t>
  </si>
  <si>
    <t>(대손충당금)대여금(표준재무)</t>
  </si>
  <si>
    <t>(현재가치할인차금)대여금(표준재무)</t>
  </si>
  <si>
    <t>부도어음(표준재무)</t>
  </si>
  <si>
    <t>(대손충당금)부도어음(표준재무)</t>
  </si>
  <si>
    <t>구상채권(표준재무)</t>
  </si>
  <si>
    <t>신계약비(표준재무)</t>
  </si>
  <si>
    <t>특별계정자산(표준재무)</t>
  </si>
  <si>
    <t>보험계약부채책임준비금(표준재무)</t>
  </si>
  <si>
    <t>장기저축성보험료적립금(표준재무)</t>
  </si>
  <si>
    <t>재보험료적립금(표준재무)</t>
  </si>
  <si>
    <t>미경과보험료적립금(표준재무)</t>
  </si>
  <si>
    <t>지급준비금(표준재무)</t>
  </si>
  <si>
    <t>계약자배당준비금(표준재무)</t>
  </si>
  <si>
    <t>금리차보장준비금(표준재무)</t>
  </si>
  <si>
    <t>위험률차배당준비금(표준재무)</t>
  </si>
  <si>
    <t>이자배당준비금(표준재무)</t>
  </si>
  <si>
    <t>비차배당준비금(표준재무)</t>
  </si>
  <si>
    <t>장기유지특별배당준비금(표준재무)</t>
  </si>
  <si>
    <t>재평가특별배당준비금(표준재무)</t>
  </si>
  <si>
    <t>기타계약자배당준비금(표준재무)</t>
  </si>
  <si>
    <t>계약자이익배당준비금(표준재무)</t>
  </si>
  <si>
    <t>배당보험손실보전준비금(표준재무)</t>
  </si>
  <si>
    <t>최저보증준비금(표준재무)</t>
  </si>
  <si>
    <t>기타보험계약부채(표준재무)</t>
  </si>
  <si>
    <t>계약자지분조정(표준재무)</t>
  </si>
  <si>
    <t>계약자배당안정화준비금(표준재무)</t>
  </si>
  <si>
    <t>공익사업출연기금(표준재무)</t>
  </si>
  <si>
    <t>유가증권평가이익(표준재무)</t>
  </si>
  <si>
    <t>매도가능금융자산평가이익(표준재무)</t>
  </si>
  <si>
    <t>지분법자본변동(표준재무)</t>
  </si>
  <si>
    <t>기타유가증권평가이익(표준재무)</t>
  </si>
  <si>
    <t>유가증권평가손실(표준재무)</t>
  </si>
  <si>
    <t>매도가능금융자산평가손실(표준재무)</t>
  </si>
  <si>
    <t>부의지분법자본변동(표준재무)</t>
  </si>
  <si>
    <t>재평가적립금(표준재무)</t>
  </si>
  <si>
    <t>기타계약자지분조정(표준재무)</t>
  </si>
  <si>
    <t>차입금(보험표준재무)</t>
  </si>
  <si>
    <t>사채상환할증금(표준재무)</t>
  </si>
  <si>
    <t>(사채조정계정)(표준재무)</t>
  </si>
  <si>
    <t>(사채할인발행차금)(표준재무)</t>
  </si>
  <si>
    <t>사채할증발행차금(표준재무)</t>
  </si>
  <si>
    <t>(사외적립자산)(표준재무)</t>
  </si>
  <si>
    <t>보험미지급금(표준재무)</t>
  </si>
  <si>
    <t>미지급보험금(표준재무)</t>
  </si>
  <si>
    <t>대리점미지급금(표준재무)</t>
  </si>
  <si>
    <t>미환급보험료(표준재무)</t>
  </si>
  <si>
    <t>공동보험미지급금(표준재무)</t>
  </si>
  <si>
    <t>대리업무미지급금(표준재무)</t>
  </si>
  <si>
    <t>재보험미지급금(표준재무)</t>
  </si>
  <si>
    <t>외국재보험미지급금(표준재무)</t>
  </si>
  <si>
    <t>특약출재예수금(표준재무)</t>
  </si>
  <si>
    <t>기타보험미지급금(표준재무)</t>
  </si>
  <si>
    <t>가수보험료(표준재무)</t>
  </si>
  <si>
    <t>선수보험료(표준재무)</t>
  </si>
  <si>
    <t>지급어음(표준재무)</t>
  </si>
  <si>
    <t>특별계정미지급금특별계정차(표준재무)</t>
  </si>
  <si>
    <t>특별계정부채(표준재무)</t>
  </si>
  <si>
    <t>영업수익(표준손익)</t>
  </si>
  <si>
    <t>보험영업수익(표준손익)</t>
  </si>
  <si>
    <t>보험료수익(표준손익)</t>
  </si>
  <si>
    <t>개인보험료(표준손익)</t>
  </si>
  <si>
    <t>단체보험료(표준손익)</t>
  </si>
  <si>
    <t>기타보험료수익(표준손익)</t>
  </si>
  <si>
    <t>원수보험료(표준손익)</t>
  </si>
  <si>
    <t>수재보험료(표준손익)</t>
  </si>
  <si>
    <t>(해약환급금)(표준손익)</t>
  </si>
  <si>
    <t>재보험수익(표준손익)</t>
  </si>
  <si>
    <t>재보험료수익(표준손익)</t>
  </si>
  <si>
    <t>재보험금수익(표준손익)</t>
  </si>
  <si>
    <t>재보험수수료수익(표준손익)</t>
  </si>
  <si>
    <t>기타재보험수익(표준손익)</t>
  </si>
  <si>
    <t>재보험금수익전체(표준손익)</t>
  </si>
  <si>
    <t>재보험금(표준손익)</t>
  </si>
  <si>
    <t>(재보험금환입)(표준손익)</t>
  </si>
  <si>
    <t>이자수익(보험표준손익)</t>
  </si>
  <si>
    <t>현금및예치금이자(보험표준손익)</t>
  </si>
  <si>
    <t>당기손익인식지정금융자산이자(보험표준손익)</t>
  </si>
  <si>
    <t>당기손익공정가치측정금융자산이자(보험표준손익)</t>
  </si>
  <si>
    <t>유가증권이자(보험표준손익)</t>
  </si>
  <si>
    <t>기타포괄손익공정가치측정금융자산이자(보험표준손익)</t>
  </si>
  <si>
    <t>상각후원가측정유가증권이자(보험표준손익)</t>
  </si>
  <si>
    <t>단기매매금융자산이자(보험표준손익)</t>
  </si>
  <si>
    <t>매도가능금융자산이자(보험표준손익)</t>
  </si>
  <si>
    <t>만기보유금융자산이자(보험표준손익)</t>
  </si>
  <si>
    <t>기타유가증권이자(보험표준손익)</t>
  </si>
  <si>
    <t>상각후원가측정금융자산이자(보험표준손익)</t>
  </si>
  <si>
    <t>대출채권이자(보험표준손익)</t>
  </si>
  <si>
    <t>예금이자(보험표준손익)</t>
  </si>
  <si>
    <t>대여금및수취채권이자(보험표준손익)</t>
  </si>
  <si>
    <t>기타이자수익(보험표준손익)</t>
  </si>
  <si>
    <t>수수료수익(보험표준손익)</t>
  </si>
  <si>
    <t>금융상품관련이익(보험표준손익)</t>
  </si>
  <si>
    <t>당기손익인식지정금융자산평가이익(보험표준손익)</t>
  </si>
  <si>
    <t>당기손익인식지정금융자산매매이익(보험표준손익)</t>
  </si>
  <si>
    <t>당기손익인식지정금융자산관련이익(보험표준손익)</t>
  </si>
  <si>
    <t>당기손익공정가치측정금융자산평가이익(보험표준손익)</t>
  </si>
  <si>
    <t>당기손익공정가치측정금융자산처분이익(보험표준손익)</t>
  </si>
  <si>
    <t>당기손익공정가치측정금융자산관련이익(보험표준손익)</t>
  </si>
  <si>
    <t>매매목적파생상품관련이익(보험표준손익)</t>
  </si>
  <si>
    <t>파생상품거래이익매매목적(보험표준손익)</t>
  </si>
  <si>
    <t>파생상품평가이익매매목적(보험표준손익)</t>
  </si>
  <si>
    <t>단기매매금융자산관련이익(보험표준손익)</t>
  </si>
  <si>
    <t>단기매매금융자산평가이익(보험표준손익)</t>
  </si>
  <si>
    <t>단기매매금융자산처분이익(보험표준손익)</t>
  </si>
  <si>
    <t>단기매매금융자산상환이익(보험표준손익)</t>
  </si>
  <si>
    <t>매도가능금융자산처분이익(보험표준손익)</t>
  </si>
  <si>
    <t>매도가능금융자산상환이익(보험표준손익)</t>
  </si>
  <si>
    <t>만기보유금융자산처분이익(보험표준손익)</t>
  </si>
  <si>
    <t>매도가능금융자산손상차손환입(보험표준손익)</t>
  </si>
  <si>
    <t>기타포괄손익공정가치측정금융자산처분이익(보험표준손익)</t>
  </si>
  <si>
    <t>기타포괄손익공정가치측정금융자산손상차손환입(보험표준손익)</t>
  </si>
  <si>
    <t>상각후원가측정금융자산처분이익(보험표준손익)</t>
  </si>
  <si>
    <t>상각후원가측정금융자산손상차손환입(보험표준손익)</t>
  </si>
  <si>
    <t>당기손익인식지정금융부채평가이익(보험표준손익)</t>
  </si>
  <si>
    <t>당기손익인식지정금융부채매매이익(보험표준손익)</t>
  </si>
  <si>
    <t>종속기업공동지배기업및관계기업지분법관련이익(보험표준손익)</t>
  </si>
  <si>
    <t>기타유가증권관련이익(보험표준손익)</t>
  </si>
  <si>
    <t>배당금수익(보험표준손익)</t>
  </si>
  <si>
    <t>당기손익공정가치측정금융자산배당금수익(보험표준손익)</t>
  </si>
  <si>
    <t>기타포괄손익공정가치측정금융자산배당금수익(보험표준손익)</t>
  </si>
  <si>
    <t>단기매매금융자산배당금수익(보험표준손익)</t>
  </si>
  <si>
    <t>매도가능금융자산배당금수익(보험표준손익)</t>
  </si>
  <si>
    <t>종속기업공동지배기업및관계기업배당금수익(보험표준손익)</t>
  </si>
  <si>
    <t>기타배당금수익(보험표준손익)</t>
  </si>
  <si>
    <t>위험회피회계파생상품관련이익(표준손익)</t>
  </si>
  <si>
    <t>파생상품거래이익위험회피(보험표준손익)</t>
  </si>
  <si>
    <t>파생상품평가이익위험회피(보험표준손익)</t>
  </si>
  <si>
    <t>기타파생상품이익위험회피(보험표준손익)</t>
  </si>
  <si>
    <t>외환거래이익(보험표준손익)</t>
  </si>
  <si>
    <t>외환차익(보험표준손익)</t>
  </si>
  <si>
    <t>외화환산이익(보험표준손익)</t>
  </si>
  <si>
    <t>기타외환거래이익(보험표준손익)</t>
  </si>
  <si>
    <t>대출채권평가및처분이익(보험표준손익)</t>
  </si>
  <si>
    <t>대손충당금환입액(보험표준손익)</t>
  </si>
  <si>
    <t>대출채권처분이익(보험표준손익)</t>
  </si>
  <si>
    <t>기타대출채권평가및처분이익(보험표준손익)</t>
  </si>
  <si>
    <t>기타금융자산관련이익(보험표준손익)</t>
  </si>
  <si>
    <t>구상이익(표준손익)</t>
  </si>
  <si>
    <t>구분특별계정수익(표준손익)</t>
  </si>
  <si>
    <t>구분특별계정수입수수료(표준손익)</t>
  </si>
  <si>
    <t>수입경비(표준손익)</t>
  </si>
  <si>
    <t>출재보험수수료(표준손익)</t>
  </si>
  <si>
    <t>출재이익수수료(표준손익)</t>
  </si>
  <si>
    <t>수재예탁금이자(표준손익)</t>
  </si>
  <si>
    <t>수입대리업무수수료(표준손익)</t>
  </si>
  <si>
    <t>기타수입경비(표준손익)</t>
  </si>
  <si>
    <t>기타금융수익(보험표준손익)</t>
  </si>
  <si>
    <t>기타영업수익(보험표준손익)</t>
  </si>
  <si>
    <t>임대료기타영업수익(표준손익)</t>
  </si>
  <si>
    <t>금전신탁이익(표준손익)</t>
  </si>
  <si>
    <t>복구충당부채환입액(보험표준손익)</t>
  </si>
  <si>
    <t>기타충당부채환입액(보험표준손익)</t>
  </si>
  <si>
    <t>보험계약부채책임준비금환입액(표준손익)</t>
  </si>
  <si>
    <t>기타영업수익기타(보험표준손익)</t>
  </si>
  <si>
    <t>영업비용(표준손익)</t>
  </si>
  <si>
    <t>보험계약부채책임준비금전입액(표준손익)</t>
  </si>
  <si>
    <t>장기저축성보험료적립금전입액(표준손익)</t>
  </si>
  <si>
    <t>미경과보험료적립금전입액(표준손익)</t>
  </si>
  <si>
    <t>지급준비금전입액(표준손익)</t>
  </si>
  <si>
    <t>계약자이익배당준비금전입액(표준손익)</t>
  </si>
  <si>
    <t>계약자배당준비금전입액(표준손익)</t>
  </si>
  <si>
    <t>금리차보장준비금전입액(표준손익)</t>
  </si>
  <si>
    <t>위험률차배당준비금전입액(표준손익)</t>
  </si>
  <si>
    <t>장기유지특별배당준비금전입액(표준손익)</t>
  </si>
  <si>
    <t>기타계약자배당준비금전입액(표준손익)</t>
  </si>
  <si>
    <t>재보험료적립금전입액(표준손익)</t>
  </si>
  <si>
    <t>기타보험계약부채책임준비금전입액(표준손익)</t>
  </si>
  <si>
    <t>지급보험금(표준손익)</t>
  </si>
  <si>
    <t>배당금비용지급보험금(표준손익)</t>
  </si>
  <si>
    <t>보험금비용지급보험금(표준손익)</t>
  </si>
  <si>
    <t>환급금비용지급보험금(표준손익)</t>
  </si>
  <si>
    <t>보험금비용(표준손익)</t>
  </si>
  <si>
    <t>원수보험금(표준손익)</t>
  </si>
  <si>
    <t>수재보험금(표준손익)</t>
  </si>
  <si>
    <t>(보험금환입)(표준손익)</t>
  </si>
  <si>
    <t>(수재보험금환입)(표준손익)</t>
  </si>
  <si>
    <t>배당금비용(표준손익)</t>
  </si>
  <si>
    <t>환급금비용(표준손익)</t>
  </si>
  <si>
    <t>만기환급금(표준손익)</t>
  </si>
  <si>
    <t>개인연금지급금(표준손익)</t>
  </si>
  <si>
    <t>장기해약환급금(표준손익)</t>
  </si>
  <si>
    <t>기타환급금(표준손익)</t>
  </si>
  <si>
    <t>손해조사비(표준손익)</t>
  </si>
  <si>
    <t>재보험비용(표준손익)</t>
  </si>
  <si>
    <t>출재보험료(표준손익)</t>
  </si>
  <si>
    <t>지급재보험금(표준손익)</t>
  </si>
  <si>
    <t>지급재보험수수료(표준손익)</t>
  </si>
  <si>
    <t>재보험료비용(표준손익)</t>
  </si>
  <si>
    <t>재보험료(표준손익)</t>
  </si>
  <si>
    <t>(해약환급금환입)(표준손익)</t>
  </si>
  <si>
    <t>사업비(표준손익)</t>
  </si>
  <si>
    <t>신계약비(표준손익)</t>
  </si>
  <si>
    <t>비례수당신계약비(표준손익)</t>
  </si>
  <si>
    <t>판매촉진비(보험표준손익)</t>
  </si>
  <si>
    <t>기타신계약비(표준손익)</t>
  </si>
  <si>
    <t>유지비(표준손익)</t>
  </si>
  <si>
    <t>급여유지비(표준손익)</t>
  </si>
  <si>
    <t>퇴직급여유지비(표준손익)</t>
  </si>
  <si>
    <t>복리후생비유지비(표준손익)</t>
  </si>
  <si>
    <t>교육훈련비연수비(보험표준손익)</t>
  </si>
  <si>
    <t>여비교통비유지비(표준손익)</t>
  </si>
  <si>
    <t>통신비유지비(표준손익)</t>
  </si>
  <si>
    <t>수도광열비전력유류비등(보험표준손익)</t>
  </si>
  <si>
    <t>세금과공과유지비(표준손익)</t>
  </si>
  <si>
    <t>협회비등(보험표준손익)</t>
  </si>
  <si>
    <t>임차료유지비(표준손익)</t>
  </si>
  <si>
    <t>전산비유지비(표준손익)</t>
  </si>
  <si>
    <t>지급수수료유지비(표준손익)</t>
  </si>
  <si>
    <t>용역비유지비(표준손익)</t>
  </si>
  <si>
    <t>기타관리비유지비(표준손익)</t>
  </si>
  <si>
    <t>광고선전비유지비(표준손익)</t>
  </si>
  <si>
    <t>대손상각비유지비(표준손익)</t>
  </si>
  <si>
    <t>유형리스자산감가상각비(보험표준손익)</t>
  </si>
  <si>
    <t>무형자산상각비유지비(표준손익)</t>
  </si>
  <si>
    <t>접대비업무추진비(보험표준손익)</t>
  </si>
  <si>
    <t>연구개발비(보험표준손익)</t>
  </si>
  <si>
    <t>대리점수수료(표준손익)</t>
  </si>
  <si>
    <t>공동보험수수료(표준손익)</t>
  </si>
  <si>
    <t>지급대리업무수수료(표준손익)</t>
  </si>
  <si>
    <t>수재보험수수료(표준손익)</t>
  </si>
  <si>
    <t>수재이익수수료(표준손익)</t>
  </si>
  <si>
    <t>출재예수금이자(표준손익)</t>
  </si>
  <si>
    <t>비례수당유지비(표준손익)</t>
  </si>
  <si>
    <t>점포운영비(표준손익)</t>
  </si>
  <si>
    <t>수금사무비(표준손익)</t>
  </si>
  <si>
    <t>기타유지비(표준손익)</t>
  </si>
  <si>
    <t>(이연신계약비)(표준손익)</t>
  </si>
  <si>
    <t>신계약비상각비(표준손익)</t>
  </si>
  <si>
    <t>재산관리비(표준손익)</t>
  </si>
  <si>
    <t>급여재산관리비(표준손익)</t>
  </si>
  <si>
    <t>퇴직급여재산관리비(표준손익)</t>
  </si>
  <si>
    <t>명예퇴직금재산관리비(표준손익)(표준손익)</t>
  </si>
  <si>
    <t>복리후생비재산관리비(표준손익)</t>
  </si>
  <si>
    <t>여비교통비재산관리비(표준손익)</t>
  </si>
  <si>
    <t>교육훈련비(보험표준손익)</t>
  </si>
  <si>
    <t>통신비재산관리비(표준손익)</t>
  </si>
  <si>
    <t>수도광열비(보험표준손익)</t>
  </si>
  <si>
    <t>세금과공과재산관리비(표준손익)</t>
  </si>
  <si>
    <t>임차료재산관리비(표준손익)</t>
  </si>
  <si>
    <t>지급수수료재산관리비(표준손익)</t>
  </si>
  <si>
    <t>보험료재산관리비(표준손익)</t>
  </si>
  <si>
    <t>기타관리비재산관리비(표준손익)</t>
  </si>
  <si>
    <t>도서인쇄비(보험표준손익)</t>
  </si>
  <si>
    <t>감가상각비재산관리비(표준손익)</t>
  </si>
  <si>
    <t>차량유지비(보험표준손익)</t>
  </si>
  <si>
    <t>소모품비재산관리비(표준손익)</t>
  </si>
  <si>
    <t>접대비(보험표준손익)</t>
  </si>
  <si>
    <t>도서구입비(보험표준손익)</t>
  </si>
  <si>
    <t>연구비(표준손익)</t>
  </si>
  <si>
    <t>광고선전비재산관리비(표준손익)</t>
  </si>
  <si>
    <t>용역비재산관리비(표준손익)</t>
  </si>
  <si>
    <t>전산비재산관리비(표준손익)</t>
  </si>
  <si>
    <t>기타재산관리비(표준손익)</t>
  </si>
  <si>
    <t>이자비용(보험표준손익)</t>
  </si>
  <si>
    <t>당기손익인식지정금융부채이자(보험표준손익)</t>
  </si>
  <si>
    <t>차입부채이자(보험표준손익)</t>
  </si>
  <si>
    <t>기타이자비용(보험표준손익)</t>
  </si>
  <si>
    <t>수수료비용(표준손익)</t>
  </si>
  <si>
    <t>금융상품관련손실(표준손익)</t>
  </si>
  <si>
    <t>당기손익인식지정금융자산평가손실(보험표준손익)</t>
  </si>
  <si>
    <t>당기손익인식지정금융자산매매손실(보험표준손익)</t>
  </si>
  <si>
    <t>당기손익인식지정금융자산관련손실(보험표준손익)</t>
  </si>
  <si>
    <t>당기손익공정가치측정금융자산평가손실(보험표준손익)</t>
  </si>
  <si>
    <t>당기손익공정가치측정금융자산처분손실(보험표준손익)</t>
  </si>
  <si>
    <t>당기손익공정가치측정금융자산관련손실(보험표준손익)</t>
  </si>
  <si>
    <t>매매목적파생상품관련손실(보험표준손익)</t>
  </si>
  <si>
    <t>파생상품거래손실매매목적(보험표준손익)</t>
  </si>
  <si>
    <t>파생상품평가손실매매목적(보험표준손익)</t>
  </si>
  <si>
    <t>기타파생상품손실매매목적(보험표준손익)</t>
  </si>
  <si>
    <t>단기매매금융자산관련손실(보험표준손익)</t>
  </si>
  <si>
    <t>단기매매금융자산평가손실(보험표준손익)</t>
  </si>
  <si>
    <t>단기매매금융자산처분손실(보험표준손익)</t>
  </si>
  <si>
    <t>매도가능금융자산처분손실(보험표준손익)</t>
  </si>
  <si>
    <t>만기보유금융자산처분손실(보험표준손익)</t>
  </si>
  <si>
    <t>매도가능금융자산손상차손(보험표준손익)</t>
  </si>
  <si>
    <t>만기보유금융자산손상차손(보험표준손익)</t>
  </si>
  <si>
    <t>기타포괄손익공정가치측정금융자산처분손실(보험표준손익)</t>
  </si>
  <si>
    <t>기타포괄손익공정가치측정금융자산손상차손(보험표준손익)</t>
  </si>
  <si>
    <t>상각후원가측정금융자산처분손실(보험표준손익)</t>
  </si>
  <si>
    <t>상각후원가측정금융자산손상차손(보험표준손익)</t>
  </si>
  <si>
    <t>당기손익인식지정금융부채평가손실(보험표준손익)</t>
  </si>
  <si>
    <t>당기손익인식지정금융부채매매손실(보험표준손익)</t>
  </si>
  <si>
    <t>당기손익인식지정금융부채관련손실(보험표준손익)</t>
  </si>
  <si>
    <t>당기손익공정가치측정금융부채평가손실(보험표준손익)</t>
  </si>
  <si>
    <t>단기매매금융부채평가손실(보험표준손익)</t>
  </si>
  <si>
    <t>종속기업공동지배기업및관계기업지분법관련손실(보험표준손익)</t>
  </si>
  <si>
    <t>기타유가증권관련손실(보험표준손익)</t>
  </si>
  <si>
    <t>위험회피회계파생상품관련손실(표준손익)</t>
  </si>
  <si>
    <t>파생상품거래손실위험회피(보험표준손익)</t>
  </si>
  <si>
    <t>파생상품평가손실위험회피(보험표준손익)</t>
  </si>
  <si>
    <t>기타파생상품손실위험회피(보험표준손익)</t>
  </si>
  <si>
    <t>외환거래손실(보험표준손익)</t>
  </si>
  <si>
    <t>외환차손(보험표준손익)</t>
  </si>
  <si>
    <t>외화환산손실(보험표준손익)</t>
  </si>
  <si>
    <t>기타외환거래손실(보험표준손익)</t>
  </si>
  <si>
    <t>대출채권평가및처분손실(표준손익)</t>
  </si>
  <si>
    <t>대손상각비대출채권평가및처분손실(표준손익)</t>
  </si>
  <si>
    <t>대출채권처분손실(보험표준손익)</t>
  </si>
  <si>
    <t>기타대출채권평가및처분손실(표준손익)</t>
  </si>
  <si>
    <t>기타금융자산관련손실(표준손익)</t>
  </si>
  <si>
    <t>구상손실(표준손익)</t>
  </si>
  <si>
    <t>구분특별계정비용(표준손익)</t>
  </si>
  <si>
    <t>구분특별계정지급수수료(표준손익)</t>
  </si>
  <si>
    <t>부동산관리비(표준손익)</t>
  </si>
  <si>
    <t>부동산감가상각비(표준손익)</t>
  </si>
  <si>
    <t>기타금융비용(보험표준손익)</t>
  </si>
  <si>
    <t>기타영업비용(표준손익)</t>
  </si>
  <si>
    <t>할인료(표준손익)</t>
  </si>
  <si>
    <t>세금과공과기타영업비용(표준손익)</t>
  </si>
  <si>
    <t>협회비(표준손익)</t>
  </si>
  <si>
    <t>감가상각비기타영업비용(표준손익)</t>
  </si>
  <si>
    <t>무형자산상각비기타영업비용(표준손익)</t>
  </si>
  <si>
    <t>복구충당부채전입액(보험표준손익)</t>
  </si>
  <si>
    <t>기타충당부채전입액(보험표준손익)</t>
  </si>
  <si>
    <t>기타영업비용기타(보험표준손익)</t>
  </si>
  <si>
    <t>매출총이익손실(표준손익)</t>
  </si>
  <si>
    <t>수입수수료(표준손익)</t>
  </si>
  <si>
    <t>임대료영업외(표준손익)</t>
  </si>
  <si>
    <t>파생상품이익(표준손익)</t>
  </si>
  <si>
    <t>이자비용영업외(표준손익)</t>
  </si>
  <si>
    <t>외환거래손실영업외(표준손익)</t>
  </si>
  <si>
    <t>종속기업관련손실(표준현금흐름)</t>
  </si>
  <si>
    <t>신계약비상각비(표준현금흐름)</t>
  </si>
  <si>
    <t>책임준비금전입액(표준현금흐름)</t>
  </si>
  <si>
    <t>지급준비금전입액(표준현금흐름)</t>
  </si>
  <si>
    <t>미경과보험료적립금전입액(표준현금흐름)</t>
  </si>
  <si>
    <t>장기저축성보험료적립금전입액(표준현금흐름)</t>
  </si>
  <si>
    <t>계약자배당준비금전입액(표준현금흐름)</t>
  </si>
  <si>
    <t>계약자이익배당준비금전입액(표준현금흐름)</t>
  </si>
  <si>
    <t>기타책임준비금전입액(표준현금흐름)</t>
  </si>
  <si>
    <t>비상위험준비금전입액(표준현금흐름)</t>
  </si>
  <si>
    <t>구상손실(표준현금흐름)</t>
  </si>
  <si>
    <t>책임준비금환입액(표준현금흐름)</t>
  </si>
  <si>
    <t>지급준비금환입액(표준현금흐름)</t>
  </si>
  <si>
    <t>미경과보험료적립금환입액(표준현금흐름)</t>
  </si>
  <si>
    <t>장기저축성보험료적립금환입액(표준현금흐름)</t>
  </si>
  <si>
    <t>계약자배당준비금환입액(표준현금흐름)</t>
  </si>
  <si>
    <t>계약자이익배당준비금환입액(표준현금흐름)</t>
  </si>
  <si>
    <t>기타책임준비금환입액(표준현금흐름)</t>
  </si>
  <si>
    <t>비상위험준비금환입액(표준현금흐름)</t>
  </si>
  <si>
    <t>구상이익(표준현금흐름)</t>
  </si>
  <si>
    <t>보험미수금의감소증가(표준현금흐름)</t>
  </si>
  <si>
    <t>공탁금의감소증가(표준현금흐름)</t>
  </si>
  <si>
    <t>신계약비의감소증가(표준현금흐름)</t>
  </si>
  <si>
    <t>부도어음의감소증가(표준현금흐름)</t>
  </si>
  <si>
    <t>구상채권의감소증가(표준현금흐름)</t>
  </si>
  <si>
    <t>특별계정미수금특별계정대의감소증가(표준현금흐름)</t>
  </si>
  <si>
    <t>특별계정자산의감소증가(표준현금흐름)</t>
  </si>
  <si>
    <t>책임준비금의증가감소(표준현금흐름)</t>
  </si>
  <si>
    <t>계약자지분조정의증가감소(표준현금흐름)</t>
  </si>
  <si>
    <t>비상위험준비금의증가감소(표준현금흐름)</t>
  </si>
  <si>
    <t>보험미지급금의증가감소(표준현금흐름)</t>
  </si>
  <si>
    <t>예수금의증가감소(보험표준현금흐름)</t>
  </si>
  <si>
    <t>선수보험료의증가감소(표준현금흐름)</t>
  </si>
  <si>
    <t>가수보험료증가감소(표준현금흐름)</t>
  </si>
  <si>
    <t>지급어음의증가감소(표준현금흐름)</t>
  </si>
  <si>
    <t>특별계정미지급금특별계정차의증가감소(표준현금흐름)</t>
  </si>
  <si>
    <t>특별계정부채의증가감소(표준현금흐름)</t>
  </si>
  <si>
    <t>예금의감소(표준현금흐름)</t>
  </si>
  <si>
    <t>기타예치금의감소(표준현금흐름)</t>
  </si>
  <si>
    <t>보험약관대출금의감소(표준현금흐름)</t>
  </si>
  <si>
    <t>유가증권담보대출금의감소(표준현금흐름)</t>
  </si>
  <si>
    <t>부동산담보대출금의감소(표준현금흐름)</t>
  </si>
  <si>
    <t>신용대출금의감소(표준현금흐름)</t>
  </si>
  <si>
    <t>지급보증대출금의감소(표준현금흐름)</t>
  </si>
  <si>
    <t>공탁금의감소(표준현금흐름)</t>
  </si>
  <si>
    <t>예금의증가(표준현금흐름)</t>
  </si>
  <si>
    <t>기타예치금의증가(표준현금흐름)</t>
  </si>
  <si>
    <t>보험약관대출금의증가(표준현금흐름)</t>
  </si>
  <si>
    <t>담보대출금의증가(표준현금흐름)</t>
  </si>
  <si>
    <t>유가증권담보대출금의증가(표준현금흐름)</t>
  </si>
  <si>
    <t>부동산담보대출금의증가(표준현금흐름)</t>
  </si>
  <si>
    <t>신용대출금의증가(표준현금흐름)</t>
  </si>
  <si>
    <t>지급보증대출금의증가(표준현금흐름)</t>
  </si>
  <si>
    <t>공탁금의증가(표준현금흐름)</t>
  </si>
  <si>
    <t>차입금의증가(표준현금흐름)</t>
  </si>
  <si>
    <t>차입금의감소(표준현금흐름)</t>
  </si>
  <si>
    <t>파생결합증권(요약재무)</t>
  </si>
  <si>
    <t>파생상품자산(요약재무)</t>
  </si>
  <si>
    <t>CMA어음관리계좌운용자산(요약재무)</t>
  </si>
  <si>
    <t>리스자산(요약재무)</t>
  </si>
  <si>
    <t>파생상품부채(요약재무)</t>
  </si>
  <si>
    <t>위탁자유가증권(요약재무)</t>
  </si>
  <si>
    <t>저축자유가증권(요약재무)</t>
  </si>
  <si>
    <t>수익자유가증권(요약재무)</t>
  </si>
  <si>
    <t>기타예수유가증권(요약재무)</t>
  </si>
  <si>
    <t>파생상품거래이익(요약손익)</t>
  </si>
  <si>
    <t>(파생상품거래손실)(요약손익)</t>
  </si>
  <si>
    <t>리스수익(요약손익)</t>
  </si>
  <si>
    <t>(리스비용)(요약손익)</t>
  </si>
  <si>
    <t>옵션평가손실(요약현금흐름)</t>
  </si>
  <si>
    <t>장외파생상품평가손실(요약현금흐름)</t>
  </si>
  <si>
    <t>파생결합증권평가손실(요약현금흐름)</t>
  </si>
  <si>
    <t>매도유가증권평가손실(요약현금흐름)</t>
  </si>
  <si>
    <t>매도파생결합증권평가손실(요약현금흐름)</t>
  </si>
  <si>
    <t>리스자산손상차손(요약현금흐름)</t>
  </si>
  <si>
    <t>옵션평가이익(요약현금흐름)</t>
  </si>
  <si>
    <t>장외파생상품평가이익(요약현금흐름)</t>
  </si>
  <si>
    <t>파생결합증권평가이익(요약현금흐름)</t>
  </si>
  <si>
    <t>파생결합증권매매이익(요약현금흐름)</t>
  </si>
  <si>
    <t>매도유가증권평가이익(요약현금흐름)</t>
  </si>
  <si>
    <t>매도파생결합증권평가이익(요약현금흐름)</t>
  </si>
  <si>
    <t>별도예치금평가이익(요약현금흐름)</t>
  </si>
  <si>
    <t>리스자산손상차손환입액(요약현금흐름)</t>
  </si>
  <si>
    <t>매수옵션의감소(요약현금흐름)</t>
  </si>
  <si>
    <t>리스자산의감소(요약현금흐름)</t>
  </si>
  <si>
    <t>대지급금의감소(요약현금흐름)</t>
  </si>
  <si>
    <t>손해배상공동기금의감소(요약현금흐름)</t>
  </si>
  <si>
    <t>매수옵션의증가(요약현금흐름)</t>
  </si>
  <si>
    <t>리스자산의증가(요약현금흐름)</t>
  </si>
  <si>
    <t>대지급금의증가(요약현금흐름)</t>
  </si>
  <si>
    <t>손해배상공동기금의증가(요약현금흐름)</t>
  </si>
  <si>
    <t>고객예수금의증가(요약현금흐름)</t>
  </si>
  <si>
    <t>콜머니의증가(요약현금흐름)</t>
  </si>
  <si>
    <t>환매조건부채권매도의증가(요약현금흐름)</t>
  </si>
  <si>
    <t>사채의발행(요약현금흐름)</t>
  </si>
  <si>
    <t>후순위사채의발행(요약현금흐름)</t>
  </si>
  <si>
    <t>매도유가증권의증가(요약현금흐름)</t>
  </si>
  <si>
    <t>매도파생결합증권의증가(요약현금흐름)</t>
  </si>
  <si>
    <t>CMA수탁금의증가(요약현금흐름)</t>
  </si>
  <si>
    <t>발행어음의증가(요약현금흐름)</t>
  </si>
  <si>
    <t>고객예수금의감소(요약현금흐름)</t>
  </si>
  <si>
    <t>콜머니의감소(요약현금흐름)</t>
  </si>
  <si>
    <t>환매조건부채권매도의감소(요약현금흐름)</t>
  </si>
  <si>
    <t>사채의상환(요약현금흐름)</t>
  </si>
  <si>
    <t>후순위사채의상환(요약현금흐름)</t>
  </si>
  <si>
    <t>매도유가증권의감소(요약현금흐름)</t>
  </si>
  <si>
    <t>매도파생결합증권의감소(요약현금흐름)</t>
  </si>
  <si>
    <t>CMA수탁금의감소(요약현금흐름)</t>
  </si>
  <si>
    <t>발행어음의감소(요약현금흐름)</t>
  </si>
  <si>
    <t>현금(표준재무)</t>
  </si>
  <si>
    <t>정기예적금(증권표준재무)</t>
  </si>
  <si>
    <t>당좌예금(증권표준재무)</t>
  </si>
  <si>
    <t>양도성정기예금증서(표준재무)</t>
  </si>
  <si>
    <t>MMDA(표준재무)</t>
  </si>
  <si>
    <t>MMF(표준재무)</t>
  </si>
  <si>
    <t>금융어음(표준재무)</t>
  </si>
  <si>
    <t>기타현금및현금성자산(표준재무)</t>
  </si>
  <si>
    <t>예치금(표준재무)</t>
  </si>
  <si>
    <t>청약예치금(표준재무)</t>
  </si>
  <si>
    <t>투자자예탁금별도예치금(표준재무)</t>
  </si>
  <si>
    <t>투자자예탁금별도예치금예금(표준재무)</t>
  </si>
  <si>
    <t>투자자예탁금별도예치금신탁(표준재무)</t>
  </si>
  <si>
    <t>대차거래이행보증금(표준재무)</t>
  </si>
  <si>
    <t>매매예납금(표준재무)</t>
  </si>
  <si>
    <t>장내파생상품선물옵션거래예치금(표준재무)</t>
  </si>
  <si>
    <t>장내파생상품선물옵션매매증거금(표준재무)</t>
  </si>
  <si>
    <t>유통금융차주담보금(표준재무)</t>
  </si>
  <si>
    <t>유통금융담보금(표준재무)</t>
  </si>
  <si>
    <t>기타예치금(표준재무)</t>
  </si>
  <si>
    <t>파생결합증권(표준재무)</t>
  </si>
  <si>
    <t>주가연계증권(표준재무)</t>
  </si>
  <si>
    <t>주식워런트증권(표준재무)</t>
  </si>
  <si>
    <t>기타파생결합증권(표준재무)</t>
  </si>
  <si>
    <t>미매각수익증권집합투자증권(표준재무)</t>
  </si>
  <si>
    <t>기타수익증권집합투자증권(표준재무)</t>
  </si>
  <si>
    <t>신주인수권증서(표준재무)</t>
  </si>
  <si>
    <t>기업어음증권(표준재무)</t>
  </si>
  <si>
    <t>기타유가증권단기매매(표준재무)</t>
  </si>
  <si>
    <t>파생상품자산(표준재무)</t>
  </si>
  <si>
    <t>매수옵션(표준재무)</t>
  </si>
  <si>
    <t>(대손충당금)회사채매도가능(표준재무)</t>
  </si>
  <si>
    <t>특수관계자유가증권매도가능(표준재무)</t>
  </si>
  <si>
    <t>손해배상공동기금매도가능(표준재무)</t>
  </si>
  <si>
    <t>신용공여금(표준재무)</t>
  </si>
  <si>
    <t>(대손충당금)신용공여금(표준재무)</t>
  </si>
  <si>
    <t>신용거래융자금(표준재무)</t>
  </si>
  <si>
    <t>(대손충당금)신용거래융자금(표준재무)</t>
  </si>
  <si>
    <t>미상환융자금(표준재무)</t>
  </si>
  <si>
    <t>(대손충당금)미상환융자금(표준재무)</t>
  </si>
  <si>
    <t>주식청약자금대출금(표준재무)</t>
  </si>
  <si>
    <t>증권매입자금대출금(표준재무)</t>
  </si>
  <si>
    <t>증권담보대출금(표준재무)</t>
  </si>
  <si>
    <t>기타신용공여금(표준재무)</t>
  </si>
  <si>
    <t>대여금이연대출(증권표준재무)</t>
  </si>
  <si>
    <t>(대손충당금)대여금이연대출(증권표준재무)</t>
  </si>
  <si>
    <t>대출금(증권표준재무)</t>
  </si>
  <si>
    <t>(대손충당금)대출금(증권표준재무)</t>
  </si>
  <si>
    <t>이연대출부대수익비용대출금(증권표준재무)</t>
  </si>
  <si>
    <t>할인어음(증권표준재무)</t>
  </si>
  <si>
    <t>(대손충당금)할인어음(증권표준재무)</t>
  </si>
  <si>
    <t>이연대출부대수익비용할인어음(표준재무)</t>
  </si>
  <si>
    <t>대지급금(표준재무)</t>
  </si>
  <si>
    <t>(대손충당금)대지급금(표준재무)</t>
  </si>
  <si>
    <t>(현재가치할인차금)대지급금(표준재무)</t>
  </si>
  <si>
    <t>사채지급보증대지급금(표준재무)</t>
  </si>
  <si>
    <t>어음지급보증대지급금(표준재무)</t>
  </si>
  <si>
    <t>사고대지급금(표준재무)</t>
  </si>
  <si>
    <t>우선대지급금(표준재무)</t>
  </si>
  <si>
    <t>기타대지급금(표준재무)</t>
  </si>
  <si>
    <t>부도어음및채권(표준재무)</t>
  </si>
  <si>
    <t>(대손충당금)부도어음및채권(표준재무)</t>
  </si>
  <si>
    <t>(현재가치할인차금)부도어음및채권(표준재무)</t>
  </si>
  <si>
    <t>매입대출채권(표준재무)</t>
  </si>
  <si>
    <t>(대손충당금)매입대출채권(표준재무)</t>
  </si>
  <si>
    <t>CMA어음관리계좌운용자산(증권표준재무)</t>
  </si>
  <si>
    <t>(대손충당금)CMA운용자산(증권표준재무)</t>
  </si>
  <si>
    <t>현금과예금CMA(표준재무)</t>
  </si>
  <si>
    <t>예치금CMA(표준재무)</t>
  </si>
  <si>
    <t>유가증권CMA(표준재무)</t>
  </si>
  <si>
    <t>할인어음CMA(표준재무)</t>
  </si>
  <si>
    <t>기타CMA(표준재무)</t>
  </si>
  <si>
    <t>시설장치(증권표준재무)</t>
  </si>
  <si>
    <t>(감가상각누계액)시설장치(증권표준재무)</t>
  </si>
  <si>
    <t>(손상차손누계액)시설장치(증권표준재무)</t>
  </si>
  <si>
    <t>기구및비품(표준재무)</t>
  </si>
  <si>
    <t>(감가상각누계액)기구및비품(증권표준재무)</t>
  </si>
  <si>
    <t>(손상차손누계액)기구및비품(표준재무)</t>
  </si>
  <si>
    <t>(정부보조금등차감액)기구및비품(표준재무)</t>
  </si>
  <si>
    <t>운용리스자산유형자산(표준재무)</t>
  </si>
  <si>
    <t>(감가상각누계액)운용리스자산유형자산(표준재무)</t>
  </si>
  <si>
    <t>(처분손실충당금)운용리스자산유형자산(표준재무)</t>
  </si>
  <si>
    <t>리스사용권자산(증권표준재무)</t>
  </si>
  <si>
    <t>(감가상각누계액)리스사용권자산(표준재무)</t>
  </si>
  <si>
    <t>(처분손실충당금)리스사용권자산(표준재무)</t>
  </si>
  <si>
    <t>(대손충당금)리스사용권자산(표준재무)</t>
  </si>
  <si>
    <t>금융리스채권리스자산(표준재무)</t>
  </si>
  <si>
    <t>운용리스자산리스자산(표준재무)</t>
  </si>
  <si>
    <t>선급리스자산리스자산(표준재무)</t>
  </si>
  <si>
    <t>기타리스자산리스자산(표준재무)</t>
  </si>
  <si>
    <t>자기매매미수금(표준재무)</t>
  </si>
  <si>
    <t>(대손충당금)자기매매미수금(표준재무)</t>
  </si>
  <si>
    <t>위탁매매미수금(표준재무)</t>
  </si>
  <si>
    <t>(대손충당금)위탁매매미수금(표준재무)</t>
  </si>
  <si>
    <t>기타미수금(표준재무)</t>
  </si>
  <si>
    <t>(대손충당금)기타미수금(표준재무)</t>
  </si>
  <si>
    <t>미수수수료(표준재무)</t>
  </si>
  <si>
    <t>미수배당금(표준재무)</t>
  </si>
  <si>
    <t>미수채권이자(표준재무)</t>
  </si>
  <si>
    <t>미수분배금(표준재무)</t>
  </si>
  <si>
    <t>미수신용거래융자이자(표준재무)</t>
  </si>
  <si>
    <t>미수이자(표준재무)</t>
  </si>
  <si>
    <t>기타미수수익(표준재무)</t>
  </si>
  <si>
    <t>채권경과이자(표준재무)</t>
  </si>
  <si>
    <t>양도성예금증서경과이자(표준재무)</t>
  </si>
  <si>
    <t>기타선급금(표준재무)</t>
  </si>
  <si>
    <t>예금등(표준재무)</t>
  </si>
  <si>
    <t>손해배상공동기금(표준재무)</t>
  </si>
  <si>
    <t>유가증권시장공동기금(표준재무)</t>
  </si>
  <si>
    <t>파생상품선물시장공동기금(표준재무)</t>
  </si>
  <si>
    <t>기타손해배상공동기금(표준재무)</t>
  </si>
  <si>
    <t>임차보증금(표준재무)</t>
  </si>
  <si>
    <t>전신전화가입권(표준재무)</t>
  </si>
  <si>
    <t>전세권(표준재무)</t>
  </si>
  <si>
    <t>기타보증금(증권표준재무)</t>
  </si>
  <si>
    <t>전자금융사고배상준비금(표준재무)</t>
  </si>
  <si>
    <t>선물거래책임준비금(표준재무)</t>
  </si>
  <si>
    <t>매도주가연계증권(표준재무)</t>
  </si>
  <si>
    <t>매도주식워런트증권(표준재무)</t>
  </si>
  <si>
    <t>기타매도파생결합증권(표준재무)</t>
  </si>
  <si>
    <t>주식매도유가증권(표준재무)</t>
  </si>
  <si>
    <t>국공채매도유가증권(표준재무)</t>
  </si>
  <si>
    <t>회사채매도유가증권(표준재무)</t>
  </si>
  <si>
    <t>기타매도유가증권(표준재무)</t>
  </si>
  <si>
    <t>파생상품부채(표준재무)</t>
  </si>
  <si>
    <t>매도옵션(표준재무)</t>
  </si>
  <si>
    <t>투자자예수금(표준재무)</t>
  </si>
  <si>
    <t>위탁자예수금(표준재무)</t>
  </si>
  <si>
    <t>장내파생상품선물옵션거래예수금(표준재무)</t>
  </si>
  <si>
    <t>청약자예수금(표준재무)</t>
  </si>
  <si>
    <t>저축자예수금(표준재무)</t>
  </si>
  <si>
    <t>조건부예수금(표준재무)</t>
  </si>
  <si>
    <t>수익자집합투자증권예수금(표준재무)</t>
  </si>
  <si>
    <t>기타예수금(증권표준재무)</t>
  </si>
  <si>
    <t>신용대주담보금(표준재무)</t>
  </si>
  <si>
    <t>수입담보금(표준재무)</t>
  </si>
  <si>
    <t>신용거래계좌설정보증금(표준재무)</t>
  </si>
  <si>
    <t>신용공여담보금(표준재무)</t>
  </si>
  <si>
    <t>기타수입담보금(표준재무)</t>
  </si>
  <si>
    <t>CMA수탁금(표준재무)</t>
  </si>
  <si>
    <t>차입금전체(표준재무)</t>
  </si>
  <si>
    <t>차입금(표준재무)</t>
  </si>
  <si>
    <t>은행차입금(표준재무)</t>
  </si>
  <si>
    <t>증금차입금(표준재무)</t>
  </si>
  <si>
    <t>유통금융차입금(표준재무)</t>
  </si>
  <si>
    <t>운영자금차입금(표준재무)</t>
  </si>
  <si>
    <t>인수금융차입금(표준재무)</t>
  </si>
  <si>
    <t>외화차입금(표준재무)</t>
  </si>
  <si>
    <t>기타차입금(표준재무)</t>
  </si>
  <si>
    <t>사채전체(증권표준재무)</t>
  </si>
  <si>
    <t>사채상환할증금사체전체(표준재무)</t>
  </si>
  <si>
    <t>(사채조정계정)사채전체(증권표준재무)</t>
  </si>
  <si>
    <t>(사채할인발행차금)사채전체(증권표준재무)</t>
  </si>
  <si>
    <t>사채할증발행차금사채전체(증권표준재무)</t>
  </si>
  <si>
    <t>사채(증권표준재무)</t>
  </si>
  <si>
    <t>사채상환할증금사채(증권표준재무)</t>
  </si>
  <si>
    <t>(사채할인발행차금)사채(증권표준재무)</t>
  </si>
  <si>
    <t>사채할증발행차금사채(증권표준재무)</t>
  </si>
  <si>
    <t>후순위사채(표준재무)</t>
  </si>
  <si>
    <t>사채상환할증금후순위사채(표준재무)</t>
  </si>
  <si>
    <t>(전환권조정계정)후순위사채(표준재무)</t>
  </si>
  <si>
    <t>(사채할인발행차금)후순위사채(표준재무)</t>
  </si>
  <si>
    <t>유동화부채(표준재무)</t>
  </si>
  <si>
    <t>할인할증발행차금(표준재무)</t>
  </si>
  <si>
    <t>금융리스부채(표준재무)</t>
  </si>
  <si>
    <t>위탁자유가증권(표준재무)</t>
  </si>
  <si>
    <t>저축자유가증권(표준재무)</t>
  </si>
  <si>
    <t>수익자유가증권(표준재무)</t>
  </si>
  <si>
    <t>기타예수유가증권(표준재무)</t>
  </si>
  <si>
    <t>신용공여이자(표준손익)</t>
  </si>
  <si>
    <t>매입대출채권이자(표준손익)</t>
  </si>
  <si>
    <t>할인어음이자(표준손익)</t>
  </si>
  <si>
    <t>채권이자(표준손익)</t>
  </si>
  <si>
    <t>차주매각대금이용료(표준손익)</t>
  </si>
  <si>
    <t>기업어음증권이자(표준손익)</t>
  </si>
  <si>
    <t>증금예치금이자(표준손익)</t>
  </si>
  <si>
    <t>양도성정기예금증서이자(표준손익)</t>
  </si>
  <si>
    <t>금융기관예치금이자(표준손익)</t>
  </si>
  <si>
    <t>콜론이자(표준손익)</t>
  </si>
  <si>
    <t>양도성예금증서거래이익(표준손익)</t>
  </si>
  <si>
    <t>대지급금이자(표준손익)</t>
  </si>
  <si>
    <t>증금차입금이자(표준손익)</t>
  </si>
  <si>
    <t>은행차입금이자비용(표준손익)</t>
  </si>
  <si>
    <t>대주매각대금이용료(표준손익)</t>
  </si>
  <si>
    <t>고객투자자예탁금이용료(표준손익)</t>
  </si>
  <si>
    <t>양도성예금증서거래손실(표준손익)</t>
  </si>
  <si>
    <t>발행어음이자(증권표준손익)</t>
  </si>
  <si>
    <t>수탁수수료(표준손익)</t>
  </si>
  <si>
    <t>인수및주선수수료(표준손익)</t>
  </si>
  <si>
    <t>사채모집수탁수수료(표준손익)</t>
  </si>
  <si>
    <t>수익증권집합투자증권취급수수료(표준손익)</t>
  </si>
  <si>
    <t>어음지급보증료(표준손익)</t>
  </si>
  <si>
    <t>자산관리수수료(표준손익)</t>
  </si>
  <si>
    <t>매수및합병수수료(표준손익)</t>
  </si>
  <si>
    <t>기타자문수수료(표준손익)</t>
  </si>
  <si>
    <t>파생결합증권판매수수료(표준손익)</t>
  </si>
  <si>
    <t>기업융통어음중개수수료(표준손익)</t>
  </si>
  <si>
    <t>신탁보수(표준손익)</t>
  </si>
  <si>
    <t>기타수수료수익(증권표준손익)</t>
  </si>
  <si>
    <t>매매수수료(표준손익)</t>
  </si>
  <si>
    <t>투자상담사수수료(표준손익)</t>
  </si>
  <si>
    <t>기타수수료비용(표준손익)</t>
  </si>
  <si>
    <t>파생결합증권거래이익(표준손익)</t>
  </si>
  <si>
    <t>파생결합증권매매이익(표준손익)</t>
  </si>
  <si>
    <t>주가연계증권매매이익(표준손익)</t>
  </si>
  <si>
    <t>주식워런트증권매매이익(표준손익)</t>
  </si>
  <si>
    <t>기타파생결합증권매매이익(표준손익)</t>
  </si>
  <si>
    <t>파생결합증권평가이익(표준손익)</t>
  </si>
  <si>
    <t>주가연계증권평가이익(표준손익)</t>
  </si>
  <si>
    <t>주식워런트증권평가이익(표준손익)</t>
  </si>
  <si>
    <t>기타파생결합증권평가이익(표준손익)</t>
  </si>
  <si>
    <t>파생결합증권상환이익(표준손익)</t>
  </si>
  <si>
    <t>주가연계증권상환이익(표준손익)</t>
  </si>
  <si>
    <t>주식워런트증권상환이익(표준손익)</t>
  </si>
  <si>
    <t>기타파생결합증권상환이익(표준손익)</t>
  </si>
  <si>
    <t>기타파생결합증권거래이익(표준손익)</t>
  </si>
  <si>
    <t>주식평가이익(표준손익)</t>
  </si>
  <si>
    <t>신주인수권평가이익(표준손익)</t>
  </si>
  <si>
    <t>채권평가이익(표준손익)</t>
  </si>
  <si>
    <t>수익증권집합투자증권평가이익(표준손익)</t>
  </si>
  <si>
    <t>기업융통어음평가이익(표준손익)</t>
  </si>
  <si>
    <t>기타단기매매금융자산평가이익(표준손익)</t>
  </si>
  <si>
    <t>단기매매금융자산매매이익(표준손익)</t>
  </si>
  <si>
    <t>주식매매이익(표준손익)</t>
  </si>
  <si>
    <t>신주인수권증서매매이익(표준손익)</t>
  </si>
  <si>
    <t>채권매매이익(표준손익)</t>
  </si>
  <si>
    <t>수익증권집합투자증권매매이익(표준손익)</t>
  </si>
  <si>
    <t>기업융통어음매매이익(표준손익)</t>
  </si>
  <si>
    <t>기타단기매매금융자산매매이익(표준손익)</t>
  </si>
  <si>
    <t>매도유가증권평가이익(표준손익)</t>
  </si>
  <si>
    <t>매도유가증권처분이익(표준손익)</t>
  </si>
  <si>
    <t>매도파생결합증권거래이익(표준손익)</t>
  </si>
  <si>
    <t>매도파생결합증권평가이익(표준손익)</t>
  </si>
  <si>
    <t>매도주가연계증권평가이익(표준손익)</t>
  </si>
  <si>
    <t>매도주식워런트증권평가이익(표준손익)</t>
  </si>
  <si>
    <t>기타매도파생결합증권평가이익(표준손익)</t>
  </si>
  <si>
    <t>매도파생결합증권상환이익(표준손익)</t>
  </si>
  <si>
    <t>매도주가연계증권상환이익(표준손익)</t>
  </si>
  <si>
    <t>매도주식워런트증권상환이익(표준손익)</t>
  </si>
  <si>
    <t>기타매도파생결합증권상환이익(표준손익)</t>
  </si>
  <si>
    <t>매도파생결합증권처분이익(표준손익)</t>
  </si>
  <si>
    <t>매도주가연계증권처분이익(표준손익)</t>
  </si>
  <si>
    <t>매도주식워런트증권처분이익(표준손익)</t>
  </si>
  <si>
    <t>기타매도파생결합증권처분이익(표준손익)</t>
  </si>
  <si>
    <t>기타매도파생결합증권거래이익(표준손익)</t>
  </si>
  <si>
    <t>파생결합증권거래손실(표준손익)</t>
  </si>
  <si>
    <t>파생결합증권매매손실(표준손익)</t>
  </si>
  <si>
    <t>주가연계증권매매손실(표준손익)</t>
  </si>
  <si>
    <t>주식워런트증권매매손실(표준손익)</t>
  </si>
  <si>
    <t>기타파생결합증권매매손실(표준손익)</t>
  </si>
  <si>
    <t>파생결합증권평가손실(표준손익)</t>
  </si>
  <si>
    <t>주가연계증권평가손실(표준손익)</t>
  </si>
  <si>
    <t>주식워런트증권평가손실(표준손익)</t>
  </si>
  <si>
    <t>기타파생결합증권평가손실(표준손익)</t>
  </si>
  <si>
    <t>파생결합증권상환손실(표준손익)</t>
  </si>
  <si>
    <t>주가연계증권상환손실(표준손익)</t>
  </si>
  <si>
    <t>주식워런트증권상환손실(표준손익)</t>
  </si>
  <si>
    <t>기타파생결합증권상환손실(표준손익)</t>
  </si>
  <si>
    <t>기타파생결합증권거래손실(표준손익)</t>
  </si>
  <si>
    <t>주식평가손실(표준손익)</t>
  </si>
  <si>
    <t>신주인수권평가손실(표준손익)</t>
  </si>
  <si>
    <t>채권평가손실(표준손익)</t>
  </si>
  <si>
    <t>외화증권평가손실(표준손익)</t>
  </si>
  <si>
    <t>수익증권집합투자증권평가손실(표준손익)</t>
  </si>
  <si>
    <t>기업융통어음평가손실(표준손익)</t>
  </si>
  <si>
    <t>기타단기매매금융자산평가손실(표준손익)</t>
  </si>
  <si>
    <t>단기매매금융자산매매손실(표준손익)</t>
  </si>
  <si>
    <t>주식매매손실(표준손익)</t>
  </si>
  <si>
    <t>신주인수권증서매매손실(표준손익)</t>
  </si>
  <si>
    <t>채권매매손실(표준손익)</t>
  </si>
  <si>
    <t>수익증권집합투자증권매매손실(표준손익)</t>
  </si>
  <si>
    <t>기업융통어음매매손실(표준손익)</t>
  </si>
  <si>
    <t>기타유가증권매매손실(표준손익)</t>
  </si>
  <si>
    <t>매도유가증권평가손실(표준손익)</t>
  </si>
  <si>
    <t>매도유가증권처분손실(표준손익)</t>
  </si>
  <si>
    <t>매도파생결합증권거래손실(표준손익)</t>
  </si>
  <si>
    <t>매도파생결합증권평가손실(표준손익)</t>
  </si>
  <si>
    <t>매도주가연계증권평가손실(표준손익)</t>
  </si>
  <si>
    <t>매도주식워런트증권평가손실(표준손익)</t>
  </si>
  <si>
    <t>기타매도파생결합증권평가손실(표준손익)</t>
  </si>
  <si>
    <t>매도파생결합증권상환손실(표준손익)</t>
  </si>
  <si>
    <t>매도주가연계증권상환손실(표준손익)</t>
  </si>
  <si>
    <t>매도주식워런트증권상환손실(표준손익)</t>
  </si>
  <si>
    <t>기타매도파생결합증권상환손실(표준손익)</t>
  </si>
  <si>
    <t>매도파생결합증권처분손실(표준손익)</t>
  </si>
  <si>
    <t>매도주가연계증권처분손실(표준손익)</t>
  </si>
  <si>
    <t>매도주식워런트증권처분손실(표준손익)</t>
  </si>
  <si>
    <t>기타매도파생결합증권처분손실(표준손익)</t>
  </si>
  <si>
    <t>기타매도파생결합증권거래손실(표준손익)</t>
  </si>
  <si>
    <t>파생상품거래이익위험회피(증권표준손익)</t>
  </si>
  <si>
    <t>선물거래이익(표준손익)</t>
  </si>
  <si>
    <t>선물매매이익(표준손익)</t>
  </si>
  <si>
    <t>선물정산이익(표준손익)</t>
  </si>
  <si>
    <t>해외선물거래이익(표준손익)</t>
  </si>
  <si>
    <t>기타선물거래이익(표준손익)</t>
  </si>
  <si>
    <t>옵션거래이익(표준손익)</t>
  </si>
  <si>
    <t>옵션매매이익(표준손익)</t>
  </si>
  <si>
    <t>옵션평가이익(표준손익)</t>
  </si>
  <si>
    <t>해외옵션거래이익(표준손익)</t>
  </si>
  <si>
    <t>기타옵션거래이익(표준손익)</t>
  </si>
  <si>
    <t>장외파생상품거래이익(표준손익)</t>
  </si>
  <si>
    <t>장외파생상품매매이익(표준손익)</t>
  </si>
  <si>
    <t>장외파생상품평가이익(표준손익)</t>
  </si>
  <si>
    <t>기타장외파생상품거래이익(표준손익)</t>
  </si>
  <si>
    <t>기타파생상품거래이익(표준손익)</t>
  </si>
  <si>
    <t>(파생상품거래손실)(표준손익)</t>
  </si>
  <si>
    <t>선물거래손실(표준손익)</t>
  </si>
  <si>
    <t>선물매매손실(표준손익)</t>
  </si>
  <si>
    <t>선물정산손실(표준손익)</t>
  </si>
  <si>
    <t>해외선물거래손실(표준손익)</t>
  </si>
  <si>
    <t>기타선물거래손실(표준손익)</t>
  </si>
  <si>
    <t>장내옵션거래손실(표준손익)</t>
  </si>
  <si>
    <t>장내옵션매매손실(표준손익)</t>
  </si>
  <si>
    <t>장내옵션평가손실(표준손익)</t>
  </si>
  <si>
    <t>해외옵션거래손실(표준손익)</t>
  </si>
  <si>
    <t>기타장내옵션거래손실(표준손익)</t>
  </si>
  <si>
    <t>장외파생상품거래손실(표준손익)</t>
  </si>
  <si>
    <t>장외파생상품매매손실(표준손익)</t>
  </si>
  <si>
    <t>장외파생상품평가손실(표준손익)</t>
  </si>
  <si>
    <t>기타장외파생상품거래손실(표준손익)</t>
  </si>
  <si>
    <t>기타(파생상품거래손실)(표준손익)</t>
  </si>
  <si>
    <t>대출채권평가및처분이익(표준손익)</t>
  </si>
  <si>
    <t>리스수익(표준손익)</t>
  </si>
  <si>
    <t>금융리스이자(표준손익)</t>
  </si>
  <si>
    <t>운용리스수입(표준손익)</t>
  </si>
  <si>
    <t>리스사용권자산처분이익(표준손익)</t>
  </si>
  <si>
    <t>기타리스수익(표준손익)</t>
  </si>
  <si>
    <t>(리스비용)(표준손익)</t>
  </si>
  <si>
    <t>리스사용권자산감가상각비(표준손익)</t>
  </si>
  <si>
    <t>리스사용권자산처분손실(표준손익)</t>
  </si>
  <si>
    <t>기타(리스비용)(표준손익)</t>
  </si>
  <si>
    <t>위탁자보수(표준손익)</t>
  </si>
  <si>
    <t>운용수수료수익(표준손익)</t>
  </si>
  <si>
    <t>CMA어음관리계좌운용수익(표준손익)</t>
  </si>
  <si>
    <t>CMA어음관리계좌할인어음이자(표준손익)</t>
  </si>
  <si>
    <t>기타CMA운용수익(표준손익)</t>
  </si>
  <si>
    <t>CMA운용수수료(표준손익)</t>
  </si>
  <si>
    <t>CMA어음관리계좌운용관련손실(표준손익)</t>
  </si>
  <si>
    <t>별도예치금평가이익(표준손익)</t>
  </si>
  <si>
    <t>분배금수익(표준손익)</t>
  </si>
  <si>
    <t>배당금수익기타영업수익(표준손익)</t>
  </si>
  <si>
    <t>기타대손충당금환입(표준손익)</t>
  </si>
  <si>
    <t>기타대손상각비(기타영업비용)(표준손익)</t>
  </si>
  <si>
    <t>기타대손상각비영업외(표준손익)</t>
  </si>
  <si>
    <t>옵션평가손실(표준현금흐름)</t>
  </si>
  <si>
    <t>장외파생상품평가손실(표준현금흐름)</t>
  </si>
  <si>
    <t>파생결합증권평가손실(표준현금흐름)</t>
  </si>
  <si>
    <t>매도유가증권평가손실(표준현금흐름)</t>
  </si>
  <si>
    <t>매도파생결합증권평가손실(표준현금흐름)</t>
  </si>
  <si>
    <t>리스사용권자산손상차손(표준현금흐름)</t>
  </si>
  <si>
    <t>옵션평가이익(표준현금흐름)</t>
  </si>
  <si>
    <t>장외파생상품평가이익(표준현금흐름)</t>
  </si>
  <si>
    <t>파생결합증권평가이익(표준현금흐름)</t>
  </si>
  <si>
    <t>파생결합증권매매이익(표준현금흐름)</t>
  </si>
  <si>
    <t>매도유가증권평가이익(표준현금흐름)</t>
  </si>
  <si>
    <t>매도파생결합증권평가이익(표준현금흐름)</t>
  </si>
  <si>
    <t>별도예치금평가이익(표준현금흐름)</t>
  </si>
  <si>
    <t>리스사용권자산손상차손환입액(표준현금흐름)</t>
  </si>
  <si>
    <t>매수옵션의감소증가(표준현금흐름)</t>
  </si>
  <si>
    <t>매입대출채권의감소증가(표준현금흐름)</t>
  </si>
  <si>
    <t>부도어음및부도채권의감소증가(표준현금흐름)</t>
  </si>
  <si>
    <t>신용공여금의감소증가(표준현금흐름)</t>
  </si>
  <si>
    <t>대여금의감소증가대출채권(표준현금흐름)</t>
  </si>
  <si>
    <t>CMA운용자산의감소증가(표준현금흐름)</t>
  </si>
  <si>
    <t>리스자산의감소증가(표준현금흐름)</t>
  </si>
  <si>
    <t>운용리스자산의감소증가(표준현금흐름)</t>
  </si>
  <si>
    <t>금융리스채권의감소증가(표준현금흐름)</t>
  </si>
  <si>
    <t>선급리스자산의감소증가(표준현금흐름)</t>
  </si>
  <si>
    <t>기타리스자산의감소증가(표준현금흐름)</t>
  </si>
  <si>
    <t>대지급금의감소증가(표준현금흐름)</t>
  </si>
  <si>
    <t>손해배상공동기금의감소증가(표준현금흐름)</t>
  </si>
  <si>
    <t>예수부채의증가감소(표준현금흐름)</t>
  </si>
  <si>
    <t>고객투자자예수금의증가감소(표준현금흐름)</t>
  </si>
  <si>
    <t>신용대주담보금의증가감소(표준현금흐름)</t>
  </si>
  <si>
    <t>수입담보금의증가감소(표준현금흐름)</t>
  </si>
  <si>
    <t>제세예수금의증가감소(표준현금흐름)</t>
  </si>
  <si>
    <t>CMA수탁금의증가감소(표준현금흐름)</t>
  </si>
  <si>
    <t>기타예수부채의증가감소(표준현금흐름)</t>
  </si>
  <si>
    <t>차입부채의증가감소(표준현금흐름)</t>
  </si>
  <si>
    <t>차입금의증가감소(표준현금흐름)</t>
  </si>
  <si>
    <t>매도유가증권의증가감소(표준현금흐름)</t>
  </si>
  <si>
    <t>매도파생결합증권의증가감소(표준현금흐름)</t>
  </si>
  <si>
    <t>발행어음의증가감소(표준현금흐름)</t>
  </si>
  <si>
    <t>매도옵션의증가감소(표준현금흐름)</t>
  </si>
  <si>
    <t>미지급배당금의증가감소(표준현금흐름)</t>
  </si>
  <si>
    <t>복구충당부채의증가감소(표준현금흐름)</t>
  </si>
  <si>
    <t>매수옵션의감소(표준현금흐름)</t>
  </si>
  <si>
    <t>대출금의감소(표준현금흐름)</t>
  </si>
  <si>
    <t>할인어음의감소(표준현금흐름)</t>
  </si>
  <si>
    <t>CMA할인어음의감소(표준현금흐름)</t>
  </si>
  <si>
    <t>부도어음및부도채권의감소(표준현금흐름)</t>
  </si>
  <si>
    <t>신용공여금의감소(표준현금흐름)</t>
  </si>
  <si>
    <t>매입대출채권의감소(표준현금흐름)</t>
  </si>
  <si>
    <t>리스사용권자산의감소(표준현금흐름)</t>
  </si>
  <si>
    <t>대지급금의감소(표준현금흐름)</t>
  </si>
  <si>
    <t>손해배상공동기금의감소(표준현금흐름)</t>
  </si>
  <si>
    <t>매수옵션의증가(표준현금흐름)</t>
  </si>
  <si>
    <t>대출금의증가(표준현금흐름)</t>
  </si>
  <si>
    <t>할인어음의증가(표준현금흐름)</t>
  </si>
  <si>
    <t>CMA할인어음의증가(표준현금흐름)</t>
  </si>
  <si>
    <t>부도어음및부도채권의증가(표준현금흐름)</t>
  </si>
  <si>
    <t>신용공여금의증가(표준현금흐름)</t>
  </si>
  <si>
    <t>매입대출채권의증가(표준현금흐름)</t>
  </si>
  <si>
    <t>리스사용권자산의증가(표준현금흐름)</t>
  </si>
  <si>
    <t>대지급금의증가(표준현금흐름)</t>
  </si>
  <si>
    <t>손해배상공동기금의증가(표준현금흐름)</t>
  </si>
  <si>
    <t>고객예수금의증가(표준현금흐름)</t>
  </si>
  <si>
    <t>사채의발행(표준현금흐름)</t>
  </si>
  <si>
    <t>후순위사채의발행(표준현금흐름)</t>
  </si>
  <si>
    <t>매도유가증권의증가(표준현금흐름)</t>
  </si>
  <si>
    <t>매도파생결합증권의증가(표준현금흐름)</t>
  </si>
  <si>
    <t>CMA수탁금의증가(표준현금흐름)</t>
  </si>
  <si>
    <t>발행어음의증가(표준현금흐름)</t>
  </si>
  <si>
    <t>고객예수금의감소(표준현금흐름)</t>
  </si>
  <si>
    <t>콜머니의감소(표준현금흐름)</t>
  </si>
  <si>
    <t>사채의상환(표준현금흐름)</t>
  </si>
  <si>
    <t>후순위사채의상환(표준현금흐름)</t>
  </si>
  <si>
    <t>매도유가증권의감소(표준현금흐름)</t>
  </si>
  <si>
    <t>매도파생결합증권의감소(표준현금흐름)</t>
  </si>
  <si>
    <t>CMA수탁금의감소(표준현금흐름)</t>
  </si>
  <si>
    <t>발행어음의감소(표준현금흐름)</t>
  </si>
  <si>
    <t>당좌예치금(표준재무)</t>
  </si>
  <si>
    <t>보통예치금(표준재무)</t>
  </si>
  <si>
    <t>정기예치금(신금표준재무)</t>
  </si>
  <si>
    <t>적금예치금(표준재무)</t>
  </si>
  <si>
    <t>중앙회예치금(표준재무)</t>
  </si>
  <si>
    <t>파생상품자산(신금표준재무)</t>
  </si>
  <si>
    <t>이자율관련파생상품자산(표준재무)</t>
  </si>
  <si>
    <t>통화관련파생상품자산(표준재무)</t>
  </si>
  <si>
    <t>주식관련파생상품자산(표준재무)</t>
  </si>
  <si>
    <t>신용관련파생상품자산(표준재무)</t>
  </si>
  <si>
    <t>기타파생상품자산(표준재무)</t>
  </si>
  <si>
    <t>지급준비유가증권만기보유(표준재무)</t>
  </si>
  <si>
    <t>매입어음(신금표준재무)</t>
  </si>
  <si>
    <t>(대손충당금)매입어음(신금표준재무)</t>
  </si>
  <si>
    <t>대출금(표준재무)</t>
  </si>
  <si>
    <t>(대손충당금)대출금(표준재무)</t>
  </si>
  <si>
    <t>(현재가치할인차금)대출금(표준재무)</t>
  </si>
  <si>
    <t>이연대출부대수익비용대출금(표준재무)</t>
  </si>
  <si>
    <t>부금급부금(표준재무)</t>
  </si>
  <si>
    <t>(대손충당금)부금급부금(표준재무)</t>
  </si>
  <si>
    <t>할인어음(표준재무)</t>
  </si>
  <si>
    <t>(대손충당금)할인어음(표준재무)</t>
  </si>
  <si>
    <t>(현재가치할인차금)할인어음(표준재무)</t>
  </si>
  <si>
    <t>이연대출부대수익비용할인어음(신금표준재무)</t>
  </si>
  <si>
    <t>계약금내대출(표준재무)</t>
  </si>
  <si>
    <t>(대손충당금)계약금내대출(표준재무)</t>
  </si>
  <si>
    <t>예적금담보대출(표준재무)</t>
  </si>
  <si>
    <t>(대손충당금)예적금담보대출(표준재무)</t>
  </si>
  <si>
    <t>일반자금대출(표준재무)</t>
  </si>
  <si>
    <t>(대손충당금)일반자금대출(표준재무)</t>
  </si>
  <si>
    <t>(현재가치할인차금)일반자금대출(표준재무)</t>
  </si>
  <si>
    <t>이연대출부대수익비용일반자금대출(표준재무)</t>
  </si>
  <si>
    <t>종합통장대출(표준재무)</t>
  </si>
  <si>
    <t>(대손충당금)종합통장대출(표준재무)</t>
  </si>
  <si>
    <t>이연대출부대수익비용종합통장대출(표준재무)</t>
  </si>
  <si>
    <t>기타대출금(신금표준재무)</t>
  </si>
  <si>
    <t>(대손충당금)기타대출금(표준재무)</t>
  </si>
  <si>
    <t>동산(표준재무)</t>
  </si>
  <si>
    <t>(감가상각누계액)동산(표준재무)</t>
  </si>
  <si>
    <t>파생상품부채(신금표준재무)</t>
  </si>
  <si>
    <t>이자율관련파생상품부채(표준재무)</t>
  </si>
  <si>
    <t>통화관련파생상품부채(표준재무)</t>
  </si>
  <si>
    <t>주식관련파생상품부채(표준재무)</t>
  </si>
  <si>
    <t>신용관련파생상품부채(표준재무)</t>
  </si>
  <si>
    <t>기타파생상품부채(표준재무)</t>
  </si>
  <si>
    <t>예수금예수부채(표준재무)</t>
  </si>
  <si>
    <t>보통예금(신금표준재무)</t>
  </si>
  <si>
    <t>정기예금(신금표준재무)</t>
  </si>
  <si>
    <t>복리정기예수금(표준재무)</t>
  </si>
  <si>
    <t>정기적금(신금표준재무)</t>
  </si>
  <si>
    <t>근로자장기저축(표준재무)</t>
  </si>
  <si>
    <t>가계장기저축(표준재무)</t>
  </si>
  <si>
    <t>자유적립예금(표준재무)</t>
  </si>
  <si>
    <t>기타예금(신금표준재무)</t>
  </si>
  <si>
    <t>자유적립부금(표준재무)</t>
  </si>
  <si>
    <t>기타수입부금(표준재무)</t>
  </si>
  <si>
    <t>표지어음예수금(신금표준재무)</t>
  </si>
  <si>
    <t>금융기관차입금(표준재무)</t>
  </si>
  <si>
    <t>일반차입금(신금표준재무)</t>
  </si>
  <si>
    <t>지원자금차입금(표준재무)</t>
  </si>
  <si>
    <t>관리기금차입금(표준재무)</t>
  </si>
  <si>
    <t>예수금기타부채(표준재무)</t>
  </si>
  <si>
    <t>부금급부이익(표준손익)</t>
  </si>
  <si>
    <t>어음할인료(표준손익)</t>
  </si>
  <si>
    <t>일반자금대출이자(표준손익)</t>
  </si>
  <si>
    <t>종합통장대출이자(표준손익)</t>
  </si>
  <si>
    <t>계약금내대출이자(표준손익)</t>
  </si>
  <si>
    <t>예적금담보대출이자(표준손익)</t>
  </si>
  <si>
    <t>기타대출금이자(표준손익)</t>
  </si>
  <si>
    <t>매입어음이자(신금표준손익)</t>
  </si>
  <si>
    <t>기타이자수익기타(표준손익)</t>
  </si>
  <si>
    <t>부금이자(표준손익)</t>
  </si>
  <si>
    <t>보통예금이자(표준손익)</t>
  </si>
  <si>
    <t>근로자장기저축이자(표준손익)</t>
  </si>
  <si>
    <t>차입금이자전체(표준손익)</t>
  </si>
  <si>
    <t>차입금이자(신금표준손익)</t>
  </si>
  <si>
    <t>당좌차월이자(표준손익)</t>
  </si>
  <si>
    <t>금융기관차입금이자(표준손익)</t>
  </si>
  <si>
    <t>지원자금차입금이자(표준손익)</t>
  </si>
  <si>
    <t>기타차입금이자(표준손익)</t>
  </si>
  <si>
    <t>수입수수료(신금표준손익)</t>
  </si>
  <si>
    <t>신용조사료(표준손익)</t>
  </si>
  <si>
    <t>지급수수료(신금표준손익)</t>
  </si>
  <si>
    <t>파생상품관련손익(표준손익)</t>
  </si>
  <si>
    <t>파생상품이익(신금표준손익)</t>
  </si>
  <si>
    <t>파생상품거래이익(표준손익)</t>
  </si>
  <si>
    <t>파생상품평가이익(표준손익)</t>
  </si>
  <si>
    <t>기타파생상품이익(표준손익)</t>
  </si>
  <si>
    <t>파생상품거래손실(표준손익)</t>
  </si>
  <si>
    <t>파생상품평가손실(표준손익)</t>
  </si>
  <si>
    <t>기타파생상품손실(신금표준손익)</t>
  </si>
  <si>
    <t>임대료수익(표준손익)</t>
  </si>
  <si>
    <t>미지급이자기타환입(표준손익)</t>
  </si>
  <si>
    <t>예금보험료(신금표준손익)</t>
  </si>
  <si>
    <t>선급비용환급(표준손익)</t>
  </si>
  <si>
    <t>운반및보관료(표준손익)</t>
  </si>
  <si>
    <t>등기소송비(표준손익)</t>
  </si>
  <si>
    <t>영업손익(표준손익)</t>
  </si>
  <si>
    <t>파생상품손실(신금표준현금흐름)</t>
  </si>
  <si>
    <t>파생상품거래손실(신금표준현금흐름)</t>
  </si>
  <si>
    <t>파생상품평가손실(신금표준현금흐름)</t>
  </si>
  <si>
    <t>기타파생상품손실(신금표준현금흐름)</t>
  </si>
  <si>
    <t>파생상품이익(신금표준현금흐름)</t>
  </si>
  <si>
    <t>파생상품거래이익(신금표준현금흐름)</t>
  </si>
  <si>
    <t>파생상품평가이익(신금표준현금흐름)</t>
  </si>
  <si>
    <t>기타파생상품이익(신금표준현금흐름)</t>
  </si>
  <si>
    <t>부금급부금의감소증가(표준현금흐름)</t>
  </si>
  <si>
    <t>할인어음의감소증가(표준현금흐름)</t>
  </si>
  <si>
    <t>파생상품부채의증가감소(표준현금흐름)</t>
  </si>
  <si>
    <t>수입부금의증가감소(표준현금흐름)</t>
  </si>
  <si>
    <t>양도성예금증서의증가감소(표준현금흐름)</t>
  </si>
  <si>
    <t>콜머니의증가감소(표준현금흐름)</t>
  </si>
  <si>
    <t>부금급부금의감소(표준현금흐름)</t>
  </si>
  <si>
    <t>계약금내대출의감소(표준현금흐름)</t>
  </si>
  <si>
    <t>예적금담보대출의감소(표준현금흐름)</t>
  </si>
  <si>
    <t>일반자금대출의감소(표준현금흐름)</t>
  </si>
  <si>
    <t>종합통장대출의감소(표준현금흐름)</t>
  </si>
  <si>
    <t>부금급부금의증가(표준현금흐름)</t>
  </si>
  <si>
    <t>계약금내대출의증가(표준현금흐름)</t>
  </si>
  <si>
    <t>예적금담보대출의증가(표준현금흐름)</t>
  </si>
  <si>
    <t>일반자금대출의증가(표준현금흐름)</t>
  </si>
  <si>
    <t>종합통장대출의증가(표준현금흐름)</t>
  </si>
  <si>
    <t>어음관리계좌자산(요약재무)</t>
  </si>
  <si>
    <t>리스자산(종금요약재무)</t>
  </si>
  <si>
    <t>외화환산차상각(요약현금흐름)</t>
  </si>
  <si>
    <t>외화환산대환입(요약현금흐름)</t>
  </si>
  <si>
    <t>당좌예금현금성자산(표준재무)</t>
  </si>
  <si>
    <t>외화예금현금성자산(표준재무)</t>
  </si>
  <si>
    <t>당좌예금예치금(표준재무)</t>
  </si>
  <si>
    <t>정기예금예치금(표준재무)</t>
  </si>
  <si>
    <t>정기적금예치금(표준재무)</t>
  </si>
  <si>
    <t>외화예금예치금(표준재무)</t>
  </si>
  <si>
    <t>증권금융예치금(표준재무)</t>
  </si>
  <si>
    <t>선물거래예치금(표준재무)</t>
  </si>
  <si>
    <t>기타현금및현금성자산(종금표준재무)</t>
  </si>
  <si>
    <t>할인및매입어음대출채권(표준재무)</t>
  </si>
  <si>
    <t>(대손충당금)할인및매입어음대출채권(표준재무)</t>
  </si>
  <si>
    <t>팩토링대출금(표준재무)</t>
  </si>
  <si>
    <t>(대손충당금)팩토링대출금(표준재무)</t>
  </si>
  <si>
    <t>할부금융채권(표준재무)</t>
  </si>
  <si>
    <t>(대손충당금)할부금융채권(표준재무)</t>
  </si>
  <si>
    <t>(현재가치할인차금)할부금융채권(표준재무)</t>
  </si>
  <si>
    <t>지급보증대지급금(종금표준재무)</t>
  </si>
  <si>
    <t>(대손충당금)지급보증대지급금(종금표준재무)</t>
  </si>
  <si>
    <t>환매조건부채권매수(종금표준재무)</t>
  </si>
  <si>
    <t>(대손충당금)환매조건부채권매수(종금표준재무)</t>
  </si>
  <si>
    <t>사모사채(종금표준재무)</t>
  </si>
  <si>
    <t>(대손충당금)사모사채(종금표준재무)</t>
  </si>
  <si>
    <t>어음관리계좌자산(표준재무)</t>
  </si>
  <si>
    <t>(대손충당금)어음관리계좌자산(표준재무)</t>
  </si>
  <si>
    <t>예치금어음관리계좌자산(표준재무)</t>
  </si>
  <si>
    <t>유가증권(표준재무)</t>
  </si>
  <si>
    <t>할인및매입어음어음관리계좌자산(표준재무)</t>
  </si>
  <si>
    <t>(대손충당금)할인및매입어음어음관리계좌자산(표준재무)</t>
  </si>
  <si>
    <t>기타어음관리계좌자산(표준재무)</t>
  </si>
  <si>
    <t>리스자산(종금표준재무)</t>
  </si>
  <si>
    <t>운용리스자산(표준재무)</t>
  </si>
  <si>
    <t>(감가상각누계액)운용리스자산(표준재무)</t>
  </si>
  <si>
    <t>(손상차손누계액)운용리스자산(표준재무)</t>
  </si>
  <si>
    <t>금융리스채권(표준재무)</t>
  </si>
  <si>
    <t>(현재가치할인차금)금융리스채권(표준재무)</t>
  </si>
  <si>
    <t>(감가상각누계액)금융리스채권(표준재무)</t>
  </si>
  <si>
    <t>(대손충당금)금융리스채권(표준재무)</t>
  </si>
  <si>
    <t>선급리스자산(표준재무)</t>
  </si>
  <si>
    <t>(대손충당금)선급리스자산(표준재무)</t>
  </si>
  <si>
    <t>해지금융리스채권(표준재무)</t>
  </si>
  <si>
    <t>(대손충당금)해지금융리스채권(표준재무)</t>
  </si>
  <si>
    <t>기타리스자산(표준재무)</t>
  </si>
  <si>
    <t>건물및부속설비(표준재무)</t>
  </si>
  <si>
    <t>(감가상각누계액)건물및부속설비(표준재무)</t>
  </si>
  <si>
    <t>(손상차손누계액)건물및부속설비(표준재무)</t>
  </si>
  <si>
    <t>임차시설물(표준재무)</t>
  </si>
  <si>
    <t>(감가상각누계액)임차시설물(표준재무)</t>
  </si>
  <si>
    <t>(손상차손누계액)임차시설물(표준재무)</t>
  </si>
  <si>
    <t>발행어음예수금(표준재무)</t>
  </si>
  <si>
    <t>표지어음예수금(표준재무)</t>
  </si>
  <si>
    <t>어음관리계좌수탁금(표준재무)</t>
  </si>
  <si>
    <t>수익증권예수금(표준재무)</t>
  </si>
  <si>
    <t>차입금(종금표준재무)</t>
  </si>
  <si>
    <t>콜론이자(종금표준손익)</t>
  </si>
  <si>
    <t>할인어음이자(종금표준손익)</t>
  </si>
  <si>
    <t>팩토링금융이자(표준손익)</t>
  </si>
  <si>
    <t>환매조건부채권매수이자(종금표준손익)</t>
  </si>
  <si>
    <t>기타대출채권이자(종금표준손익)</t>
  </si>
  <si>
    <t>리스채권이자(표준손익)</t>
  </si>
  <si>
    <t>어음관리계좌이자(표준손익)</t>
  </si>
  <si>
    <t>발행어음이자(표준손익)</t>
  </si>
  <si>
    <t>예수금이자(표준손익)</t>
  </si>
  <si>
    <t>운용리스료(표준손익)</t>
  </si>
  <si>
    <t>유가증권취급수수료(표준손익)</t>
  </si>
  <si>
    <t>수입보증료(표준손익)</t>
  </si>
  <si>
    <t>어음관리계좌수탁수수료(표준손익)</t>
  </si>
  <si>
    <t>외환취급수입수수료(표준손익)</t>
  </si>
  <si>
    <t>대출관련수수료(표준손익)</t>
  </si>
  <si>
    <t>인수수수료(표준손익)</t>
  </si>
  <si>
    <t>자문수수료(표준손익)</t>
  </si>
  <si>
    <t>기타수수료수익(표준손익)</t>
  </si>
  <si>
    <t>기타(파생상품손실)(표준손익)</t>
  </si>
  <si>
    <t>리스자산처분이익(표준손익)</t>
  </si>
  <si>
    <t>어음매매이익(표준손익)</t>
  </si>
  <si>
    <t>신탁업무운용수익(종금표준손익)</t>
  </si>
  <si>
    <t>리스자산감가상각비(표준손익)</t>
  </si>
  <si>
    <t>운용리스자산손상차손(표준손익)</t>
  </si>
  <si>
    <t>외화환산차상각(표준현금흐름)</t>
  </si>
  <si>
    <t>외화환산대환입(표준현금흐름)</t>
  </si>
  <si>
    <t>할인및매입어음의감소증가(표준현금흐름)</t>
  </si>
  <si>
    <t>어음관리계좌자산의감소증가(표준현금흐름)</t>
  </si>
  <si>
    <t>금융리스자산의감소증가(표준현금흐름)</t>
  </si>
  <si>
    <t>발행어음예수금의증가감소(표준현금흐름)</t>
  </si>
  <si>
    <t>어음관리계좌수탁금의증가감소(표준현금흐름)</t>
  </si>
  <si>
    <t>사채의증가감소(표준현금흐름)</t>
  </si>
  <si>
    <t>발행어음예수금의증가(표준현금흐름)</t>
  </si>
  <si>
    <t>어음관리계좌수탁금의증가(표준현금흐름)</t>
  </si>
  <si>
    <t>발행어음예수금의감소(표준현금흐름)</t>
  </si>
  <si>
    <t>어음관리계좌수탁금의감소(표준현금흐름)</t>
  </si>
  <si>
    <t>카드자산(요약재무)</t>
  </si>
  <si>
    <t>팩토링금융자산(요약재무)</t>
  </si>
  <si>
    <t>할부금융자산(요약재무)</t>
  </si>
  <si>
    <t>리스및렌탈자산(요약재무)</t>
  </si>
  <si>
    <t>신기술금융자산(요약재무)</t>
  </si>
  <si>
    <t>기업구조조정자산(요약재무)</t>
  </si>
  <si>
    <t>대출채권등평가및처분이익(요약손익)</t>
  </si>
  <si>
    <t>(대출채권등평가및처분손실)(요약손익)</t>
  </si>
  <si>
    <t>리스및렌탈관련수익(요약손익)</t>
  </si>
  <si>
    <t>(리스및렌탈관련비용)(요약손익)</t>
  </si>
  <si>
    <t>리스직접개설원가상각(요약현금흐름)</t>
  </si>
  <si>
    <t>렌탈자산손상차손(요약현금흐름)</t>
  </si>
  <si>
    <t>리스수익(요약현금흐름)</t>
  </si>
  <si>
    <t>렌탈자산손상차손환입액(요약현금흐름)</t>
  </si>
  <si>
    <t>카드자산의감소(요약현금흐름)</t>
  </si>
  <si>
    <t>팩토링금융자산의감소(요약현금흐름)</t>
  </si>
  <si>
    <t>할부금융자산의감소(요약현금흐름)</t>
  </si>
  <si>
    <t>리스자산의감소(여신요약현금흐름)</t>
  </si>
  <si>
    <t>기업구조조정자산의감소(요약현금흐름)</t>
  </si>
  <si>
    <t>카드자산의증가(요약현금흐름)</t>
  </si>
  <si>
    <t>팩토링금융자산의증가(요약현금흐름)</t>
  </si>
  <si>
    <t>할부금융자산의증가(요약현금흐름)</t>
  </si>
  <si>
    <t>리스자산의증가(여신요약현금흐름)</t>
  </si>
  <si>
    <t>신탁자산의증가(요약현금흐름)</t>
  </si>
  <si>
    <t>기업구조조정자산의증가(요약현금흐름)</t>
  </si>
  <si>
    <t>예수금의증가(요약현금흐름)</t>
  </si>
  <si>
    <t>예수금의감소(요약현금흐름)</t>
  </si>
  <si>
    <t>정기예적금(표준재무)</t>
  </si>
  <si>
    <t>대출금(여신표준재무)</t>
  </si>
  <si>
    <t>(대손충당금)대출금(여신표준재무)</t>
  </si>
  <si>
    <t>(현재가치할인차금)대출금(여신표준재무)</t>
  </si>
  <si>
    <t>이연대출부대수익비용대출금(여신표준재무)</t>
  </si>
  <si>
    <t>기일경과어음(표준재무)</t>
  </si>
  <si>
    <t>(대손충당금)기일경과어음(표준재무)</t>
  </si>
  <si>
    <t>(현재가치할인차금)기일경과어음(표준재무)</t>
  </si>
  <si>
    <t>대여금대출채권(표준재무)</t>
  </si>
  <si>
    <t>(대손충당금)대여금대출채권(표준재무)</t>
  </si>
  <si>
    <t>카드자산(표준재무)</t>
  </si>
  <si>
    <t>(대손충당금)카드자산(표준재무)</t>
  </si>
  <si>
    <t>이연대출부대수익비용카드자산(표준재무)</t>
  </si>
  <si>
    <t>카드대급금(표준재무)</t>
  </si>
  <si>
    <t>(대손충당금)카드대급금(표준재무)</t>
  </si>
  <si>
    <t>일시불대급금(표준재무)</t>
  </si>
  <si>
    <t>(대손충당금)일시불대급금(표준재무)</t>
  </si>
  <si>
    <t>할부카드대금(표준재무)</t>
  </si>
  <si>
    <t>(대손충당금)할부카드대금(표준재무)</t>
  </si>
  <si>
    <t>현금서비스(표준재무)</t>
  </si>
  <si>
    <t>기타카드대금(표준재무)</t>
  </si>
  <si>
    <t>카드론(표준재무)</t>
  </si>
  <si>
    <t>(대손충당금)카드론(표준재무)</t>
  </si>
  <si>
    <t>이연대출부대수익비용카드론(표준재무)</t>
  </si>
  <si>
    <t>기타카드자산(표준재무)</t>
  </si>
  <si>
    <t>(대손충당금)기타카드자산(표준재무)</t>
  </si>
  <si>
    <t>이연대출부대수익비용기타카드자산(표준재무)</t>
  </si>
  <si>
    <t>팩토링금융자산(표준재무)</t>
  </si>
  <si>
    <t>(대손충당금)팩토링금융자산(표준재무)</t>
  </si>
  <si>
    <t>할부금융자산(표준재무)</t>
  </si>
  <si>
    <t>(대손충당금)할부금융자산(표준재무)</t>
  </si>
  <si>
    <t>(현재가치할인차금)할부금융자산(표준재무)</t>
  </si>
  <si>
    <t>이연할부부대수익비용(표준재무)</t>
  </si>
  <si>
    <t>일반할부금융(표준재무)</t>
  </si>
  <si>
    <t>(대손충당금)일반할부금융(표준재무)</t>
  </si>
  <si>
    <t>(현재가치할인차금)일반할부금융(표준재무)</t>
  </si>
  <si>
    <t>이연대출부대수익비용일반할부금융(표준재무)</t>
  </si>
  <si>
    <t>자동차할부금융(표준재무)</t>
  </si>
  <si>
    <t>주택할부금융(표준재무)</t>
  </si>
  <si>
    <t>내구재할부금융(표준재무)</t>
  </si>
  <si>
    <t>기타할부금융(표준재무)</t>
  </si>
  <si>
    <t>(대손충당금)기타할부금융(표준재무)</t>
  </si>
  <si>
    <t>(현재가치할인차금)기타할부금융(표준재무)</t>
  </si>
  <si>
    <t>이연대출부대수익비용기타할부금융(표준재무)</t>
  </si>
  <si>
    <t>리스및렌탈자산(표준재무)</t>
  </si>
  <si>
    <t>이연대출부대수익비용금융리스채권(표준재무)</t>
  </si>
  <si>
    <t>렌탈자산(표준재무)</t>
  </si>
  <si>
    <t>(감가상각누계액)렌탈자산(표준재무)</t>
  </si>
  <si>
    <t>리스개설직접원가(표준재무)</t>
  </si>
  <si>
    <t>신기술금융자산(표준재무)</t>
  </si>
  <si>
    <t>당기손익공정가치측정금융자산신기술금융자산(표준재무)</t>
  </si>
  <si>
    <t>당기손익인식지정금융자산신기술금융자산(표준재무)</t>
  </si>
  <si>
    <t>매도가능금융자산신기술금융자산(표준재무)</t>
  </si>
  <si>
    <t>관계기업투자등지분법적용투자주식만기보유금융자산신기술금융자산(표준재무)</t>
  </si>
  <si>
    <t>투자주식(표준재무)</t>
  </si>
  <si>
    <t>출자금만기보유금융자산신기술금융자산(표준재무)</t>
  </si>
  <si>
    <t>대출금신기술금융자산(표준재무)</t>
  </si>
  <si>
    <t>(대손충당금)대출금신기술금융자산(표준재무)</t>
  </si>
  <si>
    <t>(할인차금및이연수익)대출금신기술금융자산(표준재무)</t>
  </si>
  <si>
    <t>기타신기술금융자산(표준재무)</t>
  </si>
  <si>
    <t>기업구조조정자산(표준재무)</t>
  </si>
  <si>
    <t>매도가능금융자산기업구조조정자산(표준재무)</t>
  </si>
  <si>
    <t>만기보유금융자산기업구조조정자산(표준재무)</t>
  </si>
  <si>
    <t>관계기업투자등지분법적용투자주식(표준재무)</t>
  </si>
  <si>
    <t>출자금기업구조조정자산(표준재무)</t>
  </si>
  <si>
    <t>대출금기업구조조정자산(표준재무)</t>
  </si>
  <si>
    <t>(대손충당금)대출금기업구조조정자산(표준재무)</t>
  </si>
  <si>
    <t>기타기업구조조정자산(표준재무)</t>
  </si>
  <si>
    <t>이연대출부대수익비용기타금융업자산(표준재무)</t>
  </si>
  <si>
    <t>대급금(표준재무)</t>
  </si>
  <si>
    <t>금융보증충당부채(표준재무)</t>
  </si>
  <si>
    <t>신용카드미지급금신용판매부채(표준재무)</t>
  </si>
  <si>
    <t>리스미지급금(표준재무)</t>
  </si>
  <si>
    <t>유동화채무(표준재무)</t>
  </si>
  <si>
    <t>포인트이연수익(표준재무)</t>
  </si>
  <si>
    <t>팩토링금융이자(여신표준손익)</t>
  </si>
  <si>
    <t>카드이자(표준손익)</t>
  </si>
  <si>
    <t>할부금융이자(표준손익)</t>
  </si>
  <si>
    <t>금융리스이자이자수익(표준손익)</t>
  </si>
  <si>
    <t>외화차입금이자(표준손익)</t>
  </si>
  <si>
    <t>카드관련수수료수익(표준손익)</t>
  </si>
  <si>
    <t>팩토링수수료수익(표준손익)</t>
  </si>
  <si>
    <t>할부금융수수료수익(표준손익)</t>
  </si>
  <si>
    <t>수입보증료(여신표준손익)</t>
  </si>
  <si>
    <t>대출채권수수료수익(표준손익)</t>
  </si>
  <si>
    <t>리스수수료수익수수료수익(표준손익)</t>
  </si>
  <si>
    <t>리스보증금관련선수리스료상각(표준손익)</t>
  </si>
  <si>
    <t>리스잡수익(표준손익)</t>
  </si>
  <si>
    <t>중도상환수수료(표준손익)</t>
  </si>
  <si>
    <t>카드관련지급수수료비용(표준손익)</t>
  </si>
  <si>
    <t>투자자문수수료비용(표준손익)</t>
  </si>
  <si>
    <t>할부금융수수료비용(표준손익)</t>
  </si>
  <si>
    <t>대출채권수수료비용(표준손익)</t>
  </si>
  <si>
    <t>기타수수료비용(여신표준손익)</t>
  </si>
  <si>
    <t>대출채권등평가및처분이익(표준손익)</t>
  </si>
  <si>
    <t>리스및렌탈자산손상차손환입액(표준손익)</t>
  </si>
  <si>
    <t>기타대출채권등평가및처분이익(표준손익)</t>
  </si>
  <si>
    <t>(대출채권등평가및처분손실)(표준손익)</t>
  </si>
  <si>
    <t>대손상각비(대출채권등평가및처분손실)(표준손익)</t>
  </si>
  <si>
    <t>리스및렌탈자산손상차손(표준손익)</t>
  </si>
  <si>
    <t>리스및렌탈자산처분손실(표준손익)</t>
  </si>
  <si>
    <t>기타(대출채권등평가및처분손실)(표준손익)</t>
  </si>
  <si>
    <t>리스및렌탈관련수익(표준손익)</t>
  </si>
  <si>
    <t>운용리스료수입(표준손익)</t>
  </si>
  <si>
    <t>조정리스료수입(표준손익)</t>
  </si>
  <si>
    <t>재리스료수입(표준손익)</t>
  </si>
  <si>
    <t>리스자산처분이익(여신표준손익)</t>
  </si>
  <si>
    <t>리스자산손상차손환입액(표준손익)</t>
  </si>
  <si>
    <t>렌탈자산손상차손환입액(표준손익)</t>
  </si>
  <si>
    <t>금융리스이자관련수익(표준손익)</t>
  </si>
  <si>
    <t>리스수수료수익관련수익(표준손익)</t>
  </si>
  <si>
    <t>기타리스및렌탈관련수익(표준손익)</t>
  </si>
  <si>
    <t>(리스및렌탈관련비용)(표준손익)</t>
  </si>
  <si>
    <t>리스자산감가상각비(여신표준손익)</t>
  </si>
  <si>
    <t>렌탈자산감가상각비(표준손익)</t>
  </si>
  <si>
    <t>리스자산처분손실(여신표준손익)</t>
  </si>
  <si>
    <t>리스자산손상차손(표준손익)</t>
  </si>
  <si>
    <t>리스자산보험료(표준손익)</t>
  </si>
  <si>
    <t>기타(리스및렌탈관련비용)(표준손익)</t>
  </si>
  <si>
    <t>신기술금융수익(표준손익)</t>
  </si>
  <si>
    <t>유동화수익(표준손익)</t>
  </si>
  <si>
    <t>카드수익(표준손익)</t>
  </si>
  <si>
    <t>팩토링수익(표준손익)</t>
  </si>
  <si>
    <t>할부금융수익(표준손익)</t>
  </si>
  <si>
    <t>신기술금융비용(표준손익)</t>
  </si>
  <si>
    <t>할부금융비용(표준손익)</t>
  </si>
  <si>
    <t>수입임대료(표준손익)</t>
  </si>
  <si>
    <t>유동화채무상환손실(표준손익)</t>
  </si>
  <si>
    <t>리스직접개설원가상각(표준현금흐름)</t>
  </si>
  <si>
    <t>렌탈자산손상차손(표준현금흐름)</t>
  </si>
  <si>
    <t>리스수익(표준현금흐름)</t>
  </si>
  <si>
    <t>렌탈자산손상차손환입액(표준현금흐름)</t>
  </si>
  <si>
    <t>카드자산의감소증가(표준현금흐름)</t>
  </si>
  <si>
    <t>팩토링금융의감소증가(표준현금흐름)</t>
  </si>
  <si>
    <t>할부금융의감소증가(표준현금흐름)</t>
  </si>
  <si>
    <t>신기술금융자산의감소증가(표준현금흐름)</t>
  </si>
  <si>
    <t>기업구조조정자산의감소증가(표준현금흐름)</t>
  </si>
  <si>
    <t>렌탈자산의감소증가(표준현금흐름)</t>
  </si>
  <si>
    <t>리스개설직접원가의감소증가(표준현금흐름)</t>
  </si>
  <si>
    <t>유동화부채의증가감소(표준현금흐름)</t>
  </si>
  <si>
    <t>예수금의증가감소(여신표준현금흐름)</t>
  </si>
  <si>
    <t>금융보증충당부채의증가감소(표준현금흐름)</t>
  </si>
  <si>
    <t>카드자산의감소(표준현금흐름)</t>
  </si>
  <si>
    <t>팩토링금융자산의감소(표준현금흐름)</t>
  </si>
  <si>
    <t>할부금융자산의감소(표준현금흐름)</t>
  </si>
  <si>
    <t>리스사용권자산의감소(여신표준현금흐름)</t>
  </si>
  <si>
    <t>기업구조조정자산의감소(표준현금흐름)</t>
  </si>
  <si>
    <t>카드자산의증가(표준현금흐름)</t>
  </si>
  <si>
    <t>팩토링금융자산의증가(표준현금흐름)</t>
  </si>
  <si>
    <t>할부금융자산의증가(표준현금흐름)</t>
  </si>
  <si>
    <t>리스사용권자산의증가(여신표준현금흐름)</t>
  </si>
  <si>
    <t>신탁자산의증가(표준현금흐름)</t>
  </si>
  <si>
    <t>기업구조조정자산의증가(표준현금흐름)</t>
  </si>
  <si>
    <t>예수금의증가(표준현금흐름)</t>
  </si>
  <si>
    <t>예수금의감소(표준현금흐름)</t>
  </si>
  <si>
    <t>창업투자자산(요약재무)</t>
  </si>
  <si>
    <t>투자실적자산(요약재무)</t>
  </si>
  <si>
    <t>경영지원자산(요약재무)</t>
  </si>
  <si>
    <t>기타창업투자자산(요약재무)</t>
  </si>
  <si>
    <t>당기손익인식지정금융자산신기술금융자산(요약재무)</t>
  </si>
  <si>
    <t>매도가능금융자산신기술금융자산(요약재무)</t>
  </si>
  <si>
    <t>관계기업투자등지분법적용투자주식신기술금융자산(요약재무)</t>
  </si>
  <si>
    <t>출자금신기술금융자산(요약재무)</t>
  </si>
  <si>
    <t>대출금신기술금융자산(요약재무)</t>
  </si>
  <si>
    <t>기타신기술금융자산(요약재무)</t>
  </si>
  <si>
    <t>매도가능금융자산기업구조조정자산(요약재무)</t>
  </si>
  <si>
    <t>만기보유금융자산기업구조조정자산(요약재무)</t>
  </si>
  <si>
    <t>관계기업투자등지분법적용투자주식기업구조조정자산(요약재무)</t>
  </si>
  <si>
    <t>출자금기업구조조정자산(요약재무)</t>
  </si>
  <si>
    <t>대출금기업구조조정자산(요약재무)</t>
  </si>
  <si>
    <t>기타기업구조조정자산(요약재무)</t>
  </si>
  <si>
    <t>유동화자산(요약재무)</t>
  </si>
  <si>
    <t>대출채권(기타금융요약재무)</t>
  </si>
  <si>
    <t>기타금융(요약재무)</t>
  </si>
  <si>
    <t>비유동자산(기타금융요약재무)</t>
  </si>
  <si>
    <t>유형자산(기타금융요약재무)</t>
  </si>
  <si>
    <t>영업권(기타금융요약재무)</t>
  </si>
  <si>
    <t>무형자산(기타금융요약재무)</t>
  </si>
  <si>
    <t>투자부동산(기타금융요약재무)</t>
  </si>
  <si>
    <t>매도가능금융자산비유동자산(요약재무)</t>
  </si>
  <si>
    <t>만기보유금융자산비유동자산(요약재무)</t>
  </si>
  <si>
    <t>관계기업등지분관련투자자산(기타금융요약재무)</t>
  </si>
  <si>
    <t>기타비유동금융자산(기타금융요약재무)</t>
  </si>
  <si>
    <t>이연법인세자산(기타금융요약재무)</t>
  </si>
  <si>
    <t>장기당기법인세자산선급법인세(요약재무)</t>
  </si>
  <si>
    <t>기타비유동자산(기타금융요약재무)</t>
  </si>
  <si>
    <t>유동자산(기타금융요약재무)</t>
  </si>
  <si>
    <t>유동금융자산(기타금융요약재무)</t>
  </si>
  <si>
    <t>당기법인세자산선급법인세(기타금융요약재무)</t>
  </si>
  <si>
    <t>기타유동자산(기타금융요약재무)</t>
  </si>
  <si>
    <t>현금및현금성자산(기타금융요약재무)</t>
  </si>
  <si>
    <t>유동화부채(요약재무)</t>
  </si>
  <si>
    <t>기타유동화부채(요약재무)</t>
  </si>
  <si>
    <t>비유동부채(기타금융요약재무)</t>
  </si>
  <si>
    <t>사채비유동부채(요약재무)</t>
  </si>
  <si>
    <t>장기차입금(기타금융요약재무)</t>
  </si>
  <si>
    <t>장기당기손익인식지정금융부채(요약재무)</t>
  </si>
  <si>
    <t>비유동종업원급여충당부채(기타금융요약재무)</t>
  </si>
  <si>
    <t>기타충당부채(기타금융요약재무)</t>
  </si>
  <si>
    <t>장기당기법인세부채미지급법인세(기타금융요약재무)</t>
  </si>
  <si>
    <t>이연법인세부채(기타금융요약재무)</t>
  </si>
  <si>
    <t>파생상품부채비유동부채(요약재무)</t>
  </si>
  <si>
    <t>기타비유동부채(기타금융요약재무)</t>
  </si>
  <si>
    <t>유동부채(기타금융요약재무)</t>
  </si>
  <si>
    <t>당기손익인식지정금융부채(기타금융요약재무)</t>
  </si>
  <si>
    <t>단기매매금융부채(기타금융요약재무)</t>
  </si>
  <si>
    <t>단기차입금(기타금융요약재무)</t>
  </si>
  <si>
    <t>유동성장기부채(기타금융요약재무)</t>
  </si>
  <si>
    <t>파생상품부채유동부채(요약재무)</t>
  </si>
  <si>
    <t>당기법인세부채미지급법인세(기타금융요약재무)</t>
  </si>
  <si>
    <t>예수금(요약재무)</t>
  </si>
  <si>
    <t>선수금(요약재무)</t>
  </si>
  <si>
    <t>선수수익(요약재무)</t>
  </si>
  <si>
    <t>미지급금(요약재무)</t>
  </si>
  <si>
    <t>미지급비용(요약재무)</t>
  </si>
  <si>
    <t>미지급제세(요약재무)</t>
  </si>
  <si>
    <t>미지급배당금(요약재무)</t>
  </si>
  <si>
    <t>기타유동부채(기타금융요약재무)</t>
  </si>
  <si>
    <t>창업투자및기업구조조정수익(요약손익)</t>
  </si>
  <si>
    <t>투자수익(요약손익)</t>
  </si>
  <si>
    <t>투자조합수익(요약손익)</t>
  </si>
  <si>
    <t>이자수익(기타금융요약손익)</t>
  </si>
  <si>
    <t>현금및예치금이자(요약손익)</t>
  </si>
  <si>
    <t>당기손익인식지정금융자산이자(요약손익)</t>
  </si>
  <si>
    <t>대출채권이자(요약손익)</t>
  </si>
  <si>
    <t>단기매매금융자산이자수익(요약손익)</t>
  </si>
  <si>
    <t>기타이자수익(요약손익)</t>
  </si>
  <si>
    <t>수수료수익(기타금융요약손익)</t>
  </si>
  <si>
    <t>수입수수료(기타금융요약손익)</t>
  </si>
  <si>
    <t>경영자문수수료(요약손익)</t>
  </si>
  <si>
    <t>기타수수료수익(요약손익)</t>
  </si>
  <si>
    <t>금융상품관련이익(기타금융요약손익)</t>
  </si>
  <si>
    <t>당기손익인식지정금융자산평가이익(요약손익)</t>
  </si>
  <si>
    <t>당기손익인식지정금융자산매매이익(요약손익)</t>
  </si>
  <si>
    <t>당기손익인식지정금융자산관련이익(요약손익)</t>
  </si>
  <si>
    <t>매매목적파생상품관련이익(요약손익)</t>
  </si>
  <si>
    <t>단기매매금융자산관련이익(요약손익)</t>
  </si>
  <si>
    <t>단기매매금융자산평가이익(요약손익)</t>
  </si>
  <si>
    <t>단기매매금융자산처분이익(요약손익)</t>
  </si>
  <si>
    <t>단기매매금융자산상환이익(요약손익)</t>
  </si>
  <si>
    <t>매도가능금융자산처분이익(요약손익)</t>
  </si>
  <si>
    <t>매도가능금융자산상환이익(요약손익)</t>
  </si>
  <si>
    <t>만기보유금융자산처분이익(요약손익)</t>
  </si>
  <si>
    <t>매도가능금융자산손상차손환입(요약손익)</t>
  </si>
  <si>
    <t>당기손익인식지정금융부채평가이익(요약손익)</t>
  </si>
  <si>
    <t>당기손익인식지정금융부채매매이익(요약손익)</t>
  </si>
  <si>
    <t>종속기업공동지배기업및관계기업지분법관련이익(요약손익)</t>
  </si>
  <si>
    <t>기타유가증권관련이익(요약손익)</t>
  </si>
  <si>
    <t>배당금수익(기타금융요약손익)</t>
  </si>
  <si>
    <t>파생상품거래이익(기타금융요약손익)</t>
  </si>
  <si>
    <t>파생상품평가이익(요약손익)</t>
  </si>
  <si>
    <t>기타파생상품이익(요약손익)</t>
  </si>
  <si>
    <t>외환거래이익(기타금융요약손익)</t>
  </si>
  <si>
    <t>외환차익(요약손익)</t>
  </si>
  <si>
    <t>외화환산이익(요약손익)</t>
  </si>
  <si>
    <t>기타외환거래이익(요약손익)</t>
  </si>
  <si>
    <t>기타금융자산관련이익(기타금융요약손익)</t>
  </si>
  <si>
    <t>유동화수익(요약손익)</t>
  </si>
  <si>
    <t>기타금융수익(기타금융요약손익)</t>
  </si>
  <si>
    <t>기타영업수익(기타금융요약손익)</t>
  </si>
  <si>
    <t>투자및금융비용(요약손익)</t>
  </si>
  <si>
    <t>중소기업투자손실(요약손익)</t>
  </si>
  <si>
    <t>프로젝트투자손실(요약손익)</t>
  </si>
  <si>
    <t>해외투자손실(요약손익)</t>
  </si>
  <si>
    <t>투자조합손실(요약손익)</t>
  </si>
  <si>
    <t>지분법손실(요약손익)</t>
  </si>
  <si>
    <t>기타투자및금융비용(요약손익)</t>
  </si>
  <si>
    <t>판매비와관리비(기타금융요약손익)</t>
  </si>
  <si>
    <t>급여(기타금융요약손익)</t>
  </si>
  <si>
    <t>대손상각비판관비(기타금융요약손익)</t>
  </si>
  <si>
    <t>유형리스자산감가상각비(기타금융요약손익)</t>
  </si>
  <si>
    <t>무형자산상각비(기타금융요약손익)</t>
  </si>
  <si>
    <t>연구개발비(기타금융요약손익)</t>
  </si>
  <si>
    <t>기타판매비와관리비(기타금융요약손익)</t>
  </si>
  <si>
    <t>이자비용(요약손익)</t>
  </si>
  <si>
    <t>당기손익인식지정금융자산평가손실(요약손익)</t>
  </si>
  <si>
    <t>당기손익인식지정금융자산매매손실(요약손익)</t>
  </si>
  <si>
    <t>당기손익인식지정금융자산관련손실(요약손익)</t>
  </si>
  <si>
    <t>매매목적파생상품관련손실(요약손익)</t>
  </si>
  <si>
    <t>단기매매금융자산관련손실(요약손익)</t>
  </si>
  <si>
    <t>단기매매금융자산처분손실(요약손익)</t>
  </si>
  <si>
    <t>단기매매금융자산평가손실(요약손익)</t>
  </si>
  <si>
    <t>매도가능금융자산처분손실(요약손익)</t>
  </si>
  <si>
    <t>만기보유금융자산처분손실(요약손익)</t>
  </si>
  <si>
    <t>매도가능금융자산손상차손(요약손익)</t>
  </si>
  <si>
    <t>만기보유금융자산손상차손(요약손익)</t>
  </si>
  <si>
    <t>당기손익인식지정금융부채평가손실(요약손익)</t>
  </si>
  <si>
    <t>당기손익인식지정금융부채매매손실(요약손익)</t>
  </si>
  <si>
    <t>당기손익인식지정금융부채관련손실(요약손익)</t>
  </si>
  <si>
    <t>단기매매금융부채평가손실(요약손익)</t>
  </si>
  <si>
    <t>종속기업공동지배기업및관계기업지분법관련손실(요약손익)</t>
  </si>
  <si>
    <t>기타유가증권관련손실(요약손익)</t>
  </si>
  <si>
    <t>파생상품거래손실(요약손익)</t>
  </si>
  <si>
    <t>파생상품평가손실(요약손익)</t>
  </si>
  <si>
    <t>외환거래손실(요약손익)</t>
  </si>
  <si>
    <t>외환차손(요약손익)</t>
  </si>
  <si>
    <t>외화환산손실(요약손익)</t>
  </si>
  <si>
    <t>유동화비용(요약손익)</t>
  </si>
  <si>
    <t>기타금융비용(요약손익)</t>
  </si>
  <si>
    <t>지급수수료(기타금융요약손익)</t>
  </si>
  <si>
    <t>세금과공과(요약손익)</t>
  </si>
  <si>
    <t>대손상각비기타영업(요약손익)</t>
  </si>
  <si>
    <t>기타영업비기타(요약손익)</t>
  </si>
  <si>
    <t>유동화기업어음의발행(요약현금흐름)</t>
  </si>
  <si>
    <t>유동화부동산의매각(요약현금흐름)</t>
  </si>
  <si>
    <t>유동화기업어음이자의지급(요약현금흐름)</t>
  </si>
  <si>
    <t>중소기업투자손실(요약현금흐름)</t>
  </si>
  <si>
    <t>프로젝트투자손실(요약현금흐름)</t>
  </si>
  <si>
    <t>해외투자손실(요약현금흐름)</t>
  </si>
  <si>
    <t>조합출자금처분손실(요약현금흐름)</t>
  </si>
  <si>
    <t>중소기업투자이익(요약현금흐름)</t>
  </si>
  <si>
    <t>프로젝트투자이익(요약현금흐름)</t>
  </si>
  <si>
    <t>해외투자이익(요약현금흐름)</t>
  </si>
  <si>
    <t>조합출자금처분이익(요약현금흐름)</t>
  </si>
  <si>
    <t>단장기금융상품의감소(요약현금흐름)</t>
  </si>
  <si>
    <t>프로젝트투자의감소(요약현금흐름)</t>
  </si>
  <si>
    <t>중소기업투자의감소(요약현금흐름)</t>
  </si>
  <si>
    <t>조합출자금의감소(요약현금흐름)</t>
  </si>
  <si>
    <t>창업자대여금의감소(요약현금흐름)</t>
  </si>
  <si>
    <t>약정투자의감소(요약현금흐름)</t>
  </si>
  <si>
    <t>유동화자산의감소(요약현금흐름)</t>
  </si>
  <si>
    <t>출자금의감소(요약현금흐름)</t>
  </si>
  <si>
    <t>단장기금융상품의증가(요약현금흐름)</t>
  </si>
  <si>
    <t>프로젝트투자의증가(요약현금흐름)</t>
  </si>
  <si>
    <t>중소기업투자의증가(요약현금흐름)</t>
  </si>
  <si>
    <t>조합출자금의증가(요약현금흐름)</t>
  </si>
  <si>
    <t>창업자대여금의증가(요약현금흐름)</t>
  </si>
  <si>
    <t>약정투자의증가(요약현금흐름)</t>
  </si>
  <si>
    <t>유동화자산의증가(요약현금흐름)</t>
  </si>
  <si>
    <t>출자금의증가(요약현금흐름)</t>
  </si>
  <si>
    <t>유동성장기부채의증가(요약현금흐름)</t>
  </si>
  <si>
    <t>유동화부채의증가(요약현금흐름)</t>
  </si>
  <si>
    <t>유동성장기부채의감소(요약현금흐름)</t>
  </si>
  <si>
    <t>유동화부채의감소(요약현금흐름)</t>
  </si>
  <si>
    <t>창업투자자산(표준재무)</t>
  </si>
  <si>
    <t>투자실적자산(표준재무)</t>
  </si>
  <si>
    <t>투자주식(기타금융표준재무)</t>
  </si>
  <si>
    <t>투자사채(기타금융표준재무)</t>
  </si>
  <si>
    <t>당기손익공정가치측정금융자산투자실적자산(표준재무)</t>
  </si>
  <si>
    <t>당기손익인식지정금융자산투자실적자산(표준재무)</t>
  </si>
  <si>
    <t>매도가능금융자산투자실적자산(표준재무)</t>
  </si>
  <si>
    <t>관계기업투자등지분법적용투자주식투자실적자산(표준재무)</t>
  </si>
  <si>
    <t>프로젝트투자투자실적자산(표준재무)</t>
  </si>
  <si>
    <t>(대손충당금)프로젝트투자투자실적자산(표준재무)</t>
  </si>
  <si>
    <t>창업자대여금투자실적자산(표준재무)</t>
  </si>
  <si>
    <t>(대손충당금)창업자대여금투자실적자산(표준재무)</t>
  </si>
  <si>
    <t>약정투자투자실적자산(표준재무)</t>
  </si>
  <si>
    <t>(대손충당금)약정투자투자실적자산(표준재무)</t>
  </si>
  <si>
    <t>조합출자금투자실적자산(표준재무)</t>
  </si>
  <si>
    <t>기타투자실적자산(표준재무)</t>
  </si>
  <si>
    <t>경영지원자산(표준재무)</t>
  </si>
  <si>
    <t>약정투자(표준재무)</t>
  </si>
  <si>
    <t>(대손충당금)약정투자(표준재무)</t>
  </si>
  <si>
    <t>창업자대여금경영지원자산(표준재무)</t>
  </si>
  <si>
    <t>(대손충당금)창업자대여금경영지원자산(표준재무)</t>
  </si>
  <si>
    <t>해외투자(표준재무)</t>
  </si>
  <si>
    <t>중소기업투자(표준재무)</t>
  </si>
  <si>
    <t>기타경영지원자산(표준재무)</t>
  </si>
  <si>
    <t>기타창업투자자산(표준재무)</t>
  </si>
  <si>
    <t>관계기업투자등지분법적용투자주식신기술금융자산(표준재무)</t>
  </si>
  <si>
    <t>출자금신기술금융자산(표준재무)</t>
  </si>
  <si>
    <t>관계기업투자등지분법적용투자주식기업구조조정자산(표준재무)</t>
  </si>
  <si>
    <t>대출금기업구조조정자산(기타금융표준재무</t>
  </si>
  <si>
    <t>유동화자산(표준재무)</t>
  </si>
  <si>
    <t>대출채권(기타금융표준재무)</t>
  </si>
  <si>
    <t>(대손충당금)대출채권(기타금융표준재무)</t>
  </si>
  <si>
    <t>기타금융(표준재무)</t>
  </si>
  <si>
    <t>(대손충당금)기타금융(표준재무)</t>
  </si>
  <si>
    <t>비유동자산(기타금융표준재무)</t>
  </si>
  <si>
    <t>유형자산(기타금융표준재무)</t>
  </si>
  <si>
    <t>건물및부속설비(기타금융표준재무)</t>
  </si>
  <si>
    <t>(감가상각누계액)건물및부속설비(기타금융표준재무)</t>
  </si>
  <si>
    <t>차량운반구(기타금융표준재무)</t>
  </si>
  <si>
    <t>(감가상각누계액)차량운반구(기타금융표준재무)</t>
  </si>
  <si>
    <t>기구및비품(기타금융표준재무)</t>
  </si>
  <si>
    <t>(감가상각누계액)기구및비품(표준재무)</t>
  </si>
  <si>
    <t>(손상차손누계액)기구및비품(기타금융표준재무)</t>
  </si>
  <si>
    <t>기타유형자산(기타금융표준재무)</t>
  </si>
  <si>
    <t>(감가상각누계액)기타유형자산(기타금융표준재무)</t>
  </si>
  <si>
    <t>(손상차손누계액)기타유형자산(기타금융표준재무)</t>
  </si>
  <si>
    <t>영업권(기타금융표준재무)</t>
  </si>
  <si>
    <t>(손상차손누계액)영업권(기타금융표준재무)</t>
  </si>
  <si>
    <t>(정부보조금등)영업권(기타금융표준재무)</t>
  </si>
  <si>
    <t>무형자산(기타금융표준재무)</t>
  </si>
  <si>
    <t>개발비(기타금융표준재무)</t>
  </si>
  <si>
    <t>산업재산권(기타금융표준재무)</t>
  </si>
  <si>
    <t>컴퓨터소프트웨어(기타금융표준재무)</t>
  </si>
  <si>
    <t>회원권(기타금융표준재무)</t>
  </si>
  <si>
    <t>기타무형자산(기타금융표준재무)</t>
  </si>
  <si>
    <t>(감가상각누계액)투자부동산(기타금융표준재무)</t>
  </si>
  <si>
    <t>매도가능금융자산(기타금융표준재무)</t>
  </si>
  <si>
    <t>주식매도가능(기타금융표준재무)</t>
  </si>
  <si>
    <t>국공채매도가능(기타금융표준재무)</t>
  </si>
  <si>
    <t>회사채매도가능(기타금융표준재무)</t>
  </si>
  <si>
    <t>출자금매도가능(기타금융표준재무)</t>
  </si>
  <si>
    <t>수익증권매도가능(표준재무)</t>
  </si>
  <si>
    <t>기타매도가능(기타금융표준재무)</t>
  </si>
  <si>
    <t>기타포괄손익공정가치측정금융자산비유동(기타금융표준재무)</t>
  </si>
  <si>
    <t>만기보유금융자산(기타금융표준재무)</t>
  </si>
  <si>
    <t>국공채(기타금융표준재무)</t>
  </si>
  <si>
    <t>회사채(기타금융표준재무)</t>
  </si>
  <si>
    <t>기타만기보유(기타금융표준재무)</t>
  </si>
  <si>
    <t>상각후원가측정유가증권비유동(기타금융표준재무)</t>
  </si>
  <si>
    <t>관계기업등지분관련투자자산(기타금융표준재무)</t>
  </si>
  <si>
    <t>관계기업투자지분법적용투자(기타금융표준재무)</t>
  </si>
  <si>
    <t>종속기업투자(기타금융표준재무)</t>
  </si>
  <si>
    <t>조인트벤처투자공동기업투자(기타금융표준재무)</t>
  </si>
  <si>
    <t>기타관계기업등지분관련투자자산(기타금융표준재무)</t>
  </si>
  <si>
    <t>기타비유동금융자산(기타금융표준재무)</t>
  </si>
  <si>
    <t>장기당기손익인식금융자산(기타금융표준재무)</t>
  </si>
  <si>
    <t>당기손익공정가치측정금융자산기타비유동(표준재무)</t>
  </si>
  <si>
    <t>장기금융상품(표준재무)</t>
  </si>
  <si>
    <t>정기예금(기타금융표준재무)</t>
  </si>
  <si>
    <t>특정예금(표준재무)</t>
  </si>
  <si>
    <t>기타장기금융상품(표준재무)</t>
  </si>
  <si>
    <t>장기대여금(기타금융표준재무)</t>
  </si>
  <si>
    <t>(대손충당금)장기대여금(기타금융표준재무)</t>
  </si>
  <si>
    <t>파생상품자산기타비유동금융자산(표준재무)</t>
  </si>
  <si>
    <t>보증금등기타비유동금융자산(표준재무)</t>
  </si>
  <si>
    <t>상각후원가측정금융자산기타비유동금융자산(표준재무)</t>
  </si>
  <si>
    <t>기타비유동금융자산기타(기타금융표준재무)</t>
  </si>
  <si>
    <t>이연법인세자산(기타금융표준재무)</t>
  </si>
  <si>
    <t>장기당기법인세자산선급법인세(표준재무)</t>
  </si>
  <si>
    <t>기타비유동자산(기타금융표준재무)</t>
  </si>
  <si>
    <t>장기미수금(기타금융표준재무)</t>
  </si>
  <si>
    <t>보증금등기타비유동자산(표준재무)</t>
  </si>
  <si>
    <t>확정급여자산등(기타금융표준재무)</t>
  </si>
  <si>
    <t>기타비유동자산기타(기타금융표준재무)</t>
  </si>
  <si>
    <t>유동자산(기타금융표준재무)</t>
  </si>
  <si>
    <t>유동금융자산(기타금융표준재무)</t>
  </si>
  <si>
    <t>당기손익인식지정금융자산유동금융자산(표준재무)</t>
  </si>
  <si>
    <t>당기손익공정가치측정금융자산유동금융자산(표준재무)</t>
  </si>
  <si>
    <t>단기매매금융자산유동금융자산(표준재무)</t>
  </si>
  <si>
    <t>단기금융상품(표준재무)</t>
  </si>
  <si>
    <t>단기대여금(기타금융표준재무)</t>
  </si>
  <si>
    <t>(대손충당금)단기대여금(기타금융표준재무)</t>
  </si>
  <si>
    <t>단기매도가능금융자산(기타금융표준재무)</t>
  </si>
  <si>
    <t>단기만기보유금융자산(기타금융표준재무)</t>
  </si>
  <si>
    <t>파생상품자산유동금융자산(표준재무)</t>
  </si>
  <si>
    <t>상각후원가측정금융자산유동금융자산(표준재무)</t>
  </si>
  <si>
    <t>기타유동금융자산(기타금융표준재무)</t>
  </si>
  <si>
    <t>당기법인세자산선급법인세(기타금융표준재무)</t>
  </si>
  <si>
    <t>기타유동자산(기타금융표준재무)</t>
  </si>
  <si>
    <t>미수금(기타금융표준재무)</t>
  </si>
  <si>
    <t>(대손충당금)미수금(기타금융표준재무)</t>
  </si>
  <si>
    <t>미수수익(기타금융표준재무)</t>
  </si>
  <si>
    <t>(대손충당금)미수수익(기타금융표준재무)</t>
  </si>
  <si>
    <t>선급금(기타금융표준재무)</t>
  </si>
  <si>
    <t>선급비용(기타금융표준재무)</t>
  </si>
  <si>
    <t>매각및처분예정자산집단(기타금융표준재무)</t>
  </si>
  <si>
    <t>기타유동자산기타(기타금융표준재무)</t>
  </si>
  <si>
    <t>현금및현금성자산(기타금융표준재무)</t>
  </si>
  <si>
    <t>현금(기타금융표준재무)</t>
  </si>
  <si>
    <t>보통예금(기타금융표준재무)</t>
  </si>
  <si>
    <t>당좌예금(기타금융표준재무)</t>
  </si>
  <si>
    <t>외화예금(기타금융표준재무)</t>
  </si>
  <si>
    <t>기타예금요구불예금(기타금융표준재무)</t>
  </si>
  <si>
    <t>기타현금및현금성자산(기타금융표준재무)</t>
  </si>
  <si>
    <t>유동화부채(기타금융표준재무)</t>
  </si>
  <si>
    <t>기타유동화부채(표준재무)</t>
  </si>
  <si>
    <t>비유동부채(기타금융표준재무)</t>
  </si>
  <si>
    <t>사채비유동부채(표준재무)</t>
  </si>
  <si>
    <t>사채상환할증금사채비유동부채(표준재무)</t>
  </si>
  <si>
    <t>(사채조정계정)사채비유동부채(표준재무)</t>
  </si>
  <si>
    <t>(사채할인발행차금)사채비유동부채(표준재무)</t>
  </si>
  <si>
    <t>사채할증발행차금사채비유동부채(표준재무)</t>
  </si>
  <si>
    <t>장기차입금(기타금융표준재무)</t>
  </si>
  <si>
    <t>(현재가치할인차금)장기차입금(기타금융표준재무)</t>
  </si>
  <si>
    <t>장기당기손익인식지정금융부채(표준재무)</t>
  </si>
  <si>
    <t>비유동종업원급여충당부채(기타금융표준재무)</t>
  </si>
  <si>
    <t>확정급여부채(기타금융표준재무)</t>
  </si>
  <si>
    <t>(사외적립자산)확정급여부채(기타금융표준재무)</t>
  </si>
  <si>
    <t>기타장기종업원급여부채연차상여등(기타금융표준재무)</t>
  </si>
  <si>
    <t>기타비유동종업원급여충당부채(기타금융표준재무)</t>
  </si>
  <si>
    <t>기타충당부채(기타금융표준재무)</t>
  </si>
  <si>
    <t>손실부담계약충당부채(기타금융표준재무)</t>
  </si>
  <si>
    <t>법적소송충당부채(표준재무)</t>
  </si>
  <si>
    <t>기타충당부채기타(기타금융표준재무)</t>
  </si>
  <si>
    <t>장기당기법인세부채미지급법인세(기타금융표준재무)</t>
  </si>
  <si>
    <t>이연법인세부채(기타금융표준재무)</t>
  </si>
  <si>
    <t>파생상품부채비유동부채(표준재무)</t>
  </si>
  <si>
    <t>기타비유동부채(기타금융표준재무)</t>
  </si>
  <si>
    <t>유동부채(기타금융표준재무)</t>
  </si>
  <si>
    <t>당기손익인식지정금융부채(기타금융표준재무)</t>
  </si>
  <si>
    <t>단기매매금융부채(기타금융표준재무)</t>
  </si>
  <si>
    <t>단기차입금(기타금융표준재무)</t>
  </si>
  <si>
    <t>유동성장기부채(기타금융표준재무)</t>
  </si>
  <si>
    <t>(현재가치할인차금)유동성장기부채(기타금융표준재무)</t>
  </si>
  <si>
    <t>유동성사채(기타금융표준재무)</t>
  </si>
  <si>
    <t>사채상환할증금유동성사채(표준재무)</t>
  </si>
  <si>
    <t>(사채조정계정)유동성사채(표준재무)</t>
  </si>
  <si>
    <t>(사채할인발행차금)유동성사채(표준재무)</t>
  </si>
  <si>
    <t>사채할증발행차금유동성사채(표준재무)</t>
  </si>
  <si>
    <t>유동성장기차입금(기타금융표준재무)</t>
  </si>
  <si>
    <t>기타유동성장기부채(기타금융표준재무)</t>
  </si>
  <si>
    <t>파생상품부채유동부채(표준재무)</t>
  </si>
  <si>
    <t>당기법인세부채미지급법인세(기타금융표준재무)</t>
  </si>
  <si>
    <t>예수금(기타금융표준재무)</t>
  </si>
  <si>
    <t>선수금(기타금융표준재무)</t>
  </si>
  <si>
    <t>선수수익(기타금융표준재무)</t>
  </si>
  <si>
    <t>미지급금(기타금융표준재무)</t>
  </si>
  <si>
    <t>미지급비용(기타금융표준재무)</t>
  </si>
  <si>
    <t>미지급제세(기타금융표준재무)</t>
  </si>
  <si>
    <t>미지급배당금(기타금융표준재무)</t>
  </si>
  <si>
    <t>기타유동부채(기타금융표준재무)</t>
  </si>
  <si>
    <t>창업투자및기업구조조정수익(표준손익)</t>
  </si>
  <si>
    <t>투자수익(표준손익)</t>
  </si>
  <si>
    <t>투자유가증권장기투자증권이자수익(표준손익)</t>
  </si>
  <si>
    <t>창업자대여금이자수익(표준손익)</t>
  </si>
  <si>
    <t>투자주식처분이익(표준손익)</t>
  </si>
  <si>
    <t>투자유가증권장기투자증권처분이익(표준손익)</t>
  </si>
  <si>
    <t>약정투자수익(표준손익)</t>
  </si>
  <si>
    <t>투자주식배당금(표준손익)</t>
  </si>
  <si>
    <t>프로젝트투자수익(표준손익)</t>
  </si>
  <si>
    <t>중소기업투자수익(표준손익)</t>
  </si>
  <si>
    <t>지분법이익투자수익(표준손익)</t>
  </si>
  <si>
    <t>기타투자수익(표준손익)</t>
  </si>
  <si>
    <t>투자조합수익(표준손익)</t>
  </si>
  <si>
    <t>조합관리보수(표준손익)</t>
  </si>
  <si>
    <t>조합성과보수(표준손익)</t>
  </si>
  <si>
    <t>조합분배금(표준손익)</t>
  </si>
  <si>
    <t>지분법이익투자조합수익(표준손익)</t>
  </si>
  <si>
    <t>기타투자조합수익(표준손익)</t>
  </si>
  <si>
    <t>이자수익(기타금융표준손익)</t>
  </si>
  <si>
    <t>현금및예치금이자(기타금융표준손익)</t>
  </si>
  <si>
    <t>당기손익인식지정금융자산이자(기타금융표준손익)</t>
  </si>
  <si>
    <t>당기손익공정가치측정금융자산이자(기타금융표준손익)</t>
  </si>
  <si>
    <t>대출채권이자(기타금융표준손익)</t>
  </si>
  <si>
    <t>단기매매금융자산이자수익(표준손익)</t>
  </si>
  <si>
    <t>기타이자수익(기타금융표준손익)</t>
  </si>
  <si>
    <t>수수료수익(기타금융표준손익)</t>
  </si>
  <si>
    <t>수입수수료(기타금융표준손익)</t>
  </si>
  <si>
    <t>경영자문수수료(표준손익)</t>
  </si>
  <si>
    <t>기타수수료수익(기타금융표준손익)</t>
  </si>
  <si>
    <t>금융상품관련이익(기타금융표준손익)</t>
  </si>
  <si>
    <t>당기손익인식지정금융자산평가이익(기타금융표준손익)</t>
  </si>
  <si>
    <t>당기손익인식지정금융자산매매이익(기타금융표준손익)</t>
  </si>
  <si>
    <t>당기손익인식지정금융자산관련이익(기타금융표준손익)</t>
  </si>
  <si>
    <t>당기손익공정가치측정금융자산평가이익(기타금융표준손익)</t>
  </si>
  <si>
    <t>당기손익공정가치측정금융자산처분이익(기타금융표준손익)</t>
  </si>
  <si>
    <t>당기손익공정가치측정금융자산관련이익(기타금융표준손익)</t>
  </si>
  <si>
    <t>매매목적파생상품관련이익(기타금융표준손익)</t>
  </si>
  <si>
    <t>파생상품거래이익매매목적(기타금융표준손익)</t>
  </si>
  <si>
    <t>파생상품평가이익매매목적(기타금융표준손익)</t>
  </si>
  <si>
    <t>단기매매금융자산관련이익(기타금융표준손익)</t>
  </si>
  <si>
    <t>단기매매금융자산평가이익(기타금융표준손익)</t>
  </si>
  <si>
    <t>단기매매금융자산처분이익(기타금융표준손익)</t>
  </si>
  <si>
    <t>단기매매금융자산상환이익(기타금융표준손익)</t>
  </si>
  <si>
    <t>매도가능금융자산처분이익(기타금융표준손익)</t>
  </si>
  <si>
    <t>매도가능금융자산상환이익(기타금융표준손익)</t>
  </si>
  <si>
    <t>만기보유금융자산처분이익(기타금융표준손익)</t>
  </si>
  <si>
    <t>매도가능금융자산손상차손환입(기타금융표준손익)</t>
  </si>
  <si>
    <t>기타포괄손익공정가치측정금융자산처분이익(기타금융표준손익)</t>
  </si>
  <si>
    <t>기타포괄손익공정가치측정금융자산손상차손환입(기타금융표준손익)</t>
  </si>
  <si>
    <t>상각후원가측정금융자산처분이익(기타금융표준손익)</t>
  </si>
  <si>
    <t>상각후원가측정금융자산손상차손환입(기타금융표준손익)</t>
  </si>
  <si>
    <t>당기손익인식지정금융부채평가이익(기타금융표준손익)</t>
  </si>
  <si>
    <t>당기손익인식지정금융부채매매이익(기타금융표준손익)</t>
  </si>
  <si>
    <t>종속기업공동지배기업및관계기업지분법관련이익(기타금융표준손익)</t>
  </si>
  <si>
    <t>기타유가증권관련이익(기타금융표준손익)</t>
  </si>
  <si>
    <t>배당금수익(기타금융표준손익)</t>
  </si>
  <si>
    <t>파생상품거래이익위험회피(기타금융표준손익)</t>
  </si>
  <si>
    <t>파생상품평가이익위험회피(기타금융표준손익)</t>
  </si>
  <si>
    <t>기타파생상품이익위험회피(기타금융표준손익)</t>
  </si>
  <si>
    <t>외환거래이익(기타금융표준손익)</t>
  </si>
  <si>
    <t>외환차익(기타금융표준손익)</t>
  </si>
  <si>
    <t>외화환산이익(기타금융표준손익)</t>
  </si>
  <si>
    <t>기타외환거래이익(기타금융표준손익)</t>
  </si>
  <si>
    <t>기타금융자산관련이익(기타금융표준손익)</t>
  </si>
  <si>
    <t>유동화수익(기타금융표준손익)</t>
  </si>
  <si>
    <t>유동화이자수익(표준손익)</t>
  </si>
  <si>
    <t>유동화유가증권평가이익(표준손익)</t>
  </si>
  <si>
    <t>유동화자산운용수익(표준손익)</t>
  </si>
  <si>
    <t>유동화채권회수이익(표준손익)</t>
  </si>
  <si>
    <t>대손충당금환입액(기타금융표준손익)</t>
  </si>
  <si>
    <t>기타유동화수익(표준손익)</t>
  </si>
  <si>
    <t>기타금융수익(기타금융표준손익)</t>
  </si>
  <si>
    <t>기타영업수익(기타금융표준손익)</t>
  </si>
  <si>
    <t>투자및금융비용(표준손익)</t>
  </si>
  <si>
    <t>중소기업투자손실(표준손익)</t>
  </si>
  <si>
    <t>프로젝트투자손실(표준손익)</t>
  </si>
  <si>
    <t>해외투자손실(표준손익)</t>
  </si>
  <si>
    <t>투자조합손실(표준손익)</t>
  </si>
  <si>
    <t>지분법손실(표준손익)</t>
  </si>
  <si>
    <t>기타투자및금융비용(표준손익)</t>
  </si>
  <si>
    <t>판매비와관리비(기타금융표준손익)</t>
  </si>
  <si>
    <t>급여(기타금융표준손익)</t>
  </si>
  <si>
    <t>퇴직급여(기타금융표준손익)</t>
  </si>
  <si>
    <t>명예퇴직금(기타금융표준손익)</t>
  </si>
  <si>
    <t>복리후생비(기타금융표준손익)</t>
  </si>
  <si>
    <t>주식보상비(기타금융표준손익)</t>
  </si>
  <si>
    <t>교육훈련비연수비(기타금융표준손익)</t>
  </si>
  <si>
    <t>여비교통비(기타금융표준손익)</t>
  </si>
  <si>
    <t>통신비(기타금융표준손익)</t>
  </si>
  <si>
    <t>소모품비(기타금융표준손익)</t>
  </si>
  <si>
    <t>수도광열비전력유류비등(기타금융표준손익)</t>
  </si>
  <si>
    <t>세금과공과판관비(기타금융표준손익)</t>
  </si>
  <si>
    <t>협회비등(기타금융표준손익)</t>
  </si>
  <si>
    <t>임차료(기타금융표준손익)</t>
  </si>
  <si>
    <t>전산비(기타금융표준손익)</t>
  </si>
  <si>
    <t>도서비구입및인쇄(기타금융표준손익)</t>
  </si>
  <si>
    <t>수선비(기타금융표준손익)</t>
  </si>
  <si>
    <t>차량비(기타금융표준손익)</t>
  </si>
  <si>
    <t>보험료(기타금융표준손익)</t>
  </si>
  <si>
    <t>지급수수료판관비(기타금융표준손익)</t>
  </si>
  <si>
    <t>용역비(기타금융표준손익)</t>
  </si>
  <si>
    <t>광고선전비(기타금융표준손익)</t>
  </si>
  <si>
    <t>대손상각비판관비(기타금융표준손익)</t>
  </si>
  <si>
    <t>유형리스자산감가상각비(기타금융표준손익)</t>
  </si>
  <si>
    <t>무형자산상각비(기타금융표준손익)</t>
  </si>
  <si>
    <t>접대비업무추진비(기타금융표준손익)</t>
  </si>
  <si>
    <t>연구개발비(기타금융표준손익)</t>
  </si>
  <si>
    <t>기타판매비와관리바(표준손익)</t>
  </si>
  <si>
    <t>이자비용(기타금융표준손익)</t>
  </si>
  <si>
    <t>당기손익인식지정금융자산평가손실(기타금융표준손익)</t>
  </si>
  <si>
    <t>당기손익인식지정금융자산매매손실(기타금융표준손익)</t>
  </si>
  <si>
    <t>당기손익인식지정금융자산관련손실(기타금융표준손익)</t>
  </si>
  <si>
    <t>당기손익공정가치측정금융자산평가손실(기타금융표준손익)</t>
  </si>
  <si>
    <t>당기손익공정가치측정금융자산처분손실(기타금융표준손익)</t>
  </si>
  <si>
    <t>당기손익공정가치측정금융자산관련손실(기타금융표준손익)</t>
  </si>
  <si>
    <t>매매목적파생상품관련손실(기타금융표준손익)</t>
  </si>
  <si>
    <t>파생상품거래손실매매목적(기타금융표준손익)</t>
  </si>
  <si>
    <t>파생상품평가손실매매목적(기타금융표준손익)</t>
  </si>
  <si>
    <t>기타파생상품손실매매목적(기타금융표준손익)</t>
  </si>
  <si>
    <t>단기매매금융자산관련손실(기타금융표준손익)</t>
  </si>
  <si>
    <t>단기매매금융자산처분손실(기타금융표준손익)</t>
  </si>
  <si>
    <t>단기매매금융자산평가손실(기타금융표준손익)</t>
  </si>
  <si>
    <t>매도가능금융자산처분손실(기타금융표준손익)</t>
  </si>
  <si>
    <t>만기보유금융자산처분손실(기타금융표준손익)</t>
  </si>
  <si>
    <t>매도가능금융자산손상차손(기타금융표준손익)</t>
  </si>
  <si>
    <t>만기보유금융자산손상차손(기타금융표준손익)</t>
  </si>
  <si>
    <t>기타포괄손익공정가치측정금융자산처분손실(기타금융표준손익)</t>
  </si>
  <si>
    <t>기타포괄손익공정가치측정금융자산손상차손(기타금융표준손익)</t>
  </si>
  <si>
    <t>상각후원가측정금융자산처분손실(기타금융표준손익)</t>
  </si>
  <si>
    <t>상각후원가측정금융자산손상차손(기타금융표준손익)</t>
  </si>
  <si>
    <t>당기손익인식지정금융부채평가손실(기타금융표준손익)</t>
  </si>
  <si>
    <t>당기손익인식지정금융부채매매손실(기타금융표준손익)</t>
  </si>
  <si>
    <t>당기손익인식지정금융부채관련손실(기타금융표준손익)</t>
  </si>
  <si>
    <t>당기손익공정가치측정금융부채평가손실(기타금융표준손익)</t>
  </si>
  <si>
    <t>단기매매금융부채평가손실(기타금융표준손익)</t>
  </si>
  <si>
    <t>종속기업공동지배기업및관계기업지분법관련손실(기타금융표준손익)</t>
  </si>
  <si>
    <t>기타유가증권관련손실(기타금융표준손익)</t>
  </si>
  <si>
    <t>파생상품거래손실위험회피(기타금융표준손익)</t>
  </si>
  <si>
    <t>파생상품평가손실위험회피(기타금융표준손익)</t>
  </si>
  <si>
    <t>외환거래손실(기타금융표준손익)</t>
  </si>
  <si>
    <t>외환차손(기타금융표준손익)</t>
  </si>
  <si>
    <t>외화환산손실(기타금융표준손익)</t>
  </si>
  <si>
    <t>유동화비용(기타금융표준손익)</t>
  </si>
  <si>
    <t>유동화이자비용(표준손익)</t>
  </si>
  <si>
    <t>유동화유가증권평가손실(표준손익)</t>
  </si>
  <si>
    <t>대손상각비유동화비용(표준손익)</t>
  </si>
  <si>
    <t>감가상각비(기타금융표준손익)</t>
  </si>
  <si>
    <t>기타금융비용(기타금융표준손익)</t>
  </si>
  <si>
    <t>지급수수료기타영업비용(표준손익)</t>
  </si>
  <si>
    <t>대손상각비기타영업비용(표준손익)</t>
  </si>
  <si>
    <t>기타영업비용기타(기타금융표준손익)</t>
  </si>
  <si>
    <t>유동화기업어음의발행(표준현금흐름)</t>
  </si>
  <si>
    <t>유동화부동산의매각(표준현금흐름)</t>
  </si>
  <si>
    <t>유동화기업어음이자의지급(표준현금흐름)</t>
  </si>
  <si>
    <t>중소기업투자손실(표준현금흐름)</t>
  </si>
  <si>
    <t>프로젝트투자손실(표준현금흐름)</t>
  </si>
  <si>
    <t>해외투자손실(표준현금흐름)</t>
  </si>
  <si>
    <t>조합출자금처분손실(표준현금흐름)</t>
  </si>
  <si>
    <t>중소기업투자이익(표준현금흐름)</t>
  </si>
  <si>
    <t>프로젝트투자이익(표준현금흐름)</t>
  </si>
  <si>
    <t>해외투자이익(표준현금흐름)</t>
  </si>
  <si>
    <t>조합출자금처분이익(표준현금흐름)</t>
  </si>
  <si>
    <t>창업투자자산의감소증가(표준현금흐름)</t>
  </si>
  <si>
    <t>구조조정대상자산의감소증가(표준현금흐름)</t>
  </si>
  <si>
    <t>기타유동화자산의감소증가(표준현금흐름)</t>
  </si>
  <si>
    <t>기타유동화부채의증가감소(표준현금흐름)</t>
  </si>
  <si>
    <t>예수금의증가감소(기타금융표준현금흐름)</t>
  </si>
  <si>
    <t>단장기금융상품의감소(표준현금흐름)</t>
  </si>
  <si>
    <t>프로젝트투자의감소(표준현금흐름)</t>
  </si>
  <si>
    <t>중소기업투자의감소(표준현금흐름)</t>
  </si>
  <si>
    <t>조합출자금의감소(표준현금흐름)</t>
  </si>
  <si>
    <t>창업자대여금의감소(표준현금흐름)</t>
  </si>
  <si>
    <t>약정투자의감소(표준현금흐름)</t>
  </si>
  <si>
    <t>유동화자산의감소(표준현금흐름)</t>
  </si>
  <si>
    <t>출자금의감소(표준현금흐름)</t>
  </si>
  <si>
    <t>단장기금융상품의증가(표준현금흐름)</t>
  </si>
  <si>
    <t>프로젝트투자의증가(표준현금흐름)</t>
  </si>
  <si>
    <t>중소기업투자의증가(표준현금흐름)</t>
  </si>
  <si>
    <t>조합출자금의증가(표준현금흐름)</t>
  </si>
  <si>
    <t>창업자대여금의증가(표준현금흐름)</t>
  </si>
  <si>
    <t>약정투자의증가(표준현금흐름)</t>
  </si>
  <si>
    <t>유동화자산의증가(표준현금흐름)</t>
  </si>
  <si>
    <t>출자금의증가(표준현금흐름)</t>
  </si>
  <si>
    <t>유동성장기부채의증가(표준현금흐름)</t>
  </si>
  <si>
    <t>유동화부채의증가(표준현금흐름)</t>
  </si>
  <si>
    <t>유동성장기부채의감소(표준현금흐름)</t>
  </si>
  <si>
    <t>유동화부채의감소(표준현금흐름)</t>
  </si>
  <si>
    <t>요약_재무상태표</t>
    <phoneticPr fontId="1" type="noConversion"/>
  </si>
  <si>
    <t>요약_포괄손익계산서</t>
    <phoneticPr fontId="1" type="noConversion"/>
  </si>
  <si>
    <t>요약_자본변동표</t>
    <phoneticPr fontId="1" type="noConversion"/>
  </si>
  <si>
    <t>요약_현금흐름표</t>
    <phoneticPr fontId="1" type="noConversion"/>
  </si>
  <si>
    <t>*외감기업의 경우 종목명이 표시되지 않을 수 있습니다.</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</si>
</sst>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 #,##0_-;_-* &quot;-&quot;_-;_-@_-"/>
    <numFmt numFmtId="176" formatCode="#,##0_ ;[Red]\-#,##0\ "/>
  </numFmts>
  <fonts count="11"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b/>
      <sz val="11"/>
      <color theme="1"/>
      <name val="맑은 고딕"/>
      <family val="3"/>
      <charset val="129"/>
      <scheme val="minor"/>
    </font>
    <font>
      <sz val="9"/>
      <color rgb="FF000000"/>
      <name val="굴림"/>
      <family val="3"/>
      <charset val="129"/>
    </font>
    <font>
      <b/>
      <sz val="16"/>
      <color theme="1"/>
      <name val="맑은 고딕"/>
      <family val="3"/>
      <charset val="129"/>
      <scheme val="minor"/>
    </font>
    <font>
      <sz val="11"/>
      <color theme="0"/>
      <name val="맑은 고딕"/>
      <family val="2"/>
      <charset val="129"/>
      <scheme val="minor"/>
    </font>
    <font>
      <b/>
      <sz val="11"/>
      <color rgb="FFFF0000"/>
      <name val="맑은 고딕"/>
      <family val="3"/>
      <charset val="129"/>
      <scheme val="minor"/>
    </font>
    <font>
      <b/>
      <sz val="11"/>
      <color rgb="FFFF0000"/>
      <name val="맑은 고딕"/>
      <family val="3"/>
      <charset val="129"/>
    </font>
    <font>
      <b/>
      <sz val="9"/>
      <color theme="1"/>
      <name val="맑은 고딕"/>
      <family val="3"/>
      <charset val="129"/>
      <scheme val="minor"/>
    </font>
    <font>
      <sz val="11"/>
      <color rgb="FF000000"/>
      <name val="맑은 고딕"/>
      <family val="3"/>
      <charset val="129"/>
    </font>
  </fonts>
  <fills count="4">
    <fill>
      <patternFill patternType="none"/>
    </fill>
    <fill>
      <patternFill patternType="gray125"/>
    </fill>
    <fill>
      <patternFill patternType="solid">
        <fgColor theme="8" tint="0.59999389629810485"/>
        <bgColor indexed="64"/>
      </patternFill>
    </fill>
    <fill>
      <patternFill patternType="solid">
        <fgColor theme="6" tint="0.7999816888943144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theme="1"/>
      </right>
      <top style="medium">
        <color indexed="64"/>
      </top>
      <bottom style="thin">
        <color theme="0" tint="-0.14993743705557422"/>
      </bottom>
      <diagonal/>
    </border>
    <border>
      <left style="thin">
        <color theme="1"/>
      </left>
      <right style="thin">
        <color theme="1"/>
      </right>
      <top style="medium">
        <color indexed="64"/>
      </top>
      <bottom style="thin">
        <color theme="0" tint="-0.14993743705557422"/>
      </bottom>
      <diagonal/>
    </border>
    <border>
      <left style="thin">
        <color theme="1"/>
      </left>
      <right style="medium">
        <color indexed="64"/>
      </right>
      <top style="medium">
        <color indexed="64"/>
      </top>
      <bottom style="thin">
        <color theme="0" tint="-0.14993743705557422"/>
      </bottom>
      <diagonal/>
    </border>
    <border>
      <left style="medium">
        <color indexed="64"/>
      </left>
      <right style="thin">
        <color theme="1"/>
      </right>
      <top style="thin">
        <color theme="0" tint="-0.14993743705557422"/>
      </top>
      <bottom style="thin">
        <color theme="0" tint="-0.14993743705557422"/>
      </bottom>
      <diagonal/>
    </border>
    <border>
      <left style="thin">
        <color theme="1"/>
      </left>
      <right style="thin">
        <color theme="1"/>
      </right>
      <top style="thin">
        <color theme="0" tint="-0.14993743705557422"/>
      </top>
      <bottom style="thin">
        <color theme="0" tint="-0.14993743705557422"/>
      </bottom>
      <diagonal/>
    </border>
    <border>
      <left style="thin">
        <color theme="1"/>
      </left>
      <right style="medium">
        <color indexed="64"/>
      </right>
      <top style="thin">
        <color theme="0" tint="-0.14993743705557422"/>
      </top>
      <bottom style="thin">
        <color theme="0" tint="-0.14993743705557422"/>
      </bottom>
      <diagonal/>
    </border>
    <border>
      <left style="medium">
        <color indexed="64"/>
      </left>
      <right style="thin">
        <color theme="1"/>
      </right>
      <top style="thin">
        <color theme="0" tint="-0.14993743705557422"/>
      </top>
      <bottom style="medium">
        <color indexed="64"/>
      </bottom>
      <diagonal/>
    </border>
    <border>
      <left style="thin">
        <color theme="1"/>
      </left>
      <right style="thin">
        <color theme="1"/>
      </right>
      <top style="thin">
        <color theme="0" tint="-0.14993743705557422"/>
      </top>
      <bottom style="medium">
        <color indexed="64"/>
      </bottom>
      <diagonal/>
    </border>
    <border>
      <left style="thin">
        <color theme="1"/>
      </left>
      <right style="medium">
        <color indexed="64"/>
      </right>
      <top style="thin">
        <color theme="0" tint="-0.14993743705557422"/>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theme="1"/>
      </right>
      <top/>
      <bottom style="thin">
        <color theme="0" tint="-0.14993743705557422"/>
      </bottom>
      <diagonal/>
    </border>
    <border>
      <left style="thin">
        <color theme="1"/>
      </left>
      <right style="thin">
        <color theme="1"/>
      </right>
      <top/>
      <bottom style="thin">
        <color theme="0" tint="-0.14993743705557422"/>
      </bottom>
      <diagonal/>
    </border>
    <border>
      <left/>
      <right style="thin">
        <color theme="1"/>
      </right>
      <top style="thin">
        <color theme="0" tint="-0.14993743705557422"/>
      </top>
      <bottom style="thin">
        <color theme="0" tint="-0.14993743705557422"/>
      </bottom>
      <diagonal/>
    </border>
    <border>
      <left style="thin">
        <color theme="1"/>
      </left>
      <right/>
      <top/>
      <bottom style="thin">
        <color theme="0" tint="-0.14993743705557422"/>
      </bottom>
      <diagonal/>
    </border>
    <border>
      <left style="thin">
        <color theme="1"/>
      </left>
      <right/>
      <top style="thin">
        <color theme="0" tint="-0.14993743705557422"/>
      </top>
      <bottom style="thin">
        <color theme="0" tint="-0.14993743705557422"/>
      </bottom>
      <diagonal/>
    </border>
  </borders>
  <cellStyleXfs count="2">
    <xf numFmtId="0" fontId="0" fillId="0" borderId="0">
      <alignment vertical="center"/>
    </xf>
    <xf numFmtId="41" fontId="2" fillId="0" borderId="0" applyFont="0" applyFill="0" applyBorder="0" applyAlignment="0" applyProtection="0">
      <alignment vertical="center"/>
    </xf>
  </cellStyleXfs>
  <cellXfs count="34">
    <xf numFmtId="0" fontId="0" fillId="0" borderId="0" xfId="0">
      <alignment vertical="center"/>
    </xf>
    <xf numFmtId="49" fontId="0" fillId="0" borderId="0" xfId="0" applyNumberFormat="1">
      <alignment vertical="center"/>
    </xf>
    <xf numFmtId="41" fontId="0" fillId="0" borderId="0" xfId="1" applyFont="1">
      <alignment vertical="center"/>
    </xf>
    <xf numFmtId="41" fontId="0" fillId="0" borderId="1" xfId="1" applyFont="1" applyBorder="1">
      <alignment vertical="center"/>
    </xf>
    <xf numFmtId="176" fontId="0" fillId="0" borderId="0" xfId="1" applyNumberFormat="1" applyFont="1">
      <alignment vertical="center"/>
    </xf>
    <xf numFmtId="176" fontId="0" fillId="0" borderId="0" xfId="0" applyNumberFormat="1">
      <alignment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49" fontId="0" fillId="3" borderId="4" xfId="0" applyNumberFormat="1" applyFill="1" applyBorder="1" applyAlignment="1">
      <alignment horizontal="center" vertical="center"/>
    </xf>
    <xf numFmtId="49" fontId="0" fillId="3" borderId="5" xfId="0" applyNumberFormat="1" applyFill="1" applyBorder="1" applyAlignment="1">
      <alignment horizontal="center" vertical="center"/>
    </xf>
    <xf numFmtId="0" fontId="6" fillId="0" borderId="0" xfId="0" applyFont="1" applyAlignment="1">
      <alignment horizontal="center" vertical="center"/>
    </xf>
    <xf numFmtId="0" fontId="7" fillId="0" borderId="0" xfId="0" applyFont="1" applyAlignment="1">
      <alignment horizontal="center" vertical="center"/>
    </xf>
    <xf numFmtId="176" fontId="0" fillId="0" borderId="8" xfId="0" applyNumberFormat="1" applyBorder="1">
      <alignment vertical="center"/>
    </xf>
    <xf numFmtId="176" fontId="0" fillId="0" borderId="9" xfId="0" applyNumberFormat="1" applyBorder="1">
      <alignment vertical="center"/>
    </xf>
    <xf numFmtId="176" fontId="0" fillId="0" borderId="10" xfId="0" applyNumberFormat="1" applyBorder="1">
      <alignment vertical="center"/>
    </xf>
    <xf numFmtId="176" fontId="0" fillId="0" borderId="11" xfId="0" applyNumberFormat="1" applyBorder="1">
      <alignment vertical="center"/>
    </xf>
    <xf numFmtId="176" fontId="0" fillId="0" borderId="12" xfId="0" applyNumberFormat="1" applyBorder="1">
      <alignment vertical="center"/>
    </xf>
    <xf numFmtId="176" fontId="0" fillId="0" borderId="13" xfId="0" applyNumberFormat="1" applyBorder="1">
      <alignment vertical="center"/>
    </xf>
    <xf numFmtId="176" fontId="0" fillId="0" borderId="14" xfId="0" applyNumberFormat="1" applyBorder="1">
      <alignment vertical="center"/>
    </xf>
    <xf numFmtId="176" fontId="0" fillId="0" borderId="15" xfId="0" applyNumberFormat="1" applyBorder="1">
      <alignment vertical="center"/>
    </xf>
    <xf numFmtId="176" fontId="0" fillId="0" borderId="16" xfId="0" applyNumberFormat="1" applyBorder="1">
      <alignment vertical="center"/>
    </xf>
    <xf numFmtId="49" fontId="0" fillId="3" borderId="17" xfId="0" applyNumberFormat="1" applyFill="1" applyBorder="1" applyAlignment="1">
      <alignment horizontal="center" vertical="center"/>
    </xf>
    <xf numFmtId="0" fontId="3" fillId="0" borderId="6" xfId="0" applyFont="1" applyBorder="1" applyAlignment="1">
      <alignment horizontal="center" vertical="center"/>
    </xf>
    <xf numFmtId="49" fontId="0" fillId="3" borderId="7" xfId="0" applyNumberFormat="1" applyFill="1" applyBorder="1" applyAlignment="1">
      <alignment horizontal="center" vertical="center"/>
    </xf>
    <xf numFmtId="0" fontId="3" fillId="0" borderId="18" xfId="0" applyFont="1" applyBorder="1" applyAlignment="1">
      <alignment horizontal="center"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12" xfId="0" applyBorder="1">
      <alignment vertical="center"/>
    </xf>
    <xf numFmtId="0" fontId="0" fillId="0" borderId="22" xfId="0" applyBorder="1">
      <alignment vertical="center"/>
    </xf>
    <xf numFmtId="0" fontId="0" fillId="0" borderId="23" xfId="0" applyBorder="1">
      <alignment vertical="center"/>
    </xf>
    <xf numFmtId="22" fontId="0" fillId="0" borderId="0" xfId="0" applyNumberFormat="1">
      <alignment vertical="center"/>
    </xf>
    <xf numFmtId="0" fontId="9" fillId="0" borderId="0" xfId="0" applyFont="1">
      <alignment vertical="center"/>
    </xf>
    <xf numFmtId="0" fontId="5" fillId="2" borderId="0" xfId="0" applyFont="1" applyFill="1" applyAlignment="1">
      <alignment horizontal="left" vertical="center"/>
    </xf>
  </cellXfs>
  <cellStyles count="2">
    <cellStyle name="쉼표 [0]" xfId="1" builtinId="6"/>
    <cellStyle name="표준" xfId="0" builtinId="0"/>
  </cellStyles>
  <dxfs count="6">
    <dxf>
      <border>
        <left style="thin">
          <color auto="1"/>
        </left>
        <top style="thin">
          <color auto="1"/>
        </top>
        <bottom style="thin">
          <color auto="1"/>
        </bottom>
        <vertical/>
        <horizontal/>
      </border>
    </dxf>
    <dxf>
      <border>
        <left style="hair">
          <color auto="1"/>
        </left>
        <top style="thin">
          <color auto="1"/>
        </top>
        <bottom style="thin">
          <color auto="1"/>
        </bottom>
        <vertical/>
        <horizontal/>
      </border>
    </dxf>
    <dxf>
      <border>
        <left style="dashed">
          <color auto="1"/>
        </left>
        <top style="thin">
          <color auto="1"/>
        </top>
        <bottom style="thin">
          <color auto="1"/>
        </bottom>
        <vertical/>
        <horizontal/>
      </border>
    </dxf>
    <dxf>
      <border>
        <left style="thin">
          <color auto="1"/>
        </left>
        <top style="thin">
          <color auto="1"/>
        </top>
        <bottom style="thin">
          <color auto="1"/>
        </bottom>
        <vertical/>
        <horizontal/>
      </border>
    </dxf>
    <dxf>
      <border>
        <left style="thin">
          <color auto="1"/>
        </left>
        <top style="thin">
          <color auto="1"/>
        </top>
        <bottom style="thin">
          <color auto="1"/>
        </bottom>
        <vertical/>
        <horizontal/>
      </border>
    </dxf>
    <dxf>
      <border>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infomax.xlrtd">
      <tp>
        <v>1371452926</v>
        <stp/>
        <stp>P</stp>
        <stp>0</stp>
        <stp>STK</stp>
        <stp>068270</stp>
        <stp>무형자산(비금융요약재무)</stp>
        <stp>20230630</stp>
        <stp>Per=일,Real=false,Cons=개별,Comp=누적</stp>
        <tr r="K11" s="1"/>
      </tp>
      <tp>
        <v>286944954</v>
        <stp/>
        <stp>P</stp>
        <stp>0</stp>
        <stp>STK</stp>
        <stp>068270</stp>
        <stp>비유동부채(요약재무)</stp>
        <stp>20230630</stp>
        <stp>Per=일,Real=false,Cons=개별,Comp=누적</stp>
        <tr r="K46" s="1"/>
      </tp>
      <tp>
        <v>3861716000</v>
        <stp/>
        <stp>P</stp>
        <stp>0</stp>
        <stp>STK</stp>
        <stp>005380</stp>
        <stp>무형자산(비금융요약재무)</stp>
        <stp>20230630</stp>
        <stp>Per=일,Real=false,Cons=개별,Comp=누적</stp>
        <tr r="J11" s="1"/>
      </tp>
      <tp>
        <v>24096799000</v>
        <stp/>
        <stp>P</stp>
        <stp>0</stp>
        <stp>STK</stp>
        <stp>005380</stp>
        <stp>유동자산(요약재무)</stp>
        <stp>20230630</stp>
        <stp>Per=일,Real=false,Cons=개별,Comp=누적</stp>
        <tr r="J23" s="1"/>
      </tp>
      <tp>
        <v>2826255827</v>
        <stp/>
        <stp>P</stp>
        <stp>0</stp>
        <stp>STK</stp>
        <stp>035420</stp>
        <stp>비유동부채(요약재무)</stp>
        <stp>20230630</stp>
        <stp>Per=일,Real=false,Cons=개별,Comp=누적</stp>
        <tr r="L46" s="1"/>
      </tp>
      <tp>
        <v>105373000</v>
        <stp/>
        <stp>P</stp>
        <stp>0</stp>
        <stp>STK</stp>
        <stp>005380</stp>
        <stp>리스부채(요약재무)</stp>
        <stp>20230630</stp>
        <stp>Per=일,Real=false,Cons=개별,Comp=누적</stp>
        <tr r="J53" s="1"/>
      </tp>
      <tp>
        <v>3165599000</v>
        <stp/>
        <stp>P</stp>
        <stp>0</stp>
        <stp>STK</stp>
        <stp>000660</stp>
        <stp>무형자산(비금융요약재무)</stp>
        <stp>20230630</stp>
        <stp>Per=일,Real=false,Cons=개별,Comp=누적</stp>
        <tr r="I11" s="1"/>
      </tp>
      <tp>
        <v>74382372</v>
        <stp/>
        <stp>P</stp>
        <stp>0</stp>
        <stp>STK</stp>
        <stp>035420</stp>
        <stp>무형자산(비금융요약재무)</stp>
        <stp>20230630</stp>
        <stp>Per=일,Real=false,Cons=개별,Comp=누적</stp>
        <tr r="L11" s="1"/>
      </tp>
      <tp t="s">
        <v/>
        <stp/>
        <stp>P</stp>
        <stp>0</stp>
        <stp>STK</stp>
        <stp>005930</stp>
        <stp>비유동생물자산(요약재무)</stp>
        <stp>20230630</stp>
        <stp>Per=일,Real=false,Cons=개별,Comp=누적</stp>
        <tr r="H12" s="1"/>
      </tp>
      <tp>
        <v>21890303000</v>
        <stp/>
        <stp>P</stp>
        <stp>0</stp>
        <stp>STK</stp>
        <stp>000660</stp>
        <stp>비유동부채(요약재무)</stp>
        <stp>20230630</stp>
        <stp>Per=일,Real=false,Cons=개별,Comp=누적</stp>
        <tr r="I46" s="1"/>
      </tp>
      <tp>
        <v>5809261000</v>
        <stp/>
        <stp>P</stp>
        <stp>0</stp>
        <stp>STK</stp>
        <stp>005380</stp>
        <stp>비유동부채(요약재무)</stp>
        <stp>20230630</stp>
        <stp>Per=일,Real=false,Cons=개별,Comp=누적</stp>
        <tr r="J46" s="1"/>
      </tp>
      <tp>
        <v>29536245000</v>
        <stp/>
        <stp>P</stp>
        <stp>0</stp>
        <stp>STK</stp>
        <stp>005930</stp>
        <stp>비유동부채(요약재무)</stp>
        <stp>20230630</stp>
        <stp>Per=일,Real=false,Cons=개별,Comp=누적</stp>
        <tr r="H46" s="1"/>
      </tp>
      <tp t="s">
        <v/>
        <stp/>
        <stp>P</stp>
        <stp>0</stp>
        <stp>STK</stp>
        <stp>000660</stp>
        <stp>비유동생물자산(요약재무)</stp>
        <stp>20230630</stp>
        <stp>Per=일,Real=false,Cons=개별,Comp=누적</stp>
        <tr r="I12" s="1"/>
      </tp>
      <tp>
        <v>73472493000</v>
        <stp/>
        <stp>P</stp>
        <stp>0</stp>
        <stp>STK</stp>
        <stp>005930</stp>
        <stp>유동자산(요약재무)</stp>
        <stp>20230630</stp>
        <stp>Per=일,Real=false,Cons=개별,Comp=누적</stp>
        <tr r="H23" s="1"/>
      </tp>
      <tp>
        <v>1443498947</v>
        <stp/>
        <stp>P</stp>
        <stp>0</stp>
        <stp>STK</stp>
        <stp>035420</stp>
        <stp>유동자산(요약재무)</stp>
        <stp>20230630</stp>
        <stp>Per=일,Real=false,Cons=개별,Comp=누적</stp>
        <tr r="L23" s="1"/>
      </tp>
      <tp t="s">
        <v/>
        <stp/>
        <stp>P</stp>
        <stp>0</stp>
        <stp>STK</stp>
        <stp>035420</stp>
        <stp>비유동생물자산(요약재무)</stp>
        <stp>20230630</stp>
        <stp>Per=일,Real=false,Cons=개별,Comp=누적</stp>
        <tr r="L12" s="1"/>
      </tp>
      <tp>
        <v>1099420000</v>
        <stp/>
        <stp>P</stp>
        <stp>0</stp>
        <stp>STK</stp>
        <stp>000660</stp>
        <stp>리스부채(요약재무)</stp>
        <stp>20230630</stp>
        <stp>Per=일,Real=false,Cons=개별,Comp=누적</stp>
        <tr r="I53" s="1"/>
      </tp>
      <tp>
        <v>11168723000</v>
        <stp/>
        <stp>P</stp>
        <stp>0</stp>
        <stp>STK</stp>
        <stp>005930</stp>
        <stp>무형자산(비금융요약재무)</stp>
        <stp>20230630</stp>
        <stp>Per=일,Real=false,Cons=개별,Comp=누적</stp>
        <tr r="H11" s="1"/>
      </tp>
      <tp>
        <v>2127244</v>
        <stp/>
        <stp>P</stp>
        <stp>0</stp>
        <stp>STK</stp>
        <stp>068270</stp>
        <stp>리스부채(요약재무)</stp>
        <stp>20230630</stp>
        <stp>Per=일,Real=false,Cons=개별,Comp=누적</stp>
        <tr r="K53" s="1"/>
      </tp>
      <tp t="s">
        <v/>
        <stp/>
        <stp>P</stp>
        <stp>0</stp>
        <stp>STK</stp>
        <stp>068270</stp>
        <stp>비유동생물자산(요약재무)</stp>
        <stp>20230630</stp>
        <stp>Per=일,Real=false,Cons=개별,Comp=누적</stp>
        <tr r="K12" s="1"/>
      </tp>
      <tp>
        <v>2816272320</v>
        <stp/>
        <stp>P</stp>
        <stp>0</stp>
        <stp>STK</stp>
        <stp>068270</stp>
        <stp>유동자산(요약재무)</stp>
        <stp>20230630</stp>
        <stp>Per=일,Real=false,Cons=개별,Comp=누적</stp>
        <tr r="K23" s="1"/>
      </tp>
      <tp t="s">
        <v/>
        <stp/>
        <stp>P</stp>
        <stp>0</stp>
        <stp>STK</stp>
        <stp>005380</stp>
        <stp>비유동생물자산(요약재무)</stp>
        <stp>20230630</stp>
        <stp>Per=일,Real=false,Cons=개별,Comp=누적</stp>
        <tr r="J12" s="1"/>
      </tp>
      <tp>
        <v>17122135000</v>
        <stp/>
        <stp>P</stp>
        <stp>0</stp>
        <stp>STK</stp>
        <stp>000660</stp>
        <stp>유동자산(요약재무)</stp>
        <stp>20230630</stp>
        <stp>Per=일,Real=false,Cons=개별,Comp=누적</stp>
        <tr r="I23" s="1"/>
      </tp>
      <tp>
        <v>311972414</v>
        <stp/>
        <stp>P</stp>
        <stp>0</stp>
        <stp>STK</stp>
        <stp>035420</stp>
        <stp>리스부채(요약재무)</stp>
        <stp>20230630</stp>
        <stp>Per=일,Real=false,Cons=개별,Comp=누적</stp>
        <tr r="L53" s="1"/>
      </tp>
      <tp>
        <v>836584000</v>
        <stp/>
        <stp>P</stp>
        <stp>0</stp>
        <stp>STK</stp>
        <stp>005930</stp>
        <stp>리스부채(요약재무)</stp>
        <stp>20230630</stp>
        <stp>Per=일,Real=false,Cons=개별,Comp=누적</stp>
        <tr r="H53" s="1"/>
      </tp>
      <tp>
        <v>40725024000</v>
        <stp/>
        <stp>P</stp>
        <stp>0</stp>
        <stp>STK</stp>
        <stp>000660</stp>
        <stp>유형자산(비금융요약재무)</stp>
        <stp>20230630</stp>
        <stp>Per=일,Real=false,Cons=개별,Comp=누적</stp>
        <tr r="I8" s="1"/>
      </tp>
      <tp>
        <v>-840479361</v>
        <stp/>
        <stp>P</stp>
        <stp>0</stp>
        <stp>STK</stp>
        <stp>035420</stp>
        <stp>기타자본(요약재무)</stp>
        <stp>20230630</stp>
        <stp>Per=일,Real=false,Cons=개별,Comp=누적</stp>
        <tr r="L38" s="1"/>
      </tp>
      <tp>
        <v>592169722</v>
        <stp/>
        <stp>P</stp>
        <stp>0</stp>
        <stp>STK</stp>
        <stp>068270</stp>
        <stp>현금및단기유가증권(요약재무)</stp>
        <stp>20230630</stp>
        <stp>Per=일,Real=false,Cons=개별,Comp=누적</stp>
        <tr r="K32" s="1"/>
      </tp>
      <tp>
        <v>1760408000</v>
        <stp/>
        <stp>P</stp>
        <stp>0</stp>
        <stp>STK</stp>
        <stp>005930</stp>
        <stp>기타자본(요약재무)</stp>
        <stp>20230630</stp>
        <stp>Per=일,Real=false,Cons=개별,Comp=누적</stp>
        <tr r="H38" s="1"/>
      </tp>
      <tp>
        <v>13755872</v>
        <stp/>
        <stp>P</stp>
        <stp>0</stp>
        <stp>STK</stp>
        <stp>035420</stp>
        <stp>기타비유동금융자산(요약재무)</stp>
        <stp>20230630</stp>
        <stp>Per=일,Real=false,Cons=개별,Comp=누적</stp>
        <tr r="L16" s="1"/>
      </tp>
      <tp>
        <v>1942717579</v>
        <stp/>
        <stp>P</stp>
        <stp>0</stp>
        <stp>STK</stp>
        <stp>035420</stp>
        <stp>유형자산(비금융요약재무)</stp>
        <stp>20230630</stp>
        <stp>Per=일,Real=false,Cons=개별,Comp=누적</stp>
        <tr r="L8" s="1"/>
      </tp>
      <tp>
        <v>10086881000</v>
        <stp/>
        <stp>P</stp>
        <stp>0</stp>
        <stp>STK</stp>
        <stp>000660</stp>
        <stp>기타비유동금융자산(요약재무)</stp>
        <stp>20230630</stp>
        <stp>Per=일,Real=false,Cons=개별,Comp=누적</stp>
        <tr r="I16" s="1"/>
      </tp>
      <tp>
        <v>436786000</v>
        <stp/>
        <stp>P</stp>
        <stp>0</stp>
        <stp>STK</stp>
        <stp>005380</stp>
        <stp>기타비유동금융자산(요약재무)</stp>
        <stp>20230630</stp>
        <stp>Per=일,Real=false,Cons=개별,Comp=누적</stp>
        <tr r="J16" s="1"/>
      </tp>
      <tp t="s">
        <v/>
        <stp/>
        <stp>P</stp>
        <stp>0</stp>
        <stp>STK</stp>
        <stp>005930</stp>
        <stp>기타비유동금융자산(요약재무)</stp>
        <stp>20230630</stp>
        <stp>Per=일,Real=false,Cons=개별,Comp=누적</stp>
        <tr r="H16" s="1"/>
      </tp>
      <tp>
        <v>689733335</v>
        <stp/>
        <stp>P</stp>
        <stp>0</stp>
        <stp>STK</stp>
        <stp>035420</stp>
        <stp>현금및단기유가증권(요약재무)</stp>
        <stp>20230630</stp>
        <stp>Per=일,Real=false,Cons=개별,Comp=누적</stp>
        <tr r="L32" s="1"/>
      </tp>
      <tp>
        <v>833720376</v>
        <stp/>
        <stp>P</stp>
        <stp>0</stp>
        <stp>STK</stp>
        <stp>068270</stp>
        <stp>유형자산(비금융요약재무)</stp>
        <stp>20230630</stp>
        <stp>Per=일,Real=false,Cons=개별,Comp=누적</stp>
        <tr r="K8" s="1"/>
      </tp>
      <tp>
        <v>-2281142000</v>
        <stp/>
        <stp>P</stp>
        <stp>0</stp>
        <stp>STK</stp>
        <stp>000660</stp>
        <stp>기타자본(요약재무)</stp>
        <stp>20230630</stp>
        <stp>Per=일,Real=false,Cons=개별,Comp=누적</stp>
        <tr r="I38" s="1"/>
      </tp>
      <tp t="s">
        <v/>
        <stp/>
        <stp>P</stp>
        <stp>0</stp>
        <stp>STK</stp>
        <stp>068270</stp>
        <stp>기타비유동금융자산(요약재무)</stp>
        <stp>20230630</stp>
        <stp>Per=일,Real=false,Cons=개별,Comp=누적</stp>
        <tr r="K16" s="1"/>
      </tp>
      <tp>
        <v>25502053000</v>
        <stp/>
        <stp>P</stp>
        <stp>0</stp>
        <stp>STK</stp>
        <stp>005380</stp>
        <stp>유형자산(비금융요약재무)</stp>
        <stp>20230630</stp>
        <stp>Per=일,Real=false,Cons=개별,Comp=누적</stp>
        <tr r="J8" s="1"/>
      </tp>
      <tp>
        <v>-570385618</v>
        <stp/>
        <stp>P</stp>
        <stp>0</stp>
        <stp>STK</stp>
        <stp>068270</stp>
        <stp>기타자본(요약재무)</stp>
        <stp>20230630</stp>
        <stp>Per=일,Real=false,Cons=개별,Comp=누적</stp>
        <tr r="K38" s="1"/>
      </tp>
      <tp>
        <v>10719088000</v>
        <stp/>
        <stp>P</stp>
        <stp>0</stp>
        <stp>STK</stp>
        <stp>005380</stp>
        <stp>현금및단기유가증권(요약재무)</stp>
        <stp>20230630</stp>
        <stp>Per=일,Real=false,Cons=개별,Comp=누적</stp>
        <tr r="J32" s="1"/>
      </tp>
      <tp>
        <v>12893873000</v>
        <stp/>
        <stp>P</stp>
        <stp>0</stp>
        <stp>STK</stp>
        <stp>005930</stp>
        <stp>현금및단기유가증권(요약재무)</stp>
        <stp>20230630</stp>
        <stp>Per=일,Real=false,Cons=개별,Comp=누적</stp>
        <tr r="H32" s="1"/>
      </tp>
      <tp>
        <v>2243913000</v>
        <stp/>
        <stp>P</stp>
        <stp>0</stp>
        <stp>STK</stp>
        <stp>000660</stp>
        <stp>현금및단기유가증권(요약재무)</stp>
        <stp>20230630</stp>
        <stp>Per=일,Real=false,Cons=개별,Comp=누적</stp>
        <tr r="I32" s="1"/>
      </tp>
      <tp>
        <v>-1319506000</v>
        <stp/>
        <stp>P</stp>
        <stp>0</stp>
        <stp>STK</stp>
        <stp>005380</stp>
        <stp>기타자본(요약재무)</stp>
        <stp>20230630</stp>
        <stp>Per=일,Real=false,Cons=개별,Comp=누적</stp>
        <tr r="J38" s="1"/>
      </tp>
      <tp>
        <v>132603414000</v>
        <stp/>
        <stp>P</stp>
        <stp>0</stp>
        <stp>STK</stp>
        <stp>005930</stp>
        <stp>유형자산(비금융요약재무)</stp>
        <stp>20230630</stp>
        <stp>Per=일,Real=false,Cons=개별,Comp=누적</stp>
        <tr r="H8" s="1"/>
      </tp>
      <tp t="s">
        <v/>
        <stp/>
        <stp>P</stp>
        <stp>0</stp>
        <stp>STK</stp>
        <stp>068270</stp>
        <stp>특수관계자단기차입금(요약재무)</stp>
        <stp>20230630</stp>
        <stp>Per=일,Real=false,Cons=개별,Comp=누적</stp>
        <tr r="K65" s="1"/>
      </tp>
      <tp t="s">
        <v/>
        <stp/>
        <stp>P</stp>
        <stp>0</stp>
        <stp>STK</stp>
        <stp>068270</stp>
        <stp>특수관계자장기차입금(요약재무)</stp>
        <stp>20230630</stp>
        <stp>Per=일,Real=false,Cons=개별,Comp=누적</stp>
        <tr r="K50" s="1"/>
      </tp>
      <tp>
        <v>4850096000</v>
        <stp/>
        <stp>P</stp>
        <stp>0</stp>
        <stp>STK</stp>
        <stp>005930</stp>
        <stp>기타단기충당부채(요약재무)</stp>
        <stp>20230630</stp>
        <stp>Per=일,Real=false,Cons=개별,Comp=누적</stp>
        <tr r="H72" s="1"/>
      </tp>
      <tp>
        <v>1795757</v>
        <stp/>
        <stp>P</stp>
        <stp>0</stp>
        <stp>STK</stp>
        <stp>035420</stp>
        <stp>기타단기충당부채(요약재무)</stp>
        <stp>20230630</stp>
        <stp>Per=일,Real=false,Cons=개별,Comp=누적</stp>
        <tr r="L72" s="1"/>
      </tp>
      <tp t="s">
        <v/>
        <stp/>
        <stp>P</stp>
        <stp>0</stp>
        <stp>STK</stp>
        <stp>068270</stp>
        <stp>기타단기충당부채(요약재무)</stp>
        <stp>20230630</stp>
        <stp>Per=일,Real=false,Cons=개별,Comp=누적</stp>
        <tr r="K72" s="1"/>
      </tp>
      <tp>
        <v>281472000</v>
        <stp/>
        <stp>P</stp>
        <stp>0</stp>
        <stp>STK</stp>
        <stp>000660</stp>
        <stp>기타단기충당부채(요약재무)</stp>
        <stp>20230630</stp>
        <stp>Per=일,Real=false,Cons=개별,Comp=누적</stp>
        <tr r="I72" s="1"/>
      </tp>
      <tp t="s">
        <v>삼성전자</v>
        <stp/>
        <stp>P</stp>
        <stp>0</stp>
        <stp>STK</stp>
        <stp>005930</stp>
        <stp>한글종목명</stp>
        <stp/>
        <stp/>
        <tr r="H5" s="1"/>
      </tp>
      <tp t="s">
        <v/>
        <stp/>
        <stp>P</stp>
        <stp>0</stp>
        <stp>STK</stp>
        <stp>000660</stp>
        <stp>특수관계자단기차입금(요약재무)</stp>
        <stp>20230630</stp>
        <stp>Per=일,Real=false,Cons=개별,Comp=누적</stp>
        <tr r="I65" s="1"/>
      </tp>
      <tp t="s">
        <v/>
        <stp/>
        <stp>P</stp>
        <stp>0</stp>
        <stp>STK</stp>
        <stp>000660</stp>
        <stp>특수관계자장기차입금(요약재무)</stp>
        <stp>20230630</stp>
        <stp>Per=일,Real=false,Cons=개별,Comp=누적</stp>
        <tr r="I50" s="1"/>
      </tp>
      <tp>
        <v>870592592</v>
        <stp/>
        <stp>P</stp>
        <stp>0</stp>
        <stp>STK</stp>
        <stp>068270</stp>
        <stp>자본잉여금(요약재무)</stp>
        <stp>20230630</stp>
        <stp>Per=일,Real=false,Cons=개별,Comp=누적</stp>
        <tr r="K37" s="1"/>
      </tp>
      <tp t="s">
        <v>SK하이닉스</v>
        <stp/>
        <stp>P</stp>
        <stp>0</stp>
        <stp>STK</stp>
        <stp>000660</stp>
        <stp>한글종목명</stp>
        <stp/>
        <stp/>
        <tr r="I5" s="1"/>
      </tp>
      <tp t="s">
        <v>NAVER</v>
        <stp/>
        <stp>P</stp>
        <stp>0</stp>
        <stp>STK</stp>
        <stp>035420</stp>
        <stp>한글종목명</stp>
        <stp/>
        <stp/>
        <tr r="L5" s="1"/>
      </tp>
      <tp>
        <v>4674902000</v>
        <stp/>
        <stp>P</stp>
        <stp>0</stp>
        <stp>STK</stp>
        <stp>005380</stp>
        <stp>기타단기충당부채(요약재무)</stp>
        <stp>20230630</stp>
        <stp>Per=일,Real=false,Cons=개별,Comp=누적</stp>
        <tr r="J72" s="1"/>
      </tp>
      <tp>
        <v>1165610431</v>
        <stp/>
        <stp>P</stp>
        <stp>0</stp>
        <stp>STK</stp>
        <stp>035420</stp>
        <stp>자본잉여금(요약재무)</stp>
        <stp>20230630</stp>
        <stp>Per=일,Real=false,Cons=개별,Comp=누적</stp>
        <tr r="L37" s="1"/>
      </tp>
      <tp t="s">
        <v>현대차</v>
        <stp/>
        <stp>P</stp>
        <stp>0</stp>
        <stp>STK</stp>
        <stp>005380</stp>
        <stp>한글종목명</stp>
        <stp/>
        <stp/>
        <tr r="J5" s="1"/>
      </tp>
      <tp t="s">
        <v/>
        <stp/>
        <stp>P</stp>
        <stp>0</stp>
        <stp>STK</stp>
        <stp>005930</stp>
        <stp>특수관계자단기차입금(요약재무)</stp>
        <stp>20230630</stp>
        <stp>Per=일,Real=false,Cons=개별,Comp=누적</stp>
        <tr r="H65" s="1"/>
      </tp>
      <tp t="s">
        <v/>
        <stp/>
        <stp>P</stp>
        <stp>0</stp>
        <stp>STK</stp>
        <stp>005380</stp>
        <stp>특수관계자단기차입금(요약재무)</stp>
        <stp>20230630</stp>
        <stp>Per=일,Real=false,Cons=개별,Comp=누적</stp>
        <tr r="J65" s="1"/>
      </tp>
      <tp t="s">
        <v/>
        <stp/>
        <stp>P</stp>
        <stp>0</stp>
        <stp>STK</stp>
        <stp>035420</stp>
        <stp>특수관계자단기차입금(요약재무)</stp>
        <stp>20230630</stp>
        <stp>Per=일,Real=false,Cons=개별,Comp=누적</stp>
        <tr r="L65" s="1"/>
      </tp>
      <tp t="s">
        <v/>
        <stp/>
        <stp>P</stp>
        <stp>0</stp>
        <stp>STK</stp>
        <stp>005930</stp>
        <stp>특수관계자장기차입금(요약재무)</stp>
        <stp>20230630</stp>
        <stp>Per=일,Real=false,Cons=개별,Comp=누적</stp>
        <tr r="H50" s="1"/>
      </tp>
      <tp t="s">
        <v/>
        <stp/>
        <stp>P</stp>
        <stp>0</stp>
        <stp>STK</stp>
        <stp>035420</stp>
        <stp>특수관계자장기차입금(요약재무)</stp>
        <stp>20230630</stp>
        <stp>Per=일,Real=false,Cons=개별,Comp=누적</stp>
        <tr r="L50" s="1"/>
      </tp>
      <tp t="s">
        <v/>
        <stp/>
        <stp>P</stp>
        <stp>0</stp>
        <stp>STK</stp>
        <stp>005380</stp>
        <stp>특수관계자장기차입금(요약재무)</stp>
        <stp>20230630</stp>
        <stp>Per=일,Real=false,Cons=개별,Comp=누적</stp>
        <tr r="J50" s="1"/>
      </tp>
      <tp t="s">
        <v>셀트리온</v>
        <stp/>
        <stp>P</stp>
        <stp>0</stp>
        <stp>STK</stp>
        <stp>068270</stp>
        <stp>한글종목명</stp>
        <stp/>
        <stp/>
        <tr r="K5" s="1"/>
      </tp>
      <tp>
        <v>4231908000</v>
        <stp/>
        <stp>P</stp>
        <stp>0</stp>
        <stp>STK</stp>
        <stp>005380</stp>
        <stp>자본잉여금(요약재무)</stp>
        <stp>20230630</stp>
        <stp>Per=일,Real=false,Cons=개별,Comp=누적</stp>
        <tr r="J37" s="1"/>
      </tp>
      <tp>
        <v>4403893000</v>
        <stp/>
        <stp>P</stp>
        <stp>0</stp>
        <stp>STK</stp>
        <stp>005930</stp>
        <stp>자본잉여금(요약재무)</stp>
        <stp>20230630</stp>
        <stp>Per=일,Real=false,Cons=개별,Comp=누적</stp>
        <tr r="H37" s="1"/>
      </tp>
      <tp>
        <v>4387212000</v>
        <stp/>
        <stp>P</stp>
        <stp>0</stp>
        <stp>STK</stp>
        <stp>000660</stp>
        <stp>자본잉여금(요약재무)</stp>
        <stp>20230630</stp>
        <stp>Per=일,Real=false,Cons=개별,Comp=누적</stp>
        <tr r="I37" s="1"/>
      </tp>
      <tp>
        <v>712520</v>
        <stp/>
        <stp>P</stp>
        <stp>0</stp>
        <stp>STK</stp>
        <stp>035420</stp>
        <stp>재고자산(요약재무)</stp>
        <stp>20230630</stp>
        <stp>Per=일,Real=false,Cons=개별,Comp=누적</stp>
        <tr r="L24" s="1"/>
      </tp>
      <tp t="s">
        <v/>
        <stp/>
        <stp>P</stp>
        <stp>0</stp>
        <stp>STK</stp>
        <stp>000660</stp>
        <stp>외화장기차입금(요약재무)</stp>
        <stp>20230630</stp>
        <stp>Per=일,Real=false,Cons=개별,Comp=누적</stp>
        <tr r="I49" s="1"/>
      </tp>
      <tp t="s">
        <v/>
        <stp/>
        <stp>P</stp>
        <stp>0</stp>
        <stp>STK</stp>
        <stp>000660</stp>
        <stp>외화단기차입금(요약재무)</stp>
        <stp>20230630</stp>
        <stp>Per=일,Real=false,Cons=개별,Comp=누적</stp>
        <tr r="I64" s="1"/>
      </tp>
      <tp>
        <v>32589559000</v>
        <stp/>
        <stp>P</stp>
        <stp>0</stp>
        <stp>STK</stp>
        <stp>005930</stp>
        <stp>재고자산(요약재무)</stp>
        <stp>20230630</stp>
        <stp>Per=일,Real=false,Cons=개별,Comp=누적</stp>
        <tr r="H24" s="1"/>
      </tp>
      <tp t="s">
        <v/>
        <stp/>
        <stp>P</stp>
        <stp>0</stp>
        <stp>STK</stp>
        <stp>005930</stp>
        <stp>유동생물자산(요약재무)</stp>
        <stp>20230630</stp>
        <stp>Per=일,Real=false,Cons=개별,Comp=누적</stp>
        <tr r="H25" s="1"/>
      </tp>
      <tp t="s">
        <v/>
        <stp/>
        <stp>P</stp>
        <stp>0</stp>
        <stp>STK</stp>
        <stp>005380</stp>
        <stp>유동생물자산(요약재무)</stp>
        <stp>20230630</stp>
        <stp>Per=일,Real=false,Cons=개별,Comp=누적</stp>
        <tr r="J25" s="1"/>
      </tp>
      <tp t="s">
        <v/>
        <stp/>
        <stp>P</stp>
        <stp>0</stp>
        <stp>STK</stp>
        <stp>035420</stp>
        <stp>유동생물자산(요약재무)</stp>
        <stp>20230630</stp>
        <stp>Per=일,Real=false,Cons=개별,Comp=누적</stp>
        <tr r="L25" s="1"/>
      </tp>
      <tp>
        <v>661165500</v>
        <stp/>
        <stp>P</stp>
        <stp>0</stp>
        <stp>STK</stp>
        <stp>035420</stp>
        <stp>외화장기차입금(요약재무)</stp>
        <stp>20230630</stp>
        <stp>Per=일,Real=false,Cons=개별,Comp=누적</stp>
        <tr r="L49" s="1"/>
      </tp>
      <tp t="s">
        <v/>
        <stp/>
        <stp>P</stp>
        <stp>0</stp>
        <stp>STK</stp>
        <stp>035420</stp>
        <stp>외화단기차입금(요약재무)</stp>
        <stp>20230630</stp>
        <stp>Per=일,Real=false,Cons=개별,Comp=누적</stp>
        <tr r="L64" s="1"/>
      </tp>
      <tp t="s">
        <v/>
        <stp/>
        <stp>P</stp>
        <stp>0</stp>
        <stp>STK</stp>
        <stp>005380</stp>
        <stp>외화장기차입금(요약재무)</stp>
        <stp>20230630</stp>
        <stp>Per=일,Real=false,Cons=개별,Comp=누적</stp>
        <tr r="J49" s="1"/>
      </tp>
      <tp>
        <v>19850000</v>
        <stp/>
        <stp>P</stp>
        <stp>0</stp>
        <stp>STK</stp>
        <stp>005380</stp>
        <stp>외화단기차입금(요약재무)</stp>
        <stp>20230630</stp>
        <stp>Per=일,Real=false,Cons=개별,Comp=누적</stp>
        <tr r="J64" s="1"/>
      </tp>
      <tp>
        <v>11252079000</v>
        <stp/>
        <stp>P</stp>
        <stp>0</stp>
        <stp>STK</stp>
        <stp>000660</stp>
        <stp>재고자산(요약재무)</stp>
        <stp>20230630</stp>
        <stp>Per=일,Real=false,Cons=개별,Comp=누적</stp>
        <tr r="I24" s="1"/>
      </tp>
      <tp t="s">
        <v/>
        <stp/>
        <stp>P</stp>
        <stp>0</stp>
        <stp>STK</stp>
        <stp>068270</stp>
        <stp>외화장기차입금(요약재무)</stp>
        <stp>20230630</stp>
        <stp>Per=일,Real=false,Cons=개별,Comp=누적</stp>
        <tr r="K49" s="1"/>
      </tp>
      <tp t="s">
        <v/>
        <stp/>
        <stp>P</stp>
        <stp>0</stp>
        <stp>STK</stp>
        <stp>068270</stp>
        <stp>외화단기차입금(요약재무)</stp>
        <stp>20230630</stp>
        <stp>Per=일,Real=false,Cons=개별,Comp=누적</stp>
        <tr r="K64" s="1"/>
      </tp>
      <tp>
        <v>422940769</v>
        <stp/>
        <stp>P</stp>
        <stp>0</stp>
        <stp>STK</stp>
        <stp>068270</stp>
        <stp>재고자산(요약재무)</stp>
        <stp>20230630</stp>
        <stp>Per=일,Real=false,Cons=개별,Comp=누적</stp>
        <tr r="K24" s="1"/>
      </tp>
      <tp t="s">
        <v/>
        <stp/>
        <stp>P</stp>
        <stp>0</stp>
        <stp>STK</stp>
        <stp>000660</stp>
        <stp>유동생물자산(요약재무)</stp>
        <stp>20230630</stp>
        <stp>Per=일,Real=false,Cons=개별,Comp=누적</stp>
        <tr r="I25" s="1"/>
      </tp>
      <tp>
        <v>27852811</v>
        <stp/>
        <stp>P</stp>
        <stp>0</stp>
        <stp>STK</stp>
        <stp>068270</stp>
        <stp>유동금융자산(요약재무)</stp>
        <stp>20230630</stp>
        <stp>Per=일,Real=false,Cons=개별,Comp=누적</stp>
        <tr r="K26" s="1"/>
      </tp>
      <tp>
        <v>1403000</v>
        <stp/>
        <stp>P</stp>
        <stp>0</stp>
        <stp>STK</stp>
        <stp>005930</stp>
        <stp>유동금융자산(요약재무)</stp>
        <stp>20230630</stp>
        <stp>Per=일,Real=false,Cons=개별,Comp=누적</stp>
        <tr r="H26" s="1"/>
      </tp>
      <tp>
        <v>3763404000</v>
        <stp/>
        <stp>P</stp>
        <stp>0</stp>
        <stp>STK</stp>
        <stp>005380</stp>
        <stp>유동금융자산(요약재무)</stp>
        <stp>20230630</stp>
        <stp>Per=일,Real=false,Cons=개별,Comp=누적</stp>
        <tr r="J26" s="1"/>
      </tp>
      <tp>
        <v>104845859</v>
        <stp/>
        <stp>P</stp>
        <stp>0</stp>
        <stp>STK</stp>
        <stp>035420</stp>
        <stp>유동금융자산(요약재무)</stp>
        <stp>20230630</stp>
        <stp>Per=일,Real=false,Cons=개별,Comp=누적</stp>
        <tr r="L26" s="1"/>
      </tp>
      <tp>
        <v>4071140000</v>
        <stp/>
        <stp>P</stp>
        <stp>0</stp>
        <stp>STK</stp>
        <stp>005380</stp>
        <stp>재고자산(요약재무)</stp>
        <stp>20230630</stp>
        <stp>Per=일,Real=false,Cons=개별,Comp=누적</stp>
        <tr r="J24" s="1"/>
      </tp>
      <tp t="s">
        <v/>
        <stp/>
        <stp>P</stp>
        <stp>0</stp>
        <stp>STK</stp>
        <stp>068270</stp>
        <stp>유동생물자산(요약재무)</stp>
        <stp>20230630</stp>
        <stp>Per=일,Real=false,Cons=개별,Comp=누적</stp>
        <tr r="K25" s="1"/>
      </tp>
      <tp t="s">
        <v/>
        <stp/>
        <stp>P</stp>
        <stp>0</stp>
        <stp>STK</stp>
        <stp>005930</stp>
        <stp>외화장기차입금(요약재무)</stp>
        <stp>20230630</stp>
        <stp>Per=일,Real=false,Cons=개별,Comp=누적</stp>
        <tr r="H49" s="1"/>
      </tp>
      <tp t="s">
        <v/>
        <stp/>
        <stp>P</stp>
        <stp>0</stp>
        <stp>STK</stp>
        <stp>005930</stp>
        <stp>외화단기차입금(요약재무)</stp>
        <stp>20230630</stp>
        <stp>Per=일,Real=false,Cons=개별,Comp=누적</stp>
        <tr r="H64" s="1"/>
      </tp>
      <tp>
        <v>318396000</v>
        <stp/>
        <stp>P</stp>
        <stp>0</stp>
        <stp>STK</stp>
        <stp>000660</stp>
        <stp>유동금융자산(요약재무)</stp>
        <stp>20230630</stp>
        <stp>Per=일,Real=false,Cons=개별,Comp=누적</stp>
        <tr r="I26" s="1"/>
      </tp>
      <tp>
        <v>48214110</v>
        <stp/>
        <stp>P</stp>
        <stp>0</stp>
        <stp>STK</stp>
        <stp>035420</stp>
        <stp>유동금융부채(요약재무)</stp>
        <stp>20230630</stp>
        <stp>Per=일,Real=false,Cons=개별,Comp=누적</stp>
        <tr r="L68" s="1"/>
      </tp>
      <tp>
        <v>154590000</v>
        <stp/>
        <stp>P</stp>
        <stp>0</stp>
        <stp>STK</stp>
        <stp>005380</stp>
        <stp>유동금융부채(요약재무)</stp>
        <stp>20230630</stp>
        <stp>Per=일,Real=false,Cons=개별,Comp=누적</stp>
        <tr r="J68" s="1"/>
      </tp>
      <tp t="s">
        <v/>
        <stp/>
        <stp>P</stp>
        <stp>0</stp>
        <stp>STK</stp>
        <stp>005930</stp>
        <stp>유동금융부채(요약재무)</stp>
        <stp>20230630</stp>
        <stp>Per=일,Real=false,Cons=개별,Comp=누적</stp>
        <tr r="H68" s="1"/>
      </tp>
      <tp t="s">
        <v/>
        <stp/>
        <stp>P</stp>
        <stp>0</stp>
        <stp>STK</stp>
        <stp>000660</stp>
        <stp>비지배주주지분초과손실액(요약재무)</stp>
        <stp>20230630</stp>
        <stp>Per=일,Real=false,Cons=개별,Comp=누적</stp>
        <tr r="I44" s="1"/>
      </tp>
      <tp t="s">
        <v/>
        <stp/>
        <stp>P</stp>
        <stp>0</stp>
        <stp>STK</stp>
        <stp>068270</stp>
        <stp>비지배주주지분초과손실액(요약재무)</stp>
        <stp>20230630</stp>
        <stp>Per=일,Real=false,Cons=개별,Comp=누적</stp>
        <tr r="K44" s="1"/>
      </tp>
      <tp t="s">
        <v/>
        <stp/>
        <stp>P</stp>
        <stp>0</stp>
        <stp>STK</stp>
        <stp>005930</stp>
        <stp>만기보유금융자산(비금융요약재무)</stp>
        <stp>20230630</stp>
        <stp>Per=일,Real=false,Cons=개별,Comp=누적</stp>
        <tr r="H15" s="1"/>
      </tp>
      <tp t="s">
        <v/>
        <stp/>
        <stp>P</stp>
        <stp>0</stp>
        <stp>STK</stp>
        <stp>035420</stp>
        <stp>비지배주주지분초과손실액(요약재무)</stp>
        <stp>20230630</stp>
        <stp>Per=일,Real=false,Cons=개별,Comp=누적</stp>
        <tr r="L44" s="1"/>
      </tp>
      <tp>
        <v>845505000</v>
        <stp/>
        <stp>P</stp>
        <stp>0</stp>
        <stp>STK</stp>
        <stp>000660</stp>
        <stp>유동금융부채(요약재무)</stp>
        <stp>20230630</stp>
        <stp>Per=일,Real=false,Cons=개별,Comp=누적</stp>
        <tr r="I68" s="1"/>
      </tp>
      <tp t="s">
        <v/>
        <stp/>
        <stp>P</stp>
        <stp>0</stp>
        <stp>STK</stp>
        <stp>005930</stp>
        <stp>비지배주주지분초과손실액(요약재무)</stp>
        <stp>20230630</stp>
        <stp>Per=일,Real=false,Cons=개별,Comp=누적</stp>
        <tr r="H44" s="1"/>
      </tp>
      <tp t="s">
        <v/>
        <stp/>
        <stp>P</stp>
        <stp>0</stp>
        <stp>STK</stp>
        <stp>035420</stp>
        <stp>만기보유금융자산(비금융요약재무)</stp>
        <stp>20230630</stp>
        <stp>Per=일,Real=false,Cons=개별,Comp=누적</stp>
        <tr r="L15" s="1"/>
      </tp>
      <tp t="s">
        <v/>
        <stp/>
        <stp>P</stp>
        <stp>0</stp>
        <stp>STK</stp>
        <stp>000660</stp>
        <stp>만기보유금융자산(비금융요약재무)</stp>
        <stp>20230630</stp>
        <stp>Per=일,Real=false,Cons=개별,Comp=누적</stp>
        <tr r="I15" s="1"/>
      </tp>
      <tp>
        <v>765895</v>
        <stp/>
        <stp>P</stp>
        <stp>0</stp>
        <stp>STK</stp>
        <stp>068270</stp>
        <stp>유동금융부채(요약재무)</stp>
        <stp>20230630</stp>
        <stp>Per=일,Real=false,Cons=개별,Comp=누적</stp>
        <tr r="K68" s="1"/>
      </tp>
      <tp t="s">
        <v/>
        <stp/>
        <stp>P</stp>
        <stp>0</stp>
        <stp>STK</stp>
        <stp>005380</stp>
        <stp>만기보유금융자산(비금융요약재무)</stp>
        <stp>20230630</stp>
        <stp>Per=일,Real=false,Cons=개별,Comp=누적</stp>
        <tr r="J15" s="1"/>
      </tp>
      <tp t="s">
        <v/>
        <stp/>
        <stp>P</stp>
        <stp>0</stp>
        <stp>STK</stp>
        <stp>005380</stp>
        <stp>비지배주주지분초과손실액(요약재무)</stp>
        <stp>20230630</stp>
        <stp>Per=일,Real=false,Cons=개별,Comp=누적</stp>
        <tr r="J44" s="1"/>
      </tp>
      <tp t="s">
        <v/>
        <stp/>
        <stp>P</stp>
        <stp>0</stp>
        <stp>STK</stp>
        <stp>068270</stp>
        <stp>만기보유금융자산(비금융요약재무)</stp>
        <stp>20230630</stp>
        <stp>Per=일,Real=false,Cons=개별,Comp=누적</stp>
        <tr r="K15" s="1"/>
      </tp>
      <tp>
        <v>566569722</v>
        <stp/>
        <stp>P</stp>
        <stp>0</stp>
        <stp>STK</stp>
        <stp>068270</stp>
        <stp>현금및현금성자산(요약재무)</stp>
        <stp>20230630</stp>
        <stp>Per=일,Real=false,Cons=개별,Comp=누적</stp>
        <tr r="K30" s="1"/>
      </tp>
      <tp>
        <v>182395000</v>
        <stp/>
        <stp>P</stp>
        <stp>0</stp>
        <stp>STK</stp>
        <stp>005380</stp>
        <stp>리스사용권자산(요약재무)</stp>
        <stp>20230630</stp>
        <stp>Per=일,Real=false,Cons=개별,Comp=누적</stp>
        <tr r="J21" s="1"/>
      </tp>
      <tp t="s">
        <v/>
        <stp/>
        <stp>P</stp>
        <stp>0</stp>
        <stp>STK</stp>
        <stp>000660</stp>
        <stp>기타장기충당부채(요약재무)</stp>
        <stp>20230630</stp>
        <stp>Per=일,Real=false,Cons=개별,Comp=누적</stp>
        <tr r="I56" s="1"/>
      </tp>
      <tp t="s">
        <v/>
        <stp/>
        <stp>P</stp>
        <stp>0</stp>
        <stp>STK</stp>
        <stp>000660</stp>
        <stp>매각예정으로분류된처분자산집단에포함된부채(요약재무)</stp>
        <stp>20230630</stp>
        <stp>Per=일,Real=false,Cons=개별,Comp=누적</stp>
        <tr r="I75" s="1"/>
      </tp>
      <tp t="s">
        <v/>
        <stp/>
        <stp>P</stp>
        <stp>0</stp>
        <stp>STK</stp>
        <stp>005930</stp>
        <stp>매각예정으로분류된처분자산집단에포함된부채(요약재무)</stp>
        <stp>20230630</stp>
        <stp>Per=일,Real=false,Cons=개별,Comp=누적</stp>
        <tr r="H75" s="1"/>
      </tp>
      <tp t="s">
        <v/>
        <stp/>
        <stp>P</stp>
        <stp>0</stp>
        <stp>STK</stp>
        <stp>005380</stp>
        <stp>매각예정으로분류된처분자산집단에포함된부채(요약재무)</stp>
        <stp>20230630</stp>
        <stp>Per=일,Real=false,Cons=개별,Comp=누적</stp>
        <tr r="J75" s="1"/>
      </tp>
      <tp>
        <v>1971413000</v>
        <stp/>
        <stp>P</stp>
        <stp>0</stp>
        <stp>STK</stp>
        <stp>000660</stp>
        <stp>현금및현금성자산(요약재무)</stp>
        <stp>20230630</stp>
        <stp>Per=일,Real=false,Cons=개별,Comp=누적</stp>
        <tr r="I30" s="1"/>
      </tp>
      <tp t="s">
        <v/>
        <stp/>
        <stp>P</stp>
        <stp>0</stp>
        <stp>STK</stp>
        <stp>068270</stp>
        <stp>리스사용권자산(요약재무)</stp>
        <stp>20230630</stp>
        <stp>Per=일,Real=false,Cons=개별,Comp=누적</stp>
        <tr r="K21" s="1"/>
      </tp>
      <tp t="s">
        <v/>
        <stp/>
        <stp>P</stp>
        <stp>0</stp>
        <stp>STK</stp>
        <stp>068270</stp>
        <stp>기타장기충당부채(요약재무)</stp>
        <stp>20230630</stp>
        <stp>Per=일,Real=false,Cons=개별,Comp=누적</stp>
        <tr r="K56" s="1"/>
      </tp>
      <tp t="s">
        <v/>
        <stp/>
        <stp>P</stp>
        <stp>0</stp>
        <stp>STK</stp>
        <stp>035420</stp>
        <stp>매각예정으로분류된처분자산집단에포함된부채(요약재무)</stp>
        <stp>20230630</stp>
        <stp>Per=일,Real=false,Cons=개별,Comp=누적</stp>
        <tr r="L75" s="1"/>
      </tp>
      <tp t="s">
        <v/>
        <stp/>
        <stp>P</stp>
        <stp>0</stp>
        <stp>STK</stp>
        <stp>068270</stp>
        <stp>영업권(비금융요약재무)</stp>
        <stp>20230630</stp>
        <stp>Per=일,Real=false,Cons=개별,Comp=누적</stp>
        <tr r="K10" s="1"/>
      </tp>
      <tp>
        <v>897514000</v>
        <stp/>
        <stp>P</stp>
        <stp>0</stp>
        <stp>STK</stp>
        <stp>005930</stp>
        <stp>자본금(요약재무)</stp>
        <stp>20230630</stp>
        <stp>Per=일,Real=false,Cons=개별,Comp=누적</stp>
        <tr r="H35" s="1"/>
      </tp>
      <tp>
        <v>12892470000</v>
        <stp/>
        <stp>P</stp>
        <stp>0</stp>
        <stp>STK</stp>
        <stp>005930</stp>
        <stp>현금및현금성자산(요약재무)</stp>
        <stp>20230630</stp>
        <stp>Per=일,Real=false,Cons=개별,Comp=누적</stp>
        <tr r="H30" s="1"/>
      </tp>
      <tp>
        <v>10405875</v>
        <stp/>
        <stp>P</stp>
        <stp>0</stp>
        <stp>STK</stp>
        <stp>035420</stp>
        <stp>기타장기충당부채(요약재무)</stp>
        <stp>20230630</stp>
        <stp>Per=일,Real=false,Cons=개별,Comp=누적</stp>
        <tr r="L56" s="1"/>
      </tp>
      <tp>
        <v>584887476</v>
        <stp/>
        <stp>P</stp>
        <stp>0</stp>
        <stp>STK</stp>
        <stp>035420</stp>
        <stp>현금및현금성자산(요약재무)</stp>
        <stp>20230630</stp>
        <stp>Per=일,Real=false,Cons=개별,Comp=누적</stp>
        <tr r="L30" s="1"/>
      </tp>
      <tp>
        <v>1857914000</v>
        <stp/>
        <stp>P</stp>
        <stp>0</stp>
        <stp>STK</stp>
        <stp>005930</stp>
        <stp>기타장기충당부채(요약재무)</stp>
        <stp>20230630</stp>
        <stp>Per=일,Real=false,Cons=개별,Comp=누적</stp>
        <tr r="H56" s="1"/>
      </tp>
      <tp>
        <v>1178000000</v>
        <stp/>
        <stp>P</stp>
        <stp>0</stp>
        <stp>STK</stp>
        <stp>000660</stp>
        <stp>리스사용권자산(요약재무)</stp>
        <stp>20230630</stp>
        <stp>Per=일,Real=false,Cons=개별,Comp=누적</stp>
        <tr r="I21" s="1"/>
      </tp>
      <tp t="s">
        <v/>
        <stp/>
        <stp>P</stp>
        <stp>0</stp>
        <stp>STK</stp>
        <stp>068270</stp>
        <stp>매각예정으로분류된처분자산집단에포함된부채(요약재무)</stp>
        <stp>20230630</stp>
        <stp>Per=일,Real=false,Cons=개별,Comp=누적</stp>
        <tr r="K75" s="1"/>
      </tp>
      <tp>
        <v>37521154</v>
        <stp/>
        <stp>P</stp>
        <stp>0</stp>
        <stp>STK</stp>
        <stp>035420</stp>
        <stp>리스사용권자산(요약재무)</stp>
        <stp>20230630</stp>
        <stp>Per=일,Real=false,Cons=개별,Comp=누적</stp>
        <tr r="L21" s="1"/>
      </tp>
      <tp>
        <v>146390862</v>
        <stp/>
        <stp>P</stp>
        <stp>0</stp>
        <stp>STK</stp>
        <stp>068270</stp>
        <stp>자본금(요약재무)</stp>
        <stp>20230630</stp>
        <stp>Per=일,Real=false,Cons=개별,Comp=누적</stp>
        <tr r="K35" s="1"/>
      </tp>
      <tp>
        <v>1488993000</v>
        <stp/>
        <stp>P</stp>
        <stp>0</stp>
        <stp>STK</stp>
        <stp>005380</stp>
        <stp>자본금(요약재무)</stp>
        <stp>20230630</stp>
        <stp>Per=일,Real=false,Cons=개별,Comp=누적</stp>
        <tr r="J35" s="1"/>
      </tp>
      <tp t="s">
        <v/>
        <stp/>
        <stp>P</stp>
        <stp>0</stp>
        <stp>STK</stp>
        <stp>005930</stp>
        <stp>리스사용권자산(요약재무)</stp>
        <stp>20230630</stp>
        <stp>Per=일,Real=false,Cons=개별,Comp=누적</stp>
        <tr r="H21" s="1"/>
      </tp>
      <tp t="s">
        <v/>
        <stp/>
        <stp>P</stp>
        <stp>0</stp>
        <stp>STK</stp>
        <stp>000660</stp>
        <stp>영업권(비금융요약재무)</stp>
        <stp>20230630</stp>
        <stp>Per=일,Real=false,Cons=개별,Comp=누적</stp>
        <tr r="I10" s="1"/>
      </tp>
      <tp>
        <v>3657652000</v>
        <stp/>
        <stp>P</stp>
        <stp>0</stp>
        <stp>STK</stp>
        <stp>000660</stp>
        <stp>자본금(요약재무)</stp>
        <stp>20230630</stp>
        <stp>Per=일,Real=false,Cons=개별,Comp=누적</stp>
        <tr r="I35" s="1"/>
      </tp>
      <tp>
        <v>2857776000</v>
        <stp/>
        <stp>P</stp>
        <stp>0</stp>
        <stp>STK</stp>
        <stp>005380</stp>
        <stp>기타장기충당부채(요약재무)</stp>
        <stp>20230630</stp>
        <stp>Per=일,Real=false,Cons=개별,Comp=누적</stp>
        <tr r="J56" s="1"/>
      </tp>
      <tp>
        <v>16481340</v>
        <stp/>
        <stp>P</stp>
        <stp>0</stp>
        <stp>STK</stp>
        <stp>035420</stp>
        <stp>자본금(요약재무)</stp>
        <stp>20230630</stp>
        <stp>Per=일,Real=false,Cons=개별,Comp=누적</stp>
        <tr r="L35" s="1"/>
      </tp>
      <tp>
        <v>7049394000</v>
        <stp/>
        <stp>P</stp>
        <stp>0</stp>
        <stp>STK</stp>
        <stp>005380</stp>
        <stp>현금및현금성자산(요약재무)</stp>
        <stp>20230630</stp>
        <stp>Per=일,Real=false,Cons=개별,Comp=누적</stp>
        <tr r="J30" s="1"/>
      </tp>
      <tp t="s">
        <v/>
        <stp/>
        <stp>P</stp>
        <stp>0</stp>
        <stp>STK</stp>
        <stp>035420</stp>
        <stp>영업권(비금융요약재무)</stp>
        <stp>20230630</stp>
        <stp>Per=일,Real=false,Cons=개별,Comp=누적</stp>
        <tr r="L10" s="1"/>
      </tp>
      <tp t="s">
        <v/>
        <stp/>
        <stp>P</stp>
        <stp>0</stp>
        <stp>STK</stp>
        <stp>005380</stp>
        <stp>영업권(비금융요약재무)</stp>
        <stp>20230630</stp>
        <stp>Per=일,Real=false,Cons=개별,Comp=누적</stp>
        <tr r="J10" s="1"/>
      </tp>
      <tp t="s">
        <v/>
        <stp/>
        <stp>P</stp>
        <stp>0</stp>
        <stp>STK</stp>
        <stp>005930</stp>
        <stp>영업권(비금융요약재무)</stp>
        <stp>20230630</stp>
        <stp>Per=일,Real=false,Cons=개별,Comp=누적</stp>
        <tr r="H10" s="1"/>
      </tp>
      <tp>
        <v>3766102</v>
        <stp/>
        <stp>P</stp>
        <stp>0</stp>
        <stp>STK</stp>
        <stp>068270</stp>
        <stp>장기매입채무및기타비유동채무(요약재무)</stp>
        <stp>20230630</stp>
        <stp>Per=일,Real=false,Cons=개별,Comp=누적</stp>
        <tr r="K54" s="1"/>
      </tp>
      <tp>
        <v>201192000</v>
        <stp/>
        <stp>P</stp>
        <stp>0</stp>
        <stp>STK</stp>
        <stp>005930</stp>
        <stp>유동성장기부채(요약재무)</stp>
        <stp>20230630</stp>
        <stp>Per=일,Real=false,Cons=개별,Comp=누적</stp>
        <tr r="H67" s="1"/>
      </tp>
      <tp>
        <v>1740440000</v>
        <stp/>
        <stp>P</stp>
        <stp>0</stp>
        <stp>STK</stp>
        <stp>000660</stp>
        <stp>장기매입채무및기타비유동채무(요약재무)</stp>
        <stp>20230630</stp>
        <stp>Per=일,Real=false,Cons=개별,Comp=누적</stp>
        <tr r="I54" s="1"/>
      </tp>
      <tp>
        <v>74180429</v>
        <stp/>
        <stp>P</stp>
        <stp>0</stp>
        <stp>STK</stp>
        <stp>068270</stp>
        <stp>유동성장기부채(요약재무)</stp>
        <stp>20230630</stp>
        <stp>Per=일,Real=false,Cons=개별,Comp=누적</stp>
        <tr r="K67" s="1"/>
      </tp>
      <tp>
        <v>856541000</v>
        <stp/>
        <stp>P</stp>
        <stp>0</stp>
        <stp>STK</stp>
        <stp>005380</stp>
        <stp>유동성장기부채(요약재무)</stp>
        <stp>20230630</stp>
        <stp>Per=일,Real=false,Cons=개별,Comp=누적</stp>
        <tr r="J67" s="1"/>
      </tp>
      <tp>
        <v>4772353000</v>
        <stp/>
        <stp>P</stp>
        <stp>0</stp>
        <stp>STK</stp>
        <stp>005930</stp>
        <stp>장기매입채무및기타비유동채무(요약재무)</stp>
        <stp>20230630</stp>
        <stp>Per=일,Real=false,Cons=개별,Comp=누적</stp>
        <tr r="H54" s="1"/>
      </tp>
      <tp>
        <v>30943100</v>
        <stp/>
        <stp>P</stp>
        <stp>0</stp>
        <stp>STK</stp>
        <stp>035420</stp>
        <stp>장기매입채무및기타비유동채무(요약재무)</stp>
        <stp>20230630</stp>
        <stp>Per=일,Real=false,Cons=개별,Comp=누적</stp>
        <tr r="L54" s="1"/>
      </tp>
      <tp>
        <v>674931000</v>
        <stp/>
        <stp>P</stp>
        <stp>0</stp>
        <stp>STK</stp>
        <stp>005380</stp>
        <stp>장기매입채무및기타비유동채무(요약재무)</stp>
        <stp>20230630</stp>
        <stp>Per=일,Real=false,Cons=개별,Comp=누적</stp>
        <tr r="J54" s="1"/>
      </tp>
      <tp>
        <v>429488049</v>
        <stp/>
        <stp>P</stp>
        <stp>0</stp>
        <stp>STK</stp>
        <stp>035420</stp>
        <stp>유동성장기부채(요약재무)</stp>
        <stp>20230630</stp>
        <stp>Per=일,Real=false,Cons=개별,Comp=누적</stp>
        <tr r="L67" s="1"/>
      </tp>
      <tp>
        <v>2722805000</v>
        <stp/>
        <stp>P</stp>
        <stp>0</stp>
        <stp>STK</stp>
        <stp>000660</stp>
        <stp>유동성장기부채(요약재무)</stp>
        <stp>20230630</stp>
        <stp>Per=일,Real=false,Cons=개별,Comp=누적</stp>
        <tr r="I67" s="1"/>
      </tp>
      <tp>
        <v>56691000</v>
        <stp/>
        <stp>P</stp>
        <stp>0</stp>
        <stp>STK</stp>
        <stp>000660</stp>
        <stp>장기매출채권및기타비유동채권(요약재무)</stp>
        <stp>20230630</stp>
        <stp>Per=일,Real=false,Cons=개별,Comp=누적</stp>
        <tr r="I17" s="1"/>
      </tp>
      <tp t="s">
        <v/>
        <stp/>
        <stp>P</stp>
        <stp>0</stp>
        <stp>STK</stp>
        <stp>005930</stp>
        <stp>매도가능금융자산(비금융요약재무)</stp>
        <stp>20230630</stp>
        <stp>Per=일,Real=false,Cons=개별,Comp=누적</stp>
        <tr r="H14" s="1"/>
      </tp>
      <tp>
        <v>38302556000</v>
        <stp/>
        <stp>P</stp>
        <stp>0</stp>
        <stp>STK</stp>
        <stp>005930</stp>
        <stp>유동부채(요약재무)</stp>
        <stp>20230630</stp>
        <stp>Per=일,Real=false,Cons=개별,Comp=누적</stp>
        <tr r="H61" s="1"/>
      </tp>
      <tp t="s">
        <v/>
        <stp/>
        <stp>P</stp>
        <stp>0</stp>
        <stp>STK</stp>
        <stp>005930</stp>
        <stp>비유동종업원급여충당부채(비금융요약재무)</stp>
        <stp>20230630</stp>
        <stp>Per=일,Real=false,Cons=개별,Comp=누적</stp>
        <tr r="H55" s="1"/>
      </tp>
      <tp>
        <v>1635414466</v>
        <stp/>
        <stp>P</stp>
        <stp>0</stp>
        <stp>STK</stp>
        <stp>035420</stp>
        <stp>유동부채(요약재무)</stp>
        <stp>20230630</stp>
        <stp>Per=일,Real=false,Cons=개별,Comp=누적</stp>
        <tr r="L61" s="1"/>
      </tp>
      <tp>
        <v>836584000</v>
        <stp/>
        <stp>P</stp>
        <stp>0</stp>
        <stp>STK</stp>
        <stp>005930</stp>
        <stp>비유동금융부채(요약재무)</stp>
        <stp>20230630</stp>
        <stp>Per=일,Real=false,Cons=개별,Comp=누적</stp>
        <tr r="H52" s="1"/>
      </tp>
      <tp t="s">
        <v/>
        <stp/>
        <stp>P</stp>
        <stp>0</stp>
        <stp>STK</stp>
        <stp>005930</stp>
        <stp>장기매출채권및기타비유동채권(요약재무)</stp>
        <stp>20230630</stp>
        <stp>Per=일,Real=false,Cons=개별,Comp=누적</stp>
        <tr r="H17" s="1"/>
      </tp>
      <tp>
        <v>57546400</v>
        <stp/>
        <stp>P</stp>
        <stp>0</stp>
        <stp>STK</stp>
        <stp>035420</stp>
        <stp>장기매출채권및기타비유동채권(요약재무)</stp>
        <stp>20230630</stp>
        <stp>Per=일,Real=false,Cons=개별,Comp=누적</stp>
        <tr r="L17" s="1"/>
      </tp>
      <tp>
        <v>658307000</v>
        <stp/>
        <stp>P</stp>
        <stp>0</stp>
        <stp>STK</stp>
        <stp>005380</stp>
        <stp>장기매출채권및기타비유동채권(요약재무)</stp>
        <stp>20230630</stp>
        <stp>Per=일,Real=false,Cons=개별,Comp=누적</stp>
        <tr r="J17" s="1"/>
      </tp>
      <tp>
        <v>1385444969</v>
        <stp/>
        <stp>P</stp>
        <stp>0</stp>
        <stp>STK</stp>
        <stp>068270</stp>
        <stp>유동부채(요약재무)</stp>
        <stp>20230630</stp>
        <stp>Per=일,Real=false,Cons=개별,Comp=누적</stp>
        <tr r="K61" s="1"/>
      </tp>
      <tp>
        <v>25465881000</v>
        <stp/>
        <stp>P</stp>
        <stp>0</stp>
        <stp>STK</stp>
        <stp>005380</stp>
        <stp>관계기업등지분관련투자자산(비금융요약재무)</stp>
        <stp>20230630</stp>
        <stp>Per=일,Real=false,Cons=개별,Comp=누적</stp>
        <tr r="J13" s="1"/>
      </tp>
      <tp>
        <v>14100240000</v>
        <stp/>
        <stp>P</stp>
        <stp>0</stp>
        <stp>STK</stp>
        <stp>000660</stp>
        <stp>유동부채(요약재무)</stp>
        <stp>20230630</stp>
        <stp>Per=일,Real=false,Cons=개별,Comp=누적</stp>
        <tr r="I61" s="1"/>
      </tp>
      <tp>
        <v>667326105</v>
        <stp/>
        <stp>P</stp>
        <stp>0</stp>
        <stp>STK</stp>
        <stp>068270</stp>
        <stp>관계기업등지분관련투자자산(비금융요약재무)</stp>
        <stp>20230630</stp>
        <stp>Per=일,Real=false,Cons=개별,Comp=누적</stp>
        <tr r="K13" s="1"/>
      </tp>
      <tp>
        <v>156780902</v>
        <stp/>
        <stp>P</stp>
        <stp>0</stp>
        <stp>STK</stp>
        <stp>068270</stp>
        <stp>장기매출채권및기타비유동채권(요약재무)</stp>
        <stp>20230630</stp>
        <stp>Per=일,Real=false,Cons=개별,Comp=누적</stp>
        <tr r="K17" s="1"/>
      </tp>
      <tp t="s">
        <v/>
        <stp/>
        <stp>P</stp>
        <stp>0</stp>
        <stp>STK</stp>
        <stp>005380</stp>
        <stp>비유동종업원급여충당부채(비금융요약재무)</stp>
        <stp>20230630</stp>
        <stp>Per=일,Real=false,Cons=개별,Comp=누적</stp>
        <tr r="J55" s="1"/>
      </tp>
      <tp>
        <v>311972414</v>
        <stp/>
        <stp>P</stp>
        <stp>0</stp>
        <stp>STK</stp>
        <stp>035420</stp>
        <stp>비유동금융부채(요약재무)</stp>
        <stp>20230630</stp>
        <stp>Per=일,Real=false,Cons=개별,Comp=누적</stp>
        <tr r="L52" s="1"/>
      </tp>
      <tp>
        <v>12570558000</v>
        <stp/>
        <stp>P</stp>
        <stp>0</stp>
        <stp>STK</stp>
        <stp>000660</stp>
        <stp>관계기업등지분관련투자자산(비금융요약재무)</stp>
        <stp>20230630</stp>
        <stp>Per=일,Real=false,Cons=개별,Comp=누적</stp>
        <tr r="I13" s="1"/>
      </tp>
      <tp>
        <v>20711825000</v>
        <stp/>
        <stp>P</stp>
        <stp>0</stp>
        <stp>STK</stp>
        <stp>005380</stp>
        <stp>유동부채(요약재무)</stp>
        <stp>20230630</stp>
        <stp>Per=일,Real=false,Cons=개별,Comp=누적</stp>
        <tr r="J61" s="1"/>
      </tp>
      <tp t="s">
        <v/>
        <stp/>
        <stp>P</stp>
        <stp>0</stp>
        <stp>STK</stp>
        <stp>068270</stp>
        <stp>비유동종업원급여충당부채(비금융요약재무)</stp>
        <stp>20230630</stp>
        <stp>Per=일,Real=false,Cons=개별,Comp=누적</stp>
        <tr r="K55" s="1"/>
      </tp>
      <tp t="s">
        <v/>
        <stp/>
        <stp>P</stp>
        <stp>0</stp>
        <stp>STK</stp>
        <stp>068270</stp>
        <stp>매도가능금융자산(비금융요약재무)</stp>
        <stp>20230630</stp>
        <stp>Per=일,Real=false,Cons=개별,Comp=누적</stp>
        <tr r="K14" s="1"/>
      </tp>
      <tp>
        <v>1099420000</v>
        <stp/>
        <stp>P</stp>
        <stp>0</stp>
        <stp>STK</stp>
        <stp>000660</stp>
        <stp>비유동금융부채(요약재무)</stp>
        <stp>20230630</stp>
        <stp>Per=일,Real=false,Cons=개별,Comp=누적</stp>
        <tr r="I52" s="1"/>
      </tp>
      <tp>
        <v>3129323944</v>
        <stp/>
        <stp>P</stp>
        <stp>0</stp>
        <stp>STK</stp>
        <stp>068270</stp>
        <stp>비유동자산(요약재무)</stp>
        <stp>20230630</stp>
        <stp>Per=일,Real=false,Cons=개별,Comp=누적</stp>
        <tr r="K7" s="1"/>
      </tp>
      <tp t="s">
        <v/>
        <stp/>
        <stp>P</stp>
        <stp>0</stp>
        <stp>STK</stp>
        <stp>005380</stp>
        <stp>매도가능금융자산(비금융요약재무)</stp>
        <stp>20230630</stp>
        <stp>Per=일,Real=false,Cons=개별,Comp=누적</stp>
        <tr r="J14" s="1"/>
      </tp>
      <tp>
        <v>57359028000</v>
        <stp/>
        <stp>P</stp>
        <stp>0</stp>
        <stp>STK</stp>
        <stp>005930</stp>
        <stp>관계기업등지분관련투자자산(비금융요약재무)</stp>
        <stp>20230630</stp>
        <stp>Per=일,Real=false,Cons=개별,Comp=누적</stp>
        <tr r="H13" s="1"/>
      </tp>
      <tp t="s">
        <v/>
        <stp/>
        <stp>P</stp>
        <stp>0</stp>
        <stp>STK</stp>
        <stp>035420</stp>
        <stp>매도가능금융자산(비금융요약재무)</stp>
        <stp>20230630</stp>
        <stp>Per=일,Real=false,Cons=개별,Comp=누적</stp>
        <tr r="L14" s="1"/>
      </tp>
      <tp>
        <v>61387985000</v>
        <stp/>
        <stp>P</stp>
        <stp>0</stp>
        <stp>STK</stp>
        <stp>005380</stp>
        <stp>비유동자산(요약재무)</stp>
        <stp>20230630</stp>
        <stp>Per=일,Real=false,Cons=개별,Comp=누적</stp>
        <tr r="J7" s="1"/>
      </tp>
      <tp>
        <v>212555100000</v>
        <stp/>
        <stp>P</stp>
        <stp>0</stp>
        <stp>STK</stp>
        <stp>005930</stp>
        <stp>비유동자산(요약재무)</stp>
        <stp>20230630</stp>
        <stp>Per=일,Real=false,Cons=개별,Comp=누적</stp>
        <tr r="H7" s="1"/>
      </tp>
      <tp>
        <v>75619764000</v>
        <stp/>
        <stp>P</stp>
        <stp>0</stp>
        <stp>STK</stp>
        <stp>000660</stp>
        <stp>비유동자산(요약재무)</stp>
        <stp>20230630</stp>
        <stp>Per=일,Real=false,Cons=개별,Comp=누적</stp>
        <tr r="I7" s="1"/>
      </tp>
      <tp>
        <v>8509912992</v>
        <stp/>
        <stp>P</stp>
        <stp>0</stp>
        <stp>STK</stp>
        <stp>035420</stp>
        <stp>관계기업등지분관련투자자산(비금융요약재무)</stp>
        <stp>20230630</stp>
        <stp>Per=일,Real=false,Cons=개별,Comp=누적</stp>
        <tr r="L13" s="1"/>
      </tp>
      <tp>
        <v>173355000</v>
        <stp/>
        <stp>P</stp>
        <stp>0</stp>
        <stp>STK</stp>
        <stp>000660</stp>
        <stp>비유동종업원급여충당부채(비금융요약재무)</stp>
        <stp>20230630</stp>
        <stp>Per=일,Real=false,Cons=개별,Comp=누적</stp>
        <tr r="I55" s="1"/>
      </tp>
      <tp>
        <v>105373000</v>
        <stp/>
        <stp>P</stp>
        <stp>0</stp>
        <stp>STK</stp>
        <stp>005380</stp>
        <stp>비유동금융부채(요약재무)</stp>
        <stp>20230630</stp>
        <stp>Per=일,Real=false,Cons=개별,Comp=누적</stp>
        <tr r="J52" s="1"/>
      </tp>
      <tp>
        <v>13605878195</v>
        <stp/>
        <stp>P</stp>
        <stp>0</stp>
        <stp>STK</stp>
        <stp>035420</stp>
        <stp>비유동자산(요약재무)</stp>
        <stp>20230630</stp>
        <stp>Per=일,Real=false,Cons=개별,Comp=누적</stp>
        <tr r="L7" s="1"/>
      </tp>
      <tp t="s">
        <v/>
        <stp/>
        <stp>P</stp>
        <stp>0</stp>
        <stp>STK</stp>
        <stp>000660</stp>
        <stp>매도가능금융자산(비금융요약재무)</stp>
        <stp>20230630</stp>
        <stp>Per=일,Real=false,Cons=개별,Comp=누적</stp>
        <tr r="I14" s="1"/>
      </tp>
      <tp>
        <v>2127244</v>
        <stp/>
        <stp>P</stp>
        <stp>0</stp>
        <stp>STK</stp>
        <stp>068270</stp>
        <stp>비유동금융부채(요약재무)</stp>
        <stp>20230630</stp>
        <stp>Per=일,Real=false,Cons=개별,Comp=누적</stp>
        <tr r="K52" s="1"/>
      </tp>
      <tp>
        <v>301837115</v>
        <stp/>
        <stp>P</stp>
        <stp>0</stp>
        <stp>STK</stp>
        <stp>035420</stp>
        <stp>비유동종업원급여충당부채(비금융요약재무)</stp>
        <stp>20230630</stp>
        <stp>Per=일,Real=false,Cons=개별,Comp=누적</stp>
        <tr r="L55" s="1"/>
      </tp>
      <tp t="s">
        <v/>
        <stp/>
        <stp>P</stp>
        <stp>0</stp>
        <stp>STK</stp>
        <stp>068270</stp>
        <stp>장기당기법인세부채미지급법인세(요약재무)</stp>
        <stp>20230630</stp>
        <stp>Per=일,Real=false,Cons=개별,Comp=누적</stp>
        <tr r="K58" s="1"/>
      </tp>
      <tp t="s">
        <v/>
        <stp/>
        <stp>P</stp>
        <stp>0</stp>
        <stp>STK</stp>
        <stp>005380</stp>
        <stp>장기당기법인세부채미지급법인세(요약재무)</stp>
        <stp>20230630</stp>
        <stp>Per=일,Real=false,Cons=개별,Comp=누적</stp>
        <tr r="J58" s="1"/>
      </tp>
      <tp>
        <v>7735521000</v>
        <stp/>
        <stp>P</stp>
        <stp>0</stp>
        <stp>STK</stp>
        <stp>005930</stp>
        <stp>기타비유동자산(요약재무)</stp>
        <stp>20230630</stp>
        <stp>Per=일,Real=false,Cons=개별,Comp=누적</stp>
        <tr r="H20" s="1"/>
      </tp>
      <tp t="s">
        <v/>
        <stp/>
        <stp>P</stp>
        <stp>0</stp>
        <stp>STK</stp>
        <stp>000660</stp>
        <stp>장기당기법인세부채미지급법인세(요약재무)</stp>
        <stp>20230630</stp>
        <stp>Per=일,Real=false,Cons=개별,Comp=누적</stp>
        <tr r="I58" s="1"/>
      </tp>
      <tp t="s">
        <v/>
        <stp/>
        <stp>P</stp>
        <stp>0</stp>
        <stp>STK</stp>
        <stp>035420</stp>
        <stp>장기당기법인세부채미지급법인세(요약재무)</stp>
        <stp>20230630</stp>
        <stp>Per=일,Real=false,Cons=개별,Comp=누적</stp>
        <tr r="L58" s="1"/>
      </tp>
      <tp>
        <v>-536569802</v>
        <stp/>
        <stp>P</stp>
        <stp>0</stp>
        <stp>STK</stp>
        <stp>035420</stp>
        <stp>기타포괄손익누계액(요약재무)</stp>
        <stp>20230630</stp>
        <stp>Per=일,Real=false,Cons=개별,Comp=누적</stp>
        <tr r="L39" s="1"/>
      </tp>
      <tp>
        <v>443377704</v>
        <stp/>
        <stp>P</stp>
        <stp>0</stp>
        <stp>STK</stp>
        <stp>068270</stp>
        <stp>단기차입금(요약재무)</stp>
        <stp>20230630</stp>
        <stp>Per=일,Real=false,Cons=개별,Comp=누적</stp>
        <tr r="K63" s="1"/>
      </tp>
      <tp>
        <v>157630775</v>
        <stp/>
        <stp>P</stp>
        <stp>0</stp>
        <stp>STK</stp>
        <stp>068270</stp>
        <stp>장기차입금(요약재무)</stp>
        <stp>20230630</stp>
        <stp>Per=일,Real=false,Cons=개별,Comp=누적</stp>
        <tr r="K48" s="1"/>
      </tp>
      <tp>
        <v>14269352</v>
        <stp/>
        <stp>P</stp>
        <stp>0</stp>
        <stp>STK</stp>
        <stp>068270</stp>
        <stp>기타비유동자산(요약재무)</stp>
        <stp>20230630</stp>
        <stp>Per=일,Real=false,Cons=개별,Comp=누적</stp>
        <tr r="K20" s="1"/>
      </tp>
      <tp>
        <v>-234236000</v>
        <stp/>
        <stp>P</stp>
        <stp>0</stp>
        <stp>STK</stp>
        <stp>005380</stp>
        <stp>기타포괄손익누계액(요약재무)</stp>
        <stp>20230630</stp>
        <stp>Per=일,Real=false,Cons=개별,Comp=누적</stp>
        <tr r="J39" s="1"/>
      </tp>
      <tp>
        <v>-2098637000</v>
        <stp/>
        <stp>P</stp>
        <stp>0</stp>
        <stp>STK</stp>
        <stp>005930</stp>
        <stp>기타포괄손익누계액(요약재무)</stp>
        <stp>20230630</stp>
        <stp>Per=일,Real=false,Cons=개별,Comp=누적</stp>
        <tr r="H39" s="1"/>
      </tp>
      <tp>
        <v>4826000</v>
        <stp/>
        <stp>P</stp>
        <stp>0</stp>
        <stp>STK</stp>
        <stp>000660</stp>
        <stp>기타포괄손익누계액(요약재무)</stp>
        <stp>20230630</stp>
        <stp>Per=일,Real=false,Cons=개별,Comp=누적</stp>
        <tr r="I39" s="1"/>
      </tp>
      <tp t="s">
        <v/>
        <stp/>
        <stp>P</stp>
        <stp>0</stp>
        <stp>STK</stp>
        <stp>005930</stp>
        <stp>장기당기법인세부채미지급법인세(요약재무)</stp>
        <stp>20230630</stp>
        <stp>Per=일,Real=false,Cons=개별,Comp=누적</stp>
        <tr r="H58" s="1"/>
      </tp>
      <tp>
        <v>1085906000</v>
        <stp/>
        <stp>P</stp>
        <stp>0</stp>
        <stp>STK</stp>
        <stp>005380</stp>
        <stp>기타비유동자산(요약재무)</stp>
        <stp>20230630</stp>
        <stp>Per=일,Real=false,Cons=개별,Comp=누적</stp>
        <tr r="J20" s="1"/>
      </tp>
      <tp>
        <v>2049896000</v>
        <stp/>
        <stp>P</stp>
        <stp>0</stp>
        <stp>STK</stp>
        <stp>000660</stp>
        <stp>단기차입금(요약재무)</stp>
        <stp>20230630</stp>
        <stp>Per=일,Real=false,Cons=개별,Comp=누적</stp>
        <tr r="I63" s="1"/>
      </tp>
      <tp>
        <v>2668838000</v>
        <stp/>
        <stp>P</stp>
        <stp>0</stp>
        <stp>STK</stp>
        <stp>005930</stp>
        <stp>단기차입금(요약재무)</stp>
        <stp>20230630</stp>
        <stp>Per=일,Real=false,Cons=개별,Comp=누적</stp>
        <tr r="H63" s="1"/>
      </tp>
      <tp>
        <v>1893450000</v>
        <stp/>
        <stp>P</stp>
        <stp>0</stp>
        <stp>STK</stp>
        <stp>005380</stp>
        <stp>단기차입금(요약재무)</stp>
        <stp>20230630</stp>
        <stp>Per=일,Real=false,Cons=개별,Comp=누적</stp>
        <tr r="J63" s="1"/>
      </tp>
      <tp>
        <v>598400000</v>
        <stp/>
        <stp>P</stp>
        <stp>0</stp>
        <stp>STK</stp>
        <stp>005380</stp>
        <stp>장기차입금(요약재무)</stp>
        <stp>20230630</stp>
        <stp>Per=일,Real=false,Cons=개별,Comp=누적</stp>
        <tr r="J48" s="1"/>
      </tp>
      <tp>
        <v>21990000000</v>
        <stp/>
        <stp>P</stp>
        <stp>0</stp>
        <stp>STK</stp>
        <stp>005930</stp>
        <stp>장기차입금(요약재무)</stp>
        <stp>20230630</stp>
        <stp>Per=일,Real=false,Cons=개별,Comp=누적</stp>
        <tr r="H48" s="1"/>
      </tp>
      <tp>
        <v>18877088000</v>
        <stp/>
        <stp>P</stp>
        <stp>0</stp>
        <stp>STK</stp>
        <stp>000660</stp>
        <stp>장기차입금(요약재무)</stp>
        <stp>20230630</stp>
        <stp>Per=일,Real=false,Cons=개별,Comp=누적</stp>
        <tr r="I48" s="1"/>
      </tp>
      <tp>
        <v>61513353</v>
        <stp/>
        <stp>P</stp>
        <stp>0</stp>
        <stp>STK</stp>
        <stp>035420</stp>
        <stp>기타비유동자산(요약재무)</stp>
        <stp>20230630</stp>
        <stp>Per=일,Real=false,Cons=개별,Comp=누적</stp>
        <tr r="L20" s="1"/>
      </tp>
      <tp>
        <v>3620313</v>
        <stp/>
        <stp>P</stp>
        <stp>0</stp>
        <stp>STK</stp>
        <stp>068270</stp>
        <stp>기타포괄손익누계액(요약재무)</stp>
        <stp>20230630</stp>
        <stp>Per=일,Real=false,Cons=개별,Comp=누적</stp>
        <tr r="K39" s="1"/>
      </tp>
      <tp>
        <v>2534330000</v>
        <stp/>
        <stp>P</stp>
        <stp>0</stp>
        <stp>STK</stp>
        <stp>000660</stp>
        <stp>기타비유동자산(요약재무)</stp>
        <stp>20230630</stp>
        <stp>Per=일,Real=false,Cons=개별,Comp=누적</stp>
        <tr r="I20" s="1"/>
      </tp>
      <tp t="s">
        <v/>
        <stp/>
        <stp>P</stp>
        <stp>0</stp>
        <stp>STK</stp>
        <stp>035420</stp>
        <stp>단기차입금(요약재무)</stp>
        <stp>20230630</stp>
        <stp>Per=일,Real=false,Cons=개별,Comp=누적</stp>
        <tr r="L63" s="1"/>
      </tp>
      <tp>
        <v>676165500</v>
        <stp/>
        <stp>P</stp>
        <stp>0</stp>
        <stp>STK</stp>
        <stp>035420</stp>
        <stp>장기차입금(요약재무)</stp>
        <stp>20230630</stp>
        <stp>Per=일,Real=false,Cons=개별,Comp=누적</stp>
        <tr r="L48" s="1"/>
      </tp>
      <tp>
        <v>126115000</v>
        <stp/>
        <stp>P</stp>
        <stp>0</stp>
        <stp>STK</stp>
        <stp>005380</stp>
        <stp>투자부동산(비금융요약재무)</stp>
        <stp>20230630</stp>
        <stp>Per=일,Real=false,Cons=개별,Comp=누적</stp>
        <tr r="J9" s="1"/>
      </tp>
      <tp>
        <v>217000</v>
        <stp/>
        <stp>P</stp>
        <stp>0</stp>
        <stp>STK</stp>
        <stp>000660</stp>
        <stp>투자부동산(비금융요약재무)</stp>
        <stp>20230630</stp>
        <stp>Per=일,Real=false,Cons=개별,Comp=누적</stp>
        <tr r="I9" s="1"/>
      </tp>
      <tp t="s">
        <v/>
        <stp/>
        <stp>P</stp>
        <stp>0</stp>
        <stp>STK</stp>
        <stp>068270</stp>
        <stp>투자부동산(비금융요약재무)</stp>
        <stp>20230630</stp>
        <stp>Per=일,Real=false,Cons=개별,Comp=누적</stp>
        <tr r="K9" s="1"/>
      </tp>
      <tp>
        <v>286690135</v>
        <stp/>
        <stp>P</stp>
        <stp>0</stp>
        <stp>STK</stp>
        <stp>035420</stp>
        <stp>투자부동산(비금융요약재무)</stp>
        <stp>20230630</stp>
        <stp>Per=일,Real=false,Cons=개별,Comp=누적</stp>
        <tr r="L9" s="1"/>
      </tp>
      <tp t="s">
        <v/>
        <stp/>
        <stp>P</stp>
        <stp>0</stp>
        <stp>STK</stp>
        <stp>005930</stp>
        <stp>투자부동산(비금융요약재무)</stp>
        <stp>20230630</stp>
        <stp>Per=일,Real=false,Cons=개별,Comp=누적</stp>
        <tr r="H9" s="1"/>
      </tp>
      <tp t="s">
        <v/>
        <stp/>
        <stp>P</stp>
        <stp>0</stp>
        <stp>STK</stp>
        <stp>000660</stp>
        <stp>주임종장기차입금(요약재무)</stp>
        <stp>20230630</stp>
        <stp>Per=일,Real=false,Cons=개별,Comp=누적</stp>
        <tr r="I51" s="1"/>
      </tp>
      <tp t="s">
        <v/>
        <stp/>
        <stp>P</stp>
        <stp>0</stp>
        <stp>STK</stp>
        <stp>000660</stp>
        <stp>주임종단기차입금(요약재무)</stp>
        <stp>20230630</stp>
        <stp>Per=일,Real=false,Cons=개별,Comp=누적</stp>
        <tr r="I66" s="1"/>
      </tp>
      <tp t="s">
        <v/>
        <stp/>
        <stp>P</stp>
        <stp>0</stp>
        <stp>STK</stp>
        <stp>068270</stp>
        <stp>주임종장기차입금(요약재무)</stp>
        <stp>20230630</stp>
        <stp>Per=일,Real=false,Cons=개별,Comp=누적</stp>
        <tr r="K51" s="1"/>
      </tp>
      <tp t="s">
        <v/>
        <stp/>
        <stp>P</stp>
        <stp>0</stp>
        <stp>STK</stp>
        <stp>068270</stp>
        <stp>주임종단기차입금(요약재무)</stp>
        <stp>20230630</stp>
        <stp>Per=일,Real=false,Cons=개별,Comp=누적</stp>
        <tr r="K66" s="1"/>
      </tp>
      <tp t="s">
        <v/>
        <stp/>
        <stp>P</stp>
        <stp>0</stp>
        <stp>STK</stp>
        <stp>000660</stp>
        <stp>비지배당기순손익(요약재무)</stp>
        <stp>20230630</stp>
        <stp>Per=일,Real=false,Cons=개별,Comp=누적</stp>
        <tr r="I43" s="1"/>
      </tp>
      <tp>
        <v>60526251</v>
        <stp/>
        <stp>P</stp>
        <stp>0</stp>
        <stp>STK</stp>
        <stp>068270</stp>
        <stp>기타유동자산(요약재무)</stp>
        <stp>20230630</stp>
        <stp>Per=일,Real=false,Cons=개별,Comp=누적</stp>
        <tr r="K29" s="1"/>
      </tp>
      <tp t="s">
        <v/>
        <stp/>
        <stp>P</stp>
        <stp>0</stp>
        <stp>STK</stp>
        <stp>068270</stp>
        <stp>비지배당기순손익(요약재무)</stp>
        <stp>20230630</stp>
        <stp>Per=일,Real=false,Cons=개별,Comp=누적</stp>
        <tr r="K43" s="1"/>
      </tp>
      <tp>
        <v>35990543000</v>
        <stp/>
        <stp>P</stp>
        <stp>0</stp>
        <stp>STK</stp>
        <stp>000660</stp>
        <stp>부채(요약재무)</stp>
        <stp>20230630</stp>
        <stp>Per=일,Real=false,Cons=개별,Comp=누적</stp>
        <tr r="I45" s="1"/>
      </tp>
      <tp t="s">
        <v/>
        <stp/>
        <stp>P</stp>
        <stp>0</stp>
        <stp>STK</stp>
        <stp>035420</stp>
        <stp>주임종장기차입금(요약재무)</stp>
        <stp>20230630</stp>
        <stp>Per=일,Real=false,Cons=개별,Comp=누적</stp>
        <tr r="L51" s="1"/>
      </tp>
      <tp t="s">
        <v/>
        <stp/>
        <stp>P</stp>
        <stp>0</stp>
        <stp>STK</stp>
        <stp>035420</stp>
        <stp>주임종단기차입금(요약재무)</stp>
        <stp>20230630</stp>
        <stp>Per=일,Real=false,Cons=개별,Comp=누적</stp>
        <tr r="L66" s="1"/>
      </tp>
      <tp t="s">
        <v/>
        <stp/>
        <stp>P</stp>
        <stp>0</stp>
        <stp>STK</stp>
        <stp>005930</stp>
        <stp>주임종장기차입금(요약재무)</stp>
        <stp>20230630</stp>
        <stp>Per=일,Real=false,Cons=개별,Comp=누적</stp>
        <tr r="H51" s="1"/>
      </tp>
      <tp t="s">
        <v/>
        <stp/>
        <stp>P</stp>
        <stp>0</stp>
        <stp>STK</stp>
        <stp>005930</stp>
        <stp>주임종단기차입금(요약재무)</stp>
        <stp>20230630</stp>
        <stp>Per=일,Real=false,Cons=개별,Comp=누적</stp>
        <tr r="H66" s="1"/>
      </tp>
      <tp t="s">
        <v/>
        <stp/>
        <stp>P</stp>
        <stp>0</stp>
        <stp>STK</stp>
        <stp>035420</stp>
        <stp>비지배당기순손익(요약재무)</stp>
        <stp>20230630</stp>
        <stp>Per=일,Real=false,Cons=개별,Comp=누적</stp>
        <tr r="L43" s="1"/>
      </tp>
      <tp t="s">
        <v/>
        <stp/>
        <stp>P</stp>
        <stp>0</stp>
        <stp>STK</stp>
        <stp>005380</stp>
        <stp>지배기업주주지분(요약재무)</stp>
        <stp>20230630</stp>
        <stp>Per=일,Real=false,Cons=개별,Comp=누적</stp>
        <tr r="J34" s="1"/>
      </tp>
      <tp>
        <v>4461670294</v>
        <stp/>
        <stp>P</stp>
        <stp>0</stp>
        <stp>STK</stp>
        <stp>035420</stp>
        <stp>부채(요약재무)</stp>
        <stp>20230630</stp>
        <stp>Per=일,Real=false,Cons=개별,Comp=누적</stp>
        <tr r="L45" s="1"/>
      </tp>
      <tp>
        <v>26521086000</v>
        <stp/>
        <stp>P</stp>
        <stp>0</stp>
        <stp>STK</stp>
        <stp>005380</stp>
        <stp>부채(요약재무)</stp>
        <stp>20230630</stp>
        <stp>Per=일,Real=false,Cons=개별,Comp=누적</stp>
        <tr r="J45" s="1"/>
      </tp>
      <tp>
        <v>67838801000</v>
        <stp/>
        <stp>P</stp>
        <stp>0</stp>
        <stp>STK</stp>
        <stp>005930</stp>
        <stp>부채(요약재무)</stp>
        <stp>20230630</stp>
        <stp>Per=일,Real=false,Cons=개별,Comp=누적</stp>
        <tr r="H45" s="1"/>
      </tp>
      <tp t="s">
        <v/>
        <stp/>
        <stp>P</stp>
        <stp>0</stp>
        <stp>STK</stp>
        <stp>005930</stp>
        <stp>비지배당기순손익(요약재무)</stp>
        <stp>20230630</stp>
        <stp>Per=일,Real=false,Cons=개별,Comp=누적</stp>
        <tr r="H43" s="1"/>
      </tp>
      <tp t="s">
        <v/>
        <stp/>
        <stp>P</stp>
        <stp>0</stp>
        <stp>STK</stp>
        <stp>000660</stp>
        <stp>지배기업주주지분(요약재무)</stp>
        <stp>20230630</stp>
        <stp>Per=일,Real=false,Cons=개별,Comp=누적</stp>
        <tr r="I34" s="1"/>
      </tp>
      <tp t="s">
        <v/>
        <stp/>
        <stp>P</stp>
        <stp>0</stp>
        <stp>STK</stp>
        <stp>068270</stp>
        <stp>지배기업주주지분(요약재무)</stp>
        <stp>20230630</stp>
        <stp>Per=일,Real=false,Cons=개별,Comp=누적</stp>
        <tr r="K34" s="1"/>
      </tp>
      <tp>
        <v>409363000</v>
        <stp/>
        <stp>P</stp>
        <stp>0</stp>
        <stp>STK</stp>
        <stp>000660</stp>
        <stp>기타유동자산(요약재무)</stp>
        <stp>20230630</stp>
        <stp>Per=일,Real=false,Cons=개별,Comp=누적</stp>
        <tr r="I29" s="1"/>
      </tp>
      <tp>
        <v>1672389923</v>
        <stp/>
        <stp>P</stp>
        <stp>0</stp>
        <stp>STK</stp>
        <stp>068270</stp>
        <stp>부채(요약재무)</stp>
        <stp>20230630</stp>
        <stp>Per=일,Real=false,Cons=개별,Comp=누적</stp>
        <tr r="K45" s="1"/>
      </tp>
      <tp t="s">
        <v/>
        <stp/>
        <stp>P</stp>
        <stp>0</stp>
        <stp>STK</stp>
        <stp>005380</stp>
        <stp>비지배당기순손익(요약재무)</stp>
        <stp>20230630</stp>
        <stp>Per=일,Real=false,Cons=개별,Comp=누적</stp>
        <tr r="J43" s="1"/>
      </tp>
      <tp t="s">
        <v/>
        <stp/>
        <stp>P</stp>
        <stp>0</stp>
        <stp>STK</stp>
        <stp>035420</stp>
        <stp>지배기업주주지분(요약재무)</stp>
        <stp>20230630</stp>
        <stp>Per=일,Real=false,Cons=개별,Comp=누적</stp>
        <tr r="L34" s="1"/>
      </tp>
      <tp t="s">
        <v/>
        <stp/>
        <stp>P</stp>
        <stp>0</stp>
        <stp>STK</stp>
        <stp>005930</stp>
        <stp>지배기업주주지분(요약재무)</stp>
        <stp>20230630</stp>
        <stp>Per=일,Real=false,Cons=개별,Comp=누적</stp>
        <tr r="H34" s="1"/>
      </tp>
      <tp t="s">
        <v/>
        <stp/>
        <stp>P</stp>
        <stp>0</stp>
        <stp>STK</stp>
        <stp>005380</stp>
        <stp>주임종장기차입금(요약재무)</stp>
        <stp>20230630</stp>
        <stp>Per=일,Real=false,Cons=개별,Comp=누적</stp>
        <tr r="J51" s="1"/>
      </tp>
      <tp t="s">
        <v/>
        <stp/>
        <stp>P</stp>
        <stp>0</stp>
        <stp>STK</stp>
        <stp>005380</stp>
        <stp>주임종단기차입금(요약재무)</stp>
        <stp>20230630</stp>
        <stp>Per=일,Real=false,Cons=개별,Comp=누적</stp>
        <tr r="J66" s="1"/>
      </tp>
      <tp>
        <v>3806241000</v>
        <stp/>
        <stp>P</stp>
        <stp>0</stp>
        <stp>STK</stp>
        <stp>005930</stp>
        <stp>기타유동자산(요약재무)</stp>
        <stp>20230630</stp>
        <stp>Per=일,Real=false,Cons=개별,Comp=누적</stp>
        <tr r="H29" s="1"/>
      </tp>
      <tp>
        <v>303585000</v>
        <stp/>
        <stp>P</stp>
        <stp>0</stp>
        <stp>STK</stp>
        <stp>005380</stp>
        <stp>기타유동자산(요약재무)</stp>
        <stp>20230630</stp>
        <stp>Per=일,Real=false,Cons=개별,Comp=누적</stp>
        <tr r="J29" s="1"/>
      </tp>
      <tp>
        <v>42224500</v>
        <stp/>
        <stp>P</stp>
        <stp>0</stp>
        <stp>STK</stp>
        <stp>035420</stp>
        <stp>기타유동자산(요약재무)</stp>
        <stp>20230630</stp>
        <stp>Per=일,Real=false,Cons=개별,Comp=누적</stp>
        <tr r="L29" s="1"/>
      </tp>
      <tp>
        <v>2659000</v>
        <stp/>
        <stp>P</stp>
        <stp>0</stp>
        <stp>STK</stp>
        <stp>000660</stp>
        <stp>기타유동부채(요약재무)</stp>
        <stp>20230630</stp>
        <stp>Per=일,Real=false,Cons=개별,Comp=누적</stp>
        <tr r="I74" s="1"/>
      </tp>
      <tp>
        <v>5945596264</v>
        <stp/>
        <stp>P</stp>
        <stp>0</stp>
        <stp>STK</stp>
        <stp>068270</stp>
        <stp>자산(요약재무)</stp>
        <stp>20230630</stp>
        <stp>Per=일,Real=false,Cons=개별,Comp=누적</stp>
        <tr r="K6" s="1"/>
      </tp>
      <tp>
        <v>4273206341</v>
        <stp/>
        <stp>P</stp>
        <stp>0</stp>
        <stp>STK</stp>
        <stp>068270</stp>
        <stp>자본(요약재무)</stp>
        <stp>20230630</stp>
        <stp>Per=일,Real=false,Cons=개별,Comp=누적</stp>
        <tr r="K33" s="1"/>
      </tp>
      <tp>
        <v>380969648</v>
        <stp/>
        <stp>P</stp>
        <stp>0</stp>
        <stp>STK</stp>
        <stp>035420</stp>
        <stp>기타유동부채(요약재무)</stp>
        <stp>20230630</stp>
        <stp>Per=일,Real=false,Cons=개별,Comp=누적</stp>
        <tr r="L74" s="1"/>
      </tp>
      <tp>
        <v>923888000</v>
        <stp/>
        <stp>P</stp>
        <stp>0</stp>
        <stp>STK</stp>
        <stp>005380</stp>
        <stp>기타유동부채(요약재무)</stp>
        <stp>20230630</stp>
        <stp>Per=일,Real=false,Cons=개별,Comp=누적</stp>
        <tr r="J74" s="1"/>
      </tp>
      <tp>
        <v>861536000</v>
        <stp/>
        <stp>P</stp>
        <stp>0</stp>
        <stp>STK</stp>
        <stp>005930</stp>
        <stp>기타유동부채(요약재무)</stp>
        <stp>20230630</stp>
        <stp>Per=일,Real=false,Cons=개별,Comp=누적</stp>
        <tr r="H74" s="1"/>
      </tp>
      <tp t="s">
        <v/>
        <stp/>
        <stp>P</stp>
        <stp>0</stp>
        <stp>STK</stp>
        <stp>068270</stp>
        <stp>사채(요약재무)</stp>
        <stp>20230630</stp>
        <stp>Per=일,Real=false,Cons=개별,Comp=누적</stp>
        <tr r="K47" s="1"/>
      </tp>
      <tp t="s">
        <v/>
        <stp/>
        <stp>P</stp>
        <stp>0</stp>
        <stp>STK</stp>
        <stp>005930</stp>
        <stp>비지배주주지분(요약재무)</stp>
        <stp>20230630</stp>
        <stp>Per=일,Real=false,Cons=개별,Comp=누적</stp>
        <tr r="H42" s="1"/>
      </tp>
      <tp>
        <v>421721240</v>
        <stp/>
        <stp>P</stp>
        <stp>0</stp>
        <stp>STK</stp>
        <stp>068270</stp>
        <stp>기타유동부채(요약재무)</stp>
        <stp>20230630</stp>
        <stp>Per=일,Real=false,Cons=개별,Comp=누적</stp>
        <tr r="K74" s="1"/>
      </tp>
      <tp t="s">
        <v/>
        <stp/>
        <stp>P</stp>
        <stp>0</stp>
        <stp>STK</stp>
        <stp>035420</stp>
        <stp>장기당기법인세자산(요약재무)</stp>
        <stp>20230630</stp>
        <stp>Per=일,Real=false,Cons=개별,Comp=누적</stp>
        <tr r="L19" s="1"/>
      </tp>
      <tp t="s">
        <v/>
        <stp/>
        <stp>P</stp>
        <stp>0</stp>
        <stp>STK</stp>
        <stp>000660</stp>
        <stp>비지배주주지분(요약재무)</stp>
        <stp>20230630</stp>
        <stp>Per=일,Real=false,Cons=개별,Comp=누적</stp>
        <tr r="I42" s="1"/>
      </tp>
      <tp>
        <v>92741899000</v>
        <stp/>
        <stp>P</stp>
        <stp>0</stp>
        <stp>STK</stp>
        <stp>000660</stp>
        <stp>자산(요약재무)</stp>
        <stp>20230630</stp>
        <stp>Per=일,Real=false,Cons=개별,Comp=누적</stp>
        <tr r="I6" s="1"/>
      </tp>
      <tp>
        <v>56751356000</v>
        <stp/>
        <stp>P</stp>
        <stp>0</stp>
        <stp>STK</stp>
        <stp>000660</stp>
        <stp>자본(요약재무)</stp>
        <stp>20230630</stp>
        <stp>Per=일,Real=false,Cons=개별,Comp=누적</stp>
        <tr r="I33" s="1"/>
      </tp>
      <tp t="s">
        <v/>
        <stp/>
        <stp>P</stp>
        <stp>0</stp>
        <stp>STK</stp>
        <stp>035420</stp>
        <stp>비지배주주지분(요약재무)</stp>
        <stp>20230630</stp>
        <stp>Per=일,Real=false,Cons=개별,Comp=누적</stp>
        <tr r="L42" s="1"/>
      </tp>
      <tp>
        <v>25883000</v>
        <stp/>
        <stp>P</stp>
        <stp>0</stp>
        <stp>STK</stp>
        <stp>005930</stp>
        <stp>사채(요약재무)</stp>
        <stp>20230630</stp>
        <stp>Per=일,Real=false,Cons=개별,Comp=누적</stp>
        <tr r="H47" s="1"/>
      </tp>
      <tp>
        <v>459194000</v>
        <stp/>
        <stp>P</stp>
        <stp>0</stp>
        <stp>STK</stp>
        <stp>005380</stp>
        <stp>사채(요약재무)</stp>
        <stp>20230630</stp>
        <stp>Per=일,Real=false,Cons=개별,Comp=누적</stp>
        <tr r="J47" s="1"/>
      </tp>
      <tp t="s">
        <v/>
        <stp/>
        <stp>P</stp>
        <stp>0</stp>
        <stp>STK</stp>
        <stp>005930</stp>
        <stp>장기당기법인세자산(요약재무)</stp>
        <stp>20230630</stp>
        <stp>Per=일,Real=false,Cons=개별,Comp=누적</stp>
        <tr r="H19" s="1"/>
      </tp>
      <tp t="s">
        <v/>
        <stp/>
        <stp>P</stp>
        <stp>0</stp>
        <stp>STK</stp>
        <stp>005380</stp>
        <stp>장기당기법인세자산(요약재무)</stp>
        <stp>20230630</stp>
        <stp>Per=일,Real=false,Cons=개별,Comp=누적</stp>
        <tr r="J19" s="1"/>
      </tp>
      <tp>
        <v>1492304724</v>
        <stp/>
        <stp>P</stp>
        <stp>0</stp>
        <stp>STK</stp>
        <stp>035420</stp>
        <stp>사채(요약재무)</stp>
        <stp>20230630</stp>
        <stp>Per=일,Real=false,Cons=개별,Comp=누적</stp>
        <tr r="L47" s="1"/>
      </tp>
      <tp t="s">
        <v/>
        <stp/>
        <stp>P</stp>
        <stp>0</stp>
        <stp>STK</stp>
        <stp>000660</stp>
        <stp>장기당기법인세자산(요약재무)</stp>
        <stp>20230630</stp>
        <stp>Per=일,Real=false,Cons=개별,Comp=누적</stp>
        <tr r="I19" s="1"/>
      </tp>
      <tp t="s">
        <v/>
        <stp/>
        <stp>P</stp>
        <stp>0</stp>
        <stp>STK</stp>
        <stp>068270</stp>
        <stp>비지배주주지분(요약재무)</stp>
        <stp>20230630</stp>
        <stp>Per=일,Real=false,Cons=개별,Comp=누적</stp>
        <tr r="K42" s="1"/>
      </tp>
      <tp>
        <v>286027593000</v>
        <stp/>
        <stp>P</stp>
        <stp>0</stp>
        <stp>STK</stp>
        <stp>005930</stp>
        <stp>자산(요약재무)</stp>
        <stp>20230630</stp>
        <stp>Per=일,Real=false,Cons=개별,Comp=누적</stp>
        <tr r="H6" s="1"/>
      </tp>
      <tp>
        <v>85484784000</v>
        <stp/>
        <stp>P</stp>
        <stp>0</stp>
        <stp>STK</stp>
        <stp>005380</stp>
        <stp>자산(요약재무)</stp>
        <stp>20230630</stp>
        <stp>Per=일,Real=false,Cons=개별,Comp=누적</stp>
        <tr r="J6" s="1"/>
      </tp>
      <tp>
        <v>15049377142</v>
        <stp/>
        <stp>P</stp>
        <stp>0</stp>
        <stp>STK</stp>
        <stp>035420</stp>
        <stp>자산(요약재무)</stp>
        <stp>20230630</stp>
        <stp>Per=일,Real=false,Cons=개별,Comp=누적</stp>
        <tr r="L6" s="1"/>
      </tp>
      <tp>
        <v>10587706848</v>
        <stp/>
        <stp>P</stp>
        <stp>0</stp>
        <stp>STK</stp>
        <stp>035420</stp>
        <stp>자본(요약재무)</stp>
        <stp>20230630</stp>
        <stp>Per=일,Real=false,Cons=개별,Comp=누적</stp>
        <tr r="L33" s="1"/>
      </tp>
      <tp>
        <v>58963698000</v>
        <stp/>
        <stp>P</stp>
        <stp>0</stp>
        <stp>STK</stp>
        <stp>005380</stp>
        <stp>자본(요약재무)</stp>
        <stp>20230630</stp>
        <stp>Per=일,Real=false,Cons=개별,Comp=누적</stp>
        <tr r="J33" s="1"/>
      </tp>
      <tp>
        <v>218188792000</v>
        <stp/>
        <stp>P</stp>
        <stp>0</stp>
        <stp>STK</stp>
        <stp>005930</stp>
        <stp>자본(요약재무)</stp>
        <stp>20230630</stp>
        <stp>Per=일,Real=false,Cons=개별,Comp=누적</stp>
        <tr r="H33" s="1"/>
      </tp>
      <tp t="s">
        <v/>
        <stp/>
        <stp>P</stp>
        <stp>0</stp>
        <stp>STK</stp>
        <stp>005380</stp>
        <stp>비지배주주지분(요약재무)</stp>
        <stp>20230630</stp>
        <stp>Per=일,Real=false,Cons=개별,Comp=누적</stp>
        <tr r="J42" s="1"/>
      </tp>
      <tp t="s">
        <v/>
        <stp/>
        <stp>P</stp>
        <stp>0</stp>
        <stp>STK</stp>
        <stp>068270</stp>
        <stp>장기당기법인세자산(요약재무)</stp>
        <stp>20230630</stp>
        <stp>Per=일,Real=false,Cons=개별,Comp=누적</stp>
        <tr r="K19" s="1"/>
      </tp>
      <tp t="s">
        <v/>
        <stp/>
        <stp>P</stp>
        <stp>0</stp>
        <stp>STK</stp>
        <stp>000660</stp>
        <stp>사채(요약재무)</stp>
        <stp>20230630</stp>
        <stp>Per=일,Real=false,Cons=개별,Comp=누적</stp>
        <tr r="I47" s="1"/>
      </tp>
      <tp>
        <v>50982808000</v>
        <stp/>
        <stp>P</stp>
        <stp>0</stp>
        <stp>STK</stp>
        <stp>000660</stp>
        <stp>이익잉여금결손금(요약재무)</stp>
        <stp>20230630</stp>
        <stp>Per=일,Real=false,Cons=개별,Comp=누적</stp>
        <tr r="I40" s="1"/>
      </tp>
      <tp>
        <v>-3003260000</v>
        <stp/>
        <stp>P</stp>
        <stp>0</stp>
        <stp>STK</stp>
        <stp>000660</stp>
        <stp>지배당기순손익(요약재무)</stp>
        <stp>20230630</stp>
        <stp>Per=일,Real=false,Cons=개별,Comp=누적</stp>
        <tr r="I41" s="1"/>
      </tp>
      <tp>
        <v>3822988192</v>
        <stp/>
        <stp>P</stp>
        <stp>0</stp>
        <stp>STK</stp>
        <stp>068270</stp>
        <stp>이익잉여금결손금(요약재무)</stp>
        <stp>20230630</stp>
        <stp>Per=일,Real=false,Cons=개별,Comp=누적</stp>
        <tr r="K40" s="1"/>
      </tp>
      <tp>
        <v>672801223</v>
        <stp/>
        <stp>P</stp>
        <stp>0</stp>
        <stp>STK</stp>
        <stp>035420</stp>
        <stp>지배당기순손익(요약재무)</stp>
        <stp>20230630</stp>
        <stp>Per=일,Real=false,Cons=개별,Comp=누적</stp>
        <tr r="L41" s="1"/>
      </tp>
      <tp>
        <v>4700292000</v>
        <stp/>
        <stp>P</stp>
        <stp>0</stp>
        <stp>STK</stp>
        <stp>005380</stp>
        <stp>지배당기순손익(요약재무)</stp>
        <stp>20230630</stp>
        <stp>Per=일,Real=false,Cons=개별,Comp=누적</stp>
        <tr r="J41" s="1"/>
      </tp>
      <tp>
        <v>10782664240</v>
        <stp/>
        <stp>P</stp>
        <stp>0</stp>
        <stp>STK</stp>
        <stp>035420</stp>
        <stp>이익잉여금결손금(요약재무)</stp>
        <stp>20230630</stp>
        <stp>Per=일,Real=false,Cons=개별,Comp=누적</stp>
        <tr r="L40" s="1"/>
      </tp>
      <tp>
        <v>311790188</v>
        <stp/>
        <stp>P</stp>
        <stp>0</stp>
        <stp>STK</stp>
        <stp>068270</stp>
        <stp>지배당기순손익(요약재무)</stp>
        <stp>20230630</stp>
        <stp>Per=일,Real=false,Cons=개별,Comp=누적</stp>
        <tr r="K41" s="1"/>
      </tp>
      <tp>
        <v>213225614000</v>
        <stp/>
        <stp>P</stp>
        <stp>0</stp>
        <stp>STK</stp>
        <stp>005930</stp>
        <stp>이익잉여금결손금(요약재무)</stp>
        <stp>20230630</stp>
        <stp>Per=일,Real=false,Cons=개별,Comp=누적</stp>
        <tr r="H40" s="1"/>
      </tp>
      <tp t="s">
        <v/>
        <stp/>
        <stp>P</stp>
        <stp>0</stp>
        <stp>STK</stp>
        <stp>005930</stp>
        <stp>유동종업원급여충당부채(요약재무)</stp>
        <stp>20230630</stp>
        <stp>Per=일,Real=false,Cons=개별,Comp=누적</stp>
        <tr r="H71" s="1"/>
      </tp>
      <tp t="s">
        <v/>
        <stp/>
        <stp>P</stp>
        <stp>0</stp>
        <stp>STK</stp>
        <stp>068270</stp>
        <stp>기타금융업부채(비금융요약재무)</stp>
        <stp>20230630</stp>
        <stp>Per=일,Real=false,Cons=개별,Comp=누적</stp>
        <tr r="K60" s="1"/>
      </tp>
      <tp t="s">
        <v/>
        <stp/>
        <stp>P</stp>
        <stp>0</stp>
        <stp>STK</stp>
        <stp>068270</stp>
        <stp>기타금융업자산(비금융요약재무)</stp>
        <stp>20230630</stp>
        <stp>Per=일,Real=false,Cons=개별,Comp=누적</stp>
        <tr r="K22" s="1"/>
      </tp>
      <tp t="s">
        <v/>
        <stp/>
        <stp>P</stp>
        <stp>0</stp>
        <stp>STK</stp>
        <stp>000660</stp>
        <stp>유동종업원급여충당부채(요약재무)</stp>
        <stp>20230630</stp>
        <stp>Per=일,Real=false,Cons=개별,Comp=누적</stp>
        <tr r="I71" s="1"/>
      </tp>
      <tp t="s">
        <v/>
        <stp/>
        <stp>P</stp>
        <stp>0</stp>
        <stp>STK</stp>
        <stp>035420</stp>
        <stp>유동종업원급여충당부채(요약재무)</stp>
        <stp>20230630</stp>
        <stp>Per=일,Real=false,Cons=개별,Comp=누적</stp>
        <tr r="L71" s="1"/>
      </tp>
      <tp t="s">
        <v/>
        <stp/>
        <stp>P</stp>
        <stp>0</stp>
        <stp>STK</stp>
        <stp>005930</stp>
        <stp>기타금융업부채(비금융요약재무)</stp>
        <stp>20230630</stp>
        <stp>Per=일,Real=false,Cons=개별,Comp=누적</stp>
        <tr r="H60" s="1"/>
      </tp>
      <tp t="s">
        <v/>
        <stp/>
        <stp>P</stp>
        <stp>0</stp>
        <stp>STK</stp>
        <stp>005380</stp>
        <stp>기타금융업부채(비금융요약재무)</stp>
        <stp>20230630</stp>
        <stp>Per=일,Real=false,Cons=개별,Comp=누적</stp>
        <tr r="J60" s="1"/>
      </tp>
      <tp t="s">
        <v/>
        <stp/>
        <stp>P</stp>
        <stp>0</stp>
        <stp>STK</stp>
        <stp>035420</stp>
        <stp>기타금융업부채(비금융요약재무)</stp>
        <stp>20230630</stp>
        <stp>Per=일,Real=false,Cons=개별,Comp=누적</stp>
        <tr r="L60" s="1"/>
      </tp>
      <tp t="s">
        <v/>
        <stp/>
        <stp>P</stp>
        <stp>0</stp>
        <stp>STK</stp>
        <stp>005380</stp>
        <stp>기타금융업자산(비금융요약재무)</stp>
        <stp>20230630</stp>
        <stp>Per=일,Real=false,Cons=개별,Comp=누적</stp>
        <tr r="J22" s="1"/>
      </tp>
      <tp t="s">
        <v/>
        <stp/>
        <stp>P</stp>
        <stp>0</stp>
        <stp>STK</stp>
        <stp>035420</stp>
        <stp>기타금융업자산(비금융요약재무)</stp>
        <stp>20230630</stp>
        <stp>Per=일,Real=false,Cons=개별,Comp=누적</stp>
        <tr r="L22" s="1"/>
      </tp>
      <tp t="s">
        <v/>
        <stp/>
        <stp>P</stp>
        <stp>0</stp>
        <stp>STK</stp>
        <stp>005930</stp>
        <stp>기타금융업자산(비금융요약재무)</stp>
        <stp>20230630</stp>
        <stp>Per=일,Real=false,Cons=개별,Comp=누적</stp>
        <tr r="H22" s="1"/>
      </tp>
      <tp t="s">
        <v/>
        <stp/>
        <stp>P</stp>
        <stp>0</stp>
        <stp>STK</stp>
        <stp>005380</stp>
        <stp>유동종업원급여충당부채(요약재무)</stp>
        <stp>20230630</stp>
        <stp>Per=일,Real=false,Cons=개별,Comp=누적</stp>
        <tr r="J71" s="1"/>
      </tp>
      <tp t="s">
        <v/>
        <stp/>
        <stp>P</stp>
        <stp>0</stp>
        <stp>STK</stp>
        <stp>068270</stp>
        <stp>유동종업원급여충당부채(요약재무)</stp>
        <stp>20230630</stp>
        <stp>Per=일,Real=false,Cons=개별,Comp=누적</stp>
        <tr r="K71" s="1"/>
      </tp>
      <tp>
        <v>13742728000</v>
        <stp/>
        <stp>P</stp>
        <stp>0</stp>
        <stp>STK</stp>
        <stp>005930</stp>
        <stp>지배당기순손익(요약재무)</stp>
        <stp>20230630</stp>
        <stp>Per=일,Real=false,Cons=개별,Comp=누적</stp>
        <tr r="H41" s="1"/>
      </tp>
      <tp>
        <v>54796539000</v>
        <stp/>
        <stp>P</stp>
        <stp>0</stp>
        <stp>STK</stp>
        <stp>005380</stp>
        <stp>이익잉여금결손금(요약재무)</stp>
        <stp>20230630</stp>
        <stp>Per=일,Real=false,Cons=개별,Comp=누적</stp>
        <tr r="J40" s="1"/>
      </tp>
      <tp t="s">
        <v/>
        <stp/>
        <stp>P</stp>
        <stp>0</stp>
        <stp>STK</stp>
        <stp>000660</stp>
        <stp>기타금융업부채(비금융요약재무)</stp>
        <stp>20230630</stp>
        <stp>Per=일,Real=false,Cons=개별,Comp=누적</stp>
        <tr r="I60" s="1"/>
      </tp>
      <tp t="s">
        <v/>
        <stp/>
        <stp>P</stp>
        <stp>0</stp>
        <stp>STK</stp>
        <stp>000660</stp>
        <stp>기타금융업자산(비금융요약재무)</stp>
        <stp>20230630</stp>
        <stp>Per=일,Real=false,Cons=개별,Comp=누적</stp>
        <tr r="I22" s="1"/>
      </tp>
      <tp t="s">
        <v/>
        <stp/>
        <stp>P</stp>
        <stp>0</stp>
        <stp>STK</stp>
        <stp>068270</stp>
        <stp>단기사채(요약재무)</stp>
        <stp>20230630</stp>
        <stp>Per=일,Real=false,Cons=개별,Comp=누적</stp>
        <tr r="K62" s="1"/>
      </tp>
      <tp>
        <v>24182820000</v>
        <stp/>
        <stp>P</stp>
        <stp>0</stp>
        <stp>STK</stp>
        <stp>005930</stp>
        <stp>매출채권및기타유동채권(요약재무)</stp>
        <stp>20230630</stp>
        <stp>Per=일,Real=false,Cons=개별,Comp=누적</stp>
        <tr r="H27" s="1"/>
      </tp>
      <tp>
        <v>11486743000</v>
        <stp/>
        <stp>P</stp>
        <stp>0</stp>
        <stp>STK</stp>
        <stp>005380</stp>
        <stp>매입채무및기타유동채무(요약재무)</stp>
        <stp>20230630</stp>
        <stp>Per=일,Real=false,Cons=개별,Comp=누적</stp>
        <tr r="J70" s="1"/>
      </tp>
      <tp>
        <v>1700000000</v>
        <stp/>
        <stp>P</stp>
        <stp>0</stp>
        <stp>STK</stp>
        <stp>000660</stp>
        <stp>단기사채(요약재무)</stp>
        <stp>20230630</stp>
        <stp>Per=일,Real=false,Cons=개별,Comp=누적</stp>
        <tr r="I62" s="1"/>
      </tp>
      <tp>
        <v>317590188</v>
        <stp/>
        <stp>P</stp>
        <stp>0</stp>
        <stp>STK</stp>
        <stp>068270</stp>
        <stp>매입채무및기타유동채무(요약재무)</stp>
        <stp>20230630</stp>
        <stp>Per=일,Real=false,Cons=개별,Comp=누적</stp>
        <tr r="K70" s="1"/>
      </tp>
      <tp>
        <v>557028151</v>
        <stp/>
        <stp>P</stp>
        <stp>0</stp>
        <stp>STK</stp>
        <stp>035420</stp>
        <stp>매입채무및기타유동채무(요약재무)</stp>
        <stp>20230630</stp>
        <stp>Per=일,Real=false,Cons=개별,Comp=누적</stp>
        <tr r="L70" s="1"/>
      </tp>
      <tp t="s">
        <v/>
        <stp/>
        <stp>P</stp>
        <stp>0</stp>
        <stp>STK</stp>
        <stp>005930</stp>
        <stp>단기사채(요약재무)</stp>
        <stp>20230630</stp>
        <stp>Per=일,Real=false,Cons=개별,Comp=누적</stp>
        <tr r="H62" s="1"/>
      </tp>
      <tp t="s">
        <v/>
        <stp/>
        <stp>P</stp>
        <stp>0</stp>
        <stp>STK</stp>
        <stp>035420</stp>
        <stp>단기사채(요약재무)</stp>
        <stp>20230630</stp>
        <stp>Per=일,Real=false,Cons=개별,Comp=누적</stp>
        <tr r="L62" s="1"/>
      </tp>
      <tp>
        <v>6230198000</v>
        <stp/>
        <stp>P</stp>
        <stp>0</stp>
        <stp>STK</stp>
        <stp>000660</stp>
        <stp>매입채무및기타유동채무(요약재무)</stp>
        <stp>20230630</stp>
        <stp>Per=일,Real=false,Cons=개별,Comp=누적</stp>
        <tr r="I70" s="1"/>
      </tp>
      <tp>
        <v>7605794000</v>
        <stp/>
        <stp>P</stp>
        <stp>0</stp>
        <stp>STK</stp>
        <stp>005380</stp>
        <stp>매출채권및기타유동채권(요약재무)</stp>
        <stp>20230630</stp>
        <stp>Per=일,Real=false,Cons=개별,Comp=누적</stp>
        <tr r="J27" s="1"/>
      </tp>
      <tp>
        <v>29720894000</v>
        <stp/>
        <stp>P</stp>
        <stp>0</stp>
        <stp>STK</stp>
        <stp>005930</stp>
        <stp>매입채무및기타유동채무(요약재무)</stp>
        <stp>20230630</stp>
        <stp>Per=일,Real=false,Cons=개별,Comp=누적</stp>
        <tr r="H70" s="1"/>
      </tp>
      <tp>
        <v>1738382767</v>
        <stp/>
        <stp>P</stp>
        <stp>0</stp>
        <stp>STK</stp>
        <stp>068270</stp>
        <stp>매출채권및기타유동채권(요약재무)</stp>
        <stp>20230630</stp>
        <stp>Per=일,Real=false,Cons=개별,Comp=누적</stp>
        <tr r="K27" s="1"/>
      </tp>
      <tp t="s">
        <v/>
        <stp/>
        <stp>P</stp>
        <stp>0</stp>
        <stp>STK</stp>
        <stp>005380</stp>
        <stp>단기사채(요약재무)</stp>
        <stp>20230630</stp>
        <stp>Per=일,Real=false,Cons=개별,Comp=누적</stp>
        <tr r="J62" s="1"/>
      </tp>
      <tp>
        <v>2702616000</v>
        <stp/>
        <stp>P</stp>
        <stp>0</stp>
        <stp>STK</stp>
        <stp>000660</stp>
        <stp>매출채권및기타유동채권(요약재무)</stp>
        <stp>20230630</stp>
        <stp>Per=일,Real=false,Cons=개별,Comp=누적</stp>
        <tr r="I27" s="1"/>
      </tp>
      <tp>
        <v>513663861</v>
        <stp/>
        <stp>P</stp>
        <stp>0</stp>
        <stp>STK</stp>
        <stp>035420</stp>
        <stp>매출채권및기타유동채권(요약재무)</stp>
        <stp>20230630</stp>
        <stp>Per=일,Real=false,Cons=개별,Comp=누적</stp>
        <tr r="L27" s="1"/>
      </tp>
      <tp>
        <v>123420832</v>
        <stp/>
        <stp>P</stp>
        <stp>0</stp>
        <stp>STK</stp>
        <stp>068270</stp>
        <stp>기타비유동부채(요약재무)</stp>
        <stp>20230630</stp>
        <stp>Per=일,Real=false,Cons=개별,Comp=누적</stp>
        <tr r="K59" s="1"/>
      </tp>
      <tp>
        <v>4115000</v>
        <stp/>
        <stp>P</stp>
        <stp>0</stp>
        <stp>STK</stp>
        <stp>000660</stp>
        <stp>당기법인세부채미지급법인세(비금융요약재무)</stp>
        <stp>20230630</stp>
        <stp>Per=일,Real=false,Cons=개별,Comp=누적</stp>
        <tr r="I73" s="1"/>
      </tp>
      <tp>
        <v>1110265000</v>
        <stp/>
        <stp>P</stp>
        <stp>0</stp>
        <stp>STK</stp>
        <stp>005380</stp>
        <stp>기타비유동부채(요약재무)</stp>
        <stp>20230630</stp>
        <stp>Per=일,Real=false,Cons=개별,Comp=누적</stp>
        <tr r="J59" s="1"/>
      </tp>
      <tp>
        <v>127809512</v>
        <stp/>
        <stp>P</stp>
        <stp>0</stp>
        <stp>STK</stp>
        <stp>068270</stp>
        <stp>당기법인세부채미지급법인세(비금융요약재무)</stp>
        <stp>20230630</stp>
        <stp>Per=일,Real=false,Cons=개별,Comp=누적</stp>
        <tr r="K73" s="1"/>
      </tp>
      <tp t="s">
        <v/>
        <stp/>
        <stp>P</stp>
        <stp>0</stp>
        <stp>STK</stp>
        <stp>068270</stp>
        <stp>신종자본증권(요약재무)</stp>
        <stp>20230630</stp>
        <stp>Per=일,Real=false,Cons=개별,Comp=누적</stp>
        <tr r="K36" s="1"/>
      </tp>
      <tp t="s">
        <v/>
        <stp/>
        <stp>P</stp>
        <stp>0</stp>
        <stp>STK</stp>
        <stp>005380</stp>
        <stp>매각예정비유동자산및처분자산집단(요약재무)</stp>
        <stp>20230630</stp>
        <stp>Per=일,Real=false,Cons=개별,Comp=누적</stp>
        <tr r="J31" s="1"/>
      </tp>
      <tp t="s">
        <v/>
        <stp/>
        <stp>P</stp>
        <stp>0</stp>
        <stp>STK</stp>
        <stp>000660</stp>
        <stp>기타비유동부채(요약재무)</stp>
        <stp>20230630</stp>
        <stp>Per=일,Real=false,Cons=개별,Comp=누적</stp>
        <tr r="I59" s="1"/>
      </tp>
      <tp>
        <v>217918752</v>
        <stp/>
        <stp>P</stp>
        <stp>0</stp>
        <stp>STK</stp>
        <stp>035420</stp>
        <stp>당기법인세부채미지급법인세(비금융요약재무)</stp>
        <stp>20230630</stp>
        <stp>Per=일,Real=false,Cons=개별,Comp=누적</stp>
        <tr r="L73" s="1"/>
      </tp>
      <tp t="s">
        <v/>
        <stp/>
        <stp>P</stp>
        <stp>0</stp>
        <stp>STK</stp>
        <stp>005930</stp>
        <stp>당기법인세자산선급법인세(비금융요약재무)</stp>
        <stp>20230630</stp>
        <stp>Per=일,Real=false,Cons=개별,Comp=누적</stp>
        <tr r="H28" s="1"/>
      </tp>
      <tp t="s">
        <v/>
        <stp/>
        <stp>P</stp>
        <stp>0</stp>
        <stp>STK</stp>
        <stp>005930</stp>
        <stp>유동성리스부채(요약재무)</stp>
        <stp>20230630</stp>
        <stp>Per=일,Real=false,Cons=개별,Comp=누적</stp>
        <tr r="H69" s="1"/>
      </tp>
      <tp t="s">
        <v/>
        <stp/>
        <stp>P</stp>
        <stp>0</stp>
        <stp>STK</stp>
        <stp>005930</stp>
        <stp>당기법인세부채미지급법인세(비금융요약재무)</stp>
        <stp>20230630</stp>
        <stp>Per=일,Real=false,Cons=개별,Comp=누적</stp>
        <tr r="H73" s="1"/>
      </tp>
      <tp t="s">
        <v/>
        <stp/>
        <stp>P</stp>
        <stp>0</stp>
        <stp>STK</stp>
        <stp>068270</stp>
        <stp>이연법인세부채(비금융요약재무)</stp>
        <stp>20230630</stp>
        <stp>Per=일,Real=false,Cons=개별,Comp=누적</stp>
        <tr r="K57" s="1"/>
      </tp>
      <tp>
        <v>57488169</v>
        <stp/>
        <stp>P</stp>
        <stp>0</stp>
        <stp>STK</stp>
        <stp>068270</stp>
        <stp>이연법인세자산(비금융요약재무)</stp>
        <stp>20230630</stp>
        <stp>Per=일,Real=false,Cons=개별,Comp=누적</stp>
        <tr r="K18" s="1"/>
      </tp>
      <tp>
        <v>2627100</v>
        <stp/>
        <stp>P</stp>
        <stp>0</stp>
        <stp>STK</stp>
        <stp>035420</stp>
        <stp>기타비유동부채(요약재무)</stp>
        <stp>20230630</stp>
        <stp>Per=일,Real=false,Cons=개별,Comp=누적</stp>
        <tr r="L59" s="1"/>
      </tp>
      <tp t="s">
        <v/>
        <stp/>
        <stp>P</stp>
        <stp>0</stp>
        <stp>STK</stp>
        <stp>005930</stp>
        <stp>매각예정비유동자산및처분자산집단(요약재무)</stp>
        <stp>20230630</stp>
        <stp>Per=일,Real=false,Cons=개별,Comp=누적</stp>
        <tr r="H31" s="1"/>
      </tp>
      <tp>
        <v>48214110</v>
        <stp/>
        <stp>P</stp>
        <stp>0</stp>
        <stp>STK</stp>
        <stp>035420</stp>
        <stp>유동성리스부채(요약재무)</stp>
        <stp>20230630</stp>
        <stp>Per=일,Real=false,Cons=개별,Comp=누적</stp>
        <tr r="L69" s="1"/>
      </tp>
      <tp>
        <v>196330551</v>
        <stp/>
        <stp>P</stp>
        <stp>0</stp>
        <stp>STK</stp>
        <stp>035420</stp>
        <stp>매각예정비유동자산및처분자산집단(요약재무)</stp>
        <stp>20230630</stp>
        <stp>Per=일,Real=false,Cons=개별,Comp=누적</stp>
        <tr r="L31" s="1"/>
      </tp>
      <tp t="s">
        <v/>
        <stp/>
        <stp>P</stp>
        <stp>0</stp>
        <stp>STK</stp>
        <stp>035420</stp>
        <stp>당기법인세자산선급법인세(비금융요약재무)</stp>
        <stp>20230630</stp>
        <stp>Per=일,Real=false,Cons=개별,Comp=누적</stp>
        <tr r="L28" s="1"/>
      </tp>
      <tp t="s">
        <v/>
        <stp/>
        <stp>P</stp>
        <stp>0</stp>
        <stp>STK</stp>
        <stp>000660</stp>
        <stp>신종자본증권(요약재무)</stp>
        <stp>20230630</stp>
        <stp>Per=일,Real=false,Cons=개별,Comp=누적</stp>
        <tr r="I36" s="1"/>
      </tp>
      <tp>
        <v>211807000</v>
        <stp/>
        <stp>P</stp>
        <stp>0</stp>
        <stp>STK</stp>
        <stp>000660</stp>
        <stp>유동성리스부채(요약재무)</stp>
        <stp>20230630</stp>
        <stp>Per=일,Real=false,Cons=개별,Comp=누적</stp>
        <tr r="I69" s="1"/>
      </tp>
      <tp t="s">
        <v/>
        <stp/>
        <stp>P</stp>
        <stp>0</stp>
        <stp>STK</stp>
        <stp>035420</stp>
        <stp>이연법인세부채(비금융요약재무)</stp>
        <stp>20230630</stp>
        <stp>Per=일,Real=false,Cons=개별,Comp=누적</stp>
        <tr r="L57" s="1"/>
      </tp>
      <tp t="s">
        <v/>
        <stp/>
        <stp>P</stp>
        <stp>0</stp>
        <stp>STK</stp>
        <stp>005380</stp>
        <stp>이연법인세부채(비금융요약재무)</stp>
        <stp>20230630</stp>
        <stp>Per=일,Real=false,Cons=개별,Comp=누적</stp>
        <tr r="J57" s="1"/>
      </tp>
      <tp t="s">
        <v/>
        <stp/>
        <stp>P</stp>
        <stp>0</stp>
        <stp>STK</stp>
        <stp>005930</stp>
        <stp>이연법인세부채(비금융요약재무)</stp>
        <stp>20230630</stp>
        <stp>Per=일,Real=false,Cons=개별,Comp=누적</stp>
        <tr r="H57" s="1"/>
      </tp>
      <tp>
        <v>1957367000</v>
        <stp/>
        <stp>P</stp>
        <stp>0</stp>
        <stp>STK</stp>
        <stp>005930</stp>
        <stp>이연법인세자산(비금융요약재무)</stp>
        <stp>20230630</stp>
        <stp>Per=일,Real=false,Cons=개별,Comp=누적</stp>
        <tr r="H18" s="1"/>
      </tp>
      <tp>
        <v>279673610</v>
        <stp/>
        <stp>P</stp>
        <stp>0</stp>
        <stp>STK</stp>
        <stp>035420</stp>
        <stp>이연법인세자산(비금융요약재무)</stp>
        <stp>20230630</stp>
        <stp>Per=일,Real=false,Cons=개별,Comp=누적</stp>
        <tr r="L18" s="1"/>
      </tp>
      <tp>
        <v>1711237000</v>
        <stp/>
        <stp>P</stp>
        <stp>0</stp>
        <stp>STK</stp>
        <stp>005380</stp>
        <stp>이연법인세자산(비금융요약재무)</stp>
        <stp>20230630</stp>
        <stp>Per=일,Real=false,Cons=개별,Comp=누적</stp>
        <tr r="J18" s="1"/>
      </tp>
      <tp>
        <v>53511000</v>
        <stp/>
        <stp>P</stp>
        <stp>0</stp>
        <stp>STK</stp>
        <stp>005930</stp>
        <stp>기타비유동부채(요약재무)</stp>
        <stp>20230630</stp>
        <stp>Per=일,Real=false,Cons=개별,Comp=누적</stp>
        <tr r="H59" s="1"/>
      </tp>
      <tp>
        <v>12158000</v>
        <stp/>
        <stp>P</stp>
        <stp>0</stp>
        <stp>STK</stp>
        <stp>000660</stp>
        <stp>당기법인세자산선급법인세(비금융요약재무)</stp>
        <stp>20230630</stp>
        <stp>Per=일,Real=false,Cons=개별,Comp=누적</stp>
        <tr r="I28" s="1"/>
      </tp>
      <tp t="s">
        <v/>
        <stp/>
        <stp>P</stp>
        <stp>0</stp>
        <stp>STK</stp>
        <stp>068270</stp>
        <stp>매각예정비유동자산및처분자산집단(요약재무)</stp>
        <stp>20230630</stp>
        <stp>Per=일,Real=false,Cons=개별,Comp=누적</stp>
        <tr r="K31" s="1"/>
      </tp>
      <tp t="s">
        <v/>
        <stp/>
        <stp>P</stp>
        <stp>0</stp>
        <stp>STK</stp>
        <stp>005380</stp>
        <stp>신종자본증권(요약재무)</stp>
        <stp>20230630</stp>
        <stp>Per=일,Real=false,Cons=개별,Comp=누적</stp>
        <tr r="J36" s="1"/>
      </tp>
      <tp t="s">
        <v/>
        <stp/>
        <stp>P</stp>
        <stp>0</stp>
        <stp>STK</stp>
        <stp>035420</stp>
        <stp>신종자본증권(요약재무)</stp>
        <stp>20230630</stp>
        <stp>Per=일,Real=false,Cons=개별,Comp=누적</stp>
        <tr r="L36" s="1"/>
      </tp>
      <tp t="s">
        <v/>
        <stp/>
        <stp>P</stp>
        <stp>0</stp>
        <stp>STK</stp>
        <stp>005930</stp>
        <stp>신종자본증권(요약재무)</stp>
        <stp>20230630</stp>
        <stp>Per=일,Real=false,Cons=개별,Comp=누적</stp>
        <tr r="H36" s="1"/>
      </tp>
      <tp t="s">
        <v/>
        <stp/>
        <stp>P</stp>
        <stp>0</stp>
        <stp>STK</stp>
        <stp>000660</stp>
        <stp>매각예정비유동자산및처분자산집단(요약재무)</stp>
        <stp>20230630</stp>
        <stp>Per=일,Real=false,Cons=개별,Comp=누적</stp>
        <tr r="I31" s="1"/>
      </tp>
      <tp t="s">
        <v/>
        <stp/>
        <stp>P</stp>
        <stp>0</stp>
        <stp>STK</stp>
        <stp>000660</stp>
        <stp>이연법인세부채(비금융요약재무)</stp>
        <stp>20230630</stp>
        <stp>Per=일,Real=false,Cons=개별,Comp=누적</stp>
        <tr r="I57" s="1"/>
      </tp>
      <tp>
        <v>1312091000</v>
        <stp/>
        <stp>P</stp>
        <stp>0</stp>
        <stp>STK</stp>
        <stp>000660</stp>
        <stp>이연법인세자산(비금융요약재무)</stp>
        <stp>20230630</stp>
        <stp>Per=일,Real=false,Cons=개별,Comp=누적</stp>
        <tr r="I18" s="1"/>
      </tp>
      <tp t="s">
        <v/>
        <stp/>
        <stp>P</stp>
        <stp>0</stp>
        <stp>STK</stp>
        <stp>068270</stp>
        <stp>유동성리스부채(요약재무)</stp>
        <stp>20230630</stp>
        <stp>Per=일,Real=false,Cons=개별,Comp=누적</stp>
        <tr r="K69" s="1"/>
      </tp>
      <tp t="s">
        <v/>
        <stp/>
        <stp>P</stp>
        <stp>0</stp>
        <stp>STK</stp>
        <stp>005380</stp>
        <stp>당기법인세자산선급법인세(비금융요약재무)</stp>
        <stp>20230630</stp>
        <stp>Per=일,Real=false,Cons=개별,Comp=누적</stp>
        <tr r="J28" s="1"/>
      </tp>
      <tp>
        <v>712038000</v>
        <stp/>
        <stp>P</stp>
        <stp>0</stp>
        <stp>STK</stp>
        <stp>005380</stp>
        <stp>당기법인세부채미지급법인세(비금융요약재무)</stp>
        <stp>20230630</stp>
        <stp>Per=일,Real=false,Cons=개별,Comp=누적</stp>
        <tr r="J73" s="1"/>
      </tp>
      <tp>
        <v>65788000</v>
        <stp/>
        <stp>P</stp>
        <stp>0</stp>
        <stp>STK</stp>
        <stp>005380</stp>
        <stp>유동성리스부채(요약재무)</stp>
        <stp>20230630</stp>
        <stp>Per=일,Real=false,Cons=개별,Comp=누적</stp>
        <tr r="J69" s="1"/>
      </tp>
      <tp t="s">
        <v/>
        <stp/>
        <stp>P</stp>
        <stp>0</stp>
        <stp>STK</stp>
        <stp>068270</stp>
        <stp>당기법인세자산선급법인세(비금융요약재무)</stp>
        <stp>20230630</stp>
        <stp>Per=일,Real=false,Cons=개별,Comp=누적</stp>
        <tr r="K28" s="1"/>
      </tp>
    </main>
  </volType>
</volTypes>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volatileDependencies" Target="volatileDependencies.xml"/><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Drop" dropStyle="combo" dx="22" fmlaLink="Sheet2!$A$1" fmlaRange="Sheet2!$B$1:$B$8" noThreeD="1" val="0"/>
</file>

<file path=xl/ctrlProps/ctrlProp2.xml><?xml version="1.0" encoding="utf-8"?>
<formControlPr xmlns="http://schemas.microsoft.com/office/spreadsheetml/2009/9/main" objectType="Drop" dropStyle="combo" dx="22" fmlaLink="Sheet2!$F$1" fmlaRange="Sheet2!$G$1:$G$2" noThreeD="1" val="0"/>
</file>

<file path=xl/ctrlProps/ctrlProp3.xml><?xml version="1.0" encoding="utf-8"?>
<formControlPr xmlns="http://schemas.microsoft.com/office/spreadsheetml/2009/9/main" objectType="Drop" dropStyle="combo" dx="22" fmlaLink="Sheet2!$H$1" fmlaRange="Sheet2!$I$1:$I$12" noThreeD="1" val="0"/>
</file>

<file path=xl/ctrlProps/ctrlProp4.xml><?xml version="1.0" encoding="utf-8"?>
<formControlPr xmlns="http://schemas.microsoft.com/office/spreadsheetml/2009/9/main" objectType="Drop" dropStyle="combo" dx="22" fmlaLink="Sheet2!$J$5" fmlaRange="Sheet2!$J$1:$J$4" noThreeD="1" sel="3" val="0"/>
</file>

<file path=xl/ctrlProps/ctrlProp5.xml><?xml version="1.0" encoding="utf-8"?>
<formControlPr xmlns="http://schemas.microsoft.com/office/spreadsheetml/2009/9/main" objectType="Drop" dropStyle="combo" dx="22" fmlaLink="Sheet2!$D$1" fmlaRange="Sheet2!$E$1:$E$2" noThreeD="1" sel="2" val="0"/>
</file>

<file path=xl/ctrlProps/ctrlProp6.xml><?xml version="1.0" encoding="utf-8"?>
<formControlPr xmlns="http://schemas.microsoft.com/office/spreadsheetml/2009/9/main" objectType="Drop" dropStyle="combo" dx="22" fmlaLink="Sheet2!$N$1" fmlaRange="Sheet2!$O$1:$O$8" noThreeD="1" val="0"/>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firstButton="1" fmlaLink="Sheet2!$L$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1724025</xdr:colOff>
          <xdr:row>3</xdr:row>
          <xdr:rowOff>142875</xdr:rowOff>
        </xdr:from>
        <xdr:to>
          <xdr:col>4</xdr:col>
          <xdr:colOff>3124200</xdr:colOff>
          <xdr:row>4</xdr:row>
          <xdr:rowOff>114300</xdr:rowOff>
        </xdr:to>
        <xdr:sp macro="" textlink="">
          <xdr:nvSpPr>
            <xdr:cNvPr id="1026" name="Drop Down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3228975</xdr:colOff>
          <xdr:row>3</xdr:row>
          <xdr:rowOff>142875</xdr:rowOff>
        </xdr:from>
        <xdr:to>
          <xdr:col>4</xdr:col>
          <xdr:colOff>3771900</xdr:colOff>
          <xdr:row>4</xdr:row>
          <xdr:rowOff>114300</xdr:rowOff>
        </xdr:to>
        <xdr:sp macro="" textlink="">
          <xdr:nvSpPr>
            <xdr:cNvPr id="1028" name="Drop Down 4"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1066800</xdr:colOff>
          <xdr:row>1</xdr:row>
          <xdr:rowOff>104775</xdr:rowOff>
        </xdr:from>
        <xdr:to>
          <xdr:col>10</xdr:col>
          <xdr:colOff>600075</xdr:colOff>
          <xdr:row>2</xdr:row>
          <xdr:rowOff>76200</xdr:rowOff>
        </xdr:to>
        <xdr:sp macro="" textlink="">
          <xdr:nvSpPr>
            <xdr:cNvPr id="1029" name="Drop Down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695325</xdr:colOff>
          <xdr:row>1</xdr:row>
          <xdr:rowOff>104775</xdr:rowOff>
        </xdr:from>
        <xdr:to>
          <xdr:col>10</xdr:col>
          <xdr:colOff>1333500</xdr:colOff>
          <xdr:row>2</xdr:row>
          <xdr:rowOff>76200</xdr:rowOff>
        </xdr:to>
        <xdr:sp macro="" textlink="">
          <xdr:nvSpPr>
            <xdr:cNvPr id="1030" name="Drop Down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xdr:row>
          <xdr:rowOff>57150</xdr:rowOff>
        </xdr:from>
        <xdr:to>
          <xdr:col>9</xdr:col>
          <xdr:colOff>939675</xdr:colOff>
          <xdr:row>2</xdr:row>
          <xdr:rowOff>126075</xdr:rowOff>
        </xdr:to>
        <xdr:grpSp>
          <xdr:nvGrpSpPr>
            <xdr:cNvPr id="2" name="그룹 1">
              <a:extLst>
                <a:ext uri="{FF2B5EF4-FFF2-40B4-BE49-F238E27FC236}">
                  <a16:creationId xmlns:a16="http://schemas.microsoft.com/office/drawing/2014/main" xmlns="" id="{00000000-0008-0000-0000-000002000000}"/>
                </a:ext>
              </a:extLst>
            </xdr:cNvPr>
            <xdr:cNvGrpSpPr/>
          </xdr:nvGrpSpPr>
          <xdr:grpSpPr>
            <a:xfrm>
              <a:off x="6048375" y="152400"/>
              <a:ext cx="2016000" cy="278475"/>
              <a:chOff x="4267200" y="161925"/>
              <a:chExt cx="2016000" cy="1015825"/>
            </a:xfrm>
          </xdr:grpSpPr>
          <xdr:sp macro="" textlink="">
            <xdr:nvSpPr>
              <xdr:cNvPr id="1031" name="Group Box 7" hidden="1">
                <a:extLst>
                  <a:ext uri="{63B3BB69-23CF-44E3-9099-C40C66FF867C}">
                    <a14:compatExt spid="_x0000_s1031"/>
                  </a:ext>
                </a:extLst>
              </xdr:cNvPr>
              <xdr:cNvSpPr/>
            </xdr:nvSpPr>
            <xdr:spPr>
              <a:xfrm>
                <a:off x="4267200" y="161925"/>
                <a:ext cx="2016000" cy="1015825"/>
              </a:xfrm>
              <a:prstGeom prst="rect">
                <a:avLst/>
              </a:prstGeom>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단위</a:t>
                </a:r>
              </a:p>
            </xdr:txBody>
          </xdr:sp>
          <xdr:sp macro="" textlink="">
            <xdr:nvSpPr>
              <xdr:cNvPr id="1032" name="Option Button 8" hidden="1">
                <a:extLst>
                  <a:ext uri="{63B3BB69-23CF-44E3-9099-C40C66FF867C}">
                    <a14:compatExt spid="_x0000_s1032"/>
                  </a:ext>
                </a:extLst>
              </xdr:cNvPr>
              <xdr:cNvSpPr/>
            </xdr:nvSpPr>
            <xdr:spPr>
              <a:xfrm>
                <a:off x="5857875" y="367093"/>
                <a:ext cx="396000" cy="634891"/>
              </a:xfrm>
              <a:prstGeom prst="rect">
                <a:avLst/>
              </a:prstGeom>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천</a:t>
                </a:r>
              </a:p>
            </xdr:txBody>
          </xdr:sp>
          <xdr:sp macro="" textlink="">
            <xdr:nvSpPr>
              <xdr:cNvPr id="1033" name="Option Button 9" hidden="1">
                <a:extLst>
                  <a:ext uri="{63B3BB69-23CF-44E3-9099-C40C66FF867C}">
                    <a14:compatExt spid="_x0000_s1033"/>
                  </a:ext>
                </a:extLst>
              </xdr:cNvPr>
              <xdr:cNvSpPr/>
            </xdr:nvSpPr>
            <xdr:spPr>
              <a:xfrm>
                <a:off x="5298700" y="367093"/>
                <a:ext cx="504000" cy="634891"/>
              </a:xfrm>
              <a:prstGeom prst="rect">
                <a:avLst/>
              </a:prstGeom>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백만</a:t>
                </a:r>
              </a:p>
            </xdr:txBody>
          </xdr:sp>
          <xdr:sp macro="" textlink="">
            <xdr:nvSpPr>
              <xdr:cNvPr id="1034" name="Option Button 10" hidden="1">
                <a:extLst>
                  <a:ext uri="{63B3BB69-23CF-44E3-9099-C40C66FF867C}">
                    <a14:compatExt spid="_x0000_s1034"/>
                  </a:ext>
                </a:extLst>
              </xdr:cNvPr>
              <xdr:cNvSpPr/>
            </xdr:nvSpPr>
            <xdr:spPr>
              <a:xfrm>
                <a:off x="4883525" y="367093"/>
                <a:ext cx="360000" cy="634891"/>
              </a:xfrm>
              <a:prstGeom prst="rect">
                <a:avLst/>
              </a:prstGeom>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억</a:t>
                </a:r>
              </a:p>
            </xdr:txBody>
          </xdr:sp>
          <xdr:sp macro="" textlink="">
            <xdr:nvSpPr>
              <xdr:cNvPr id="1035" name="Option Button 11" hidden="1">
                <a:extLst>
                  <a:ext uri="{63B3BB69-23CF-44E3-9099-C40C66FF867C}">
                    <a14:compatExt spid="_x0000_s1035"/>
                  </a:ext>
                </a:extLst>
              </xdr:cNvPr>
              <xdr:cNvSpPr/>
            </xdr:nvSpPr>
            <xdr:spPr>
              <a:xfrm>
                <a:off x="4324350" y="367093"/>
                <a:ext cx="504000" cy="634891"/>
              </a:xfrm>
              <a:prstGeom prst="rect">
                <a:avLst/>
              </a:prstGeom>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십억</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466725</xdr:colOff>
          <xdr:row>3</xdr:row>
          <xdr:rowOff>142875</xdr:rowOff>
        </xdr:from>
        <xdr:to>
          <xdr:col>4</xdr:col>
          <xdr:colOff>1181100</xdr:colOff>
          <xdr:row>4</xdr:row>
          <xdr:rowOff>114300</xdr:rowOff>
        </xdr:to>
        <xdr:sp macro="" textlink="">
          <xdr:nvSpPr>
            <xdr:cNvPr id="1039" name="Drop Down 15"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142875</xdr:rowOff>
        </xdr:from>
        <xdr:to>
          <xdr:col>4</xdr:col>
          <xdr:colOff>400050</xdr:colOff>
          <xdr:row>4</xdr:row>
          <xdr:rowOff>114300</xdr:rowOff>
        </xdr:to>
        <xdr:sp macro="" textlink="">
          <xdr:nvSpPr>
            <xdr:cNvPr id="1040" name="Drop Down 16"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1</xdr:row>
          <xdr:rowOff>47625</xdr:rowOff>
        </xdr:from>
        <xdr:to>
          <xdr:col>11</xdr:col>
          <xdr:colOff>1238250</xdr:colOff>
          <xdr:row>2</xdr:row>
          <xdr:rowOff>95250</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종목코드 찾기</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28330"/>
  <sheetViews>
    <sheetView showGridLines="0" showRowColHeaders="0" tabSelected="1" zoomScaleNormal="100" workbookViewId="0">
      <pane xSplit="7" ySplit="5" topLeftCell="H6" activePane="bottomRight" state="frozen"/>
      <selection pane="topRight" activeCell="H1" sqref="H1"/>
      <selection pane="bottomLeft" activeCell="A6" sqref="A6"/>
      <selection pane="bottomRight"/>
    </sheetView>
  </sheetViews>
  <sheetFormatPr defaultRowHeight="16.5" outlineLevelRow="3" x14ac:dyDescent="0.3"/>
  <cols>
    <col min="1" max="4" width="1.625" customWidth="1"/>
    <col min="5" max="5" width="50.75" customWidth="1"/>
    <col min="6" max="6" width="3.625" hidden="1" customWidth="1"/>
    <col min="7" max="7" width="1" customWidth="1"/>
    <col min="8" max="17" width="17.625" customWidth="1"/>
  </cols>
  <sheetData>
    <row r="1" spans="1:17" ht="7.5" customHeight="1" x14ac:dyDescent="0.3">
      <c r="H1" s="10" t="str">
        <f>IFERROR(SUBSTITUTE(SUBSTITUTE(VLOOKUP(H4,#REF!,3,0),"상장_",""),"외감_",""),"")</f>
        <v/>
      </c>
      <c r="I1" s="10" t="str">
        <f>IFERROR(SUBSTITUTE(SUBSTITUTE(VLOOKUP(I4,#REF!,3,0),"상장_",""),"외감_",""),"")</f>
        <v/>
      </c>
      <c r="J1" s="10" t="str">
        <f>IFERROR(SUBSTITUTE(SUBSTITUTE(VLOOKUP(J4,#REF!,3,0),"상장_",""),"외감_",""),"")</f>
        <v/>
      </c>
      <c r="K1" s="10" t="str">
        <f>IFERROR(SUBSTITUTE(SUBSTITUTE(VLOOKUP(K4,#REF!,3,0),"상장_",""),"외감_",""),"")</f>
        <v/>
      </c>
      <c r="L1" s="10" t="str">
        <f>IFERROR(SUBSTITUTE(SUBSTITUTE(VLOOKUP(L4,#REF!,3,0),"상장_",""),"외감_",""),"")</f>
        <v/>
      </c>
      <c r="M1" s="10" t="str">
        <f>IFERROR(SUBSTITUTE(SUBSTITUTE(VLOOKUP(M4,#REF!,3,0),"상장_",""),"외감_",""),"")</f>
        <v/>
      </c>
      <c r="N1" s="10" t="str">
        <f>IFERROR(SUBSTITUTE(SUBSTITUTE(VLOOKUP(N4,#REF!,3,0),"상장_",""),"외감_",""),"")</f>
        <v/>
      </c>
      <c r="O1" s="10" t="str">
        <f>IFERROR(SUBSTITUTE(SUBSTITUTE(VLOOKUP(O4,#REF!,3,0),"상장_",""),"외감_",""),"")</f>
        <v/>
      </c>
      <c r="P1" s="10" t="str">
        <f>IFERROR(SUBSTITUTE(SUBSTITUTE(VLOOKUP(P4,#REF!,3,0),"상장_",""),"외감_",""),"")</f>
        <v/>
      </c>
      <c r="Q1" s="10" t="str">
        <f>IFERROR(SUBSTITUTE(SUBSTITUTE(VLOOKUP(Q4,#REF!,3,0),"상장_",""),"외감_",""),"")</f>
        <v/>
      </c>
    </row>
    <row r="2" spans="1:17" ht="16.5" customHeight="1" x14ac:dyDescent="0.3">
      <c r="B2" s="33" t="s">
        <v>2364</v>
      </c>
      <c r="C2" s="33"/>
      <c r="D2" s="33"/>
      <c r="E2" s="33"/>
      <c r="H2" s="11" t="s">
        <v>3607</v>
      </c>
      <c r="M2" s="32" t="s">
        <v>5565</v>
      </c>
    </row>
    <row r="3" spans="1:17" ht="16.5" customHeight="1" thickBot="1" x14ac:dyDescent="0.35">
      <c r="B3" s="33"/>
      <c r="C3" s="33"/>
      <c r="D3" s="33"/>
      <c r="E3" s="33"/>
      <c r="M3" s="31"/>
    </row>
    <row r="4" spans="1:17" ht="16.5" customHeight="1" thickBot="1" x14ac:dyDescent="0.35">
      <c r="E4" s="25"/>
      <c r="F4" s="26"/>
      <c r="G4" s="29"/>
      <c r="H4" s="23" t="s">
        <v>2378</v>
      </c>
      <c r="I4" s="21" t="s">
        <v>2348</v>
      </c>
      <c r="J4" s="8" t="s">
        <v>2363</v>
      </c>
      <c r="K4" s="8" t="s">
        <v>2349</v>
      </c>
      <c r="L4" s="8" t="s">
        <v>2354</v>
      </c>
      <c r="M4" s="8"/>
      <c r="N4" s="8"/>
      <c r="O4" s="8"/>
      <c r="P4" s="8"/>
      <c r="Q4" s="9"/>
    </row>
    <row r="5" spans="1:17" ht="16.5" customHeight="1" thickBot="1" x14ac:dyDescent="0.35">
      <c r="E5" s="27"/>
      <c r="F5" s="28"/>
      <c r="G5" s="30"/>
      <c r="H5" s="24" t="str" cm="1">
        <f t="array" ref="H5">IF(H$4="","", _xll.IMDP("STK",H$4,"한글종목명"))</f>
        <v>삼성전자</v>
      </c>
      <c r="I5" s="22" t="str" cm="1">
        <f t="array" ref="I5">IF(I$4="","", _xll.IMDP("STK",I$4,"한글종목명"))</f>
        <v>SK하이닉스</v>
      </c>
      <c r="J5" s="6" t="str" cm="1">
        <f t="array" ref="J5">IF(J$4="","", _xll.IMDP("STK",J$4,"한글종목명"))</f>
        <v>현대차</v>
      </c>
      <c r="K5" s="6" t="str" cm="1">
        <f t="array" ref="K5">IF(K$4="","", _xll.IMDP("STK",K$4,"한글종목명"))</f>
        <v>셀트리온</v>
      </c>
      <c r="L5" s="6" t="str" cm="1">
        <f t="array" ref="L5">IF(L$4="","", _xll.IMDP("STK",L$4,"한글종목명"))</f>
        <v>NAVER</v>
      </c>
      <c r="M5" s="6" t="str" cm="1">
        <f t="array" ref="M5">IF(M$4="","", _xll.IMDP("STK",M$4,"한글종목명"))</f>
        <v/>
      </c>
      <c r="N5" s="6" t="str" cm="1">
        <f t="array" ref="N5">IF(N$4="","", _xll.IMDP("STK",N$4,"한글종목명"))</f>
        <v/>
      </c>
      <c r="O5" s="6" t="str" cm="1">
        <f t="array" ref="O5">IF(O$4="","", _xll.IMDP("STK",O$4,"한글종목명"))</f>
        <v/>
      </c>
      <c r="P5" s="6" t="str" cm="1">
        <f t="array" ref="P5">IF(P$4="","", _xll.IMDP("STK",P$4,"한글종목명"))</f>
        <v/>
      </c>
      <c r="Q5" s="7" t="str" cm="1">
        <f t="array" ref="Q5">IF(Q$4="","", _xll.IMDP("STK",Q$4,"한글종목명"))</f>
        <v/>
      </c>
    </row>
    <row r="6" spans="1:17" x14ac:dyDescent="0.3">
      <c r="A6" t="s">
        <v>0</v>
      </c>
      <c r="F6" t="str">
        <f t="shared" ref="F6:F37" si="0">A6&amp;B6&amp;C6&amp;D6&amp;E6</f>
        <v>자산(요약재무)</v>
      </c>
      <c r="H6" s="12">
        <f ca="1">IFERROR(_xll.IMDP("STK",H$4,$F6,Sheet2!$J$6,"Per=일, Real=false, Cons="&amp;Sheet2!$D$2&amp;", Comp="&amp;Sheet2!$F$2&amp;"")/IF($F6&lt;&gt;"BPS(표준재무)",Sheet2!$L$2,1),"")</f>
        <v>286027593</v>
      </c>
      <c r="I6" s="13">
        <f ca="1">IFERROR(_xll.IMDP("STK",I$4,$F6,Sheet2!$J$6,"Per=일, Real=false, Cons="&amp;Sheet2!$D$2&amp;", Comp="&amp;Sheet2!$F$2&amp;"")/IF($F6&lt;&gt;"BPS(표준재무)",Sheet2!$L$2,1),"")</f>
        <v>92741899</v>
      </c>
      <c r="J6" s="13">
        <f ca="1">IFERROR(_xll.IMDP("STK",J$4,$F6,Sheet2!$J$6,"Per=일, Real=false, Cons="&amp;Sheet2!$D$2&amp;", Comp="&amp;Sheet2!$F$2&amp;"")/IF($F6&lt;&gt;"BPS(표준재무)",Sheet2!$L$2,1),"")</f>
        <v>85484784</v>
      </c>
      <c r="K6" s="13">
        <f ca="1">IFERROR(_xll.IMDP("STK",K$4,$F6,Sheet2!$J$6,"Per=일, Real=false, Cons="&amp;Sheet2!$D$2&amp;", Comp="&amp;Sheet2!$F$2&amp;"")/IF($F6&lt;&gt;"BPS(표준재무)",Sheet2!$L$2,1),"")</f>
        <v>5945596.2640000004</v>
      </c>
      <c r="L6" s="13">
        <f ca="1">IFERROR(_xll.IMDP("STK",L$4,$F6,Sheet2!$J$6,"Per=일, Real=false, Cons="&amp;Sheet2!$D$2&amp;", Comp="&amp;Sheet2!$F$2&amp;"")/IF($F6&lt;&gt;"BPS(표준재무)",Sheet2!$L$2,1),"")</f>
        <v>15049377.142000001</v>
      </c>
      <c r="M6" s="13" t="str">
        <f ca="1">IFERROR(_xll.IMDP("STK",M$4,$F6,Sheet2!$J$6,"Per=일, Real=false, Cons="&amp;Sheet2!$D$2&amp;", Comp="&amp;Sheet2!$F$2&amp;"")/IF($F6&lt;&gt;"BPS(표준재무)",Sheet2!$L$2,1),"")</f>
        <v/>
      </c>
      <c r="N6" s="13" t="str">
        <f ca="1">IFERROR(_xll.IMDP("STK",N$4,$F6,Sheet2!$J$6,"Per=일, Real=false, Cons="&amp;Sheet2!$D$2&amp;", Comp="&amp;Sheet2!$F$2&amp;"")/IF($F6&lt;&gt;"BPS(표준재무)",Sheet2!$L$2,1),"")</f>
        <v/>
      </c>
      <c r="O6" s="13" t="str">
        <f ca="1">IFERROR(_xll.IMDP("STK",O$4,$F6,Sheet2!$J$6,"Per=일, Real=false, Cons="&amp;Sheet2!$D$2&amp;", Comp="&amp;Sheet2!$F$2&amp;"")/IF($F6&lt;&gt;"BPS(표준재무)",Sheet2!$L$2,1),"")</f>
        <v/>
      </c>
      <c r="P6" s="13" t="str">
        <f ca="1">IFERROR(_xll.IMDP("STK",P$4,$F6,Sheet2!$J$6,"Per=일, Real=false, Cons="&amp;Sheet2!$D$2&amp;", Comp="&amp;Sheet2!$F$2&amp;"")/IF($F6&lt;&gt;"BPS(표준재무)",Sheet2!$L$2,1),"")</f>
        <v/>
      </c>
      <c r="Q6" s="14" t="str">
        <f ca="1">IFERROR(_xll.IMDP("STK",Q$4,$F6,Sheet2!$J$6,"Per=일, Real=false, Cons="&amp;Sheet2!$D$2&amp;", Comp="&amp;Sheet2!$F$2&amp;"")/IF($F6&lt;&gt;"BPS(표준재무)",Sheet2!$L$2,1),"")</f>
        <v/>
      </c>
    </row>
    <row r="7" spans="1:17" outlineLevel="1" x14ac:dyDescent="0.3">
      <c r="B7" t="s">
        <v>1</v>
      </c>
      <c r="F7" t="str">
        <f t="shared" si="0"/>
        <v>비유동자산(요약재무)</v>
      </c>
      <c r="H7" s="15">
        <f ca="1">IFERROR(_xll.IMDP("STK",H$4,$F7,Sheet2!$J$6,"Per=일, Real=false, Cons="&amp;Sheet2!$D$2&amp;", Comp="&amp;Sheet2!$F$2&amp;"")/IF($F7&lt;&gt;"BPS(표준재무)",Sheet2!$L$2,1),"")</f>
        <v>212555100</v>
      </c>
      <c r="I7" s="16">
        <f ca="1">IFERROR(_xll.IMDP("STK",I$4,$F7,Sheet2!$J$6,"Per=일, Real=false, Cons="&amp;Sheet2!$D$2&amp;", Comp="&amp;Sheet2!$F$2&amp;"")/IF($F7&lt;&gt;"BPS(표준재무)",Sheet2!$L$2,1),"")</f>
        <v>75619764</v>
      </c>
      <c r="J7" s="16">
        <f ca="1">IFERROR(_xll.IMDP("STK",J$4,$F7,Sheet2!$J$6,"Per=일, Real=false, Cons="&amp;Sheet2!$D$2&amp;", Comp="&amp;Sheet2!$F$2&amp;"")/IF($F7&lt;&gt;"BPS(표준재무)",Sheet2!$L$2,1),"")</f>
        <v>61387985</v>
      </c>
      <c r="K7" s="16">
        <f ca="1">IFERROR(_xll.IMDP("STK",K$4,$F7,Sheet2!$J$6,"Per=일, Real=false, Cons="&amp;Sheet2!$D$2&amp;", Comp="&amp;Sheet2!$F$2&amp;"")/IF($F7&lt;&gt;"BPS(표준재무)",Sheet2!$L$2,1),"")</f>
        <v>3129323.9440000001</v>
      </c>
      <c r="L7" s="16">
        <f ca="1">IFERROR(_xll.IMDP("STK",L$4,$F7,Sheet2!$J$6,"Per=일, Real=false, Cons="&amp;Sheet2!$D$2&amp;", Comp="&amp;Sheet2!$F$2&amp;"")/IF($F7&lt;&gt;"BPS(표준재무)",Sheet2!$L$2,1),"")</f>
        <v>13605878.195</v>
      </c>
      <c r="M7" s="16" t="str">
        <f ca="1">IFERROR(_xll.IMDP("STK",M$4,$F7,Sheet2!$J$6,"Per=일, Real=false, Cons="&amp;Sheet2!$D$2&amp;", Comp="&amp;Sheet2!$F$2&amp;"")/IF($F7&lt;&gt;"BPS(표준재무)",Sheet2!$L$2,1),"")</f>
        <v/>
      </c>
      <c r="N7" s="16" t="str">
        <f ca="1">IFERROR(_xll.IMDP("STK",N$4,$F7,Sheet2!$J$6,"Per=일, Real=false, Cons="&amp;Sheet2!$D$2&amp;", Comp="&amp;Sheet2!$F$2&amp;"")/IF($F7&lt;&gt;"BPS(표준재무)",Sheet2!$L$2,1),"")</f>
        <v/>
      </c>
      <c r="O7" s="16" t="str">
        <f ca="1">IFERROR(_xll.IMDP("STK",O$4,$F7,Sheet2!$J$6,"Per=일, Real=false, Cons="&amp;Sheet2!$D$2&amp;", Comp="&amp;Sheet2!$F$2&amp;"")/IF($F7&lt;&gt;"BPS(표준재무)",Sheet2!$L$2,1),"")</f>
        <v/>
      </c>
      <c r="P7" s="16" t="str">
        <f ca="1">IFERROR(_xll.IMDP("STK",P$4,$F7,Sheet2!$J$6,"Per=일, Real=false, Cons="&amp;Sheet2!$D$2&amp;", Comp="&amp;Sheet2!$F$2&amp;"")/IF($F7&lt;&gt;"BPS(표준재무)",Sheet2!$L$2,1),"")</f>
        <v/>
      </c>
      <c r="Q7" s="17" t="str">
        <f ca="1">IFERROR(_xll.IMDP("STK",Q$4,$F7,Sheet2!$J$6,"Per=일, Real=false, Cons="&amp;Sheet2!$D$2&amp;", Comp="&amp;Sheet2!$F$2&amp;"")/IF($F7&lt;&gt;"BPS(표준재무)",Sheet2!$L$2,1),"")</f>
        <v/>
      </c>
    </row>
    <row r="8" spans="1:17" hidden="1" outlineLevel="2" x14ac:dyDescent="0.3">
      <c r="C8" t="s">
        <v>2</v>
      </c>
      <c r="F8" t="str">
        <f t="shared" si="0"/>
        <v>유형자산(비금융요약재무)</v>
      </c>
      <c r="H8" s="15">
        <f ca="1">IFERROR(_xll.IMDP("STK",H$4,$F8,Sheet2!$J$6,"Per=일, Real=false, Cons="&amp;Sheet2!$D$2&amp;", Comp="&amp;Sheet2!$F$2&amp;"")/IF($F8&lt;&gt;"BPS(표준재무)",Sheet2!$L$2,1),"")</f>
        <v>132603414</v>
      </c>
      <c r="I8" s="16">
        <f ca="1">IFERROR(_xll.IMDP("STK",I$4,$F8,Sheet2!$J$6,"Per=일, Real=false, Cons="&amp;Sheet2!$D$2&amp;", Comp="&amp;Sheet2!$F$2&amp;"")/IF($F8&lt;&gt;"BPS(표준재무)",Sheet2!$L$2,1),"")</f>
        <v>40725024</v>
      </c>
      <c r="J8" s="16">
        <f ca="1">IFERROR(_xll.IMDP("STK",J$4,$F8,Sheet2!$J$6,"Per=일, Real=false, Cons="&amp;Sheet2!$D$2&amp;", Comp="&amp;Sheet2!$F$2&amp;"")/IF($F8&lt;&gt;"BPS(표준재무)",Sheet2!$L$2,1),"")</f>
        <v>25502053</v>
      </c>
      <c r="K8" s="16">
        <f ca="1">IFERROR(_xll.IMDP("STK",K$4,$F8,Sheet2!$J$6,"Per=일, Real=false, Cons="&amp;Sheet2!$D$2&amp;", Comp="&amp;Sheet2!$F$2&amp;"")/IF($F8&lt;&gt;"BPS(표준재무)",Sheet2!$L$2,1),"")</f>
        <v>833720.37600000005</v>
      </c>
      <c r="L8" s="16">
        <f ca="1">IFERROR(_xll.IMDP("STK",L$4,$F8,Sheet2!$J$6,"Per=일, Real=false, Cons="&amp;Sheet2!$D$2&amp;", Comp="&amp;Sheet2!$F$2&amp;"")/IF($F8&lt;&gt;"BPS(표준재무)",Sheet2!$L$2,1),"")</f>
        <v>1942717.5789999999</v>
      </c>
      <c r="M8" s="16" t="str">
        <f ca="1">IFERROR(_xll.IMDP("STK",M$4,$F8,Sheet2!$J$6,"Per=일, Real=false, Cons="&amp;Sheet2!$D$2&amp;", Comp="&amp;Sheet2!$F$2&amp;"")/IF($F8&lt;&gt;"BPS(표준재무)",Sheet2!$L$2,1),"")</f>
        <v/>
      </c>
      <c r="N8" s="16" t="str">
        <f ca="1">IFERROR(_xll.IMDP("STK",N$4,$F8,Sheet2!$J$6,"Per=일, Real=false, Cons="&amp;Sheet2!$D$2&amp;", Comp="&amp;Sheet2!$F$2&amp;"")/IF($F8&lt;&gt;"BPS(표준재무)",Sheet2!$L$2,1),"")</f>
        <v/>
      </c>
      <c r="O8" s="16" t="str">
        <f ca="1">IFERROR(_xll.IMDP("STK",O$4,$F8,Sheet2!$J$6,"Per=일, Real=false, Cons="&amp;Sheet2!$D$2&amp;", Comp="&amp;Sheet2!$F$2&amp;"")/IF($F8&lt;&gt;"BPS(표준재무)",Sheet2!$L$2,1),"")</f>
        <v/>
      </c>
      <c r="P8" s="16" t="str">
        <f ca="1">IFERROR(_xll.IMDP("STK",P$4,$F8,Sheet2!$J$6,"Per=일, Real=false, Cons="&amp;Sheet2!$D$2&amp;", Comp="&amp;Sheet2!$F$2&amp;"")/IF($F8&lt;&gt;"BPS(표준재무)",Sheet2!$L$2,1),"")</f>
        <v/>
      </c>
      <c r="Q8" s="17" t="str">
        <f ca="1">IFERROR(_xll.IMDP("STK",Q$4,$F8,Sheet2!$J$6,"Per=일, Real=false, Cons="&amp;Sheet2!$D$2&amp;", Comp="&amp;Sheet2!$F$2&amp;"")/IF($F8&lt;&gt;"BPS(표준재무)",Sheet2!$L$2,1),"")</f>
        <v/>
      </c>
    </row>
    <row r="9" spans="1:17" hidden="1" outlineLevel="2" x14ac:dyDescent="0.3">
      <c r="C9" t="s">
        <v>3</v>
      </c>
      <c r="F9" t="str">
        <f t="shared" si="0"/>
        <v>투자부동산(비금융요약재무)</v>
      </c>
      <c r="H9" s="15" t="str">
        <f ca="1">IFERROR(_xll.IMDP("STK",H$4,$F9,Sheet2!$J$6,"Per=일, Real=false, Cons="&amp;Sheet2!$D$2&amp;", Comp="&amp;Sheet2!$F$2&amp;"")/IF($F9&lt;&gt;"BPS(표준재무)",Sheet2!$L$2,1),"")</f>
        <v/>
      </c>
      <c r="I9" s="16">
        <f ca="1">IFERROR(_xll.IMDP("STK",I$4,$F9,Sheet2!$J$6,"Per=일, Real=false, Cons="&amp;Sheet2!$D$2&amp;", Comp="&amp;Sheet2!$F$2&amp;"")/IF($F9&lt;&gt;"BPS(표준재무)",Sheet2!$L$2,1),"")</f>
        <v>217</v>
      </c>
      <c r="J9" s="16">
        <f ca="1">IFERROR(_xll.IMDP("STK",J$4,$F9,Sheet2!$J$6,"Per=일, Real=false, Cons="&amp;Sheet2!$D$2&amp;", Comp="&amp;Sheet2!$F$2&amp;"")/IF($F9&lt;&gt;"BPS(표준재무)",Sheet2!$L$2,1),"")</f>
        <v>126115</v>
      </c>
      <c r="K9" s="16" t="str">
        <f ca="1">IFERROR(_xll.IMDP("STK",K$4,$F9,Sheet2!$J$6,"Per=일, Real=false, Cons="&amp;Sheet2!$D$2&amp;", Comp="&amp;Sheet2!$F$2&amp;"")/IF($F9&lt;&gt;"BPS(표준재무)",Sheet2!$L$2,1),"")</f>
        <v/>
      </c>
      <c r="L9" s="16">
        <f ca="1">IFERROR(_xll.IMDP("STK",L$4,$F9,Sheet2!$J$6,"Per=일, Real=false, Cons="&amp;Sheet2!$D$2&amp;", Comp="&amp;Sheet2!$F$2&amp;"")/IF($F9&lt;&gt;"BPS(표준재무)",Sheet2!$L$2,1),"")</f>
        <v>286690.13500000001</v>
      </c>
      <c r="M9" s="16" t="str">
        <f ca="1">IFERROR(_xll.IMDP("STK",M$4,$F9,Sheet2!$J$6,"Per=일, Real=false, Cons="&amp;Sheet2!$D$2&amp;", Comp="&amp;Sheet2!$F$2&amp;"")/IF($F9&lt;&gt;"BPS(표준재무)",Sheet2!$L$2,1),"")</f>
        <v/>
      </c>
      <c r="N9" s="16" t="str">
        <f ca="1">IFERROR(_xll.IMDP("STK",N$4,$F9,Sheet2!$J$6,"Per=일, Real=false, Cons="&amp;Sheet2!$D$2&amp;", Comp="&amp;Sheet2!$F$2&amp;"")/IF($F9&lt;&gt;"BPS(표준재무)",Sheet2!$L$2,1),"")</f>
        <v/>
      </c>
      <c r="O9" s="16" t="str">
        <f ca="1">IFERROR(_xll.IMDP("STK",O$4,$F9,Sheet2!$J$6,"Per=일, Real=false, Cons="&amp;Sheet2!$D$2&amp;", Comp="&amp;Sheet2!$F$2&amp;"")/IF($F9&lt;&gt;"BPS(표준재무)",Sheet2!$L$2,1),"")</f>
        <v/>
      </c>
      <c r="P9" s="16" t="str">
        <f ca="1">IFERROR(_xll.IMDP("STK",P$4,$F9,Sheet2!$J$6,"Per=일, Real=false, Cons="&amp;Sheet2!$D$2&amp;", Comp="&amp;Sheet2!$F$2&amp;"")/IF($F9&lt;&gt;"BPS(표준재무)",Sheet2!$L$2,1),"")</f>
        <v/>
      </c>
      <c r="Q9" s="17" t="str">
        <f ca="1">IFERROR(_xll.IMDP("STK",Q$4,$F9,Sheet2!$J$6,"Per=일, Real=false, Cons="&amp;Sheet2!$D$2&amp;", Comp="&amp;Sheet2!$F$2&amp;"")/IF($F9&lt;&gt;"BPS(표준재무)",Sheet2!$L$2,1),"")</f>
        <v/>
      </c>
    </row>
    <row r="10" spans="1:17" hidden="1" outlineLevel="2" x14ac:dyDescent="0.3">
      <c r="C10" t="s">
        <v>4</v>
      </c>
      <c r="F10" t="str">
        <f t="shared" si="0"/>
        <v>영업권(비금융요약재무)</v>
      </c>
      <c r="H10" s="15" t="str">
        <f ca="1">IFERROR(_xll.IMDP("STK",H$4,$F10,Sheet2!$J$6,"Per=일, Real=false, Cons="&amp;Sheet2!$D$2&amp;", Comp="&amp;Sheet2!$F$2&amp;"")/IF($F10&lt;&gt;"BPS(표준재무)",Sheet2!$L$2,1),"")</f>
        <v/>
      </c>
      <c r="I10" s="16" t="str">
        <f ca="1">IFERROR(_xll.IMDP("STK",I$4,$F10,Sheet2!$J$6,"Per=일, Real=false, Cons="&amp;Sheet2!$D$2&amp;", Comp="&amp;Sheet2!$F$2&amp;"")/IF($F10&lt;&gt;"BPS(표준재무)",Sheet2!$L$2,1),"")</f>
        <v/>
      </c>
      <c r="J10" s="16" t="str">
        <f ca="1">IFERROR(_xll.IMDP("STK",J$4,$F10,Sheet2!$J$6,"Per=일, Real=false, Cons="&amp;Sheet2!$D$2&amp;", Comp="&amp;Sheet2!$F$2&amp;"")/IF($F10&lt;&gt;"BPS(표준재무)",Sheet2!$L$2,1),"")</f>
        <v/>
      </c>
      <c r="K10" s="16" t="str">
        <f ca="1">IFERROR(_xll.IMDP("STK",K$4,$F10,Sheet2!$J$6,"Per=일, Real=false, Cons="&amp;Sheet2!$D$2&amp;", Comp="&amp;Sheet2!$F$2&amp;"")/IF($F10&lt;&gt;"BPS(표준재무)",Sheet2!$L$2,1),"")</f>
        <v/>
      </c>
      <c r="L10" s="16" t="str">
        <f ca="1">IFERROR(_xll.IMDP("STK",L$4,$F10,Sheet2!$J$6,"Per=일, Real=false, Cons="&amp;Sheet2!$D$2&amp;", Comp="&amp;Sheet2!$F$2&amp;"")/IF($F10&lt;&gt;"BPS(표준재무)",Sheet2!$L$2,1),"")</f>
        <v/>
      </c>
      <c r="M10" s="16" t="str">
        <f ca="1">IFERROR(_xll.IMDP("STK",M$4,$F10,Sheet2!$J$6,"Per=일, Real=false, Cons="&amp;Sheet2!$D$2&amp;", Comp="&amp;Sheet2!$F$2&amp;"")/IF($F10&lt;&gt;"BPS(표준재무)",Sheet2!$L$2,1),"")</f>
        <v/>
      </c>
      <c r="N10" s="16" t="str">
        <f ca="1">IFERROR(_xll.IMDP("STK",N$4,$F10,Sheet2!$J$6,"Per=일, Real=false, Cons="&amp;Sheet2!$D$2&amp;", Comp="&amp;Sheet2!$F$2&amp;"")/IF($F10&lt;&gt;"BPS(표준재무)",Sheet2!$L$2,1),"")</f>
        <v/>
      </c>
      <c r="O10" s="16" t="str">
        <f ca="1">IFERROR(_xll.IMDP("STK",O$4,$F10,Sheet2!$J$6,"Per=일, Real=false, Cons="&amp;Sheet2!$D$2&amp;", Comp="&amp;Sheet2!$F$2&amp;"")/IF($F10&lt;&gt;"BPS(표준재무)",Sheet2!$L$2,1),"")</f>
        <v/>
      </c>
      <c r="P10" s="16" t="str">
        <f ca="1">IFERROR(_xll.IMDP("STK",P$4,$F10,Sheet2!$J$6,"Per=일, Real=false, Cons="&amp;Sheet2!$D$2&amp;", Comp="&amp;Sheet2!$F$2&amp;"")/IF($F10&lt;&gt;"BPS(표준재무)",Sheet2!$L$2,1),"")</f>
        <v/>
      </c>
      <c r="Q10" s="17" t="str">
        <f ca="1">IFERROR(_xll.IMDP("STK",Q$4,$F10,Sheet2!$J$6,"Per=일, Real=false, Cons="&amp;Sheet2!$D$2&amp;", Comp="&amp;Sheet2!$F$2&amp;"")/IF($F10&lt;&gt;"BPS(표준재무)",Sheet2!$L$2,1),"")</f>
        <v/>
      </c>
    </row>
    <row r="11" spans="1:17" hidden="1" outlineLevel="2" x14ac:dyDescent="0.3">
      <c r="C11" t="s">
        <v>5</v>
      </c>
      <c r="F11" t="str">
        <f t="shared" si="0"/>
        <v>무형자산(비금융요약재무)</v>
      </c>
      <c r="H11" s="15">
        <f ca="1">IFERROR(_xll.IMDP("STK",H$4,$F11,Sheet2!$J$6,"Per=일, Real=false, Cons="&amp;Sheet2!$D$2&amp;", Comp="&amp;Sheet2!$F$2&amp;"")/IF($F11&lt;&gt;"BPS(표준재무)",Sheet2!$L$2,1),"")</f>
        <v>11168723</v>
      </c>
      <c r="I11" s="16">
        <f ca="1">IFERROR(_xll.IMDP("STK",I$4,$F11,Sheet2!$J$6,"Per=일, Real=false, Cons="&amp;Sheet2!$D$2&amp;", Comp="&amp;Sheet2!$F$2&amp;"")/IF($F11&lt;&gt;"BPS(표준재무)",Sheet2!$L$2,1),"")</f>
        <v>3165599</v>
      </c>
      <c r="J11" s="16">
        <f ca="1">IFERROR(_xll.IMDP("STK",J$4,$F11,Sheet2!$J$6,"Per=일, Real=false, Cons="&amp;Sheet2!$D$2&amp;", Comp="&amp;Sheet2!$F$2&amp;"")/IF($F11&lt;&gt;"BPS(표준재무)",Sheet2!$L$2,1),"")</f>
        <v>3861716</v>
      </c>
      <c r="K11" s="16">
        <f ca="1">IFERROR(_xll.IMDP("STK",K$4,$F11,Sheet2!$J$6,"Per=일, Real=false, Cons="&amp;Sheet2!$D$2&amp;", Comp="&amp;Sheet2!$F$2&amp;"")/IF($F11&lt;&gt;"BPS(표준재무)",Sheet2!$L$2,1),"")</f>
        <v>1371452.926</v>
      </c>
      <c r="L11" s="16">
        <f ca="1">IFERROR(_xll.IMDP("STK",L$4,$F11,Sheet2!$J$6,"Per=일, Real=false, Cons="&amp;Sheet2!$D$2&amp;", Comp="&amp;Sheet2!$F$2&amp;"")/IF($F11&lt;&gt;"BPS(표준재무)",Sheet2!$L$2,1),"")</f>
        <v>74382.372000000003</v>
      </c>
      <c r="M11" s="16" t="str">
        <f ca="1">IFERROR(_xll.IMDP("STK",M$4,$F11,Sheet2!$J$6,"Per=일, Real=false, Cons="&amp;Sheet2!$D$2&amp;", Comp="&amp;Sheet2!$F$2&amp;"")/IF($F11&lt;&gt;"BPS(표준재무)",Sheet2!$L$2,1),"")</f>
        <v/>
      </c>
      <c r="N11" s="16" t="str">
        <f ca="1">IFERROR(_xll.IMDP("STK",N$4,$F11,Sheet2!$J$6,"Per=일, Real=false, Cons="&amp;Sheet2!$D$2&amp;", Comp="&amp;Sheet2!$F$2&amp;"")/IF($F11&lt;&gt;"BPS(표준재무)",Sheet2!$L$2,1),"")</f>
        <v/>
      </c>
      <c r="O11" s="16" t="str">
        <f ca="1">IFERROR(_xll.IMDP("STK",O$4,$F11,Sheet2!$J$6,"Per=일, Real=false, Cons="&amp;Sheet2!$D$2&amp;", Comp="&amp;Sheet2!$F$2&amp;"")/IF($F11&lt;&gt;"BPS(표준재무)",Sheet2!$L$2,1),"")</f>
        <v/>
      </c>
      <c r="P11" s="16" t="str">
        <f ca="1">IFERROR(_xll.IMDP("STK",P$4,$F11,Sheet2!$J$6,"Per=일, Real=false, Cons="&amp;Sheet2!$D$2&amp;", Comp="&amp;Sheet2!$F$2&amp;"")/IF($F11&lt;&gt;"BPS(표준재무)",Sheet2!$L$2,1),"")</f>
        <v/>
      </c>
      <c r="Q11" s="17" t="str">
        <f ca="1">IFERROR(_xll.IMDP("STK",Q$4,$F11,Sheet2!$J$6,"Per=일, Real=false, Cons="&amp;Sheet2!$D$2&amp;", Comp="&amp;Sheet2!$F$2&amp;"")/IF($F11&lt;&gt;"BPS(표준재무)",Sheet2!$L$2,1),"")</f>
        <v/>
      </c>
    </row>
    <row r="12" spans="1:17" hidden="1" outlineLevel="2" x14ac:dyDescent="0.3">
      <c r="C12" t="s">
        <v>6</v>
      </c>
      <c r="F12" t="str">
        <f t="shared" si="0"/>
        <v>비유동생물자산(요약재무)</v>
      </c>
      <c r="H12" s="15" t="str">
        <f ca="1">IFERROR(_xll.IMDP("STK",H$4,$F12,Sheet2!$J$6,"Per=일, Real=false, Cons="&amp;Sheet2!$D$2&amp;", Comp="&amp;Sheet2!$F$2&amp;"")/IF($F12&lt;&gt;"BPS(표준재무)",Sheet2!$L$2,1),"")</f>
        <v/>
      </c>
      <c r="I12" s="16" t="str">
        <f ca="1">IFERROR(_xll.IMDP("STK",I$4,$F12,Sheet2!$J$6,"Per=일, Real=false, Cons="&amp;Sheet2!$D$2&amp;", Comp="&amp;Sheet2!$F$2&amp;"")/IF($F12&lt;&gt;"BPS(표준재무)",Sheet2!$L$2,1),"")</f>
        <v/>
      </c>
      <c r="J12" s="16" t="str">
        <f ca="1">IFERROR(_xll.IMDP("STK",J$4,$F12,Sheet2!$J$6,"Per=일, Real=false, Cons="&amp;Sheet2!$D$2&amp;", Comp="&amp;Sheet2!$F$2&amp;"")/IF($F12&lt;&gt;"BPS(표준재무)",Sheet2!$L$2,1),"")</f>
        <v/>
      </c>
      <c r="K12" s="16" t="str">
        <f ca="1">IFERROR(_xll.IMDP("STK",K$4,$F12,Sheet2!$J$6,"Per=일, Real=false, Cons="&amp;Sheet2!$D$2&amp;", Comp="&amp;Sheet2!$F$2&amp;"")/IF($F12&lt;&gt;"BPS(표준재무)",Sheet2!$L$2,1),"")</f>
        <v/>
      </c>
      <c r="L12" s="16" t="str">
        <f ca="1">IFERROR(_xll.IMDP("STK",L$4,$F12,Sheet2!$J$6,"Per=일, Real=false, Cons="&amp;Sheet2!$D$2&amp;", Comp="&amp;Sheet2!$F$2&amp;"")/IF($F12&lt;&gt;"BPS(표준재무)",Sheet2!$L$2,1),"")</f>
        <v/>
      </c>
      <c r="M12" s="16" t="str">
        <f ca="1">IFERROR(_xll.IMDP("STK",M$4,$F12,Sheet2!$J$6,"Per=일, Real=false, Cons="&amp;Sheet2!$D$2&amp;", Comp="&amp;Sheet2!$F$2&amp;"")/IF($F12&lt;&gt;"BPS(표준재무)",Sheet2!$L$2,1),"")</f>
        <v/>
      </c>
      <c r="N12" s="16" t="str">
        <f ca="1">IFERROR(_xll.IMDP("STK",N$4,$F12,Sheet2!$J$6,"Per=일, Real=false, Cons="&amp;Sheet2!$D$2&amp;", Comp="&amp;Sheet2!$F$2&amp;"")/IF($F12&lt;&gt;"BPS(표준재무)",Sheet2!$L$2,1),"")</f>
        <v/>
      </c>
      <c r="O12" s="16" t="str">
        <f ca="1">IFERROR(_xll.IMDP("STK",O$4,$F12,Sheet2!$J$6,"Per=일, Real=false, Cons="&amp;Sheet2!$D$2&amp;", Comp="&amp;Sheet2!$F$2&amp;"")/IF($F12&lt;&gt;"BPS(표준재무)",Sheet2!$L$2,1),"")</f>
        <v/>
      </c>
      <c r="P12" s="16" t="str">
        <f ca="1">IFERROR(_xll.IMDP("STK",P$4,$F12,Sheet2!$J$6,"Per=일, Real=false, Cons="&amp;Sheet2!$D$2&amp;", Comp="&amp;Sheet2!$F$2&amp;"")/IF($F12&lt;&gt;"BPS(표준재무)",Sheet2!$L$2,1),"")</f>
        <v/>
      </c>
      <c r="Q12" s="17" t="str">
        <f ca="1">IFERROR(_xll.IMDP("STK",Q$4,$F12,Sheet2!$J$6,"Per=일, Real=false, Cons="&amp;Sheet2!$D$2&amp;", Comp="&amp;Sheet2!$F$2&amp;"")/IF($F12&lt;&gt;"BPS(표준재무)",Sheet2!$L$2,1),"")</f>
        <v/>
      </c>
    </row>
    <row r="13" spans="1:17" hidden="1" outlineLevel="2" x14ac:dyDescent="0.3">
      <c r="C13" t="s">
        <v>7</v>
      </c>
      <c r="F13" t="str">
        <f t="shared" si="0"/>
        <v>관계기업등지분관련투자자산(비금융요약재무)</v>
      </c>
      <c r="H13" s="15">
        <f ca="1">IFERROR(_xll.IMDP("STK",H$4,$F13,Sheet2!$J$6,"Per=일, Real=false, Cons="&amp;Sheet2!$D$2&amp;", Comp="&amp;Sheet2!$F$2&amp;"")/IF($F13&lt;&gt;"BPS(표준재무)",Sheet2!$L$2,1),"")</f>
        <v>57359028</v>
      </c>
      <c r="I13" s="16">
        <f ca="1">IFERROR(_xll.IMDP("STK",I$4,$F13,Sheet2!$J$6,"Per=일, Real=false, Cons="&amp;Sheet2!$D$2&amp;", Comp="&amp;Sheet2!$F$2&amp;"")/IF($F13&lt;&gt;"BPS(표준재무)",Sheet2!$L$2,1),"")</f>
        <v>12570558</v>
      </c>
      <c r="J13" s="16">
        <f ca="1">IFERROR(_xll.IMDP("STK",J$4,$F13,Sheet2!$J$6,"Per=일, Real=false, Cons="&amp;Sheet2!$D$2&amp;", Comp="&amp;Sheet2!$F$2&amp;"")/IF($F13&lt;&gt;"BPS(표준재무)",Sheet2!$L$2,1),"")</f>
        <v>25465881</v>
      </c>
      <c r="K13" s="16">
        <f ca="1">IFERROR(_xll.IMDP("STK",K$4,$F13,Sheet2!$J$6,"Per=일, Real=false, Cons="&amp;Sheet2!$D$2&amp;", Comp="&amp;Sheet2!$F$2&amp;"")/IF($F13&lt;&gt;"BPS(표준재무)",Sheet2!$L$2,1),"")</f>
        <v>667326.10499999998</v>
      </c>
      <c r="L13" s="16">
        <f ca="1">IFERROR(_xll.IMDP("STK",L$4,$F13,Sheet2!$J$6,"Per=일, Real=false, Cons="&amp;Sheet2!$D$2&amp;", Comp="&amp;Sheet2!$F$2&amp;"")/IF($F13&lt;&gt;"BPS(표준재무)",Sheet2!$L$2,1),"")</f>
        <v>8509912.9920000006</v>
      </c>
      <c r="M13" s="16" t="str">
        <f ca="1">IFERROR(_xll.IMDP("STK",M$4,$F13,Sheet2!$J$6,"Per=일, Real=false, Cons="&amp;Sheet2!$D$2&amp;", Comp="&amp;Sheet2!$F$2&amp;"")/IF($F13&lt;&gt;"BPS(표준재무)",Sheet2!$L$2,1),"")</f>
        <v/>
      </c>
      <c r="N13" s="16" t="str">
        <f ca="1">IFERROR(_xll.IMDP("STK",N$4,$F13,Sheet2!$J$6,"Per=일, Real=false, Cons="&amp;Sheet2!$D$2&amp;", Comp="&amp;Sheet2!$F$2&amp;"")/IF($F13&lt;&gt;"BPS(표준재무)",Sheet2!$L$2,1),"")</f>
        <v/>
      </c>
      <c r="O13" s="16" t="str">
        <f ca="1">IFERROR(_xll.IMDP("STK",O$4,$F13,Sheet2!$J$6,"Per=일, Real=false, Cons="&amp;Sheet2!$D$2&amp;", Comp="&amp;Sheet2!$F$2&amp;"")/IF($F13&lt;&gt;"BPS(표준재무)",Sheet2!$L$2,1),"")</f>
        <v/>
      </c>
      <c r="P13" s="16" t="str">
        <f ca="1">IFERROR(_xll.IMDP("STK",P$4,$F13,Sheet2!$J$6,"Per=일, Real=false, Cons="&amp;Sheet2!$D$2&amp;", Comp="&amp;Sheet2!$F$2&amp;"")/IF($F13&lt;&gt;"BPS(표준재무)",Sheet2!$L$2,1),"")</f>
        <v/>
      </c>
      <c r="Q13" s="17" t="str">
        <f ca="1">IFERROR(_xll.IMDP("STK",Q$4,$F13,Sheet2!$J$6,"Per=일, Real=false, Cons="&amp;Sheet2!$D$2&amp;", Comp="&amp;Sheet2!$F$2&amp;"")/IF($F13&lt;&gt;"BPS(표준재무)",Sheet2!$L$2,1),"")</f>
        <v/>
      </c>
    </row>
    <row r="14" spans="1:17" hidden="1" outlineLevel="2" x14ac:dyDescent="0.3">
      <c r="C14" t="s">
        <v>8</v>
      </c>
      <c r="F14" t="str">
        <f t="shared" si="0"/>
        <v>매도가능금융자산(비금융요약재무)</v>
      </c>
      <c r="H14" s="15" t="str">
        <f ca="1">IFERROR(_xll.IMDP("STK",H$4,$F14,Sheet2!$J$6,"Per=일, Real=false, Cons="&amp;Sheet2!$D$2&amp;", Comp="&amp;Sheet2!$F$2&amp;"")/IF($F14&lt;&gt;"BPS(표준재무)",Sheet2!$L$2,1),"")</f>
        <v/>
      </c>
      <c r="I14" s="16" t="str">
        <f ca="1">IFERROR(_xll.IMDP("STK",I$4,$F14,Sheet2!$J$6,"Per=일, Real=false, Cons="&amp;Sheet2!$D$2&amp;", Comp="&amp;Sheet2!$F$2&amp;"")/IF($F14&lt;&gt;"BPS(표준재무)",Sheet2!$L$2,1),"")</f>
        <v/>
      </c>
      <c r="J14" s="16" t="str">
        <f ca="1">IFERROR(_xll.IMDP("STK",J$4,$F14,Sheet2!$J$6,"Per=일, Real=false, Cons="&amp;Sheet2!$D$2&amp;", Comp="&amp;Sheet2!$F$2&amp;"")/IF($F14&lt;&gt;"BPS(표준재무)",Sheet2!$L$2,1),"")</f>
        <v/>
      </c>
      <c r="K14" s="16" t="str">
        <f ca="1">IFERROR(_xll.IMDP("STK",K$4,$F14,Sheet2!$J$6,"Per=일, Real=false, Cons="&amp;Sheet2!$D$2&amp;", Comp="&amp;Sheet2!$F$2&amp;"")/IF($F14&lt;&gt;"BPS(표준재무)",Sheet2!$L$2,1),"")</f>
        <v/>
      </c>
      <c r="L14" s="16" t="str">
        <f ca="1">IFERROR(_xll.IMDP("STK",L$4,$F14,Sheet2!$J$6,"Per=일, Real=false, Cons="&amp;Sheet2!$D$2&amp;", Comp="&amp;Sheet2!$F$2&amp;"")/IF($F14&lt;&gt;"BPS(표준재무)",Sheet2!$L$2,1),"")</f>
        <v/>
      </c>
      <c r="M14" s="16" t="str">
        <f ca="1">IFERROR(_xll.IMDP("STK",M$4,$F14,Sheet2!$J$6,"Per=일, Real=false, Cons="&amp;Sheet2!$D$2&amp;", Comp="&amp;Sheet2!$F$2&amp;"")/IF($F14&lt;&gt;"BPS(표준재무)",Sheet2!$L$2,1),"")</f>
        <v/>
      </c>
      <c r="N14" s="16" t="str">
        <f ca="1">IFERROR(_xll.IMDP("STK",N$4,$F14,Sheet2!$J$6,"Per=일, Real=false, Cons="&amp;Sheet2!$D$2&amp;", Comp="&amp;Sheet2!$F$2&amp;"")/IF($F14&lt;&gt;"BPS(표준재무)",Sheet2!$L$2,1),"")</f>
        <v/>
      </c>
      <c r="O14" s="16" t="str">
        <f ca="1">IFERROR(_xll.IMDP("STK",O$4,$F14,Sheet2!$J$6,"Per=일, Real=false, Cons="&amp;Sheet2!$D$2&amp;", Comp="&amp;Sheet2!$F$2&amp;"")/IF($F14&lt;&gt;"BPS(표준재무)",Sheet2!$L$2,1),"")</f>
        <v/>
      </c>
      <c r="P14" s="16" t="str">
        <f ca="1">IFERROR(_xll.IMDP("STK",P$4,$F14,Sheet2!$J$6,"Per=일, Real=false, Cons="&amp;Sheet2!$D$2&amp;", Comp="&amp;Sheet2!$F$2&amp;"")/IF($F14&lt;&gt;"BPS(표준재무)",Sheet2!$L$2,1),"")</f>
        <v/>
      </c>
      <c r="Q14" s="17" t="str">
        <f ca="1">IFERROR(_xll.IMDP("STK",Q$4,$F14,Sheet2!$J$6,"Per=일, Real=false, Cons="&amp;Sheet2!$D$2&amp;", Comp="&amp;Sheet2!$F$2&amp;"")/IF($F14&lt;&gt;"BPS(표준재무)",Sheet2!$L$2,1),"")</f>
        <v/>
      </c>
    </row>
    <row r="15" spans="1:17" hidden="1" outlineLevel="2" x14ac:dyDescent="0.3">
      <c r="C15" t="s">
        <v>9</v>
      </c>
      <c r="F15" t="str">
        <f t="shared" si="0"/>
        <v>만기보유금융자산(비금융요약재무)</v>
      </c>
      <c r="H15" s="15" t="str">
        <f ca="1">IFERROR(_xll.IMDP("STK",H$4,$F15,Sheet2!$J$6,"Per=일, Real=false, Cons="&amp;Sheet2!$D$2&amp;", Comp="&amp;Sheet2!$F$2&amp;"")/IF($F15&lt;&gt;"BPS(표준재무)",Sheet2!$L$2,1),"")</f>
        <v/>
      </c>
      <c r="I15" s="16" t="str">
        <f ca="1">IFERROR(_xll.IMDP("STK",I$4,$F15,Sheet2!$J$6,"Per=일, Real=false, Cons="&amp;Sheet2!$D$2&amp;", Comp="&amp;Sheet2!$F$2&amp;"")/IF($F15&lt;&gt;"BPS(표준재무)",Sheet2!$L$2,1),"")</f>
        <v/>
      </c>
      <c r="J15" s="16" t="str">
        <f ca="1">IFERROR(_xll.IMDP("STK",J$4,$F15,Sheet2!$J$6,"Per=일, Real=false, Cons="&amp;Sheet2!$D$2&amp;", Comp="&amp;Sheet2!$F$2&amp;"")/IF($F15&lt;&gt;"BPS(표준재무)",Sheet2!$L$2,1),"")</f>
        <v/>
      </c>
      <c r="K15" s="16" t="str">
        <f ca="1">IFERROR(_xll.IMDP("STK",K$4,$F15,Sheet2!$J$6,"Per=일, Real=false, Cons="&amp;Sheet2!$D$2&amp;", Comp="&amp;Sheet2!$F$2&amp;"")/IF($F15&lt;&gt;"BPS(표준재무)",Sheet2!$L$2,1),"")</f>
        <v/>
      </c>
      <c r="L15" s="16" t="str">
        <f ca="1">IFERROR(_xll.IMDP("STK",L$4,$F15,Sheet2!$J$6,"Per=일, Real=false, Cons="&amp;Sheet2!$D$2&amp;", Comp="&amp;Sheet2!$F$2&amp;"")/IF($F15&lt;&gt;"BPS(표준재무)",Sheet2!$L$2,1),"")</f>
        <v/>
      </c>
      <c r="M15" s="16" t="str">
        <f ca="1">IFERROR(_xll.IMDP("STK",M$4,$F15,Sheet2!$J$6,"Per=일, Real=false, Cons="&amp;Sheet2!$D$2&amp;", Comp="&amp;Sheet2!$F$2&amp;"")/IF($F15&lt;&gt;"BPS(표준재무)",Sheet2!$L$2,1),"")</f>
        <v/>
      </c>
      <c r="N15" s="16" t="str">
        <f ca="1">IFERROR(_xll.IMDP("STK",N$4,$F15,Sheet2!$J$6,"Per=일, Real=false, Cons="&amp;Sheet2!$D$2&amp;", Comp="&amp;Sheet2!$F$2&amp;"")/IF($F15&lt;&gt;"BPS(표준재무)",Sheet2!$L$2,1),"")</f>
        <v/>
      </c>
      <c r="O15" s="16" t="str">
        <f ca="1">IFERROR(_xll.IMDP("STK",O$4,$F15,Sheet2!$J$6,"Per=일, Real=false, Cons="&amp;Sheet2!$D$2&amp;", Comp="&amp;Sheet2!$F$2&amp;"")/IF($F15&lt;&gt;"BPS(표준재무)",Sheet2!$L$2,1),"")</f>
        <v/>
      </c>
      <c r="P15" s="16" t="str">
        <f ca="1">IFERROR(_xll.IMDP("STK",P$4,$F15,Sheet2!$J$6,"Per=일, Real=false, Cons="&amp;Sheet2!$D$2&amp;", Comp="&amp;Sheet2!$F$2&amp;"")/IF($F15&lt;&gt;"BPS(표준재무)",Sheet2!$L$2,1),"")</f>
        <v/>
      </c>
      <c r="Q15" s="17" t="str">
        <f ca="1">IFERROR(_xll.IMDP("STK",Q$4,$F15,Sheet2!$J$6,"Per=일, Real=false, Cons="&amp;Sheet2!$D$2&amp;", Comp="&amp;Sheet2!$F$2&amp;"")/IF($F15&lt;&gt;"BPS(표준재무)",Sheet2!$L$2,1),"")</f>
        <v/>
      </c>
    </row>
    <row r="16" spans="1:17" hidden="1" outlineLevel="2" x14ac:dyDescent="0.3">
      <c r="C16" t="s">
        <v>10</v>
      </c>
      <c r="F16" t="str">
        <f t="shared" si="0"/>
        <v>기타비유동금융자산(요약재무)</v>
      </c>
      <c r="H16" s="15" t="str">
        <f ca="1">IFERROR(_xll.IMDP("STK",H$4,$F16,Sheet2!$J$6,"Per=일, Real=false, Cons="&amp;Sheet2!$D$2&amp;", Comp="&amp;Sheet2!$F$2&amp;"")/IF($F16&lt;&gt;"BPS(표준재무)",Sheet2!$L$2,1),"")</f>
        <v/>
      </c>
      <c r="I16" s="16">
        <f ca="1">IFERROR(_xll.IMDP("STK",I$4,$F16,Sheet2!$J$6,"Per=일, Real=false, Cons="&amp;Sheet2!$D$2&amp;", Comp="&amp;Sheet2!$F$2&amp;"")/IF($F16&lt;&gt;"BPS(표준재무)",Sheet2!$L$2,1),"")</f>
        <v>10086881</v>
      </c>
      <c r="J16" s="16">
        <f ca="1">IFERROR(_xll.IMDP("STK",J$4,$F16,Sheet2!$J$6,"Per=일, Real=false, Cons="&amp;Sheet2!$D$2&amp;", Comp="&amp;Sheet2!$F$2&amp;"")/IF($F16&lt;&gt;"BPS(표준재무)",Sheet2!$L$2,1),"")</f>
        <v>436786</v>
      </c>
      <c r="K16" s="16" t="str">
        <f ca="1">IFERROR(_xll.IMDP("STK",K$4,$F16,Sheet2!$J$6,"Per=일, Real=false, Cons="&amp;Sheet2!$D$2&amp;", Comp="&amp;Sheet2!$F$2&amp;"")/IF($F16&lt;&gt;"BPS(표준재무)",Sheet2!$L$2,1),"")</f>
        <v/>
      </c>
      <c r="L16" s="16">
        <f ca="1">IFERROR(_xll.IMDP("STK",L$4,$F16,Sheet2!$J$6,"Per=일, Real=false, Cons="&amp;Sheet2!$D$2&amp;", Comp="&amp;Sheet2!$F$2&amp;"")/IF($F16&lt;&gt;"BPS(표준재무)",Sheet2!$L$2,1),"")</f>
        <v>13755.871999999999</v>
      </c>
      <c r="M16" s="16" t="str">
        <f ca="1">IFERROR(_xll.IMDP("STK",M$4,$F16,Sheet2!$J$6,"Per=일, Real=false, Cons="&amp;Sheet2!$D$2&amp;", Comp="&amp;Sheet2!$F$2&amp;"")/IF($F16&lt;&gt;"BPS(표준재무)",Sheet2!$L$2,1),"")</f>
        <v/>
      </c>
      <c r="N16" s="16" t="str">
        <f ca="1">IFERROR(_xll.IMDP("STK",N$4,$F16,Sheet2!$J$6,"Per=일, Real=false, Cons="&amp;Sheet2!$D$2&amp;", Comp="&amp;Sheet2!$F$2&amp;"")/IF($F16&lt;&gt;"BPS(표준재무)",Sheet2!$L$2,1),"")</f>
        <v/>
      </c>
      <c r="O16" s="16" t="str">
        <f ca="1">IFERROR(_xll.IMDP("STK",O$4,$F16,Sheet2!$J$6,"Per=일, Real=false, Cons="&amp;Sheet2!$D$2&amp;", Comp="&amp;Sheet2!$F$2&amp;"")/IF($F16&lt;&gt;"BPS(표준재무)",Sheet2!$L$2,1),"")</f>
        <v/>
      </c>
      <c r="P16" s="16" t="str">
        <f ca="1">IFERROR(_xll.IMDP("STK",P$4,$F16,Sheet2!$J$6,"Per=일, Real=false, Cons="&amp;Sheet2!$D$2&amp;", Comp="&amp;Sheet2!$F$2&amp;"")/IF($F16&lt;&gt;"BPS(표준재무)",Sheet2!$L$2,1),"")</f>
        <v/>
      </c>
      <c r="Q16" s="17" t="str">
        <f ca="1">IFERROR(_xll.IMDP("STK",Q$4,$F16,Sheet2!$J$6,"Per=일, Real=false, Cons="&amp;Sheet2!$D$2&amp;", Comp="&amp;Sheet2!$F$2&amp;"")/IF($F16&lt;&gt;"BPS(표준재무)",Sheet2!$L$2,1),"")</f>
        <v/>
      </c>
    </row>
    <row r="17" spans="2:17" hidden="1" outlineLevel="2" x14ac:dyDescent="0.3">
      <c r="C17" t="s">
        <v>11</v>
      </c>
      <c r="F17" t="str">
        <f t="shared" si="0"/>
        <v>장기매출채권및기타비유동채권(요약재무)</v>
      </c>
      <c r="H17" s="15" t="str">
        <f ca="1">IFERROR(_xll.IMDP("STK",H$4,$F17,Sheet2!$J$6,"Per=일, Real=false, Cons="&amp;Sheet2!$D$2&amp;", Comp="&amp;Sheet2!$F$2&amp;"")/IF($F17&lt;&gt;"BPS(표준재무)",Sheet2!$L$2,1),"")</f>
        <v/>
      </c>
      <c r="I17" s="16">
        <f ca="1">IFERROR(_xll.IMDP("STK",I$4,$F17,Sheet2!$J$6,"Per=일, Real=false, Cons="&amp;Sheet2!$D$2&amp;", Comp="&amp;Sheet2!$F$2&amp;"")/IF($F17&lt;&gt;"BPS(표준재무)",Sheet2!$L$2,1),"")</f>
        <v>56691</v>
      </c>
      <c r="J17" s="16">
        <f ca="1">IFERROR(_xll.IMDP("STK",J$4,$F17,Sheet2!$J$6,"Per=일, Real=false, Cons="&amp;Sheet2!$D$2&amp;", Comp="&amp;Sheet2!$F$2&amp;"")/IF($F17&lt;&gt;"BPS(표준재무)",Sheet2!$L$2,1),"")</f>
        <v>658307</v>
      </c>
      <c r="K17" s="16">
        <f ca="1">IFERROR(_xll.IMDP("STK",K$4,$F17,Sheet2!$J$6,"Per=일, Real=false, Cons="&amp;Sheet2!$D$2&amp;", Comp="&amp;Sheet2!$F$2&amp;"")/IF($F17&lt;&gt;"BPS(표준재무)",Sheet2!$L$2,1),"")</f>
        <v>156780.902</v>
      </c>
      <c r="L17" s="16">
        <f ca="1">IFERROR(_xll.IMDP("STK",L$4,$F17,Sheet2!$J$6,"Per=일, Real=false, Cons="&amp;Sheet2!$D$2&amp;", Comp="&amp;Sheet2!$F$2&amp;"")/IF($F17&lt;&gt;"BPS(표준재무)",Sheet2!$L$2,1),"")</f>
        <v>57546.400000000001</v>
      </c>
      <c r="M17" s="16" t="str">
        <f ca="1">IFERROR(_xll.IMDP("STK",M$4,$F17,Sheet2!$J$6,"Per=일, Real=false, Cons="&amp;Sheet2!$D$2&amp;", Comp="&amp;Sheet2!$F$2&amp;"")/IF($F17&lt;&gt;"BPS(표준재무)",Sheet2!$L$2,1),"")</f>
        <v/>
      </c>
      <c r="N17" s="16" t="str">
        <f ca="1">IFERROR(_xll.IMDP("STK",N$4,$F17,Sheet2!$J$6,"Per=일, Real=false, Cons="&amp;Sheet2!$D$2&amp;", Comp="&amp;Sheet2!$F$2&amp;"")/IF($F17&lt;&gt;"BPS(표준재무)",Sheet2!$L$2,1),"")</f>
        <v/>
      </c>
      <c r="O17" s="16" t="str">
        <f ca="1">IFERROR(_xll.IMDP("STK",O$4,$F17,Sheet2!$J$6,"Per=일, Real=false, Cons="&amp;Sheet2!$D$2&amp;", Comp="&amp;Sheet2!$F$2&amp;"")/IF($F17&lt;&gt;"BPS(표준재무)",Sheet2!$L$2,1),"")</f>
        <v/>
      </c>
      <c r="P17" s="16" t="str">
        <f ca="1">IFERROR(_xll.IMDP("STK",P$4,$F17,Sheet2!$J$6,"Per=일, Real=false, Cons="&amp;Sheet2!$D$2&amp;", Comp="&amp;Sheet2!$F$2&amp;"")/IF($F17&lt;&gt;"BPS(표준재무)",Sheet2!$L$2,1),"")</f>
        <v/>
      </c>
      <c r="Q17" s="17" t="str">
        <f ca="1">IFERROR(_xll.IMDP("STK",Q$4,$F17,Sheet2!$J$6,"Per=일, Real=false, Cons="&amp;Sheet2!$D$2&amp;", Comp="&amp;Sheet2!$F$2&amp;"")/IF($F17&lt;&gt;"BPS(표준재무)",Sheet2!$L$2,1),"")</f>
        <v/>
      </c>
    </row>
    <row r="18" spans="2:17" hidden="1" outlineLevel="2" x14ac:dyDescent="0.3">
      <c r="C18" t="s">
        <v>12</v>
      </c>
      <c r="F18" t="str">
        <f t="shared" si="0"/>
        <v>이연법인세자산(비금융요약재무)</v>
      </c>
      <c r="H18" s="15">
        <f ca="1">IFERROR(_xll.IMDP("STK",H$4,$F18,Sheet2!$J$6,"Per=일, Real=false, Cons="&amp;Sheet2!$D$2&amp;", Comp="&amp;Sheet2!$F$2&amp;"")/IF($F18&lt;&gt;"BPS(표준재무)",Sheet2!$L$2,1),"")</f>
        <v>1957367</v>
      </c>
      <c r="I18" s="16">
        <f ca="1">IFERROR(_xll.IMDP("STK",I$4,$F18,Sheet2!$J$6,"Per=일, Real=false, Cons="&amp;Sheet2!$D$2&amp;", Comp="&amp;Sheet2!$F$2&amp;"")/IF($F18&lt;&gt;"BPS(표준재무)",Sheet2!$L$2,1),"")</f>
        <v>1312091</v>
      </c>
      <c r="J18" s="16">
        <f ca="1">IFERROR(_xll.IMDP("STK",J$4,$F18,Sheet2!$J$6,"Per=일, Real=false, Cons="&amp;Sheet2!$D$2&amp;", Comp="&amp;Sheet2!$F$2&amp;"")/IF($F18&lt;&gt;"BPS(표준재무)",Sheet2!$L$2,1),"")</f>
        <v>1711237</v>
      </c>
      <c r="K18" s="16">
        <f ca="1">IFERROR(_xll.IMDP("STK",K$4,$F18,Sheet2!$J$6,"Per=일, Real=false, Cons="&amp;Sheet2!$D$2&amp;", Comp="&amp;Sheet2!$F$2&amp;"")/IF($F18&lt;&gt;"BPS(표준재무)",Sheet2!$L$2,1),"")</f>
        <v>57488.169000000002</v>
      </c>
      <c r="L18" s="16">
        <f ca="1">IFERROR(_xll.IMDP("STK",L$4,$F18,Sheet2!$J$6,"Per=일, Real=false, Cons="&amp;Sheet2!$D$2&amp;", Comp="&amp;Sheet2!$F$2&amp;"")/IF($F18&lt;&gt;"BPS(표준재무)",Sheet2!$L$2,1),"")</f>
        <v>279673.61</v>
      </c>
      <c r="M18" s="16" t="str">
        <f ca="1">IFERROR(_xll.IMDP("STK",M$4,$F18,Sheet2!$J$6,"Per=일, Real=false, Cons="&amp;Sheet2!$D$2&amp;", Comp="&amp;Sheet2!$F$2&amp;"")/IF($F18&lt;&gt;"BPS(표준재무)",Sheet2!$L$2,1),"")</f>
        <v/>
      </c>
      <c r="N18" s="16" t="str">
        <f ca="1">IFERROR(_xll.IMDP("STK",N$4,$F18,Sheet2!$J$6,"Per=일, Real=false, Cons="&amp;Sheet2!$D$2&amp;", Comp="&amp;Sheet2!$F$2&amp;"")/IF($F18&lt;&gt;"BPS(표준재무)",Sheet2!$L$2,1),"")</f>
        <v/>
      </c>
      <c r="O18" s="16" t="str">
        <f ca="1">IFERROR(_xll.IMDP("STK",O$4,$F18,Sheet2!$J$6,"Per=일, Real=false, Cons="&amp;Sheet2!$D$2&amp;", Comp="&amp;Sheet2!$F$2&amp;"")/IF($F18&lt;&gt;"BPS(표준재무)",Sheet2!$L$2,1),"")</f>
        <v/>
      </c>
      <c r="P18" s="16" t="str">
        <f ca="1">IFERROR(_xll.IMDP("STK",P$4,$F18,Sheet2!$J$6,"Per=일, Real=false, Cons="&amp;Sheet2!$D$2&amp;", Comp="&amp;Sheet2!$F$2&amp;"")/IF($F18&lt;&gt;"BPS(표준재무)",Sheet2!$L$2,1),"")</f>
        <v/>
      </c>
      <c r="Q18" s="17" t="str">
        <f ca="1">IFERROR(_xll.IMDP("STK",Q$4,$F18,Sheet2!$J$6,"Per=일, Real=false, Cons="&amp;Sheet2!$D$2&amp;", Comp="&amp;Sheet2!$F$2&amp;"")/IF($F18&lt;&gt;"BPS(표준재무)",Sheet2!$L$2,1),"")</f>
        <v/>
      </c>
    </row>
    <row r="19" spans="2:17" hidden="1" outlineLevel="2" x14ac:dyDescent="0.3">
      <c r="C19" t="s">
        <v>13</v>
      </c>
      <c r="F19" t="str">
        <f t="shared" si="0"/>
        <v>장기당기법인세자산(요약재무)</v>
      </c>
      <c r="H19" s="15" t="str">
        <f ca="1">IFERROR(_xll.IMDP("STK",H$4,$F19,Sheet2!$J$6,"Per=일, Real=false, Cons="&amp;Sheet2!$D$2&amp;", Comp="&amp;Sheet2!$F$2&amp;"")/IF($F19&lt;&gt;"BPS(표준재무)",Sheet2!$L$2,1),"")</f>
        <v/>
      </c>
      <c r="I19" s="16" t="str">
        <f ca="1">IFERROR(_xll.IMDP("STK",I$4,$F19,Sheet2!$J$6,"Per=일, Real=false, Cons="&amp;Sheet2!$D$2&amp;", Comp="&amp;Sheet2!$F$2&amp;"")/IF($F19&lt;&gt;"BPS(표준재무)",Sheet2!$L$2,1),"")</f>
        <v/>
      </c>
      <c r="J19" s="16" t="str">
        <f ca="1">IFERROR(_xll.IMDP("STK",J$4,$F19,Sheet2!$J$6,"Per=일, Real=false, Cons="&amp;Sheet2!$D$2&amp;", Comp="&amp;Sheet2!$F$2&amp;"")/IF($F19&lt;&gt;"BPS(표준재무)",Sheet2!$L$2,1),"")</f>
        <v/>
      </c>
      <c r="K19" s="16" t="str">
        <f ca="1">IFERROR(_xll.IMDP("STK",K$4,$F19,Sheet2!$J$6,"Per=일, Real=false, Cons="&amp;Sheet2!$D$2&amp;", Comp="&amp;Sheet2!$F$2&amp;"")/IF($F19&lt;&gt;"BPS(표준재무)",Sheet2!$L$2,1),"")</f>
        <v/>
      </c>
      <c r="L19" s="16" t="str">
        <f ca="1">IFERROR(_xll.IMDP("STK",L$4,$F19,Sheet2!$J$6,"Per=일, Real=false, Cons="&amp;Sheet2!$D$2&amp;", Comp="&amp;Sheet2!$F$2&amp;"")/IF($F19&lt;&gt;"BPS(표준재무)",Sheet2!$L$2,1),"")</f>
        <v/>
      </c>
      <c r="M19" s="16" t="str">
        <f ca="1">IFERROR(_xll.IMDP("STK",M$4,$F19,Sheet2!$J$6,"Per=일, Real=false, Cons="&amp;Sheet2!$D$2&amp;", Comp="&amp;Sheet2!$F$2&amp;"")/IF($F19&lt;&gt;"BPS(표준재무)",Sheet2!$L$2,1),"")</f>
        <v/>
      </c>
      <c r="N19" s="16" t="str">
        <f ca="1">IFERROR(_xll.IMDP("STK",N$4,$F19,Sheet2!$J$6,"Per=일, Real=false, Cons="&amp;Sheet2!$D$2&amp;", Comp="&amp;Sheet2!$F$2&amp;"")/IF($F19&lt;&gt;"BPS(표준재무)",Sheet2!$L$2,1),"")</f>
        <v/>
      </c>
      <c r="O19" s="16" t="str">
        <f ca="1">IFERROR(_xll.IMDP("STK",O$4,$F19,Sheet2!$J$6,"Per=일, Real=false, Cons="&amp;Sheet2!$D$2&amp;", Comp="&amp;Sheet2!$F$2&amp;"")/IF($F19&lt;&gt;"BPS(표준재무)",Sheet2!$L$2,1),"")</f>
        <v/>
      </c>
      <c r="P19" s="16" t="str">
        <f ca="1">IFERROR(_xll.IMDP("STK",P$4,$F19,Sheet2!$J$6,"Per=일, Real=false, Cons="&amp;Sheet2!$D$2&amp;", Comp="&amp;Sheet2!$F$2&amp;"")/IF($F19&lt;&gt;"BPS(표준재무)",Sheet2!$L$2,1),"")</f>
        <v/>
      </c>
      <c r="Q19" s="17" t="str">
        <f ca="1">IFERROR(_xll.IMDP("STK",Q$4,$F19,Sheet2!$J$6,"Per=일, Real=false, Cons="&amp;Sheet2!$D$2&amp;", Comp="&amp;Sheet2!$F$2&amp;"")/IF($F19&lt;&gt;"BPS(표준재무)",Sheet2!$L$2,1),"")</f>
        <v/>
      </c>
    </row>
    <row r="20" spans="2:17" hidden="1" outlineLevel="2" x14ac:dyDescent="0.3">
      <c r="C20" t="s">
        <v>14</v>
      </c>
      <c r="F20" t="str">
        <f t="shared" si="0"/>
        <v>기타비유동자산(요약재무)</v>
      </c>
      <c r="H20" s="15">
        <f ca="1">IFERROR(_xll.IMDP("STK",H$4,$F20,Sheet2!$J$6,"Per=일, Real=false, Cons="&amp;Sheet2!$D$2&amp;", Comp="&amp;Sheet2!$F$2&amp;"")/IF($F20&lt;&gt;"BPS(표준재무)",Sheet2!$L$2,1),"")</f>
        <v>7735521</v>
      </c>
      <c r="I20" s="16">
        <f ca="1">IFERROR(_xll.IMDP("STK",I$4,$F20,Sheet2!$J$6,"Per=일, Real=false, Cons="&amp;Sheet2!$D$2&amp;", Comp="&amp;Sheet2!$F$2&amp;"")/IF($F20&lt;&gt;"BPS(표준재무)",Sheet2!$L$2,1),"")</f>
        <v>2534330</v>
      </c>
      <c r="J20" s="16">
        <f ca="1">IFERROR(_xll.IMDP("STK",J$4,$F20,Sheet2!$J$6,"Per=일, Real=false, Cons="&amp;Sheet2!$D$2&amp;", Comp="&amp;Sheet2!$F$2&amp;"")/IF($F20&lt;&gt;"BPS(표준재무)",Sheet2!$L$2,1),"")</f>
        <v>1085906</v>
      </c>
      <c r="K20" s="16">
        <f ca="1">IFERROR(_xll.IMDP("STK",K$4,$F20,Sheet2!$J$6,"Per=일, Real=false, Cons="&amp;Sheet2!$D$2&amp;", Comp="&amp;Sheet2!$F$2&amp;"")/IF($F20&lt;&gt;"BPS(표준재무)",Sheet2!$L$2,1),"")</f>
        <v>14269.352000000001</v>
      </c>
      <c r="L20" s="16">
        <f ca="1">IFERROR(_xll.IMDP("STK",L$4,$F20,Sheet2!$J$6,"Per=일, Real=false, Cons="&amp;Sheet2!$D$2&amp;", Comp="&amp;Sheet2!$F$2&amp;"")/IF($F20&lt;&gt;"BPS(표준재무)",Sheet2!$L$2,1),"")</f>
        <v>61513.353000000003</v>
      </c>
      <c r="M20" s="16" t="str">
        <f ca="1">IFERROR(_xll.IMDP("STK",M$4,$F20,Sheet2!$J$6,"Per=일, Real=false, Cons="&amp;Sheet2!$D$2&amp;", Comp="&amp;Sheet2!$F$2&amp;"")/IF($F20&lt;&gt;"BPS(표준재무)",Sheet2!$L$2,1),"")</f>
        <v/>
      </c>
      <c r="N20" s="16" t="str">
        <f ca="1">IFERROR(_xll.IMDP("STK",N$4,$F20,Sheet2!$J$6,"Per=일, Real=false, Cons="&amp;Sheet2!$D$2&amp;", Comp="&amp;Sheet2!$F$2&amp;"")/IF($F20&lt;&gt;"BPS(표준재무)",Sheet2!$L$2,1),"")</f>
        <v/>
      </c>
      <c r="O20" s="16" t="str">
        <f ca="1">IFERROR(_xll.IMDP("STK",O$4,$F20,Sheet2!$J$6,"Per=일, Real=false, Cons="&amp;Sheet2!$D$2&amp;", Comp="&amp;Sheet2!$F$2&amp;"")/IF($F20&lt;&gt;"BPS(표준재무)",Sheet2!$L$2,1),"")</f>
        <v/>
      </c>
      <c r="P20" s="16" t="str">
        <f ca="1">IFERROR(_xll.IMDP("STK",P$4,$F20,Sheet2!$J$6,"Per=일, Real=false, Cons="&amp;Sheet2!$D$2&amp;", Comp="&amp;Sheet2!$F$2&amp;"")/IF($F20&lt;&gt;"BPS(표준재무)",Sheet2!$L$2,1),"")</f>
        <v/>
      </c>
      <c r="Q20" s="17" t="str">
        <f ca="1">IFERROR(_xll.IMDP("STK",Q$4,$F20,Sheet2!$J$6,"Per=일, Real=false, Cons="&amp;Sheet2!$D$2&amp;", Comp="&amp;Sheet2!$F$2&amp;"")/IF($F20&lt;&gt;"BPS(표준재무)",Sheet2!$L$2,1),"")</f>
        <v/>
      </c>
    </row>
    <row r="21" spans="2:17" hidden="1" outlineLevel="3" x14ac:dyDescent="0.3">
      <c r="D21" t="s">
        <v>519</v>
      </c>
      <c r="F21" t="str">
        <f t="shared" si="0"/>
        <v>리스사용권자산(요약재무)</v>
      </c>
      <c r="H21" s="15" t="str">
        <f ca="1">IFERROR(_xll.IMDP("STK",H$4,$F21,Sheet2!$J$6,"Per=일, Real=false, Cons="&amp;Sheet2!$D$2&amp;", Comp="&amp;Sheet2!$F$2&amp;"")/IF($F21&lt;&gt;"BPS(표준재무)",Sheet2!$L$2,1),"")</f>
        <v/>
      </c>
      <c r="I21" s="16">
        <f ca="1">IFERROR(_xll.IMDP("STK",I$4,$F21,Sheet2!$J$6,"Per=일, Real=false, Cons="&amp;Sheet2!$D$2&amp;", Comp="&amp;Sheet2!$F$2&amp;"")/IF($F21&lt;&gt;"BPS(표준재무)",Sheet2!$L$2,1),"")</f>
        <v>1178000</v>
      </c>
      <c r="J21" s="16">
        <f ca="1">IFERROR(_xll.IMDP("STK",J$4,$F21,Sheet2!$J$6,"Per=일, Real=false, Cons="&amp;Sheet2!$D$2&amp;", Comp="&amp;Sheet2!$F$2&amp;"")/IF($F21&lt;&gt;"BPS(표준재무)",Sheet2!$L$2,1),"")</f>
        <v>182395</v>
      </c>
      <c r="K21" s="16" t="str">
        <f ca="1">IFERROR(_xll.IMDP("STK",K$4,$F21,Sheet2!$J$6,"Per=일, Real=false, Cons="&amp;Sheet2!$D$2&amp;", Comp="&amp;Sheet2!$F$2&amp;"")/IF($F21&lt;&gt;"BPS(표준재무)",Sheet2!$L$2,1),"")</f>
        <v/>
      </c>
      <c r="L21" s="16">
        <f ca="1">IFERROR(_xll.IMDP("STK",L$4,$F21,Sheet2!$J$6,"Per=일, Real=false, Cons="&amp;Sheet2!$D$2&amp;", Comp="&amp;Sheet2!$F$2&amp;"")/IF($F21&lt;&gt;"BPS(표준재무)",Sheet2!$L$2,1),"")</f>
        <v>37521.154000000002</v>
      </c>
      <c r="M21" s="16" t="str">
        <f ca="1">IFERROR(_xll.IMDP("STK",M$4,$F21,Sheet2!$J$6,"Per=일, Real=false, Cons="&amp;Sheet2!$D$2&amp;", Comp="&amp;Sheet2!$F$2&amp;"")/IF($F21&lt;&gt;"BPS(표준재무)",Sheet2!$L$2,1),"")</f>
        <v/>
      </c>
      <c r="N21" s="16" t="str">
        <f ca="1">IFERROR(_xll.IMDP("STK",N$4,$F21,Sheet2!$J$6,"Per=일, Real=false, Cons="&amp;Sheet2!$D$2&amp;", Comp="&amp;Sheet2!$F$2&amp;"")/IF($F21&lt;&gt;"BPS(표준재무)",Sheet2!$L$2,1),"")</f>
        <v/>
      </c>
      <c r="O21" s="16" t="str">
        <f ca="1">IFERROR(_xll.IMDP("STK",O$4,$F21,Sheet2!$J$6,"Per=일, Real=false, Cons="&amp;Sheet2!$D$2&amp;", Comp="&amp;Sheet2!$F$2&amp;"")/IF($F21&lt;&gt;"BPS(표준재무)",Sheet2!$L$2,1),"")</f>
        <v/>
      </c>
      <c r="P21" s="16" t="str">
        <f ca="1">IFERROR(_xll.IMDP("STK",P$4,$F21,Sheet2!$J$6,"Per=일, Real=false, Cons="&amp;Sheet2!$D$2&amp;", Comp="&amp;Sheet2!$F$2&amp;"")/IF($F21&lt;&gt;"BPS(표준재무)",Sheet2!$L$2,1),"")</f>
        <v/>
      </c>
      <c r="Q21" s="17" t="str">
        <f ca="1">IFERROR(_xll.IMDP("STK",Q$4,$F21,Sheet2!$J$6,"Per=일, Real=false, Cons="&amp;Sheet2!$D$2&amp;", Comp="&amp;Sheet2!$F$2&amp;"")/IF($F21&lt;&gt;"BPS(표준재무)",Sheet2!$L$2,1),"")</f>
        <v/>
      </c>
    </row>
    <row r="22" spans="2:17" outlineLevel="1" collapsed="1" x14ac:dyDescent="0.3">
      <c r="B22" t="s">
        <v>15</v>
      </c>
      <c r="F22" t="str">
        <f t="shared" si="0"/>
        <v>기타금융업자산(비금융요약재무)</v>
      </c>
      <c r="H22" s="15" t="str">
        <f ca="1">IFERROR(_xll.IMDP("STK",H$4,$F22,Sheet2!$J$6,"Per=일, Real=false, Cons="&amp;Sheet2!$D$2&amp;", Comp="&amp;Sheet2!$F$2&amp;"")/IF($F22&lt;&gt;"BPS(표준재무)",Sheet2!$L$2,1),"")</f>
        <v/>
      </c>
      <c r="I22" s="16" t="str">
        <f ca="1">IFERROR(_xll.IMDP("STK",I$4,$F22,Sheet2!$J$6,"Per=일, Real=false, Cons="&amp;Sheet2!$D$2&amp;", Comp="&amp;Sheet2!$F$2&amp;"")/IF($F22&lt;&gt;"BPS(표준재무)",Sheet2!$L$2,1),"")</f>
        <v/>
      </c>
      <c r="J22" s="16" t="str">
        <f ca="1">IFERROR(_xll.IMDP("STK",J$4,$F22,Sheet2!$J$6,"Per=일, Real=false, Cons="&amp;Sheet2!$D$2&amp;", Comp="&amp;Sheet2!$F$2&amp;"")/IF($F22&lt;&gt;"BPS(표준재무)",Sheet2!$L$2,1),"")</f>
        <v/>
      </c>
      <c r="K22" s="16" t="str">
        <f ca="1">IFERROR(_xll.IMDP("STK",K$4,$F22,Sheet2!$J$6,"Per=일, Real=false, Cons="&amp;Sheet2!$D$2&amp;", Comp="&amp;Sheet2!$F$2&amp;"")/IF($F22&lt;&gt;"BPS(표준재무)",Sheet2!$L$2,1),"")</f>
        <v/>
      </c>
      <c r="L22" s="16" t="str">
        <f ca="1">IFERROR(_xll.IMDP("STK",L$4,$F22,Sheet2!$J$6,"Per=일, Real=false, Cons="&amp;Sheet2!$D$2&amp;", Comp="&amp;Sheet2!$F$2&amp;"")/IF($F22&lt;&gt;"BPS(표준재무)",Sheet2!$L$2,1),"")</f>
        <v/>
      </c>
      <c r="M22" s="16" t="str">
        <f ca="1">IFERROR(_xll.IMDP("STK",M$4,$F22,Sheet2!$J$6,"Per=일, Real=false, Cons="&amp;Sheet2!$D$2&amp;", Comp="&amp;Sheet2!$F$2&amp;"")/IF($F22&lt;&gt;"BPS(표준재무)",Sheet2!$L$2,1),"")</f>
        <v/>
      </c>
      <c r="N22" s="16" t="str">
        <f ca="1">IFERROR(_xll.IMDP("STK",N$4,$F22,Sheet2!$J$6,"Per=일, Real=false, Cons="&amp;Sheet2!$D$2&amp;", Comp="&amp;Sheet2!$F$2&amp;"")/IF($F22&lt;&gt;"BPS(표준재무)",Sheet2!$L$2,1),"")</f>
        <v/>
      </c>
      <c r="O22" s="16" t="str">
        <f ca="1">IFERROR(_xll.IMDP("STK",O$4,$F22,Sheet2!$J$6,"Per=일, Real=false, Cons="&amp;Sheet2!$D$2&amp;", Comp="&amp;Sheet2!$F$2&amp;"")/IF($F22&lt;&gt;"BPS(표준재무)",Sheet2!$L$2,1),"")</f>
        <v/>
      </c>
      <c r="P22" s="16" t="str">
        <f ca="1">IFERROR(_xll.IMDP("STK",P$4,$F22,Sheet2!$J$6,"Per=일, Real=false, Cons="&amp;Sheet2!$D$2&amp;", Comp="&amp;Sheet2!$F$2&amp;"")/IF($F22&lt;&gt;"BPS(표준재무)",Sheet2!$L$2,1),"")</f>
        <v/>
      </c>
      <c r="Q22" s="17" t="str">
        <f ca="1">IFERROR(_xll.IMDP("STK",Q$4,$F22,Sheet2!$J$6,"Per=일, Real=false, Cons="&amp;Sheet2!$D$2&amp;", Comp="&amp;Sheet2!$F$2&amp;"")/IF($F22&lt;&gt;"BPS(표준재무)",Sheet2!$L$2,1),"")</f>
        <v/>
      </c>
    </row>
    <row r="23" spans="2:17" outlineLevel="1" x14ac:dyDescent="0.3">
      <c r="B23" t="s">
        <v>16</v>
      </c>
      <c r="F23" t="str">
        <f t="shared" si="0"/>
        <v>유동자산(요약재무)</v>
      </c>
      <c r="H23" s="15">
        <f ca="1">IFERROR(_xll.IMDP("STK",H$4,$F23,Sheet2!$J$6,"Per=일, Real=false, Cons="&amp;Sheet2!$D$2&amp;", Comp="&amp;Sheet2!$F$2&amp;"")/IF($F23&lt;&gt;"BPS(표준재무)",Sheet2!$L$2,1),"")</f>
        <v>73472493</v>
      </c>
      <c r="I23" s="16">
        <f ca="1">IFERROR(_xll.IMDP("STK",I$4,$F23,Sheet2!$J$6,"Per=일, Real=false, Cons="&amp;Sheet2!$D$2&amp;", Comp="&amp;Sheet2!$F$2&amp;"")/IF($F23&lt;&gt;"BPS(표준재무)",Sheet2!$L$2,1),"")</f>
        <v>17122135</v>
      </c>
      <c r="J23" s="16">
        <f ca="1">IFERROR(_xll.IMDP("STK",J$4,$F23,Sheet2!$J$6,"Per=일, Real=false, Cons="&amp;Sheet2!$D$2&amp;", Comp="&amp;Sheet2!$F$2&amp;"")/IF($F23&lt;&gt;"BPS(표준재무)",Sheet2!$L$2,1),"")</f>
        <v>24096799</v>
      </c>
      <c r="K23" s="16">
        <f ca="1">IFERROR(_xll.IMDP("STK",K$4,$F23,Sheet2!$J$6,"Per=일, Real=false, Cons="&amp;Sheet2!$D$2&amp;", Comp="&amp;Sheet2!$F$2&amp;"")/IF($F23&lt;&gt;"BPS(표준재무)",Sheet2!$L$2,1),"")</f>
        <v>2816272.32</v>
      </c>
      <c r="L23" s="16">
        <f ca="1">IFERROR(_xll.IMDP("STK",L$4,$F23,Sheet2!$J$6,"Per=일, Real=false, Cons="&amp;Sheet2!$D$2&amp;", Comp="&amp;Sheet2!$F$2&amp;"")/IF($F23&lt;&gt;"BPS(표준재무)",Sheet2!$L$2,1),"")</f>
        <v>1443498.9469999999</v>
      </c>
      <c r="M23" s="16" t="str">
        <f ca="1">IFERROR(_xll.IMDP("STK",M$4,$F23,Sheet2!$J$6,"Per=일, Real=false, Cons="&amp;Sheet2!$D$2&amp;", Comp="&amp;Sheet2!$F$2&amp;"")/IF($F23&lt;&gt;"BPS(표준재무)",Sheet2!$L$2,1),"")</f>
        <v/>
      </c>
      <c r="N23" s="16" t="str">
        <f ca="1">IFERROR(_xll.IMDP("STK",N$4,$F23,Sheet2!$J$6,"Per=일, Real=false, Cons="&amp;Sheet2!$D$2&amp;", Comp="&amp;Sheet2!$F$2&amp;"")/IF($F23&lt;&gt;"BPS(표준재무)",Sheet2!$L$2,1),"")</f>
        <v/>
      </c>
      <c r="O23" s="16" t="str">
        <f ca="1">IFERROR(_xll.IMDP("STK",O$4,$F23,Sheet2!$J$6,"Per=일, Real=false, Cons="&amp;Sheet2!$D$2&amp;", Comp="&amp;Sheet2!$F$2&amp;"")/IF($F23&lt;&gt;"BPS(표준재무)",Sheet2!$L$2,1),"")</f>
        <v/>
      </c>
      <c r="P23" s="16" t="str">
        <f ca="1">IFERROR(_xll.IMDP("STK",P$4,$F23,Sheet2!$J$6,"Per=일, Real=false, Cons="&amp;Sheet2!$D$2&amp;", Comp="&amp;Sheet2!$F$2&amp;"")/IF($F23&lt;&gt;"BPS(표준재무)",Sheet2!$L$2,1),"")</f>
        <v/>
      </c>
      <c r="Q23" s="17" t="str">
        <f ca="1">IFERROR(_xll.IMDP("STK",Q$4,$F23,Sheet2!$J$6,"Per=일, Real=false, Cons="&amp;Sheet2!$D$2&amp;", Comp="&amp;Sheet2!$F$2&amp;"")/IF($F23&lt;&gt;"BPS(표준재무)",Sheet2!$L$2,1),"")</f>
        <v/>
      </c>
    </row>
    <row r="24" spans="2:17" hidden="1" outlineLevel="2" x14ac:dyDescent="0.3">
      <c r="C24" t="s">
        <v>17</v>
      </c>
      <c r="F24" t="str">
        <f t="shared" si="0"/>
        <v>재고자산(요약재무)</v>
      </c>
      <c r="H24" s="15">
        <f ca="1">IFERROR(_xll.IMDP("STK",H$4,$F24,Sheet2!$J$6,"Per=일, Real=false, Cons="&amp;Sheet2!$D$2&amp;", Comp="&amp;Sheet2!$F$2&amp;"")/IF($F24&lt;&gt;"BPS(표준재무)",Sheet2!$L$2,1),"")</f>
        <v>32589559</v>
      </c>
      <c r="I24" s="16">
        <f ca="1">IFERROR(_xll.IMDP("STK",I$4,$F24,Sheet2!$J$6,"Per=일, Real=false, Cons="&amp;Sheet2!$D$2&amp;", Comp="&amp;Sheet2!$F$2&amp;"")/IF($F24&lt;&gt;"BPS(표준재무)",Sheet2!$L$2,1),"")</f>
        <v>11252079</v>
      </c>
      <c r="J24" s="16">
        <f ca="1">IFERROR(_xll.IMDP("STK",J$4,$F24,Sheet2!$J$6,"Per=일, Real=false, Cons="&amp;Sheet2!$D$2&amp;", Comp="&amp;Sheet2!$F$2&amp;"")/IF($F24&lt;&gt;"BPS(표준재무)",Sheet2!$L$2,1),"")</f>
        <v>4071140</v>
      </c>
      <c r="K24" s="16">
        <f ca="1">IFERROR(_xll.IMDP("STK",K$4,$F24,Sheet2!$J$6,"Per=일, Real=false, Cons="&amp;Sheet2!$D$2&amp;", Comp="&amp;Sheet2!$F$2&amp;"")/IF($F24&lt;&gt;"BPS(표준재무)",Sheet2!$L$2,1),"")</f>
        <v>422940.76899999997</v>
      </c>
      <c r="L24" s="16">
        <f ca="1">IFERROR(_xll.IMDP("STK",L$4,$F24,Sheet2!$J$6,"Per=일, Real=false, Cons="&amp;Sheet2!$D$2&amp;", Comp="&amp;Sheet2!$F$2&amp;"")/IF($F24&lt;&gt;"BPS(표준재무)",Sheet2!$L$2,1),"")</f>
        <v>712.52</v>
      </c>
      <c r="M24" s="16" t="str">
        <f ca="1">IFERROR(_xll.IMDP("STK",M$4,$F24,Sheet2!$J$6,"Per=일, Real=false, Cons="&amp;Sheet2!$D$2&amp;", Comp="&amp;Sheet2!$F$2&amp;"")/IF($F24&lt;&gt;"BPS(표준재무)",Sheet2!$L$2,1),"")</f>
        <v/>
      </c>
      <c r="N24" s="16" t="str">
        <f ca="1">IFERROR(_xll.IMDP("STK",N$4,$F24,Sheet2!$J$6,"Per=일, Real=false, Cons="&amp;Sheet2!$D$2&amp;", Comp="&amp;Sheet2!$F$2&amp;"")/IF($F24&lt;&gt;"BPS(표준재무)",Sheet2!$L$2,1),"")</f>
        <v/>
      </c>
      <c r="O24" s="16" t="str">
        <f ca="1">IFERROR(_xll.IMDP("STK",O$4,$F24,Sheet2!$J$6,"Per=일, Real=false, Cons="&amp;Sheet2!$D$2&amp;", Comp="&amp;Sheet2!$F$2&amp;"")/IF($F24&lt;&gt;"BPS(표준재무)",Sheet2!$L$2,1),"")</f>
        <v/>
      </c>
      <c r="P24" s="16" t="str">
        <f ca="1">IFERROR(_xll.IMDP("STK",P$4,$F24,Sheet2!$J$6,"Per=일, Real=false, Cons="&amp;Sheet2!$D$2&amp;", Comp="&amp;Sheet2!$F$2&amp;"")/IF($F24&lt;&gt;"BPS(표준재무)",Sheet2!$L$2,1),"")</f>
        <v/>
      </c>
      <c r="Q24" s="17" t="str">
        <f ca="1">IFERROR(_xll.IMDP("STK",Q$4,$F24,Sheet2!$J$6,"Per=일, Real=false, Cons="&amp;Sheet2!$D$2&amp;", Comp="&amp;Sheet2!$F$2&amp;"")/IF($F24&lt;&gt;"BPS(표준재무)",Sheet2!$L$2,1),"")</f>
        <v/>
      </c>
    </row>
    <row r="25" spans="2:17" hidden="1" outlineLevel="2" x14ac:dyDescent="0.3">
      <c r="C25" t="s">
        <v>18</v>
      </c>
      <c r="F25" t="str">
        <f t="shared" si="0"/>
        <v>유동생물자산(요약재무)</v>
      </c>
      <c r="H25" s="15" t="str">
        <f ca="1">IFERROR(_xll.IMDP("STK",H$4,$F25,Sheet2!$J$6,"Per=일, Real=false, Cons="&amp;Sheet2!$D$2&amp;", Comp="&amp;Sheet2!$F$2&amp;"")/IF($F25&lt;&gt;"BPS(표준재무)",Sheet2!$L$2,1),"")</f>
        <v/>
      </c>
      <c r="I25" s="16" t="str">
        <f ca="1">IFERROR(_xll.IMDP("STK",I$4,$F25,Sheet2!$J$6,"Per=일, Real=false, Cons="&amp;Sheet2!$D$2&amp;", Comp="&amp;Sheet2!$F$2&amp;"")/IF($F25&lt;&gt;"BPS(표준재무)",Sheet2!$L$2,1),"")</f>
        <v/>
      </c>
      <c r="J25" s="16" t="str">
        <f ca="1">IFERROR(_xll.IMDP("STK",J$4,$F25,Sheet2!$J$6,"Per=일, Real=false, Cons="&amp;Sheet2!$D$2&amp;", Comp="&amp;Sheet2!$F$2&amp;"")/IF($F25&lt;&gt;"BPS(표준재무)",Sheet2!$L$2,1),"")</f>
        <v/>
      </c>
      <c r="K25" s="16" t="str">
        <f ca="1">IFERROR(_xll.IMDP("STK",K$4,$F25,Sheet2!$J$6,"Per=일, Real=false, Cons="&amp;Sheet2!$D$2&amp;", Comp="&amp;Sheet2!$F$2&amp;"")/IF($F25&lt;&gt;"BPS(표준재무)",Sheet2!$L$2,1),"")</f>
        <v/>
      </c>
      <c r="L25" s="16" t="str">
        <f ca="1">IFERROR(_xll.IMDP("STK",L$4,$F25,Sheet2!$J$6,"Per=일, Real=false, Cons="&amp;Sheet2!$D$2&amp;", Comp="&amp;Sheet2!$F$2&amp;"")/IF($F25&lt;&gt;"BPS(표준재무)",Sheet2!$L$2,1),"")</f>
        <v/>
      </c>
      <c r="M25" s="16" t="str">
        <f ca="1">IFERROR(_xll.IMDP("STK",M$4,$F25,Sheet2!$J$6,"Per=일, Real=false, Cons="&amp;Sheet2!$D$2&amp;", Comp="&amp;Sheet2!$F$2&amp;"")/IF($F25&lt;&gt;"BPS(표준재무)",Sheet2!$L$2,1),"")</f>
        <v/>
      </c>
      <c r="N25" s="16" t="str">
        <f ca="1">IFERROR(_xll.IMDP("STK",N$4,$F25,Sheet2!$J$6,"Per=일, Real=false, Cons="&amp;Sheet2!$D$2&amp;", Comp="&amp;Sheet2!$F$2&amp;"")/IF($F25&lt;&gt;"BPS(표준재무)",Sheet2!$L$2,1),"")</f>
        <v/>
      </c>
      <c r="O25" s="16" t="str">
        <f ca="1">IFERROR(_xll.IMDP("STK",O$4,$F25,Sheet2!$J$6,"Per=일, Real=false, Cons="&amp;Sheet2!$D$2&amp;", Comp="&amp;Sheet2!$F$2&amp;"")/IF($F25&lt;&gt;"BPS(표준재무)",Sheet2!$L$2,1),"")</f>
        <v/>
      </c>
      <c r="P25" s="16" t="str">
        <f ca="1">IFERROR(_xll.IMDP("STK",P$4,$F25,Sheet2!$J$6,"Per=일, Real=false, Cons="&amp;Sheet2!$D$2&amp;", Comp="&amp;Sheet2!$F$2&amp;"")/IF($F25&lt;&gt;"BPS(표준재무)",Sheet2!$L$2,1),"")</f>
        <v/>
      </c>
      <c r="Q25" s="17" t="str">
        <f ca="1">IFERROR(_xll.IMDP("STK",Q$4,$F25,Sheet2!$J$6,"Per=일, Real=false, Cons="&amp;Sheet2!$D$2&amp;", Comp="&amp;Sheet2!$F$2&amp;"")/IF($F25&lt;&gt;"BPS(표준재무)",Sheet2!$L$2,1),"")</f>
        <v/>
      </c>
    </row>
    <row r="26" spans="2:17" hidden="1" outlineLevel="2" x14ac:dyDescent="0.3">
      <c r="C26" t="s">
        <v>19</v>
      </c>
      <c r="F26" t="str">
        <f t="shared" si="0"/>
        <v>유동금융자산(요약재무)</v>
      </c>
      <c r="H26" s="15">
        <f ca="1">IFERROR(_xll.IMDP("STK",H$4,$F26,Sheet2!$J$6,"Per=일, Real=false, Cons="&amp;Sheet2!$D$2&amp;", Comp="&amp;Sheet2!$F$2&amp;"")/IF($F26&lt;&gt;"BPS(표준재무)",Sheet2!$L$2,1),"")</f>
        <v>1403</v>
      </c>
      <c r="I26" s="16">
        <f ca="1">IFERROR(_xll.IMDP("STK",I$4,$F26,Sheet2!$J$6,"Per=일, Real=false, Cons="&amp;Sheet2!$D$2&amp;", Comp="&amp;Sheet2!$F$2&amp;"")/IF($F26&lt;&gt;"BPS(표준재무)",Sheet2!$L$2,1),"")</f>
        <v>318396</v>
      </c>
      <c r="J26" s="16">
        <f ca="1">IFERROR(_xll.IMDP("STK",J$4,$F26,Sheet2!$J$6,"Per=일, Real=false, Cons="&amp;Sheet2!$D$2&amp;", Comp="&amp;Sheet2!$F$2&amp;"")/IF($F26&lt;&gt;"BPS(표준재무)",Sheet2!$L$2,1),"")</f>
        <v>3763404</v>
      </c>
      <c r="K26" s="16">
        <f ca="1">IFERROR(_xll.IMDP("STK",K$4,$F26,Sheet2!$J$6,"Per=일, Real=false, Cons="&amp;Sheet2!$D$2&amp;", Comp="&amp;Sheet2!$F$2&amp;"")/IF($F26&lt;&gt;"BPS(표준재무)",Sheet2!$L$2,1),"")</f>
        <v>27852.811000000002</v>
      </c>
      <c r="L26" s="16">
        <f ca="1">IFERROR(_xll.IMDP("STK",L$4,$F26,Sheet2!$J$6,"Per=일, Real=false, Cons="&amp;Sheet2!$D$2&amp;", Comp="&amp;Sheet2!$F$2&amp;"")/IF($F26&lt;&gt;"BPS(표준재무)",Sheet2!$L$2,1),"")</f>
        <v>104845.859</v>
      </c>
      <c r="M26" s="16" t="str">
        <f ca="1">IFERROR(_xll.IMDP("STK",M$4,$F26,Sheet2!$J$6,"Per=일, Real=false, Cons="&amp;Sheet2!$D$2&amp;", Comp="&amp;Sheet2!$F$2&amp;"")/IF($F26&lt;&gt;"BPS(표준재무)",Sheet2!$L$2,1),"")</f>
        <v/>
      </c>
      <c r="N26" s="16" t="str">
        <f ca="1">IFERROR(_xll.IMDP("STK",N$4,$F26,Sheet2!$J$6,"Per=일, Real=false, Cons="&amp;Sheet2!$D$2&amp;", Comp="&amp;Sheet2!$F$2&amp;"")/IF($F26&lt;&gt;"BPS(표준재무)",Sheet2!$L$2,1),"")</f>
        <v/>
      </c>
      <c r="O26" s="16" t="str">
        <f ca="1">IFERROR(_xll.IMDP("STK",O$4,$F26,Sheet2!$J$6,"Per=일, Real=false, Cons="&amp;Sheet2!$D$2&amp;", Comp="&amp;Sheet2!$F$2&amp;"")/IF($F26&lt;&gt;"BPS(표준재무)",Sheet2!$L$2,1),"")</f>
        <v/>
      </c>
      <c r="P26" s="16" t="str">
        <f ca="1">IFERROR(_xll.IMDP("STK",P$4,$F26,Sheet2!$J$6,"Per=일, Real=false, Cons="&amp;Sheet2!$D$2&amp;", Comp="&amp;Sheet2!$F$2&amp;"")/IF($F26&lt;&gt;"BPS(표준재무)",Sheet2!$L$2,1),"")</f>
        <v/>
      </c>
      <c r="Q26" s="17" t="str">
        <f ca="1">IFERROR(_xll.IMDP("STK",Q$4,$F26,Sheet2!$J$6,"Per=일, Real=false, Cons="&amp;Sheet2!$D$2&amp;", Comp="&amp;Sheet2!$F$2&amp;"")/IF($F26&lt;&gt;"BPS(표준재무)",Sheet2!$L$2,1),"")</f>
        <v/>
      </c>
    </row>
    <row r="27" spans="2:17" hidden="1" outlineLevel="2" x14ac:dyDescent="0.3">
      <c r="C27" t="s">
        <v>20</v>
      </c>
      <c r="F27" t="str">
        <f t="shared" si="0"/>
        <v>매출채권및기타유동채권(요약재무)</v>
      </c>
      <c r="H27" s="15">
        <f ca="1">IFERROR(_xll.IMDP("STK",H$4,$F27,Sheet2!$J$6,"Per=일, Real=false, Cons="&amp;Sheet2!$D$2&amp;", Comp="&amp;Sheet2!$F$2&amp;"")/IF($F27&lt;&gt;"BPS(표준재무)",Sheet2!$L$2,1),"")</f>
        <v>24182820</v>
      </c>
      <c r="I27" s="16">
        <f ca="1">IFERROR(_xll.IMDP("STK",I$4,$F27,Sheet2!$J$6,"Per=일, Real=false, Cons="&amp;Sheet2!$D$2&amp;", Comp="&amp;Sheet2!$F$2&amp;"")/IF($F27&lt;&gt;"BPS(표준재무)",Sheet2!$L$2,1),"")</f>
        <v>2702616</v>
      </c>
      <c r="J27" s="16">
        <f ca="1">IFERROR(_xll.IMDP("STK",J$4,$F27,Sheet2!$J$6,"Per=일, Real=false, Cons="&amp;Sheet2!$D$2&amp;", Comp="&amp;Sheet2!$F$2&amp;"")/IF($F27&lt;&gt;"BPS(표준재무)",Sheet2!$L$2,1),"")</f>
        <v>7605794</v>
      </c>
      <c r="K27" s="16">
        <f ca="1">IFERROR(_xll.IMDP("STK",K$4,$F27,Sheet2!$J$6,"Per=일, Real=false, Cons="&amp;Sheet2!$D$2&amp;", Comp="&amp;Sheet2!$F$2&amp;"")/IF($F27&lt;&gt;"BPS(표준재무)",Sheet2!$L$2,1),"")</f>
        <v>1738382.767</v>
      </c>
      <c r="L27" s="16">
        <f ca="1">IFERROR(_xll.IMDP("STK",L$4,$F27,Sheet2!$J$6,"Per=일, Real=false, Cons="&amp;Sheet2!$D$2&amp;", Comp="&amp;Sheet2!$F$2&amp;"")/IF($F27&lt;&gt;"BPS(표준재무)",Sheet2!$L$2,1),"")</f>
        <v>513663.86099999998</v>
      </c>
      <c r="M27" s="16" t="str">
        <f ca="1">IFERROR(_xll.IMDP("STK",M$4,$F27,Sheet2!$J$6,"Per=일, Real=false, Cons="&amp;Sheet2!$D$2&amp;", Comp="&amp;Sheet2!$F$2&amp;"")/IF($F27&lt;&gt;"BPS(표준재무)",Sheet2!$L$2,1),"")</f>
        <v/>
      </c>
      <c r="N27" s="16" t="str">
        <f ca="1">IFERROR(_xll.IMDP("STK",N$4,$F27,Sheet2!$J$6,"Per=일, Real=false, Cons="&amp;Sheet2!$D$2&amp;", Comp="&amp;Sheet2!$F$2&amp;"")/IF($F27&lt;&gt;"BPS(표준재무)",Sheet2!$L$2,1),"")</f>
        <v/>
      </c>
      <c r="O27" s="16" t="str">
        <f ca="1">IFERROR(_xll.IMDP("STK",O$4,$F27,Sheet2!$J$6,"Per=일, Real=false, Cons="&amp;Sheet2!$D$2&amp;", Comp="&amp;Sheet2!$F$2&amp;"")/IF($F27&lt;&gt;"BPS(표준재무)",Sheet2!$L$2,1),"")</f>
        <v/>
      </c>
      <c r="P27" s="16" t="str">
        <f ca="1">IFERROR(_xll.IMDP("STK",P$4,$F27,Sheet2!$J$6,"Per=일, Real=false, Cons="&amp;Sheet2!$D$2&amp;", Comp="&amp;Sheet2!$F$2&amp;"")/IF($F27&lt;&gt;"BPS(표준재무)",Sheet2!$L$2,1),"")</f>
        <v/>
      </c>
      <c r="Q27" s="17" t="str">
        <f ca="1">IFERROR(_xll.IMDP("STK",Q$4,$F27,Sheet2!$J$6,"Per=일, Real=false, Cons="&amp;Sheet2!$D$2&amp;", Comp="&amp;Sheet2!$F$2&amp;"")/IF($F27&lt;&gt;"BPS(표준재무)",Sheet2!$L$2,1),"")</f>
        <v/>
      </c>
    </row>
    <row r="28" spans="2:17" hidden="1" outlineLevel="2" x14ac:dyDescent="0.3">
      <c r="C28" t="s">
        <v>21</v>
      </c>
      <c r="F28" t="str">
        <f t="shared" si="0"/>
        <v>당기법인세자산선급법인세(비금융요약재무)</v>
      </c>
      <c r="H28" s="15" t="str">
        <f ca="1">IFERROR(_xll.IMDP("STK",H$4,$F28,Sheet2!$J$6,"Per=일, Real=false, Cons="&amp;Sheet2!$D$2&amp;", Comp="&amp;Sheet2!$F$2&amp;"")/IF($F28&lt;&gt;"BPS(표준재무)",Sheet2!$L$2,1),"")</f>
        <v/>
      </c>
      <c r="I28" s="16">
        <f ca="1">IFERROR(_xll.IMDP("STK",I$4,$F28,Sheet2!$J$6,"Per=일, Real=false, Cons="&amp;Sheet2!$D$2&amp;", Comp="&amp;Sheet2!$F$2&amp;"")/IF($F28&lt;&gt;"BPS(표준재무)",Sheet2!$L$2,1),"")</f>
        <v>12158</v>
      </c>
      <c r="J28" s="16" t="str">
        <f ca="1">IFERROR(_xll.IMDP("STK",J$4,$F28,Sheet2!$J$6,"Per=일, Real=false, Cons="&amp;Sheet2!$D$2&amp;", Comp="&amp;Sheet2!$F$2&amp;"")/IF($F28&lt;&gt;"BPS(표준재무)",Sheet2!$L$2,1),"")</f>
        <v/>
      </c>
      <c r="K28" s="16" t="str">
        <f ca="1">IFERROR(_xll.IMDP("STK",K$4,$F28,Sheet2!$J$6,"Per=일, Real=false, Cons="&amp;Sheet2!$D$2&amp;", Comp="&amp;Sheet2!$F$2&amp;"")/IF($F28&lt;&gt;"BPS(표준재무)",Sheet2!$L$2,1),"")</f>
        <v/>
      </c>
      <c r="L28" s="16" t="str">
        <f ca="1">IFERROR(_xll.IMDP("STK",L$4,$F28,Sheet2!$J$6,"Per=일, Real=false, Cons="&amp;Sheet2!$D$2&amp;", Comp="&amp;Sheet2!$F$2&amp;"")/IF($F28&lt;&gt;"BPS(표준재무)",Sheet2!$L$2,1),"")</f>
        <v/>
      </c>
      <c r="M28" s="16" t="str">
        <f ca="1">IFERROR(_xll.IMDP("STK",M$4,$F28,Sheet2!$J$6,"Per=일, Real=false, Cons="&amp;Sheet2!$D$2&amp;", Comp="&amp;Sheet2!$F$2&amp;"")/IF($F28&lt;&gt;"BPS(표준재무)",Sheet2!$L$2,1),"")</f>
        <v/>
      </c>
      <c r="N28" s="16" t="str">
        <f ca="1">IFERROR(_xll.IMDP("STK",N$4,$F28,Sheet2!$J$6,"Per=일, Real=false, Cons="&amp;Sheet2!$D$2&amp;", Comp="&amp;Sheet2!$F$2&amp;"")/IF($F28&lt;&gt;"BPS(표준재무)",Sheet2!$L$2,1),"")</f>
        <v/>
      </c>
      <c r="O28" s="16" t="str">
        <f ca="1">IFERROR(_xll.IMDP("STK",O$4,$F28,Sheet2!$J$6,"Per=일, Real=false, Cons="&amp;Sheet2!$D$2&amp;", Comp="&amp;Sheet2!$F$2&amp;"")/IF($F28&lt;&gt;"BPS(표준재무)",Sheet2!$L$2,1),"")</f>
        <v/>
      </c>
      <c r="P28" s="16" t="str">
        <f ca="1">IFERROR(_xll.IMDP("STK",P$4,$F28,Sheet2!$J$6,"Per=일, Real=false, Cons="&amp;Sheet2!$D$2&amp;", Comp="&amp;Sheet2!$F$2&amp;"")/IF($F28&lt;&gt;"BPS(표준재무)",Sheet2!$L$2,1),"")</f>
        <v/>
      </c>
      <c r="Q28" s="17" t="str">
        <f ca="1">IFERROR(_xll.IMDP("STK",Q$4,$F28,Sheet2!$J$6,"Per=일, Real=false, Cons="&amp;Sheet2!$D$2&amp;", Comp="&amp;Sheet2!$F$2&amp;"")/IF($F28&lt;&gt;"BPS(표준재무)",Sheet2!$L$2,1),"")</f>
        <v/>
      </c>
    </row>
    <row r="29" spans="2:17" hidden="1" outlineLevel="2" x14ac:dyDescent="0.3">
      <c r="C29" t="s">
        <v>22</v>
      </c>
      <c r="F29" t="str">
        <f t="shared" si="0"/>
        <v>기타유동자산(요약재무)</v>
      </c>
      <c r="H29" s="15">
        <f ca="1">IFERROR(_xll.IMDP("STK",H$4,$F29,Sheet2!$J$6,"Per=일, Real=false, Cons="&amp;Sheet2!$D$2&amp;", Comp="&amp;Sheet2!$F$2&amp;"")/IF($F29&lt;&gt;"BPS(표준재무)",Sheet2!$L$2,1),"")</f>
        <v>3806241</v>
      </c>
      <c r="I29" s="16">
        <f ca="1">IFERROR(_xll.IMDP("STK",I$4,$F29,Sheet2!$J$6,"Per=일, Real=false, Cons="&amp;Sheet2!$D$2&amp;", Comp="&amp;Sheet2!$F$2&amp;"")/IF($F29&lt;&gt;"BPS(표준재무)",Sheet2!$L$2,1),"")</f>
        <v>409363</v>
      </c>
      <c r="J29" s="16">
        <f ca="1">IFERROR(_xll.IMDP("STK",J$4,$F29,Sheet2!$J$6,"Per=일, Real=false, Cons="&amp;Sheet2!$D$2&amp;", Comp="&amp;Sheet2!$F$2&amp;"")/IF($F29&lt;&gt;"BPS(표준재무)",Sheet2!$L$2,1),"")</f>
        <v>303585</v>
      </c>
      <c r="K29" s="16">
        <f ca="1">IFERROR(_xll.IMDP("STK",K$4,$F29,Sheet2!$J$6,"Per=일, Real=false, Cons="&amp;Sheet2!$D$2&amp;", Comp="&amp;Sheet2!$F$2&amp;"")/IF($F29&lt;&gt;"BPS(표준재무)",Sheet2!$L$2,1),"")</f>
        <v>60526.250999999997</v>
      </c>
      <c r="L29" s="16">
        <f ca="1">IFERROR(_xll.IMDP("STK",L$4,$F29,Sheet2!$J$6,"Per=일, Real=false, Cons="&amp;Sheet2!$D$2&amp;", Comp="&amp;Sheet2!$F$2&amp;"")/IF($F29&lt;&gt;"BPS(표준재무)",Sheet2!$L$2,1),"")</f>
        <v>42224.5</v>
      </c>
      <c r="M29" s="16" t="str">
        <f ca="1">IFERROR(_xll.IMDP("STK",M$4,$F29,Sheet2!$J$6,"Per=일, Real=false, Cons="&amp;Sheet2!$D$2&amp;", Comp="&amp;Sheet2!$F$2&amp;"")/IF($F29&lt;&gt;"BPS(표준재무)",Sheet2!$L$2,1),"")</f>
        <v/>
      </c>
      <c r="N29" s="16" t="str">
        <f ca="1">IFERROR(_xll.IMDP("STK",N$4,$F29,Sheet2!$J$6,"Per=일, Real=false, Cons="&amp;Sheet2!$D$2&amp;", Comp="&amp;Sheet2!$F$2&amp;"")/IF($F29&lt;&gt;"BPS(표준재무)",Sheet2!$L$2,1),"")</f>
        <v/>
      </c>
      <c r="O29" s="16" t="str">
        <f ca="1">IFERROR(_xll.IMDP("STK",O$4,$F29,Sheet2!$J$6,"Per=일, Real=false, Cons="&amp;Sheet2!$D$2&amp;", Comp="&amp;Sheet2!$F$2&amp;"")/IF($F29&lt;&gt;"BPS(표준재무)",Sheet2!$L$2,1),"")</f>
        <v/>
      </c>
      <c r="P29" s="16" t="str">
        <f ca="1">IFERROR(_xll.IMDP("STK",P$4,$F29,Sheet2!$J$6,"Per=일, Real=false, Cons="&amp;Sheet2!$D$2&amp;", Comp="&amp;Sheet2!$F$2&amp;"")/IF($F29&lt;&gt;"BPS(표준재무)",Sheet2!$L$2,1),"")</f>
        <v/>
      </c>
      <c r="Q29" s="17" t="str">
        <f ca="1">IFERROR(_xll.IMDP("STK",Q$4,$F29,Sheet2!$J$6,"Per=일, Real=false, Cons="&amp;Sheet2!$D$2&amp;", Comp="&amp;Sheet2!$F$2&amp;"")/IF($F29&lt;&gt;"BPS(표준재무)",Sheet2!$L$2,1),"")</f>
        <v/>
      </c>
    </row>
    <row r="30" spans="2:17" hidden="1" outlineLevel="2" x14ac:dyDescent="0.3">
      <c r="C30" t="s">
        <v>23</v>
      </c>
      <c r="F30" t="str">
        <f t="shared" si="0"/>
        <v>현금및현금성자산(요약재무)</v>
      </c>
      <c r="H30" s="15">
        <f ca="1">IFERROR(_xll.IMDP("STK",H$4,$F30,Sheet2!$J$6,"Per=일, Real=false, Cons="&amp;Sheet2!$D$2&amp;", Comp="&amp;Sheet2!$F$2&amp;"")/IF($F30&lt;&gt;"BPS(표준재무)",Sheet2!$L$2,1),"")</f>
        <v>12892470</v>
      </c>
      <c r="I30" s="16">
        <f ca="1">IFERROR(_xll.IMDP("STK",I$4,$F30,Sheet2!$J$6,"Per=일, Real=false, Cons="&amp;Sheet2!$D$2&amp;", Comp="&amp;Sheet2!$F$2&amp;"")/IF($F30&lt;&gt;"BPS(표준재무)",Sheet2!$L$2,1),"")</f>
        <v>1971413</v>
      </c>
      <c r="J30" s="16">
        <f ca="1">IFERROR(_xll.IMDP("STK",J$4,$F30,Sheet2!$J$6,"Per=일, Real=false, Cons="&amp;Sheet2!$D$2&amp;", Comp="&amp;Sheet2!$F$2&amp;"")/IF($F30&lt;&gt;"BPS(표준재무)",Sheet2!$L$2,1),"")</f>
        <v>7049394</v>
      </c>
      <c r="K30" s="16">
        <f ca="1">IFERROR(_xll.IMDP("STK",K$4,$F30,Sheet2!$J$6,"Per=일, Real=false, Cons="&amp;Sheet2!$D$2&amp;", Comp="&amp;Sheet2!$F$2&amp;"")/IF($F30&lt;&gt;"BPS(표준재무)",Sheet2!$L$2,1),"")</f>
        <v>566569.72199999995</v>
      </c>
      <c r="L30" s="16">
        <f ca="1">IFERROR(_xll.IMDP("STK",L$4,$F30,Sheet2!$J$6,"Per=일, Real=false, Cons="&amp;Sheet2!$D$2&amp;", Comp="&amp;Sheet2!$F$2&amp;"")/IF($F30&lt;&gt;"BPS(표준재무)",Sheet2!$L$2,1),"")</f>
        <v>584887.47600000002</v>
      </c>
      <c r="M30" s="16" t="str">
        <f ca="1">IFERROR(_xll.IMDP("STK",M$4,$F30,Sheet2!$J$6,"Per=일, Real=false, Cons="&amp;Sheet2!$D$2&amp;", Comp="&amp;Sheet2!$F$2&amp;"")/IF($F30&lt;&gt;"BPS(표준재무)",Sheet2!$L$2,1),"")</f>
        <v/>
      </c>
      <c r="N30" s="16" t="str">
        <f ca="1">IFERROR(_xll.IMDP("STK",N$4,$F30,Sheet2!$J$6,"Per=일, Real=false, Cons="&amp;Sheet2!$D$2&amp;", Comp="&amp;Sheet2!$F$2&amp;"")/IF($F30&lt;&gt;"BPS(표준재무)",Sheet2!$L$2,1),"")</f>
        <v/>
      </c>
      <c r="O30" s="16" t="str">
        <f ca="1">IFERROR(_xll.IMDP("STK",O$4,$F30,Sheet2!$J$6,"Per=일, Real=false, Cons="&amp;Sheet2!$D$2&amp;", Comp="&amp;Sheet2!$F$2&amp;"")/IF($F30&lt;&gt;"BPS(표준재무)",Sheet2!$L$2,1),"")</f>
        <v/>
      </c>
      <c r="P30" s="16" t="str">
        <f ca="1">IFERROR(_xll.IMDP("STK",P$4,$F30,Sheet2!$J$6,"Per=일, Real=false, Cons="&amp;Sheet2!$D$2&amp;", Comp="&amp;Sheet2!$F$2&amp;"")/IF($F30&lt;&gt;"BPS(표준재무)",Sheet2!$L$2,1),"")</f>
        <v/>
      </c>
      <c r="Q30" s="17" t="str">
        <f ca="1">IFERROR(_xll.IMDP("STK",Q$4,$F30,Sheet2!$J$6,"Per=일, Real=false, Cons="&amp;Sheet2!$D$2&amp;", Comp="&amp;Sheet2!$F$2&amp;"")/IF($F30&lt;&gt;"BPS(표준재무)",Sheet2!$L$2,1),"")</f>
        <v/>
      </c>
    </row>
    <row r="31" spans="2:17" hidden="1" outlineLevel="2" x14ac:dyDescent="0.3">
      <c r="C31" t="s">
        <v>24</v>
      </c>
      <c r="F31" t="str">
        <f t="shared" si="0"/>
        <v>매각예정비유동자산및처분자산집단(요약재무)</v>
      </c>
      <c r="H31" s="15" t="str">
        <f ca="1">IFERROR(_xll.IMDP("STK",H$4,$F31,Sheet2!$J$6,"Per=일, Real=false, Cons="&amp;Sheet2!$D$2&amp;", Comp="&amp;Sheet2!$F$2&amp;"")/IF($F31&lt;&gt;"BPS(표준재무)",Sheet2!$L$2,1),"")</f>
        <v/>
      </c>
      <c r="I31" s="16" t="str">
        <f ca="1">IFERROR(_xll.IMDP("STK",I$4,$F31,Sheet2!$J$6,"Per=일, Real=false, Cons="&amp;Sheet2!$D$2&amp;", Comp="&amp;Sheet2!$F$2&amp;"")/IF($F31&lt;&gt;"BPS(표준재무)",Sheet2!$L$2,1),"")</f>
        <v/>
      </c>
      <c r="J31" s="16" t="str">
        <f ca="1">IFERROR(_xll.IMDP("STK",J$4,$F31,Sheet2!$J$6,"Per=일, Real=false, Cons="&amp;Sheet2!$D$2&amp;", Comp="&amp;Sheet2!$F$2&amp;"")/IF($F31&lt;&gt;"BPS(표준재무)",Sheet2!$L$2,1),"")</f>
        <v/>
      </c>
      <c r="K31" s="16" t="str">
        <f ca="1">IFERROR(_xll.IMDP("STK",K$4,$F31,Sheet2!$J$6,"Per=일, Real=false, Cons="&amp;Sheet2!$D$2&amp;", Comp="&amp;Sheet2!$F$2&amp;"")/IF($F31&lt;&gt;"BPS(표준재무)",Sheet2!$L$2,1),"")</f>
        <v/>
      </c>
      <c r="L31" s="16">
        <f ca="1">IFERROR(_xll.IMDP("STK",L$4,$F31,Sheet2!$J$6,"Per=일, Real=false, Cons="&amp;Sheet2!$D$2&amp;", Comp="&amp;Sheet2!$F$2&amp;"")/IF($F31&lt;&gt;"BPS(표준재무)",Sheet2!$L$2,1),"")</f>
        <v>196330.55100000001</v>
      </c>
      <c r="M31" s="16" t="str">
        <f ca="1">IFERROR(_xll.IMDP("STK",M$4,$F31,Sheet2!$J$6,"Per=일, Real=false, Cons="&amp;Sheet2!$D$2&amp;", Comp="&amp;Sheet2!$F$2&amp;"")/IF($F31&lt;&gt;"BPS(표준재무)",Sheet2!$L$2,1),"")</f>
        <v/>
      </c>
      <c r="N31" s="16" t="str">
        <f ca="1">IFERROR(_xll.IMDP("STK",N$4,$F31,Sheet2!$J$6,"Per=일, Real=false, Cons="&amp;Sheet2!$D$2&amp;", Comp="&amp;Sheet2!$F$2&amp;"")/IF($F31&lt;&gt;"BPS(표준재무)",Sheet2!$L$2,1),"")</f>
        <v/>
      </c>
      <c r="O31" s="16" t="str">
        <f ca="1">IFERROR(_xll.IMDP("STK",O$4,$F31,Sheet2!$J$6,"Per=일, Real=false, Cons="&amp;Sheet2!$D$2&amp;", Comp="&amp;Sheet2!$F$2&amp;"")/IF($F31&lt;&gt;"BPS(표준재무)",Sheet2!$L$2,1),"")</f>
        <v/>
      </c>
      <c r="P31" s="16" t="str">
        <f ca="1">IFERROR(_xll.IMDP("STK",P$4,$F31,Sheet2!$J$6,"Per=일, Real=false, Cons="&amp;Sheet2!$D$2&amp;", Comp="&amp;Sheet2!$F$2&amp;"")/IF($F31&lt;&gt;"BPS(표준재무)",Sheet2!$L$2,1),"")</f>
        <v/>
      </c>
      <c r="Q31" s="17" t="str">
        <f ca="1">IFERROR(_xll.IMDP("STK",Q$4,$F31,Sheet2!$J$6,"Per=일, Real=false, Cons="&amp;Sheet2!$D$2&amp;", Comp="&amp;Sheet2!$F$2&amp;"")/IF($F31&lt;&gt;"BPS(표준재무)",Sheet2!$L$2,1),"")</f>
        <v/>
      </c>
    </row>
    <row r="32" spans="2:17" outlineLevel="1" collapsed="1" x14ac:dyDescent="0.3">
      <c r="B32" t="s">
        <v>25</v>
      </c>
      <c r="F32" t="str">
        <f t="shared" si="0"/>
        <v>현금및단기유가증권(요약재무)</v>
      </c>
      <c r="H32" s="15">
        <f ca="1">IFERROR(_xll.IMDP("STK",H$4,$F32,Sheet2!$J$6,"Per=일, Real=false, Cons="&amp;Sheet2!$D$2&amp;", Comp="&amp;Sheet2!$F$2&amp;"")/IF($F32&lt;&gt;"BPS(표준재무)",Sheet2!$L$2,1),"")</f>
        <v>12893873</v>
      </c>
      <c r="I32" s="16">
        <f ca="1">IFERROR(_xll.IMDP("STK",I$4,$F32,Sheet2!$J$6,"Per=일, Real=false, Cons="&amp;Sheet2!$D$2&amp;", Comp="&amp;Sheet2!$F$2&amp;"")/IF($F32&lt;&gt;"BPS(표준재무)",Sheet2!$L$2,1),"")</f>
        <v>2243913</v>
      </c>
      <c r="J32" s="16">
        <f ca="1">IFERROR(_xll.IMDP("STK",J$4,$F32,Sheet2!$J$6,"Per=일, Real=false, Cons="&amp;Sheet2!$D$2&amp;", Comp="&amp;Sheet2!$F$2&amp;"")/IF($F32&lt;&gt;"BPS(표준재무)",Sheet2!$L$2,1),"")</f>
        <v>10719088</v>
      </c>
      <c r="K32" s="16">
        <f ca="1">IFERROR(_xll.IMDP("STK",K$4,$F32,Sheet2!$J$6,"Per=일, Real=false, Cons="&amp;Sheet2!$D$2&amp;", Comp="&amp;Sheet2!$F$2&amp;"")/IF($F32&lt;&gt;"BPS(표준재무)",Sheet2!$L$2,1),"")</f>
        <v>592169.72199999995</v>
      </c>
      <c r="L32" s="16">
        <f ca="1">IFERROR(_xll.IMDP("STK",L$4,$F32,Sheet2!$J$6,"Per=일, Real=false, Cons="&amp;Sheet2!$D$2&amp;", Comp="&amp;Sheet2!$F$2&amp;"")/IF($F32&lt;&gt;"BPS(표준재무)",Sheet2!$L$2,1),"")</f>
        <v>689733.33499999996</v>
      </c>
      <c r="M32" s="16" t="str">
        <f ca="1">IFERROR(_xll.IMDP("STK",M$4,$F32,Sheet2!$J$6,"Per=일, Real=false, Cons="&amp;Sheet2!$D$2&amp;", Comp="&amp;Sheet2!$F$2&amp;"")/IF($F32&lt;&gt;"BPS(표준재무)",Sheet2!$L$2,1),"")</f>
        <v/>
      </c>
      <c r="N32" s="16" t="str">
        <f ca="1">IFERROR(_xll.IMDP("STK",N$4,$F32,Sheet2!$J$6,"Per=일, Real=false, Cons="&amp;Sheet2!$D$2&amp;", Comp="&amp;Sheet2!$F$2&amp;"")/IF($F32&lt;&gt;"BPS(표준재무)",Sheet2!$L$2,1),"")</f>
        <v/>
      </c>
      <c r="O32" s="16" t="str">
        <f ca="1">IFERROR(_xll.IMDP("STK",O$4,$F32,Sheet2!$J$6,"Per=일, Real=false, Cons="&amp;Sheet2!$D$2&amp;", Comp="&amp;Sheet2!$F$2&amp;"")/IF($F32&lt;&gt;"BPS(표준재무)",Sheet2!$L$2,1),"")</f>
        <v/>
      </c>
      <c r="P32" s="16" t="str">
        <f ca="1">IFERROR(_xll.IMDP("STK",P$4,$F32,Sheet2!$J$6,"Per=일, Real=false, Cons="&amp;Sheet2!$D$2&amp;", Comp="&amp;Sheet2!$F$2&amp;"")/IF($F32&lt;&gt;"BPS(표준재무)",Sheet2!$L$2,1),"")</f>
        <v/>
      </c>
      <c r="Q32" s="17" t="str">
        <f ca="1">IFERROR(_xll.IMDP("STK",Q$4,$F32,Sheet2!$J$6,"Per=일, Real=false, Cons="&amp;Sheet2!$D$2&amp;", Comp="&amp;Sheet2!$F$2&amp;"")/IF($F32&lt;&gt;"BPS(표준재무)",Sheet2!$L$2,1),"")</f>
        <v/>
      </c>
    </row>
    <row r="33" spans="1:17" x14ac:dyDescent="0.3">
      <c r="A33" t="s">
        <v>26</v>
      </c>
      <c r="F33" t="str">
        <f t="shared" si="0"/>
        <v>자본(요약재무)</v>
      </c>
      <c r="H33" s="15">
        <f ca="1">IFERROR(_xll.IMDP("STK",H$4,$F33,Sheet2!$J$6,"Per=일, Real=false, Cons="&amp;Sheet2!$D$2&amp;", Comp="&amp;Sheet2!$F$2&amp;"")/IF($F33&lt;&gt;"BPS(표준재무)",Sheet2!$L$2,1),"")</f>
        <v>218188792</v>
      </c>
      <c r="I33" s="16">
        <f ca="1">IFERROR(_xll.IMDP("STK",I$4,$F33,Sheet2!$J$6,"Per=일, Real=false, Cons="&amp;Sheet2!$D$2&amp;", Comp="&amp;Sheet2!$F$2&amp;"")/IF($F33&lt;&gt;"BPS(표준재무)",Sheet2!$L$2,1),"")</f>
        <v>56751356</v>
      </c>
      <c r="J33" s="16">
        <f ca="1">IFERROR(_xll.IMDP("STK",J$4,$F33,Sheet2!$J$6,"Per=일, Real=false, Cons="&amp;Sheet2!$D$2&amp;", Comp="&amp;Sheet2!$F$2&amp;"")/IF($F33&lt;&gt;"BPS(표준재무)",Sheet2!$L$2,1),"")</f>
        <v>58963698</v>
      </c>
      <c r="K33" s="16">
        <f ca="1">IFERROR(_xll.IMDP("STK",K$4,$F33,Sheet2!$J$6,"Per=일, Real=false, Cons="&amp;Sheet2!$D$2&amp;", Comp="&amp;Sheet2!$F$2&amp;"")/IF($F33&lt;&gt;"BPS(표준재무)",Sheet2!$L$2,1),"")</f>
        <v>4273206.341</v>
      </c>
      <c r="L33" s="16">
        <f ca="1">IFERROR(_xll.IMDP("STK",L$4,$F33,Sheet2!$J$6,"Per=일, Real=false, Cons="&amp;Sheet2!$D$2&amp;", Comp="&amp;Sheet2!$F$2&amp;"")/IF($F33&lt;&gt;"BPS(표준재무)",Sheet2!$L$2,1),"")</f>
        <v>10587706.847999999</v>
      </c>
      <c r="M33" s="16" t="str">
        <f ca="1">IFERROR(_xll.IMDP("STK",M$4,$F33,Sheet2!$J$6,"Per=일, Real=false, Cons="&amp;Sheet2!$D$2&amp;", Comp="&amp;Sheet2!$F$2&amp;"")/IF($F33&lt;&gt;"BPS(표준재무)",Sheet2!$L$2,1),"")</f>
        <v/>
      </c>
      <c r="N33" s="16" t="str">
        <f ca="1">IFERROR(_xll.IMDP("STK",N$4,$F33,Sheet2!$J$6,"Per=일, Real=false, Cons="&amp;Sheet2!$D$2&amp;", Comp="&amp;Sheet2!$F$2&amp;"")/IF($F33&lt;&gt;"BPS(표준재무)",Sheet2!$L$2,1),"")</f>
        <v/>
      </c>
      <c r="O33" s="16" t="str">
        <f ca="1">IFERROR(_xll.IMDP("STK",O$4,$F33,Sheet2!$J$6,"Per=일, Real=false, Cons="&amp;Sheet2!$D$2&amp;", Comp="&amp;Sheet2!$F$2&amp;"")/IF($F33&lt;&gt;"BPS(표준재무)",Sheet2!$L$2,1),"")</f>
        <v/>
      </c>
      <c r="P33" s="16" t="str">
        <f ca="1">IFERROR(_xll.IMDP("STK",P$4,$F33,Sheet2!$J$6,"Per=일, Real=false, Cons="&amp;Sheet2!$D$2&amp;", Comp="&amp;Sheet2!$F$2&amp;"")/IF($F33&lt;&gt;"BPS(표준재무)",Sheet2!$L$2,1),"")</f>
        <v/>
      </c>
      <c r="Q33" s="17" t="str">
        <f ca="1">IFERROR(_xll.IMDP("STK",Q$4,$F33,Sheet2!$J$6,"Per=일, Real=false, Cons="&amp;Sheet2!$D$2&amp;", Comp="&amp;Sheet2!$F$2&amp;"")/IF($F33&lt;&gt;"BPS(표준재무)",Sheet2!$L$2,1),"")</f>
        <v/>
      </c>
    </row>
    <row r="34" spans="1:17" outlineLevel="1" x14ac:dyDescent="0.3">
      <c r="B34" t="s">
        <v>27</v>
      </c>
      <c r="F34" t="str">
        <f t="shared" si="0"/>
        <v>지배기업주주지분(요약재무)</v>
      </c>
      <c r="H34" s="15" t="str">
        <f ca="1">IFERROR(_xll.IMDP("STK",H$4,$F34,Sheet2!$J$6,"Per=일, Real=false, Cons="&amp;Sheet2!$D$2&amp;", Comp="&amp;Sheet2!$F$2&amp;"")/IF($F34&lt;&gt;"BPS(표준재무)",Sheet2!$L$2,1),"")</f>
        <v/>
      </c>
      <c r="I34" s="16" t="str">
        <f ca="1">IFERROR(_xll.IMDP("STK",I$4,$F34,Sheet2!$J$6,"Per=일, Real=false, Cons="&amp;Sheet2!$D$2&amp;", Comp="&amp;Sheet2!$F$2&amp;"")/IF($F34&lt;&gt;"BPS(표준재무)",Sheet2!$L$2,1),"")</f>
        <v/>
      </c>
      <c r="J34" s="16" t="str">
        <f ca="1">IFERROR(_xll.IMDP("STK",J$4,$F34,Sheet2!$J$6,"Per=일, Real=false, Cons="&amp;Sheet2!$D$2&amp;", Comp="&amp;Sheet2!$F$2&amp;"")/IF($F34&lt;&gt;"BPS(표준재무)",Sheet2!$L$2,1),"")</f>
        <v/>
      </c>
      <c r="K34" s="16" t="str">
        <f ca="1">IFERROR(_xll.IMDP("STK",K$4,$F34,Sheet2!$J$6,"Per=일, Real=false, Cons="&amp;Sheet2!$D$2&amp;", Comp="&amp;Sheet2!$F$2&amp;"")/IF($F34&lt;&gt;"BPS(표준재무)",Sheet2!$L$2,1),"")</f>
        <v/>
      </c>
      <c r="L34" s="16" t="str">
        <f ca="1">IFERROR(_xll.IMDP("STK",L$4,$F34,Sheet2!$J$6,"Per=일, Real=false, Cons="&amp;Sheet2!$D$2&amp;", Comp="&amp;Sheet2!$F$2&amp;"")/IF($F34&lt;&gt;"BPS(표준재무)",Sheet2!$L$2,1),"")</f>
        <v/>
      </c>
      <c r="M34" s="16" t="str">
        <f ca="1">IFERROR(_xll.IMDP("STK",M$4,$F34,Sheet2!$J$6,"Per=일, Real=false, Cons="&amp;Sheet2!$D$2&amp;", Comp="&amp;Sheet2!$F$2&amp;"")/IF($F34&lt;&gt;"BPS(표준재무)",Sheet2!$L$2,1),"")</f>
        <v/>
      </c>
      <c r="N34" s="16" t="str">
        <f ca="1">IFERROR(_xll.IMDP("STK",N$4,$F34,Sheet2!$J$6,"Per=일, Real=false, Cons="&amp;Sheet2!$D$2&amp;", Comp="&amp;Sheet2!$F$2&amp;"")/IF($F34&lt;&gt;"BPS(표준재무)",Sheet2!$L$2,1),"")</f>
        <v/>
      </c>
      <c r="O34" s="16" t="str">
        <f ca="1">IFERROR(_xll.IMDP("STK",O$4,$F34,Sheet2!$J$6,"Per=일, Real=false, Cons="&amp;Sheet2!$D$2&amp;", Comp="&amp;Sheet2!$F$2&amp;"")/IF($F34&lt;&gt;"BPS(표준재무)",Sheet2!$L$2,1),"")</f>
        <v/>
      </c>
      <c r="P34" s="16" t="str">
        <f ca="1">IFERROR(_xll.IMDP("STK",P$4,$F34,Sheet2!$J$6,"Per=일, Real=false, Cons="&amp;Sheet2!$D$2&amp;", Comp="&amp;Sheet2!$F$2&amp;"")/IF($F34&lt;&gt;"BPS(표준재무)",Sheet2!$L$2,1),"")</f>
        <v/>
      </c>
      <c r="Q34" s="17" t="str">
        <f ca="1">IFERROR(_xll.IMDP("STK",Q$4,$F34,Sheet2!$J$6,"Per=일, Real=false, Cons="&amp;Sheet2!$D$2&amp;", Comp="&amp;Sheet2!$F$2&amp;"")/IF($F34&lt;&gt;"BPS(표준재무)",Sheet2!$L$2,1),"")</f>
        <v/>
      </c>
    </row>
    <row r="35" spans="1:17" hidden="1" outlineLevel="2" x14ac:dyDescent="0.3">
      <c r="C35" t="s">
        <v>28</v>
      </c>
      <c r="F35" t="str">
        <f t="shared" si="0"/>
        <v>자본금(요약재무)</v>
      </c>
      <c r="H35" s="15">
        <f ca="1">IFERROR(_xll.IMDP("STK",H$4,$F35,Sheet2!$J$6,"Per=일, Real=false, Cons="&amp;Sheet2!$D$2&amp;", Comp="&amp;Sheet2!$F$2&amp;"")/IF($F35&lt;&gt;"BPS(표준재무)",Sheet2!$L$2,1),"")</f>
        <v>897514</v>
      </c>
      <c r="I35" s="16">
        <f ca="1">IFERROR(_xll.IMDP("STK",I$4,$F35,Sheet2!$J$6,"Per=일, Real=false, Cons="&amp;Sheet2!$D$2&amp;", Comp="&amp;Sheet2!$F$2&amp;"")/IF($F35&lt;&gt;"BPS(표준재무)",Sheet2!$L$2,1),"")</f>
        <v>3657652</v>
      </c>
      <c r="J35" s="16">
        <f ca="1">IFERROR(_xll.IMDP("STK",J$4,$F35,Sheet2!$J$6,"Per=일, Real=false, Cons="&amp;Sheet2!$D$2&amp;", Comp="&amp;Sheet2!$F$2&amp;"")/IF($F35&lt;&gt;"BPS(표준재무)",Sheet2!$L$2,1),"")</f>
        <v>1488993</v>
      </c>
      <c r="K35" s="16">
        <f ca="1">IFERROR(_xll.IMDP("STK",K$4,$F35,Sheet2!$J$6,"Per=일, Real=false, Cons="&amp;Sheet2!$D$2&amp;", Comp="&amp;Sheet2!$F$2&amp;"")/IF($F35&lt;&gt;"BPS(표준재무)",Sheet2!$L$2,1),"")</f>
        <v>146390.86199999999</v>
      </c>
      <c r="L35" s="16">
        <f ca="1">IFERROR(_xll.IMDP("STK",L$4,$F35,Sheet2!$J$6,"Per=일, Real=false, Cons="&amp;Sheet2!$D$2&amp;", Comp="&amp;Sheet2!$F$2&amp;"")/IF($F35&lt;&gt;"BPS(표준재무)",Sheet2!$L$2,1),"")</f>
        <v>16481.34</v>
      </c>
      <c r="M35" s="16" t="str">
        <f ca="1">IFERROR(_xll.IMDP("STK",M$4,$F35,Sheet2!$J$6,"Per=일, Real=false, Cons="&amp;Sheet2!$D$2&amp;", Comp="&amp;Sheet2!$F$2&amp;"")/IF($F35&lt;&gt;"BPS(표준재무)",Sheet2!$L$2,1),"")</f>
        <v/>
      </c>
      <c r="N35" s="16" t="str">
        <f ca="1">IFERROR(_xll.IMDP("STK",N$4,$F35,Sheet2!$J$6,"Per=일, Real=false, Cons="&amp;Sheet2!$D$2&amp;", Comp="&amp;Sheet2!$F$2&amp;"")/IF($F35&lt;&gt;"BPS(표준재무)",Sheet2!$L$2,1),"")</f>
        <v/>
      </c>
      <c r="O35" s="16" t="str">
        <f ca="1">IFERROR(_xll.IMDP("STK",O$4,$F35,Sheet2!$J$6,"Per=일, Real=false, Cons="&amp;Sheet2!$D$2&amp;", Comp="&amp;Sheet2!$F$2&amp;"")/IF($F35&lt;&gt;"BPS(표준재무)",Sheet2!$L$2,1),"")</f>
        <v/>
      </c>
      <c r="P35" s="16" t="str">
        <f ca="1">IFERROR(_xll.IMDP("STK",P$4,$F35,Sheet2!$J$6,"Per=일, Real=false, Cons="&amp;Sheet2!$D$2&amp;", Comp="&amp;Sheet2!$F$2&amp;"")/IF($F35&lt;&gt;"BPS(표준재무)",Sheet2!$L$2,1),"")</f>
        <v/>
      </c>
      <c r="Q35" s="17" t="str">
        <f ca="1">IFERROR(_xll.IMDP("STK",Q$4,$F35,Sheet2!$J$6,"Per=일, Real=false, Cons="&amp;Sheet2!$D$2&amp;", Comp="&amp;Sheet2!$F$2&amp;"")/IF($F35&lt;&gt;"BPS(표준재무)",Sheet2!$L$2,1),"")</f>
        <v/>
      </c>
    </row>
    <row r="36" spans="1:17" hidden="1" outlineLevel="2" x14ac:dyDescent="0.3">
      <c r="C36" t="s">
        <v>29</v>
      </c>
      <c r="F36" t="str">
        <f t="shared" si="0"/>
        <v>신종자본증권(요약재무)</v>
      </c>
      <c r="H36" s="15" t="str">
        <f ca="1">IFERROR(_xll.IMDP("STK",H$4,$F36,Sheet2!$J$6,"Per=일, Real=false, Cons="&amp;Sheet2!$D$2&amp;", Comp="&amp;Sheet2!$F$2&amp;"")/IF($F36&lt;&gt;"BPS(표준재무)",Sheet2!$L$2,1),"")</f>
        <v/>
      </c>
      <c r="I36" s="16" t="str">
        <f ca="1">IFERROR(_xll.IMDP("STK",I$4,$F36,Sheet2!$J$6,"Per=일, Real=false, Cons="&amp;Sheet2!$D$2&amp;", Comp="&amp;Sheet2!$F$2&amp;"")/IF($F36&lt;&gt;"BPS(표준재무)",Sheet2!$L$2,1),"")</f>
        <v/>
      </c>
      <c r="J36" s="16" t="str">
        <f ca="1">IFERROR(_xll.IMDP("STK",J$4,$F36,Sheet2!$J$6,"Per=일, Real=false, Cons="&amp;Sheet2!$D$2&amp;", Comp="&amp;Sheet2!$F$2&amp;"")/IF($F36&lt;&gt;"BPS(표준재무)",Sheet2!$L$2,1),"")</f>
        <v/>
      </c>
      <c r="K36" s="16" t="str">
        <f ca="1">IFERROR(_xll.IMDP("STK",K$4,$F36,Sheet2!$J$6,"Per=일, Real=false, Cons="&amp;Sheet2!$D$2&amp;", Comp="&amp;Sheet2!$F$2&amp;"")/IF($F36&lt;&gt;"BPS(표준재무)",Sheet2!$L$2,1),"")</f>
        <v/>
      </c>
      <c r="L36" s="16" t="str">
        <f ca="1">IFERROR(_xll.IMDP("STK",L$4,$F36,Sheet2!$J$6,"Per=일, Real=false, Cons="&amp;Sheet2!$D$2&amp;", Comp="&amp;Sheet2!$F$2&amp;"")/IF($F36&lt;&gt;"BPS(표준재무)",Sheet2!$L$2,1),"")</f>
        <v/>
      </c>
      <c r="M36" s="16" t="str">
        <f ca="1">IFERROR(_xll.IMDP("STK",M$4,$F36,Sheet2!$J$6,"Per=일, Real=false, Cons="&amp;Sheet2!$D$2&amp;", Comp="&amp;Sheet2!$F$2&amp;"")/IF($F36&lt;&gt;"BPS(표준재무)",Sheet2!$L$2,1),"")</f>
        <v/>
      </c>
      <c r="N36" s="16" t="str">
        <f ca="1">IFERROR(_xll.IMDP("STK",N$4,$F36,Sheet2!$J$6,"Per=일, Real=false, Cons="&amp;Sheet2!$D$2&amp;", Comp="&amp;Sheet2!$F$2&amp;"")/IF($F36&lt;&gt;"BPS(표준재무)",Sheet2!$L$2,1),"")</f>
        <v/>
      </c>
      <c r="O36" s="16" t="str">
        <f ca="1">IFERROR(_xll.IMDP("STK",O$4,$F36,Sheet2!$J$6,"Per=일, Real=false, Cons="&amp;Sheet2!$D$2&amp;", Comp="&amp;Sheet2!$F$2&amp;"")/IF($F36&lt;&gt;"BPS(표준재무)",Sheet2!$L$2,1),"")</f>
        <v/>
      </c>
      <c r="P36" s="16" t="str">
        <f ca="1">IFERROR(_xll.IMDP("STK",P$4,$F36,Sheet2!$J$6,"Per=일, Real=false, Cons="&amp;Sheet2!$D$2&amp;", Comp="&amp;Sheet2!$F$2&amp;"")/IF($F36&lt;&gt;"BPS(표준재무)",Sheet2!$L$2,1),"")</f>
        <v/>
      </c>
      <c r="Q36" s="17" t="str">
        <f ca="1">IFERROR(_xll.IMDP("STK",Q$4,$F36,Sheet2!$J$6,"Per=일, Real=false, Cons="&amp;Sheet2!$D$2&amp;", Comp="&amp;Sheet2!$F$2&amp;"")/IF($F36&lt;&gt;"BPS(표준재무)",Sheet2!$L$2,1),"")</f>
        <v/>
      </c>
    </row>
    <row r="37" spans="1:17" hidden="1" outlineLevel="2" x14ac:dyDescent="0.3">
      <c r="C37" t="s">
        <v>30</v>
      </c>
      <c r="F37" t="str">
        <f t="shared" si="0"/>
        <v>자본잉여금(요약재무)</v>
      </c>
      <c r="H37" s="15">
        <f ca="1">IFERROR(_xll.IMDP("STK",H$4,$F37,Sheet2!$J$6,"Per=일, Real=false, Cons="&amp;Sheet2!$D$2&amp;", Comp="&amp;Sheet2!$F$2&amp;"")/IF($F37&lt;&gt;"BPS(표준재무)",Sheet2!$L$2,1),"")</f>
        <v>4403893</v>
      </c>
      <c r="I37" s="16">
        <f ca="1">IFERROR(_xll.IMDP("STK",I$4,$F37,Sheet2!$J$6,"Per=일, Real=false, Cons="&amp;Sheet2!$D$2&amp;", Comp="&amp;Sheet2!$F$2&amp;"")/IF($F37&lt;&gt;"BPS(표준재무)",Sheet2!$L$2,1),"")</f>
        <v>4387212</v>
      </c>
      <c r="J37" s="16">
        <f ca="1">IFERROR(_xll.IMDP("STK",J$4,$F37,Sheet2!$J$6,"Per=일, Real=false, Cons="&amp;Sheet2!$D$2&amp;", Comp="&amp;Sheet2!$F$2&amp;"")/IF($F37&lt;&gt;"BPS(표준재무)",Sheet2!$L$2,1),"")</f>
        <v>4231908</v>
      </c>
      <c r="K37" s="16">
        <f ca="1">IFERROR(_xll.IMDP("STK",K$4,$F37,Sheet2!$J$6,"Per=일, Real=false, Cons="&amp;Sheet2!$D$2&amp;", Comp="&amp;Sheet2!$F$2&amp;"")/IF($F37&lt;&gt;"BPS(표준재무)",Sheet2!$L$2,1),"")</f>
        <v>870592.59199999995</v>
      </c>
      <c r="L37" s="16">
        <f ca="1">IFERROR(_xll.IMDP("STK",L$4,$F37,Sheet2!$J$6,"Per=일, Real=false, Cons="&amp;Sheet2!$D$2&amp;", Comp="&amp;Sheet2!$F$2&amp;"")/IF($F37&lt;&gt;"BPS(표준재무)",Sheet2!$L$2,1),"")</f>
        <v>1165610.4310000001</v>
      </c>
      <c r="M37" s="16" t="str">
        <f ca="1">IFERROR(_xll.IMDP("STK",M$4,$F37,Sheet2!$J$6,"Per=일, Real=false, Cons="&amp;Sheet2!$D$2&amp;", Comp="&amp;Sheet2!$F$2&amp;"")/IF($F37&lt;&gt;"BPS(표준재무)",Sheet2!$L$2,1),"")</f>
        <v/>
      </c>
      <c r="N37" s="16" t="str">
        <f ca="1">IFERROR(_xll.IMDP("STK",N$4,$F37,Sheet2!$J$6,"Per=일, Real=false, Cons="&amp;Sheet2!$D$2&amp;", Comp="&amp;Sheet2!$F$2&amp;"")/IF($F37&lt;&gt;"BPS(표준재무)",Sheet2!$L$2,1),"")</f>
        <v/>
      </c>
      <c r="O37" s="16" t="str">
        <f ca="1">IFERROR(_xll.IMDP("STK",O$4,$F37,Sheet2!$J$6,"Per=일, Real=false, Cons="&amp;Sheet2!$D$2&amp;", Comp="&amp;Sheet2!$F$2&amp;"")/IF($F37&lt;&gt;"BPS(표준재무)",Sheet2!$L$2,1),"")</f>
        <v/>
      </c>
      <c r="P37" s="16" t="str">
        <f ca="1">IFERROR(_xll.IMDP("STK",P$4,$F37,Sheet2!$J$6,"Per=일, Real=false, Cons="&amp;Sheet2!$D$2&amp;", Comp="&amp;Sheet2!$F$2&amp;"")/IF($F37&lt;&gt;"BPS(표준재무)",Sheet2!$L$2,1),"")</f>
        <v/>
      </c>
      <c r="Q37" s="17" t="str">
        <f ca="1">IFERROR(_xll.IMDP("STK",Q$4,$F37,Sheet2!$J$6,"Per=일, Real=false, Cons="&amp;Sheet2!$D$2&amp;", Comp="&amp;Sheet2!$F$2&amp;"")/IF($F37&lt;&gt;"BPS(표준재무)",Sheet2!$L$2,1),"")</f>
        <v/>
      </c>
    </row>
    <row r="38" spans="1:17" hidden="1" outlineLevel="2" x14ac:dyDescent="0.3">
      <c r="C38" t="s">
        <v>31</v>
      </c>
      <c r="F38" t="str">
        <f t="shared" ref="F38:F69" si="1">A38&amp;B38&amp;C38&amp;D38&amp;E38</f>
        <v>기타자본(요약재무)</v>
      </c>
      <c r="H38" s="15">
        <f ca="1">IFERROR(_xll.IMDP("STK",H$4,$F38,Sheet2!$J$6,"Per=일, Real=false, Cons="&amp;Sheet2!$D$2&amp;", Comp="&amp;Sheet2!$F$2&amp;"")/IF($F38&lt;&gt;"BPS(표준재무)",Sheet2!$L$2,1),"")</f>
        <v>1760408</v>
      </c>
      <c r="I38" s="16">
        <f ca="1">IFERROR(_xll.IMDP("STK",I$4,$F38,Sheet2!$J$6,"Per=일, Real=false, Cons="&amp;Sheet2!$D$2&amp;", Comp="&amp;Sheet2!$F$2&amp;"")/IF($F38&lt;&gt;"BPS(표준재무)",Sheet2!$L$2,1),"")</f>
        <v>-2281142</v>
      </c>
      <c r="J38" s="16">
        <f ca="1">IFERROR(_xll.IMDP("STK",J$4,$F38,Sheet2!$J$6,"Per=일, Real=false, Cons="&amp;Sheet2!$D$2&amp;", Comp="&amp;Sheet2!$F$2&amp;"")/IF($F38&lt;&gt;"BPS(표준재무)",Sheet2!$L$2,1),"")</f>
        <v>-1319506</v>
      </c>
      <c r="K38" s="16">
        <f ca="1">IFERROR(_xll.IMDP("STK",K$4,$F38,Sheet2!$J$6,"Per=일, Real=false, Cons="&amp;Sheet2!$D$2&amp;", Comp="&amp;Sheet2!$F$2&amp;"")/IF($F38&lt;&gt;"BPS(표준재무)",Sheet2!$L$2,1),"")</f>
        <v>-570385.61800000002</v>
      </c>
      <c r="L38" s="16">
        <f ca="1">IFERROR(_xll.IMDP("STK",L$4,$F38,Sheet2!$J$6,"Per=일, Real=false, Cons="&amp;Sheet2!$D$2&amp;", Comp="&amp;Sheet2!$F$2&amp;"")/IF($F38&lt;&gt;"BPS(표준재무)",Sheet2!$L$2,1),"")</f>
        <v>-840479.36100000003</v>
      </c>
      <c r="M38" s="16" t="str">
        <f ca="1">IFERROR(_xll.IMDP("STK",M$4,$F38,Sheet2!$J$6,"Per=일, Real=false, Cons="&amp;Sheet2!$D$2&amp;", Comp="&amp;Sheet2!$F$2&amp;"")/IF($F38&lt;&gt;"BPS(표준재무)",Sheet2!$L$2,1),"")</f>
        <v/>
      </c>
      <c r="N38" s="16" t="str">
        <f ca="1">IFERROR(_xll.IMDP("STK",N$4,$F38,Sheet2!$J$6,"Per=일, Real=false, Cons="&amp;Sheet2!$D$2&amp;", Comp="&amp;Sheet2!$F$2&amp;"")/IF($F38&lt;&gt;"BPS(표준재무)",Sheet2!$L$2,1),"")</f>
        <v/>
      </c>
      <c r="O38" s="16" t="str">
        <f ca="1">IFERROR(_xll.IMDP("STK",O$4,$F38,Sheet2!$J$6,"Per=일, Real=false, Cons="&amp;Sheet2!$D$2&amp;", Comp="&amp;Sheet2!$F$2&amp;"")/IF($F38&lt;&gt;"BPS(표준재무)",Sheet2!$L$2,1),"")</f>
        <v/>
      </c>
      <c r="P38" s="16" t="str">
        <f ca="1">IFERROR(_xll.IMDP("STK",P$4,$F38,Sheet2!$J$6,"Per=일, Real=false, Cons="&amp;Sheet2!$D$2&amp;", Comp="&amp;Sheet2!$F$2&amp;"")/IF($F38&lt;&gt;"BPS(표준재무)",Sheet2!$L$2,1),"")</f>
        <v/>
      </c>
      <c r="Q38" s="17" t="str">
        <f ca="1">IFERROR(_xll.IMDP("STK",Q$4,$F38,Sheet2!$J$6,"Per=일, Real=false, Cons="&amp;Sheet2!$D$2&amp;", Comp="&amp;Sheet2!$F$2&amp;"")/IF($F38&lt;&gt;"BPS(표준재무)",Sheet2!$L$2,1),"")</f>
        <v/>
      </c>
    </row>
    <row r="39" spans="1:17" hidden="1" outlineLevel="2" x14ac:dyDescent="0.3">
      <c r="C39" t="s">
        <v>32</v>
      </c>
      <c r="F39" t="str">
        <f t="shared" si="1"/>
        <v>기타포괄손익누계액(요약재무)</v>
      </c>
      <c r="H39" s="15">
        <f ca="1">IFERROR(_xll.IMDP("STK",H$4,$F39,Sheet2!$J$6,"Per=일, Real=false, Cons="&amp;Sheet2!$D$2&amp;", Comp="&amp;Sheet2!$F$2&amp;"")/IF($F39&lt;&gt;"BPS(표준재무)",Sheet2!$L$2,1),"")</f>
        <v>-2098637</v>
      </c>
      <c r="I39" s="16">
        <f ca="1">IFERROR(_xll.IMDP("STK",I$4,$F39,Sheet2!$J$6,"Per=일, Real=false, Cons="&amp;Sheet2!$D$2&amp;", Comp="&amp;Sheet2!$F$2&amp;"")/IF($F39&lt;&gt;"BPS(표준재무)",Sheet2!$L$2,1),"")</f>
        <v>4826</v>
      </c>
      <c r="J39" s="16">
        <f ca="1">IFERROR(_xll.IMDP("STK",J$4,$F39,Sheet2!$J$6,"Per=일, Real=false, Cons="&amp;Sheet2!$D$2&amp;", Comp="&amp;Sheet2!$F$2&amp;"")/IF($F39&lt;&gt;"BPS(표준재무)",Sheet2!$L$2,1),"")</f>
        <v>-234236</v>
      </c>
      <c r="K39" s="16">
        <f ca="1">IFERROR(_xll.IMDP("STK",K$4,$F39,Sheet2!$J$6,"Per=일, Real=false, Cons="&amp;Sheet2!$D$2&amp;", Comp="&amp;Sheet2!$F$2&amp;"")/IF($F39&lt;&gt;"BPS(표준재무)",Sheet2!$L$2,1),"")</f>
        <v>3620.3130000000001</v>
      </c>
      <c r="L39" s="16">
        <f ca="1">IFERROR(_xll.IMDP("STK",L$4,$F39,Sheet2!$J$6,"Per=일, Real=false, Cons="&amp;Sheet2!$D$2&amp;", Comp="&amp;Sheet2!$F$2&amp;"")/IF($F39&lt;&gt;"BPS(표준재무)",Sheet2!$L$2,1),"")</f>
        <v>-536569.80200000003</v>
      </c>
      <c r="M39" s="16" t="str">
        <f ca="1">IFERROR(_xll.IMDP("STK",M$4,$F39,Sheet2!$J$6,"Per=일, Real=false, Cons="&amp;Sheet2!$D$2&amp;", Comp="&amp;Sheet2!$F$2&amp;"")/IF($F39&lt;&gt;"BPS(표준재무)",Sheet2!$L$2,1),"")</f>
        <v/>
      </c>
      <c r="N39" s="16" t="str">
        <f ca="1">IFERROR(_xll.IMDP("STK",N$4,$F39,Sheet2!$J$6,"Per=일, Real=false, Cons="&amp;Sheet2!$D$2&amp;", Comp="&amp;Sheet2!$F$2&amp;"")/IF($F39&lt;&gt;"BPS(표준재무)",Sheet2!$L$2,1),"")</f>
        <v/>
      </c>
      <c r="O39" s="16" t="str">
        <f ca="1">IFERROR(_xll.IMDP("STK",O$4,$F39,Sheet2!$J$6,"Per=일, Real=false, Cons="&amp;Sheet2!$D$2&amp;", Comp="&amp;Sheet2!$F$2&amp;"")/IF($F39&lt;&gt;"BPS(표준재무)",Sheet2!$L$2,1),"")</f>
        <v/>
      </c>
      <c r="P39" s="16" t="str">
        <f ca="1">IFERROR(_xll.IMDP("STK",P$4,$F39,Sheet2!$J$6,"Per=일, Real=false, Cons="&amp;Sheet2!$D$2&amp;", Comp="&amp;Sheet2!$F$2&amp;"")/IF($F39&lt;&gt;"BPS(표준재무)",Sheet2!$L$2,1),"")</f>
        <v/>
      </c>
      <c r="Q39" s="17" t="str">
        <f ca="1">IFERROR(_xll.IMDP("STK",Q$4,$F39,Sheet2!$J$6,"Per=일, Real=false, Cons="&amp;Sheet2!$D$2&amp;", Comp="&amp;Sheet2!$F$2&amp;"")/IF($F39&lt;&gt;"BPS(표준재무)",Sheet2!$L$2,1),"")</f>
        <v/>
      </c>
    </row>
    <row r="40" spans="1:17" hidden="1" outlineLevel="2" x14ac:dyDescent="0.3">
      <c r="C40" t="s">
        <v>33</v>
      </c>
      <c r="F40" t="str">
        <f t="shared" si="1"/>
        <v>이익잉여금결손금(요약재무)</v>
      </c>
      <c r="H40" s="15">
        <f ca="1">IFERROR(_xll.IMDP("STK",H$4,$F40,Sheet2!$J$6,"Per=일, Real=false, Cons="&amp;Sheet2!$D$2&amp;", Comp="&amp;Sheet2!$F$2&amp;"")/IF($F40&lt;&gt;"BPS(표준재무)",Sheet2!$L$2,1),"")</f>
        <v>213225614</v>
      </c>
      <c r="I40" s="16">
        <f ca="1">IFERROR(_xll.IMDP("STK",I$4,$F40,Sheet2!$J$6,"Per=일, Real=false, Cons="&amp;Sheet2!$D$2&amp;", Comp="&amp;Sheet2!$F$2&amp;"")/IF($F40&lt;&gt;"BPS(표준재무)",Sheet2!$L$2,1),"")</f>
        <v>50982808</v>
      </c>
      <c r="J40" s="16">
        <f ca="1">IFERROR(_xll.IMDP("STK",J$4,$F40,Sheet2!$J$6,"Per=일, Real=false, Cons="&amp;Sheet2!$D$2&amp;", Comp="&amp;Sheet2!$F$2&amp;"")/IF($F40&lt;&gt;"BPS(표준재무)",Sheet2!$L$2,1),"")</f>
        <v>54796539</v>
      </c>
      <c r="K40" s="16">
        <f ca="1">IFERROR(_xll.IMDP("STK",K$4,$F40,Sheet2!$J$6,"Per=일, Real=false, Cons="&amp;Sheet2!$D$2&amp;", Comp="&amp;Sheet2!$F$2&amp;"")/IF($F40&lt;&gt;"BPS(표준재무)",Sheet2!$L$2,1),"")</f>
        <v>3822988.1919999998</v>
      </c>
      <c r="L40" s="16">
        <f ca="1">IFERROR(_xll.IMDP("STK",L$4,$F40,Sheet2!$J$6,"Per=일, Real=false, Cons="&amp;Sheet2!$D$2&amp;", Comp="&amp;Sheet2!$F$2&amp;"")/IF($F40&lt;&gt;"BPS(표준재무)",Sheet2!$L$2,1),"")</f>
        <v>10782664.24</v>
      </c>
      <c r="M40" s="16" t="str">
        <f ca="1">IFERROR(_xll.IMDP("STK",M$4,$F40,Sheet2!$J$6,"Per=일, Real=false, Cons="&amp;Sheet2!$D$2&amp;", Comp="&amp;Sheet2!$F$2&amp;"")/IF($F40&lt;&gt;"BPS(표준재무)",Sheet2!$L$2,1),"")</f>
        <v/>
      </c>
      <c r="N40" s="16" t="str">
        <f ca="1">IFERROR(_xll.IMDP("STK",N$4,$F40,Sheet2!$J$6,"Per=일, Real=false, Cons="&amp;Sheet2!$D$2&amp;", Comp="&amp;Sheet2!$F$2&amp;"")/IF($F40&lt;&gt;"BPS(표준재무)",Sheet2!$L$2,1),"")</f>
        <v/>
      </c>
      <c r="O40" s="16" t="str">
        <f ca="1">IFERROR(_xll.IMDP("STK",O$4,$F40,Sheet2!$J$6,"Per=일, Real=false, Cons="&amp;Sheet2!$D$2&amp;", Comp="&amp;Sheet2!$F$2&amp;"")/IF($F40&lt;&gt;"BPS(표준재무)",Sheet2!$L$2,1),"")</f>
        <v/>
      </c>
      <c r="P40" s="16" t="str">
        <f ca="1">IFERROR(_xll.IMDP("STK",P$4,$F40,Sheet2!$J$6,"Per=일, Real=false, Cons="&amp;Sheet2!$D$2&amp;", Comp="&amp;Sheet2!$F$2&amp;"")/IF($F40&lt;&gt;"BPS(표준재무)",Sheet2!$L$2,1),"")</f>
        <v/>
      </c>
      <c r="Q40" s="17" t="str">
        <f ca="1">IFERROR(_xll.IMDP("STK",Q$4,$F40,Sheet2!$J$6,"Per=일, Real=false, Cons="&amp;Sheet2!$D$2&amp;", Comp="&amp;Sheet2!$F$2&amp;"")/IF($F40&lt;&gt;"BPS(표준재무)",Sheet2!$L$2,1),"")</f>
        <v/>
      </c>
    </row>
    <row r="41" spans="1:17" hidden="1" outlineLevel="2" x14ac:dyDescent="0.3">
      <c r="C41" t="s">
        <v>34</v>
      </c>
      <c r="F41" t="str">
        <f t="shared" si="1"/>
        <v>지배당기순손익(요약재무)</v>
      </c>
      <c r="H41" s="15">
        <f ca="1">IFERROR(_xll.IMDP("STK",H$4,$F41,Sheet2!$J$6,"Per=일, Real=false, Cons="&amp;Sheet2!$D$2&amp;", Comp="&amp;Sheet2!$F$2&amp;"")/IF($F41&lt;&gt;"BPS(표준재무)",Sheet2!$L$2,1),"")</f>
        <v>13742728</v>
      </c>
      <c r="I41" s="16">
        <f ca="1">IFERROR(_xll.IMDP("STK",I$4,$F41,Sheet2!$J$6,"Per=일, Real=false, Cons="&amp;Sheet2!$D$2&amp;", Comp="&amp;Sheet2!$F$2&amp;"")/IF($F41&lt;&gt;"BPS(표준재무)",Sheet2!$L$2,1),"")</f>
        <v>-3003260</v>
      </c>
      <c r="J41" s="16">
        <f ca="1">IFERROR(_xll.IMDP("STK",J$4,$F41,Sheet2!$J$6,"Per=일, Real=false, Cons="&amp;Sheet2!$D$2&amp;", Comp="&amp;Sheet2!$F$2&amp;"")/IF($F41&lt;&gt;"BPS(표준재무)",Sheet2!$L$2,1),"")</f>
        <v>4700292</v>
      </c>
      <c r="K41" s="16">
        <f ca="1">IFERROR(_xll.IMDP("STK",K$4,$F41,Sheet2!$J$6,"Per=일, Real=false, Cons="&amp;Sheet2!$D$2&amp;", Comp="&amp;Sheet2!$F$2&amp;"")/IF($F41&lt;&gt;"BPS(표준재무)",Sheet2!$L$2,1),"")</f>
        <v>311790.18800000002</v>
      </c>
      <c r="L41" s="16">
        <f ca="1">IFERROR(_xll.IMDP("STK",L$4,$F41,Sheet2!$J$6,"Per=일, Real=false, Cons="&amp;Sheet2!$D$2&amp;", Comp="&amp;Sheet2!$F$2&amp;"")/IF($F41&lt;&gt;"BPS(표준재무)",Sheet2!$L$2,1),"")</f>
        <v>672801.223</v>
      </c>
      <c r="M41" s="16" t="str">
        <f ca="1">IFERROR(_xll.IMDP("STK",M$4,$F41,Sheet2!$J$6,"Per=일, Real=false, Cons="&amp;Sheet2!$D$2&amp;", Comp="&amp;Sheet2!$F$2&amp;"")/IF($F41&lt;&gt;"BPS(표준재무)",Sheet2!$L$2,1),"")</f>
        <v/>
      </c>
      <c r="N41" s="16" t="str">
        <f ca="1">IFERROR(_xll.IMDP("STK",N$4,$F41,Sheet2!$J$6,"Per=일, Real=false, Cons="&amp;Sheet2!$D$2&amp;", Comp="&amp;Sheet2!$F$2&amp;"")/IF($F41&lt;&gt;"BPS(표준재무)",Sheet2!$L$2,1),"")</f>
        <v/>
      </c>
      <c r="O41" s="16" t="str">
        <f ca="1">IFERROR(_xll.IMDP("STK",O$4,$F41,Sheet2!$J$6,"Per=일, Real=false, Cons="&amp;Sheet2!$D$2&amp;", Comp="&amp;Sheet2!$F$2&amp;"")/IF($F41&lt;&gt;"BPS(표준재무)",Sheet2!$L$2,1),"")</f>
        <v/>
      </c>
      <c r="P41" s="16" t="str">
        <f ca="1">IFERROR(_xll.IMDP("STK",P$4,$F41,Sheet2!$J$6,"Per=일, Real=false, Cons="&amp;Sheet2!$D$2&amp;", Comp="&amp;Sheet2!$F$2&amp;"")/IF($F41&lt;&gt;"BPS(표준재무)",Sheet2!$L$2,1),"")</f>
        <v/>
      </c>
      <c r="Q41" s="17" t="str">
        <f ca="1">IFERROR(_xll.IMDP("STK",Q$4,$F41,Sheet2!$J$6,"Per=일, Real=false, Cons="&amp;Sheet2!$D$2&amp;", Comp="&amp;Sheet2!$F$2&amp;"")/IF($F41&lt;&gt;"BPS(표준재무)",Sheet2!$L$2,1),"")</f>
        <v/>
      </c>
    </row>
    <row r="42" spans="1:17" outlineLevel="1" collapsed="1" x14ac:dyDescent="0.3">
      <c r="B42" t="s">
        <v>35</v>
      </c>
      <c r="F42" t="str">
        <f t="shared" si="1"/>
        <v>비지배주주지분(요약재무)</v>
      </c>
      <c r="H42" s="15" t="str">
        <f ca="1">IFERROR(_xll.IMDP("STK",H$4,$F42,Sheet2!$J$6,"Per=일, Real=false, Cons="&amp;Sheet2!$D$2&amp;", Comp="&amp;Sheet2!$F$2&amp;"")/IF($F42&lt;&gt;"BPS(표준재무)",Sheet2!$L$2,1),"")</f>
        <v/>
      </c>
      <c r="I42" s="16" t="str">
        <f ca="1">IFERROR(_xll.IMDP("STK",I$4,$F42,Sheet2!$J$6,"Per=일, Real=false, Cons="&amp;Sheet2!$D$2&amp;", Comp="&amp;Sheet2!$F$2&amp;"")/IF($F42&lt;&gt;"BPS(표준재무)",Sheet2!$L$2,1),"")</f>
        <v/>
      </c>
      <c r="J42" s="16" t="str">
        <f ca="1">IFERROR(_xll.IMDP("STK",J$4,$F42,Sheet2!$J$6,"Per=일, Real=false, Cons="&amp;Sheet2!$D$2&amp;", Comp="&amp;Sheet2!$F$2&amp;"")/IF($F42&lt;&gt;"BPS(표준재무)",Sheet2!$L$2,1),"")</f>
        <v/>
      </c>
      <c r="K42" s="16" t="str">
        <f ca="1">IFERROR(_xll.IMDP("STK",K$4,$F42,Sheet2!$J$6,"Per=일, Real=false, Cons="&amp;Sheet2!$D$2&amp;", Comp="&amp;Sheet2!$F$2&amp;"")/IF($F42&lt;&gt;"BPS(표준재무)",Sheet2!$L$2,1),"")</f>
        <v/>
      </c>
      <c r="L42" s="16" t="str">
        <f ca="1">IFERROR(_xll.IMDP("STK",L$4,$F42,Sheet2!$J$6,"Per=일, Real=false, Cons="&amp;Sheet2!$D$2&amp;", Comp="&amp;Sheet2!$F$2&amp;"")/IF($F42&lt;&gt;"BPS(표준재무)",Sheet2!$L$2,1),"")</f>
        <v/>
      </c>
      <c r="M42" s="16" t="str">
        <f ca="1">IFERROR(_xll.IMDP("STK",M$4,$F42,Sheet2!$J$6,"Per=일, Real=false, Cons="&amp;Sheet2!$D$2&amp;", Comp="&amp;Sheet2!$F$2&amp;"")/IF($F42&lt;&gt;"BPS(표준재무)",Sheet2!$L$2,1),"")</f>
        <v/>
      </c>
      <c r="N42" s="16" t="str">
        <f ca="1">IFERROR(_xll.IMDP("STK",N$4,$F42,Sheet2!$J$6,"Per=일, Real=false, Cons="&amp;Sheet2!$D$2&amp;", Comp="&amp;Sheet2!$F$2&amp;"")/IF($F42&lt;&gt;"BPS(표준재무)",Sheet2!$L$2,1),"")</f>
        <v/>
      </c>
      <c r="O42" s="16" t="str">
        <f ca="1">IFERROR(_xll.IMDP("STK",O$4,$F42,Sheet2!$J$6,"Per=일, Real=false, Cons="&amp;Sheet2!$D$2&amp;", Comp="&amp;Sheet2!$F$2&amp;"")/IF($F42&lt;&gt;"BPS(표준재무)",Sheet2!$L$2,1),"")</f>
        <v/>
      </c>
      <c r="P42" s="16" t="str">
        <f ca="1">IFERROR(_xll.IMDP("STK",P$4,$F42,Sheet2!$J$6,"Per=일, Real=false, Cons="&amp;Sheet2!$D$2&amp;", Comp="&amp;Sheet2!$F$2&amp;"")/IF($F42&lt;&gt;"BPS(표준재무)",Sheet2!$L$2,1),"")</f>
        <v/>
      </c>
      <c r="Q42" s="17" t="str">
        <f ca="1">IFERROR(_xll.IMDP("STK",Q$4,$F42,Sheet2!$J$6,"Per=일, Real=false, Cons="&amp;Sheet2!$D$2&amp;", Comp="&amp;Sheet2!$F$2&amp;"")/IF($F42&lt;&gt;"BPS(표준재무)",Sheet2!$L$2,1),"")</f>
        <v/>
      </c>
    </row>
    <row r="43" spans="1:17" outlineLevel="1" x14ac:dyDescent="0.3">
      <c r="B43" t="s">
        <v>36</v>
      </c>
      <c r="F43" t="str">
        <f t="shared" si="1"/>
        <v>비지배당기순손익(요약재무)</v>
      </c>
      <c r="H43" s="15" t="str">
        <f ca="1">IFERROR(_xll.IMDP("STK",H$4,$F43,Sheet2!$J$6,"Per=일, Real=false, Cons="&amp;Sheet2!$D$2&amp;", Comp="&amp;Sheet2!$F$2&amp;"")/IF($F43&lt;&gt;"BPS(표준재무)",Sheet2!$L$2,1),"")</f>
        <v/>
      </c>
      <c r="I43" s="16" t="str">
        <f ca="1">IFERROR(_xll.IMDP("STK",I$4,$F43,Sheet2!$J$6,"Per=일, Real=false, Cons="&amp;Sheet2!$D$2&amp;", Comp="&amp;Sheet2!$F$2&amp;"")/IF($F43&lt;&gt;"BPS(표준재무)",Sheet2!$L$2,1),"")</f>
        <v/>
      </c>
      <c r="J43" s="16" t="str">
        <f ca="1">IFERROR(_xll.IMDP("STK",J$4,$F43,Sheet2!$J$6,"Per=일, Real=false, Cons="&amp;Sheet2!$D$2&amp;", Comp="&amp;Sheet2!$F$2&amp;"")/IF($F43&lt;&gt;"BPS(표준재무)",Sheet2!$L$2,1),"")</f>
        <v/>
      </c>
      <c r="K43" s="16" t="str">
        <f ca="1">IFERROR(_xll.IMDP("STK",K$4,$F43,Sheet2!$J$6,"Per=일, Real=false, Cons="&amp;Sheet2!$D$2&amp;", Comp="&amp;Sheet2!$F$2&amp;"")/IF($F43&lt;&gt;"BPS(표준재무)",Sheet2!$L$2,1),"")</f>
        <v/>
      </c>
      <c r="L43" s="16" t="str">
        <f ca="1">IFERROR(_xll.IMDP("STK",L$4,$F43,Sheet2!$J$6,"Per=일, Real=false, Cons="&amp;Sheet2!$D$2&amp;", Comp="&amp;Sheet2!$F$2&amp;"")/IF($F43&lt;&gt;"BPS(표준재무)",Sheet2!$L$2,1),"")</f>
        <v/>
      </c>
      <c r="M43" s="16" t="str">
        <f ca="1">IFERROR(_xll.IMDP("STK",M$4,$F43,Sheet2!$J$6,"Per=일, Real=false, Cons="&amp;Sheet2!$D$2&amp;", Comp="&amp;Sheet2!$F$2&amp;"")/IF($F43&lt;&gt;"BPS(표준재무)",Sheet2!$L$2,1),"")</f>
        <v/>
      </c>
      <c r="N43" s="16" t="str">
        <f ca="1">IFERROR(_xll.IMDP("STK",N$4,$F43,Sheet2!$J$6,"Per=일, Real=false, Cons="&amp;Sheet2!$D$2&amp;", Comp="&amp;Sheet2!$F$2&amp;"")/IF($F43&lt;&gt;"BPS(표준재무)",Sheet2!$L$2,1),"")</f>
        <v/>
      </c>
      <c r="O43" s="16" t="str">
        <f ca="1">IFERROR(_xll.IMDP("STK",O$4,$F43,Sheet2!$J$6,"Per=일, Real=false, Cons="&amp;Sheet2!$D$2&amp;", Comp="&amp;Sheet2!$F$2&amp;"")/IF($F43&lt;&gt;"BPS(표준재무)",Sheet2!$L$2,1),"")</f>
        <v/>
      </c>
      <c r="P43" s="16" t="str">
        <f ca="1">IFERROR(_xll.IMDP("STK",P$4,$F43,Sheet2!$J$6,"Per=일, Real=false, Cons="&amp;Sheet2!$D$2&amp;", Comp="&amp;Sheet2!$F$2&amp;"")/IF($F43&lt;&gt;"BPS(표준재무)",Sheet2!$L$2,1),"")</f>
        <v/>
      </c>
      <c r="Q43" s="17" t="str">
        <f ca="1">IFERROR(_xll.IMDP("STK",Q$4,$F43,Sheet2!$J$6,"Per=일, Real=false, Cons="&amp;Sheet2!$D$2&amp;", Comp="&amp;Sheet2!$F$2&amp;"")/IF($F43&lt;&gt;"BPS(표준재무)",Sheet2!$L$2,1),"")</f>
        <v/>
      </c>
    </row>
    <row r="44" spans="1:17" outlineLevel="1" x14ac:dyDescent="0.3">
      <c r="B44" t="s">
        <v>520</v>
      </c>
      <c r="F44" t="str">
        <f t="shared" si="1"/>
        <v>비지배주주지분초과손실액(요약재무)</v>
      </c>
      <c r="H44" s="15" t="str">
        <f ca="1">IFERROR(_xll.IMDP("STK",H$4,$F44,Sheet2!$J$6,"Per=일, Real=false, Cons="&amp;Sheet2!$D$2&amp;", Comp="&amp;Sheet2!$F$2&amp;"")/IF($F44&lt;&gt;"BPS(표준재무)",Sheet2!$L$2,1),"")</f>
        <v/>
      </c>
      <c r="I44" s="16" t="str">
        <f ca="1">IFERROR(_xll.IMDP("STK",I$4,$F44,Sheet2!$J$6,"Per=일, Real=false, Cons="&amp;Sheet2!$D$2&amp;", Comp="&amp;Sheet2!$F$2&amp;"")/IF($F44&lt;&gt;"BPS(표준재무)",Sheet2!$L$2,1),"")</f>
        <v/>
      </c>
      <c r="J44" s="16" t="str">
        <f ca="1">IFERROR(_xll.IMDP("STK",J$4,$F44,Sheet2!$J$6,"Per=일, Real=false, Cons="&amp;Sheet2!$D$2&amp;", Comp="&amp;Sheet2!$F$2&amp;"")/IF($F44&lt;&gt;"BPS(표준재무)",Sheet2!$L$2,1),"")</f>
        <v/>
      </c>
      <c r="K44" s="16" t="str">
        <f ca="1">IFERROR(_xll.IMDP("STK",K$4,$F44,Sheet2!$J$6,"Per=일, Real=false, Cons="&amp;Sheet2!$D$2&amp;", Comp="&amp;Sheet2!$F$2&amp;"")/IF($F44&lt;&gt;"BPS(표준재무)",Sheet2!$L$2,1),"")</f>
        <v/>
      </c>
      <c r="L44" s="16" t="str">
        <f ca="1">IFERROR(_xll.IMDP("STK",L$4,$F44,Sheet2!$J$6,"Per=일, Real=false, Cons="&amp;Sheet2!$D$2&amp;", Comp="&amp;Sheet2!$F$2&amp;"")/IF($F44&lt;&gt;"BPS(표준재무)",Sheet2!$L$2,1),"")</f>
        <v/>
      </c>
      <c r="M44" s="16" t="str">
        <f ca="1">IFERROR(_xll.IMDP("STK",M$4,$F44,Sheet2!$J$6,"Per=일, Real=false, Cons="&amp;Sheet2!$D$2&amp;", Comp="&amp;Sheet2!$F$2&amp;"")/IF($F44&lt;&gt;"BPS(표준재무)",Sheet2!$L$2,1),"")</f>
        <v/>
      </c>
      <c r="N44" s="16" t="str">
        <f ca="1">IFERROR(_xll.IMDP("STK",N$4,$F44,Sheet2!$J$6,"Per=일, Real=false, Cons="&amp;Sheet2!$D$2&amp;", Comp="&amp;Sheet2!$F$2&amp;"")/IF($F44&lt;&gt;"BPS(표준재무)",Sheet2!$L$2,1),"")</f>
        <v/>
      </c>
      <c r="O44" s="16" t="str">
        <f ca="1">IFERROR(_xll.IMDP("STK",O$4,$F44,Sheet2!$J$6,"Per=일, Real=false, Cons="&amp;Sheet2!$D$2&amp;", Comp="&amp;Sheet2!$F$2&amp;"")/IF($F44&lt;&gt;"BPS(표준재무)",Sheet2!$L$2,1),"")</f>
        <v/>
      </c>
      <c r="P44" s="16" t="str">
        <f ca="1">IFERROR(_xll.IMDP("STK",P$4,$F44,Sheet2!$J$6,"Per=일, Real=false, Cons="&amp;Sheet2!$D$2&amp;", Comp="&amp;Sheet2!$F$2&amp;"")/IF($F44&lt;&gt;"BPS(표준재무)",Sheet2!$L$2,1),"")</f>
        <v/>
      </c>
      <c r="Q44" s="17" t="str">
        <f ca="1">IFERROR(_xll.IMDP("STK",Q$4,$F44,Sheet2!$J$6,"Per=일, Real=false, Cons="&amp;Sheet2!$D$2&amp;", Comp="&amp;Sheet2!$F$2&amp;"")/IF($F44&lt;&gt;"BPS(표준재무)",Sheet2!$L$2,1),"")</f>
        <v/>
      </c>
    </row>
    <row r="45" spans="1:17" x14ac:dyDescent="0.3">
      <c r="A45" t="s">
        <v>37</v>
      </c>
      <c r="F45" t="str">
        <f t="shared" si="1"/>
        <v>부채(요약재무)</v>
      </c>
      <c r="H45" s="15">
        <f ca="1">IFERROR(_xll.IMDP("STK",H$4,$F45,Sheet2!$J$6,"Per=일, Real=false, Cons="&amp;Sheet2!$D$2&amp;", Comp="&amp;Sheet2!$F$2&amp;"")/IF($F45&lt;&gt;"BPS(표준재무)",Sheet2!$L$2,1),"")</f>
        <v>67838801</v>
      </c>
      <c r="I45" s="16">
        <f ca="1">IFERROR(_xll.IMDP("STK",I$4,$F45,Sheet2!$J$6,"Per=일, Real=false, Cons="&amp;Sheet2!$D$2&amp;", Comp="&amp;Sheet2!$F$2&amp;"")/IF($F45&lt;&gt;"BPS(표준재무)",Sheet2!$L$2,1),"")</f>
        <v>35990543</v>
      </c>
      <c r="J45" s="16">
        <f ca="1">IFERROR(_xll.IMDP("STK",J$4,$F45,Sheet2!$J$6,"Per=일, Real=false, Cons="&amp;Sheet2!$D$2&amp;", Comp="&amp;Sheet2!$F$2&amp;"")/IF($F45&lt;&gt;"BPS(표준재무)",Sheet2!$L$2,1),"")</f>
        <v>26521086</v>
      </c>
      <c r="K45" s="16">
        <f ca="1">IFERROR(_xll.IMDP("STK",K$4,$F45,Sheet2!$J$6,"Per=일, Real=false, Cons="&amp;Sheet2!$D$2&amp;", Comp="&amp;Sheet2!$F$2&amp;"")/IF($F45&lt;&gt;"BPS(표준재무)",Sheet2!$L$2,1),"")</f>
        <v>1672389.923</v>
      </c>
      <c r="L45" s="16">
        <f ca="1">IFERROR(_xll.IMDP("STK",L$4,$F45,Sheet2!$J$6,"Per=일, Real=false, Cons="&amp;Sheet2!$D$2&amp;", Comp="&amp;Sheet2!$F$2&amp;"")/IF($F45&lt;&gt;"BPS(표준재무)",Sheet2!$L$2,1),"")</f>
        <v>4461670.2939999998</v>
      </c>
      <c r="M45" s="16" t="str">
        <f ca="1">IFERROR(_xll.IMDP("STK",M$4,$F45,Sheet2!$J$6,"Per=일, Real=false, Cons="&amp;Sheet2!$D$2&amp;", Comp="&amp;Sheet2!$F$2&amp;"")/IF($F45&lt;&gt;"BPS(표준재무)",Sheet2!$L$2,1),"")</f>
        <v/>
      </c>
      <c r="N45" s="16" t="str">
        <f ca="1">IFERROR(_xll.IMDP("STK",N$4,$F45,Sheet2!$J$6,"Per=일, Real=false, Cons="&amp;Sheet2!$D$2&amp;", Comp="&amp;Sheet2!$F$2&amp;"")/IF($F45&lt;&gt;"BPS(표준재무)",Sheet2!$L$2,1),"")</f>
        <v/>
      </c>
      <c r="O45" s="16" t="str">
        <f ca="1">IFERROR(_xll.IMDP("STK",O$4,$F45,Sheet2!$J$6,"Per=일, Real=false, Cons="&amp;Sheet2!$D$2&amp;", Comp="&amp;Sheet2!$F$2&amp;"")/IF($F45&lt;&gt;"BPS(표준재무)",Sheet2!$L$2,1),"")</f>
        <v/>
      </c>
      <c r="P45" s="16" t="str">
        <f ca="1">IFERROR(_xll.IMDP("STK",P$4,$F45,Sheet2!$J$6,"Per=일, Real=false, Cons="&amp;Sheet2!$D$2&amp;", Comp="&amp;Sheet2!$F$2&amp;"")/IF($F45&lt;&gt;"BPS(표준재무)",Sheet2!$L$2,1),"")</f>
        <v/>
      </c>
      <c r="Q45" s="17" t="str">
        <f ca="1">IFERROR(_xll.IMDP("STK",Q$4,$F45,Sheet2!$J$6,"Per=일, Real=false, Cons="&amp;Sheet2!$D$2&amp;", Comp="&amp;Sheet2!$F$2&amp;"")/IF($F45&lt;&gt;"BPS(표준재무)",Sheet2!$L$2,1),"")</f>
        <v/>
      </c>
    </row>
    <row r="46" spans="1:17" outlineLevel="1" x14ac:dyDescent="0.3">
      <c r="B46" t="s">
        <v>38</v>
      </c>
      <c r="F46" t="str">
        <f t="shared" si="1"/>
        <v>비유동부채(요약재무)</v>
      </c>
      <c r="H46" s="15">
        <f ca="1">IFERROR(_xll.IMDP("STK",H$4,$F46,Sheet2!$J$6,"Per=일, Real=false, Cons="&amp;Sheet2!$D$2&amp;", Comp="&amp;Sheet2!$F$2&amp;"")/IF($F46&lt;&gt;"BPS(표준재무)",Sheet2!$L$2,1),"")</f>
        <v>29536245</v>
      </c>
      <c r="I46" s="16">
        <f ca="1">IFERROR(_xll.IMDP("STK",I$4,$F46,Sheet2!$J$6,"Per=일, Real=false, Cons="&amp;Sheet2!$D$2&amp;", Comp="&amp;Sheet2!$F$2&amp;"")/IF($F46&lt;&gt;"BPS(표준재무)",Sheet2!$L$2,1),"")</f>
        <v>21890303</v>
      </c>
      <c r="J46" s="16">
        <f ca="1">IFERROR(_xll.IMDP("STK",J$4,$F46,Sheet2!$J$6,"Per=일, Real=false, Cons="&amp;Sheet2!$D$2&amp;", Comp="&amp;Sheet2!$F$2&amp;"")/IF($F46&lt;&gt;"BPS(표준재무)",Sheet2!$L$2,1),"")</f>
        <v>5809261</v>
      </c>
      <c r="K46" s="16">
        <f ca="1">IFERROR(_xll.IMDP("STK",K$4,$F46,Sheet2!$J$6,"Per=일, Real=false, Cons="&amp;Sheet2!$D$2&amp;", Comp="&amp;Sheet2!$F$2&amp;"")/IF($F46&lt;&gt;"BPS(표준재무)",Sheet2!$L$2,1),"")</f>
        <v>286944.95400000003</v>
      </c>
      <c r="L46" s="16">
        <f ca="1">IFERROR(_xll.IMDP("STK",L$4,$F46,Sheet2!$J$6,"Per=일, Real=false, Cons="&amp;Sheet2!$D$2&amp;", Comp="&amp;Sheet2!$F$2&amp;"")/IF($F46&lt;&gt;"BPS(표준재무)",Sheet2!$L$2,1),"")</f>
        <v>2826255.827</v>
      </c>
      <c r="M46" s="16" t="str">
        <f ca="1">IFERROR(_xll.IMDP("STK",M$4,$F46,Sheet2!$J$6,"Per=일, Real=false, Cons="&amp;Sheet2!$D$2&amp;", Comp="&amp;Sheet2!$F$2&amp;"")/IF($F46&lt;&gt;"BPS(표준재무)",Sheet2!$L$2,1),"")</f>
        <v/>
      </c>
      <c r="N46" s="16" t="str">
        <f ca="1">IFERROR(_xll.IMDP("STK",N$4,$F46,Sheet2!$J$6,"Per=일, Real=false, Cons="&amp;Sheet2!$D$2&amp;", Comp="&amp;Sheet2!$F$2&amp;"")/IF($F46&lt;&gt;"BPS(표준재무)",Sheet2!$L$2,1),"")</f>
        <v/>
      </c>
      <c r="O46" s="16" t="str">
        <f ca="1">IFERROR(_xll.IMDP("STK",O$4,$F46,Sheet2!$J$6,"Per=일, Real=false, Cons="&amp;Sheet2!$D$2&amp;", Comp="&amp;Sheet2!$F$2&amp;"")/IF($F46&lt;&gt;"BPS(표준재무)",Sheet2!$L$2,1),"")</f>
        <v/>
      </c>
      <c r="P46" s="16" t="str">
        <f ca="1">IFERROR(_xll.IMDP("STK",P$4,$F46,Sheet2!$J$6,"Per=일, Real=false, Cons="&amp;Sheet2!$D$2&amp;", Comp="&amp;Sheet2!$F$2&amp;"")/IF($F46&lt;&gt;"BPS(표준재무)",Sheet2!$L$2,1),"")</f>
        <v/>
      </c>
      <c r="Q46" s="17" t="str">
        <f ca="1">IFERROR(_xll.IMDP("STK",Q$4,$F46,Sheet2!$J$6,"Per=일, Real=false, Cons="&amp;Sheet2!$D$2&amp;", Comp="&amp;Sheet2!$F$2&amp;"")/IF($F46&lt;&gt;"BPS(표준재무)",Sheet2!$L$2,1),"")</f>
        <v/>
      </c>
    </row>
    <row r="47" spans="1:17" hidden="1" outlineLevel="2" x14ac:dyDescent="0.3">
      <c r="C47" t="s">
        <v>39</v>
      </c>
      <c r="F47" t="str">
        <f t="shared" si="1"/>
        <v>사채(요약재무)</v>
      </c>
      <c r="H47" s="15">
        <f ca="1">IFERROR(_xll.IMDP("STK",H$4,$F47,Sheet2!$J$6,"Per=일, Real=false, Cons="&amp;Sheet2!$D$2&amp;", Comp="&amp;Sheet2!$F$2&amp;"")/IF($F47&lt;&gt;"BPS(표준재무)",Sheet2!$L$2,1),"")</f>
        <v>25883</v>
      </c>
      <c r="I47" s="16" t="str">
        <f ca="1">IFERROR(_xll.IMDP("STK",I$4,$F47,Sheet2!$J$6,"Per=일, Real=false, Cons="&amp;Sheet2!$D$2&amp;", Comp="&amp;Sheet2!$F$2&amp;"")/IF($F47&lt;&gt;"BPS(표준재무)",Sheet2!$L$2,1),"")</f>
        <v/>
      </c>
      <c r="J47" s="16">
        <f ca="1">IFERROR(_xll.IMDP("STK",J$4,$F47,Sheet2!$J$6,"Per=일, Real=false, Cons="&amp;Sheet2!$D$2&amp;", Comp="&amp;Sheet2!$F$2&amp;"")/IF($F47&lt;&gt;"BPS(표준재무)",Sheet2!$L$2,1),"")</f>
        <v>459194</v>
      </c>
      <c r="K47" s="16" t="str">
        <f ca="1">IFERROR(_xll.IMDP("STK",K$4,$F47,Sheet2!$J$6,"Per=일, Real=false, Cons="&amp;Sheet2!$D$2&amp;", Comp="&amp;Sheet2!$F$2&amp;"")/IF($F47&lt;&gt;"BPS(표준재무)",Sheet2!$L$2,1),"")</f>
        <v/>
      </c>
      <c r="L47" s="16">
        <f ca="1">IFERROR(_xll.IMDP("STK",L$4,$F47,Sheet2!$J$6,"Per=일, Real=false, Cons="&amp;Sheet2!$D$2&amp;", Comp="&amp;Sheet2!$F$2&amp;"")/IF($F47&lt;&gt;"BPS(표준재무)",Sheet2!$L$2,1),"")</f>
        <v>1492304.7239999999</v>
      </c>
      <c r="M47" s="16" t="str">
        <f ca="1">IFERROR(_xll.IMDP("STK",M$4,$F47,Sheet2!$J$6,"Per=일, Real=false, Cons="&amp;Sheet2!$D$2&amp;", Comp="&amp;Sheet2!$F$2&amp;"")/IF($F47&lt;&gt;"BPS(표준재무)",Sheet2!$L$2,1),"")</f>
        <v/>
      </c>
      <c r="N47" s="16" t="str">
        <f ca="1">IFERROR(_xll.IMDP("STK",N$4,$F47,Sheet2!$J$6,"Per=일, Real=false, Cons="&amp;Sheet2!$D$2&amp;", Comp="&amp;Sheet2!$F$2&amp;"")/IF($F47&lt;&gt;"BPS(표준재무)",Sheet2!$L$2,1),"")</f>
        <v/>
      </c>
      <c r="O47" s="16" t="str">
        <f ca="1">IFERROR(_xll.IMDP("STK",O$4,$F47,Sheet2!$J$6,"Per=일, Real=false, Cons="&amp;Sheet2!$D$2&amp;", Comp="&amp;Sheet2!$F$2&amp;"")/IF($F47&lt;&gt;"BPS(표준재무)",Sheet2!$L$2,1),"")</f>
        <v/>
      </c>
      <c r="P47" s="16" t="str">
        <f ca="1">IFERROR(_xll.IMDP("STK",P$4,$F47,Sheet2!$J$6,"Per=일, Real=false, Cons="&amp;Sheet2!$D$2&amp;", Comp="&amp;Sheet2!$F$2&amp;"")/IF($F47&lt;&gt;"BPS(표준재무)",Sheet2!$L$2,1),"")</f>
        <v/>
      </c>
      <c r="Q47" s="17" t="str">
        <f ca="1">IFERROR(_xll.IMDP("STK",Q$4,$F47,Sheet2!$J$6,"Per=일, Real=false, Cons="&amp;Sheet2!$D$2&amp;", Comp="&amp;Sheet2!$F$2&amp;"")/IF($F47&lt;&gt;"BPS(표준재무)",Sheet2!$L$2,1),"")</f>
        <v/>
      </c>
    </row>
    <row r="48" spans="1:17" hidden="1" outlineLevel="2" x14ac:dyDescent="0.3">
      <c r="C48" t="s">
        <v>40</v>
      </c>
      <c r="F48" t="str">
        <f t="shared" si="1"/>
        <v>장기차입금(요약재무)</v>
      </c>
      <c r="H48" s="15">
        <f ca="1">IFERROR(_xll.IMDP("STK",H$4,$F48,Sheet2!$J$6,"Per=일, Real=false, Cons="&amp;Sheet2!$D$2&amp;", Comp="&amp;Sheet2!$F$2&amp;"")/IF($F48&lt;&gt;"BPS(표준재무)",Sheet2!$L$2,1),"")</f>
        <v>21990000</v>
      </c>
      <c r="I48" s="16">
        <f ca="1">IFERROR(_xll.IMDP("STK",I$4,$F48,Sheet2!$J$6,"Per=일, Real=false, Cons="&amp;Sheet2!$D$2&amp;", Comp="&amp;Sheet2!$F$2&amp;"")/IF($F48&lt;&gt;"BPS(표준재무)",Sheet2!$L$2,1),"")</f>
        <v>18877088</v>
      </c>
      <c r="J48" s="16">
        <f ca="1">IFERROR(_xll.IMDP("STK",J$4,$F48,Sheet2!$J$6,"Per=일, Real=false, Cons="&amp;Sheet2!$D$2&amp;", Comp="&amp;Sheet2!$F$2&amp;"")/IF($F48&lt;&gt;"BPS(표준재무)",Sheet2!$L$2,1),"")</f>
        <v>598400</v>
      </c>
      <c r="K48" s="16">
        <f ca="1">IFERROR(_xll.IMDP("STK",K$4,$F48,Sheet2!$J$6,"Per=일, Real=false, Cons="&amp;Sheet2!$D$2&amp;", Comp="&amp;Sheet2!$F$2&amp;"")/IF($F48&lt;&gt;"BPS(표준재무)",Sheet2!$L$2,1),"")</f>
        <v>157630.77499999999</v>
      </c>
      <c r="L48" s="16">
        <f ca="1">IFERROR(_xll.IMDP("STK",L$4,$F48,Sheet2!$J$6,"Per=일, Real=false, Cons="&amp;Sheet2!$D$2&amp;", Comp="&amp;Sheet2!$F$2&amp;"")/IF($F48&lt;&gt;"BPS(표준재무)",Sheet2!$L$2,1),"")</f>
        <v>676165.5</v>
      </c>
      <c r="M48" s="16" t="str">
        <f ca="1">IFERROR(_xll.IMDP("STK",M$4,$F48,Sheet2!$J$6,"Per=일, Real=false, Cons="&amp;Sheet2!$D$2&amp;", Comp="&amp;Sheet2!$F$2&amp;"")/IF($F48&lt;&gt;"BPS(표준재무)",Sheet2!$L$2,1),"")</f>
        <v/>
      </c>
      <c r="N48" s="16" t="str">
        <f ca="1">IFERROR(_xll.IMDP("STK",N$4,$F48,Sheet2!$J$6,"Per=일, Real=false, Cons="&amp;Sheet2!$D$2&amp;", Comp="&amp;Sheet2!$F$2&amp;"")/IF($F48&lt;&gt;"BPS(표준재무)",Sheet2!$L$2,1),"")</f>
        <v/>
      </c>
      <c r="O48" s="16" t="str">
        <f ca="1">IFERROR(_xll.IMDP("STK",O$4,$F48,Sheet2!$J$6,"Per=일, Real=false, Cons="&amp;Sheet2!$D$2&amp;", Comp="&amp;Sheet2!$F$2&amp;"")/IF($F48&lt;&gt;"BPS(표준재무)",Sheet2!$L$2,1),"")</f>
        <v/>
      </c>
      <c r="P48" s="16" t="str">
        <f ca="1">IFERROR(_xll.IMDP("STK",P$4,$F48,Sheet2!$J$6,"Per=일, Real=false, Cons="&amp;Sheet2!$D$2&amp;", Comp="&amp;Sheet2!$F$2&amp;"")/IF($F48&lt;&gt;"BPS(표준재무)",Sheet2!$L$2,1),"")</f>
        <v/>
      </c>
      <c r="Q48" s="17" t="str">
        <f ca="1">IFERROR(_xll.IMDP("STK",Q$4,$F48,Sheet2!$J$6,"Per=일, Real=false, Cons="&amp;Sheet2!$D$2&amp;", Comp="&amp;Sheet2!$F$2&amp;"")/IF($F48&lt;&gt;"BPS(표준재무)",Sheet2!$L$2,1),"")</f>
        <v/>
      </c>
    </row>
    <row r="49" spans="2:17" hidden="1" outlineLevel="2" x14ac:dyDescent="0.3">
      <c r="C49" t="s">
        <v>41</v>
      </c>
      <c r="F49" t="str">
        <f t="shared" si="1"/>
        <v>외화장기차입금(요약재무)</v>
      </c>
      <c r="H49" s="15" t="str">
        <f ca="1">IFERROR(_xll.IMDP("STK",H$4,$F49,Sheet2!$J$6,"Per=일, Real=false, Cons="&amp;Sheet2!$D$2&amp;", Comp="&amp;Sheet2!$F$2&amp;"")/IF($F49&lt;&gt;"BPS(표준재무)",Sheet2!$L$2,1),"")</f>
        <v/>
      </c>
      <c r="I49" s="16" t="str">
        <f ca="1">IFERROR(_xll.IMDP("STK",I$4,$F49,Sheet2!$J$6,"Per=일, Real=false, Cons="&amp;Sheet2!$D$2&amp;", Comp="&amp;Sheet2!$F$2&amp;"")/IF($F49&lt;&gt;"BPS(표준재무)",Sheet2!$L$2,1),"")</f>
        <v/>
      </c>
      <c r="J49" s="16" t="str">
        <f ca="1">IFERROR(_xll.IMDP("STK",J$4,$F49,Sheet2!$J$6,"Per=일, Real=false, Cons="&amp;Sheet2!$D$2&amp;", Comp="&amp;Sheet2!$F$2&amp;"")/IF($F49&lt;&gt;"BPS(표준재무)",Sheet2!$L$2,1),"")</f>
        <v/>
      </c>
      <c r="K49" s="16" t="str">
        <f ca="1">IFERROR(_xll.IMDP("STK",K$4,$F49,Sheet2!$J$6,"Per=일, Real=false, Cons="&amp;Sheet2!$D$2&amp;", Comp="&amp;Sheet2!$F$2&amp;"")/IF($F49&lt;&gt;"BPS(표준재무)",Sheet2!$L$2,1),"")</f>
        <v/>
      </c>
      <c r="L49" s="16">
        <f ca="1">IFERROR(_xll.IMDP("STK",L$4,$F49,Sheet2!$J$6,"Per=일, Real=false, Cons="&amp;Sheet2!$D$2&amp;", Comp="&amp;Sheet2!$F$2&amp;"")/IF($F49&lt;&gt;"BPS(표준재무)",Sheet2!$L$2,1),"")</f>
        <v>661165.5</v>
      </c>
      <c r="M49" s="16" t="str">
        <f ca="1">IFERROR(_xll.IMDP("STK",M$4,$F49,Sheet2!$J$6,"Per=일, Real=false, Cons="&amp;Sheet2!$D$2&amp;", Comp="&amp;Sheet2!$F$2&amp;"")/IF($F49&lt;&gt;"BPS(표준재무)",Sheet2!$L$2,1),"")</f>
        <v/>
      </c>
      <c r="N49" s="16" t="str">
        <f ca="1">IFERROR(_xll.IMDP("STK",N$4,$F49,Sheet2!$J$6,"Per=일, Real=false, Cons="&amp;Sheet2!$D$2&amp;", Comp="&amp;Sheet2!$F$2&amp;"")/IF($F49&lt;&gt;"BPS(표준재무)",Sheet2!$L$2,1),"")</f>
        <v/>
      </c>
      <c r="O49" s="16" t="str">
        <f ca="1">IFERROR(_xll.IMDP("STK",O$4,$F49,Sheet2!$J$6,"Per=일, Real=false, Cons="&amp;Sheet2!$D$2&amp;", Comp="&amp;Sheet2!$F$2&amp;"")/IF($F49&lt;&gt;"BPS(표준재무)",Sheet2!$L$2,1),"")</f>
        <v/>
      </c>
      <c r="P49" s="16" t="str">
        <f ca="1">IFERROR(_xll.IMDP("STK",P$4,$F49,Sheet2!$J$6,"Per=일, Real=false, Cons="&amp;Sheet2!$D$2&amp;", Comp="&amp;Sheet2!$F$2&amp;"")/IF($F49&lt;&gt;"BPS(표준재무)",Sheet2!$L$2,1),"")</f>
        <v/>
      </c>
      <c r="Q49" s="17" t="str">
        <f ca="1">IFERROR(_xll.IMDP("STK",Q$4,$F49,Sheet2!$J$6,"Per=일, Real=false, Cons="&amp;Sheet2!$D$2&amp;", Comp="&amp;Sheet2!$F$2&amp;"")/IF($F49&lt;&gt;"BPS(표준재무)",Sheet2!$L$2,1),"")</f>
        <v/>
      </c>
    </row>
    <row r="50" spans="2:17" hidden="1" outlineLevel="2" x14ac:dyDescent="0.3">
      <c r="C50" t="s">
        <v>42</v>
      </c>
      <c r="F50" t="str">
        <f t="shared" si="1"/>
        <v>특수관계자장기차입금(요약재무)</v>
      </c>
      <c r="H50" s="15" t="str">
        <f ca="1">IFERROR(_xll.IMDP("STK",H$4,$F50,Sheet2!$J$6,"Per=일, Real=false, Cons="&amp;Sheet2!$D$2&amp;", Comp="&amp;Sheet2!$F$2&amp;"")/IF($F50&lt;&gt;"BPS(표준재무)",Sheet2!$L$2,1),"")</f>
        <v/>
      </c>
      <c r="I50" s="16" t="str">
        <f ca="1">IFERROR(_xll.IMDP("STK",I$4,$F50,Sheet2!$J$6,"Per=일, Real=false, Cons="&amp;Sheet2!$D$2&amp;", Comp="&amp;Sheet2!$F$2&amp;"")/IF($F50&lt;&gt;"BPS(표준재무)",Sheet2!$L$2,1),"")</f>
        <v/>
      </c>
      <c r="J50" s="16" t="str">
        <f ca="1">IFERROR(_xll.IMDP("STK",J$4,$F50,Sheet2!$J$6,"Per=일, Real=false, Cons="&amp;Sheet2!$D$2&amp;", Comp="&amp;Sheet2!$F$2&amp;"")/IF($F50&lt;&gt;"BPS(표준재무)",Sheet2!$L$2,1),"")</f>
        <v/>
      </c>
      <c r="K50" s="16" t="str">
        <f ca="1">IFERROR(_xll.IMDP("STK",K$4,$F50,Sheet2!$J$6,"Per=일, Real=false, Cons="&amp;Sheet2!$D$2&amp;", Comp="&amp;Sheet2!$F$2&amp;"")/IF($F50&lt;&gt;"BPS(표준재무)",Sheet2!$L$2,1),"")</f>
        <v/>
      </c>
      <c r="L50" s="16" t="str">
        <f ca="1">IFERROR(_xll.IMDP("STK",L$4,$F50,Sheet2!$J$6,"Per=일, Real=false, Cons="&amp;Sheet2!$D$2&amp;", Comp="&amp;Sheet2!$F$2&amp;"")/IF($F50&lt;&gt;"BPS(표준재무)",Sheet2!$L$2,1),"")</f>
        <v/>
      </c>
      <c r="M50" s="16" t="str">
        <f ca="1">IFERROR(_xll.IMDP("STK",M$4,$F50,Sheet2!$J$6,"Per=일, Real=false, Cons="&amp;Sheet2!$D$2&amp;", Comp="&amp;Sheet2!$F$2&amp;"")/IF($F50&lt;&gt;"BPS(표준재무)",Sheet2!$L$2,1),"")</f>
        <v/>
      </c>
      <c r="N50" s="16" t="str">
        <f ca="1">IFERROR(_xll.IMDP("STK",N$4,$F50,Sheet2!$J$6,"Per=일, Real=false, Cons="&amp;Sheet2!$D$2&amp;", Comp="&amp;Sheet2!$F$2&amp;"")/IF($F50&lt;&gt;"BPS(표준재무)",Sheet2!$L$2,1),"")</f>
        <v/>
      </c>
      <c r="O50" s="16" t="str">
        <f ca="1">IFERROR(_xll.IMDP("STK",O$4,$F50,Sheet2!$J$6,"Per=일, Real=false, Cons="&amp;Sheet2!$D$2&amp;", Comp="&amp;Sheet2!$F$2&amp;"")/IF($F50&lt;&gt;"BPS(표준재무)",Sheet2!$L$2,1),"")</f>
        <v/>
      </c>
      <c r="P50" s="16" t="str">
        <f ca="1">IFERROR(_xll.IMDP("STK",P$4,$F50,Sheet2!$J$6,"Per=일, Real=false, Cons="&amp;Sheet2!$D$2&amp;", Comp="&amp;Sheet2!$F$2&amp;"")/IF($F50&lt;&gt;"BPS(표준재무)",Sheet2!$L$2,1),"")</f>
        <v/>
      </c>
      <c r="Q50" s="17" t="str">
        <f ca="1">IFERROR(_xll.IMDP("STK",Q$4,$F50,Sheet2!$J$6,"Per=일, Real=false, Cons="&amp;Sheet2!$D$2&amp;", Comp="&amp;Sheet2!$F$2&amp;"")/IF($F50&lt;&gt;"BPS(표준재무)",Sheet2!$L$2,1),"")</f>
        <v/>
      </c>
    </row>
    <row r="51" spans="2:17" hidden="1" outlineLevel="2" x14ac:dyDescent="0.3">
      <c r="C51" t="s">
        <v>43</v>
      </c>
      <c r="F51" t="str">
        <f t="shared" si="1"/>
        <v>주임종장기차입금(요약재무)</v>
      </c>
      <c r="H51" s="15" t="str">
        <f ca="1">IFERROR(_xll.IMDP("STK",H$4,$F51,Sheet2!$J$6,"Per=일, Real=false, Cons="&amp;Sheet2!$D$2&amp;", Comp="&amp;Sheet2!$F$2&amp;"")/IF($F51&lt;&gt;"BPS(표준재무)",Sheet2!$L$2,1),"")</f>
        <v/>
      </c>
      <c r="I51" s="16" t="str">
        <f ca="1">IFERROR(_xll.IMDP("STK",I$4,$F51,Sheet2!$J$6,"Per=일, Real=false, Cons="&amp;Sheet2!$D$2&amp;", Comp="&amp;Sheet2!$F$2&amp;"")/IF($F51&lt;&gt;"BPS(표준재무)",Sheet2!$L$2,1),"")</f>
        <v/>
      </c>
      <c r="J51" s="16" t="str">
        <f ca="1">IFERROR(_xll.IMDP("STK",J$4,$F51,Sheet2!$J$6,"Per=일, Real=false, Cons="&amp;Sheet2!$D$2&amp;", Comp="&amp;Sheet2!$F$2&amp;"")/IF($F51&lt;&gt;"BPS(표준재무)",Sheet2!$L$2,1),"")</f>
        <v/>
      </c>
      <c r="K51" s="16" t="str">
        <f ca="1">IFERROR(_xll.IMDP("STK",K$4,$F51,Sheet2!$J$6,"Per=일, Real=false, Cons="&amp;Sheet2!$D$2&amp;", Comp="&amp;Sheet2!$F$2&amp;"")/IF($F51&lt;&gt;"BPS(표준재무)",Sheet2!$L$2,1),"")</f>
        <v/>
      </c>
      <c r="L51" s="16" t="str">
        <f ca="1">IFERROR(_xll.IMDP("STK",L$4,$F51,Sheet2!$J$6,"Per=일, Real=false, Cons="&amp;Sheet2!$D$2&amp;", Comp="&amp;Sheet2!$F$2&amp;"")/IF($F51&lt;&gt;"BPS(표준재무)",Sheet2!$L$2,1),"")</f>
        <v/>
      </c>
      <c r="M51" s="16" t="str">
        <f ca="1">IFERROR(_xll.IMDP("STK",M$4,$F51,Sheet2!$J$6,"Per=일, Real=false, Cons="&amp;Sheet2!$D$2&amp;", Comp="&amp;Sheet2!$F$2&amp;"")/IF($F51&lt;&gt;"BPS(표준재무)",Sheet2!$L$2,1),"")</f>
        <v/>
      </c>
      <c r="N51" s="16" t="str">
        <f ca="1">IFERROR(_xll.IMDP("STK",N$4,$F51,Sheet2!$J$6,"Per=일, Real=false, Cons="&amp;Sheet2!$D$2&amp;", Comp="&amp;Sheet2!$F$2&amp;"")/IF($F51&lt;&gt;"BPS(표준재무)",Sheet2!$L$2,1),"")</f>
        <v/>
      </c>
      <c r="O51" s="16" t="str">
        <f ca="1">IFERROR(_xll.IMDP("STK",O$4,$F51,Sheet2!$J$6,"Per=일, Real=false, Cons="&amp;Sheet2!$D$2&amp;", Comp="&amp;Sheet2!$F$2&amp;"")/IF($F51&lt;&gt;"BPS(표준재무)",Sheet2!$L$2,1),"")</f>
        <v/>
      </c>
      <c r="P51" s="16" t="str">
        <f ca="1">IFERROR(_xll.IMDP("STK",P$4,$F51,Sheet2!$J$6,"Per=일, Real=false, Cons="&amp;Sheet2!$D$2&amp;", Comp="&amp;Sheet2!$F$2&amp;"")/IF($F51&lt;&gt;"BPS(표준재무)",Sheet2!$L$2,1),"")</f>
        <v/>
      </c>
      <c r="Q51" s="17" t="str">
        <f ca="1">IFERROR(_xll.IMDP("STK",Q$4,$F51,Sheet2!$J$6,"Per=일, Real=false, Cons="&amp;Sheet2!$D$2&amp;", Comp="&amp;Sheet2!$F$2&amp;"")/IF($F51&lt;&gt;"BPS(표준재무)",Sheet2!$L$2,1),"")</f>
        <v/>
      </c>
    </row>
    <row r="52" spans="2:17" hidden="1" outlineLevel="2" x14ac:dyDescent="0.3">
      <c r="C52" t="s">
        <v>44</v>
      </c>
      <c r="F52" t="str">
        <f t="shared" si="1"/>
        <v>비유동금융부채(요약재무)</v>
      </c>
      <c r="H52" s="15">
        <f ca="1">IFERROR(_xll.IMDP("STK",H$4,$F52,Sheet2!$J$6,"Per=일, Real=false, Cons="&amp;Sheet2!$D$2&amp;", Comp="&amp;Sheet2!$F$2&amp;"")/IF($F52&lt;&gt;"BPS(표준재무)",Sheet2!$L$2,1),"")</f>
        <v>836584</v>
      </c>
      <c r="I52" s="16">
        <f ca="1">IFERROR(_xll.IMDP("STK",I$4,$F52,Sheet2!$J$6,"Per=일, Real=false, Cons="&amp;Sheet2!$D$2&amp;", Comp="&amp;Sheet2!$F$2&amp;"")/IF($F52&lt;&gt;"BPS(표준재무)",Sheet2!$L$2,1),"")</f>
        <v>1099420</v>
      </c>
      <c r="J52" s="16">
        <f ca="1">IFERROR(_xll.IMDP("STK",J$4,$F52,Sheet2!$J$6,"Per=일, Real=false, Cons="&amp;Sheet2!$D$2&amp;", Comp="&amp;Sheet2!$F$2&amp;"")/IF($F52&lt;&gt;"BPS(표준재무)",Sheet2!$L$2,1),"")</f>
        <v>105373</v>
      </c>
      <c r="K52" s="16">
        <f ca="1">IFERROR(_xll.IMDP("STK",K$4,$F52,Sheet2!$J$6,"Per=일, Real=false, Cons="&amp;Sheet2!$D$2&amp;", Comp="&amp;Sheet2!$F$2&amp;"")/IF($F52&lt;&gt;"BPS(표준재무)",Sheet2!$L$2,1),"")</f>
        <v>2127.2440000000001</v>
      </c>
      <c r="L52" s="16">
        <f ca="1">IFERROR(_xll.IMDP("STK",L$4,$F52,Sheet2!$J$6,"Per=일, Real=false, Cons="&amp;Sheet2!$D$2&amp;", Comp="&amp;Sheet2!$F$2&amp;"")/IF($F52&lt;&gt;"BPS(표준재무)",Sheet2!$L$2,1),"")</f>
        <v>311972.41399999999</v>
      </c>
      <c r="M52" s="16" t="str">
        <f ca="1">IFERROR(_xll.IMDP("STK",M$4,$F52,Sheet2!$J$6,"Per=일, Real=false, Cons="&amp;Sheet2!$D$2&amp;", Comp="&amp;Sheet2!$F$2&amp;"")/IF($F52&lt;&gt;"BPS(표준재무)",Sheet2!$L$2,1),"")</f>
        <v/>
      </c>
      <c r="N52" s="16" t="str">
        <f ca="1">IFERROR(_xll.IMDP("STK",N$4,$F52,Sheet2!$J$6,"Per=일, Real=false, Cons="&amp;Sheet2!$D$2&amp;", Comp="&amp;Sheet2!$F$2&amp;"")/IF($F52&lt;&gt;"BPS(표준재무)",Sheet2!$L$2,1),"")</f>
        <v/>
      </c>
      <c r="O52" s="16" t="str">
        <f ca="1">IFERROR(_xll.IMDP("STK",O$4,$F52,Sheet2!$J$6,"Per=일, Real=false, Cons="&amp;Sheet2!$D$2&amp;", Comp="&amp;Sheet2!$F$2&amp;"")/IF($F52&lt;&gt;"BPS(표준재무)",Sheet2!$L$2,1),"")</f>
        <v/>
      </c>
      <c r="P52" s="16" t="str">
        <f ca="1">IFERROR(_xll.IMDP("STK",P$4,$F52,Sheet2!$J$6,"Per=일, Real=false, Cons="&amp;Sheet2!$D$2&amp;", Comp="&amp;Sheet2!$F$2&amp;"")/IF($F52&lt;&gt;"BPS(표준재무)",Sheet2!$L$2,1),"")</f>
        <v/>
      </c>
      <c r="Q52" s="17" t="str">
        <f ca="1">IFERROR(_xll.IMDP("STK",Q$4,$F52,Sheet2!$J$6,"Per=일, Real=false, Cons="&amp;Sheet2!$D$2&amp;", Comp="&amp;Sheet2!$F$2&amp;"")/IF($F52&lt;&gt;"BPS(표준재무)",Sheet2!$L$2,1),"")</f>
        <v/>
      </c>
    </row>
    <row r="53" spans="2:17" hidden="1" outlineLevel="3" x14ac:dyDescent="0.3">
      <c r="D53" t="s">
        <v>521</v>
      </c>
      <c r="F53" t="str">
        <f t="shared" si="1"/>
        <v>리스부채(요약재무)</v>
      </c>
      <c r="H53" s="15">
        <f ca="1">IFERROR(_xll.IMDP("STK",H$4,$F53,Sheet2!$J$6,"Per=일, Real=false, Cons="&amp;Sheet2!$D$2&amp;", Comp="&amp;Sheet2!$F$2&amp;"")/IF($F53&lt;&gt;"BPS(표준재무)",Sheet2!$L$2,1),"")</f>
        <v>836584</v>
      </c>
      <c r="I53" s="16">
        <f ca="1">IFERROR(_xll.IMDP("STK",I$4,$F53,Sheet2!$J$6,"Per=일, Real=false, Cons="&amp;Sheet2!$D$2&amp;", Comp="&amp;Sheet2!$F$2&amp;"")/IF($F53&lt;&gt;"BPS(표준재무)",Sheet2!$L$2,1),"")</f>
        <v>1099420</v>
      </c>
      <c r="J53" s="16">
        <f ca="1">IFERROR(_xll.IMDP("STK",J$4,$F53,Sheet2!$J$6,"Per=일, Real=false, Cons="&amp;Sheet2!$D$2&amp;", Comp="&amp;Sheet2!$F$2&amp;"")/IF($F53&lt;&gt;"BPS(표준재무)",Sheet2!$L$2,1),"")</f>
        <v>105373</v>
      </c>
      <c r="K53" s="16">
        <f ca="1">IFERROR(_xll.IMDP("STK",K$4,$F53,Sheet2!$J$6,"Per=일, Real=false, Cons="&amp;Sheet2!$D$2&amp;", Comp="&amp;Sheet2!$F$2&amp;"")/IF($F53&lt;&gt;"BPS(표준재무)",Sheet2!$L$2,1),"")</f>
        <v>2127.2440000000001</v>
      </c>
      <c r="L53" s="16">
        <f ca="1">IFERROR(_xll.IMDP("STK",L$4,$F53,Sheet2!$J$6,"Per=일, Real=false, Cons="&amp;Sheet2!$D$2&amp;", Comp="&amp;Sheet2!$F$2&amp;"")/IF($F53&lt;&gt;"BPS(표준재무)",Sheet2!$L$2,1),"")</f>
        <v>311972.41399999999</v>
      </c>
      <c r="M53" s="16" t="str">
        <f ca="1">IFERROR(_xll.IMDP("STK",M$4,$F53,Sheet2!$J$6,"Per=일, Real=false, Cons="&amp;Sheet2!$D$2&amp;", Comp="&amp;Sheet2!$F$2&amp;"")/IF($F53&lt;&gt;"BPS(표준재무)",Sheet2!$L$2,1),"")</f>
        <v/>
      </c>
      <c r="N53" s="16" t="str">
        <f ca="1">IFERROR(_xll.IMDP("STK",N$4,$F53,Sheet2!$J$6,"Per=일, Real=false, Cons="&amp;Sheet2!$D$2&amp;", Comp="&amp;Sheet2!$F$2&amp;"")/IF($F53&lt;&gt;"BPS(표준재무)",Sheet2!$L$2,1),"")</f>
        <v/>
      </c>
      <c r="O53" s="16" t="str">
        <f ca="1">IFERROR(_xll.IMDP("STK",O$4,$F53,Sheet2!$J$6,"Per=일, Real=false, Cons="&amp;Sheet2!$D$2&amp;", Comp="&amp;Sheet2!$F$2&amp;"")/IF($F53&lt;&gt;"BPS(표준재무)",Sheet2!$L$2,1),"")</f>
        <v/>
      </c>
      <c r="P53" s="16" t="str">
        <f ca="1">IFERROR(_xll.IMDP("STK",P$4,$F53,Sheet2!$J$6,"Per=일, Real=false, Cons="&amp;Sheet2!$D$2&amp;", Comp="&amp;Sheet2!$F$2&amp;"")/IF($F53&lt;&gt;"BPS(표준재무)",Sheet2!$L$2,1),"")</f>
        <v/>
      </c>
      <c r="Q53" s="17" t="str">
        <f ca="1">IFERROR(_xll.IMDP("STK",Q$4,$F53,Sheet2!$J$6,"Per=일, Real=false, Cons="&amp;Sheet2!$D$2&amp;", Comp="&amp;Sheet2!$F$2&amp;"")/IF($F53&lt;&gt;"BPS(표준재무)",Sheet2!$L$2,1),"")</f>
        <v/>
      </c>
    </row>
    <row r="54" spans="2:17" hidden="1" outlineLevel="2" x14ac:dyDescent="0.3">
      <c r="C54" t="s">
        <v>45</v>
      </c>
      <c r="F54" t="str">
        <f t="shared" si="1"/>
        <v>장기매입채무및기타비유동채무(요약재무)</v>
      </c>
      <c r="H54" s="15">
        <f ca="1">IFERROR(_xll.IMDP("STK",H$4,$F54,Sheet2!$J$6,"Per=일, Real=false, Cons="&amp;Sheet2!$D$2&amp;", Comp="&amp;Sheet2!$F$2&amp;"")/IF($F54&lt;&gt;"BPS(표준재무)",Sheet2!$L$2,1),"")</f>
        <v>4772353</v>
      </c>
      <c r="I54" s="16">
        <f ca="1">IFERROR(_xll.IMDP("STK",I$4,$F54,Sheet2!$J$6,"Per=일, Real=false, Cons="&amp;Sheet2!$D$2&amp;", Comp="&amp;Sheet2!$F$2&amp;"")/IF($F54&lt;&gt;"BPS(표준재무)",Sheet2!$L$2,1),"")</f>
        <v>1740440</v>
      </c>
      <c r="J54" s="16">
        <f ca="1">IFERROR(_xll.IMDP("STK",J$4,$F54,Sheet2!$J$6,"Per=일, Real=false, Cons="&amp;Sheet2!$D$2&amp;", Comp="&amp;Sheet2!$F$2&amp;"")/IF($F54&lt;&gt;"BPS(표준재무)",Sheet2!$L$2,1),"")</f>
        <v>674931</v>
      </c>
      <c r="K54" s="16">
        <f ca="1">IFERROR(_xll.IMDP("STK",K$4,$F54,Sheet2!$J$6,"Per=일, Real=false, Cons="&amp;Sheet2!$D$2&amp;", Comp="&amp;Sheet2!$F$2&amp;"")/IF($F54&lt;&gt;"BPS(표준재무)",Sheet2!$L$2,1),"")</f>
        <v>3766.1019999999999</v>
      </c>
      <c r="L54" s="16">
        <f ca="1">IFERROR(_xll.IMDP("STK",L$4,$F54,Sheet2!$J$6,"Per=일, Real=false, Cons="&amp;Sheet2!$D$2&amp;", Comp="&amp;Sheet2!$F$2&amp;"")/IF($F54&lt;&gt;"BPS(표준재무)",Sheet2!$L$2,1),"")</f>
        <v>30943.1</v>
      </c>
      <c r="M54" s="16" t="str">
        <f ca="1">IFERROR(_xll.IMDP("STK",M$4,$F54,Sheet2!$J$6,"Per=일, Real=false, Cons="&amp;Sheet2!$D$2&amp;", Comp="&amp;Sheet2!$F$2&amp;"")/IF($F54&lt;&gt;"BPS(표준재무)",Sheet2!$L$2,1),"")</f>
        <v/>
      </c>
      <c r="N54" s="16" t="str">
        <f ca="1">IFERROR(_xll.IMDP("STK",N$4,$F54,Sheet2!$J$6,"Per=일, Real=false, Cons="&amp;Sheet2!$D$2&amp;", Comp="&amp;Sheet2!$F$2&amp;"")/IF($F54&lt;&gt;"BPS(표준재무)",Sheet2!$L$2,1),"")</f>
        <v/>
      </c>
      <c r="O54" s="16" t="str">
        <f ca="1">IFERROR(_xll.IMDP("STK",O$4,$F54,Sheet2!$J$6,"Per=일, Real=false, Cons="&amp;Sheet2!$D$2&amp;", Comp="&amp;Sheet2!$F$2&amp;"")/IF($F54&lt;&gt;"BPS(표준재무)",Sheet2!$L$2,1),"")</f>
        <v/>
      </c>
      <c r="P54" s="16" t="str">
        <f ca="1">IFERROR(_xll.IMDP("STK",P$4,$F54,Sheet2!$J$6,"Per=일, Real=false, Cons="&amp;Sheet2!$D$2&amp;", Comp="&amp;Sheet2!$F$2&amp;"")/IF($F54&lt;&gt;"BPS(표준재무)",Sheet2!$L$2,1),"")</f>
        <v/>
      </c>
      <c r="Q54" s="17" t="str">
        <f ca="1">IFERROR(_xll.IMDP("STK",Q$4,$F54,Sheet2!$J$6,"Per=일, Real=false, Cons="&amp;Sheet2!$D$2&amp;", Comp="&amp;Sheet2!$F$2&amp;"")/IF($F54&lt;&gt;"BPS(표준재무)",Sheet2!$L$2,1),"")</f>
        <v/>
      </c>
    </row>
    <row r="55" spans="2:17" hidden="1" outlineLevel="2" x14ac:dyDescent="0.3">
      <c r="C55" t="s">
        <v>46</v>
      </c>
      <c r="F55" t="str">
        <f t="shared" si="1"/>
        <v>비유동종업원급여충당부채(비금융요약재무)</v>
      </c>
      <c r="H55" s="15" t="str">
        <f ca="1">IFERROR(_xll.IMDP("STK",H$4,$F55,Sheet2!$J$6,"Per=일, Real=false, Cons="&amp;Sheet2!$D$2&amp;", Comp="&amp;Sheet2!$F$2&amp;"")/IF($F55&lt;&gt;"BPS(표준재무)",Sheet2!$L$2,1),"")</f>
        <v/>
      </c>
      <c r="I55" s="16">
        <f ca="1">IFERROR(_xll.IMDP("STK",I$4,$F55,Sheet2!$J$6,"Per=일, Real=false, Cons="&amp;Sheet2!$D$2&amp;", Comp="&amp;Sheet2!$F$2&amp;"")/IF($F55&lt;&gt;"BPS(표준재무)",Sheet2!$L$2,1),"")</f>
        <v>173355</v>
      </c>
      <c r="J55" s="16" t="str">
        <f ca="1">IFERROR(_xll.IMDP("STK",J$4,$F55,Sheet2!$J$6,"Per=일, Real=false, Cons="&amp;Sheet2!$D$2&amp;", Comp="&amp;Sheet2!$F$2&amp;"")/IF($F55&lt;&gt;"BPS(표준재무)",Sheet2!$L$2,1),"")</f>
        <v/>
      </c>
      <c r="K55" s="16" t="str">
        <f ca="1">IFERROR(_xll.IMDP("STK",K$4,$F55,Sheet2!$J$6,"Per=일, Real=false, Cons="&amp;Sheet2!$D$2&amp;", Comp="&amp;Sheet2!$F$2&amp;"")/IF($F55&lt;&gt;"BPS(표준재무)",Sheet2!$L$2,1),"")</f>
        <v/>
      </c>
      <c r="L55" s="16">
        <f ca="1">IFERROR(_xll.IMDP("STK",L$4,$F55,Sheet2!$J$6,"Per=일, Real=false, Cons="&amp;Sheet2!$D$2&amp;", Comp="&amp;Sheet2!$F$2&amp;"")/IF($F55&lt;&gt;"BPS(표준재무)",Sheet2!$L$2,1),"")</f>
        <v>301837.11499999999</v>
      </c>
      <c r="M55" s="16" t="str">
        <f ca="1">IFERROR(_xll.IMDP("STK",M$4,$F55,Sheet2!$J$6,"Per=일, Real=false, Cons="&amp;Sheet2!$D$2&amp;", Comp="&amp;Sheet2!$F$2&amp;"")/IF($F55&lt;&gt;"BPS(표준재무)",Sheet2!$L$2,1),"")</f>
        <v/>
      </c>
      <c r="N55" s="16" t="str">
        <f ca="1">IFERROR(_xll.IMDP("STK",N$4,$F55,Sheet2!$J$6,"Per=일, Real=false, Cons="&amp;Sheet2!$D$2&amp;", Comp="&amp;Sheet2!$F$2&amp;"")/IF($F55&lt;&gt;"BPS(표준재무)",Sheet2!$L$2,1),"")</f>
        <v/>
      </c>
      <c r="O55" s="16" t="str">
        <f ca="1">IFERROR(_xll.IMDP("STK",O$4,$F55,Sheet2!$J$6,"Per=일, Real=false, Cons="&amp;Sheet2!$D$2&amp;", Comp="&amp;Sheet2!$F$2&amp;"")/IF($F55&lt;&gt;"BPS(표준재무)",Sheet2!$L$2,1),"")</f>
        <v/>
      </c>
      <c r="P55" s="16" t="str">
        <f ca="1">IFERROR(_xll.IMDP("STK",P$4,$F55,Sheet2!$J$6,"Per=일, Real=false, Cons="&amp;Sheet2!$D$2&amp;", Comp="&amp;Sheet2!$F$2&amp;"")/IF($F55&lt;&gt;"BPS(표준재무)",Sheet2!$L$2,1),"")</f>
        <v/>
      </c>
      <c r="Q55" s="17" t="str">
        <f ca="1">IFERROR(_xll.IMDP("STK",Q$4,$F55,Sheet2!$J$6,"Per=일, Real=false, Cons="&amp;Sheet2!$D$2&amp;", Comp="&amp;Sheet2!$F$2&amp;"")/IF($F55&lt;&gt;"BPS(표준재무)",Sheet2!$L$2,1),"")</f>
        <v/>
      </c>
    </row>
    <row r="56" spans="2:17" hidden="1" outlineLevel="2" x14ac:dyDescent="0.3">
      <c r="C56" t="s">
        <v>47</v>
      </c>
      <c r="F56" t="str">
        <f t="shared" si="1"/>
        <v>기타장기충당부채(요약재무)</v>
      </c>
      <c r="H56" s="15">
        <f ca="1">IFERROR(_xll.IMDP("STK",H$4,$F56,Sheet2!$J$6,"Per=일, Real=false, Cons="&amp;Sheet2!$D$2&amp;", Comp="&amp;Sheet2!$F$2&amp;"")/IF($F56&lt;&gt;"BPS(표준재무)",Sheet2!$L$2,1),"")</f>
        <v>1857914</v>
      </c>
      <c r="I56" s="16" t="str">
        <f ca="1">IFERROR(_xll.IMDP("STK",I$4,$F56,Sheet2!$J$6,"Per=일, Real=false, Cons="&amp;Sheet2!$D$2&amp;", Comp="&amp;Sheet2!$F$2&amp;"")/IF($F56&lt;&gt;"BPS(표준재무)",Sheet2!$L$2,1),"")</f>
        <v/>
      </c>
      <c r="J56" s="16">
        <f ca="1">IFERROR(_xll.IMDP("STK",J$4,$F56,Sheet2!$J$6,"Per=일, Real=false, Cons="&amp;Sheet2!$D$2&amp;", Comp="&amp;Sheet2!$F$2&amp;"")/IF($F56&lt;&gt;"BPS(표준재무)",Sheet2!$L$2,1),"")</f>
        <v>2857776</v>
      </c>
      <c r="K56" s="16" t="str">
        <f ca="1">IFERROR(_xll.IMDP("STK",K$4,$F56,Sheet2!$J$6,"Per=일, Real=false, Cons="&amp;Sheet2!$D$2&amp;", Comp="&amp;Sheet2!$F$2&amp;"")/IF($F56&lt;&gt;"BPS(표준재무)",Sheet2!$L$2,1),"")</f>
        <v/>
      </c>
      <c r="L56" s="16">
        <f ca="1">IFERROR(_xll.IMDP("STK",L$4,$F56,Sheet2!$J$6,"Per=일, Real=false, Cons="&amp;Sheet2!$D$2&amp;", Comp="&amp;Sheet2!$F$2&amp;"")/IF($F56&lt;&gt;"BPS(표준재무)",Sheet2!$L$2,1),"")</f>
        <v>10405.875</v>
      </c>
      <c r="M56" s="16" t="str">
        <f ca="1">IFERROR(_xll.IMDP("STK",M$4,$F56,Sheet2!$J$6,"Per=일, Real=false, Cons="&amp;Sheet2!$D$2&amp;", Comp="&amp;Sheet2!$F$2&amp;"")/IF($F56&lt;&gt;"BPS(표준재무)",Sheet2!$L$2,1),"")</f>
        <v/>
      </c>
      <c r="N56" s="16" t="str">
        <f ca="1">IFERROR(_xll.IMDP("STK",N$4,$F56,Sheet2!$J$6,"Per=일, Real=false, Cons="&amp;Sheet2!$D$2&amp;", Comp="&amp;Sheet2!$F$2&amp;"")/IF($F56&lt;&gt;"BPS(표준재무)",Sheet2!$L$2,1),"")</f>
        <v/>
      </c>
      <c r="O56" s="16" t="str">
        <f ca="1">IFERROR(_xll.IMDP("STK",O$4,$F56,Sheet2!$J$6,"Per=일, Real=false, Cons="&amp;Sheet2!$D$2&amp;", Comp="&amp;Sheet2!$F$2&amp;"")/IF($F56&lt;&gt;"BPS(표준재무)",Sheet2!$L$2,1),"")</f>
        <v/>
      </c>
      <c r="P56" s="16" t="str">
        <f ca="1">IFERROR(_xll.IMDP("STK",P$4,$F56,Sheet2!$J$6,"Per=일, Real=false, Cons="&amp;Sheet2!$D$2&amp;", Comp="&amp;Sheet2!$F$2&amp;"")/IF($F56&lt;&gt;"BPS(표준재무)",Sheet2!$L$2,1),"")</f>
        <v/>
      </c>
      <c r="Q56" s="17" t="str">
        <f ca="1">IFERROR(_xll.IMDP("STK",Q$4,$F56,Sheet2!$J$6,"Per=일, Real=false, Cons="&amp;Sheet2!$D$2&amp;", Comp="&amp;Sheet2!$F$2&amp;"")/IF($F56&lt;&gt;"BPS(표준재무)",Sheet2!$L$2,1),"")</f>
        <v/>
      </c>
    </row>
    <row r="57" spans="2:17" hidden="1" outlineLevel="2" x14ac:dyDescent="0.3">
      <c r="C57" t="s">
        <v>48</v>
      </c>
      <c r="F57" t="str">
        <f t="shared" si="1"/>
        <v>이연법인세부채(비금융요약재무)</v>
      </c>
      <c r="H57" s="15" t="str">
        <f ca="1">IFERROR(_xll.IMDP("STK",H$4,$F57,Sheet2!$J$6,"Per=일, Real=false, Cons="&amp;Sheet2!$D$2&amp;", Comp="&amp;Sheet2!$F$2&amp;"")/IF($F57&lt;&gt;"BPS(표준재무)",Sheet2!$L$2,1),"")</f>
        <v/>
      </c>
      <c r="I57" s="16" t="str">
        <f ca="1">IFERROR(_xll.IMDP("STK",I$4,$F57,Sheet2!$J$6,"Per=일, Real=false, Cons="&amp;Sheet2!$D$2&amp;", Comp="&amp;Sheet2!$F$2&amp;"")/IF($F57&lt;&gt;"BPS(표준재무)",Sheet2!$L$2,1),"")</f>
        <v/>
      </c>
      <c r="J57" s="16" t="str">
        <f ca="1">IFERROR(_xll.IMDP("STK",J$4,$F57,Sheet2!$J$6,"Per=일, Real=false, Cons="&amp;Sheet2!$D$2&amp;", Comp="&amp;Sheet2!$F$2&amp;"")/IF($F57&lt;&gt;"BPS(표준재무)",Sheet2!$L$2,1),"")</f>
        <v/>
      </c>
      <c r="K57" s="16" t="str">
        <f ca="1">IFERROR(_xll.IMDP("STK",K$4,$F57,Sheet2!$J$6,"Per=일, Real=false, Cons="&amp;Sheet2!$D$2&amp;", Comp="&amp;Sheet2!$F$2&amp;"")/IF($F57&lt;&gt;"BPS(표준재무)",Sheet2!$L$2,1),"")</f>
        <v/>
      </c>
      <c r="L57" s="16" t="str">
        <f ca="1">IFERROR(_xll.IMDP("STK",L$4,$F57,Sheet2!$J$6,"Per=일, Real=false, Cons="&amp;Sheet2!$D$2&amp;", Comp="&amp;Sheet2!$F$2&amp;"")/IF($F57&lt;&gt;"BPS(표준재무)",Sheet2!$L$2,1),"")</f>
        <v/>
      </c>
      <c r="M57" s="16" t="str">
        <f ca="1">IFERROR(_xll.IMDP("STK",M$4,$F57,Sheet2!$J$6,"Per=일, Real=false, Cons="&amp;Sheet2!$D$2&amp;", Comp="&amp;Sheet2!$F$2&amp;"")/IF($F57&lt;&gt;"BPS(표준재무)",Sheet2!$L$2,1),"")</f>
        <v/>
      </c>
      <c r="N57" s="16" t="str">
        <f ca="1">IFERROR(_xll.IMDP("STK",N$4,$F57,Sheet2!$J$6,"Per=일, Real=false, Cons="&amp;Sheet2!$D$2&amp;", Comp="&amp;Sheet2!$F$2&amp;"")/IF($F57&lt;&gt;"BPS(표준재무)",Sheet2!$L$2,1),"")</f>
        <v/>
      </c>
      <c r="O57" s="16" t="str">
        <f ca="1">IFERROR(_xll.IMDP("STK",O$4,$F57,Sheet2!$J$6,"Per=일, Real=false, Cons="&amp;Sheet2!$D$2&amp;", Comp="&amp;Sheet2!$F$2&amp;"")/IF($F57&lt;&gt;"BPS(표준재무)",Sheet2!$L$2,1),"")</f>
        <v/>
      </c>
      <c r="P57" s="16" t="str">
        <f ca="1">IFERROR(_xll.IMDP("STK",P$4,$F57,Sheet2!$J$6,"Per=일, Real=false, Cons="&amp;Sheet2!$D$2&amp;", Comp="&amp;Sheet2!$F$2&amp;"")/IF($F57&lt;&gt;"BPS(표준재무)",Sheet2!$L$2,1),"")</f>
        <v/>
      </c>
      <c r="Q57" s="17" t="str">
        <f ca="1">IFERROR(_xll.IMDP("STK",Q$4,$F57,Sheet2!$J$6,"Per=일, Real=false, Cons="&amp;Sheet2!$D$2&amp;", Comp="&amp;Sheet2!$F$2&amp;"")/IF($F57&lt;&gt;"BPS(표준재무)",Sheet2!$L$2,1),"")</f>
        <v/>
      </c>
    </row>
    <row r="58" spans="2:17" hidden="1" outlineLevel="2" x14ac:dyDescent="0.3">
      <c r="C58" t="s">
        <v>49</v>
      </c>
      <c r="F58" t="str">
        <f t="shared" si="1"/>
        <v>장기당기법인세부채미지급법인세(요약재무)</v>
      </c>
      <c r="H58" s="15" t="str">
        <f ca="1">IFERROR(_xll.IMDP("STK",H$4,$F58,Sheet2!$J$6,"Per=일, Real=false, Cons="&amp;Sheet2!$D$2&amp;", Comp="&amp;Sheet2!$F$2&amp;"")/IF($F58&lt;&gt;"BPS(표준재무)",Sheet2!$L$2,1),"")</f>
        <v/>
      </c>
      <c r="I58" s="16" t="str">
        <f ca="1">IFERROR(_xll.IMDP("STK",I$4,$F58,Sheet2!$J$6,"Per=일, Real=false, Cons="&amp;Sheet2!$D$2&amp;", Comp="&amp;Sheet2!$F$2&amp;"")/IF($F58&lt;&gt;"BPS(표준재무)",Sheet2!$L$2,1),"")</f>
        <v/>
      </c>
      <c r="J58" s="16" t="str">
        <f ca="1">IFERROR(_xll.IMDP("STK",J$4,$F58,Sheet2!$J$6,"Per=일, Real=false, Cons="&amp;Sheet2!$D$2&amp;", Comp="&amp;Sheet2!$F$2&amp;"")/IF($F58&lt;&gt;"BPS(표준재무)",Sheet2!$L$2,1),"")</f>
        <v/>
      </c>
      <c r="K58" s="16" t="str">
        <f ca="1">IFERROR(_xll.IMDP("STK",K$4,$F58,Sheet2!$J$6,"Per=일, Real=false, Cons="&amp;Sheet2!$D$2&amp;", Comp="&amp;Sheet2!$F$2&amp;"")/IF($F58&lt;&gt;"BPS(표준재무)",Sheet2!$L$2,1),"")</f>
        <v/>
      </c>
      <c r="L58" s="16" t="str">
        <f ca="1">IFERROR(_xll.IMDP("STK",L$4,$F58,Sheet2!$J$6,"Per=일, Real=false, Cons="&amp;Sheet2!$D$2&amp;", Comp="&amp;Sheet2!$F$2&amp;"")/IF($F58&lt;&gt;"BPS(표준재무)",Sheet2!$L$2,1),"")</f>
        <v/>
      </c>
      <c r="M58" s="16" t="str">
        <f ca="1">IFERROR(_xll.IMDP("STK",M$4,$F58,Sheet2!$J$6,"Per=일, Real=false, Cons="&amp;Sheet2!$D$2&amp;", Comp="&amp;Sheet2!$F$2&amp;"")/IF($F58&lt;&gt;"BPS(표준재무)",Sheet2!$L$2,1),"")</f>
        <v/>
      </c>
      <c r="N58" s="16" t="str">
        <f ca="1">IFERROR(_xll.IMDP("STK",N$4,$F58,Sheet2!$J$6,"Per=일, Real=false, Cons="&amp;Sheet2!$D$2&amp;", Comp="&amp;Sheet2!$F$2&amp;"")/IF($F58&lt;&gt;"BPS(표준재무)",Sheet2!$L$2,1),"")</f>
        <v/>
      </c>
      <c r="O58" s="16" t="str">
        <f ca="1">IFERROR(_xll.IMDP("STK",O$4,$F58,Sheet2!$J$6,"Per=일, Real=false, Cons="&amp;Sheet2!$D$2&amp;", Comp="&amp;Sheet2!$F$2&amp;"")/IF($F58&lt;&gt;"BPS(표준재무)",Sheet2!$L$2,1),"")</f>
        <v/>
      </c>
      <c r="P58" s="16" t="str">
        <f ca="1">IFERROR(_xll.IMDP("STK",P$4,$F58,Sheet2!$J$6,"Per=일, Real=false, Cons="&amp;Sheet2!$D$2&amp;", Comp="&amp;Sheet2!$F$2&amp;"")/IF($F58&lt;&gt;"BPS(표준재무)",Sheet2!$L$2,1),"")</f>
        <v/>
      </c>
      <c r="Q58" s="17" t="str">
        <f ca="1">IFERROR(_xll.IMDP("STK",Q$4,$F58,Sheet2!$J$6,"Per=일, Real=false, Cons="&amp;Sheet2!$D$2&amp;", Comp="&amp;Sheet2!$F$2&amp;"")/IF($F58&lt;&gt;"BPS(표준재무)",Sheet2!$L$2,1),"")</f>
        <v/>
      </c>
    </row>
    <row r="59" spans="2:17" hidden="1" outlineLevel="2" x14ac:dyDescent="0.3">
      <c r="C59" t="s">
        <v>50</v>
      </c>
      <c r="F59" t="str">
        <f t="shared" si="1"/>
        <v>기타비유동부채(요약재무)</v>
      </c>
      <c r="H59" s="15">
        <f ca="1">IFERROR(_xll.IMDP("STK",H$4,$F59,Sheet2!$J$6,"Per=일, Real=false, Cons="&amp;Sheet2!$D$2&amp;", Comp="&amp;Sheet2!$F$2&amp;"")/IF($F59&lt;&gt;"BPS(표준재무)",Sheet2!$L$2,1),"")</f>
        <v>53511</v>
      </c>
      <c r="I59" s="16" t="str">
        <f ca="1">IFERROR(_xll.IMDP("STK",I$4,$F59,Sheet2!$J$6,"Per=일, Real=false, Cons="&amp;Sheet2!$D$2&amp;", Comp="&amp;Sheet2!$F$2&amp;"")/IF($F59&lt;&gt;"BPS(표준재무)",Sheet2!$L$2,1),"")</f>
        <v/>
      </c>
      <c r="J59" s="16">
        <f ca="1">IFERROR(_xll.IMDP("STK",J$4,$F59,Sheet2!$J$6,"Per=일, Real=false, Cons="&amp;Sheet2!$D$2&amp;", Comp="&amp;Sheet2!$F$2&amp;"")/IF($F59&lt;&gt;"BPS(표준재무)",Sheet2!$L$2,1),"")</f>
        <v>1110265</v>
      </c>
      <c r="K59" s="16">
        <f ca="1">IFERROR(_xll.IMDP("STK",K$4,$F59,Sheet2!$J$6,"Per=일, Real=false, Cons="&amp;Sheet2!$D$2&amp;", Comp="&amp;Sheet2!$F$2&amp;"")/IF($F59&lt;&gt;"BPS(표준재무)",Sheet2!$L$2,1),"")</f>
        <v>123420.83199999999</v>
      </c>
      <c r="L59" s="16">
        <f ca="1">IFERROR(_xll.IMDP("STK",L$4,$F59,Sheet2!$J$6,"Per=일, Real=false, Cons="&amp;Sheet2!$D$2&amp;", Comp="&amp;Sheet2!$F$2&amp;"")/IF($F59&lt;&gt;"BPS(표준재무)",Sheet2!$L$2,1),"")</f>
        <v>2627.1</v>
      </c>
      <c r="M59" s="16" t="str">
        <f ca="1">IFERROR(_xll.IMDP("STK",M$4,$F59,Sheet2!$J$6,"Per=일, Real=false, Cons="&amp;Sheet2!$D$2&amp;", Comp="&amp;Sheet2!$F$2&amp;"")/IF($F59&lt;&gt;"BPS(표준재무)",Sheet2!$L$2,1),"")</f>
        <v/>
      </c>
      <c r="N59" s="16" t="str">
        <f ca="1">IFERROR(_xll.IMDP("STK",N$4,$F59,Sheet2!$J$6,"Per=일, Real=false, Cons="&amp;Sheet2!$D$2&amp;", Comp="&amp;Sheet2!$F$2&amp;"")/IF($F59&lt;&gt;"BPS(표준재무)",Sheet2!$L$2,1),"")</f>
        <v/>
      </c>
      <c r="O59" s="16" t="str">
        <f ca="1">IFERROR(_xll.IMDP("STK",O$4,$F59,Sheet2!$J$6,"Per=일, Real=false, Cons="&amp;Sheet2!$D$2&amp;", Comp="&amp;Sheet2!$F$2&amp;"")/IF($F59&lt;&gt;"BPS(표준재무)",Sheet2!$L$2,1),"")</f>
        <v/>
      </c>
      <c r="P59" s="16" t="str">
        <f ca="1">IFERROR(_xll.IMDP("STK",P$4,$F59,Sheet2!$J$6,"Per=일, Real=false, Cons="&amp;Sheet2!$D$2&amp;", Comp="&amp;Sheet2!$F$2&amp;"")/IF($F59&lt;&gt;"BPS(표준재무)",Sheet2!$L$2,1),"")</f>
        <v/>
      </c>
      <c r="Q59" s="17" t="str">
        <f ca="1">IFERROR(_xll.IMDP("STK",Q$4,$F59,Sheet2!$J$6,"Per=일, Real=false, Cons="&amp;Sheet2!$D$2&amp;", Comp="&amp;Sheet2!$F$2&amp;"")/IF($F59&lt;&gt;"BPS(표준재무)",Sheet2!$L$2,1),"")</f>
        <v/>
      </c>
    </row>
    <row r="60" spans="2:17" outlineLevel="1" collapsed="1" x14ac:dyDescent="0.3">
      <c r="B60" t="s">
        <v>51</v>
      </c>
      <c r="F60" t="str">
        <f t="shared" si="1"/>
        <v>기타금융업부채(비금융요약재무)</v>
      </c>
      <c r="H60" s="15" t="str">
        <f ca="1">IFERROR(_xll.IMDP("STK",H$4,$F60,Sheet2!$J$6,"Per=일, Real=false, Cons="&amp;Sheet2!$D$2&amp;", Comp="&amp;Sheet2!$F$2&amp;"")/IF($F60&lt;&gt;"BPS(표준재무)",Sheet2!$L$2,1),"")</f>
        <v/>
      </c>
      <c r="I60" s="16" t="str">
        <f ca="1">IFERROR(_xll.IMDP("STK",I$4,$F60,Sheet2!$J$6,"Per=일, Real=false, Cons="&amp;Sheet2!$D$2&amp;", Comp="&amp;Sheet2!$F$2&amp;"")/IF($F60&lt;&gt;"BPS(표준재무)",Sheet2!$L$2,1),"")</f>
        <v/>
      </c>
      <c r="J60" s="16" t="str">
        <f ca="1">IFERROR(_xll.IMDP("STK",J$4,$F60,Sheet2!$J$6,"Per=일, Real=false, Cons="&amp;Sheet2!$D$2&amp;", Comp="&amp;Sheet2!$F$2&amp;"")/IF($F60&lt;&gt;"BPS(표준재무)",Sheet2!$L$2,1),"")</f>
        <v/>
      </c>
      <c r="K60" s="16" t="str">
        <f ca="1">IFERROR(_xll.IMDP("STK",K$4,$F60,Sheet2!$J$6,"Per=일, Real=false, Cons="&amp;Sheet2!$D$2&amp;", Comp="&amp;Sheet2!$F$2&amp;"")/IF($F60&lt;&gt;"BPS(표준재무)",Sheet2!$L$2,1),"")</f>
        <v/>
      </c>
      <c r="L60" s="16" t="str">
        <f ca="1">IFERROR(_xll.IMDP("STK",L$4,$F60,Sheet2!$J$6,"Per=일, Real=false, Cons="&amp;Sheet2!$D$2&amp;", Comp="&amp;Sheet2!$F$2&amp;"")/IF($F60&lt;&gt;"BPS(표준재무)",Sheet2!$L$2,1),"")</f>
        <v/>
      </c>
      <c r="M60" s="16" t="str">
        <f ca="1">IFERROR(_xll.IMDP("STK",M$4,$F60,Sheet2!$J$6,"Per=일, Real=false, Cons="&amp;Sheet2!$D$2&amp;", Comp="&amp;Sheet2!$F$2&amp;"")/IF($F60&lt;&gt;"BPS(표준재무)",Sheet2!$L$2,1),"")</f>
        <v/>
      </c>
      <c r="N60" s="16" t="str">
        <f ca="1">IFERROR(_xll.IMDP("STK",N$4,$F60,Sheet2!$J$6,"Per=일, Real=false, Cons="&amp;Sheet2!$D$2&amp;", Comp="&amp;Sheet2!$F$2&amp;"")/IF($F60&lt;&gt;"BPS(표준재무)",Sheet2!$L$2,1),"")</f>
        <v/>
      </c>
      <c r="O60" s="16" t="str">
        <f ca="1">IFERROR(_xll.IMDP("STK",O$4,$F60,Sheet2!$J$6,"Per=일, Real=false, Cons="&amp;Sheet2!$D$2&amp;", Comp="&amp;Sheet2!$F$2&amp;"")/IF($F60&lt;&gt;"BPS(표준재무)",Sheet2!$L$2,1),"")</f>
        <v/>
      </c>
      <c r="P60" s="16" t="str">
        <f ca="1">IFERROR(_xll.IMDP("STK",P$4,$F60,Sheet2!$J$6,"Per=일, Real=false, Cons="&amp;Sheet2!$D$2&amp;", Comp="&amp;Sheet2!$F$2&amp;"")/IF($F60&lt;&gt;"BPS(표준재무)",Sheet2!$L$2,1),"")</f>
        <v/>
      </c>
      <c r="Q60" s="17" t="str">
        <f ca="1">IFERROR(_xll.IMDP("STK",Q$4,$F60,Sheet2!$J$6,"Per=일, Real=false, Cons="&amp;Sheet2!$D$2&amp;", Comp="&amp;Sheet2!$F$2&amp;"")/IF($F60&lt;&gt;"BPS(표준재무)",Sheet2!$L$2,1),"")</f>
        <v/>
      </c>
    </row>
    <row r="61" spans="2:17" outlineLevel="1" x14ac:dyDescent="0.3">
      <c r="B61" t="s">
        <v>52</v>
      </c>
      <c r="F61" t="str">
        <f t="shared" si="1"/>
        <v>유동부채(요약재무)</v>
      </c>
      <c r="H61" s="15">
        <f ca="1">IFERROR(_xll.IMDP("STK",H$4,$F61,Sheet2!$J$6,"Per=일, Real=false, Cons="&amp;Sheet2!$D$2&amp;", Comp="&amp;Sheet2!$F$2&amp;"")/IF($F61&lt;&gt;"BPS(표준재무)",Sheet2!$L$2,1),"")</f>
        <v>38302556</v>
      </c>
      <c r="I61" s="16">
        <f ca="1">IFERROR(_xll.IMDP("STK",I$4,$F61,Sheet2!$J$6,"Per=일, Real=false, Cons="&amp;Sheet2!$D$2&amp;", Comp="&amp;Sheet2!$F$2&amp;"")/IF($F61&lt;&gt;"BPS(표준재무)",Sheet2!$L$2,1),"")</f>
        <v>14100240</v>
      </c>
      <c r="J61" s="16">
        <f ca="1">IFERROR(_xll.IMDP("STK",J$4,$F61,Sheet2!$J$6,"Per=일, Real=false, Cons="&amp;Sheet2!$D$2&amp;", Comp="&amp;Sheet2!$F$2&amp;"")/IF($F61&lt;&gt;"BPS(표준재무)",Sheet2!$L$2,1),"")</f>
        <v>20711825</v>
      </c>
      <c r="K61" s="16">
        <f ca="1">IFERROR(_xll.IMDP("STK",K$4,$F61,Sheet2!$J$6,"Per=일, Real=false, Cons="&amp;Sheet2!$D$2&amp;", Comp="&amp;Sheet2!$F$2&amp;"")/IF($F61&lt;&gt;"BPS(표준재무)",Sheet2!$L$2,1),"")</f>
        <v>1385444.969</v>
      </c>
      <c r="L61" s="16">
        <f ca="1">IFERROR(_xll.IMDP("STK",L$4,$F61,Sheet2!$J$6,"Per=일, Real=false, Cons="&amp;Sheet2!$D$2&amp;", Comp="&amp;Sheet2!$F$2&amp;"")/IF($F61&lt;&gt;"BPS(표준재무)",Sheet2!$L$2,1),"")</f>
        <v>1635414.466</v>
      </c>
      <c r="M61" s="16" t="str">
        <f ca="1">IFERROR(_xll.IMDP("STK",M$4,$F61,Sheet2!$J$6,"Per=일, Real=false, Cons="&amp;Sheet2!$D$2&amp;", Comp="&amp;Sheet2!$F$2&amp;"")/IF($F61&lt;&gt;"BPS(표준재무)",Sheet2!$L$2,1),"")</f>
        <v/>
      </c>
      <c r="N61" s="16" t="str">
        <f ca="1">IFERROR(_xll.IMDP("STK",N$4,$F61,Sheet2!$J$6,"Per=일, Real=false, Cons="&amp;Sheet2!$D$2&amp;", Comp="&amp;Sheet2!$F$2&amp;"")/IF($F61&lt;&gt;"BPS(표준재무)",Sheet2!$L$2,1),"")</f>
        <v/>
      </c>
      <c r="O61" s="16" t="str">
        <f ca="1">IFERROR(_xll.IMDP("STK",O$4,$F61,Sheet2!$J$6,"Per=일, Real=false, Cons="&amp;Sheet2!$D$2&amp;", Comp="&amp;Sheet2!$F$2&amp;"")/IF($F61&lt;&gt;"BPS(표준재무)",Sheet2!$L$2,1),"")</f>
        <v/>
      </c>
      <c r="P61" s="16" t="str">
        <f ca="1">IFERROR(_xll.IMDP("STK",P$4,$F61,Sheet2!$J$6,"Per=일, Real=false, Cons="&amp;Sheet2!$D$2&amp;", Comp="&amp;Sheet2!$F$2&amp;"")/IF($F61&lt;&gt;"BPS(표준재무)",Sheet2!$L$2,1),"")</f>
        <v/>
      </c>
      <c r="Q61" s="17" t="str">
        <f ca="1">IFERROR(_xll.IMDP("STK",Q$4,$F61,Sheet2!$J$6,"Per=일, Real=false, Cons="&amp;Sheet2!$D$2&amp;", Comp="&amp;Sheet2!$F$2&amp;"")/IF($F61&lt;&gt;"BPS(표준재무)",Sheet2!$L$2,1),"")</f>
        <v/>
      </c>
    </row>
    <row r="62" spans="2:17" hidden="1" outlineLevel="2" x14ac:dyDescent="0.3">
      <c r="C62" t="s">
        <v>53</v>
      </c>
      <c r="F62" t="str">
        <f t="shared" si="1"/>
        <v>단기사채(요약재무)</v>
      </c>
      <c r="H62" s="15" t="str">
        <f ca="1">IFERROR(_xll.IMDP("STK",H$4,$F62,Sheet2!$J$6,"Per=일, Real=false, Cons="&amp;Sheet2!$D$2&amp;", Comp="&amp;Sheet2!$F$2&amp;"")/IF($F62&lt;&gt;"BPS(표준재무)",Sheet2!$L$2,1),"")</f>
        <v/>
      </c>
      <c r="I62" s="16">
        <f ca="1">IFERROR(_xll.IMDP("STK",I$4,$F62,Sheet2!$J$6,"Per=일, Real=false, Cons="&amp;Sheet2!$D$2&amp;", Comp="&amp;Sheet2!$F$2&amp;"")/IF($F62&lt;&gt;"BPS(표준재무)",Sheet2!$L$2,1),"")</f>
        <v>1700000</v>
      </c>
      <c r="J62" s="16" t="str">
        <f ca="1">IFERROR(_xll.IMDP("STK",J$4,$F62,Sheet2!$J$6,"Per=일, Real=false, Cons="&amp;Sheet2!$D$2&amp;", Comp="&amp;Sheet2!$F$2&amp;"")/IF($F62&lt;&gt;"BPS(표준재무)",Sheet2!$L$2,1),"")</f>
        <v/>
      </c>
      <c r="K62" s="16" t="str">
        <f ca="1">IFERROR(_xll.IMDP("STK",K$4,$F62,Sheet2!$J$6,"Per=일, Real=false, Cons="&amp;Sheet2!$D$2&amp;", Comp="&amp;Sheet2!$F$2&amp;"")/IF($F62&lt;&gt;"BPS(표준재무)",Sheet2!$L$2,1),"")</f>
        <v/>
      </c>
      <c r="L62" s="16" t="str">
        <f ca="1">IFERROR(_xll.IMDP("STK",L$4,$F62,Sheet2!$J$6,"Per=일, Real=false, Cons="&amp;Sheet2!$D$2&amp;", Comp="&amp;Sheet2!$F$2&amp;"")/IF($F62&lt;&gt;"BPS(표준재무)",Sheet2!$L$2,1),"")</f>
        <v/>
      </c>
      <c r="M62" s="16" t="str">
        <f ca="1">IFERROR(_xll.IMDP("STK",M$4,$F62,Sheet2!$J$6,"Per=일, Real=false, Cons="&amp;Sheet2!$D$2&amp;", Comp="&amp;Sheet2!$F$2&amp;"")/IF($F62&lt;&gt;"BPS(표준재무)",Sheet2!$L$2,1),"")</f>
        <v/>
      </c>
      <c r="N62" s="16" t="str">
        <f ca="1">IFERROR(_xll.IMDP("STK",N$4,$F62,Sheet2!$J$6,"Per=일, Real=false, Cons="&amp;Sheet2!$D$2&amp;", Comp="&amp;Sheet2!$F$2&amp;"")/IF($F62&lt;&gt;"BPS(표준재무)",Sheet2!$L$2,1),"")</f>
        <v/>
      </c>
      <c r="O62" s="16" t="str">
        <f ca="1">IFERROR(_xll.IMDP("STK",O$4,$F62,Sheet2!$J$6,"Per=일, Real=false, Cons="&amp;Sheet2!$D$2&amp;", Comp="&amp;Sheet2!$F$2&amp;"")/IF($F62&lt;&gt;"BPS(표준재무)",Sheet2!$L$2,1),"")</f>
        <v/>
      </c>
      <c r="P62" s="16" t="str">
        <f ca="1">IFERROR(_xll.IMDP("STK",P$4,$F62,Sheet2!$J$6,"Per=일, Real=false, Cons="&amp;Sheet2!$D$2&amp;", Comp="&amp;Sheet2!$F$2&amp;"")/IF($F62&lt;&gt;"BPS(표준재무)",Sheet2!$L$2,1),"")</f>
        <v/>
      </c>
      <c r="Q62" s="17" t="str">
        <f ca="1">IFERROR(_xll.IMDP("STK",Q$4,$F62,Sheet2!$J$6,"Per=일, Real=false, Cons="&amp;Sheet2!$D$2&amp;", Comp="&amp;Sheet2!$F$2&amp;"")/IF($F62&lt;&gt;"BPS(표준재무)",Sheet2!$L$2,1),"")</f>
        <v/>
      </c>
    </row>
    <row r="63" spans="2:17" hidden="1" outlineLevel="2" x14ac:dyDescent="0.3">
      <c r="C63" t="s">
        <v>54</v>
      </c>
      <c r="F63" t="str">
        <f t="shared" si="1"/>
        <v>단기차입금(요약재무)</v>
      </c>
      <c r="H63" s="15">
        <f ca="1">IFERROR(_xll.IMDP("STK",H$4,$F63,Sheet2!$J$6,"Per=일, Real=false, Cons="&amp;Sheet2!$D$2&amp;", Comp="&amp;Sheet2!$F$2&amp;"")/IF($F63&lt;&gt;"BPS(표준재무)",Sheet2!$L$2,1),"")</f>
        <v>2668838</v>
      </c>
      <c r="I63" s="16">
        <f ca="1">IFERROR(_xll.IMDP("STK",I$4,$F63,Sheet2!$J$6,"Per=일, Real=false, Cons="&amp;Sheet2!$D$2&amp;", Comp="&amp;Sheet2!$F$2&amp;"")/IF($F63&lt;&gt;"BPS(표준재무)",Sheet2!$L$2,1),"")</f>
        <v>2049896</v>
      </c>
      <c r="J63" s="16">
        <f ca="1">IFERROR(_xll.IMDP("STK",J$4,$F63,Sheet2!$J$6,"Per=일, Real=false, Cons="&amp;Sheet2!$D$2&amp;", Comp="&amp;Sheet2!$F$2&amp;"")/IF($F63&lt;&gt;"BPS(표준재무)",Sheet2!$L$2,1),"")</f>
        <v>1893450</v>
      </c>
      <c r="K63" s="16">
        <f ca="1">IFERROR(_xll.IMDP("STK",K$4,$F63,Sheet2!$J$6,"Per=일, Real=false, Cons="&amp;Sheet2!$D$2&amp;", Comp="&amp;Sheet2!$F$2&amp;"")/IF($F63&lt;&gt;"BPS(표준재무)",Sheet2!$L$2,1),"")</f>
        <v>443377.70400000003</v>
      </c>
      <c r="L63" s="16" t="str">
        <f ca="1">IFERROR(_xll.IMDP("STK",L$4,$F63,Sheet2!$J$6,"Per=일, Real=false, Cons="&amp;Sheet2!$D$2&amp;", Comp="&amp;Sheet2!$F$2&amp;"")/IF($F63&lt;&gt;"BPS(표준재무)",Sheet2!$L$2,1),"")</f>
        <v/>
      </c>
      <c r="M63" s="16" t="str">
        <f ca="1">IFERROR(_xll.IMDP("STK",M$4,$F63,Sheet2!$J$6,"Per=일, Real=false, Cons="&amp;Sheet2!$D$2&amp;", Comp="&amp;Sheet2!$F$2&amp;"")/IF($F63&lt;&gt;"BPS(표준재무)",Sheet2!$L$2,1),"")</f>
        <v/>
      </c>
      <c r="N63" s="16" t="str">
        <f ca="1">IFERROR(_xll.IMDP("STK",N$4,$F63,Sheet2!$J$6,"Per=일, Real=false, Cons="&amp;Sheet2!$D$2&amp;", Comp="&amp;Sheet2!$F$2&amp;"")/IF($F63&lt;&gt;"BPS(표준재무)",Sheet2!$L$2,1),"")</f>
        <v/>
      </c>
      <c r="O63" s="16" t="str">
        <f ca="1">IFERROR(_xll.IMDP("STK",O$4,$F63,Sheet2!$J$6,"Per=일, Real=false, Cons="&amp;Sheet2!$D$2&amp;", Comp="&amp;Sheet2!$F$2&amp;"")/IF($F63&lt;&gt;"BPS(표준재무)",Sheet2!$L$2,1),"")</f>
        <v/>
      </c>
      <c r="P63" s="16" t="str">
        <f ca="1">IFERROR(_xll.IMDP("STK",P$4,$F63,Sheet2!$J$6,"Per=일, Real=false, Cons="&amp;Sheet2!$D$2&amp;", Comp="&amp;Sheet2!$F$2&amp;"")/IF($F63&lt;&gt;"BPS(표준재무)",Sheet2!$L$2,1),"")</f>
        <v/>
      </c>
      <c r="Q63" s="17" t="str">
        <f ca="1">IFERROR(_xll.IMDP("STK",Q$4,$F63,Sheet2!$J$6,"Per=일, Real=false, Cons="&amp;Sheet2!$D$2&amp;", Comp="&amp;Sheet2!$F$2&amp;"")/IF($F63&lt;&gt;"BPS(표준재무)",Sheet2!$L$2,1),"")</f>
        <v/>
      </c>
    </row>
    <row r="64" spans="2:17" hidden="1" outlineLevel="2" x14ac:dyDescent="0.3">
      <c r="C64" t="s">
        <v>55</v>
      </c>
      <c r="F64" t="str">
        <f t="shared" si="1"/>
        <v>외화단기차입금(요약재무)</v>
      </c>
      <c r="H64" s="15" t="str">
        <f ca="1">IFERROR(_xll.IMDP("STK",H$4,$F64,Sheet2!$J$6,"Per=일, Real=false, Cons="&amp;Sheet2!$D$2&amp;", Comp="&amp;Sheet2!$F$2&amp;"")/IF($F64&lt;&gt;"BPS(표준재무)",Sheet2!$L$2,1),"")</f>
        <v/>
      </c>
      <c r="I64" s="16" t="str">
        <f ca="1">IFERROR(_xll.IMDP("STK",I$4,$F64,Sheet2!$J$6,"Per=일, Real=false, Cons="&amp;Sheet2!$D$2&amp;", Comp="&amp;Sheet2!$F$2&amp;"")/IF($F64&lt;&gt;"BPS(표준재무)",Sheet2!$L$2,1),"")</f>
        <v/>
      </c>
      <c r="J64" s="16">
        <f ca="1">IFERROR(_xll.IMDP("STK",J$4,$F64,Sheet2!$J$6,"Per=일, Real=false, Cons="&amp;Sheet2!$D$2&amp;", Comp="&amp;Sheet2!$F$2&amp;"")/IF($F64&lt;&gt;"BPS(표준재무)",Sheet2!$L$2,1),"")</f>
        <v>19850</v>
      </c>
      <c r="K64" s="16" t="str">
        <f ca="1">IFERROR(_xll.IMDP("STK",K$4,$F64,Sheet2!$J$6,"Per=일, Real=false, Cons="&amp;Sheet2!$D$2&amp;", Comp="&amp;Sheet2!$F$2&amp;"")/IF($F64&lt;&gt;"BPS(표준재무)",Sheet2!$L$2,1),"")</f>
        <v/>
      </c>
      <c r="L64" s="16" t="str">
        <f ca="1">IFERROR(_xll.IMDP("STK",L$4,$F64,Sheet2!$J$6,"Per=일, Real=false, Cons="&amp;Sheet2!$D$2&amp;", Comp="&amp;Sheet2!$F$2&amp;"")/IF($F64&lt;&gt;"BPS(표준재무)",Sheet2!$L$2,1),"")</f>
        <v/>
      </c>
      <c r="M64" s="16" t="str">
        <f ca="1">IFERROR(_xll.IMDP("STK",M$4,$F64,Sheet2!$J$6,"Per=일, Real=false, Cons="&amp;Sheet2!$D$2&amp;", Comp="&amp;Sheet2!$F$2&amp;"")/IF($F64&lt;&gt;"BPS(표준재무)",Sheet2!$L$2,1),"")</f>
        <v/>
      </c>
      <c r="N64" s="16" t="str">
        <f ca="1">IFERROR(_xll.IMDP("STK",N$4,$F64,Sheet2!$J$6,"Per=일, Real=false, Cons="&amp;Sheet2!$D$2&amp;", Comp="&amp;Sheet2!$F$2&amp;"")/IF($F64&lt;&gt;"BPS(표준재무)",Sheet2!$L$2,1),"")</f>
        <v/>
      </c>
      <c r="O64" s="16" t="str">
        <f ca="1">IFERROR(_xll.IMDP("STK",O$4,$F64,Sheet2!$J$6,"Per=일, Real=false, Cons="&amp;Sheet2!$D$2&amp;", Comp="&amp;Sheet2!$F$2&amp;"")/IF($F64&lt;&gt;"BPS(표준재무)",Sheet2!$L$2,1),"")</f>
        <v/>
      </c>
      <c r="P64" s="16" t="str">
        <f ca="1">IFERROR(_xll.IMDP("STK",P$4,$F64,Sheet2!$J$6,"Per=일, Real=false, Cons="&amp;Sheet2!$D$2&amp;", Comp="&amp;Sheet2!$F$2&amp;"")/IF($F64&lt;&gt;"BPS(표준재무)",Sheet2!$L$2,1),"")</f>
        <v/>
      </c>
      <c r="Q64" s="17" t="str">
        <f ca="1">IFERROR(_xll.IMDP("STK",Q$4,$F64,Sheet2!$J$6,"Per=일, Real=false, Cons="&amp;Sheet2!$D$2&amp;", Comp="&amp;Sheet2!$F$2&amp;"")/IF($F64&lt;&gt;"BPS(표준재무)",Sheet2!$L$2,1),"")</f>
        <v/>
      </c>
    </row>
    <row r="65" spans="3:17" hidden="1" outlineLevel="2" x14ac:dyDescent="0.3">
      <c r="C65" t="s">
        <v>56</v>
      </c>
      <c r="F65" t="str">
        <f t="shared" si="1"/>
        <v>특수관계자단기차입금(요약재무)</v>
      </c>
      <c r="H65" s="15" t="str">
        <f ca="1">IFERROR(_xll.IMDP("STK",H$4,$F65,Sheet2!$J$6,"Per=일, Real=false, Cons="&amp;Sheet2!$D$2&amp;", Comp="&amp;Sheet2!$F$2&amp;"")/IF($F65&lt;&gt;"BPS(표준재무)",Sheet2!$L$2,1),"")</f>
        <v/>
      </c>
      <c r="I65" s="16" t="str">
        <f ca="1">IFERROR(_xll.IMDP("STK",I$4,$F65,Sheet2!$J$6,"Per=일, Real=false, Cons="&amp;Sheet2!$D$2&amp;", Comp="&amp;Sheet2!$F$2&amp;"")/IF($F65&lt;&gt;"BPS(표준재무)",Sheet2!$L$2,1),"")</f>
        <v/>
      </c>
      <c r="J65" s="16" t="str">
        <f ca="1">IFERROR(_xll.IMDP("STK",J$4,$F65,Sheet2!$J$6,"Per=일, Real=false, Cons="&amp;Sheet2!$D$2&amp;", Comp="&amp;Sheet2!$F$2&amp;"")/IF($F65&lt;&gt;"BPS(표준재무)",Sheet2!$L$2,1),"")</f>
        <v/>
      </c>
      <c r="K65" s="16" t="str">
        <f ca="1">IFERROR(_xll.IMDP("STK",K$4,$F65,Sheet2!$J$6,"Per=일, Real=false, Cons="&amp;Sheet2!$D$2&amp;", Comp="&amp;Sheet2!$F$2&amp;"")/IF($F65&lt;&gt;"BPS(표준재무)",Sheet2!$L$2,1),"")</f>
        <v/>
      </c>
      <c r="L65" s="16" t="str">
        <f ca="1">IFERROR(_xll.IMDP("STK",L$4,$F65,Sheet2!$J$6,"Per=일, Real=false, Cons="&amp;Sheet2!$D$2&amp;", Comp="&amp;Sheet2!$F$2&amp;"")/IF($F65&lt;&gt;"BPS(표준재무)",Sheet2!$L$2,1),"")</f>
        <v/>
      </c>
      <c r="M65" s="16" t="str">
        <f ca="1">IFERROR(_xll.IMDP("STK",M$4,$F65,Sheet2!$J$6,"Per=일, Real=false, Cons="&amp;Sheet2!$D$2&amp;", Comp="&amp;Sheet2!$F$2&amp;"")/IF($F65&lt;&gt;"BPS(표준재무)",Sheet2!$L$2,1),"")</f>
        <v/>
      </c>
      <c r="N65" s="16" t="str">
        <f ca="1">IFERROR(_xll.IMDP("STK",N$4,$F65,Sheet2!$J$6,"Per=일, Real=false, Cons="&amp;Sheet2!$D$2&amp;", Comp="&amp;Sheet2!$F$2&amp;"")/IF($F65&lt;&gt;"BPS(표준재무)",Sheet2!$L$2,1),"")</f>
        <v/>
      </c>
      <c r="O65" s="16" t="str">
        <f ca="1">IFERROR(_xll.IMDP("STK",O$4,$F65,Sheet2!$J$6,"Per=일, Real=false, Cons="&amp;Sheet2!$D$2&amp;", Comp="&amp;Sheet2!$F$2&amp;"")/IF($F65&lt;&gt;"BPS(표준재무)",Sheet2!$L$2,1),"")</f>
        <v/>
      </c>
      <c r="P65" s="16" t="str">
        <f ca="1">IFERROR(_xll.IMDP("STK",P$4,$F65,Sheet2!$J$6,"Per=일, Real=false, Cons="&amp;Sheet2!$D$2&amp;", Comp="&amp;Sheet2!$F$2&amp;"")/IF($F65&lt;&gt;"BPS(표준재무)",Sheet2!$L$2,1),"")</f>
        <v/>
      </c>
      <c r="Q65" s="17" t="str">
        <f ca="1">IFERROR(_xll.IMDP("STK",Q$4,$F65,Sheet2!$J$6,"Per=일, Real=false, Cons="&amp;Sheet2!$D$2&amp;", Comp="&amp;Sheet2!$F$2&amp;"")/IF($F65&lt;&gt;"BPS(표준재무)",Sheet2!$L$2,1),"")</f>
        <v/>
      </c>
    </row>
    <row r="66" spans="3:17" hidden="1" outlineLevel="2" x14ac:dyDescent="0.3">
      <c r="C66" t="s">
        <v>57</v>
      </c>
      <c r="F66" t="str">
        <f t="shared" si="1"/>
        <v>주임종단기차입금(요약재무)</v>
      </c>
      <c r="H66" s="15" t="str">
        <f ca="1">IFERROR(_xll.IMDP("STK",H$4,$F66,Sheet2!$J$6,"Per=일, Real=false, Cons="&amp;Sheet2!$D$2&amp;", Comp="&amp;Sheet2!$F$2&amp;"")/IF($F66&lt;&gt;"BPS(표준재무)",Sheet2!$L$2,1),"")</f>
        <v/>
      </c>
      <c r="I66" s="16" t="str">
        <f ca="1">IFERROR(_xll.IMDP("STK",I$4,$F66,Sheet2!$J$6,"Per=일, Real=false, Cons="&amp;Sheet2!$D$2&amp;", Comp="&amp;Sheet2!$F$2&amp;"")/IF($F66&lt;&gt;"BPS(표준재무)",Sheet2!$L$2,1),"")</f>
        <v/>
      </c>
      <c r="J66" s="16" t="str">
        <f ca="1">IFERROR(_xll.IMDP("STK",J$4,$F66,Sheet2!$J$6,"Per=일, Real=false, Cons="&amp;Sheet2!$D$2&amp;", Comp="&amp;Sheet2!$F$2&amp;"")/IF($F66&lt;&gt;"BPS(표준재무)",Sheet2!$L$2,1),"")</f>
        <v/>
      </c>
      <c r="K66" s="16" t="str">
        <f ca="1">IFERROR(_xll.IMDP("STK",K$4,$F66,Sheet2!$J$6,"Per=일, Real=false, Cons="&amp;Sheet2!$D$2&amp;", Comp="&amp;Sheet2!$F$2&amp;"")/IF($F66&lt;&gt;"BPS(표준재무)",Sheet2!$L$2,1),"")</f>
        <v/>
      </c>
      <c r="L66" s="16" t="str">
        <f ca="1">IFERROR(_xll.IMDP("STK",L$4,$F66,Sheet2!$J$6,"Per=일, Real=false, Cons="&amp;Sheet2!$D$2&amp;", Comp="&amp;Sheet2!$F$2&amp;"")/IF($F66&lt;&gt;"BPS(표준재무)",Sheet2!$L$2,1),"")</f>
        <v/>
      </c>
      <c r="M66" s="16" t="str">
        <f ca="1">IFERROR(_xll.IMDP("STK",M$4,$F66,Sheet2!$J$6,"Per=일, Real=false, Cons="&amp;Sheet2!$D$2&amp;", Comp="&amp;Sheet2!$F$2&amp;"")/IF($F66&lt;&gt;"BPS(표준재무)",Sheet2!$L$2,1),"")</f>
        <v/>
      </c>
      <c r="N66" s="16" t="str">
        <f ca="1">IFERROR(_xll.IMDP("STK",N$4,$F66,Sheet2!$J$6,"Per=일, Real=false, Cons="&amp;Sheet2!$D$2&amp;", Comp="&amp;Sheet2!$F$2&amp;"")/IF($F66&lt;&gt;"BPS(표준재무)",Sheet2!$L$2,1),"")</f>
        <v/>
      </c>
      <c r="O66" s="16" t="str">
        <f ca="1">IFERROR(_xll.IMDP("STK",O$4,$F66,Sheet2!$J$6,"Per=일, Real=false, Cons="&amp;Sheet2!$D$2&amp;", Comp="&amp;Sheet2!$F$2&amp;"")/IF($F66&lt;&gt;"BPS(표준재무)",Sheet2!$L$2,1),"")</f>
        <v/>
      </c>
      <c r="P66" s="16" t="str">
        <f ca="1">IFERROR(_xll.IMDP("STK",P$4,$F66,Sheet2!$J$6,"Per=일, Real=false, Cons="&amp;Sheet2!$D$2&amp;", Comp="&amp;Sheet2!$F$2&amp;"")/IF($F66&lt;&gt;"BPS(표준재무)",Sheet2!$L$2,1),"")</f>
        <v/>
      </c>
      <c r="Q66" s="17" t="str">
        <f ca="1">IFERROR(_xll.IMDP("STK",Q$4,$F66,Sheet2!$J$6,"Per=일, Real=false, Cons="&amp;Sheet2!$D$2&amp;", Comp="&amp;Sheet2!$F$2&amp;"")/IF($F66&lt;&gt;"BPS(표준재무)",Sheet2!$L$2,1),"")</f>
        <v/>
      </c>
    </row>
    <row r="67" spans="3:17" hidden="1" outlineLevel="2" x14ac:dyDescent="0.3">
      <c r="C67" t="s">
        <v>58</v>
      </c>
      <c r="F67" t="str">
        <f t="shared" si="1"/>
        <v>유동성장기부채(요약재무)</v>
      </c>
      <c r="H67" s="15">
        <f ca="1">IFERROR(_xll.IMDP("STK",H$4,$F67,Sheet2!$J$6,"Per=일, Real=false, Cons="&amp;Sheet2!$D$2&amp;", Comp="&amp;Sheet2!$F$2&amp;"")/IF($F67&lt;&gt;"BPS(표준재무)",Sheet2!$L$2,1),"")</f>
        <v>201192</v>
      </c>
      <c r="I67" s="16">
        <f ca="1">IFERROR(_xll.IMDP("STK",I$4,$F67,Sheet2!$J$6,"Per=일, Real=false, Cons="&amp;Sheet2!$D$2&amp;", Comp="&amp;Sheet2!$F$2&amp;"")/IF($F67&lt;&gt;"BPS(표준재무)",Sheet2!$L$2,1),"")</f>
        <v>2722805</v>
      </c>
      <c r="J67" s="16">
        <f ca="1">IFERROR(_xll.IMDP("STK",J$4,$F67,Sheet2!$J$6,"Per=일, Real=false, Cons="&amp;Sheet2!$D$2&amp;", Comp="&amp;Sheet2!$F$2&amp;"")/IF($F67&lt;&gt;"BPS(표준재무)",Sheet2!$L$2,1),"")</f>
        <v>856541</v>
      </c>
      <c r="K67" s="16">
        <f ca="1">IFERROR(_xll.IMDP("STK",K$4,$F67,Sheet2!$J$6,"Per=일, Real=false, Cons="&amp;Sheet2!$D$2&amp;", Comp="&amp;Sheet2!$F$2&amp;"")/IF($F67&lt;&gt;"BPS(표준재무)",Sheet2!$L$2,1),"")</f>
        <v>74180.429000000004</v>
      </c>
      <c r="L67" s="16">
        <f ca="1">IFERROR(_xll.IMDP("STK",L$4,$F67,Sheet2!$J$6,"Per=일, Real=false, Cons="&amp;Sheet2!$D$2&amp;", Comp="&amp;Sheet2!$F$2&amp;"")/IF($F67&lt;&gt;"BPS(표준재무)",Sheet2!$L$2,1),"")</f>
        <v>429488.049</v>
      </c>
      <c r="M67" s="16" t="str">
        <f ca="1">IFERROR(_xll.IMDP("STK",M$4,$F67,Sheet2!$J$6,"Per=일, Real=false, Cons="&amp;Sheet2!$D$2&amp;", Comp="&amp;Sheet2!$F$2&amp;"")/IF($F67&lt;&gt;"BPS(표준재무)",Sheet2!$L$2,1),"")</f>
        <v/>
      </c>
      <c r="N67" s="16" t="str">
        <f ca="1">IFERROR(_xll.IMDP("STK",N$4,$F67,Sheet2!$J$6,"Per=일, Real=false, Cons="&amp;Sheet2!$D$2&amp;", Comp="&amp;Sheet2!$F$2&amp;"")/IF($F67&lt;&gt;"BPS(표준재무)",Sheet2!$L$2,1),"")</f>
        <v/>
      </c>
      <c r="O67" s="16" t="str">
        <f ca="1">IFERROR(_xll.IMDP("STK",O$4,$F67,Sheet2!$J$6,"Per=일, Real=false, Cons="&amp;Sheet2!$D$2&amp;", Comp="&amp;Sheet2!$F$2&amp;"")/IF($F67&lt;&gt;"BPS(표준재무)",Sheet2!$L$2,1),"")</f>
        <v/>
      </c>
      <c r="P67" s="16" t="str">
        <f ca="1">IFERROR(_xll.IMDP("STK",P$4,$F67,Sheet2!$J$6,"Per=일, Real=false, Cons="&amp;Sheet2!$D$2&amp;", Comp="&amp;Sheet2!$F$2&amp;"")/IF($F67&lt;&gt;"BPS(표준재무)",Sheet2!$L$2,1),"")</f>
        <v/>
      </c>
      <c r="Q67" s="17" t="str">
        <f ca="1">IFERROR(_xll.IMDP("STK",Q$4,$F67,Sheet2!$J$6,"Per=일, Real=false, Cons="&amp;Sheet2!$D$2&amp;", Comp="&amp;Sheet2!$F$2&amp;"")/IF($F67&lt;&gt;"BPS(표준재무)",Sheet2!$L$2,1),"")</f>
        <v/>
      </c>
    </row>
    <row r="68" spans="3:17" hidden="1" outlineLevel="2" x14ac:dyDescent="0.3">
      <c r="C68" t="s">
        <v>59</v>
      </c>
      <c r="F68" t="str">
        <f t="shared" si="1"/>
        <v>유동금융부채(요약재무)</v>
      </c>
      <c r="H68" s="15" t="str">
        <f ca="1">IFERROR(_xll.IMDP("STK",H$4,$F68,Sheet2!$J$6,"Per=일, Real=false, Cons="&amp;Sheet2!$D$2&amp;", Comp="&amp;Sheet2!$F$2&amp;"")/IF($F68&lt;&gt;"BPS(표준재무)",Sheet2!$L$2,1),"")</f>
        <v/>
      </c>
      <c r="I68" s="16">
        <f ca="1">IFERROR(_xll.IMDP("STK",I$4,$F68,Sheet2!$J$6,"Per=일, Real=false, Cons="&amp;Sheet2!$D$2&amp;", Comp="&amp;Sheet2!$F$2&amp;"")/IF($F68&lt;&gt;"BPS(표준재무)",Sheet2!$L$2,1),"")</f>
        <v>845505</v>
      </c>
      <c r="J68" s="16">
        <f ca="1">IFERROR(_xll.IMDP("STK",J$4,$F68,Sheet2!$J$6,"Per=일, Real=false, Cons="&amp;Sheet2!$D$2&amp;", Comp="&amp;Sheet2!$F$2&amp;"")/IF($F68&lt;&gt;"BPS(표준재무)",Sheet2!$L$2,1),"")</f>
        <v>154590</v>
      </c>
      <c r="K68" s="16">
        <f ca="1">IFERROR(_xll.IMDP("STK",K$4,$F68,Sheet2!$J$6,"Per=일, Real=false, Cons="&amp;Sheet2!$D$2&amp;", Comp="&amp;Sheet2!$F$2&amp;"")/IF($F68&lt;&gt;"BPS(표준재무)",Sheet2!$L$2,1),"")</f>
        <v>765.89499999999998</v>
      </c>
      <c r="L68" s="16">
        <f ca="1">IFERROR(_xll.IMDP("STK",L$4,$F68,Sheet2!$J$6,"Per=일, Real=false, Cons="&amp;Sheet2!$D$2&amp;", Comp="&amp;Sheet2!$F$2&amp;"")/IF($F68&lt;&gt;"BPS(표준재무)",Sheet2!$L$2,1),"")</f>
        <v>48214.11</v>
      </c>
      <c r="M68" s="16" t="str">
        <f ca="1">IFERROR(_xll.IMDP("STK",M$4,$F68,Sheet2!$J$6,"Per=일, Real=false, Cons="&amp;Sheet2!$D$2&amp;", Comp="&amp;Sheet2!$F$2&amp;"")/IF($F68&lt;&gt;"BPS(표준재무)",Sheet2!$L$2,1),"")</f>
        <v/>
      </c>
      <c r="N68" s="16" t="str">
        <f ca="1">IFERROR(_xll.IMDP("STK",N$4,$F68,Sheet2!$J$6,"Per=일, Real=false, Cons="&amp;Sheet2!$D$2&amp;", Comp="&amp;Sheet2!$F$2&amp;"")/IF($F68&lt;&gt;"BPS(표준재무)",Sheet2!$L$2,1),"")</f>
        <v/>
      </c>
      <c r="O68" s="16" t="str">
        <f ca="1">IFERROR(_xll.IMDP("STK",O$4,$F68,Sheet2!$J$6,"Per=일, Real=false, Cons="&amp;Sheet2!$D$2&amp;", Comp="&amp;Sheet2!$F$2&amp;"")/IF($F68&lt;&gt;"BPS(표준재무)",Sheet2!$L$2,1),"")</f>
        <v/>
      </c>
      <c r="P68" s="16" t="str">
        <f ca="1">IFERROR(_xll.IMDP("STK",P$4,$F68,Sheet2!$J$6,"Per=일, Real=false, Cons="&amp;Sheet2!$D$2&amp;", Comp="&amp;Sheet2!$F$2&amp;"")/IF($F68&lt;&gt;"BPS(표준재무)",Sheet2!$L$2,1),"")</f>
        <v/>
      </c>
      <c r="Q68" s="17" t="str">
        <f ca="1">IFERROR(_xll.IMDP("STK",Q$4,$F68,Sheet2!$J$6,"Per=일, Real=false, Cons="&amp;Sheet2!$D$2&amp;", Comp="&amp;Sheet2!$F$2&amp;"")/IF($F68&lt;&gt;"BPS(표준재무)",Sheet2!$L$2,1),"")</f>
        <v/>
      </c>
    </row>
    <row r="69" spans="3:17" hidden="1" outlineLevel="3" x14ac:dyDescent="0.3">
      <c r="D69" t="s">
        <v>522</v>
      </c>
      <c r="F69" t="str">
        <f t="shared" si="1"/>
        <v>유동성리스부채(요약재무)</v>
      </c>
      <c r="H69" s="15" t="str">
        <f ca="1">IFERROR(_xll.IMDP("STK",H$4,$F69,Sheet2!$J$6,"Per=일, Real=false, Cons="&amp;Sheet2!$D$2&amp;", Comp="&amp;Sheet2!$F$2&amp;"")/IF($F69&lt;&gt;"BPS(표준재무)",Sheet2!$L$2,1),"")</f>
        <v/>
      </c>
      <c r="I69" s="16">
        <f ca="1">IFERROR(_xll.IMDP("STK",I$4,$F69,Sheet2!$J$6,"Per=일, Real=false, Cons="&amp;Sheet2!$D$2&amp;", Comp="&amp;Sheet2!$F$2&amp;"")/IF($F69&lt;&gt;"BPS(표준재무)",Sheet2!$L$2,1),"")</f>
        <v>211807</v>
      </c>
      <c r="J69" s="16">
        <f ca="1">IFERROR(_xll.IMDP("STK",J$4,$F69,Sheet2!$J$6,"Per=일, Real=false, Cons="&amp;Sheet2!$D$2&amp;", Comp="&amp;Sheet2!$F$2&amp;"")/IF($F69&lt;&gt;"BPS(표준재무)",Sheet2!$L$2,1),"")</f>
        <v>65788</v>
      </c>
      <c r="K69" s="16" t="str">
        <f ca="1">IFERROR(_xll.IMDP("STK",K$4,$F69,Sheet2!$J$6,"Per=일, Real=false, Cons="&amp;Sheet2!$D$2&amp;", Comp="&amp;Sheet2!$F$2&amp;"")/IF($F69&lt;&gt;"BPS(표준재무)",Sheet2!$L$2,1),"")</f>
        <v/>
      </c>
      <c r="L69" s="16">
        <f ca="1">IFERROR(_xll.IMDP("STK",L$4,$F69,Sheet2!$J$6,"Per=일, Real=false, Cons="&amp;Sheet2!$D$2&amp;", Comp="&amp;Sheet2!$F$2&amp;"")/IF($F69&lt;&gt;"BPS(표준재무)",Sheet2!$L$2,1),"")</f>
        <v>48214.11</v>
      </c>
      <c r="M69" s="16" t="str">
        <f ca="1">IFERROR(_xll.IMDP("STK",M$4,$F69,Sheet2!$J$6,"Per=일, Real=false, Cons="&amp;Sheet2!$D$2&amp;", Comp="&amp;Sheet2!$F$2&amp;"")/IF($F69&lt;&gt;"BPS(표준재무)",Sheet2!$L$2,1),"")</f>
        <v/>
      </c>
      <c r="N69" s="16" t="str">
        <f ca="1">IFERROR(_xll.IMDP("STK",N$4,$F69,Sheet2!$J$6,"Per=일, Real=false, Cons="&amp;Sheet2!$D$2&amp;", Comp="&amp;Sheet2!$F$2&amp;"")/IF($F69&lt;&gt;"BPS(표준재무)",Sheet2!$L$2,1),"")</f>
        <v/>
      </c>
      <c r="O69" s="16" t="str">
        <f ca="1">IFERROR(_xll.IMDP("STK",O$4,$F69,Sheet2!$J$6,"Per=일, Real=false, Cons="&amp;Sheet2!$D$2&amp;", Comp="&amp;Sheet2!$F$2&amp;"")/IF($F69&lt;&gt;"BPS(표준재무)",Sheet2!$L$2,1),"")</f>
        <v/>
      </c>
      <c r="P69" s="16" t="str">
        <f ca="1">IFERROR(_xll.IMDP("STK",P$4,$F69,Sheet2!$J$6,"Per=일, Real=false, Cons="&amp;Sheet2!$D$2&amp;", Comp="&amp;Sheet2!$F$2&amp;"")/IF($F69&lt;&gt;"BPS(표준재무)",Sheet2!$L$2,1),"")</f>
        <v/>
      </c>
      <c r="Q69" s="17" t="str">
        <f ca="1">IFERROR(_xll.IMDP("STK",Q$4,$F69,Sheet2!$J$6,"Per=일, Real=false, Cons="&amp;Sheet2!$D$2&amp;", Comp="&amp;Sheet2!$F$2&amp;"")/IF($F69&lt;&gt;"BPS(표준재무)",Sheet2!$L$2,1),"")</f>
        <v/>
      </c>
    </row>
    <row r="70" spans="3:17" hidden="1" outlineLevel="2" x14ac:dyDescent="0.3">
      <c r="C70" t="s">
        <v>60</v>
      </c>
      <c r="F70" t="str">
        <f t="shared" ref="F70:F101" si="2">A70&amp;B70&amp;C70&amp;D70&amp;E70</f>
        <v>매입채무및기타유동채무(요약재무)</v>
      </c>
      <c r="H70" s="15">
        <f ca="1">IFERROR(_xll.IMDP("STK",H$4,$F70,Sheet2!$J$6,"Per=일, Real=false, Cons="&amp;Sheet2!$D$2&amp;", Comp="&amp;Sheet2!$F$2&amp;"")/IF($F70&lt;&gt;"BPS(표준재무)",Sheet2!$L$2,1),"")</f>
        <v>29720894</v>
      </c>
      <c r="I70" s="16">
        <f ca="1">IFERROR(_xll.IMDP("STK",I$4,$F70,Sheet2!$J$6,"Per=일, Real=false, Cons="&amp;Sheet2!$D$2&amp;", Comp="&amp;Sheet2!$F$2&amp;"")/IF($F70&lt;&gt;"BPS(표준재무)",Sheet2!$L$2,1),"")</f>
        <v>6230198</v>
      </c>
      <c r="J70" s="16">
        <f ca="1">IFERROR(_xll.IMDP("STK",J$4,$F70,Sheet2!$J$6,"Per=일, Real=false, Cons="&amp;Sheet2!$D$2&amp;", Comp="&amp;Sheet2!$F$2&amp;"")/IF($F70&lt;&gt;"BPS(표준재무)",Sheet2!$L$2,1),"")</f>
        <v>11486743</v>
      </c>
      <c r="K70" s="16">
        <f ca="1">IFERROR(_xll.IMDP("STK",K$4,$F70,Sheet2!$J$6,"Per=일, Real=false, Cons="&amp;Sheet2!$D$2&amp;", Comp="&amp;Sheet2!$F$2&amp;"")/IF($F70&lt;&gt;"BPS(표준재무)",Sheet2!$L$2,1),"")</f>
        <v>317590.18800000002</v>
      </c>
      <c r="L70" s="16">
        <f ca="1">IFERROR(_xll.IMDP("STK",L$4,$F70,Sheet2!$J$6,"Per=일, Real=false, Cons="&amp;Sheet2!$D$2&amp;", Comp="&amp;Sheet2!$F$2&amp;"")/IF($F70&lt;&gt;"BPS(표준재무)",Sheet2!$L$2,1),"")</f>
        <v>557028.15099999995</v>
      </c>
      <c r="M70" s="16" t="str">
        <f ca="1">IFERROR(_xll.IMDP("STK",M$4,$F70,Sheet2!$J$6,"Per=일, Real=false, Cons="&amp;Sheet2!$D$2&amp;", Comp="&amp;Sheet2!$F$2&amp;"")/IF($F70&lt;&gt;"BPS(표준재무)",Sheet2!$L$2,1),"")</f>
        <v/>
      </c>
      <c r="N70" s="16" t="str">
        <f ca="1">IFERROR(_xll.IMDP("STK",N$4,$F70,Sheet2!$J$6,"Per=일, Real=false, Cons="&amp;Sheet2!$D$2&amp;", Comp="&amp;Sheet2!$F$2&amp;"")/IF($F70&lt;&gt;"BPS(표준재무)",Sheet2!$L$2,1),"")</f>
        <v/>
      </c>
      <c r="O70" s="16" t="str">
        <f ca="1">IFERROR(_xll.IMDP("STK",O$4,$F70,Sheet2!$J$6,"Per=일, Real=false, Cons="&amp;Sheet2!$D$2&amp;", Comp="&amp;Sheet2!$F$2&amp;"")/IF($F70&lt;&gt;"BPS(표준재무)",Sheet2!$L$2,1),"")</f>
        <v/>
      </c>
      <c r="P70" s="16" t="str">
        <f ca="1">IFERROR(_xll.IMDP("STK",P$4,$F70,Sheet2!$J$6,"Per=일, Real=false, Cons="&amp;Sheet2!$D$2&amp;", Comp="&amp;Sheet2!$F$2&amp;"")/IF($F70&lt;&gt;"BPS(표준재무)",Sheet2!$L$2,1),"")</f>
        <v/>
      </c>
      <c r="Q70" s="17" t="str">
        <f ca="1">IFERROR(_xll.IMDP("STK",Q$4,$F70,Sheet2!$J$6,"Per=일, Real=false, Cons="&amp;Sheet2!$D$2&amp;", Comp="&amp;Sheet2!$F$2&amp;"")/IF($F70&lt;&gt;"BPS(표준재무)",Sheet2!$L$2,1),"")</f>
        <v/>
      </c>
    </row>
    <row r="71" spans="3:17" hidden="1" outlineLevel="2" x14ac:dyDescent="0.3">
      <c r="C71" t="s">
        <v>61</v>
      </c>
      <c r="F71" t="str">
        <f t="shared" si="2"/>
        <v>유동종업원급여충당부채(요약재무)</v>
      </c>
      <c r="H71" s="15" t="str">
        <f ca="1">IFERROR(_xll.IMDP("STK",H$4,$F71,Sheet2!$J$6,"Per=일, Real=false, Cons="&amp;Sheet2!$D$2&amp;", Comp="&amp;Sheet2!$F$2&amp;"")/IF($F71&lt;&gt;"BPS(표준재무)",Sheet2!$L$2,1),"")</f>
        <v/>
      </c>
      <c r="I71" s="16" t="str">
        <f ca="1">IFERROR(_xll.IMDP("STK",I$4,$F71,Sheet2!$J$6,"Per=일, Real=false, Cons="&amp;Sheet2!$D$2&amp;", Comp="&amp;Sheet2!$F$2&amp;"")/IF($F71&lt;&gt;"BPS(표준재무)",Sheet2!$L$2,1),"")</f>
        <v/>
      </c>
      <c r="J71" s="16" t="str">
        <f ca="1">IFERROR(_xll.IMDP("STK",J$4,$F71,Sheet2!$J$6,"Per=일, Real=false, Cons="&amp;Sheet2!$D$2&amp;", Comp="&amp;Sheet2!$F$2&amp;"")/IF($F71&lt;&gt;"BPS(표준재무)",Sheet2!$L$2,1),"")</f>
        <v/>
      </c>
      <c r="K71" s="16" t="str">
        <f ca="1">IFERROR(_xll.IMDP("STK",K$4,$F71,Sheet2!$J$6,"Per=일, Real=false, Cons="&amp;Sheet2!$D$2&amp;", Comp="&amp;Sheet2!$F$2&amp;"")/IF($F71&lt;&gt;"BPS(표준재무)",Sheet2!$L$2,1),"")</f>
        <v/>
      </c>
      <c r="L71" s="16" t="str">
        <f ca="1">IFERROR(_xll.IMDP("STK",L$4,$F71,Sheet2!$J$6,"Per=일, Real=false, Cons="&amp;Sheet2!$D$2&amp;", Comp="&amp;Sheet2!$F$2&amp;"")/IF($F71&lt;&gt;"BPS(표준재무)",Sheet2!$L$2,1),"")</f>
        <v/>
      </c>
      <c r="M71" s="16" t="str">
        <f ca="1">IFERROR(_xll.IMDP("STK",M$4,$F71,Sheet2!$J$6,"Per=일, Real=false, Cons="&amp;Sheet2!$D$2&amp;", Comp="&amp;Sheet2!$F$2&amp;"")/IF($F71&lt;&gt;"BPS(표준재무)",Sheet2!$L$2,1),"")</f>
        <v/>
      </c>
      <c r="N71" s="16" t="str">
        <f ca="1">IFERROR(_xll.IMDP("STK",N$4,$F71,Sheet2!$J$6,"Per=일, Real=false, Cons="&amp;Sheet2!$D$2&amp;", Comp="&amp;Sheet2!$F$2&amp;"")/IF($F71&lt;&gt;"BPS(표준재무)",Sheet2!$L$2,1),"")</f>
        <v/>
      </c>
      <c r="O71" s="16" t="str">
        <f ca="1">IFERROR(_xll.IMDP("STK",O$4,$F71,Sheet2!$J$6,"Per=일, Real=false, Cons="&amp;Sheet2!$D$2&amp;", Comp="&amp;Sheet2!$F$2&amp;"")/IF($F71&lt;&gt;"BPS(표준재무)",Sheet2!$L$2,1),"")</f>
        <v/>
      </c>
      <c r="P71" s="16" t="str">
        <f ca="1">IFERROR(_xll.IMDP("STK",P$4,$F71,Sheet2!$J$6,"Per=일, Real=false, Cons="&amp;Sheet2!$D$2&amp;", Comp="&amp;Sheet2!$F$2&amp;"")/IF($F71&lt;&gt;"BPS(표준재무)",Sheet2!$L$2,1),"")</f>
        <v/>
      </c>
      <c r="Q71" s="17" t="str">
        <f ca="1">IFERROR(_xll.IMDP("STK",Q$4,$F71,Sheet2!$J$6,"Per=일, Real=false, Cons="&amp;Sheet2!$D$2&amp;", Comp="&amp;Sheet2!$F$2&amp;"")/IF($F71&lt;&gt;"BPS(표준재무)",Sheet2!$L$2,1),"")</f>
        <v/>
      </c>
    </row>
    <row r="72" spans="3:17" hidden="1" outlineLevel="2" x14ac:dyDescent="0.3">
      <c r="C72" t="s">
        <v>62</v>
      </c>
      <c r="F72" t="str">
        <f t="shared" si="2"/>
        <v>기타단기충당부채(요약재무)</v>
      </c>
      <c r="H72" s="15">
        <f ca="1">IFERROR(_xll.IMDP("STK",H$4,$F72,Sheet2!$J$6,"Per=일, Real=false, Cons="&amp;Sheet2!$D$2&amp;", Comp="&amp;Sheet2!$F$2&amp;"")/IF($F72&lt;&gt;"BPS(표준재무)",Sheet2!$L$2,1),"")</f>
        <v>4850096</v>
      </c>
      <c r="I72" s="16">
        <f ca="1">IFERROR(_xll.IMDP("STK",I$4,$F72,Sheet2!$J$6,"Per=일, Real=false, Cons="&amp;Sheet2!$D$2&amp;", Comp="&amp;Sheet2!$F$2&amp;"")/IF($F72&lt;&gt;"BPS(표준재무)",Sheet2!$L$2,1),"")</f>
        <v>281472</v>
      </c>
      <c r="J72" s="16">
        <f ca="1">IFERROR(_xll.IMDP("STK",J$4,$F72,Sheet2!$J$6,"Per=일, Real=false, Cons="&amp;Sheet2!$D$2&amp;", Comp="&amp;Sheet2!$F$2&amp;"")/IF($F72&lt;&gt;"BPS(표준재무)",Sheet2!$L$2,1),"")</f>
        <v>4674902</v>
      </c>
      <c r="K72" s="16" t="str">
        <f ca="1">IFERROR(_xll.IMDP("STK",K$4,$F72,Sheet2!$J$6,"Per=일, Real=false, Cons="&amp;Sheet2!$D$2&amp;", Comp="&amp;Sheet2!$F$2&amp;"")/IF($F72&lt;&gt;"BPS(표준재무)",Sheet2!$L$2,1),"")</f>
        <v/>
      </c>
      <c r="L72" s="16">
        <f ca="1">IFERROR(_xll.IMDP("STK",L$4,$F72,Sheet2!$J$6,"Per=일, Real=false, Cons="&amp;Sheet2!$D$2&amp;", Comp="&amp;Sheet2!$F$2&amp;"")/IF($F72&lt;&gt;"BPS(표준재무)",Sheet2!$L$2,1),"")</f>
        <v>1795.7570000000001</v>
      </c>
      <c r="M72" s="16" t="str">
        <f ca="1">IFERROR(_xll.IMDP("STK",M$4,$F72,Sheet2!$J$6,"Per=일, Real=false, Cons="&amp;Sheet2!$D$2&amp;", Comp="&amp;Sheet2!$F$2&amp;"")/IF($F72&lt;&gt;"BPS(표준재무)",Sheet2!$L$2,1),"")</f>
        <v/>
      </c>
      <c r="N72" s="16" t="str">
        <f ca="1">IFERROR(_xll.IMDP("STK",N$4,$F72,Sheet2!$J$6,"Per=일, Real=false, Cons="&amp;Sheet2!$D$2&amp;", Comp="&amp;Sheet2!$F$2&amp;"")/IF($F72&lt;&gt;"BPS(표준재무)",Sheet2!$L$2,1),"")</f>
        <v/>
      </c>
      <c r="O72" s="16" t="str">
        <f ca="1">IFERROR(_xll.IMDP("STK",O$4,$F72,Sheet2!$J$6,"Per=일, Real=false, Cons="&amp;Sheet2!$D$2&amp;", Comp="&amp;Sheet2!$F$2&amp;"")/IF($F72&lt;&gt;"BPS(표준재무)",Sheet2!$L$2,1),"")</f>
        <v/>
      </c>
      <c r="P72" s="16" t="str">
        <f ca="1">IFERROR(_xll.IMDP("STK",P$4,$F72,Sheet2!$J$6,"Per=일, Real=false, Cons="&amp;Sheet2!$D$2&amp;", Comp="&amp;Sheet2!$F$2&amp;"")/IF($F72&lt;&gt;"BPS(표준재무)",Sheet2!$L$2,1),"")</f>
        <v/>
      </c>
      <c r="Q72" s="17" t="str">
        <f ca="1">IFERROR(_xll.IMDP("STK",Q$4,$F72,Sheet2!$J$6,"Per=일, Real=false, Cons="&amp;Sheet2!$D$2&amp;", Comp="&amp;Sheet2!$F$2&amp;"")/IF($F72&lt;&gt;"BPS(표준재무)",Sheet2!$L$2,1),"")</f>
        <v/>
      </c>
    </row>
    <row r="73" spans="3:17" hidden="1" outlineLevel="2" x14ac:dyDescent="0.3">
      <c r="C73" t="s">
        <v>63</v>
      </c>
      <c r="F73" t="str">
        <f t="shared" si="2"/>
        <v>당기법인세부채미지급법인세(비금융요약재무)</v>
      </c>
      <c r="H73" s="15" t="str">
        <f ca="1">IFERROR(_xll.IMDP("STK",H$4,$F73,Sheet2!$J$6,"Per=일, Real=false, Cons="&amp;Sheet2!$D$2&amp;", Comp="&amp;Sheet2!$F$2&amp;"")/IF($F73&lt;&gt;"BPS(표준재무)",Sheet2!$L$2,1),"")</f>
        <v/>
      </c>
      <c r="I73" s="16">
        <f ca="1">IFERROR(_xll.IMDP("STK",I$4,$F73,Sheet2!$J$6,"Per=일, Real=false, Cons="&amp;Sheet2!$D$2&amp;", Comp="&amp;Sheet2!$F$2&amp;"")/IF($F73&lt;&gt;"BPS(표준재무)",Sheet2!$L$2,1),"")</f>
        <v>4115</v>
      </c>
      <c r="J73" s="16">
        <f ca="1">IFERROR(_xll.IMDP("STK",J$4,$F73,Sheet2!$J$6,"Per=일, Real=false, Cons="&amp;Sheet2!$D$2&amp;", Comp="&amp;Sheet2!$F$2&amp;"")/IF($F73&lt;&gt;"BPS(표준재무)",Sheet2!$L$2,1),"")</f>
        <v>712038</v>
      </c>
      <c r="K73" s="16">
        <f ca="1">IFERROR(_xll.IMDP("STK",K$4,$F73,Sheet2!$J$6,"Per=일, Real=false, Cons="&amp;Sheet2!$D$2&amp;", Comp="&amp;Sheet2!$F$2&amp;"")/IF($F73&lt;&gt;"BPS(표준재무)",Sheet2!$L$2,1),"")</f>
        <v>127809.512</v>
      </c>
      <c r="L73" s="16">
        <f ca="1">IFERROR(_xll.IMDP("STK",L$4,$F73,Sheet2!$J$6,"Per=일, Real=false, Cons="&amp;Sheet2!$D$2&amp;", Comp="&amp;Sheet2!$F$2&amp;"")/IF($F73&lt;&gt;"BPS(표준재무)",Sheet2!$L$2,1),"")</f>
        <v>217918.75200000001</v>
      </c>
      <c r="M73" s="16" t="str">
        <f ca="1">IFERROR(_xll.IMDP("STK",M$4,$F73,Sheet2!$J$6,"Per=일, Real=false, Cons="&amp;Sheet2!$D$2&amp;", Comp="&amp;Sheet2!$F$2&amp;"")/IF($F73&lt;&gt;"BPS(표준재무)",Sheet2!$L$2,1),"")</f>
        <v/>
      </c>
      <c r="N73" s="16" t="str">
        <f ca="1">IFERROR(_xll.IMDP("STK",N$4,$F73,Sheet2!$J$6,"Per=일, Real=false, Cons="&amp;Sheet2!$D$2&amp;", Comp="&amp;Sheet2!$F$2&amp;"")/IF($F73&lt;&gt;"BPS(표준재무)",Sheet2!$L$2,1),"")</f>
        <v/>
      </c>
      <c r="O73" s="16" t="str">
        <f ca="1">IFERROR(_xll.IMDP("STK",O$4,$F73,Sheet2!$J$6,"Per=일, Real=false, Cons="&amp;Sheet2!$D$2&amp;", Comp="&amp;Sheet2!$F$2&amp;"")/IF($F73&lt;&gt;"BPS(표준재무)",Sheet2!$L$2,1),"")</f>
        <v/>
      </c>
      <c r="P73" s="16" t="str">
        <f ca="1">IFERROR(_xll.IMDP("STK",P$4,$F73,Sheet2!$J$6,"Per=일, Real=false, Cons="&amp;Sheet2!$D$2&amp;", Comp="&amp;Sheet2!$F$2&amp;"")/IF($F73&lt;&gt;"BPS(표준재무)",Sheet2!$L$2,1),"")</f>
        <v/>
      </c>
      <c r="Q73" s="17" t="str">
        <f ca="1">IFERROR(_xll.IMDP("STK",Q$4,$F73,Sheet2!$J$6,"Per=일, Real=false, Cons="&amp;Sheet2!$D$2&amp;", Comp="&amp;Sheet2!$F$2&amp;"")/IF($F73&lt;&gt;"BPS(표준재무)",Sheet2!$L$2,1),"")</f>
        <v/>
      </c>
    </row>
    <row r="74" spans="3:17" hidden="1" outlineLevel="2" x14ac:dyDescent="0.3">
      <c r="C74" t="s">
        <v>64</v>
      </c>
      <c r="F74" t="str">
        <f t="shared" si="2"/>
        <v>기타유동부채(요약재무)</v>
      </c>
      <c r="H74" s="15">
        <f ca="1">IFERROR(_xll.IMDP("STK",H$4,$F74,Sheet2!$J$6,"Per=일, Real=false, Cons="&amp;Sheet2!$D$2&amp;", Comp="&amp;Sheet2!$F$2&amp;"")/IF($F74&lt;&gt;"BPS(표준재무)",Sheet2!$L$2,1),"")</f>
        <v>861536</v>
      </c>
      <c r="I74" s="16">
        <f ca="1">IFERROR(_xll.IMDP("STK",I$4,$F74,Sheet2!$J$6,"Per=일, Real=false, Cons="&amp;Sheet2!$D$2&amp;", Comp="&amp;Sheet2!$F$2&amp;"")/IF($F74&lt;&gt;"BPS(표준재무)",Sheet2!$L$2,1),"")</f>
        <v>2659</v>
      </c>
      <c r="J74" s="16">
        <f ca="1">IFERROR(_xll.IMDP("STK",J$4,$F74,Sheet2!$J$6,"Per=일, Real=false, Cons="&amp;Sheet2!$D$2&amp;", Comp="&amp;Sheet2!$F$2&amp;"")/IF($F74&lt;&gt;"BPS(표준재무)",Sheet2!$L$2,1),"")</f>
        <v>923888</v>
      </c>
      <c r="K74" s="16">
        <f ca="1">IFERROR(_xll.IMDP("STK",K$4,$F74,Sheet2!$J$6,"Per=일, Real=false, Cons="&amp;Sheet2!$D$2&amp;", Comp="&amp;Sheet2!$F$2&amp;"")/IF($F74&lt;&gt;"BPS(표준재무)",Sheet2!$L$2,1),"")</f>
        <v>421721.24</v>
      </c>
      <c r="L74" s="16">
        <f ca="1">IFERROR(_xll.IMDP("STK",L$4,$F74,Sheet2!$J$6,"Per=일, Real=false, Cons="&amp;Sheet2!$D$2&amp;", Comp="&amp;Sheet2!$F$2&amp;"")/IF($F74&lt;&gt;"BPS(표준재무)",Sheet2!$L$2,1),"")</f>
        <v>380969.64799999999</v>
      </c>
      <c r="M74" s="16" t="str">
        <f ca="1">IFERROR(_xll.IMDP("STK",M$4,$F74,Sheet2!$J$6,"Per=일, Real=false, Cons="&amp;Sheet2!$D$2&amp;", Comp="&amp;Sheet2!$F$2&amp;"")/IF($F74&lt;&gt;"BPS(표준재무)",Sheet2!$L$2,1),"")</f>
        <v/>
      </c>
      <c r="N74" s="16" t="str">
        <f ca="1">IFERROR(_xll.IMDP("STK",N$4,$F74,Sheet2!$J$6,"Per=일, Real=false, Cons="&amp;Sheet2!$D$2&amp;", Comp="&amp;Sheet2!$F$2&amp;"")/IF($F74&lt;&gt;"BPS(표준재무)",Sheet2!$L$2,1),"")</f>
        <v/>
      </c>
      <c r="O74" s="16" t="str">
        <f ca="1">IFERROR(_xll.IMDP("STK",O$4,$F74,Sheet2!$J$6,"Per=일, Real=false, Cons="&amp;Sheet2!$D$2&amp;", Comp="&amp;Sheet2!$F$2&amp;"")/IF($F74&lt;&gt;"BPS(표준재무)",Sheet2!$L$2,1),"")</f>
        <v/>
      </c>
      <c r="P74" s="16" t="str">
        <f ca="1">IFERROR(_xll.IMDP("STK",P$4,$F74,Sheet2!$J$6,"Per=일, Real=false, Cons="&amp;Sheet2!$D$2&amp;", Comp="&amp;Sheet2!$F$2&amp;"")/IF($F74&lt;&gt;"BPS(표준재무)",Sheet2!$L$2,1),"")</f>
        <v/>
      </c>
      <c r="Q74" s="17" t="str">
        <f ca="1">IFERROR(_xll.IMDP("STK",Q$4,$F74,Sheet2!$J$6,"Per=일, Real=false, Cons="&amp;Sheet2!$D$2&amp;", Comp="&amp;Sheet2!$F$2&amp;"")/IF($F74&lt;&gt;"BPS(표준재무)",Sheet2!$L$2,1),"")</f>
        <v/>
      </c>
    </row>
    <row r="75" spans="3:17" ht="17.25" hidden="1" outlineLevel="2" thickBot="1" x14ac:dyDescent="0.35">
      <c r="C75" t="s">
        <v>65</v>
      </c>
      <c r="F75" t="str">
        <f t="shared" si="2"/>
        <v>매각예정으로분류된처분자산집단에포함된부채(요약재무)</v>
      </c>
      <c r="H75" s="18" t="str">
        <f ca="1">IFERROR(_xll.IMDP("STK",H$4,$F75,Sheet2!$J$6,"Per=일, Real=false, Cons="&amp;Sheet2!$D$2&amp;", Comp="&amp;Sheet2!$F$2&amp;"")/IF($F75&lt;&gt;"BPS(표준재무)",Sheet2!$L$2,1),"")</f>
        <v/>
      </c>
      <c r="I75" s="19" t="str">
        <f ca="1">IFERROR(_xll.IMDP("STK",I$4,$F75,Sheet2!$J$6,"Per=일, Real=false, Cons="&amp;Sheet2!$D$2&amp;", Comp="&amp;Sheet2!$F$2&amp;"")/IF($F75&lt;&gt;"BPS(표준재무)",Sheet2!$L$2,1),"")</f>
        <v/>
      </c>
      <c r="J75" s="19" t="str">
        <f ca="1">IFERROR(_xll.IMDP("STK",J$4,$F75,Sheet2!$J$6,"Per=일, Real=false, Cons="&amp;Sheet2!$D$2&amp;", Comp="&amp;Sheet2!$F$2&amp;"")/IF($F75&lt;&gt;"BPS(표준재무)",Sheet2!$L$2,1),"")</f>
        <v/>
      </c>
      <c r="K75" s="19" t="str">
        <f ca="1">IFERROR(_xll.IMDP("STK",K$4,$F75,Sheet2!$J$6,"Per=일, Real=false, Cons="&amp;Sheet2!$D$2&amp;", Comp="&amp;Sheet2!$F$2&amp;"")/IF($F75&lt;&gt;"BPS(표준재무)",Sheet2!$L$2,1),"")</f>
        <v/>
      </c>
      <c r="L75" s="19" t="str">
        <f ca="1">IFERROR(_xll.IMDP("STK",L$4,$F75,Sheet2!$J$6,"Per=일, Real=false, Cons="&amp;Sheet2!$D$2&amp;", Comp="&amp;Sheet2!$F$2&amp;"")/IF($F75&lt;&gt;"BPS(표준재무)",Sheet2!$L$2,1),"")</f>
        <v/>
      </c>
      <c r="M75" s="19" t="str">
        <f ca="1">IFERROR(_xll.IMDP("STK",M$4,$F75,Sheet2!$J$6,"Per=일, Real=false, Cons="&amp;Sheet2!$D$2&amp;", Comp="&amp;Sheet2!$F$2&amp;"")/IF($F75&lt;&gt;"BPS(표준재무)",Sheet2!$L$2,1),"")</f>
        <v/>
      </c>
      <c r="N75" s="19" t="str">
        <f ca="1">IFERROR(_xll.IMDP("STK",N$4,$F75,Sheet2!$J$6,"Per=일, Real=false, Cons="&amp;Sheet2!$D$2&amp;", Comp="&amp;Sheet2!$F$2&amp;"")/IF($F75&lt;&gt;"BPS(표준재무)",Sheet2!$L$2,1),"")</f>
        <v/>
      </c>
      <c r="O75" s="19" t="str">
        <f ca="1">IFERROR(_xll.IMDP("STK",O$4,$F75,Sheet2!$J$6,"Per=일, Real=false, Cons="&amp;Sheet2!$D$2&amp;", Comp="&amp;Sheet2!$F$2&amp;"")/IF($F75&lt;&gt;"BPS(표준재무)",Sheet2!$L$2,1),"")</f>
        <v/>
      </c>
      <c r="P75" s="19" t="str">
        <f ca="1">IFERROR(_xll.IMDP("STK",P$4,$F75,Sheet2!$J$6,"Per=일, Real=false, Cons="&amp;Sheet2!$D$2&amp;", Comp="&amp;Sheet2!$F$2&amp;"")/IF($F75&lt;&gt;"BPS(표준재무)",Sheet2!$L$2,1),"")</f>
        <v/>
      </c>
      <c r="Q75" s="20" t="str">
        <f ca="1">IFERROR(_xll.IMDP("STK",Q$4,$F75,Sheet2!$J$6,"Per=일, Real=false, Cons="&amp;Sheet2!$D$2&amp;", Comp="&amp;Sheet2!$F$2&amp;"")/IF($F75&lt;&gt;"BPS(표준재무)",Sheet2!$L$2,1),"")</f>
        <v/>
      </c>
    </row>
    <row r="76" spans="3:17" collapsed="1" x14ac:dyDescent="0.3">
      <c r="F76" t="str">
        <f t="shared" ref="F70:F101" si="3">A76&amp;B76&amp;C76&amp;D76&amp;E76</f>
        <v/>
      </c>
    </row>
    <row r="77" spans="3:17" x14ac:dyDescent="0.3">
      <c r="F77" t="str">
        <f t="shared" si="3"/>
        <v/>
      </c>
    </row>
    <row r="78" spans="3:17" x14ac:dyDescent="0.3">
      <c r="F78" t="str">
        <f t="shared" si="3"/>
        <v/>
      </c>
    </row>
    <row r="79" spans="3:17" x14ac:dyDescent="0.3">
      <c r="F79" t="str">
        <f t="shared" si="3"/>
        <v/>
      </c>
    </row>
    <row r="80" spans="3:17" x14ac:dyDescent="0.3">
      <c r="F80" t="str">
        <f t="shared" si="3"/>
        <v/>
      </c>
    </row>
    <row r="81" spans="6:6" x14ac:dyDescent="0.3">
      <c r="F81" t="str">
        <f t="shared" si="3"/>
        <v/>
      </c>
    </row>
    <row r="82" spans="6:6" x14ac:dyDescent="0.3">
      <c r="F82" t="str">
        <f t="shared" si="3"/>
        <v/>
      </c>
    </row>
    <row r="83" spans="6:6" x14ac:dyDescent="0.3">
      <c r="F83" t="str">
        <f t="shared" si="3"/>
        <v/>
      </c>
    </row>
    <row r="84" spans="6:6" x14ac:dyDescent="0.3">
      <c r="F84" t="str">
        <f t="shared" si="3"/>
        <v/>
      </c>
    </row>
    <row r="85" spans="6:6" x14ac:dyDescent="0.3">
      <c r="F85" t="str">
        <f t="shared" si="3"/>
        <v/>
      </c>
    </row>
    <row r="86" spans="6:6" x14ac:dyDescent="0.3">
      <c r="F86" t="str">
        <f t="shared" si="3"/>
        <v/>
      </c>
    </row>
    <row r="87" spans="6:6" x14ac:dyDescent="0.3">
      <c r="F87" t="str">
        <f t="shared" si="3"/>
        <v/>
      </c>
    </row>
    <row r="88" spans="6:6" x14ac:dyDescent="0.3">
      <c r="F88" t="str">
        <f t="shared" si="3"/>
        <v/>
      </c>
    </row>
    <row r="89" spans="6:6" x14ac:dyDescent="0.3">
      <c r="F89" t="str">
        <f t="shared" si="3"/>
        <v/>
      </c>
    </row>
    <row r="90" spans="6:6" x14ac:dyDescent="0.3">
      <c r="F90" t="str">
        <f t="shared" si="3"/>
        <v/>
      </c>
    </row>
    <row r="91" spans="6:6" x14ac:dyDescent="0.3">
      <c r="F91" t="str">
        <f t="shared" si="3"/>
        <v/>
      </c>
    </row>
    <row r="92" spans="6:6" x14ac:dyDescent="0.3">
      <c r="F92" t="str">
        <f t="shared" si="3"/>
        <v/>
      </c>
    </row>
    <row r="93" spans="6:6" x14ac:dyDescent="0.3">
      <c r="F93" t="str">
        <f t="shared" si="3"/>
        <v/>
      </c>
    </row>
    <row r="94" spans="6:6" x14ac:dyDescent="0.3">
      <c r="F94" t="str">
        <f t="shared" si="3"/>
        <v/>
      </c>
    </row>
    <row r="95" spans="6:6" x14ac:dyDescent="0.3">
      <c r="F95" t="str">
        <f t="shared" si="3"/>
        <v/>
      </c>
    </row>
    <row r="96" spans="6:6" x14ac:dyDescent="0.3">
      <c r="F96" t="str">
        <f t="shared" si="3"/>
        <v/>
      </c>
    </row>
    <row r="97" spans="6:6" x14ac:dyDescent="0.3">
      <c r="F97" t="str">
        <f t="shared" si="3"/>
        <v/>
      </c>
    </row>
    <row r="98" spans="6:6" x14ac:dyDescent="0.3">
      <c r="F98" t="str">
        <f t="shared" si="3"/>
        <v/>
      </c>
    </row>
    <row r="99" spans="6:6" x14ac:dyDescent="0.3">
      <c r="F99" t="str">
        <f t="shared" si="3"/>
        <v/>
      </c>
    </row>
    <row r="100" spans="6:6" x14ac:dyDescent="0.3">
      <c r="F100" t="str">
        <f t="shared" si="3"/>
        <v/>
      </c>
    </row>
    <row r="101" spans="6:6" x14ac:dyDescent="0.3">
      <c r="F101" t="str">
        <f t="shared" si="3"/>
        <v/>
      </c>
    </row>
    <row r="102" spans="6:6" x14ac:dyDescent="0.3">
      <c r="F102" t="str">
        <f t="shared" ref="F102:F133" si="4">A102&amp;B102&amp;C102&amp;D102&amp;E102</f>
        <v/>
      </c>
    </row>
    <row r="103" spans="6:6" x14ac:dyDescent="0.3">
      <c r="F103" t="str">
        <f t="shared" si="4"/>
        <v/>
      </c>
    </row>
    <row r="104" spans="6:6" x14ac:dyDescent="0.3">
      <c r="F104" t="str">
        <f t="shared" si="4"/>
        <v/>
      </c>
    </row>
    <row r="105" spans="6:6" x14ac:dyDescent="0.3">
      <c r="F105" t="str">
        <f t="shared" si="4"/>
        <v/>
      </c>
    </row>
    <row r="106" spans="6:6" x14ac:dyDescent="0.3">
      <c r="F106" t="str">
        <f t="shared" si="4"/>
        <v/>
      </c>
    </row>
    <row r="107" spans="6:6" x14ac:dyDescent="0.3">
      <c r="F107" t="str">
        <f t="shared" si="4"/>
        <v/>
      </c>
    </row>
    <row r="108" spans="6:6" x14ac:dyDescent="0.3">
      <c r="F108" t="str">
        <f t="shared" si="4"/>
        <v/>
      </c>
    </row>
    <row r="109" spans="6:6" x14ac:dyDescent="0.3">
      <c r="F109" t="str">
        <f t="shared" si="4"/>
        <v/>
      </c>
    </row>
    <row r="110" spans="6:6" x14ac:dyDescent="0.3">
      <c r="F110" t="str">
        <f t="shared" ref="F76:F133" si="5">A110&amp;B110&amp;C110&amp;D110&amp;E110</f>
        <v/>
      </c>
    </row>
    <row r="111" spans="6:6" x14ac:dyDescent="0.3">
      <c r="F111" t="str">
        <f t="shared" si="5"/>
        <v/>
      </c>
    </row>
    <row r="112" spans="6:6" x14ac:dyDescent="0.3">
      <c r="F112" t="str">
        <f t="shared" si="5"/>
        <v/>
      </c>
    </row>
    <row r="113" spans="6:6" x14ac:dyDescent="0.3">
      <c r="F113" t="str">
        <f t="shared" si="5"/>
        <v/>
      </c>
    </row>
    <row r="114" spans="6:6" x14ac:dyDescent="0.3">
      <c r="F114" t="str">
        <f t="shared" si="5"/>
        <v/>
      </c>
    </row>
    <row r="115" spans="6:6" x14ac:dyDescent="0.3">
      <c r="F115" t="str">
        <f t="shared" si="5"/>
        <v/>
      </c>
    </row>
    <row r="116" spans="6:6" x14ac:dyDescent="0.3">
      <c r="F116" t="str">
        <f t="shared" si="5"/>
        <v/>
      </c>
    </row>
    <row r="117" spans="6:6" x14ac:dyDescent="0.3">
      <c r="F117" t="str">
        <f t="shared" si="5"/>
        <v/>
      </c>
    </row>
    <row r="118" spans="6:6" x14ac:dyDescent="0.3">
      <c r="F118" t="str">
        <f t="shared" si="5"/>
        <v/>
      </c>
    </row>
    <row r="119" spans="6:6" x14ac:dyDescent="0.3">
      <c r="F119" t="str">
        <f t="shared" si="5"/>
        <v/>
      </c>
    </row>
    <row r="120" spans="6:6" x14ac:dyDescent="0.3">
      <c r="F120" t="str">
        <f t="shared" si="5"/>
        <v/>
      </c>
    </row>
    <row r="121" spans="6:6" x14ac:dyDescent="0.3">
      <c r="F121" t="str">
        <f t="shared" si="5"/>
        <v/>
      </c>
    </row>
    <row r="122" spans="6:6" x14ac:dyDescent="0.3">
      <c r="F122" t="str">
        <f t="shared" si="5"/>
        <v/>
      </c>
    </row>
    <row r="123" spans="6:6" x14ac:dyDescent="0.3">
      <c r="F123" t="str">
        <f t="shared" si="5"/>
        <v/>
      </c>
    </row>
    <row r="124" spans="6:6" x14ac:dyDescent="0.3">
      <c r="F124" t="str">
        <f t="shared" si="5"/>
        <v/>
      </c>
    </row>
    <row r="125" spans="6:6" x14ac:dyDescent="0.3">
      <c r="F125" t="str">
        <f t="shared" si="5"/>
        <v/>
      </c>
    </row>
    <row r="126" spans="6:6" x14ac:dyDescent="0.3">
      <c r="F126" t="str">
        <f t="shared" si="5"/>
        <v/>
      </c>
    </row>
    <row r="127" spans="6:6" x14ac:dyDescent="0.3">
      <c r="F127" t="str">
        <f t="shared" si="5"/>
        <v/>
      </c>
    </row>
    <row r="128" spans="6:6" x14ac:dyDescent="0.3">
      <c r="F128" t="str">
        <f t="shared" si="5"/>
        <v/>
      </c>
    </row>
    <row r="129" spans="6:6" x14ac:dyDescent="0.3">
      <c r="F129" t="str">
        <f t="shared" si="5"/>
        <v/>
      </c>
    </row>
    <row r="130" spans="6:6" x14ac:dyDescent="0.3">
      <c r="F130" t="str">
        <f t="shared" si="5"/>
        <v/>
      </c>
    </row>
    <row r="131" spans="6:6" x14ac:dyDescent="0.3">
      <c r="F131" t="str">
        <f t="shared" si="5"/>
        <v/>
      </c>
    </row>
    <row r="132" spans="6:6" x14ac:dyDescent="0.3">
      <c r="F132" t="str">
        <f t="shared" si="5"/>
        <v/>
      </c>
    </row>
    <row r="133" spans="6:6" x14ac:dyDescent="0.3">
      <c r="F133" t="str">
        <f t="shared" si="5"/>
        <v/>
      </c>
    </row>
    <row r="134" spans="6:6" x14ac:dyDescent="0.3">
      <c r="F134" t="str">
        <f t="shared" ref="F134:F197" si="6">A134&amp;B134&amp;C134&amp;D134&amp;E134</f>
        <v/>
      </c>
    </row>
    <row r="135" spans="6:6" x14ac:dyDescent="0.3">
      <c r="F135" t="str">
        <f t="shared" si="6"/>
        <v/>
      </c>
    </row>
    <row r="136" spans="6:6" x14ac:dyDescent="0.3">
      <c r="F136" t="str">
        <f t="shared" si="6"/>
        <v/>
      </c>
    </row>
    <row r="137" spans="6:6" x14ac:dyDescent="0.3">
      <c r="F137" t="str">
        <f t="shared" si="6"/>
        <v/>
      </c>
    </row>
    <row r="138" spans="6:6" x14ac:dyDescent="0.3">
      <c r="F138" t="str">
        <f t="shared" si="6"/>
        <v/>
      </c>
    </row>
    <row r="139" spans="6:6" x14ac:dyDescent="0.3">
      <c r="F139" t="str">
        <f t="shared" si="6"/>
        <v/>
      </c>
    </row>
    <row r="140" spans="6:6" x14ac:dyDescent="0.3">
      <c r="F140" t="str">
        <f t="shared" si="6"/>
        <v/>
      </c>
    </row>
    <row r="141" spans="6:6" x14ac:dyDescent="0.3">
      <c r="F141" t="str">
        <f t="shared" si="6"/>
        <v/>
      </c>
    </row>
    <row r="142" spans="6:6" x14ac:dyDescent="0.3">
      <c r="F142" t="str">
        <f t="shared" si="6"/>
        <v/>
      </c>
    </row>
    <row r="143" spans="6:6" x14ac:dyDescent="0.3">
      <c r="F143" t="str">
        <f t="shared" si="6"/>
        <v/>
      </c>
    </row>
    <row r="144" spans="6:6" x14ac:dyDescent="0.3">
      <c r="F144" t="str">
        <f t="shared" si="6"/>
        <v/>
      </c>
    </row>
    <row r="145" spans="6:6" x14ac:dyDescent="0.3">
      <c r="F145" t="str">
        <f t="shared" si="6"/>
        <v/>
      </c>
    </row>
    <row r="146" spans="6:6" x14ac:dyDescent="0.3">
      <c r="F146" t="str">
        <f t="shared" si="6"/>
        <v/>
      </c>
    </row>
    <row r="147" spans="6:6" x14ac:dyDescent="0.3">
      <c r="F147" t="str">
        <f t="shared" si="6"/>
        <v/>
      </c>
    </row>
    <row r="148" spans="6:6" x14ac:dyDescent="0.3">
      <c r="F148" t="str">
        <f t="shared" si="6"/>
        <v/>
      </c>
    </row>
    <row r="149" spans="6:6" x14ac:dyDescent="0.3">
      <c r="F149" t="str">
        <f t="shared" si="6"/>
        <v/>
      </c>
    </row>
    <row r="150" spans="6:6" x14ac:dyDescent="0.3">
      <c r="F150" t="str">
        <f t="shared" si="6"/>
        <v/>
      </c>
    </row>
    <row r="151" spans="6:6" x14ac:dyDescent="0.3">
      <c r="F151" t="str">
        <f t="shared" si="6"/>
        <v/>
      </c>
    </row>
    <row r="152" spans="6:6" x14ac:dyDescent="0.3">
      <c r="F152" t="str">
        <f t="shared" si="6"/>
        <v/>
      </c>
    </row>
    <row r="153" spans="6:6" x14ac:dyDescent="0.3">
      <c r="F153" t="str">
        <f t="shared" si="6"/>
        <v/>
      </c>
    </row>
    <row r="154" spans="6:6" x14ac:dyDescent="0.3">
      <c r="F154" t="str">
        <f t="shared" si="6"/>
        <v/>
      </c>
    </row>
    <row r="155" spans="6:6" x14ac:dyDescent="0.3">
      <c r="F155" t="str">
        <f t="shared" si="6"/>
        <v/>
      </c>
    </row>
    <row r="156" spans="6:6" x14ac:dyDescent="0.3">
      <c r="F156" t="str">
        <f t="shared" si="6"/>
        <v/>
      </c>
    </row>
    <row r="157" spans="6:6" x14ac:dyDescent="0.3">
      <c r="F157" t="str">
        <f t="shared" si="6"/>
        <v/>
      </c>
    </row>
    <row r="158" spans="6:6" x14ac:dyDescent="0.3">
      <c r="F158" t="str">
        <f t="shared" si="6"/>
        <v/>
      </c>
    </row>
    <row r="159" spans="6:6" x14ac:dyDescent="0.3">
      <c r="F159" t="str">
        <f t="shared" si="6"/>
        <v/>
      </c>
    </row>
    <row r="160" spans="6:6" x14ac:dyDescent="0.3">
      <c r="F160" t="str">
        <f t="shared" si="6"/>
        <v/>
      </c>
    </row>
    <row r="161" spans="6:6" x14ac:dyDescent="0.3">
      <c r="F161" t="str">
        <f t="shared" si="6"/>
        <v/>
      </c>
    </row>
    <row r="162" spans="6:6" x14ac:dyDescent="0.3">
      <c r="F162" t="str">
        <f t="shared" si="6"/>
        <v/>
      </c>
    </row>
    <row r="163" spans="6:6" x14ac:dyDescent="0.3">
      <c r="F163" t="str">
        <f t="shared" si="6"/>
        <v/>
      </c>
    </row>
    <row r="164" spans="6:6" x14ac:dyDescent="0.3">
      <c r="F164" t="str">
        <f t="shared" si="6"/>
        <v/>
      </c>
    </row>
    <row r="165" spans="6:6" x14ac:dyDescent="0.3">
      <c r="F165" t="str">
        <f t="shared" si="6"/>
        <v/>
      </c>
    </row>
    <row r="166" spans="6:6" x14ac:dyDescent="0.3">
      <c r="F166" t="str">
        <f t="shared" si="6"/>
        <v/>
      </c>
    </row>
    <row r="167" spans="6:6" x14ac:dyDescent="0.3">
      <c r="F167" t="str">
        <f t="shared" si="6"/>
        <v/>
      </c>
    </row>
    <row r="168" spans="6:6" x14ac:dyDescent="0.3">
      <c r="F168" t="str">
        <f t="shared" si="6"/>
        <v/>
      </c>
    </row>
    <row r="169" spans="6:6" x14ac:dyDescent="0.3">
      <c r="F169" t="str">
        <f t="shared" si="6"/>
        <v/>
      </c>
    </row>
    <row r="170" spans="6:6" x14ac:dyDescent="0.3">
      <c r="F170" t="str">
        <f t="shared" si="6"/>
        <v/>
      </c>
    </row>
    <row r="171" spans="6:6" x14ac:dyDescent="0.3">
      <c r="F171" t="str">
        <f t="shared" si="6"/>
        <v/>
      </c>
    </row>
    <row r="172" spans="6:6" x14ac:dyDescent="0.3">
      <c r="F172" t="str">
        <f t="shared" si="6"/>
        <v/>
      </c>
    </row>
    <row r="173" spans="6:6" x14ac:dyDescent="0.3">
      <c r="F173" t="str">
        <f t="shared" si="6"/>
        <v/>
      </c>
    </row>
    <row r="174" spans="6:6" x14ac:dyDescent="0.3">
      <c r="F174" t="str">
        <f t="shared" si="6"/>
        <v/>
      </c>
    </row>
    <row r="175" spans="6:6" x14ac:dyDescent="0.3">
      <c r="F175" t="str">
        <f t="shared" si="6"/>
        <v/>
      </c>
    </row>
    <row r="176" spans="6:6" x14ac:dyDescent="0.3">
      <c r="F176" t="str">
        <f t="shared" si="6"/>
        <v/>
      </c>
    </row>
    <row r="177" spans="6:6" x14ac:dyDescent="0.3">
      <c r="F177" t="str">
        <f t="shared" si="6"/>
        <v/>
      </c>
    </row>
    <row r="178" spans="6:6" x14ac:dyDescent="0.3">
      <c r="F178" t="str">
        <f t="shared" si="6"/>
        <v/>
      </c>
    </row>
    <row r="179" spans="6:6" x14ac:dyDescent="0.3">
      <c r="F179" t="str">
        <f t="shared" si="6"/>
        <v/>
      </c>
    </row>
    <row r="180" spans="6:6" x14ac:dyDescent="0.3">
      <c r="F180" t="str">
        <f t="shared" si="6"/>
        <v/>
      </c>
    </row>
    <row r="181" spans="6:6" x14ac:dyDescent="0.3">
      <c r="F181" t="str">
        <f t="shared" si="6"/>
        <v/>
      </c>
    </row>
    <row r="182" spans="6:6" x14ac:dyDescent="0.3">
      <c r="F182" t="str">
        <f t="shared" si="6"/>
        <v/>
      </c>
    </row>
    <row r="183" spans="6:6" x14ac:dyDescent="0.3">
      <c r="F183" t="str">
        <f t="shared" si="6"/>
        <v/>
      </c>
    </row>
    <row r="184" spans="6:6" x14ac:dyDescent="0.3">
      <c r="F184" t="str">
        <f t="shared" si="6"/>
        <v/>
      </c>
    </row>
    <row r="185" spans="6:6" x14ac:dyDescent="0.3">
      <c r="F185" t="str">
        <f t="shared" si="6"/>
        <v/>
      </c>
    </row>
    <row r="186" spans="6:6" x14ac:dyDescent="0.3">
      <c r="F186" t="str">
        <f t="shared" si="6"/>
        <v/>
      </c>
    </row>
    <row r="187" spans="6:6" x14ac:dyDescent="0.3">
      <c r="F187" t="str">
        <f t="shared" si="6"/>
        <v/>
      </c>
    </row>
    <row r="188" spans="6:6" x14ac:dyDescent="0.3">
      <c r="F188" t="str">
        <f t="shared" si="6"/>
        <v/>
      </c>
    </row>
    <row r="189" spans="6:6" x14ac:dyDescent="0.3">
      <c r="F189" t="str">
        <f t="shared" si="6"/>
        <v/>
      </c>
    </row>
    <row r="190" spans="6:6" x14ac:dyDescent="0.3">
      <c r="F190" t="str">
        <f t="shared" si="6"/>
        <v/>
      </c>
    </row>
    <row r="191" spans="6:6" x14ac:dyDescent="0.3">
      <c r="F191" t="str">
        <f t="shared" si="6"/>
        <v/>
      </c>
    </row>
    <row r="192" spans="6:6" x14ac:dyDescent="0.3">
      <c r="F192" t="str">
        <f t="shared" si="6"/>
        <v/>
      </c>
    </row>
    <row r="193" spans="6:6" x14ac:dyDescent="0.3">
      <c r="F193" t="str">
        <f t="shared" si="6"/>
        <v/>
      </c>
    </row>
    <row r="194" spans="6:6" x14ac:dyDescent="0.3">
      <c r="F194" t="str">
        <f t="shared" si="6"/>
        <v/>
      </c>
    </row>
    <row r="195" spans="6:6" x14ac:dyDescent="0.3">
      <c r="F195" t="str">
        <f t="shared" si="6"/>
        <v/>
      </c>
    </row>
    <row r="196" spans="6:6" x14ac:dyDescent="0.3">
      <c r="F196" t="str">
        <f t="shared" si="6"/>
        <v/>
      </c>
    </row>
    <row r="197" spans="6:6" x14ac:dyDescent="0.3">
      <c r="F197" t="str">
        <f t="shared" si="6"/>
        <v/>
      </c>
    </row>
    <row r="198" spans="6:6" x14ac:dyDescent="0.3">
      <c r="F198" t="str">
        <f t="shared" ref="F198:F261" si="7">A198&amp;B198&amp;C198&amp;D198&amp;E198</f>
        <v/>
      </c>
    </row>
    <row r="199" spans="6:6" x14ac:dyDescent="0.3">
      <c r="F199" t="str">
        <f t="shared" si="7"/>
        <v/>
      </c>
    </row>
    <row r="200" spans="6:6" x14ac:dyDescent="0.3">
      <c r="F200" t="str">
        <f t="shared" si="7"/>
        <v/>
      </c>
    </row>
    <row r="201" spans="6:6" x14ac:dyDescent="0.3">
      <c r="F201" t="str">
        <f t="shared" si="7"/>
        <v/>
      </c>
    </row>
    <row r="202" spans="6:6" x14ac:dyDescent="0.3">
      <c r="F202" t="str">
        <f t="shared" si="7"/>
        <v/>
      </c>
    </row>
    <row r="203" spans="6:6" x14ac:dyDescent="0.3">
      <c r="F203" t="str">
        <f t="shared" si="7"/>
        <v/>
      </c>
    </row>
    <row r="204" spans="6:6" x14ac:dyDescent="0.3">
      <c r="F204" t="str">
        <f t="shared" si="7"/>
        <v/>
      </c>
    </row>
    <row r="205" spans="6:6" x14ac:dyDescent="0.3">
      <c r="F205" t="str">
        <f t="shared" si="7"/>
        <v/>
      </c>
    </row>
    <row r="206" spans="6:6" x14ac:dyDescent="0.3">
      <c r="F206" t="str">
        <f t="shared" si="7"/>
        <v/>
      </c>
    </row>
    <row r="207" spans="6:6" x14ac:dyDescent="0.3">
      <c r="F207" t="str">
        <f t="shared" si="7"/>
        <v/>
      </c>
    </row>
    <row r="208" spans="6:6" x14ac:dyDescent="0.3">
      <c r="F208" t="str">
        <f t="shared" si="7"/>
        <v/>
      </c>
    </row>
    <row r="209" spans="6:6" x14ac:dyDescent="0.3">
      <c r="F209" t="str">
        <f t="shared" si="7"/>
        <v/>
      </c>
    </row>
    <row r="210" spans="6:6" x14ac:dyDescent="0.3">
      <c r="F210" t="str">
        <f t="shared" si="7"/>
        <v/>
      </c>
    </row>
    <row r="211" spans="6:6" x14ac:dyDescent="0.3">
      <c r="F211" t="str">
        <f t="shared" si="7"/>
        <v/>
      </c>
    </row>
    <row r="212" spans="6:6" x14ac:dyDescent="0.3">
      <c r="F212" t="str">
        <f t="shared" si="7"/>
        <v/>
      </c>
    </row>
    <row r="213" spans="6:6" x14ac:dyDescent="0.3">
      <c r="F213" t="str">
        <f t="shared" si="7"/>
        <v/>
      </c>
    </row>
    <row r="214" spans="6:6" x14ac:dyDescent="0.3">
      <c r="F214" t="str">
        <f t="shared" si="7"/>
        <v/>
      </c>
    </row>
    <row r="215" spans="6:6" x14ac:dyDescent="0.3">
      <c r="F215" t="str">
        <f t="shared" si="7"/>
        <v/>
      </c>
    </row>
    <row r="216" spans="6:6" x14ac:dyDescent="0.3">
      <c r="F216" t="str">
        <f t="shared" si="7"/>
        <v/>
      </c>
    </row>
    <row r="217" spans="6:6" x14ac:dyDescent="0.3">
      <c r="F217" t="str">
        <f t="shared" si="7"/>
        <v/>
      </c>
    </row>
    <row r="218" spans="6:6" x14ac:dyDescent="0.3">
      <c r="F218" t="str">
        <f t="shared" si="7"/>
        <v/>
      </c>
    </row>
    <row r="219" spans="6:6" x14ac:dyDescent="0.3">
      <c r="F219" t="str">
        <f t="shared" si="7"/>
        <v/>
      </c>
    </row>
    <row r="220" spans="6:6" x14ac:dyDescent="0.3">
      <c r="F220" t="str">
        <f t="shared" si="7"/>
        <v/>
      </c>
    </row>
    <row r="221" spans="6:6" x14ac:dyDescent="0.3">
      <c r="F221" t="str">
        <f t="shared" si="7"/>
        <v/>
      </c>
    </row>
    <row r="222" spans="6:6" x14ac:dyDescent="0.3">
      <c r="F222" t="str">
        <f t="shared" si="7"/>
        <v/>
      </c>
    </row>
    <row r="223" spans="6:6" x14ac:dyDescent="0.3">
      <c r="F223" t="str">
        <f t="shared" si="7"/>
        <v/>
      </c>
    </row>
    <row r="224" spans="6:6" x14ac:dyDescent="0.3">
      <c r="F224" t="str">
        <f t="shared" si="7"/>
        <v/>
      </c>
    </row>
    <row r="225" spans="6:6" x14ac:dyDescent="0.3">
      <c r="F225" t="str">
        <f t="shared" si="7"/>
        <v/>
      </c>
    </row>
    <row r="226" spans="6:6" x14ac:dyDescent="0.3">
      <c r="F226" t="str">
        <f t="shared" si="7"/>
        <v/>
      </c>
    </row>
    <row r="227" spans="6:6" x14ac:dyDescent="0.3">
      <c r="F227" t="str">
        <f t="shared" si="7"/>
        <v/>
      </c>
    </row>
    <row r="228" spans="6:6" x14ac:dyDescent="0.3">
      <c r="F228" t="str">
        <f t="shared" si="7"/>
        <v/>
      </c>
    </row>
    <row r="229" spans="6:6" x14ac:dyDescent="0.3">
      <c r="F229" t="str">
        <f t="shared" si="7"/>
        <v/>
      </c>
    </row>
    <row r="230" spans="6:6" x14ac:dyDescent="0.3">
      <c r="F230" t="str">
        <f t="shared" si="7"/>
        <v/>
      </c>
    </row>
    <row r="231" spans="6:6" x14ac:dyDescent="0.3">
      <c r="F231" t="str">
        <f t="shared" si="7"/>
        <v/>
      </c>
    </row>
    <row r="232" spans="6:6" x14ac:dyDescent="0.3">
      <c r="F232" t="str">
        <f t="shared" si="7"/>
        <v/>
      </c>
    </row>
    <row r="233" spans="6:6" x14ac:dyDescent="0.3">
      <c r="F233" t="str">
        <f t="shared" si="7"/>
        <v/>
      </c>
    </row>
    <row r="234" spans="6:6" x14ac:dyDescent="0.3">
      <c r="F234" t="str">
        <f t="shared" si="7"/>
        <v/>
      </c>
    </row>
    <row r="235" spans="6:6" x14ac:dyDescent="0.3">
      <c r="F235" t="str">
        <f t="shared" si="7"/>
        <v/>
      </c>
    </row>
    <row r="236" spans="6:6" x14ac:dyDescent="0.3">
      <c r="F236" t="str">
        <f t="shared" si="7"/>
        <v/>
      </c>
    </row>
    <row r="237" spans="6:6" x14ac:dyDescent="0.3">
      <c r="F237" t="str">
        <f t="shared" si="7"/>
        <v/>
      </c>
    </row>
    <row r="238" spans="6:6" x14ac:dyDescent="0.3">
      <c r="F238" t="str">
        <f t="shared" si="7"/>
        <v/>
      </c>
    </row>
    <row r="239" spans="6:6" x14ac:dyDescent="0.3">
      <c r="F239" t="str">
        <f t="shared" si="7"/>
        <v/>
      </c>
    </row>
    <row r="240" spans="6:6" x14ac:dyDescent="0.3">
      <c r="F240" t="str">
        <f t="shared" si="7"/>
        <v/>
      </c>
    </row>
    <row r="241" spans="6:6" x14ac:dyDescent="0.3">
      <c r="F241" t="str">
        <f t="shared" si="7"/>
        <v/>
      </c>
    </row>
    <row r="242" spans="6:6" x14ac:dyDescent="0.3">
      <c r="F242" t="str">
        <f t="shared" si="7"/>
        <v/>
      </c>
    </row>
    <row r="243" spans="6:6" x14ac:dyDescent="0.3">
      <c r="F243" t="str">
        <f t="shared" si="7"/>
        <v/>
      </c>
    </row>
    <row r="244" spans="6:6" x14ac:dyDescent="0.3">
      <c r="F244" t="str">
        <f t="shared" si="7"/>
        <v/>
      </c>
    </row>
    <row r="245" spans="6:6" x14ac:dyDescent="0.3">
      <c r="F245" t="str">
        <f t="shared" si="7"/>
        <v/>
      </c>
    </row>
    <row r="246" spans="6:6" x14ac:dyDescent="0.3">
      <c r="F246" t="str">
        <f t="shared" si="7"/>
        <v/>
      </c>
    </row>
    <row r="247" spans="6:6" x14ac:dyDescent="0.3">
      <c r="F247" t="str">
        <f t="shared" si="7"/>
        <v/>
      </c>
    </row>
    <row r="248" spans="6:6" x14ac:dyDescent="0.3">
      <c r="F248" t="str">
        <f t="shared" si="7"/>
        <v/>
      </c>
    </row>
    <row r="249" spans="6:6" x14ac:dyDescent="0.3">
      <c r="F249" t="str">
        <f t="shared" si="7"/>
        <v/>
      </c>
    </row>
    <row r="250" spans="6:6" x14ac:dyDescent="0.3">
      <c r="F250" t="str">
        <f t="shared" si="7"/>
        <v/>
      </c>
    </row>
    <row r="251" spans="6:6" x14ac:dyDescent="0.3">
      <c r="F251" t="str">
        <f t="shared" si="7"/>
        <v/>
      </c>
    </row>
    <row r="252" spans="6:6" x14ac:dyDescent="0.3">
      <c r="F252" t="str">
        <f t="shared" si="7"/>
        <v/>
      </c>
    </row>
    <row r="253" spans="6:6" x14ac:dyDescent="0.3">
      <c r="F253" t="str">
        <f t="shared" si="7"/>
        <v/>
      </c>
    </row>
    <row r="254" spans="6:6" x14ac:dyDescent="0.3">
      <c r="F254" t="str">
        <f t="shared" si="7"/>
        <v/>
      </c>
    </row>
    <row r="255" spans="6:6" x14ac:dyDescent="0.3">
      <c r="F255" t="str">
        <f t="shared" si="7"/>
        <v/>
      </c>
    </row>
    <row r="256" spans="6:6" x14ac:dyDescent="0.3">
      <c r="F256" t="str">
        <f t="shared" si="7"/>
        <v/>
      </c>
    </row>
    <row r="257" spans="6:6" x14ac:dyDescent="0.3">
      <c r="F257" t="str">
        <f t="shared" si="7"/>
        <v/>
      </c>
    </row>
    <row r="258" spans="6:6" x14ac:dyDescent="0.3">
      <c r="F258" t="str">
        <f t="shared" si="7"/>
        <v/>
      </c>
    </row>
    <row r="259" spans="6:6" x14ac:dyDescent="0.3">
      <c r="F259" t="str">
        <f t="shared" si="7"/>
        <v/>
      </c>
    </row>
    <row r="260" spans="6:6" x14ac:dyDescent="0.3">
      <c r="F260" t="str">
        <f t="shared" si="7"/>
        <v/>
      </c>
    </row>
    <row r="261" spans="6:6" x14ac:dyDescent="0.3">
      <c r="F261" t="str">
        <f t="shared" si="7"/>
        <v/>
      </c>
    </row>
    <row r="262" spans="6:6" x14ac:dyDescent="0.3">
      <c r="F262" t="str">
        <f t="shared" ref="F262:F325" si="8">A262&amp;B262&amp;C262&amp;D262&amp;E262</f>
        <v/>
      </c>
    </row>
    <row r="263" spans="6:6" x14ac:dyDescent="0.3">
      <c r="F263" t="str">
        <f t="shared" si="8"/>
        <v/>
      </c>
    </row>
    <row r="264" spans="6:6" x14ac:dyDescent="0.3">
      <c r="F264" t="str">
        <f t="shared" si="8"/>
        <v/>
      </c>
    </row>
    <row r="265" spans="6:6" x14ac:dyDescent="0.3">
      <c r="F265" t="str">
        <f t="shared" si="8"/>
        <v/>
      </c>
    </row>
    <row r="266" spans="6:6" x14ac:dyDescent="0.3">
      <c r="F266" t="str">
        <f t="shared" si="8"/>
        <v/>
      </c>
    </row>
    <row r="267" spans="6:6" x14ac:dyDescent="0.3">
      <c r="F267" t="str">
        <f t="shared" si="8"/>
        <v/>
      </c>
    </row>
    <row r="268" spans="6:6" x14ac:dyDescent="0.3">
      <c r="F268" t="str">
        <f t="shared" si="8"/>
        <v/>
      </c>
    </row>
    <row r="269" spans="6:6" x14ac:dyDescent="0.3">
      <c r="F269" t="str">
        <f t="shared" si="8"/>
        <v/>
      </c>
    </row>
    <row r="270" spans="6:6" x14ac:dyDescent="0.3">
      <c r="F270" t="str">
        <f t="shared" si="8"/>
        <v/>
      </c>
    </row>
    <row r="271" spans="6:6" x14ac:dyDescent="0.3">
      <c r="F271" t="str">
        <f t="shared" si="8"/>
        <v/>
      </c>
    </row>
    <row r="272" spans="6:6" x14ac:dyDescent="0.3">
      <c r="F272" t="str">
        <f t="shared" si="8"/>
        <v/>
      </c>
    </row>
    <row r="273" spans="6:6" x14ac:dyDescent="0.3">
      <c r="F273" t="str">
        <f t="shared" si="8"/>
        <v/>
      </c>
    </row>
    <row r="274" spans="6:6" x14ac:dyDescent="0.3">
      <c r="F274" t="str">
        <f t="shared" si="8"/>
        <v/>
      </c>
    </row>
    <row r="275" spans="6:6" x14ac:dyDescent="0.3">
      <c r="F275" t="str">
        <f t="shared" si="8"/>
        <v/>
      </c>
    </row>
    <row r="276" spans="6:6" x14ac:dyDescent="0.3">
      <c r="F276" t="str">
        <f t="shared" si="8"/>
        <v/>
      </c>
    </row>
    <row r="277" spans="6:6" x14ac:dyDescent="0.3">
      <c r="F277" t="str">
        <f t="shared" si="8"/>
        <v/>
      </c>
    </row>
    <row r="278" spans="6:6" x14ac:dyDescent="0.3">
      <c r="F278" t="str">
        <f t="shared" si="8"/>
        <v/>
      </c>
    </row>
    <row r="279" spans="6:6" x14ac:dyDescent="0.3">
      <c r="F279" t="str">
        <f t="shared" si="8"/>
        <v/>
      </c>
    </row>
    <row r="280" spans="6:6" x14ac:dyDescent="0.3">
      <c r="F280" t="str">
        <f t="shared" si="8"/>
        <v/>
      </c>
    </row>
    <row r="281" spans="6:6" x14ac:dyDescent="0.3">
      <c r="F281" t="str">
        <f t="shared" si="8"/>
        <v/>
      </c>
    </row>
    <row r="282" spans="6:6" x14ac:dyDescent="0.3">
      <c r="F282" t="str">
        <f t="shared" si="8"/>
        <v/>
      </c>
    </row>
    <row r="283" spans="6:6" x14ac:dyDescent="0.3">
      <c r="F283" t="str">
        <f t="shared" si="8"/>
        <v/>
      </c>
    </row>
    <row r="284" spans="6:6" x14ac:dyDescent="0.3">
      <c r="F284" t="str">
        <f t="shared" si="8"/>
        <v/>
      </c>
    </row>
    <row r="285" spans="6:6" x14ac:dyDescent="0.3">
      <c r="F285" t="str">
        <f t="shared" si="8"/>
        <v/>
      </c>
    </row>
    <row r="286" spans="6:6" x14ac:dyDescent="0.3">
      <c r="F286" t="str">
        <f t="shared" si="8"/>
        <v/>
      </c>
    </row>
    <row r="287" spans="6:6" x14ac:dyDescent="0.3">
      <c r="F287" t="str">
        <f t="shared" si="8"/>
        <v/>
      </c>
    </row>
    <row r="288" spans="6:6" x14ac:dyDescent="0.3">
      <c r="F288" t="str">
        <f t="shared" si="8"/>
        <v/>
      </c>
    </row>
    <row r="289" spans="6:6" x14ac:dyDescent="0.3">
      <c r="F289" t="str">
        <f t="shared" si="8"/>
        <v/>
      </c>
    </row>
    <row r="290" spans="6:6" x14ac:dyDescent="0.3">
      <c r="F290" t="str">
        <f t="shared" si="8"/>
        <v/>
      </c>
    </row>
    <row r="291" spans="6:6" x14ac:dyDescent="0.3">
      <c r="F291" t="str">
        <f t="shared" si="8"/>
        <v/>
      </c>
    </row>
    <row r="292" spans="6:6" x14ac:dyDescent="0.3">
      <c r="F292" t="str">
        <f t="shared" si="8"/>
        <v/>
      </c>
    </row>
    <row r="293" spans="6:6" x14ac:dyDescent="0.3">
      <c r="F293" t="str">
        <f t="shared" si="8"/>
        <v/>
      </c>
    </row>
    <row r="294" spans="6:6" x14ac:dyDescent="0.3">
      <c r="F294" t="str">
        <f t="shared" si="8"/>
        <v/>
      </c>
    </row>
    <row r="295" spans="6:6" x14ac:dyDescent="0.3">
      <c r="F295" t="str">
        <f t="shared" si="8"/>
        <v/>
      </c>
    </row>
    <row r="296" spans="6:6" x14ac:dyDescent="0.3">
      <c r="F296" t="str">
        <f t="shared" si="8"/>
        <v/>
      </c>
    </row>
    <row r="297" spans="6:6" x14ac:dyDescent="0.3">
      <c r="F297" t="str">
        <f t="shared" si="8"/>
        <v/>
      </c>
    </row>
    <row r="298" spans="6:6" x14ac:dyDescent="0.3">
      <c r="F298" t="str">
        <f t="shared" si="8"/>
        <v/>
      </c>
    </row>
    <row r="299" spans="6:6" x14ac:dyDescent="0.3">
      <c r="F299" t="str">
        <f t="shared" si="8"/>
        <v/>
      </c>
    </row>
    <row r="300" spans="6:6" x14ac:dyDescent="0.3">
      <c r="F300" t="str">
        <f t="shared" si="8"/>
        <v/>
      </c>
    </row>
    <row r="301" spans="6:6" x14ac:dyDescent="0.3">
      <c r="F301" t="str">
        <f t="shared" si="8"/>
        <v/>
      </c>
    </row>
    <row r="302" spans="6:6" x14ac:dyDescent="0.3">
      <c r="F302" t="str">
        <f t="shared" si="8"/>
        <v/>
      </c>
    </row>
    <row r="303" spans="6:6" x14ac:dyDescent="0.3">
      <c r="F303" t="str">
        <f t="shared" si="8"/>
        <v/>
      </c>
    </row>
    <row r="304" spans="6:6" x14ac:dyDescent="0.3">
      <c r="F304" t="str">
        <f t="shared" si="8"/>
        <v/>
      </c>
    </row>
    <row r="305" spans="6:6" x14ac:dyDescent="0.3">
      <c r="F305" t="str">
        <f t="shared" si="8"/>
        <v/>
      </c>
    </row>
    <row r="306" spans="6:6" x14ac:dyDescent="0.3">
      <c r="F306" t="str">
        <f t="shared" si="8"/>
        <v/>
      </c>
    </row>
    <row r="307" spans="6:6" x14ac:dyDescent="0.3">
      <c r="F307" t="str">
        <f t="shared" si="8"/>
        <v/>
      </c>
    </row>
    <row r="308" spans="6:6" x14ac:dyDescent="0.3">
      <c r="F308" t="str">
        <f t="shared" si="8"/>
        <v/>
      </c>
    </row>
    <row r="309" spans="6:6" x14ac:dyDescent="0.3">
      <c r="F309" t="str">
        <f t="shared" si="8"/>
        <v/>
      </c>
    </row>
    <row r="310" spans="6:6" x14ac:dyDescent="0.3">
      <c r="F310" t="str">
        <f t="shared" si="8"/>
        <v/>
      </c>
    </row>
    <row r="311" spans="6:6" x14ac:dyDescent="0.3">
      <c r="F311" t="str">
        <f t="shared" si="8"/>
        <v/>
      </c>
    </row>
    <row r="312" spans="6:6" x14ac:dyDescent="0.3">
      <c r="F312" t="str">
        <f t="shared" si="8"/>
        <v/>
      </c>
    </row>
    <row r="313" spans="6:6" x14ac:dyDescent="0.3">
      <c r="F313" t="str">
        <f t="shared" si="8"/>
        <v/>
      </c>
    </row>
    <row r="314" spans="6:6" x14ac:dyDescent="0.3">
      <c r="F314" t="str">
        <f t="shared" si="8"/>
        <v/>
      </c>
    </row>
    <row r="315" spans="6:6" x14ac:dyDescent="0.3">
      <c r="F315" t="str">
        <f t="shared" si="8"/>
        <v/>
      </c>
    </row>
    <row r="316" spans="6:6" x14ac:dyDescent="0.3">
      <c r="F316" t="str">
        <f t="shared" si="8"/>
        <v/>
      </c>
    </row>
    <row r="317" spans="6:6" x14ac:dyDescent="0.3">
      <c r="F317" t="str">
        <f t="shared" si="8"/>
        <v/>
      </c>
    </row>
    <row r="318" spans="6:6" x14ac:dyDescent="0.3">
      <c r="F318" t="str">
        <f t="shared" si="8"/>
        <v/>
      </c>
    </row>
    <row r="319" spans="6:6" x14ac:dyDescent="0.3">
      <c r="F319" t="str">
        <f t="shared" si="8"/>
        <v/>
      </c>
    </row>
    <row r="320" spans="6:6" x14ac:dyDescent="0.3">
      <c r="F320" t="str">
        <f t="shared" si="8"/>
        <v/>
      </c>
    </row>
    <row r="321" spans="6:6" x14ac:dyDescent="0.3">
      <c r="F321" t="str">
        <f t="shared" si="8"/>
        <v/>
      </c>
    </row>
    <row r="322" spans="6:6" x14ac:dyDescent="0.3">
      <c r="F322" t="str">
        <f t="shared" si="8"/>
        <v/>
      </c>
    </row>
    <row r="323" spans="6:6" x14ac:dyDescent="0.3">
      <c r="F323" t="str">
        <f t="shared" si="8"/>
        <v/>
      </c>
    </row>
    <row r="324" spans="6:6" x14ac:dyDescent="0.3">
      <c r="F324" t="str">
        <f t="shared" si="8"/>
        <v/>
      </c>
    </row>
    <row r="325" spans="6:6" x14ac:dyDescent="0.3">
      <c r="F325" t="str">
        <f t="shared" si="8"/>
        <v/>
      </c>
    </row>
    <row r="326" spans="6:6" x14ac:dyDescent="0.3">
      <c r="F326" t="str">
        <f t="shared" ref="F326:F389" si="9">A326&amp;B326&amp;C326&amp;D326&amp;E326</f>
        <v/>
      </c>
    </row>
    <row r="327" spans="6:6" x14ac:dyDescent="0.3">
      <c r="F327" t="str">
        <f t="shared" si="9"/>
        <v/>
      </c>
    </row>
    <row r="328" spans="6:6" x14ac:dyDescent="0.3">
      <c r="F328" t="str">
        <f t="shared" si="9"/>
        <v/>
      </c>
    </row>
    <row r="329" spans="6:6" x14ac:dyDescent="0.3">
      <c r="F329" t="str">
        <f t="shared" si="9"/>
        <v/>
      </c>
    </row>
    <row r="330" spans="6:6" x14ac:dyDescent="0.3">
      <c r="F330" t="str">
        <f t="shared" si="9"/>
        <v/>
      </c>
    </row>
    <row r="331" spans="6:6" x14ac:dyDescent="0.3">
      <c r="F331" t="str">
        <f t="shared" si="9"/>
        <v/>
      </c>
    </row>
    <row r="332" spans="6:6" x14ac:dyDescent="0.3">
      <c r="F332" t="str">
        <f t="shared" si="9"/>
        <v/>
      </c>
    </row>
    <row r="333" spans="6:6" x14ac:dyDescent="0.3">
      <c r="F333" t="str">
        <f t="shared" si="9"/>
        <v/>
      </c>
    </row>
    <row r="334" spans="6:6" x14ac:dyDescent="0.3">
      <c r="F334" t="str">
        <f t="shared" si="9"/>
        <v/>
      </c>
    </row>
    <row r="335" spans="6:6" x14ac:dyDescent="0.3">
      <c r="F335" t="str">
        <f t="shared" si="9"/>
        <v/>
      </c>
    </row>
    <row r="336" spans="6:6" x14ac:dyDescent="0.3">
      <c r="F336" t="str">
        <f t="shared" si="9"/>
        <v/>
      </c>
    </row>
    <row r="337" spans="6:6" x14ac:dyDescent="0.3">
      <c r="F337" t="str">
        <f t="shared" si="9"/>
        <v/>
      </c>
    </row>
    <row r="338" spans="6:6" x14ac:dyDescent="0.3">
      <c r="F338" t="str">
        <f t="shared" si="9"/>
        <v/>
      </c>
    </row>
    <row r="339" spans="6:6" x14ac:dyDescent="0.3">
      <c r="F339" t="str">
        <f t="shared" si="9"/>
        <v/>
      </c>
    </row>
    <row r="340" spans="6:6" x14ac:dyDescent="0.3">
      <c r="F340" t="str">
        <f t="shared" si="9"/>
        <v/>
      </c>
    </row>
    <row r="341" spans="6:6" x14ac:dyDescent="0.3">
      <c r="F341" t="str">
        <f t="shared" si="9"/>
        <v/>
      </c>
    </row>
    <row r="342" spans="6:6" x14ac:dyDescent="0.3">
      <c r="F342" t="str">
        <f t="shared" si="9"/>
        <v/>
      </c>
    </row>
    <row r="343" spans="6:6" x14ac:dyDescent="0.3">
      <c r="F343" t="str">
        <f t="shared" si="9"/>
        <v/>
      </c>
    </row>
    <row r="344" spans="6:6" x14ac:dyDescent="0.3">
      <c r="F344" t="str">
        <f t="shared" si="9"/>
        <v/>
      </c>
    </row>
    <row r="345" spans="6:6" x14ac:dyDescent="0.3">
      <c r="F345" t="str">
        <f t="shared" si="9"/>
        <v/>
      </c>
    </row>
    <row r="346" spans="6:6" x14ac:dyDescent="0.3">
      <c r="F346" t="str">
        <f t="shared" si="9"/>
        <v/>
      </c>
    </row>
    <row r="347" spans="6:6" x14ac:dyDescent="0.3">
      <c r="F347" t="str">
        <f t="shared" si="9"/>
        <v/>
      </c>
    </row>
    <row r="348" spans="6:6" x14ac:dyDescent="0.3">
      <c r="F348" t="str">
        <f t="shared" si="9"/>
        <v/>
      </c>
    </row>
    <row r="349" spans="6:6" x14ac:dyDescent="0.3">
      <c r="F349" t="str">
        <f t="shared" si="9"/>
        <v/>
      </c>
    </row>
    <row r="350" spans="6:6" x14ac:dyDescent="0.3">
      <c r="F350" t="str">
        <f t="shared" si="9"/>
        <v/>
      </c>
    </row>
    <row r="351" spans="6:6" x14ac:dyDescent="0.3">
      <c r="F351" t="str">
        <f t="shared" si="9"/>
        <v/>
      </c>
    </row>
    <row r="352" spans="6:6" x14ac:dyDescent="0.3">
      <c r="F352" t="str">
        <f t="shared" si="9"/>
        <v/>
      </c>
    </row>
    <row r="353" spans="6:6" x14ac:dyDescent="0.3">
      <c r="F353" t="str">
        <f t="shared" si="9"/>
        <v/>
      </c>
    </row>
    <row r="354" spans="6:6" x14ac:dyDescent="0.3">
      <c r="F354" t="str">
        <f t="shared" si="9"/>
        <v/>
      </c>
    </row>
    <row r="355" spans="6:6" x14ac:dyDescent="0.3">
      <c r="F355" t="str">
        <f t="shared" si="9"/>
        <v/>
      </c>
    </row>
    <row r="356" spans="6:6" x14ac:dyDescent="0.3">
      <c r="F356" t="str">
        <f t="shared" si="9"/>
        <v/>
      </c>
    </row>
    <row r="357" spans="6:6" x14ac:dyDescent="0.3">
      <c r="F357" t="str">
        <f t="shared" si="9"/>
        <v/>
      </c>
    </row>
    <row r="358" spans="6:6" x14ac:dyDescent="0.3">
      <c r="F358" t="str">
        <f t="shared" si="9"/>
        <v/>
      </c>
    </row>
    <row r="359" spans="6:6" x14ac:dyDescent="0.3">
      <c r="F359" t="str">
        <f t="shared" si="9"/>
        <v/>
      </c>
    </row>
    <row r="360" spans="6:6" x14ac:dyDescent="0.3">
      <c r="F360" t="str">
        <f t="shared" si="9"/>
        <v/>
      </c>
    </row>
    <row r="361" spans="6:6" x14ac:dyDescent="0.3">
      <c r="F361" t="str">
        <f t="shared" si="9"/>
        <v/>
      </c>
    </row>
    <row r="362" spans="6:6" x14ac:dyDescent="0.3">
      <c r="F362" t="str">
        <f t="shared" si="9"/>
        <v/>
      </c>
    </row>
    <row r="363" spans="6:6" x14ac:dyDescent="0.3">
      <c r="F363" t="str">
        <f t="shared" si="9"/>
        <v/>
      </c>
    </row>
    <row r="364" spans="6:6" x14ac:dyDescent="0.3">
      <c r="F364" t="str">
        <f t="shared" si="9"/>
        <v/>
      </c>
    </row>
    <row r="365" spans="6:6" x14ac:dyDescent="0.3">
      <c r="F365" t="str">
        <f t="shared" si="9"/>
        <v/>
      </c>
    </row>
    <row r="366" spans="6:6" x14ac:dyDescent="0.3">
      <c r="F366" t="str">
        <f t="shared" si="9"/>
        <v/>
      </c>
    </row>
    <row r="367" spans="6:6" x14ac:dyDescent="0.3">
      <c r="F367" t="str">
        <f t="shared" si="9"/>
        <v/>
      </c>
    </row>
    <row r="368" spans="6:6" x14ac:dyDescent="0.3">
      <c r="F368" t="str">
        <f t="shared" si="9"/>
        <v/>
      </c>
    </row>
    <row r="369" spans="6:6" x14ac:dyDescent="0.3">
      <c r="F369" t="str">
        <f t="shared" si="9"/>
        <v/>
      </c>
    </row>
    <row r="370" spans="6:6" x14ac:dyDescent="0.3">
      <c r="F370" t="str">
        <f t="shared" si="9"/>
        <v/>
      </c>
    </row>
    <row r="371" spans="6:6" x14ac:dyDescent="0.3">
      <c r="F371" t="str">
        <f t="shared" si="9"/>
        <v/>
      </c>
    </row>
    <row r="372" spans="6:6" x14ac:dyDescent="0.3">
      <c r="F372" t="str">
        <f t="shared" si="9"/>
        <v/>
      </c>
    </row>
    <row r="373" spans="6:6" x14ac:dyDescent="0.3">
      <c r="F373" t="str">
        <f t="shared" si="9"/>
        <v/>
      </c>
    </row>
    <row r="374" spans="6:6" x14ac:dyDescent="0.3">
      <c r="F374" t="str">
        <f t="shared" si="9"/>
        <v/>
      </c>
    </row>
    <row r="375" spans="6:6" x14ac:dyDescent="0.3">
      <c r="F375" t="str">
        <f t="shared" si="9"/>
        <v/>
      </c>
    </row>
    <row r="376" spans="6:6" x14ac:dyDescent="0.3">
      <c r="F376" t="str">
        <f t="shared" si="9"/>
        <v/>
      </c>
    </row>
    <row r="377" spans="6:6" x14ac:dyDescent="0.3">
      <c r="F377" t="str">
        <f t="shared" si="9"/>
        <v/>
      </c>
    </row>
    <row r="378" spans="6:6" x14ac:dyDescent="0.3">
      <c r="F378" t="str">
        <f t="shared" si="9"/>
        <v/>
      </c>
    </row>
    <row r="379" spans="6:6" x14ac:dyDescent="0.3">
      <c r="F379" t="str">
        <f t="shared" si="9"/>
        <v/>
      </c>
    </row>
    <row r="380" spans="6:6" x14ac:dyDescent="0.3">
      <c r="F380" t="str">
        <f t="shared" si="9"/>
        <v/>
      </c>
    </row>
    <row r="381" spans="6:6" x14ac:dyDescent="0.3">
      <c r="F381" t="str">
        <f t="shared" si="9"/>
        <v/>
      </c>
    </row>
    <row r="382" spans="6:6" x14ac:dyDescent="0.3">
      <c r="F382" t="str">
        <f t="shared" si="9"/>
        <v/>
      </c>
    </row>
    <row r="383" spans="6:6" x14ac:dyDescent="0.3">
      <c r="F383" t="str">
        <f t="shared" si="9"/>
        <v/>
      </c>
    </row>
    <row r="384" spans="6:6" x14ac:dyDescent="0.3">
      <c r="F384" t="str">
        <f t="shared" si="9"/>
        <v/>
      </c>
    </row>
    <row r="385" spans="6:6" x14ac:dyDescent="0.3">
      <c r="F385" t="str">
        <f t="shared" si="9"/>
        <v/>
      </c>
    </row>
    <row r="386" spans="6:6" x14ac:dyDescent="0.3">
      <c r="F386" t="str">
        <f t="shared" si="9"/>
        <v/>
      </c>
    </row>
    <row r="387" spans="6:6" x14ac:dyDescent="0.3">
      <c r="F387" t="str">
        <f t="shared" si="9"/>
        <v/>
      </c>
    </row>
    <row r="388" spans="6:6" x14ac:dyDescent="0.3">
      <c r="F388" t="str">
        <f t="shared" si="9"/>
        <v/>
      </c>
    </row>
    <row r="389" spans="6:6" x14ac:dyDescent="0.3">
      <c r="F389" t="str">
        <f t="shared" si="9"/>
        <v/>
      </c>
    </row>
    <row r="390" spans="6:6" x14ac:dyDescent="0.3">
      <c r="F390" t="str">
        <f t="shared" ref="F390:F453" si="10">A390&amp;B390&amp;C390&amp;D390&amp;E390</f>
        <v/>
      </c>
    </row>
    <row r="391" spans="6:6" x14ac:dyDescent="0.3">
      <c r="F391" t="str">
        <f t="shared" si="10"/>
        <v/>
      </c>
    </row>
    <row r="392" spans="6:6" x14ac:dyDescent="0.3">
      <c r="F392" t="str">
        <f t="shared" si="10"/>
        <v/>
      </c>
    </row>
    <row r="393" spans="6:6" x14ac:dyDescent="0.3">
      <c r="F393" t="str">
        <f t="shared" si="10"/>
        <v/>
      </c>
    </row>
    <row r="394" spans="6:6" x14ac:dyDescent="0.3">
      <c r="F394" t="str">
        <f t="shared" si="10"/>
        <v/>
      </c>
    </row>
    <row r="395" spans="6:6" x14ac:dyDescent="0.3">
      <c r="F395" t="str">
        <f t="shared" si="10"/>
        <v/>
      </c>
    </row>
    <row r="396" spans="6:6" x14ac:dyDescent="0.3">
      <c r="F396" t="str">
        <f t="shared" si="10"/>
        <v/>
      </c>
    </row>
    <row r="397" spans="6:6" x14ac:dyDescent="0.3">
      <c r="F397" t="str">
        <f t="shared" si="10"/>
        <v/>
      </c>
    </row>
    <row r="398" spans="6:6" x14ac:dyDescent="0.3">
      <c r="F398" t="str">
        <f t="shared" si="10"/>
        <v/>
      </c>
    </row>
    <row r="399" spans="6:6" x14ac:dyDescent="0.3">
      <c r="F399" t="str">
        <f t="shared" si="10"/>
        <v/>
      </c>
    </row>
    <row r="400" spans="6:6" x14ac:dyDescent="0.3">
      <c r="F400" t="str">
        <f t="shared" si="10"/>
        <v/>
      </c>
    </row>
    <row r="401" spans="6:6" x14ac:dyDescent="0.3">
      <c r="F401" t="str">
        <f t="shared" si="10"/>
        <v/>
      </c>
    </row>
    <row r="402" spans="6:6" x14ac:dyDescent="0.3">
      <c r="F402" t="str">
        <f t="shared" si="10"/>
        <v/>
      </c>
    </row>
    <row r="403" spans="6:6" x14ac:dyDescent="0.3">
      <c r="F403" t="str">
        <f t="shared" si="10"/>
        <v/>
      </c>
    </row>
    <row r="404" spans="6:6" x14ac:dyDescent="0.3">
      <c r="F404" t="str">
        <f t="shared" si="10"/>
        <v/>
      </c>
    </row>
    <row r="405" spans="6:6" x14ac:dyDescent="0.3">
      <c r="F405" t="str">
        <f t="shared" si="10"/>
        <v/>
      </c>
    </row>
    <row r="406" spans="6:6" x14ac:dyDescent="0.3">
      <c r="F406" t="str">
        <f t="shared" si="10"/>
        <v/>
      </c>
    </row>
    <row r="407" spans="6:6" x14ac:dyDescent="0.3">
      <c r="F407" t="str">
        <f t="shared" si="10"/>
        <v/>
      </c>
    </row>
    <row r="408" spans="6:6" x14ac:dyDescent="0.3">
      <c r="F408" t="str">
        <f t="shared" si="10"/>
        <v/>
      </c>
    </row>
    <row r="409" spans="6:6" x14ac:dyDescent="0.3">
      <c r="F409" t="str">
        <f t="shared" si="10"/>
        <v/>
      </c>
    </row>
    <row r="410" spans="6:6" x14ac:dyDescent="0.3">
      <c r="F410" t="str">
        <f t="shared" si="10"/>
        <v/>
      </c>
    </row>
    <row r="411" spans="6:6" x14ac:dyDescent="0.3">
      <c r="F411" t="str">
        <f t="shared" si="10"/>
        <v/>
      </c>
    </row>
    <row r="412" spans="6:6" x14ac:dyDescent="0.3">
      <c r="F412" t="str">
        <f t="shared" si="10"/>
        <v/>
      </c>
    </row>
    <row r="413" spans="6:6" x14ac:dyDescent="0.3">
      <c r="F413" t="str">
        <f t="shared" si="10"/>
        <v/>
      </c>
    </row>
    <row r="414" spans="6:6" x14ac:dyDescent="0.3">
      <c r="F414" t="str">
        <f t="shared" si="10"/>
        <v/>
      </c>
    </row>
    <row r="415" spans="6:6" x14ac:dyDescent="0.3">
      <c r="F415" t="str">
        <f t="shared" si="10"/>
        <v/>
      </c>
    </row>
    <row r="416" spans="6:6" x14ac:dyDescent="0.3">
      <c r="F416" t="str">
        <f t="shared" si="10"/>
        <v/>
      </c>
    </row>
    <row r="417" spans="6:6" x14ac:dyDescent="0.3">
      <c r="F417" t="str">
        <f t="shared" si="10"/>
        <v/>
      </c>
    </row>
    <row r="418" spans="6:6" x14ac:dyDescent="0.3">
      <c r="F418" t="str">
        <f t="shared" si="10"/>
        <v/>
      </c>
    </row>
    <row r="419" spans="6:6" x14ac:dyDescent="0.3">
      <c r="F419" t="str">
        <f t="shared" si="10"/>
        <v/>
      </c>
    </row>
    <row r="420" spans="6:6" x14ac:dyDescent="0.3">
      <c r="F420" t="str">
        <f t="shared" si="10"/>
        <v/>
      </c>
    </row>
    <row r="421" spans="6:6" x14ac:dyDescent="0.3">
      <c r="F421" t="str">
        <f t="shared" si="10"/>
        <v/>
      </c>
    </row>
    <row r="422" spans="6:6" x14ac:dyDescent="0.3">
      <c r="F422" t="str">
        <f t="shared" si="10"/>
        <v/>
      </c>
    </row>
    <row r="423" spans="6:6" x14ac:dyDescent="0.3">
      <c r="F423" t="str">
        <f t="shared" si="10"/>
        <v/>
      </c>
    </row>
    <row r="424" spans="6:6" x14ac:dyDescent="0.3">
      <c r="F424" t="str">
        <f t="shared" si="10"/>
        <v/>
      </c>
    </row>
    <row r="425" spans="6:6" x14ac:dyDescent="0.3">
      <c r="F425" t="str">
        <f t="shared" si="10"/>
        <v/>
      </c>
    </row>
    <row r="426" spans="6:6" x14ac:dyDescent="0.3">
      <c r="F426" t="str">
        <f t="shared" si="10"/>
        <v/>
      </c>
    </row>
    <row r="427" spans="6:6" x14ac:dyDescent="0.3">
      <c r="F427" t="str">
        <f t="shared" si="10"/>
        <v/>
      </c>
    </row>
    <row r="428" spans="6:6" x14ac:dyDescent="0.3">
      <c r="F428" t="str">
        <f t="shared" si="10"/>
        <v/>
      </c>
    </row>
    <row r="429" spans="6:6" x14ac:dyDescent="0.3">
      <c r="F429" t="str">
        <f t="shared" si="10"/>
        <v/>
      </c>
    </row>
    <row r="430" spans="6:6" x14ac:dyDescent="0.3">
      <c r="F430" t="str">
        <f t="shared" si="10"/>
        <v/>
      </c>
    </row>
    <row r="431" spans="6:6" x14ac:dyDescent="0.3">
      <c r="F431" t="str">
        <f t="shared" si="10"/>
        <v/>
      </c>
    </row>
    <row r="432" spans="6:6" x14ac:dyDescent="0.3">
      <c r="F432" t="str">
        <f t="shared" si="10"/>
        <v/>
      </c>
    </row>
    <row r="433" spans="6:6" x14ac:dyDescent="0.3">
      <c r="F433" t="str">
        <f t="shared" si="10"/>
        <v/>
      </c>
    </row>
    <row r="434" spans="6:6" x14ac:dyDescent="0.3">
      <c r="F434" t="str">
        <f t="shared" si="10"/>
        <v/>
      </c>
    </row>
    <row r="435" spans="6:6" x14ac:dyDescent="0.3">
      <c r="F435" t="str">
        <f t="shared" si="10"/>
        <v/>
      </c>
    </row>
    <row r="436" spans="6:6" x14ac:dyDescent="0.3">
      <c r="F436" t="str">
        <f t="shared" si="10"/>
        <v/>
      </c>
    </row>
    <row r="437" spans="6:6" x14ac:dyDescent="0.3">
      <c r="F437" t="str">
        <f t="shared" si="10"/>
        <v/>
      </c>
    </row>
    <row r="438" spans="6:6" x14ac:dyDescent="0.3">
      <c r="F438" t="str">
        <f t="shared" si="10"/>
        <v/>
      </c>
    </row>
    <row r="439" spans="6:6" x14ac:dyDescent="0.3">
      <c r="F439" t="str">
        <f t="shared" si="10"/>
        <v/>
      </c>
    </row>
    <row r="440" spans="6:6" x14ac:dyDescent="0.3">
      <c r="F440" t="str">
        <f t="shared" si="10"/>
        <v/>
      </c>
    </row>
    <row r="441" spans="6:6" x14ac:dyDescent="0.3">
      <c r="F441" t="str">
        <f t="shared" si="10"/>
        <v/>
      </c>
    </row>
    <row r="442" spans="6:6" x14ac:dyDescent="0.3">
      <c r="F442" t="str">
        <f t="shared" si="10"/>
        <v/>
      </c>
    </row>
    <row r="443" spans="6:6" x14ac:dyDescent="0.3">
      <c r="F443" t="str">
        <f t="shared" si="10"/>
        <v/>
      </c>
    </row>
    <row r="444" spans="6:6" x14ac:dyDescent="0.3">
      <c r="F444" t="str">
        <f t="shared" si="10"/>
        <v/>
      </c>
    </row>
    <row r="445" spans="6:6" x14ac:dyDescent="0.3">
      <c r="F445" t="str">
        <f t="shared" si="10"/>
        <v/>
      </c>
    </row>
    <row r="446" spans="6:6" x14ac:dyDescent="0.3">
      <c r="F446" t="str">
        <f t="shared" si="10"/>
        <v/>
      </c>
    </row>
    <row r="447" spans="6:6" x14ac:dyDescent="0.3">
      <c r="F447" t="str">
        <f t="shared" si="10"/>
        <v/>
      </c>
    </row>
    <row r="448" spans="6:6" x14ac:dyDescent="0.3">
      <c r="F448" t="str">
        <f t="shared" si="10"/>
        <v/>
      </c>
    </row>
    <row r="449" spans="6:6" x14ac:dyDescent="0.3">
      <c r="F449" t="str">
        <f t="shared" si="10"/>
        <v/>
      </c>
    </row>
    <row r="450" spans="6:6" x14ac:dyDescent="0.3">
      <c r="F450" t="str">
        <f t="shared" si="10"/>
        <v/>
      </c>
    </row>
    <row r="451" spans="6:6" x14ac:dyDescent="0.3">
      <c r="F451" t="str">
        <f t="shared" si="10"/>
        <v/>
      </c>
    </row>
    <row r="452" spans="6:6" x14ac:dyDescent="0.3">
      <c r="F452" t="str">
        <f t="shared" si="10"/>
        <v/>
      </c>
    </row>
    <row r="453" spans="6:6" x14ac:dyDescent="0.3">
      <c r="F453" t="str">
        <f t="shared" si="10"/>
        <v/>
      </c>
    </row>
    <row r="454" spans="6:6" x14ac:dyDescent="0.3">
      <c r="F454" t="str">
        <f t="shared" ref="F454:F517" si="11">A454&amp;B454&amp;C454&amp;D454&amp;E454</f>
        <v/>
      </c>
    </row>
    <row r="455" spans="6:6" x14ac:dyDescent="0.3">
      <c r="F455" t="str">
        <f t="shared" si="11"/>
        <v/>
      </c>
    </row>
    <row r="456" spans="6:6" x14ac:dyDescent="0.3">
      <c r="F456" t="str">
        <f t="shared" si="11"/>
        <v/>
      </c>
    </row>
    <row r="457" spans="6:6" x14ac:dyDescent="0.3">
      <c r="F457" t="str">
        <f t="shared" si="11"/>
        <v/>
      </c>
    </row>
    <row r="458" spans="6:6" x14ac:dyDescent="0.3">
      <c r="F458" t="str">
        <f t="shared" si="11"/>
        <v/>
      </c>
    </row>
    <row r="459" spans="6:6" x14ac:dyDescent="0.3">
      <c r="F459" t="str">
        <f t="shared" si="11"/>
        <v/>
      </c>
    </row>
    <row r="460" spans="6:6" x14ac:dyDescent="0.3">
      <c r="F460" t="str">
        <f t="shared" si="11"/>
        <v/>
      </c>
    </row>
    <row r="461" spans="6:6" x14ac:dyDescent="0.3">
      <c r="F461" t="str">
        <f t="shared" si="11"/>
        <v/>
      </c>
    </row>
    <row r="462" spans="6:6" x14ac:dyDescent="0.3">
      <c r="F462" t="str">
        <f t="shared" si="11"/>
        <v/>
      </c>
    </row>
    <row r="463" spans="6:6" x14ac:dyDescent="0.3">
      <c r="F463" t="str">
        <f t="shared" si="11"/>
        <v/>
      </c>
    </row>
    <row r="464" spans="6:6" x14ac:dyDescent="0.3">
      <c r="F464" t="str">
        <f t="shared" si="11"/>
        <v/>
      </c>
    </row>
    <row r="465" spans="6:6" x14ac:dyDescent="0.3">
      <c r="F465" t="str">
        <f t="shared" si="11"/>
        <v/>
      </c>
    </row>
    <row r="466" spans="6:6" x14ac:dyDescent="0.3">
      <c r="F466" t="str">
        <f t="shared" si="11"/>
        <v/>
      </c>
    </row>
    <row r="467" spans="6:6" x14ac:dyDescent="0.3">
      <c r="F467" t="str">
        <f t="shared" si="11"/>
        <v/>
      </c>
    </row>
    <row r="468" spans="6:6" x14ac:dyDescent="0.3">
      <c r="F468" t="str">
        <f t="shared" si="11"/>
        <v/>
      </c>
    </row>
    <row r="469" spans="6:6" x14ac:dyDescent="0.3">
      <c r="F469" t="str">
        <f t="shared" si="11"/>
        <v/>
      </c>
    </row>
    <row r="470" spans="6:6" x14ac:dyDescent="0.3">
      <c r="F470" t="str">
        <f t="shared" si="11"/>
        <v/>
      </c>
    </row>
    <row r="471" spans="6:6" x14ac:dyDescent="0.3">
      <c r="F471" t="str">
        <f t="shared" si="11"/>
        <v/>
      </c>
    </row>
    <row r="472" spans="6:6" x14ac:dyDescent="0.3">
      <c r="F472" t="str">
        <f t="shared" si="11"/>
        <v/>
      </c>
    </row>
    <row r="473" spans="6:6" x14ac:dyDescent="0.3">
      <c r="F473" t="str">
        <f t="shared" si="11"/>
        <v/>
      </c>
    </row>
    <row r="474" spans="6:6" x14ac:dyDescent="0.3">
      <c r="F474" t="str">
        <f t="shared" si="11"/>
        <v/>
      </c>
    </row>
    <row r="475" spans="6:6" x14ac:dyDescent="0.3">
      <c r="F475" t="str">
        <f t="shared" si="11"/>
        <v/>
      </c>
    </row>
    <row r="476" spans="6:6" x14ac:dyDescent="0.3">
      <c r="F476" t="str">
        <f t="shared" si="11"/>
        <v/>
      </c>
    </row>
    <row r="477" spans="6:6" x14ac:dyDescent="0.3">
      <c r="F477" t="str">
        <f t="shared" si="11"/>
        <v/>
      </c>
    </row>
    <row r="478" spans="6:6" x14ac:dyDescent="0.3">
      <c r="F478" t="str">
        <f t="shared" si="11"/>
        <v/>
      </c>
    </row>
    <row r="479" spans="6:6" x14ac:dyDescent="0.3">
      <c r="F479" t="str">
        <f t="shared" si="11"/>
        <v/>
      </c>
    </row>
    <row r="480" spans="6:6" x14ac:dyDescent="0.3">
      <c r="F480" t="str">
        <f t="shared" si="11"/>
        <v/>
      </c>
    </row>
    <row r="481" spans="6:6" x14ac:dyDescent="0.3">
      <c r="F481" t="str">
        <f t="shared" si="11"/>
        <v/>
      </c>
    </row>
    <row r="482" spans="6:6" x14ac:dyDescent="0.3">
      <c r="F482" t="str">
        <f t="shared" si="11"/>
        <v/>
      </c>
    </row>
    <row r="483" spans="6:6" x14ac:dyDescent="0.3">
      <c r="F483" t="str">
        <f t="shared" si="11"/>
        <v/>
      </c>
    </row>
    <row r="484" spans="6:6" x14ac:dyDescent="0.3">
      <c r="F484" t="str">
        <f t="shared" si="11"/>
        <v/>
      </c>
    </row>
    <row r="485" spans="6:6" x14ac:dyDescent="0.3">
      <c r="F485" t="str">
        <f t="shared" si="11"/>
        <v/>
      </c>
    </row>
    <row r="486" spans="6:6" x14ac:dyDescent="0.3">
      <c r="F486" t="str">
        <f t="shared" si="11"/>
        <v/>
      </c>
    </row>
    <row r="487" spans="6:6" x14ac:dyDescent="0.3">
      <c r="F487" t="str">
        <f t="shared" si="11"/>
        <v/>
      </c>
    </row>
    <row r="488" spans="6:6" x14ac:dyDescent="0.3">
      <c r="F488" t="str">
        <f t="shared" si="11"/>
        <v/>
      </c>
    </row>
    <row r="489" spans="6:6" x14ac:dyDescent="0.3">
      <c r="F489" t="str">
        <f t="shared" si="11"/>
        <v/>
      </c>
    </row>
    <row r="490" spans="6:6" x14ac:dyDescent="0.3">
      <c r="F490" t="str">
        <f t="shared" si="11"/>
        <v/>
      </c>
    </row>
    <row r="491" spans="6:6" x14ac:dyDescent="0.3">
      <c r="F491" t="str">
        <f t="shared" si="11"/>
        <v/>
      </c>
    </row>
    <row r="492" spans="6:6" x14ac:dyDescent="0.3">
      <c r="F492" t="str">
        <f t="shared" si="11"/>
        <v/>
      </c>
    </row>
    <row r="493" spans="6:6" x14ac:dyDescent="0.3">
      <c r="F493" t="str">
        <f t="shared" si="11"/>
        <v/>
      </c>
    </row>
    <row r="494" spans="6:6" x14ac:dyDescent="0.3">
      <c r="F494" t="str">
        <f t="shared" si="11"/>
        <v/>
      </c>
    </row>
    <row r="495" spans="6:6" x14ac:dyDescent="0.3">
      <c r="F495" t="str">
        <f t="shared" si="11"/>
        <v/>
      </c>
    </row>
    <row r="496" spans="6:6" x14ac:dyDescent="0.3">
      <c r="F496" t="str">
        <f t="shared" si="11"/>
        <v/>
      </c>
    </row>
    <row r="497" spans="6:6" x14ac:dyDescent="0.3">
      <c r="F497" t="str">
        <f t="shared" si="11"/>
        <v/>
      </c>
    </row>
    <row r="498" spans="6:6" x14ac:dyDescent="0.3">
      <c r="F498" t="str">
        <f t="shared" si="11"/>
        <v/>
      </c>
    </row>
    <row r="499" spans="6:6" x14ac:dyDescent="0.3">
      <c r="F499" t="str">
        <f t="shared" si="11"/>
        <v/>
      </c>
    </row>
    <row r="500" spans="6:6" x14ac:dyDescent="0.3">
      <c r="F500" t="str">
        <f t="shared" si="11"/>
        <v/>
      </c>
    </row>
    <row r="501" spans="6:6" x14ac:dyDescent="0.3">
      <c r="F501" t="str">
        <f t="shared" si="11"/>
        <v/>
      </c>
    </row>
    <row r="502" spans="6:6" x14ac:dyDescent="0.3">
      <c r="F502" t="str">
        <f t="shared" si="11"/>
        <v/>
      </c>
    </row>
    <row r="503" spans="6:6" x14ac:dyDescent="0.3">
      <c r="F503" t="str">
        <f t="shared" si="11"/>
        <v/>
      </c>
    </row>
    <row r="504" spans="6:6" x14ac:dyDescent="0.3">
      <c r="F504" t="str">
        <f t="shared" si="11"/>
        <v/>
      </c>
    </row>
    <row r="505" spans="6:6" x14ac:dyDescent="0.3">
      <c r="F505" t="str">
        <f t="shared" si="11"/>
        <v/>
      </c>
    </row>
    <row r="506" spans="6:6" x14ac:dyDescent="0.3">
      <c r="F506" t="str">
        <f t="shared" si="11"/>
        <v/>
      </c>
    </row>
    <row r="507" spans="6:6" x14ac:dyDescent="0.3">
      <c r="F507" t="str">
        <f t="shared" si="11"/>
        <v/>
      </c>
    </row>
    <row r="508" spans="6:6" x14ac:dyDescent="0.3">
      <c r="F508" t="str">
        <f t="shared" si="11"/>
        <v/>
      </c>
    </row>
    <row r="509" spans="6:6" x14ac:dyDescent="0.3">
      <c r="F509" t="str">
        <f t="shared" si="11"/>
        <v/>
      </c>
    </row>
    <row r="510" spans="6:6" x14ac:dyDescent="0.3">
      <c r="F510" t="str">
        <f t="shared" si="11"/>
        <v/>
      </c>
    </row>
    <row r="511" spans="6:6" x14ac:dyDescent="0.3">
      <c r="F511" t="str">
        <f t="shared" si="11"/>
        <v/>
      </c>
    </row>
    <row r="512" spans="6:6" x14ac:dyDescent="0.3">
      <c r="F512" t="str">
        <f t="shared" si="11"/>
        <v/>
      </c>
    </row>
    <row r="513" spans="6:6" x14ac:dyDescent="0.3">
      <c r="F513" t="str">
        <f t="shared" si="11"/>
        <v/>
      </c>
    </row>
    <row r="514" spans="6:6" x14ac:dyDescent="0.3">
      <c r="F514" t="str">
        <f t="shared" si="11"/>
        <v/>
      </c>
    </row>
    <row r="515" spans="6:6" x14ac:dyDescent="0.3">
      <c r="F515" t="str">
        <f t="shared" si="11"/>
        <v/>
      </c>
    </row>
    <row r="516" spans="6:6" x14ac:dyDescent="0.3">
      <c r="F516" t="str">
        <f t="shared" si="11"/>
        <v/>
      </c>
    </row>
    <row r="517" spans="6:6" x14ac:dyDescent="0.3">
      <c r="F517" t="str">
        <f t="shared" si="11"/>
        <v/>
      </c>
    </row>
    <row r="518" spans="6:6" x14ac:dyDescent="0.3">
      <c r="F518" t="str">
        <f t="shared" ref="F518:F581" si="12">A518&amp;B518&amp;C518&amp;D518&amp;E518</f>
        <v/>
      </c>
    </row>
    <row r="519" spans="6:6" x14ac:dyDescent="0.3">
      <c r="F519" t="str">
        <f t="shared" si="12"/>
        <v/>
      </c>
    </row>
    <row r="520" spans="6:6" x14ac:dyDescent="0.3">
      <c r="F520" t="str">
        <f t="shared" si="12"/>
        <v/>
      </c>
    </row>
    <row r="521" spans="6:6" x14ac:dyDescent="0.3">
      <c r="F521" t="str">
        <f t="shared" si="12"/>
        <v/>
      </c>
    </row>
    <row r="522" spans="6:6" x14ac:dyDescent="0.3">
      <c r="F522" t="str">
        <f t="shared" si="12"/>
        <v/>
      </c>
    </row>
    <row r="523" spans="6:6" x14ac:dyDescent="0.3">
      <c r="F523" t="str">
        <f t="shared" si="12"/>
        <v/>
      </c>
    </row>
    <row r="524" spans="6:6" x14ac:dyDescent="0.3">
      <c r="F524" t="str">
        <f t="shared" si="12"/>
        <v/>
      </c>
    </row>
    <row r="525" spans="6:6" x14ac:dyDescent="0.3">
      <c r="F525" t="str">
        <f t="shared" si="12"/>
        <v/>
      </c>
    </row>
    <row r="526" spans="6:6" x14ac:dyDescent="0.3">
      <c r="F526" t="str">
        <f t="shared" si="12"/>
        <v/>
      </c>
    </row>
    <row r="527" spans="6:6" x14ac:dyDescent="0.3">
      <c r="F527" t="str">
        <f t="shared" si="12"/>
        <v/>
      </c>
    </row>
    <row r="528" spans="6:6" x14ac:dyDescent="0.3">
      <c r="F528" t="str">
        <f t="shared" si="12"/>
        <v/>
      </c>
    </row>
    <row r="529" spans="6:6" x14ac:dyDescent="0.3">
      <c r="F529" t="str">
        <f t="shared" si="12"/>
        <v/>
      </c>
    </row>
    <row r="530" spans="6:6" x14ac:dyDescent="0.3">
      <c r="F530" t="str">
        <f t="shared" si="12"/>
        <v/>
      </c>
    </row>
    <row r="531" spans="6:6" x14ac:dyDescent="0.3">
      <c r="F531" t="str">
        <f t="shared" si="12"/>
        <v/>
      </c>
    </row>
    <row r="532" spans="6:6" x14ac:dyDescent="0.3">
      <c r="F532" t="str">
        <f t="shared" si="12"/>
        <v/>
      </c>
    </row>
    <row r="533" spans="6:6" x14ac:dyDescent="0.3">
      <c r="F533" t="str">
        <f t="shared" si="12"/>
        <v/>
      </c>
    </row>
    <row r="534" spans="6:6" x14ac:dyDescent="0.3">
      <c r="F534" t="str">
        <f t="shared" si="12"/>
        <v/>
      </c>
    </row>
    <row r="535" spans="6:6" x14ac:dyDescent="0.3">
      <c r="F535" t="str">
        <f t="shared" si="12"/>
        <v/>
      </c>
    </row>
    <row r="536" spans="6:6" x14ac:dyDescent="0.3">
      <c r="F536" t="str">
        <f t="shared" si="12"/>
        <v/>
      </c>
    </row>
    <row r="537" spans="6:6" x14ac:dyDescent="0.3">
      <c r="F537" t="str">
        <f t="shared" si="12"/>
        <v/>
      </c>
    </row>
    <row r="538" spans="6:6" x14ac:dyDescent="0.3">
      <c r="F538" t="str">
        <f t="shared" si="12"/>
        <v/>
      </c>
    </row>
    <row r="539" spans="6:6" x14ac:dyDescent="0.3">
      <c r="F539" t="str">
        <f t="shared" si="12"/>
        <v/>
      </c>
    </row>
    <row r="540" spans="6:6" x14ac:dyDescent="0.3">
      <c r="F540" t="str">
        <f t="shared" si="12"/>
        <v/>
      </c>
    </row>
    <row r="541" spans="6:6" x14ac:dyDescent="0.3">
      <c r="F541" t="str">
        <f t="shared" si="12"/>
        <v/>
      </c>
    </row>
    <row r="542" spans="6:6" x14ac:dyDescent="0.3">
      <c r="F542" t="str">
        <f t="shared" si="12"/>
        <v/>
      </c>
    </row>
    <row r="543" spans="6:6" x14ac:dyDescent="0.3">
      <c r="F543" t="str">
        <f t="shared" si="12"/>
        <v/>
      </c>
    </row>
    <row r="544" spans="6:6" x14ac:dyDescent="0.3">
      <c r="F544" t="str">
        <f t="shared" si="12"/>
        <v/>
      </c>
    </row>
    <row r="545" spans="6:6" x14ac:dyDescent="0.3">
      <c r="F545" t="str">
        <f t="shared" si="12"/>
        <v/>
      </c>
    </row>
    <row r="546" spans="6:6" x14ac:dyDescent="0.3">
      <c r="F546" t="str">
        <f t="shared" si="12"/>
        <v/>
      </c>
    </row>
    <row r="547" spans="6:6" x14ac:dyDescent="0.3">
      <c r="F547" t="str">
        <f t="shared" si="12"/>
        <v/>
      </c>
    </row>
    <row r="548" spans="6:6" x14ac:dyDescent="0.3">
      <c r="F548" t="str">
        <f t="shared" si="12"/>
        <v/>
      </c>
    </row>
    <row r="549" spans="6:6" x14ac:dyDescent="0.3">
      <c r="F549" t="str">
        <f t="shared" si="12"/>
        <v/>
      </c>
    </row>
    <row r="550" spans="6:6" x14ac:dyDescent="0.3">
      <c r="F550" t="str">
        <f t="shared" si="12"/>
        <v/>
      </c>
    </row>
    <row r="551" spans="6:6" x14ac:dyDescent="0.3">
      <c r="F551" t="str">
        <f t="shared" si="12"/>
        <v/>
      </c>
    </row>
    <row r="552" spans="6:6" x14ac:dyDescent="0.3">
      <c r="F552" t="str">
        <f t="shared" si="12"/>
        <v/>
      </c>
    </row>
    <row r="553" spans="6:6" x14ac:dyDescent="0.3">
      <c r="F553" t="str">
        <f t="shared" si="12"/>
        <v/>
      </c>
    </row>
    <row r="554" spans="6:6" x14ac:dyDescent="0.3">
      <c r="F554" t="str">
        <f t="shared" si="12"/>
        <v/>
      </c>
    </row>
    <row r="555" spans="6:6" x14ac:dyDescent="0.3">
      <c r="F555" t="str">
        <f t="shared" si="12"/>
        <v/>
      </c>
    </row>
    <row r="556" spans="6:6" x14ac:dyDescent="0.3">
      <c r="F556" t="str">
        <f t="shared" si="12"/>
        <v/>
      </c>
    </row>
    <row r="557" spans="6:6" x14ac:dyDescent="0.3">
      <c r="F557" t="str">
        <f t="shared" si="12"/>
        <v/>
      </c>
    </row>
    <row r="558" spans="6:6" x14ac:dyDescent="0.3">
      <c r="F558" t="str">
        <f t="shared" si="12"/>
        <v/>
      </c>
    </row>
    <row r="559" spans="6:6" x14ac:dyDescent="0.3">
      <c r="F559" t="str">
        <f t="shared" si="12"/>
        <v/>
      </c>
    </row>
    <row r="560" spans="6:6" x14ac:dyDescent="0.3">
      <c r="F560" t="str">
        <f t="shared" si="12"/>
        <v/>
      </c>
    </row>
    <row r="561" spans="6:6" x14ac:dyDescent="0.3">
      <c r="F561" t="str">
        <f t="shared" si="12"/>
        <v/>
      </c>
    </row>
    <row r="562" spans="6:6" x14ac:dyDescent="0.3">
      <c r="F562" t="str">
        <f t="shared" si="12"/>
        <v/>
      </c>
    </row>
    <row r="563" spans="6:6" x14ac:dyDescent="0.3">
      <c r="F563" t="str">
        <f t="shared" si="12"/>
        <v/>
      </c>
    </row>
    <row r="564" spans="6:6" x14ac:dyDescent="0.3">
      <c r="F564" t="str">
        <f t="shared" si="12"/>
        <v/>
      </c>
    </row>
    <row r="565" spans="6:6" x14ac:dyDescent="0.3">
      <c r="F565" t="str">
        <f t="shared" si="12"/>
        <v/>
      </c>
    </row>
    <row r="566" spans="6:6" x14ac:dyDescent="0.3">
      <c r="F566" t="str">
        <f t="shared" si="12"/>
        <v/>
      </c>
    </row>
    <row r="567" spans="6:6" x14ac:dyDescent="0.3">
      <c r="F567" t="str">
        <f t="shared" si="12"/>
        <v/>
      </c>
    </row>
    <row r="568" spans="6:6" x14ac:dyDescent="0.3">
      <c r="F568" t="str">
        <f t="shared" si="12"/>
        <v/>
      </c>
    </row>
    <row r="569" spans="6:6" x14ac:dyDescent="0.3">
      <c r="F569" t="str">
        <f t="shared" si="12"/>
        <v/>
      </c>
    </row>
    <row r="570" spans="6:6" x14ac:dyDescent="0.3">
      <c r="F570" t="str">
        <f t="shared" si="12"/>
        <v/>
      </c>
    </row>
    <row r="571" spans="6:6" x14ac:dyDescent="0.3">
      <c r="F571" t="str">
        <f t="shared" si="12"/>
        <v/>
      </c>
    </row>
    <row r="572" spans="6:6" x14ac:dyDescent="0.3">
      <c r="F572" t="str">
        <f t="shared" si="12"/>
        <v/>
      </c>
    </row>
    <row r="573" spans="6:6" x14ac:dyDescent="0.3">
      <c r="F573" t="str">
        <f t="shared" si="12"/>
        <v/>
      </c>
    </row>
    <row r="574" spans="6:6" x14ac:dyDescent="0.3">
      <c r="F574" t="str">
        <f t="shared" si="12"/>
        <v/>
      </c>
    </row>
    <row r="575" spans="6:6" x14ac:dyDescent="0.3">
      <c r="F575" t="str">
        <f t="shared" si="12"/>
        <v/>
      </c>
    </row>
    <row r="576" spans="6:6" x14ac:dyDescent="0.3">
      <c r="F576" t="str">
        <f t="shared" si="12"/>
        <v/>
      </c>
    </row>
    <row r="577" spans="6:6" x14ac:dyDescent="0.3">
      <c r="F577" t="str">
        <f t="shared" si="12"/>
        <v/>
      </c>
    </row>
    <row r="578" spans="6:6" x14ac:dyDescent="0.3">
      <c r="F578" t="str">
        <f t="shared" si="12"/>
        <v/>
      </c>
    </row>
    <row r="579" spans="6:6" x14ac:dyDescent="0.3">
      <c r="F579" t="str">
        <f t="shared" si="12"/>
        <v/>
      </c>
    </row>
    <row r="580" spans="6:6" x14ac:dyDescent="0.3">
      <c r="F580" t="str">
        <f t="shared" si="12"/>
        <v/>
      </c>
    </row>
    <row r="581" spans="6:6" x14ac:dyDescent="0.3">
      <c r="F581" t="str">
        <f t="shared" si="12"/>
        <v/>
      </c>
    </row>
    <row r="582" spans="6:6" x14ac:dyDescent="0.3">
      <c r="F582" t="str">
        <f t="shared" ref="F582:F645" si="13">A582&amp;B582&amp;C582&amp;D582&amp;E582</f>
        <v/>
      </c>
    </row>
    <row r="583" spans="6:6" x14ac:dyDescent="0.3">
      <c r="F583" t="str">
        <f t="shared" si="13"/>
        <v/>
      </c>
    </row>
    <row r="584" spans="6:6" x14ac:dyDescent="0.3">
      <c r="F584" t="str">
        <f t="shared" si="13"/>
        <v/>
      </c>
    </row>
    <row r="585" spans="6:6" x14ac:dyDescent="0.3">
      <c r="F585" t="str">
        <f t="shared" si="13"/>
        <v/>
      </c>
    </row>
    <row r="586" spans="6:6" x14ac:dyDescent="0.3">
      <c r="F586" t="str">
        <f t="shared" si="13"/>
        <v/>
      </c>
    </row>
    <row r="587" spans="6:6" x14ac:dyDescent="0.3">
      <c r="F587" t="str">
        <f t="shared" si="13"/>
        <v/>
      </c>
    </row>
    <row r="588" spans="6:6" x14ac:dyDescent="0.3">
      <c r="F588" t="str">
        <f t="shared" si="13"/>
        <v/>
      </c>
    </row>
    <row r="589" spans="6:6" x14ac:dyDescent="0.3">
      <c r="F589" t="str">
        <f t="shared" si="13"/>
        <v/>
      </c>
    </row>
    <row r="590" spans="6:6" x14ac:dyDescent="0.3">
      <c r="F590" t="str">
        <f t="shared" si="13"/>
        <v/>
      </c>
    </row>
    <row r="591" spans="6:6" x14ac:dyDescent="0.3">
      <c r="F591" t="str">
        <f t="shared" si="13"/>
        <v/>
      </c>
    </row>
    <row r="592" spans="6:6" x14ac:dyDescent="0.3">
      <c r="F592" t="str">
        <f t="shared" si="13"/>
        <v/>
      </c>
    </row>
    <row r="593" spans="6:6" x14ac:dyDescent="0.3">
      <c r="F593" t="str">
        <f t="shared" si="13"/>
        <v/>
      </c>
    </row>
    <row r="594" spans="6:6" x14ac:dyDescent="0.3">
      <c r="F594" t="str">
        <f t="shared" si="13"/>
        <v/>
      </c>
    </row>
    <row r="595" spans="6:6" x14ac:dyDescent="0.3">
      <c r="F595" t="str">
        <f t="shared" si="13"/>
        <v/>
      </c>
    </row>
    <row r="596" spans="6:6" x14ac:dyDescent="0.3">
      <c r="F596" t="str">
        <f t="shared" si="13"/>
        <v/>
      </c>
    </row>
    <row r="597" spans="6:6" x14ac:dyDescent="0.3">
      <c r="F597" t="str">
        <f t="shared" si="13"/>
        <v/>
      </c>
    </row>
    <row r="598" spans="6:6" x14ac:dyDescent="0.3">
      <c r="F598" t="str">
        <f t="shared" si="13"/>
        <v/>
      </c>
    </row>
    <row r="599" spans="6:6" x14ac:dyDescent="0.3">
      <c r="F599" t="str">
        <f t="shared" si="13"/>
        <v/>
      </c>
    </row>
    <row r="600" spans="6:6" x14ac:dyDescent="0.3">
      <c r="F600" t="str">
        <f t="shared" si="13"/>
        <v/>
      </c>
    </row>
    <row r="601" spans="6:6" x14ac:dyDescent="0.3">
      <c r="F601" t="str">
        <f t="shared" si="13"/>
        <v/>
      </c>
    </row>
    <row r="602" spans="6:6" x14ac:dyDescent="0.3">
      <c r="F602" t="str">
        <f t="shared" si="13"/>
        <v/>
      </c>
    </row>
    <row r="603" spans="6:6" x14ac:dyDescent="0.3">
      <c r="F603" t="str">
        <f t="shared" si="13"/>
        <v/>
      </c>
    </row>
    <row r="604" spans="6:6" x14ac:dyDescent="0.3">
      <c r="F604" t="str">
        <f t="shared" si="13"/>
        <v/>
      </c>
    </row>
    <row r="605" spans="6:6" x14ac:dyDescent="0.3">
      <c r="F605" t="str">
        <f t="shared" si="13"/>
        <v/>
      </c>
    </row>
    <row r="606" spans="6:6" x14ac:dyDescent="0.3">
      <c r="F606" t="str">
        <f t="shared" si="13"/>
        <v/>
      </c>
    </row>
    <row r="607" spans="6:6" x14ac:dyDescent="0.3">
      <c r="F607" t="str">
        <f t="shared" si="13"/>
        <v/>
      </c>
    </row>
    <row r="608" spans="6:6" x14ac:dyDescent="0.3">
      <c r="F608" t="str">
        <f t="shared" si="13"/>
        <v/>
      </c>
    </row>
    <row r="609" spans="6:6" x14ac:dyDescent="0.3">
      <c r="F609" t="str">
        <f t="shared" si="13"/>
        <v/>
      </c>
    </row>
    <row r="610" spans="6:6" x14ac:dyDescent="0.3">
      <c r="F610" t="str">
        <f t="shared" si="13"/>
        <v/>
      </c>
    </row>
    <row r="611" spans="6:6" x14ac:dyDescent="0.3">
      <c r="F611" t="str">
        <f t="shared" si="13"/>
        <v/>
      </c>
    </row>
    <row r="612" spans="6:6" x14ac:dyDescent="0.3">
      <c r="F612" t="str">
        <f t="shared" si="13"/>
        <v/>
      </c>
    </row>
    <row r="613" spans="6:6" x14ac:dyDescent="0.3">
      <c r="F613" t="str">
        <f t="shared" si="13"/>
        <v/>
      </c>
    </row>
    <row r="614" spans="6:6" x14ac:dyDescent="0.3">
      <c r="F614" t="str">
        <f t="shared" si="13"/>
        <v/>
      </c>
    </row>
    <row r="615" spans="6:6" x14ac:dyDescent="0.3">
      <c r="F615" t="str">
        <f t="shared" si="13"/>
        <v/>
      </c>
    </row>
    <row r="616" spans="6:6" x14ac:dyDescent="0.3">
      <c r="F616" t="str">
        <f t="shared" si="13"/>
        <v/>
      </c>
    </row>
    <row r="617" spans="6:6" x14ac:dyDescent="0.3">
      <c r="F617" t="str">
        <f t="shared" si="13"/>
        <v/>
      </c>
    </row>
    <row r="618" spans="6:6" x14ac:dyDescent="0.3">
      <c r="F618" t="str">
        <f t="shared" si="13"/>
        <v/>
      </c>
    </row>
    <row r="619" spans="6:6" x14ac:dyDescent="0.3">
      <c r="F619" t="str">
        <f t="shared" si="13"/>
        <v/>
      </c>
    </row>
    <row r="620" spans="6:6" x14ac:dyDescent="0.3">
      <c r="F620" t="str">
        <f t="shared" si="13"/>
        <v/>
      </c>
    </row>
    <row r="621" spans="6:6" x14ac:dyDescent="0.3">
      <c r="F621" t="str">
        <f t="shared" si="13"/>
        <v/>
      </c>
    </row>
    <row r="622" spans="6:6" x14ac:dyDescent="0.3">
      <c r="F622" t="str">
        <f t="shared" si="13"/>
        <v/>
      </c>
    </row>
    <row r="623" spans="6:6" x14ac:dyDescent="0.3">
      <c r="F623" t="str">
        <f t="shared" si="13"/>
        <v/>
      </c>
    </row>
    <row r="624" spans="6:6" x14ac:dyDescent="0.3">
      <c r="F624" t="str">
        <f t="shared" si="13"/>
        <v/>
      </c>
    </row>
    <row r="625" spans="6:6" x14ac:dyDescent="0.3">
      <c r="F625" t="str">
        <f t="shared" si="13"/>
        <v/>
      </c>
    </row>
    <row r="626" spans="6:6" x14ac:dyDescent="0.3">
      <c r="F626" t="str">
        <f t="shared" si="13"/>
        <v/>
      </c>
    </row>
    <row r="627" spans="6:6" x14ac:dyDescent="0.3">
      <c r="F627" t="str">
        <f t="shared" si="13"/>
        <v/>
      </c>
    </row>
    <row r="628" spans="6:6" x14ac:dyDescent="0.3">
      <c r="F628" t="str">
        <f t="shared" si="13"/>
        <v/>
      </c>
    </row>
    <row r="629" spans="6:6" x14ac:dyDescent="0.3">
      <c r="F629" t="str">
        <f t="shared" si="13"/>
        <v/>
      </c>
    </row>
    <row r="630" spans="6:6" x14ac:dyDescent="0.3">
      <c r="F630" t="str">
        <f t="shared" si="13"/>
        <v/>
      </c>
    </row>
    <row r="631" spans="6:6" x14ac:dyDescent="0.3">
      <c r="F631" t="str">
        <f t="shared" si="13"/>
        <v/>
      </c>
    </row>
    <row r="632" spans="6:6" x14ac:dyDescent="0.3">
      <c r="F632" t="str">
        <f t="shared" si="13"/>
        <v/>
      </c>
    </row>
    <row r="633" spans="6:6" x14ac:dyDescent="0.3">
      <c r="F633" t="str">
        <f t="shared" si="13"/>
        <v/>
      </c>
    </row>
    <row r="634" spans="6:6" x14ac:dyDescent="0.3">
      <c r="F634" t="str">
        <f t="shared" si="13"/>
        <v/>
      </c>
    </row>
    <row r="635" spans="6:6" x14ac:dyDescent="0.3">
      <c r="F635" t="str">
        <f t="shared" si="13"/>
        <v/>
      </c>
    </row>
    <row r="636" spans="6:6" x14ac:dyDescent="0.3">
      <c r="F636" t="str">
        <f t="shared" si="13"/>
        <v/>
      </c>
    </row>
    <row r="637" spans="6:6" x14ac:dyDescent="0.3">
      <c r="F637" t="str">
        <f t="shared" si="13"/>
        <v/>
      </c>
    </row>
    <row r="638" spans="6:6" x14ac:dyDescent="0.3">
      <c r="F638" t="str">
        <f t="shared" si="13"/>
        <v/>
      </c>
    </row>
    <row r="639" spans="6:6" x14ac:dyDescent="0.3">
      <c r="F639" t="str">
        <f t="shared" si="13"/>
        <v/>
      </c>
    </row>
    <row r="640" spans="6:6" x14ac:dyDescent="0.3">
      <c r="F640" t="str">
        <f t="shared" si="13"/>
        <v/>
      </c>
    </row>
    <row r="641" spans="6:6" x14ac:dyDescent="0.3">
      <c r="F641" t="str">
        <f t="shared" si="13"/>
        <v/>
      </c>
    </row>
    <row r="642" spans="6:6" x14ac:dyDescent="0.3">
      <c r="F642" t="str">
        <f t="shared" si="13"/>
        <v/>
      </c>
    </row>
    <row r="643" spans="6:6" x14ac:dyDescent="0.3">
      <c r="F643" t="str">
        <f t="shared" si="13"/>
        <v/>
      </c>
    </row>
    <row r="644" spans="6:6" x14ac:dyDescent="0.3">
      <c r="F644" t="str">
        <f t="shared" si="13"/>
        <v/>
      </c>
    </row>
    <row r="645" spans="6:6" x14ac:dyDescent="0.3">
      <c r="F645" t="str">
        <f t="shared" si="13"/>
        <v/>
      </c>
    </row>
    <row r="646" spans="6:6" x14ac:dyDescent="0.3">
      <c r="F646" t="str">
        <f t="shared" ref="F646:F709" si="14">A646&amp;B646&amp;C646&amp;D646&amp;E646</f>
        <v/>
      </c>
    </row>
    <row r="647" spans="6:6" x14ac:dyDescent="0.3">
      <c r="F647" t="str">
        <f t="shared" si="14"/>
        <v/>
      </c>
    </row>
    <row r="648" spans="6:6" x14ac:dyDescent="0.3">
      <c r="F648" t="str">
        <f t="shared" si="14"/>
        <v/>
      </c>
    </row>
    <row r="649" spans="6:6" x14ac:dyDescent="0.3">
      <c r="F649" t="str">
        <f t="shared" si="14"/>
        <v/>
      </c>
    </row>
    <row r="650" spans="6:6" x14ac:dyDescent="0.3">
      <c r="F650" t="str">
        <f t="shared" si="14"/>
        <v/>
      </c>
    </row>
    <row r="651" spans="6:6" x14ac:dyDescent="0.3">
      <c r="F651" t="str">
        <f t="shared" si="14"/>
        <v/>
      </c>
    </row>
    <row r="652" spans="6:6" x14ac:dyDescent="0.3">
      <c r="F652" t="str">
        <f t="shared" si="14"/>
        <v/>
      </c>
    </row>
    <row r="653" spans="6:6" x14ac:dyDescent="0.3">
      <c r="F653" t="str">
        <f t="shared" si="14"/>
        <v/>
      </c>
    </row>
    <row r="654" spans="6:6" x14ac:dyDescent="0.3">
      <c r="F654" t="str">
        <f t="shared" si="14"/>
        <v/>
      </c>
    </row>
    <row r="655" spans="6:6" x14ac:dyDescent="0.3">
      <c r="F655" t="str">
        <f t="shared" si="14"/>
        <v/>
      </c>
    </row>
    <row r="656" spans="6:6" x14ac:dyDescent="0.3">
      <c r="F656" t="str">
        <f t="shared" si="14"/>
        <v/>
      </c>
    </row>
    <row r="657" spans="6:6" x14ac:dyDescent="0.3">
      <c r="F657" t="str">
        <f t="shared" si="14"/>
        <v/>
      </c>
    </row>
    <row r="658" spans="6:6" x14ac:dyDescent="0.3">
      <c r="F658" t="str">
        <f t="shared" si="14"/>
        <v/>
      </c>
    </row>
    <row r="659" spans="6:6" x14ac:dyDescent="0.3">
      <c r="F659" t="str">
        <f t="shared" si="14"/>
        <v/>
      </c>
    </row>
    <row r="660" spans="6:6" x14ac:dyDescent="0.3">
      <c r="F660" t="str">
        <f t="shared" si="14"/>
        <v/>
      </c>
    </row>
    <row r="661" spans="6:6" x14ac:dyDescent="0.3">
      <c r="F661" t="str">
        <f t="shared" si="14"/>
        <v/>
      </c>
    </row>
    <row r="662" spans="6:6" x14ac:dyDescent="0.3">
      <c r="F662" t="str">
        <f t="shared" si="14"/>
        <v/>
      </c>
    </row>
    <row r="663" spans="6:6" x14ac:dyDescent="0.3">
      <c r="F663" t="str">
        <f t="shared" si="14"/>
        <v/>
      </c>
    </row>
    <row r="664" spans="6:6" x14ac:dyDescent="0.3">
      <c r="F664" t="str">
        <f t="shared" si="14"/>
        <v/>
      </c>
    </row>
    <row r="665" spans="6:6" x14ac:dyDescent="0.3">
      <c r="F665" t="str">
        <f t="shared" si="14"/>
        <v/>
      </c>
    </row>
    <row r="666" spans="6:6" x14ac:dyDescent="0.3">
      <c r="F666" t="str">
        <f t="shared" si="14"/>
        <v/>
      </c>
    </row>
    <row r="667" spans="6:6" x14ac:dyDescent="0.3">
      <c r="F667" t="str">
        <f t="shared" si="14"/>
        <v/>
      </c>
    </row>
    <row r="668" spans="6:6" x14ac:dyDescent="0.3">
      <c r="F668" t="str">
        <f t="shared" si="14"/>
        <v/>
      </c>
    </row>
    <row r="669" spans="6:6" x14ac:dyDescent="0.3">
      <c r="F669" t="str">
        <f t="shared" si="14"/>
        <v/>
      </c>
    </row>
    <row r="670" spans="6:6" x14ac:dyDescent="0.3">
      <c r="F670" t="str">
        <f t="shared" si="14"/>
        <v/>
      </c>
    </row>
    <row r="671" spans="6:6" x14ac:dyDescent="0.3">
      <c r="F671" t="str">
        <f t="shared" si="14"/>
        <v/>
      </c>
    </row>
    <row r="672" spans="6:6" x14ac:dyDescent="0.3">
      <c r="F672" t="str">
        <f t="shared" si="14"/>
        <v/>
      </c>
    </row>
    <row r="673" spans="6:6" x14ac:dyDescent="0.3">
      <c r="F673" t="str">
        <f t="shared" si="14"/>
        <v/>
      </c>
    </row>
    <row r="674" spans="6:6" x14ac:dyDescent="0.3">
      <c r="F674" t="str">
        <f t="shared" si="14"/>
        <v/>
      </c>
    </row>
    <row r="675" spans="6:6" x14ac:dyDescent="0.3">
      <c r="F675" t="str">
        <f t="shared" si="14"/>
        <v/>
      </c>
    </row>
    <row r="676" spans="6:6" x14ac:dyDescent="0.3">
      <c r="F676" t="str">
        <f t="shared" si="14"/>
        <v/>
      </c>
    </row>
    <row r="677" spans="6:6" x14ac:dyDescent="0.3">
      <c r="F677" t="str">
        <f t="shared" si="14"/>
        <v/>
      </c>
    </row>
    <row r="678" spans="6:6" x14ac:dyDescent="0.3">
      <c r="F678" t="str">
        <f t="shared" si="14"/>
        <v/>
      </c>
    </row>
    <row r="679" spans="6:6" x14ac:dyDescent="0.3">
      <c r="F679" t="str">
        <f t="shared" si="14"/>
        <v/>
      </c>
    </row>
    <row r="680" spans="6:6" x14ac:dyDescent="0.3">
      <c r="F680" t="str">
        <f t="shared" si="14"/>
        <v/>
      </c>
    </row>
    <row r="681" spans="6:6" x14ac:dyDescent="0.3">
      <c r="F681" t="str">
        <f t="shared" si="14"/>
        <v/>
      </c>
    </row>
    <row r="682" spans="6:6" x14ac:dyDescent="0.3">
      <c r="F682" t="str">
        <f t="shared" si="14"/>
        <v/>
      </c>
    </row>
    <row r="683" spans="6:6" x14ac:dyDescent="0.3">
      <c r="F683" t="str">
        <f t="shared" si="14"/>
        <v/>
      </c>
    </row>
    <row r="684" spans="6:6" x14ac:dyDescent="0.3">
      <c r="F684" t="str">
        <f t="shared" si="14"/>
        <v/>
      </c>
    </row>
    <row r="685" spans="6:6" x14ac:dyDescent="0.3">
      <c r="F685" t="str">
        <f t="shared" si="14"/>
        <v/>
      </c>
    </row>
    <row r="686" spans="6:6" x14ac:dyDescent="0.3">
      <c r="F686" t="str">
        <f t="shared" si="14"/>
        <v/>
      </c>
    </row>
    <row r="687" spans="6:6" x14ac:dyDescent="0.3">
      <c r="F687" t="str">
        <f t="shared" si="14"/>
        <v/>
      </c>
    </row>
    <row r="688" spans="6:6" x14ac:dyDescent="0.3">
      <c r="F688" t="str">
        <f t="shared" si="14"/>
        <v/>
      </c>
    </row>
    <row r="689" spans="6:6" x14ac:dyDescent="0.3">
      <c r="F689" t="str">
        <f t="shared" si="14"/>
        <v/>
      </c>
    </row>
    <row r="690" spans="6:6" x14ac:dyDescent="0.3">
      <c r="F690" t="str">
        <f t="shared" si="14"/>
        <v/>
      </c>
    </row>
    <row r="691" spans="6:6" x14ac:dyDescent="0.3">
      <c r="F691" t="str">
        <f t="shared" si="14"/>
        <v/>
      </c>
    </row>
    <row r="692" spans="6:6" x14ac:dyDescent="0.3">
      <c r="F692" t="str">
        <f t="shared" si="14"/>
        <v/>
      </c>
    </row>
    <row r="693" spans="6:6" x14ac:dyDescent="0.3">
      <c r="F693" t="str">
        <f t="shared" si="14"/>
        <v/>
      </c>
    </row>
    <row r="694" spans="6:6" x14ac:dyDescent="0.3">
      <c r="F694" t="str">
        <f t="shared" si="14"/>
        <v/>
      </c>
    </row>
    <row r="695" spans="6:6" x14ac:dyDescent="0.3">
      <c r="F695" t="str">
        <f t="shared" si="14"/>
        <v/>
      </c>
    </row>
    <row r="696" spans="6:6" x14ac:dyDescent="0.3">
      <c r="F696" t="str">
        <f t="shared" si="14"/>
        <v/>
      </c>
    </row>
    <row r="697" spans="6:6" x14ac:dyDescent="0.3">
      <c r="F697" t="str">
        <f t="shared" si="14"/>
        <v/>
      </c>
    </row>
    <row r="698" spans="6:6" x14ac:dyDescent="0.3">
      <c r="F698" t="str">
        <f t="shared" si="14"/>
        <v/>
      </c>
    </row>
    <row r="699" spans="6:6" x14ac:dyDescent="0.3">
      <c r="F699" t="str">
        <f t="shared" si="14"/>
        <v/>
      </c>
    </row>
    <row r="700" spans="6:6" x14ac:dyDescent="0.3">
      <c r="F700" t="str">
        <f t="shared" si="14"/>
        <v/>
      </c>
    </row>
    <row r="701" spans="6:6" x14ac:dyDescent="0.3">
      <c r="F701" t="str">
        <f t="shared" si="14"/>
        <v/>
      </c>
    </row>
    <row r="702" spans="6:6" x14ac:dyDescent="0.3">
      <c r="F702" t="str">
        <f t="shared" si="14"/>
        <v/>
      </c>
    </row>
    <row r="703" spans="6:6" x14ac:dyDescent="0.3">
      <c r="F703" t="str">
        <f t="shared" si="14"/>
        <v/>
      </c>
    </row>
    <row r="704" spans="6:6" x14ac:dyDescent="0.3">
      <c r="F704" t="str">
        <f t="shared" si="14"/>
        <v/>
      </c>
    </row>
    <row r="705" spans="6:6" x14ac:dyDescent="0.3">
      <c r="F705" t="str">
        <f t="shared" si="14"/>
        <v/>
      </c>
    </row>
    <row r="706" spans="6:6" x14ac:dyDescent="0.3">
      <c r="F706" t="str">
        <f t="shared" si="14"/>
        <v/>
      </c>
    </row>
    <row r="707" spans="6:6" x14ac:dyDescent="0.3">
      <c r="F707" t="str">
        <f t="shared" si="14"/>
        <v/>
      </c>
    </row>
    <row r="708" spans="6:6" x14ac:dyDescent="0.3">
      <c r="F708" t="str">
        <f t="shared" si="14"/>
        <v/>
      </c>
    </row>
    <row r="709" spans="6:6" x14ac:dyDescent="0.3">
      <c r="F709" t="str">
        <f t="shared" si="14"/>
        <v/>
      </c>
    </row>
    <row r="710" spans="6:6" x14ac:dyDescent="0.3">
      <c r="F710" t="str">
        <f t="shared" ref="F710:F752" si="15">A710&amp;B710&amp;C710&amp;D710&amp;E710</f>
        <v/>
      </c>
    </row>
    <row r="711" spans="6:6" x14ac:dyDescent="0.3">
      <c r="F711" t="str">
        <f t="shared" si="15"/>
        <v/>
      </c>
    </row>
    <row r="712" spans="6:6" x14ac:dyDescent="0.3">
      <c r="F712" t="str">
        <f t="shared" si="15"/>
        <v/>
      </c>
    </row>
    <row r="713" spans="6:6" x14ac:dyDescent="0.3">
      <c r="F713" t="str">
        <f t="shared" si="15"/>
        <v/>
      </c>
    </row>
    <row r="714" spans="6:6" x14ac:dyDescent="0.3">
      <c r="F714" t="str">
        <f t="shared" si="15"/>
        <v/>
      </c>
    </row>
    <row r="715" spans="6:6" x14ac:dyDescent="0.3">
      <c r="F715" t="str">
        <f t="shared" si="15"/>
        <v/>
      </c>
    </row>
    <row r="716" spans="6:6" x14ac:dyDescent="0.3">
      <c r="F716" t="str">
        <f t="shared" si="15"/>
        <v/>
      </c>
    </row>
    <row r="717" spans="6:6" x14ac:dyDescent="0.3">
      <c r="F717" t="str">
        <f t="shared" si="15"/>
        <v/>
      </c>
    </row>
    <row r="718" spans="6:6" x14ac:dyDescent="0.3">
      <c r="F718" t="str">
        <f t="shared" si="15"/>
        <v/>
      </c>
    </row>
    <row r="719" spans="6:6" x14ac:dyDescent="0.3">
      <c r="F719" t="str">
        <f t="shared" si="15"/>
        <v/>
      </c>
    </row>
    <row r="720" spans="6:6" x14ac:dyDescent="0.3">
      <c r="F720" t="str">
        <f t="shared" si="15"/>
        <v/>
      </c>
    </row>
    <row r="721" spans="6:6" x14ac:dyDescent="0.3">
      <c r="F721" t="str">
        <f t="shared" si="15"/>
        <v/>
      </c>
    </row>
    <row r="722" spans="6:6" x14ac:dyDescent="0.3">
      <c r="F722" t="str">
        <f t="shared" si="15"/>
        <v/>
      </c>
    </row>
    <row r="723" spans="6:6" x14ac:dyDescent="0.3">
      <c r="F723" t="str">
        <f t="shared" si="15"/>
        <v/>
      </c>
    </row>
    <row r="724" spans="6:6" x14ac:dyDescent="0.3">
      <c r="F724" t="str">
        <f t="shared" si="15"/>
        <v/>
      </c>
    </row>
    <row r="725" spans="6:6" x14ac:dyDescent="0.3">
      <c r="F725" t="str">
        <f t="shared" si="15"/>
        <v/>
      </c>
    </row>
    <row r="726" spans="6:6" x14ac:dyDescent="0.3">
      <c r="F726" t="str">
        <f t="shared" si="15"/>
        <v/>
      </c>
    </row>
    <row r="727" spans="6:6" x14ac:dyDescent="0.3">
      <c r="F727" t="str">
        <f t="shared" si="15"/>
        <v/>
      </c>
    </row>
    <row r="728" spans="6:6" x14ac:dyDescent="0.3">
      <c r="F728" t="str">
        <f t="shared" si="15"/>
        <v/>
      </c>
    </row>
    <row r="729" spans="6:6" x14ac:dyDescent="0.3">
      <c r="F729" t="str">
        <f t="shared" si="15"/>
        <v/>
      </c>
    </row>
    <row r="730" spans="6:6" x14ac:dyDescent="0.3">
      <c r="F730" t="str">
        <f t="shared" si="15"/>
        <v/>
      </c>
    </row>
    <row r="731" spans="6:6" x14ac:dyDescent="0.3">
      <c r="F731" t="str">
        <f t="shared" si="15"/>
        <v/>
      </c>
    </row>
    <row r="732" spans="6:6" x14ac:dyDescent="0.3">
      <c r="F732" t="str">
        <f t="shared" si="15"/>
        <v/>
      </c>
    </row>
    <row r="733" spans="6:6" x14ac:dyDescent="0.3">
      <c r="F733" t="str">
        <f t="shared" si="15"/>
        <v/>
      </c>
    </row>
    <row r="734" spans="6:6" x14ac:dyDescent="0.3">
      <c r="F734" t="str">
        <f t="shared" si="15"/>
        <v/>
      </c>
    </row>
    <row r="735" spans="6:6" x14ac:dyDescent="0.3">
      <c r="F735" t="str">
        <f t="shared" si="15"/>
        <v/>
      </c>
    </row>
    <row r="736" spans="6:6" x14ac:dyDescent="0.3">
      <c r="F736" t="str">
        <f t="shared" si="15"/>
        <v/>
      </c>
    </row>
    <row r="737" spans="6:6" x14ac:dyDescent="0.3">
      <c r="F737" t="str">
        <f t="shared" si="15"/>
        <v/>
      </c>
    </row>
    <row r="738" spans="6:6" x14ac:dyDescent="0.3">
      <c r="F738" t="str">
        <f t="shared" si="15"/>
        <v/>
      </c>
    </row>
    <row r="739" spans="6:6" x14ac:dyDescent="0.3">
      <c r="F739" t="str">
        <f t="shared" si="15"/>
        <v/>
      </c>
    </row>
    <row r="740" spans="6:6" x14ac:dyDescent="0.3">
      <c r="F740" t="str">
        <f t="shared" si="15"/>
        <v/>
      </c>
    </row>
    <row r="741" spans="6:6" x14ac:dyDescent="0.3">
      <c r="F741" t="str">
        <f t="shared" si="15"/>
        <v/>
      </c>
    </row>
    <row r="742" spans="6:6" x14ac:dyDescent="0.3">
      <c r="F742" t="str">
        <f t="shared" si="15"/>
        <v/>
      </c>
    </row>
    <row r="743" spans="6:6" x14ac:dyDescent="0.3">
      <c r="F743" t="str">
        <f t="shared" si="15"/>
        <v/>
      </c>
    </row>
    <row r="744" spans="6:6" x14ac:dyDescent="0.3">
      <c r="F744" t="str">
        <f t="shared" si="15"/>
        <v/>
      </c>
    </row>
    <row r="745" spans="6:6" x14ac:dyDescent="0.3">
      <c r="F745" t="str">
        <f t="shared" si="15"/>
        <v/>
      </c>
    </row>
    <row r="746" spans="6:6" x14ac:dyDescent="0.3">
      <c r="F746" t="str">
        <f t="shared" si="15"/>
        <v/>
      </c>
    </row>
    <row r="747" spans="6:6" x14ac:dyDescent="0.3">
      <c r="F747" t="str">
        <f t="shared" si="15"/>
        <v/>
      </c>
    </row>
    <row r="748" spans="6:6" x14ac:dyDescent="0.3">
      <c r="F748" t="str">
        <f t="shared" si="15"/>
        <v/>
      </c>
    </row>
    <row r="749" spans="6:6" x14ac:dyDescent="0.3">
      <c r="F749" t="str">
        <f t="shared" si="15"/>
        <v/>
      </c>
    </row>
    <row r="750" spans="6:6" x14ac:dyDescent="0.3">
      <c r="F750" t="str">
        <f t="shared" si="15"/>
        <v/>
      </c>
    </row>
    <row r="751" spans="6:6" x14ac:dyDescent="0.3">
      <c r="F751" t="str">
        <f t="shared" si="15"/>
        <v/>
      </c>
    </row>
    <row r="752" spans="6:6" x14ac:dyDescent="0.3">
      <c r="F752" t="str">
        <f t="shared" si="15"/>
        <v/>
      </c>
    </row>
    <row r="753" spans="6:6" x14ac:dyDescent="0.3">
      <c r="F753" t="str">
        <f t="shared" ref="F753:F801" si="16">A753&amp;B753&amp;C753&amp;D753&amp;E753</f>
        <v/>
      </c>
    </row>
    <row r="754" spans="6:6" x14ac:dyDescent="0.3">
      <c r="F754" t="str">
        <f t="shared" si="16"/>
        <v/>
      </c>
    </row>
    <row r="755" spans="6:6" x14ac:dyDescent="0.3">
      <c r="F755" t="str">
        <f t="shared" si="16"/>
        <v/>
      </c>
    </row>
    <row r="756" spans="6:6" x14ac:dyDescent="0.3">
      <c r="F756" t="str">
        <f t="shared" si="16"/>
        <v/>
      </c>
    </row>
    <row r="757" spans="6:6" x14ac:dyDescent="0.3">
      <c r="F757" t="str">
        <f t="shared" si="16"/>
        <v/>
      </c>
    </row>
    <row r="758" spans="6:6" x14ac:dyDescent="0.3">
      <c r="F758" t="str">
        <f t="shared" si="16"/>
        <v/>
      </c>
    </row>
    <row r="759" spans="6:6" x14ac:dyDescent="0.3">
      <c r="F759" t="str">
        <f t="shared" si="16"/>
        <v/>
      </c>
    </row>
    <row r="760" spans="6:6" x14ac:dyDescent="0.3">
      <c r="F760" t="str">
        <f t="shared" si="16"/>
        <v/>
      </c>
    </row>
    <row r="761" spans="6:6" x14ac:dyDescent="0.3">
      <c r="F761" t="str">
        <f t="shared" si="16"/>
        <v/>
      </c>
    </row>
    <row r="762" spans="6:6" x14ac:dyDescent="0.3">
      <c r="F762" t="str">
        <f t="shared" si="16"/>
        <v/>
      </c>
    </row>
    <row r="763" spans="6:6" x14ac:dyDescent="0.3">
      <c r="F763" t="str">
        <f t="shared" si="16"/>
        <v/>
      </c>
    </row>
    <row r="764" spans="6:6" x14ac:dyDescent="0.3">
      <c r="F764" t="str">
        <f t="shared" si="16"/>
        <v/>
      </c>
    </row>
    <row r="765" spans="6:6" x14ac:dyDescent="0.3">
      <c r="F765" t="str">
        <f t="shared" si="16"/>
        <v/>
      </c>
    </row>
    <row r="766" spans="6:6" x14ac:dyDescent="0.3">
      <c r="F766" t="str">
        <f t="shared" si="16"/>
        <v/>
      </c>
    </row>
    <row r="767" spans="6:6" x14ac:dyDescent="0.3">
      <c r="F767" t="str">
        <f t="shared" si="16"/>
        <v/>
      </c>
    </row>
    <row r="768" spans="6:6" x14ac:dyDescent="0.3">
      <c r="F768" t="str">
        <f t="shared" si="16"/>
        <v/>
      </c>
    </row>
    <row r="769" spans="6:6" x14ac:dyDescent="0.3">
      <c r="F769" t="str">
        <f t="shared" si="16"/>
        <v/>
      </c>
    </row>
    <row r="770" spans="6:6" x14ac:dyDescent="0.3">
      <c r="F770" t="str">
        <f t="shared" si="16"/>
        <v/>
      </c>
    </row>
    <row r="771" spans="6:6" x14ac:dyDescent="0.3">
      <c r="F771" t="str">
        <f t="shared" si="16"/>
        <v/>
      </c>
    </row>
    <row r="772" spans="6:6" x14ac:dyDescent="0.3">
      <c r="F772" t="str">
        <f t="shared" si="16"/>
        <v/>
      </c>
    </row>
    <row r="773" spans="6:6" x14ac:dyDescent="0.3">
      <c r="F773" t="str">
        <f t="shared" si="16"/>
        <v/>
      </c>
    </row>
    <row r="774" spans="6:6" x14ac:dyDescent="0.3">
      <c r="F774" t="str">
        <f t="shared" si="16"/>
        <v/>
      </c>
    </row>
    <row r="775" spans="6:6" x14ac:dyDescent="0.3">
      <c r="F775" t="str">
        <f t="shared" si="16"/>
        <v/>
      </c>
    </row>
    <row r="776" spans="6:6" x14ac:dyDescent="0.3">
      <c r="F776" t="str">
        <f t="shared" si="16"/>
        <v/>
      </c>
    </row>
    <row r="777" spans="6:6" x14ac:dyDescent="0.3">
      <c r="F777" t="str">
        <f t="shared" si="16"/>
        <v/>
      </c>
    </row>
    <row r="778" spans="6:6" x14ac:dyDescent="0.3">
      <c r="F778" t="str">
        <f t="shared" si="16"/>
        <v/>
      </c>
    </row>
    <row r="779" spans="6:6" x14ac:dyDescent="0.3">
      <c r="F779" t="str">
        <f t="shared" si="16"/>
        <v/>
      </c>
    </row>
    <row r="780" spans="6:6" x14ac:dyDescent="0.3">
      <c r="F780" t="str">
        <f t="shared" si="16"/>
        <v/>
      </c>
    </row>
    <row r="781" spans="6:6" x14ac:dyDescent="0.3">
      <c r="F781" t="str">
        <f t="shared" si="16"/>
        <v/>
      </c>
    </row>
    <row r="782" spans="6:6" x14ac:dyDescent="0.3">
      <c r="F782" t="str">
        <f t="shared" si="16"/>
        <v/>
      </c>
    </row>
    <row r="783" spans="6:6" x14ac:dyDescent="0.3">
      <c r="F783" t="str">
        <f t="shared" si="16"/>
        <v/>
      </c>
    </row>
    <row r="784" spans="6:6" x14ac:dyDescent="0.3">
      <c r="F784" t="str">
        <f t="shared" si="16"/>
        <v/>
      </c>
    </row>
    <row r="785" spans="6:6" x14ac:dyDescent="0.3">
      <c r="F785" t="str">
        <f t="shared" si="16"/>
        <v/>
      </c>
    </row>
    <row r="786" spans="6:6" x14ac:dyDescent="0.3">
      <c r="F786" t="str">
        <f t="shared" si="16"/>
        <v/>
      </c>
    </row>
    <row r="787" spans="6:6" x14ac:dyDescent="0.3">
      <c r="F787" t="str">
        <f t="shared" si="16"/>
        <v/>
      </c>
    </row>
    <row r="788" spans="6:6" x14ac:dyDescent="0.3">
      <c r="F788" t="str">
        <f t="shared" si="16"/>
        <v/>
      </c>
    </row>
    <row r="789" spans="6:6" x14ac:dyDescent="0.3">
      <c r="F789" t="str">
        <f t="shared" si="16"/>
        <v/>
      </c>
    </row>
    <row r="790" spans="6:6" x14ac:dyDescent="0.3">
      <c r="F790" t="str">
        <f t="shared" si="16"/>
        <v/>
      </c>
    </row>
    <row r="791" spans="6:6" x14ac:dyDescent="0.3">
      <c r="F791" t="str">
        <f t="shared" si="16"/>
        <v/>
      </c>
    </row>
    <row r="792" spans="6:6" x14ac:dyDescent="0.3">
      <c r="F792" t="str">
        <f t="shared" si="16"/>
        <v/>
      </c>
    </row>
    <row r="793" spans="6:6" x14ac:dyDescent="0.3">
      <c r="F793" t="str">
        <f t="shared" si="16"/>
        <v/>
      </c>
    </row>
    <row r="794" spans="6:6" x14ac:dyDescent="0.3">
      <c r="F794" t="str">
        <f t="shared" si="16"/>
        <v/>
      </c>
    </row>
    <row r="795" spans="6:6" x14ac:dyDescent="0.3">
      <c r="F795" t="str">
        <f t="shared" si="16"/>
        <v/>
      </c>
    </row>
    <row r="796" spans="6:6" x14ac:dyDescent="0.3">
      <c r="F796" t="str">
        <f t="shared" si="16"/>
        <v/>
      </c>
    </row>
    <row r="797" spans="6:6" x14ac:dyDescent="0.3">
      <c r="F797" t="str">
        <f t="shared" si="16"/>
        <v/>
      </c>
    </row>
    <row r="798" spans="6:6" x14ac:dyDescent="0.3">
      <c r="F798" t="str">
        <f t="shared" si="16"/>
        <v/>
      </c>
    </row>
    <row r="799" spans="6:6" x14ac:dyDescent="0.3">
      <c r="F799" t="str">
        <f t="shared" si="16"/>
        <v/>
      </c>
    </row>
    <row r="800" spans="6:6" x14ac:dyDescent="0.3">
      <c r="F800" t="str">
        <f t="shared" si="16"/>
        <v/>
      </c>
    </row>
    <row r="801" spans="6:6" x14ac:dyDescent="0.3">
      <c r="F801" t="str">
        <f t="shared" si="16"/>
        <v/>
      </c>
    </row>
    <row r="802" spans="6:6" x14ac:dyDescent="0.3">
      <c r="F802" t="str">
        <f t="shared" ref="F802:F833" si="17">A802&amp;B802&amp;C802&amp;D802&amp;E802</f>
        <v/>
      </c>
    </row>
    <row r="803" spans="6:6" x14ac:dyDescent="0.3">
      <c r="F803" t="str">
        <f t="shared" si="17"/>
        <v/>
      </c>
    </row>
    <row r="804" spans="6:6" x14ac:dyDescent="0.3">
      <c r="F804" t="str">
        <f t="shared" si="17"/>
        <v/>
      </c>
    </row>
    <row r="805" spans="6:6" x14ac:dyDescent="0.3">
      <c r="F805" t="str">
        <f t="shared" si="17"/>
        <v/>
      </c>
    </row>
    <row r="806" spans="6:6" x14ac:dyDescent="0.3">
      <c r="F806" t="str">
        <f t="shared" si="17"/>
        <v/>
      </c>
    </row>
    <row r="807" spans="6:6" x14ac:dyDescent="0.3">
      <c r="F807" t="str">
        <f t="shared" si="17"/>
        <v/>
      </c>
    </row>
    <row r="808" spans="6:6" x14ac:dyDescent="0.3">
      <c r="F808" t="str">
        <f t="shared" si="17"/>
        <v/>
      </c>
    </row>
    <row r="809" spans="6:6" x14ac:dyDescent="0.3">
      <c r="F809" t="str">
        <f t="shared" si="17"/>
        <v/>
      </c>
    </row>
    <row r="810" spans="6:6" x14ac:dyDescent="0.3">
      <c r="F810" t="str">
        <f t="shared" si="17"/>
        <v/>
      </c>
    </row>
    <row r="811" spans="6:6" x14ac:dyDescent="0.3">
      <c r="F811" t="str">
        <f t="shared" si="17"/>
        <v/>
      </c>
    </row>
    <row r="812" spans="6:6" x14ac:dyDescent="0.3">
      <c r="F812" t="str">
        <f t="shared" si="17"/>
        <v/>
      </c>
    </row>
    <row r="813" spans="6:6" x14ac:dyDescent="0.3">
      <c r="F813" t="str">
        <f t="shared" si="17"/>
        <v/>
      </c>
    </row>
    <row r="814" spans="6:6" x14ac:dyDescent="0.3">
      <c r="F814" t="str">
        <f t="shared" si="17"/>
        <v/>
      </c>
    </row>
    <row r="815" spans="6:6" x14ac:dyDescent="0.3">
      <c r="F815" t="str">
        <f t="shared" si="17"/>
        <v/>
      </c>
    </row>
    <row r="816" spans="6:6" x14ac:dyDescent="0.3">
      <c r="F816" t="str">
        <f t="shared" si="17"/>
        <v/>
      </c>
    </row>
    <row r="817" spans="6:6" x14ac:dyDescent="0.3">
      <c r="F817" t="str">
        <f t="shared" si="17"/>
        <v/>
      </c>
    </row>
    <row r="818" spans="6:6" x14ac:dyDescent="0.3">
      <c r="F818" t="str">
        <f t="shared" si="17"/>
        <v/>
      </c>
    </row>
    <row r="819" spans="6:6" x14ac:dyDescent="0.3">
      <c r="F819" t="str">
        <f t="shared" si="17"/>
        <v/>
      </c>
    </row>
    <row r="820" spans="6:6" x14ac:dyDescent="0.3">
      <c r="F820" t="str">
        <f t="shared" si="17"/>
        <v/>
      </c>
    </row>
    <row r="821" spans="6:6" x14ac:dyDescent="0.3">
      <c r="F821" t="str">
        <f t="shared" si="17"/>
        <v/>
      </c>
    </row>
    <row r="822" spans="6:6" x14ac:dyDescent="0.3">
      <c r="F822" t="str">
        <f t="shared" si="17"/>
        <v/>
      </c>
    </row>
    <row r="823" spans="6:6" x14ac:dyDescent="0.3">
      <c r="F823" t="str">
        <f t="shared" si="17"/>
        <v/>
      </c>
    </row>
    <row r="824" spans="6:6" x14ac:dyDescent="0.3">
      <c r="F824" t="str">
        <f t="shared" si="17"/>
        <v/>
      </c>
    </row>
    <row r="825" spans="6:6" x14ac:dyDescent="0.3">
      <c r="F825" t="str">
        <f t="shared" si="17"/>
        <v/>
      </c>
    </row>
    <row r="826" spans="6:6" x14ac:dyDescent="0.3">
      <c r="F826" t="str">
        <f t="shared" si="17"/>
        <v/>
      </c>
    </row>
    <row r="827" spans="6:6" x14ac:dyDescent="0.3">
      <c r="F827" t="str">
        <f t="shared" si="17"/>
        <v/>
      </c>
    </row>
    <row r="828" spans="6:6" x14ac:dyDescent="0.3">
      <c r="F828" t="str">
        <f t="shared" si="17"/>
        <v/>
      </c>
    </row>
    <row r="829" spans="6:6" x14ac:dyDescent="0.3">
      <c r="F829" t="str">
        <f t="shared" si="17"/>
        <v/>
      </c>
    </row>
    <row r="830" spans="6:6" x14ac:dyDescent="0.3">
      <c r="F830" t="str">
        <f t="shared" si="17"/>
        <v/>
      </c>
    </row>
    <row r="831" spans="6:6" x14ac:dyDescent="0.3">
      <c r="F831" t="str">
        <f t="shared" si="17"/>
        <v/>
      </c>
    </row>
    <row r="832" spans="6:6" x14ac:dyDescent="0.3">
      <c r="F832" t="str">
        <f t="shared" si="17"/>
        <v/>
      </c>
    </row>
    <row r="833" spans="6:6" x14ac:dyDescent="0.3">
      <c r="F833" t="str">
        <f t="shared" si="17"/>
        <v/>
      </c>
    </row>
    <row r="11283" spans="8:12" x14ac:dyDescent="0.3">
      <c r="H11283" s="5"/>
      <c r="I11283" s="5"/>
      <c r="J11283" s="5"/>
      <c r="K11283" s="5"/>
      <c r="L11283" s="5"/>
    </row>
    <row r="11284" spans="8:12" x14ac:dyDescent="0.3">
      <c r="H11284" s="5"/>
      <c r="I11284" s="5"/>
      <c r="J11284" s="5"/>
      <c r="K11284" s="5"/>
      <c r="L11284" s="5"/>
    </row>
    <row r="11285" spans="8:12" x14ac:dyDescent="0.3">
      <c r="H11285" s="5"/>
      <c r="I11285" s="5"/>
      <c r="J11285" s="5"/>
      <c r="K11285" s="5"/>
      <c r="L11285" s="5"/>
    </row>
    <row r="11286" spans="8:12" x14ac:dyDescent="0.3">
      <c r="H11286" s="5"/>
      <c r="I11286" s="5"/>
      <c r="J11286" s="5"/>
      <c r="K11286" s="5"/>
      <c r="L11286" s="5"/>
    </row>
    <row r="11287" spans="8:12" x14ac:dyDescent="0.3">
      <c r="H11287" s="5"/>
      <c r="I11287" s="5"/>
      <c r="J11287" s="5"/>
      <c r="K11287" s="5"/>
      <c r="L11287" s="5"/>
    </row>
    <row r="11288" spans="8:12" x14ac:dyDescent="0.3">
      <c r="H11288" s="5"/>
      <c r="I11288" s="5"/>
      <c r="J11288" s="5"/>
      <c r="K11288" s="5"/>
      <c r="L11288" s="5"/>
    </row>
    <row r="11289" spans="8:12" x14ac:dyDescent="0.3">
      <c r="H11289" s="5"/>
      <c r="I11289" s="5"/>
      <c r="J11289" s="5"/>
      <c r="K11289" s="5"/>
      <c r="L11289" s="5"/>
    </row>
    <row r="11290" spans="8:12" x14ac:dyDescent="0.3">
      <c r="H11290" s="5"/>
      <c r="I11290" s="5"/>
      <c r="J11290" s="5"/>
      <c r="K11290" s="5"/>
      <c r="L11290" s="5"/>
    </row>
    <row r="11291" spans="8:12" x14ac:dyDescent="0.3">
      <c r="H11291" s="5"/>
      <c r="I11291" s="5"/>
      <c r="J11291" s="5"/>
      <c r="K11291" s="5"/>
      <c r="L11291" s="5"/>
    </row>
    <row r="11292" spans="8:12" x14ac:dyDescent="0.3">
      <c r="H11292" s="5"/>
      <c r="I11292" s="5"/>
      <c r="J11292" s="5"/>
      <c r="K11292" s="5"/>
      <c r="L11292" s="5"/>
    </row>
    <row r="11293" spans="8:12" x14ac:dyDescent="0.3">
      <c r="H11293" s="5"/>
      <c r="I11293" s="5"/>
      <c r="J11293" s="5"/>
      <c r="K11293" s="5"/>
      <c r="L11293" s="5"/>
    </row>
    <row r="11294" spans="8:12" x14ac:dyDescent="0.3">
      <c r="H11294" s="5"/>
      <c r="I11294" s="5"/>
      <c r="J11294" s="5"/>
      <c r="K11294" s="5"/>
      <c r="L11294" s="5"/>
    </row>
    <row r="11295" spans="8:12" x14ac:dyDescent="0.3">
      <c r="H11295" s="5"/>
      <c r="I11295" s="5"/>
      <c r="J11295" s="5"/>
      <c r="K11295" s="5"/>
      <c r="L11295" s="5"/>
    </row>
    <row r="11296" spans="8:12" x14ac:dyDescent="0.3">
      <c r="H11296" s="5"/>
      <c r="I11296" s="5"/>
      <c r="J11296" s="5"/>
      <c r="K11296" s="5"/>
      <c r="L11296" s="5"/>
    </row>
    <row r="11297" spans="8:12" x14ac:dyDescent="0.3">
      <c r="H11297" s="5"/>
      <c r="I11297" s="5"/>
      <c r="J11297" s="5"/>
      <c r="K11297" s="5"/>
      <c r="L11297" s="5"/>
    </row>
    <row r="11298" spans="8:12" x14ac:dyDescent="0.3">
      <c r="H11298" s="5"/>
      <c r="I11298" s="5"/>
      <c r="J11298" s="5"/>
      <c r="K11298" s="5"/>
      <c r="L11298" s="5"/>
    </row>
    <row r="11299" spans="8:12" x14ac:dyDescent="0.3">
      <c r="H11299" s="5"/>
      <c r="I11299" s="5"/>
      <c r="J11299" s="5"/>
      <c r="K11299" s="5"/>
      <c r="L11299" s="5"/>
    </row>
    <row r="11300" spans="8:12" x14ac:dyDescent="0.3">
      <c r="H11300" s="5"/>
      <c r="I11300" s="5"/>
      <c r="J11300" s="5"/>
      <c r="K11300" s="5"/>
      <c r="L11300" s="5"/>
    </row>
    <row r="11301" spans="8:12" x14ac:dyDescent="0.3">
      <c r="H11301" s="5"/>
      <c r="I11301" s="5"/>
      <c r="J11301" s="5"/>
      <c r="K11301" s="5"/>
      <c r="L11301" s="5"/>
    </row>
    <row r="11302" spans="8:12" x14ac:dyDescent="0.3">
      <c r="H11302" s="5"/>
      <c r="I11302" s="5"/>
      <c r="J11302" s="5"/>
      <c r="K11302" s="5"/>
      <c r="L11302" s="5"/>
    </row>
    <row r="11303" spans="8:12" x14ac:dyDescent="0.3">
      <c r="H11303" s="5"/>
      <c r="I11303" s="5"/>
      <c r="J11303" s="5"/>
      <c r="K11303" s="5"/>
      <c r="L11303" s="5"/>
    </row>
    <row r="11304" spans="8:12" x14ac:dyDescent="0.3">
      <c r="H11304" s="5"/>
      <c r="I11304" s="5"/>
      <c r="J11304" s="5"/>
      <c r="K11304" s="5"/>
      <c r="L11304" s="5"/>
    </row>
    <row r="11305" spans="8:12" x14ac:dyDescent="0.3">
      <c r="H11305" s="5"/>
      <c r="I11305" s="5"/>
      <c r="J11305" s="5"/>
      <c r="K11305" s="5"/>
      <c r="L11305" s="5"/>
    </row>
    <row r="11306" spans="8:12" x14ac:dyDescent="0.3">
      <c r="H11306" s="5"/>
      <c r="I11306" s="5"/>
      <c r="J11306" s="5"/>
      <c r="K11306" s="5"/>
      <c r="L11306" s="5"/>
    </row>
    <row r="11307" spans="8:12" x14ac:dyDescent="0.3">
      <c r="H11307" s="5"/>
      <c r="I11307" s="5"/>
      <c r="J11307" s="5"/>
      <c r="K11307" s="5"/>
      <c r="L11307" s="5"/>
    </row>
    <row r="11308" spans="8:12" x14ac:dyDescent="0.3">
      <c r="H11308" s="5"/>
      <c r="I11308" s="5"/>
      <c r="J11308" s="5"/>
      <c r="K11308" s="5"/>
      <c r="L11308" s="5"/>
    </row>
    <row r="11309" spans="8:12" x14ac:dyDescent="0.3">
      <c r="H11309" s="5"/>
      <c r="I11309" s="5"/>
      <c r="J11309" s="5"/>
      <c r="K11309" s="5"/>
      <c r="L11309" s="5"/>
    </row>
    <row r="11310" spans="8:12" x14ac:dyDescent="0.3">
      <c r="H11310" s="5"/>
      <c r="I11310" s="5"/>
      <c r="J11310" s="5"/>
      <c r="K11310" s="5"/>
      <c r="L11310" s="5"/>
    </row>
    <row r="11311" spans="8:12" x14ac:dyDescent="0.3">
      <c r="H11311" s="5"/>
      <c r="I11311" s="5"/>
      <c r="J11311" s="5"/>
      <c r="K11311" s="5"/>
      <c r="L11311" s="5"/>
    </row>
    <row r="11312" spans="8:12" x14ac:dyDescent="0.3">
      <c r="H11312" s="5"/>
      <c r="I11312" s="5"/>
      <c r="J11312" s="5"/>
      <c r="K11312" s="5"/>
      <c r="L11312" s="5"/>
    </row>
    <row r="11313" spans="8:12" x14ac:dyDescent="0.3">
      <c r="H11313" s="5"/>
      <c r="I11313" s="5"/>
      <c r="J11313" s="5"/>
      <c r="K11313" s="5"/>
      <c r="L11313" s="5"/>
    </row>
    <row r="11314" spans="8:12" x14ac:dyDescent="0.3">
      <c r="H11314" s="5"/>
      <c r="I11314" s="5"/>
      <c r="J11314" s="5"/>
      <c r="K11314" s="5"/>
      <c r="L11314" s="5"/>
    </row>
    <row r="11315" spans="8:12" x14ac:dyDescent="0.3">
      <c r="H11315" s="5"/>
      <c r="I11315" s="5"/>
      <c r="J11315" s="5"/>
      <c r="K11315" s="5"/>
      <c r="L11315" s="5"/>
    </row>
    <row r="11316" spans="8:12" x14ac:dyDescent="0.3">
      <c r="H11316" s="5"/>
      <c r="I11316" s="5"/>
      <c r="J11316" s="5"/>
      <c r="K11316" s="5"/>
      <c r="L11316" s="5"/>
    </row>
    <row r="11317" spans="8:12" x14ac:dyDescent="0.3">
      <c r="H11317" s="5"/>
      <c r="I11317" s="5"/>
      <c r="J11317" s="5"/>
      <c r="K11317" s="5"/>
      <c r="L11317" s="5"/>
    </row>
    <row r="11318" spans="8:12" x14ac:dyDescent="0.3">
      <c r="H11318" s="5"/>
      <c r="I11318" s="5"/>
      <c r="J11318" s="5"/>
      <c r="K11318" s="5"/>
      <c r="L11318" s="5"/>
    </row>
    <row r="11319" spans="8:12" x14ac:dyDescent="0.3">
      <c r="H11319" s="5"/>
      <c r="I11319" s="5"/>
      <c r="J11319" s="5"/>
      <c r="K11319" s="5"/>
      <c r="L11319" s="5"/>
    </row>
    <row r="11320" spans="8:12" x14ac:dyDescent="0.3">
      <c r="H11320" s="5"/>
      <c r="I11320" s="5"/>
      <c r="J11320" s="5"/>
      <c r="K11320" s="5"/>
      <c r="L11320" s="5"/>
    </row>
    <row r="11321" spans="8:12" x14ac:dyDescent="0.3">
      <c r="H11321" s="5"/>
      <c r="I11321" s="5"/>
      <c r="J11321" s="5"/>
      <c r="K11321" s="5"/>
      <c r="L11321" s="5"/>
    </row>
    <row r="11322" spans="8:12" x14ac:dyDescent="0.3">
      <c r="H11322" s="5"/>
      <c r="I11322" s="5"/>
      <c r="J11322" s="5"/>
      <c r="K11322" s="5"/>
      <c r="L11322" s="5"/>
    </row>
    <row r="11323" spans="8:12" x14ac:dyDescent="0.3">
      <c r="H11323" s="5"/>
      <c r="I11323" s="5"/>
      <c r="J11323" s="5"/>
      <c r="K11323" s="5"/>
      <c r="L11323" s="5"/>
    </row>
    <row r="11324" spans="8:12" x14ac:dyDescent="0.3">
      <c r="H11324" s="5"/>
      <c r="I11324" s="5"/>
      <c r="J11324" s="5"/>
      <c r="K11324" s="5"/>
      <c r="L11324" s="5"/>
    </row>
    <row r="11325" spans="8:12" x14ac:dyDescent="0.3">
      <c r="H11325" s="5"/>
      <c r="I11325" s="5"/>
      <c r="J11325" s="5"/>
      <c r="K11325" s="5"/>
      <c r="L11325" s="5"/>
    </row>
    <row r="11326" spans="8:12" x14ac:dyDescent="0.3">
      <c r="H11326" s="5"/>
      <c r="I11326" s="5"/>
      <c r="J11326" s="5"/>
      <c r="K11326" s="5"/>
      <c r="L11326" s="5"/>
    </row>
    <row r="11327" spans="8:12" x14ac:dyDescent="0.3">
      <c r="H11327" s="5"/>
      <c r="I11327" s="5"/>
      <c r="J11327" s="5"/>
      <c r="K11327" s="5"/>
      <c r="L11327" s="5"/>
    </row>
    <row r="11328" spans="8:12" x14ac:dyDescent="0.3">
      <c r="H11328" s="5"/>
      <c r="I11328" s="5"/>
      <c r="J11328" s="5"/>
      <c r="K11328" s="5"/>
      <c r="L11328" s="5"/>
    </row>
    <row r="11329" spans="8:12" x14ac:dyDescent="0.3">
      <c r="H11329" s="5"/>
      <c r="I11329" s="5"/>
      <c r="J11329" s="5"/>
      <c r="K11329" s="5"/>
      <c r="L11329" s="5"/>
    </row>
    <row r="11330" spans="8:12" x14ac:dyDescent="0.3">
      <c r="H11330" s="5"/>
      <c r="I11330" s="5"/>
      <c r="J11330" s="5"/>
      <c r="K11330" s="5"/>
      <c r="L11330" s="5"/>
    </row>
    <row r="11331" spans="8:12" x14ac:dyDescent="0.3">
      <c r="H11331" s="5"/>
      <c r="I11331" s="5"/>
      <c r="J11331" s="5"/>
      <c r="K11331" s="5"/>
      <c r="L11331" s="5"/>
    </row>
    <row r="11332" spans="8:12" x14ac:dyDescent="0.3">
      <c r="H11332" s="5"/>
      <c r="I11332" s="5"/>
      <c r="J11332" s="5"/>
      <c r="K11332" s="5"/>
      <c r="L11332" s="5"/>
    </row>
    <row r="11333" spans="8:12" x14ac:dyDescent="0.3">
      <c r="H11333" s="5"/>
      <c r="I11333" s="5"/>
      <c r="J11333" s="5"/>
      <c r="K11333" s="5"/>
      <c r="L11333" s="5"/>
    </row>
    <row r="11334" spans="8:12" x14ac:dyDescent="0.3">
      <c r="H11334" s="5"/>
      <c r="I11334" s="5"/>
      <c r="J11334" s="5"/>
      <c r="K11334" s="5"/>
      <c r="L11334" s="5"/>
    </row>
    <row r="11335" spans="8:12" x14ac:dyDescent="0.3">
      <c r="H11335" s="5"/>
      <c r="I11335" s="5"/>
      <c r="J11335" s="5"/>
      <c r="K11335" s="5"/>
      <c r="L11335" s="5"/>
    </row>
    <row r="11336" spans="8:12" x14ac:dyDescent="0.3">
      <c r="H11336" s="5"/>
      <c r="I11336" s="5"/>
      <c r="J11336" s="5"/>
      <c r="K11336" s="5"/>
      <c r="L11336" s="5"/>
    </row>
    <row r="11337" spans="8:12" x14ac:dyDescent="0.3">
      <c r="H11337" s="5"/>
      <c r="I11337" s="5"/>
      <c r="J11337" s="5"/>
      <c r="K11337" s="5"/>
      <c r="L11337" s="5"/>
    </row>
    <row r="11338" spans="8:12" x14ac:dyDescent="0.3">
      <c r="H11338" s="5"/>
      <c r="I11338" s="5"/>
      <c r="J11338" s="5"/>
      <c r="K11338" s="5"/>
      <c r="L11338" s="5"/>
    </row>
    <row r="11339" spans="8:12" x14ac:dyDescent="0.3">
      <c r="H11339" s="5"/>
      <c r="I11339" s="5"/>
      <c r="J11339" s="5"/>
      <c r="K11339" s="5"/>
      <c r="L11339" s="5"/>
    </row>
    <row r="11340" spans="8:12" x14ac:dyDescent="0.3">
      <c r="H11340" s="5"/>
      <c r="I11340" s="5"/>
      <c r="J11340" s="5"/>
      <c r="K11340" s="5"/>
      <c r="L11340" s="5"/>
    </row>
    <row r="11341" spans="8:12" x14ac:dyDescent="0.3">
      <c r="H11341" s="5"/>
      <c r="I11341" s="5"/>
      <c r="J11341" s="5"/>
      <c r="K11341" s="5"/>
      <c r="L11341" s="5"/>
    </row>
    <row r="11342" spans="8:12" x14ac:dyDescent="0.3">
      <c r="H11342" s="5"/>
      <c r="I11342" s="5"/>
      <c r="J11342" s="5"/>
      <c r="K11342" s="5"/>
      <c r="L11342" s="5"/>
    </row>
    <row r="11343" spans="8:12" x14ac:dyDescent="0.3">
      <c r="H11343" s="5"/>
      <c r="I11343" s="5"/>
      <c r="J11343" s="5"/>
      <c r="K11343" s="5"/>
      <c r="L11343" s="5"/>
    </row>
    <row r="11344" spans="8:12" x14ac:dyDescent="0.3">
      <c r="H11344" s="5"/>
      <c r="I11344" s="5"/>
      <c r="J11344" s="5"/>
      <c r="K11344" s="5"/>
      <c r="L11344" s="5"/>
    </row>
    <row r="11345" spans="8:12" x14ac:dyDescent="0.3">
      <c r="H11345" s="5"/>
      <c r="I11345" s="5"/>
      <c r="J11345" s="5"/>
      <c r="K11345" s="5"/>
      <c r="L11345" s="5"/>
    </row>
    <row r="11346" spans="8:12" x14ac:dyDescent="0.3">
      <c r="H11346" s="5"/>
      <c r="I11346" s="5"/>
      <c r="J11346" s="5"/>
      <c r="K11346" s="5"/>
      <c r="L11346" s="5"/>
    </row>
    <row r="11347" spans="8:12" x14ac:dyDescent="0.3">
      <c r="H11347" s="5"/>
      <c r="I11347" s="5"/>
      <c r="J11347" s="5"/>
      <c r="K11347" s="5"/>
      <c r="L11347" s="5"/>
    </row>
    <row r="11348" spans="8:12" x14ac:dyDescent="0.3">
      <c r="H11348" s="5"/>
      <c r="I11348" s="5"/>
      <c r="J11348" s="5"/>
      <c r="K11348" s="5"/>
      <c r="L11348" s="5"/>
    </row>
    <row r="11349" spans="8:12" x14ac:dyDescent="0.3">
      <c r="H11349" s="5"/>
      <c r="I11349" s="5"/>
      <c r="J11349" s="5"/>
      <c r="K11349" s="5"/>
      <c r="L11349" s="5"/>
    </row>
    <row r="11350" spans="8:12" x14ac:dyDescent="0.3">
      <c r="H11350" s="5"/>
      <c r="I11350" s="5"/>
      <c r="J11350" s="5"/>
      <c r="K11350" s="5"/>
      <c r="L11350" s="5"/>
    </row>
    <row r="11351" spans="8:12" x14ac:dyDescent="0.3">
      <c r="H11351" s="5"/>
      <c r="I11351" s="5"/>
      <c r="J11351" s="5"/>
      <c r="K11351" s="5"/>
      <c r="L11351" s="5"/>
    </row>
    <row r="11352" spans="8:12" x14ac:dyDescent="0.3">
      <c r="H11352" s="5"/>
      <c r="I11352" s="5"/>
      <c r="J11352" s="5"/>
      <c r="K11352" s="5"/>
      <c r="L11352" s="5"/>
    </row>
    <row r="11353" spans="8:12" x14ac:dyDescent="0.3">
      <c r="H11353" s="5"/>
      <c r="I11353" s="5"/>
      <c r="J11353" s="5"/>
      <c r="K11353" s="5"/>
      <c r="L11353" s="5"/>
    </row>
    <row r="11354" spans="8:12" x14ac:dyDescent="0.3">
      <c r="H11354" s="5"/>
      <c r="I11354" s="5"/>
      <c r="J11354" s="5"/>
      <c r="K11354" s="5"/>
      <c r="L11354" s="5"/>
    </row>
    <row r="11355" spans="8:12" x14ac:dyDescent="0.3">
      <c r="H11355" s="5"/>
      <c r="I11355" s="5"/>
      <c r="J11355" s="5"/>
      <c r="K11355" s="5"/>
      <c r="L11355" s="5"/>
    </row>
    <row r="11356" spans="8:12" x14ac:dyDescent="0.3">
      <c r="H11356" s="5"/>
      <c r="I11356" s="5"/>
      <c r="J11356" s="5"/>
      <c r="K11356" s="5"/>
      <c r="L11356" s="5"/>
    </row>
    <row r="11357" spans="8:12" x14ac:dyDescent="0.3">
      <c r="H11357" s="5"/>
      <c r="I11357" s="5"/>
      <c r="J11357" s="5"/>
      <c r="K11357" s="5"/>
      <c r="L11357" s="5"/>
    </row>
    <row r="11358" spans="8:12" x14ac:dyDescent="0.3">
      <c r="H11358" s="5"/>
      <c r="I11358" s="5"/>
      <c r="J11358" s="5"/>
      <c r="K11358" s="5"/>
      <c r="L11358" s="5"/>
    </row>
    <row r="11359" spans="8:12" x14ac:dyDescent="0.3">
      <c r="H11359" s="5"/>
      <c r="I11359" s="5"/>
      <c r="J11359" s="5"/>
      <c r="K11359" s="5"/>
      <c r="L11359" s="5"/>
    </row>
    <row r="11360" spans="8:12" x14ac:dyDescent="0.3">
      <c r="H11360" s="5"/>
      <c r="I11360" s="5"/>
      <c r="J11360" s="5"/>
      <c r="K11360" s="5"/>
      <c r="L11360" s="5"/>
    </row>
    <row r="11361" spans="8:12" x14ac:dyDescent="0.3">
      <c r="H11361" s="5"/>
      <c r="I11361" s="5"/>
      <c r="J11361" s="5"/>
      <c r="K11361" s="5"/>
      <c r="L11361" s="5"/>
    </row>
    <row r="11362" spans="8:12" x14ac:dyDescent="0.3">
      <c r="H11362" s="5"/>
      <c r="I11362" s="5"/>
      <c r="J11362" s="5"/>
      <c r="K11362" s="5"/>
      <c r="L11362" s="5"/>
    </row>
    <row r="11363" spans="8:12" x14ac:dyDescent="0.3">
      <c r="H11363" s="5"/>
      <c r="I11363" s="5"/>
      <c r="J11363" s="5"/>
      <c r="K11363" s="5"/>
      <c r="L11363" s="5"/>
    </row>
    <row r="11364" spans="8:12" x14ac:dyDescent="0.3">
      <c r="H11364" s="5"/>
      <c r="I11364" s="5"/>
      <c r="J11364" s="5"/>
      <c r="K11364" s="5"/>
      <c r="L11364" s="5"/>
    </row>
    <row r="11365" spans="8:12" x14ac:dyDescent="0.3">
      <c r="H11365" s="5"/>
      <c r="I11365" s="5"/>
      <c r="J11365" s="5"/>
      <c r="K11365" s="5"/>
      <c r="L11365" s="5"/>
    </row>
    <row r="11366" spans="8:12" x14ac:dyDescent="0.3">
      <c r="H11366" s="5"/>
      <c r="I11366" s="5"/>
      <c r="J11366" s="5"/>
      <c r="K11366" s="5"/>
      <c r="L11366" s="5"/>
    </row>
    <row r="11367" spans="8:12" x14ac:dyDescent="0.3">
      <c r="H11367" s="5"/>
      <c r="I11367" s="5"/>
      <c r="J11367" s="5"/>
      <c r="K11367" s="5"/>
      <c r="L11367" s="5"/>
    </row>
    <row r="11368" spans="8:12" x14ac:dyDescent="0.3">
      <c r="H11368" s="5"/>
      <c r="I11368" s="5"/>
      <c r="J11368" s="5"/>
      <c r="K11368" s="5"/>
      <c r="L11368" s="5"/>
    </row>
    <row r="11369" spans="8:12" x14ac:dyDescent="0.3">
      <c r="H11369" s="5"/>
      <c r="I11369" s="5"/>
      <c r="J11369" s="5"/>
      <c r="K11369" s="5"/>
      <c r="L11369" s="5"/>
    </row>
    <row r="11370" spans="8:12" x14ac:dyDescent="0.3">
      <c r="H11370" s="5"/>
      <c r="I11370" s="5"/>
      <c r="J11370" s="5"/>
      <c r="K11370" s="5"/>
      <c r="L11370" s="5"/>
    </row>
    <row r="11371" spans="8:12" x14ac:dyDescent="0.3">
      <c r="H11371" s="5"/>
      <c r="I11371" s="5"/>
      <c r="J11371" s="5"/>
      <c r="K11371" s="5"/>
      <c r="L11371" s="5"/>
    </row>
    <row r="11372" spans="8:12" x14ac:dyDescent="0.3">
      <c r="H11372" s="5"/>
      <c r="I11372" s="5"/>
      <c r="J11372" s="5"/>
      <c r="K11372" s="5"/>
      <c r="L11372" s="5"/>
    </row>
    <row r="11373" spans="8:12" x14ac:dyDescent="0.3">
      <c r="H11373" s="5"/>
      <c r="I11373" s="5"/>
      <c r="J11373" s="5"/>
      <c r="K11373" s="5"/>
      <c r="L11373" s="5"/>
    </row>
    <row r="11374" spans="8:12" x14ac:dyDescent="0.3">
      <c r="H11374" s="5"/>
      <c r="I11374" s="5"/>
      <c r="J11374" s="5"/>
      <c r="K11374" s="5"/>
      <c r="L11374" s="5"/>
    </row>
    <row r="11375" spans="8:12" x14ac:dyDescent="0.3">
      <c r="H11375" s="5"/>
      <c r="I11375" s="5"/>
      <c r="J11375" s="5"/>
      <c r="K11375" s="5"/>
      <c r="L11375" s="5"/>
    </row>
    <row r="11376" spans="8:12" x14ac:dyDescent="0.3">
      <c r="H11376" s="5"/>
      <c r="I11376" s="5"/>
      <c r="J11376" s="5"/>
      <c r="K11376" s="5"/>
      <c r="L11376" s="5"/>
    </row>
    <row r="11377" spans="8:12" x14ac:dyDescent="0.3">
      <c r="H11377" s="5"/>
      <c r="I11377" s="5"/>
      <c r="J11377" s="5"/>
      <c r="K11377" s="5"/>
      <c r="L11377" s="5"/>
    </row>
    <row r="11378" spans="8:12" x14ac:dyDescent="0.3">
      <c r="H11378" s="5"/>
      <c r="I11378" s="5"/>
      <c r="J11378" s="5"/>
      <c r="K11378" s="5"/>
      <c r="L11378" s="5"/>
    </row>
    <row r="11379" spans="8:12" x14ac:dyDescent="0.3">
      <c r="H11379" s="5"/>
      <c r="I11379" s="5"/>
      <c r="J11379" s="5"/>
      <c r="K11379" s="5"/>
      <c r="L11379" s="5"/>
    </row>
    <row r="11380" spans="8:12" x14ac:dyDescent="0.3">
      <c r="H11380" s="5"/>
      <c r="I11380" s="5"/>
      <c r="J11380" s="5"/>
      <c r="K11380" s="5"/>
      <c r="L11380" s="5"/>
    </row>
    <row r="11381" spans="8:12" x14ac:dyDescent="0.3">
      <c r="H11381" s="5"/>
      <c r="I11381" s="5"/>
      <c r="J11381" s="5"/>
      <c r="K11381" s="5"/>
      <c r="L11381" s="5"/>
    </row>
    <row r="11382" spans="8:12" x14ac:dyDescent="0.3">
      <c r="H11382" s="5"/>
      <c r="I11382" s="5"/>
      <c r="J11382" s="5"/>
      <c r="K11382" s="5"/>
      <c r="L11382" s="5"/>
    </row>
    <row r="11383" spans="8:12" x14ac:dyDescent="0.3">
      <c r="H11383" s="5"/>
      <c r="I11383" s="5"/>
      <c r="J11383" s="5"/>
      <c r="K11383" s="5"/>
      <c r="L11383" s="5"/>
    </row>
    <row r="11384" spans="8:12" x14ac:dyDescent="0.3">
      <c r="H11384" s="5"/>
      <c r="I11384" s="5"/>
      <c r="J11384" s="5"/>
      <c r="K11384" s="5"/>
      <c r="L11384" s="5"/>
    </row>
    <row r="11385" spans="8:12" x14ac:dyDescent="0.3">
      <c r="H11385" s="5"/>
      <c r="I11385" s="5"/>
      <c r="J11385" s="5"/>
      <c r="K11385" s="5"/>
      <c r="L11385" s="5"/>
    </row>
    <row r="11386" spans="8:12" x14ac:dyDescent="0.3">
      <c r="H11386" s="5"/>
      <c r="I11386" s="5"/>
      <c r="J11386" s="5"/>
      <c r="K11386" s="5"/>
      <c r="L11386" s="5"/>
    </row>
    <row r="11387" spans="8:12" x14ac:dyDescent="0.3">
      <c r="H11387" s="5"/>
      <c r="I11387" s="5"/>
      <c r="J11387" s="5"/>
      <c r="K11387" s="5"/>
      <c r="L11387" s="5"/>
    </row>
    <row r="11388" spans="8:12" x14ac:dyDescent="0.3">
      <c r="H11388" s="5"/>
      <c r="I11388" s="5"/>
      <c r="J11388" s="5"/>
      <c r="K11388" s="5"/>
      <c r="L11388" s="5"/>
    </row>
    <row r="11389" spans="8:12" x14ac:dyDescent="0.3">
      <c r="H11389" s="5"/>
      <c r="I11389" s="5"/>
      <c r="J11389" s="5"/>
      <c r="K11389" s="5"/>
      <c r="L11389" s="5"/>
    </row>
    <row r="11390" spans="8:12" x14ac:dyDescent="0.3">
      <c r="H11390" s="5"/>
      <c r="I11390" s="5"/>
      <c r="J11390" s="5"/>
      <c r="K11390" s="5"/>
      <c r="L11390" s="5"/>
    </row>
    <row r="11391" spans="8:12" x14ac:dyDescent="0.3">
      <c r="H11391" s="5"/>
      <c r="I11391" s="5"/>
      <c r="J11391" s="5"/>
      <c r="K11391" s="5"/>
      <c r="L11391" s="5"/>
    </row>
    <row r="11392" spans="8:12" x14ac:dyDescent="0.3">
      <c r="H11392" s="5"/>
      <c r="I11392" s="5"/>
      <c r="J11392" s="5"/>
      <c r="K11392" s="5"/>
      <c r="L11392" s="5"/>
    </row>
    <row r="11393" spans="8:12" x14ac:dyDescent="0.3">
      <c r="H11393" s="5"/>
      <c r="I11393" s="5"/>
      <c r="J11393" s="5"/>
      <c r="K11393" s="5"/>
      <c r="L11393" s="5"/>
    </row>
    <row r="11394" spans="8:12" x14ac:dyDescent="0.3">
      <c r="H11394" s="5"/>
      <c r="I11394" s="5"/>
      <c r="J11394" s="5"/>
      <c r="K11394" s="5"/>
      <c r="L11394" s="5"/>
    </row>
    <row r="11395" spans="8:12" x14ac:dyDescent="0.3">
      <c r="H11395" s="5"/>
      <c r="I11395" s="5"/>
      <c r="J11395" s="5"/>
      <c r="K11395" s="5"/>
      <c r="L11395" s="5"/>
    </row>
    <row r="11396" spans="8:12" x14ac:dyDescent="0.3">
      <c r="H11396" s="5"/>
      <c r="I11396" s="5"/>
      <c r="J11396" s="5"/>
      <c r="K11396" s="5"/>
      <c r="L11396" s="5"/>
    </row>
    <row r="11397" spans="8:12" x14ac:dyDescent="0.3">
      <c r="H11397" s="5"/>
      <c r="I11397" s="5"/>
      <c r="J11397" s="5"/>
      <c r="K11397" s="5"/>
      <c r="L11397" s="5"/>
    </row>
    <row r="11398" spans="8:12" x14ac:dyDescent="0.3">
      <c r="H11398" s="5"/>
      <c r="I11398" s="5"/>
      <c r="J11398" s="5"/>
      <c r="K11398" s="5"/>
      <c r="L11398" s="5"/>
    </row>
    <row r="11399" spans="8:12" x14ac:dyDescent="0.3">
      <c r="H11399" s="5"/>
      <c r="I11399" s="5"/>
      <c r="J11399" s="5"/>
      <c r="K11399" s="5"/>
      <c r="L11399" s="5"/>
    </row>
    <row r="11400" spans="8:12" x14ac:dyDescent="0.3">
      <c r="H11400" s="5"/>
      <c r="I11400" s="5"/>
      <c r="J11400" s="5"/>
      <c r="K11400" s="5"/>
      <c r="L11400" s="5"/>
    </row>
    <row r="11401" spans="8:12" x14ac:dyDescent="0.3">
      <c r="H11401" s="5"/>
      <c r="I11401" s="5"/>
      <c r="J11401" s="5"/>
      <c r="K11401" s="5"/>
      <c r="L11401" s="5"/>
    </row>
    <row r="11402" spans="8:12" x14ac:dyDescent="0.3">
      <c r="H11402" s="5"/>
      <c r="I11402" s="5"/>
      <c r="J11402" s="5"/>
      <c r="K11402" s="5"/>
      <c r="L11402" s="5"/>
    </row>
    <row r="11403" spans="8:12" x14ac:dyDescent="0.3">
      <c r="H11403" s="5"/>
      <c r="I11403" s="5"/>
      <c r="J11403" s="5"/>
      <c r="K11403" s="5"/>
      <c r="L11403" s="5"/>
    </row>
    <row r="11404" spans="8:12" x14ac:dyDescent="0.3">
      <c r="H11404" s="5"/>
      <c r="I11404" s="5"/>
      <c r="J11404" s="5"/>
      <c r="K11404" s="5"/>
      <c r="L11404" s="5"/>
    </row>
    <row r="11405" spans="8:12" x14ac:dyDescent="0.3">
      <c r="H11405" s="5"/>
      <c r="I11405" s="5"/>
      <c r="J11405" s="5"/>
      <c r="K11405" s="5"/>
      <c r="L11405" s="5"/>
    </row>
    <row r="11406" spans="8:12" x14ac:dyDescent="0.3">
      <c r="H11406" s="5"/>
      <c r="I11406" s="5"/>
      <c r="J11406" s="5"/>
      <c r="K11406" s="5"/>
      <c r="L11406" s="5"/>
    </row>
    <row r="11407" spans="8:12" x14ac:dyDescent="0.3">
      <c r="H11407" s="5"/>
      <c r="I11407" s="5"/>
      <c r="J11407" s="5"/>
      <c r="K11407" s="5"/>
      <c r="L11407" s="5"/>
    </row>
    <row r="11408" spans="8:12" x14ac:dyDescent="0.3">
      <c r="H11408" s="5"/>
      <c r="I11408" s="5"/>
      <c r="J11408" s="5"/>
      <c r="K11408" s="5"/>
      <c r="L11408" s="5"/>
    </row>
    <row r="11409" spans="8:12" x14ac:dyDescent="0.3">
      <c r="H11409" s="5"/>
      <c r="I11409" s="5"/>
      <c r="J11409" s="5"/>
      <c r="K11409" s="5"/>
      <c r="L11409" s="5"/>
    </row>
    <row r="11410" spans="8:12" x14ac:dyDescent="0.3">
      <c r="H11410" s="5"/>
      <c r="I11410" s="5"/>
      <c r="J11410" s="5"/>
      <c r="K11410" s="5"/>
      <c r="L11410" s="5"/>
    </row>
    <row r="11411" spans="8:12" x14ac:dyDescent="0.3">
      <c r="H11411" s="5"/>
      <c r="I11411" s="5"/>
      <c r="J11411" s="5"/>
      <c r="K11411" s="5"/>
      <c r="L11411" s="5"/>
    </row>
    <row r="11412" spans="8:12" x14ac:dyDescent="0.3">
      <c r="H11412" s="5"/>
      <c r="I11412" s="5"/>
      <c r="J11412" s="5"/>
      <c r="K11412" s="5"/>
      <c r="L11412" s="5"/>
    </row>
    <row r="11413" spans="8:12" x14ac:dyDescent="0.3">
      <c r="H11413" s="5"/>
      <c r="I11413" s="5"/>
      <c r="J11413" s="5"/>
      <c r="K11413" s="5"/>
      <c r="L11413" s="5"/>
    </row>
    <row r="11414" spans="8:12" x14ac:dyDescent="0.3">
      <c r="H11414" s="5"/>
      <c r="I11414" s="5"/>
      <c r="J11414" s="5"/>
      <c r="K11414" s="5"/>
      <c r="L11414" s="5"/>
    </row>
    <row r="11415" spans="8:12" x14ac:dyDescent="0.3">
      <c r="H11415" s="5"/>
      <c r="I11415" s="5"/>
      <c r="J11415" s="5"/>
      <c r="K11415" s="5"/>
      <c r="L11415" s="5"/>
    </row>
    <row r="11416" spans="8:12" x14ac:dyDescent="0.3">
      <c r="H11416" s="5"/>
      <c r="I11416" s="5"/>
      <c r="J11416" s="5"/>
      <c r="K11416" s="5"/>
      <c r="L11416" s="5"/>
    </row>
    <row r="11417" spans="8:12" x14ac:dyDescent="0.3">
      <c r="H11417" s="5"/>
      <c r="I11417" s="5"/>
      <c r="J11417" s="5"/>
      <c r="K11417" s="5"/>
      <c r="L11417" s="5"/>
    </row>
    <row r="11418" spans="8:12" x14ac:dyDescent="0.3">
      <c r="H11418" s="5"/>
      <c r="I11418" s="5"/>
      <c r="J11418" s="5"/>
      <c r="K11418" s="5"/>
      <c r="L11418" s="5"/>
    </row>
    <row r="11419" spans="8:12" x14ac:dyDescent="0.3">
      <c r="H11419" s="5"/>
      <c r="I11419" s="5"/>
      <c r="J11419" s="5"/>
      <c r="K11419" s="5"/>
      <c r="L11419" s="5"/>
    </row>
    <row r="11420" spans="8:12" x14ac:dyDescent="0.3">
      <c r="H11420" s="5"/>
      <c r="I11420" s="5"/>
      <c r="J11420" s="5"/>
      <c r="K11420" s="5"/>
      <c r="L11420" s="5"/>
    </row>
    <row r="11421" spans="8:12" x14ac:dyDescent="0.3">
      <c r="H11421" s="5"/>
      <c r="I11421" s="5"/>
      <c r="J11421" s="5"/>
      <c r="K11421" s="5"/>
      <c r="L11421" s="5"/>
    </row>
    <row r="11422" spans="8:12" x14ac:dyDescent="0.3">
      <c r="H11422" s="5"/>
      <c r="I11422" s="5"/>
      <c r="J11422" s="5"/>
      <c r="K11422" s="5"/>
      <c r="L11422" s="5"/>
    </row>
    <row r="11423" spans="8:12" x14ac:dyDescent="0.3">
      <c r="H11423" s="5"/>
      <c r="I11423" s="5"/>
      <c r="J11423" s="5"/>
      <c r="K11423" s="5"/>
      <c r="L11423" s="5"/>
    </row>
    <row r="11424" spans="8:12" x14ac:dyDescent="0.3">
      <c r="H11424" s="5"/>
      <c r="I11424" s="5"/>
      <c r="J11424" s="5"/>
      <c r="K11424" s="5"/>
      <c r="L11424" s="5"/>
    </row>
    <row r="11425" spans="8:12" x14ac:dyDescent="0.3">
      <c r="H11425" s="5"/>
      <c r="I11425" s="5"/>
      <c r="J11425" s="5"/>
      <c r="K11425" s="5"/>
      <c r="L11425" s="5"/>
    </row>
    <row r="11426" spans="8:12" x14ac:dyDescent="0.3">
      <c r="H11426" s="5"/>
      <c r="I11426" s="5"/>
      <c r="J11426" s="5"/>
      <c r="K11426" s="5"/>
      <c r="L11426" s="5"/>
    </row>
    <row r="11427" spans="8:12" x14ac:dyDescent="0.3">
      <c r="H11427" s="5"/>
      <c r="I11427" s="5"/>
      <c r="J11427" s="5"/>
      <c r="K11427" s="5"/>
      <c r="L11427" s="5"/>
    </row>
    <row r="11428" spans="8:12" x14ac:dyDescent="0.3">
      <c r="H11428" s="5"/>
      <c r="I11428" s="5"/>
      <c r="J11428" s="5"/>
      <c r="K11428" s="5"/>
      <c r="L11428" s="5"/>
    </row>
    <row r="11429" spans="8:12" x14ac:dyDescent="0.3">
      <c r="H11429" s="5"/>
      <c r="I11429" s="5"/>
      <c r="J11429" s="5"/>
      <c r="K11429" s="5"/>
      <c r="L11429" s="5"/>
    </row>
    <row r="11430" spans="8:12" x14ac:dyDescent="0.3">
      <c r="H11430" s="5"/>
      <c r="I11430" s="5"/>
      <c r="J11430" s="5"/>
      <c r="K11430" s="5"/>
      <c r="L11430" s="5"/>
    </row>
    <row r="11431" spans="8:12" x14ac:dyDescent="0.3">
      <c r="H11431" s="5"/>
      <c r="I11431" s="5"/>
      <c r="J11431" s="5"/>
      <c r="K11431" s="5"/>
      <c r="L11431" s="5"/>
    </row>
    <row r="11432" spans="8:12" x14ac:dyDescent="0.3">
      <c r="H11432" s="5"/>
      <c r="I11432" s="5"/>
      <c r="J11432" s="5"/>
      <c r="K11432" s="5"/>
      <c r="L11432" s="5"/>
    </row>
    <row r="11433" spans="8:12" x14ac:dyDescent="0.3">
      <c r="H11433" s="5"/>
      <c r="I11433" s="5"/>
      <c r="J11433" s="5"/>
      <c r="K11433" s="5"/>
      <c r="L11433" s="5"/>
    </row>
    <row r="11434" spans="8:12" x14ac:dyDescent="0.3">
      <c r="H11434" s="5"/>
      <c r="I11434" s="5"/>
      <c r="J11434" s="5"/>
      <c r="K11434" s="5"/>
      <c r="L11434" s="5"/>
    </row>
    <row r="11435" spans="8:12" x14ac:dyDescent="0.3">
      <c r="H11435" s="5"/>
      <c r="I11435" s="5"/>
      <c r="J11435" s="5"/>
      <c r="K11435" s="5"/>
      <c r="L11435" s="5"/>
    </row>
    <row r="11436" spans="8:12" x14ac:dyDescent="0.3">
      <c r="H11436" s="5"/>
      <c r="I11436" s="5"/>
      <c r="J11436" s="5"/>
      <c r="K11436" s="5"/>
      <c r="L11436" s="5"/>
    </row>
    <row r="11437" spans="8:12" x14ac:dyDescent="0.3">
      <c r="H11437" s="5"/>
      <c r="I11437" s="5"/>
      <c r="J11437" s="5"/>
      <c r="K11437" s="5"/>
      <c r="L11437" s="5"/>
    </row>
    <row r="11438" spans="8:12" x14ac:dyDescent="0.3">
      <c r="H11438" s="5"/>
      <c r="I11438" s="5"/>
      <c r="J11438" s="5"/>
      <c r="K11438" s="5"/>
      <c r="L11438" s="5"/>
    </row>
    <row r="11439" spans="8:12" x14ac:dyDescent="0.3">
      <c r="H11439" s="5"/>
      <c r="I11439" s="5"/>
      <c r="J11439" s="5"/>
      <c r="K11439" s="5"/>
      <c r="L11439" s="5"/>
    </row>
    <row r="11440" spans="8:12" x14ac:dyDescent="0.3">
      <c r="H11440" s="5"/>
      <c r="I11440" s="5"/>
      <c r="J11440" s="5"/>
      <c r="K11440" s="5"/>
      <c r="L11440" s="5"/>
    </row>
    <row r="11441" spans="8:12" x14ac:dyDescent="0.3">
      <c r="H11441" s="5"/>
      <c r="I11441" s="5"/>
      <c r="J11441" s="5"/>
      <c r="K11441" s="5"/>
      <c r="L11441" s="5"/>
    </row>
    <row r="11442" spans="8:12" x14ac:dyDescent="0.3">
      <c r="H11442" s="5"/>
      <c r="I11442" s="5"/>
      <c r="J11442" s="5"/>
      <c r="K11442" s="5"/>
      <c r="L11442" s="5"/>
    </row>
    <row r="11443" spans="8:12" x14ac:dyDescent="0.3">
      <c r="H11443" s="5"/>
      <c r="I11443" s="5"/>
      <c r="J11443" s="5"/>
      <c r="K11443" s="5"/>
      <c r="L11443" s="5"/>
    </row>
    <row r="11444" spans="8:12" x14ac:dyDescent="0.3">
      <c r="H11444" s="5"/>
      <c r="I11444" s="5"/>
      <c r="J11444" s="5"/>
      <c r="K11444" s="5"/>
      <c r="L11444" s="5"/>
    </row>
    <row r="11445" spans="8:12" x14ac:dyDescent="0.3">
      <c r="H11445" s="5"/>
      <c r="I11445" s="5"/>
      <c r="J11445" s="5"/>
      <c r="K11445" s="5"/>
      <c r="L11445" s="5"/>
    </row>
    <row r="11446" spans="8:12" x14ac:dyDescent="0.3">
      <c r="H11446" s="5"/>
      <c r="I11446" s="5"/>
      <c r="J11446" s="5"/>
      <c r="K11446" s="5"/>
      <c r="L11446" s="5"/>
    </row>
    <row r="11447" spans="8:12" x14ac:dyDescent="0.3">
      <c r="H11447" s="5"/>
      <c r="I11447" s="5"/>
      <c r="J11447" s="5"/>
      <c r="K11447" s="5"/>
      <c r="L11447" s="5"/>
    </row>
    <row r="11448" spans="8:12" x14ac:dyDescent="0.3">
      <c r="H11448" s="5"/>
      <c r="I11448" s="5"/>
      <c r="J11448" s="5"/>
      <c r="K11448" s="5"/>
      <c r="L11448" s="5"/>
    </row>
    <row r="11449" spans="8:12" x14ac:dyDescent="0.3">
      <c r="H11449" s="5"/>
      <c r="I11449" s="5"/>
      <c r="J11449" s="5"/>
      <c r="K11449" s="5"/>
      <c r="L11449" s="5"/>
    </row>
    <row r="11450" spans="8:12" x14ac:dyDescent="0.3">
      <c r="H11450" s="5"/>
      <c r="I11450" s="5"/>
      <c r="J11450" s="5"/>
      <c r="K11450" s="5"/>
      <c r="L11450" s="5"/>
    </row>
    <row r="11451" spans="8:12" x14ac:dyDescent="0.3">
      <c r="H11451" s="5"/>
      <c r="I11451" s="5"/>
      <c r="J11451" s="5"/>
      <c r="K11451" s="5"/>
      <c r="L11451" s="5"/>
    </row>
    <row r="11452" spans="8:12" x14ac:dyDescent="0.3">
      <c r="H11452" s="5"/>
      <c r="I11452" s="5"/>
      <c r="J11452" s="5"/>
      <c r="K11452" s="5"/>
      <c r="L11452" s="5"/>
    </row>
    <row r="11453" spans="8:12" x14ac:dyDescent="0.3">
      <c r="H11453" s="5"/>
      <c r="I11453" s="5"/>
      <c r="J11453" s="5"/>
      <c r="K11453" s="5"/>
      <c r="L11453" s="5"/>
    </row>
    <row r="11454" spans="8:12" x14ac:dyDescent="0.3">
      <c r="H11454" s="5"/>
      <c r="I11454" s="5"/>
      <c r="J11454" s="5"/>
      <c r="K11454" s="5"/>
      <c r="L11454" s="5"/>
    </row>
    <row r="11455" spans="8:12" x14ac:dyDescent="0.3">
      <c r="H11455" s="5"/>
      <c r="I11455" s="5"/>
      <c r="J11455" s="5"/>
      <c r="K11455" s="5"/>
      <c r="L11455" s="5"/>
    </row>
    <row r="11456" spans="8:12" x14ac:dyDescent="0.3">
      <c r="H11456" s="5"/>
      <c r="I11456" s="5"/>
      <c r="J11456" s="5"/>
      <c r="K11456" s="5"/>
      <c r="L11456" s="5"/>
    </row>
    <row r="11457" spans="8:12" x14ac:dyDescent="0.3">
      <c r="H11457" s="5"/>
      <c r="I11457" s="5"/>
      <c r="J11457" s="5"/>
      <c r="K11457" s="5"/>
      <c r="L11457" s="5"/>
    </row>
    <row r="11458" spans="8:12" x14ac:dyDescent="0.3">
      <c r="H11458" s="5"/>
      <c r="I11458" s="5"/>
      <c r="J11458" s="5"/>
      <c r="K11458" s="5"/>
      <c r="L11458" s="5"/>
    </row>
    <row r="11459" spans="8:12" x14ac:dyDescent="0.3">
      <c r="H11459" s="5"/>
      <c r="I11459" s="5"/>
      <c r="J11459" s="5"/>
      <c r="K11459" s="5"/>
      <c r="L11459" s="5"/>
    </row>
    <row r="11460" spans="8:12" x14ac:dyDescent="0.3">
      <c r="H11460" s="5"/>
      <c r="I11460" s="5"/>
      <c r="J11460" s="5"/>
      <c r="K11460" s="5"/>
      <c r="L11460" s="5"/>
    </row>
    <row r="11461" spans="8:12" x14ac:dyDescent="0.3">
      <c r="H11461" s="5"/>
      <c r="I11461" s="5"/>
      <c r="J11461" s="5"/>
      <c r="K11461" s="5"/>
      <c r="L11461" s="5"/>
    </row>
    <row r="11462" spans="8:12" x14ac:dyDescent="0.3">
      <c r="H11462" s="5"/>
      <c r="I11462" s="5"/>
      <c r="J11462" s="5"/>
      <c r="K11462" s="5"/>
      <c r="L11462" s="5"/>
    </row>
    <row r="11463" spans="8:12" x14ac:dyDescent="0.3">
      <c r="H11463" s="5"/>
      <c r="I11463" s="5"/>
      <c r="J11463" s="5"/>
      <c r="K11463" s="5"/>
      <c r="L11463" s="5"/>
    </row>
    <row r="11464" spans="8:12" x14ac:dyDescent="0.3">
      <c r="H11464" s="5"/>
      <c r="I11464" s="5"/>
      <c r="J11464" s="5"/>
      <c r="K11464" s="5"/>
      <c r="L11464" s="5"/>
    </row>
    <row r="11465" spans="8:12" x14ac:dyDescent="0.3">
      <c r="H11465" s="5"/>
      <c r="I11465" s="5"/>
      <c r="J11465" s="5"/>
      <c r="K11465" s="5"/>
      <c r="L11465" s="5"/>
    </row>
    <row r="11466" spans="8:12" x14ac:dyDescent="0.3">
      <c r="H11466" s="5"/>
      <c r="I11466" s="5"/>
      <c r="J11466" s="5"/>
      <c r="K11466" s="5"/>
      <c r="L11466" s="5"/>
    </row>
    <row r="11467" spans="8:12" x14ac:dyDescent="0.3">
      <c r="H11467" s="5"/>
      <c r="I11467" s="5"/>
      <c r="J11467" s="5"/>
      <c r="K11467" s="5"/>
      <c r="L11467" s="5"/>
    </row>
    <row r="11468" spans="8:12" x14ac:dyDescent="0.3">
      <c r="H11468" s="5"/>
      <c r="I11468" s="5"/>
      <c r="J11468" s="5"/>
      <c r="K11468" s="5"/>
      <c r="L11468" s="5"/>
    </row>
    <row r="11469" spans="8:12" x14ac:dyDescent="0.3">
      <c r="H11469" s="5"/>
      <c r="I11469" s="5"/>
      <c r="J11469" s="5"/>
      <c r="K11469" s="5"/>
      <c r="L11469" s="5"/>
    </row>
    <row r="11470" spans="8:12" x14ac:dyDescent="0.3">
      <c r="H11470" s="5"/>
      <c r="I11470" s="5"/>
      <c r="J11470" s="5"/>
      <c r="K11470" s="5"/>
      <c r="L11470" s="5"/>
    </row>
    <row r="11471" spans="8:12" x14ac:dyDescent="0.3">
      <c r="H11471" s="5"/>
      <c r="I11471" s="5"/>
      <c r="J11471" s="5"/>
      <c r="K11471" s="5"/>
      <c r="L11471" s="5"/>
    </row>
    <row r="11472" spans="8:12" x14ac:dyDescent="0.3">
      <c r="H11472" s="5"/>
      <c r="I11472" s="5"/>
      <c r="J11472" s="5"/>
      <c r="K11472" s="5"/>
      <c r="L11472" s="5"/>
    </row>
    <row r="11473" spans="8:12" x14ac:dyDescent="0.3">
      <c r="H11473" s="5"/>
      <c r="I11473" s="5"/>
      <c r="J11473" s="5"/>
      <c r="K11473" s="5"/>
      <c r="L11473" s="5"/>
    </row>
    <row r="11474" spans="8:12" x14ac:dyDescent="0.3">
      <c r="H11474" s="5"/>
      <c r="I11474" s="5"/>
      <c r="J11474" s="5"/>
      <c r="K11474" s="5"/>
      <c r="L11474" s="5"/>
    </row>
    <row r="11475" spans="8:12" x14ac:dyDescent="0.3">
      <c r="H11475" s="5"/>
      <c r="I11475" s="5"/>
      <c r="J11475" s="5"/>
      <c r="K11475" s="5"/>
      <c r="L11475" s="5"/>
    </row>
    <row r="11476" spans="8:12" x14ac:dyDescent="0.3">
      <c r="H11476" s="5"/>
      <c r="I11476" s="5"/>
      <c r="J11476" s="5"/>
      <c r="K11476" s="5"/>
      <c r="L11476" s="5"/>
    </row>
    <row r="11477" spans="8:12" x14ac:dyDescent="0.3">
      <c r="H11477" s="5"/>
      <c r="I11477" s="5"/>
      <c r="J11477" s="5"/>
      <c r="K11477" s="5"/>
      <c r="L11477" s="5"/>
    </row>
    <row r="11478" spans="8:12" x14ac:dyDescent="0.3">
      <c r="H11478" s="5"/>
      <c r="I11478" s="5"/>
      <c r="J11478" s="5"/>
      <c r="K11478" s="5"/>
      <c r="L11478" s="5"/>
    </row>
    <row r="11479" spans="8:12" x14ac:dyDescent="0.3">
      <c r="H11479" s="5"/>
      <c r="I11479" s="5"/>
      <c r="J11479" s="5"/>
      <c r="K11479" s="5"/>
      <c r="L11479" s="5"/>
    </row>
    <row r="11480" spans="8:12" x14ac:dyDescent="0.3">
      <c r="H11480" s="5"/>
      <c r="I11480" s="5"/>
      <c r="J11480" s="5"/>
      <c r="K11480" s="5"/>
      <c r="L11480" s="5"/>
    </row>
    <row r="11481" spans="8:12" x14ac:dyDescent="0.3">
      <c r="H11481" s="5"/>
      <c r="I11481" s="5"/>
      <c r="J11481" s="5"/>
      <c r="K11481" s="5"/>
      <c r="L11481" s="5"/>
    </row>
    <row r="11482" spans="8:12" x14ac:dyDescent="0.3">
      <c r="H11482" s="5"/>
      <c r="I11482" s="5"/>
      <c r="J11482" s="5"/>
      <c r="K11482" s="5"/>
      <c r="L11482" s="5"/>
    </row>
    <row r="11483" spans="8:12" x14ac:dyDescent="0.3">
      <c r="H11483" s="5"/>
      <c r="I11483" s="5"/>
      <c r="J11483" s="5"/>
      <c r="K11483" s="5"/>
      <c r="L11483" s="5"/>
    </row>
    <row r="11484" spans="8:12" x14ac:dyDescent="0.3">
      <c r="H11484" s="5"/>
      <c r="I11484" s="5"/>
      <c r="J11484" s="5"/>
      <c r="K11484" s="5"/>
      <c r="L11484" s="5"/>
    </row>
    <row r="11485" spans="8:12" x14ac:dyDescent="0.3">
      <c r="H11485" s="5"/>
      <c r="I11485" s="5"/>
      <c r="J11485" s="5"/>
      <c r="K11485" s="5"/>
      <c r="L11485" s="5"/>
    </row>
    <row r="11486" spans="8:12" x14ac:dyDescent="0.3">
      <c r="H11486" s="5"/>
      <c r="I11486" s="5"/>
      <c r="J11486" s="5"/>
      <c r="K11486" s="5"/>
      <c r="L11486" s="5"/>
    </row>
    <row r="11487" spans="8:12" x14ac:dyDescent="0.3">
      <c r="H11487" s="5"/>
      <c r="I11487" s="5"/>
      <c r="J11487" s="5"/>
      <c r="K11487" s="5"/>
      <c r="L11487" s="5"/>
    </row>
    <row r="11488" spans="8:12" x14ac:dyDescent="0.3">
      <c r="H11488" s="5"/>
      <c r="I11488" s="5"/>
      <c r="J11488" s="5"/>
      <c r="K11488" s="5"/>
      <c r="L11488" s="5"/>
    </row>
    <row r="11489" spans="8:12" x14ac:dyDescent="0.3">
      <c r="H11489" s="5"/>
      <c r="I11489" s="5"/>
      <c r="J11489" s="5"/>
      <c r="K11489" s="5"/>
      <c r="L11489" s="5"/>
    </row>
    <row r="11490" spans="8:12" x14ac:dyDescent="0.3">
      <c r="H11490" s="5"/>
      <c r="I11490" s="5"/>
      <c r="J11490" s="5"/>
      <c r="K11490" s="5"/>
      <c r="L11490" s="5"/>
    </row>
    <row r="11491" spans="8:12" x14ac:dyDescent="0.3">
      <c r="H11491" s="5"/>
      <c r="I11491" s="5"/>
      <c r="J11491" s="5"/>
      <c r="K11491" s="5"/>
      <c r="L11491" s="5"/>
    </row>
    <row r="11492" spans="8:12" x14ac:dyDescent="0.3">
      <c r="H11492" s="5"/>
      <c r="I11492" s="5"/>
      <c r="J11492" s="5"/>
      <c r="K11492" s="5"/>
      <c r="L11492" s="5"/>
    </row>
    <row r="11493" spans="8:12" x14ac:dyDescent="0.3">
      <c r="H11493" s="5"/>
      <c r="I11493" s="5"/>
      <c r="J11493" s="5"/>
      <c r="K11493" s="5"/>
      <c r="L11493" s="5"/>
    </row>
    <row r="11494" spans="8:12" x14ac:dyDescent="0.3">
      <c r="H11494" s="5"/>
      <c r="I11494" s="5"/>
      <c r="J11494" s="5"/>
      <c r="K11494" s="5"/>
      <c r="L11494" s="5"/>
    </row>
    <row r="11495" spans="8:12" x14ac:dyDescent="0.3">
      <c r="H11495" s="5"/>
      <c r="I11495" s="5"/>
      <c r="J11495" s="5"/>
      <c r="K11495" s="5"/>
      <c r="L11495" s="5"/>
    </row>
    <row r="11496" spans="8:12" x14ac:dyDescent="0.3">
      <c r="H11496" s="5"/>
      <c r="I11496" s="5"/>
      <c r="J11496" s="5"/>
      <c r="K11496" s="5"/>
      <c r="L11496" s="5"/>
    </row>
    <row r="11497" spans="8:12" x14ac:dyDescent="0.3">
      <c r="H11497" s="5"/>
      <c r="I11497" s="5"/>
      <c r="J11497" s="5"/>
      <c r="K11497" s="5"/>
      <c r="L11497" s="5"/>
    </row>
    <row r="11498" spans="8:12" x14ac:dyDescent="0.3">
      <c r="H11498" s="5"/>
      <c r="I11498" s="5"/>
      <c r="J11498" s="5"/>
      <c r="K11498" s="5"/>
      <c r="L11498" s="5"/>
    </row>
    <row r="11499" spans="8:12" x14ac:dyDescent="0.3">
      <c r="H11499" s="5"/>
      <c r="I11499" s="5"/>
      <c r="J11499" s="5"/>
      <c r="K11499" s="5"/>
      <c r="L11499" s="5"/>
    </row>
    <row r="11500" spans="8:12" x14ac:dyDescent="0.3">
      <c r="H11500" s="5"/>
      <c r="I11500" s="5"/>
      <c r="J11500" s="5"/>
      <c r="K11500" s="5"/>
      <c r="L11500" s="5"/>
    </row>
    <row r="11501" spans="8:12" x14ac:dyDescent="0.3">
      <c r="H11501" s="5"/>
      <c r="I11501" s="5"/>
      <c r="J11501" s="5"/>
      <c r="K11501" s="5"/>
      <c r="L11501" s="5"/>
    </row>
    <row r="11502" spans="8:12" x14ac:dyDescent="0.3">
      <c r="H11502" s="5"/>
      <c r="I11502" s="5"/>
      <c r="J11502" s="5"/>
      <c r="K11502" s="5"/>
      <c r="L11502" s="5"/>
    </row>
    <row r="11503" spans="8:12" x14ac:dyDescent="0.3">
      <c r="H11503" s="5"/>
      <c r="I11503" s="5"/>
      <c r="J11503" s="5"/>
      <c r="K11503" s="5"/>
      <c r="L11503" s="5"/>
    </row>
    <row r="11504" spans="8:12" x14ac:dyDescent="0.3">
      <c r="H11504" s="5"/>
      <c r="I11504" s="5"/>
      <c r="J11504" s="5"/>
      <c r="K11504" s="5"/>
      <c r="L11504" s="5"/>
    </row>
    <row r="11505" spans="8:12" x14ac:dyDescent="0.3">
      <c r="H11505" s="5"/>
      <c r="I11505" s="5"/>
      <c r="J11505" s="5"/>
      <c r="K11505" s="5"/>
      <c r="L11505" s="5"/>
    </row>
    <row r="11506" spans="8:12" x14ac:dyDescent="0.3">
      <c r="H11506" s="5"/>
      <c r="I11506" s="5"/>
      <c r="J11506" s="5"/>
      <c r="K11506" s="5"/>
      <c r="L11506" s="5"/>
    </row>
    <row r="11507" spans="8:12" x14ac:dyDescent="0.3">
      <c r="H11507" s="5"/>
      <c r="I11507" s="5"/>
      <c r="J11507" s="5"/>
      <c r="K11507" s="5"/>
      <c r="L11507" s="5"/>
    </row>
    <row r="11508" spans="8:12" x14ac:dyDescent="0.3">
      <c r="H11508" s="5"/>
      <c r="I11508" s="5"/>
      <c r="J11508" s="5"/>
      <c r="K11508" s="5"/>
      <c r="L11508" s="5"/>
    </row>
    <row r="11509" spans="8:12" x14ac:dyDescent="0.3">
      <c r="H11509" s="5"/>
      <c r="I11509" s="5"/>
      <c r="J11509" s="5"/>
      <c r="K11509" s="5"/>
      <c r="L11509" s="5"/>
    </row>
    <row r="11510" spans="8:12" x14ac:dyDescent="0.3">
      <c r="H11510" s="5"/>
      <c r="I11510" s="5"/>
      <c r="J11510" s="5"/>
      <c r="K11510" s="5"/>
      <c r="L11510" s="5"/>
    </row>
    <row r="11511" spans="8:12" x14ac:dyDescent="0.3">
      <c r="H11511" s="5"/>
      <c r="I11511" s="5"/>
      <c r="J11511" s="5"/>
      <c r="K11511" s="5"/>
      <c r="L11511" s="5"/>
    </row>
    <row r="11512" spans="8:12" x14ac:dyDescent="0.3">
      <c r="H11512" s="5"/>
      <c r="I11512" s="5"/>
      <c r="J11512" s="5"/>
      <c r="K11512" s="5"/>
      <c r="L11512" s="5"/>
    </row>
    <row r="11513" spans="8:12" x14ac:dyDescent="0.3">
      <c r="H11513" s="5"/>
      <c r="I11513" s="5"/>
      <c r="J11513" s="5"/>
      <c r="K11513" s="5"/>
      <c r="L11513" s="5"/>
    </row>
    <row r="11514" spans="8:12" x14ac:dyDescent="0.3">
      <c r="H11514" s="5"/>
      <c r="I11514" s="5"/>
      <c r="J11514" s="5"/>
      <c r="K11514" s="5"/>
      <c r="L11514" s="5"/>
    </row>
    <row r="11515" spans="8:12" x14ac:dyDescent="0.3">
      <c r="H11515" s="5"/>
      <c r="I11515" s="5"/>
      <c r="J11515" s="5"/>
      <c r="K11515" s="5"/>
      <c r="L11515" s="5"/>
    </row>
    <row r="11516" spans="8:12" x14ac:dyDescent="0.3">
      <c r="H11516" s="5"/>
      <c r="I11516" s="5"/>
      <c r="J11516" s="5"/>
      <c r="K11516" s="5"/>
      <c r="L11516" s="5"/>
    </row>
    <row r="11517" spans="8:12" x14ac:dyDescent="0.3">
      <c r="H11517" s="5"/>
      <c r="I11517" s="5"/>
      <c r="J11517" s="5"/>
      <c r="K11517" s="5"/>
      <c r="L11517" s="5"/>
    </row>
    <row r="11518" spans="8:12" x14ac:dyDescent="0.3">
      <c r="H11518" s="5"/>
      <c r="I11518" s="5"/>
      <c r="J11518" s="5"/>
      <c r="K11518" s="5"/>
      <c r="L11518" s="5"/>
    </row>
    <row r="11519" spans="8:12" x14ac:dyDescent="0.3">
      <c r="H11519" s="5"/>
      <c r="I11519" s="5"/>
      <c r="J11519" s="5"/>
      <c r="K11519" s="5"/>
      <c r="L11519" s="5"/>
    </row>
    <row r="11520" spans="8:12" x14ac:dyDescent="0.3">
      <c r="H11520" s="5"/>
      <c r="I11520" s="5"/>
      <c r="J11520" s="5"/>
      <c r="K11520" s="5"/>
      <c r="L11520" s="5"/>
    </row>
    <row r="11521" spans="8:12" x14ac:dyDescent="0.3">
      <c r="H11521" s="5"/>
      <c r="I11521" s="5"/>
      <c r="J11521" s="5"/>
      <c r="K11521" s="5"/>
      <c r="L11521" s="5"/>
    </row>
    <row r="11522" spans="8:12" x14ac:dyDescent="0.3">
      <c r="H11522" s="5"/>
      <c r="I11522" s="5"/>
      <c r="J11522" s="5"/>
      <c r="K11522" s="5"/>
      <c r="L11522" s="5"/>
    </row>
    <row r="11523" spans="8:12" x14ac:dyDescent="0.3">
      <c r="H11523" s="5"/>
      <c r="I11523" s="5"/>
      <c r="J11523" s="5"/>
      <c r="K11523" s="5"/>
      <c r="L11523" s="5"/>
    </row>
    <row r="11524" spans="8:12" x14ac:dyDescent="0.3">
      <c r="H11524" s="5"/>
      <c r="I11524" s="5"/>
      <c r="J11524" s="5"/>
      <c r="K11524" s="5"/>
      <c r="L11524" s="5"/>
    </row>
    <row r="11525" spans="8:12" x14ac:dyDescent="0.3">
      <c r="H11525" s="5"/>
      <c r="I11525" s="5"/>
      <c r="J11525" s="5"/>
      <c r="K11525" s="5"/>
      <c r="L11525" s="5"/>
    </row>
    <row r="11526" spans="8:12" x14ac:dyDescent="0.3">
      <c r="H11526" s="5"/>
      <c r="I11526" s="5"/>
      <c r="J11526" s="5"/>
      <c r="K11526" s="5"/>
      <c r="L11526" s="5"/>
    </row>
    <row r="11527" spans="8:12" x14ac:dyDescent="0.3">
      <c r="H11527" s="5"/>
      <c r="I11527" s="5"/>
      <c r="J11527" s="5"/>
      <c r="K11527" s="5"/>
      <c r="L11527" s="5"/>
    </row>
    <row r="11528" spans="8:12" x14ac:dyDescent="0.3">
      <c r="H11528" s="5"/>
      <c r="I11528" s="5"/>
      <c r="J11528" s="5"/>
      <c r="K11528" s="5"/>
      <c r="L11528" s="5"/>
    </row>
    <row r="11529" spans="8:12" x14ac:dyDescent="0.3">
      <c r="H11529" s="5"/>
      <c r="I11529" s="5"/>
      <c r="J11529" s="5"/>
      <c r="K11529" s="5"/>
      <c r="L11529" s="5"/>
    </row>
    <row r="11530" spans="8:12" x14ac:dyDescent="0.3">
      <c r="H11530" s="5"/>
      <c r="I11530" s="5"/>
      <c r="J11530" s="5"/>
      <c r="K11530" s="5"/>
      <c r="L11530" s="5"/>
    </row>
    <row r="11531" spans="8:12" x14ac:dyDescent="0.3">
      <c r="H11531" s="5"/>
      <c r="I11531" s="5"/>
      <c r="J11531" s="5"/>
      <c r="K11531" s="5"/>
      <c r="L11531" s="5"/>
    </row>
    <row r="11532" spans="8:12" x14ac:dyDescent="0.3">
      <c r="H11532" s="5"/>
      <c r="I11532" s="5"/>
      <c r="J11532" s="5"/>
      <c r="K11532" s="5"/>
      <c r="L11532" s="5"/>
    </row>
    <row r="11533" spans="8:12" x14ac:dyDescent="0.3">
      <c r="H11533" s="5"/>
      <c r="I11533" s="5"/>
      <c r="J11533" s="5"/>
      <c r="K11533" s="5"/>
      <c r="L11533" s="5"/>
    </row>
    <row r="11534" spans="8:12" x14ac:dyDescent="0.3">
      <c r="H11534" s="5"/>
      <c r="I11534" s="5"/>
      <c r="J11534" s="5"/>
      <c r="K11534" s="5"/>
      <c r="L11534" s="5"/>
    </row>
    <row r="11535" spans="8:12" x14ac:dyDescent="0.3">
      <c r="H11535" s="5"/>
      <c r="I11535" s="5"/>
      <c r="J11535" s="5"/>
      <c r="K11535" s="5"/>
      <c r="L11535" s="5"/>
    </row>
    <row r="11536" spans="8:12" x14ac:dyDescent="0.3">
      <c r="H11536" s="5"/>
      <c r="I11536" s="5"/>
      <c r="J11536" s="5"/>
      <c r="K11536" s="5"/>
      <c r="L11536" s="5"/>
    </row>
    <row r="11537" spans="8:12" x14ac:dyDescent="0.3">
      <c r="H11537" s="5"/>
      <c r="I11537" s="5"/>
      <c r="J11537" s="5"/>
      <c r="K11537" s="5"/>
      <c r="L11537" s="5"/>
    </row>
    <row r="11538" spans="8:12" x14ac:dyDescent="0.3">
      <c r="H11538" s="5"/>
      <c r="I11538" s="5"/>
      <c r="J11538" s="5"/>
      <c r="K11538" s="5"/>
      <c r="L11538" s="5"/>
    </row>
    <row r="11539" spans="8:12" x14ac:dyDescent="0.3">
      <c r="H11539" s="5"/>
      <c r="I11539" s="5"/>
      <c r="J11539" s="5"/>
      <c r="K11539" s="5"/>
      <c r="L11539" s="5"/>
    </row>
    <row r="11540" spans="8:12" x14ac:dyDescent="0.3">
      <c r="H11540" s="5"/>
      <c r="I11540" s="5"/>
      <c r="J11540" s="5"/>
      <c r="K11540" s="5"/>
      <c r="L11540" s="5"/>
    </row>
    <row r="11541" spans="8:12" x14ac:dyDescent="0.3">
      <c r="H11541" s="5"/>
      <c r="I11541" s="5"/>
      <c r="J11541" s="5"/>
      <c r="K11541" s="5"/>
      <c r="L11541" s="5"/>
    </row>
    <row r="11542" spans="8:12" x14ac:dyDescent="0.3">
      <c r="H11542" s="5"/>
      <c r="I11542" s="5"/>
      <c r="J11542" s="5"/>
      <c r="K11542" s="5"/>
      <c r="L11542" s="5"/>
    </row>
    <row r="11543" spans="8:12" x14ac:dyDescent="0.3">
      <c r="H11543" s="5"/>
      <c r="I11543" s="5"/>
      <c r="J11543" s="5"/>
      <c r="K11543" s="5"/>
      <c r="L11543" s="5"/>
    </row>
    <row r="11544" spans="8:12" x14ac:dyDescent="0.3">
      <c r="H11544" s="5"/>
      <c r="I11544" s="5"/>
      <c r="J11544" s="5"/>
      <c r="K11544" s="5"/>
      <c r="L11544" s="5"/>
    </row>
    <row r="11545" spans="8:12" x14ac:dyDescent="0.3">
      <c r="H11545" s="5"/>
      <c r="I11545" s="5"/>
      <c r="J11545" s="5"/>
      <c r="K11545" s="5"/>
      <c r="L11545" s="5"/>
    </row>
    <row r="11546" spans="8:12" x14ac:dyDescent="0.3">
      <c r="H11546" s="5"/>
      <c r="I11546" s="5"/>
      <c r="J11546" s="5"/>
      <c r="K11546" s="5"/>
      <c r="L11546" s="5"/>
    </row>
    <row r="11547" spans="8:12" x14ac:dyDescent="0.3">
      <c r="H11547" s="5"/>
      <c r="I11547" s="5"/>
      <c r="J11547" s="5"/>
      <c r="K11547" s="5"/>
      <c r="L11547" s="5"/>
    </row>
    <row r="11548" spans="8:12" x14ac:dyDescent="0.3">
      <c r="H11548" s="5"/>
      <c r="I11548" s="5"/>
      <c r="J11548" s="5"/>
      <c r="K11548" s="5"/>
      <c r="L11548" s="5"/>
    </row>
    <row r="11549" spans="8:12" x14ac:dyDescent="0.3">
      <c r="H11549" s="5"/>
      <c r="I11549" s="5"/>
      <c r="J11549" s="5"/>
      <c r="K11549" s="5"/>
      <c r="L11549" s="5"/>
    </row>
    <row r="11550" spans="8:12" x14ac:dyDescent="0.3">
      <c r="H11550" s="5"/>
      <c r="I11550" s="5"/>
      <c r="J11550" s="5"/>
      <c r="K11550" s="5"/>
      <c r="L11550" s="5"/>
    </row>
    <row r="11551" spans="8:12" x14ac:dyDescent="0.3">
      <c r="H11551" s="5"/>
      <c r="I11551" s="5"/>
      <c r="J11551" s="5"/>
      <c r="K11551" s="5"/>
      <c r="L11551" s="5"/>
    </row>
    <row r="11552" spans="8:12" x14ac:dyDescent="0.3">
      <c r="H11552" s="5"/>
      <c r="I11552" s="5"/>
      <c r="J11552" s="5"/>
      <c r="K11552" s="5"/>
      <c r="L11552" s="5"/>
    </row>
    <row r="11553" spans="8:12" x14ac:dyDescent="0.3">
      <c r="H11553" s="5"/>
      <c r="I11553" s="5"/>
      <c r="J11553" s="5"/>
      <c r="K11553" s="5"/>
      <c r="L11553" s="5"/>
    </row>
    <row r="11554" spans="8:12" x14ac:dyDescent="0.3">
      <c r="H11554" s="5"/>
      <c r="I11554" s="5"/>
      <c r="J11554" s="5"/>
      <c r="K11554" s="5"/>
      <c r="L11554" s="5"/>
    </row>
    <row r="11555" spans="8:12" x14ac:dyDescent="0.3">
      <c r="H11555" s="5"/>
      <c r="I11555" s="5"/>
      <c r="J11555" s="5"/>
      <c r="K11555" s="5"/>
      <c r="L11555" s="5"/>
    </row>
    <row r="11556" spans="8:12" x14ac:dyDescent="0.3">
      <c r="H11556" s="5"/>
      <c r="I11556" s="5"/>
      <c r="J11556" s="5"/>
      <c r="K11556" s="5"/>
      <c r="L11556" s="5"/>
    </row>
    <row r="11557" spans="8:12" x14ac:dyDescent="0.3">
      <c r="H11557" s="5"/>
      <c r="I11557" s="5"/>
      <c r="J11557" s="5"/>
      <c r="K11557" s="5"/>
      <c r="L11557" s="5"/>
    </row>
    <row r="11558" spans="8:12" x14ac:dyDescent="0.3">
      <c r="H11558" s="5"/>
      <c r="I11558" s="5"/>
      <c r="J11558" s="5"/>
      <c r="K11558" s="5"/>
      <c r="L11558" s="5"/>
    </row>
    <row r="11559" spans="8:12" x14ac:dyDescent="0.3">
      <c r="H11559" s="5"/>
      <c r="I11559" s="5"/>
      <c r="J11559" s="5"/>
      <c r="K11559" s="5"/>
      <c r="L11559" s="5"/>
    </row>
    <row r="11560" spans="8:12" x14ac:dyDescent="0.3">
      <c r="H11560" s="5"/>
      <c r="I11560" s="5"/>
      <c r="J11560" s="5"/>
      <c r="K11560" s="5"/>
      <c r="L11560" s="5"/>
    </row>
    <row r="11561" spans="8:12" x14ac:dyDescent="0.3">
      <c r="H11561" s="5"/>
      <c r="I11561" s="5"/>
      <c r="J11561" s="5"/>
      <c r="K11561" s="5"/>
      <c r="L11561" s="5"/>
    </row>
    <row r="11562" spans="8:12" x14ac:dyDescent="0.3">
      <c r="H11562" s="5"/>
      <c r="I11562" s="5"/>
      <c r="J11562" s="5"/>
      <c r="K11562" s="5"/>
      <c r="L11562" s="5"/>
    </row>
    <row r="11563" spans="8:12" x14ac:dyDescent="0.3">
      <c r="H11563" s="5"/>
      <c r="I11563" s="5"/>
      <c r="J11563" s="5"/>
      <c r="K11563" s="5"/>
      <c r="L11563" s="5"/>
    </row>
    <row r="11564" spans="8:12" x14ac:dyDescent="0.3">
      <c r="H11564" s="5"/>
      <c r="I11564" s="5"/>
      <c r="J11564" s="5"/>
      <c r="K11564" s="5"/>
      <c r="L11564" s="5"/>
    </row>
    <row r="11565" spans="8:12" x14ac:dyDescent="0.3">
      <c r="H11565" s="5"/>
      <c r="I11565" s="5"/>
      <c r="J11565" s="5"/>
      <c r="K11565" s="5"/>
      <c r="L11565" s="5"/>
    </row>
    <row r="11566" spans="8:12" x14ac:dyDescent="0.3">
      <c r="H11566" s="5"/>
      <c r="I11566" s="5"/>
      <c r="J11566" s="5"/>
      <c r="K11566" s="5"/>
      <c r="L11566" s="5"/>
    </row>
    <row r="11567" spans="8:12" x14ac:dyDescent="0.3">
      <c r="H11567" s="5"/>
      <c r="I11567" s="5"/>
      <c r="J11567" s="5"/>
      <c r="K11567" s="5"/>
      <c r="L11567" s="5"/>
    </row>
    <row r="11568" spans="8:12" x14ac:dyDescent="0.3">
      <c r="H11568" s="5"/>
      <c r="I11568" s="5"/>
      <c r="J11568" s="5"/>
      <c r="K11568" s="5"/>
      <c r="L11568" s="5"/>
    </row>
    <row r="11569" spans="8:12" x14ac:dyDescent="0.3">
      <c r="H11569" s="5"/>
      <c r="I11569" s="5"/>
      <c r="J11569" s="5"/>
      <c r="K11569" s="5"/>
      <c r="L11569" s="5"/>
    </row>
    <row r="11570" spans="8:12" x14ac:dyDescent="0.3">
      <c r="H11570" s="5"/>
      <c r="I11570" s="5"/>
      <c r="J11570" s="5"/>
      <c r="K11570" s="5"/>
      <c r="L11570" s="5"/>
    </row>
    <row r="11571" spans="8:12" x14ac:dyDescent="0.3">
      <c r="H11571" s="5"/>
      <c r="I11571" s="5"/>
      <c r="J11571" s="5"/>
      <c r="K11571" s="5"/>
      <c r="L11571" s="5"/>
    </row>
    <row r="11572" spans="8:12" x14ac:dyDescent="0.3">
      <c r="H11572" s="5"/>
      <c r="I11572" s="5"/>
      <c r="J11572" s="5"/>
      <c r="K11572" s="5"/>
      <c r="L11572" s="5"/>
    </row>
    <row r="11573" spans="8:12" x14ac:dyDescent="0.3">
      <c r="H11573" s="5"/>
      <c r="I11573" s="5"/>
      <c r="J11573" s="5"/>
      <c r="K11573" s="5"/>
      <c r="L11573" s="5"/>
    </row>
    <row r="11574" spans="8:12" x14ac:dyDescent="0.3">
      <c r="H11574" s="5"/>
      <c r="I11574" s="5"/>
      <c r="J11574" s="5"/>
      <c r="K11574" s="5"/>
      <c r="L11574" s="5"/>
    </row>
    <row r="11575" spans="8:12" x14ac:dyDescent="0.3">
      <c r="H11575" s="5"/>
      <c r="I11575" s="5"/>
      <c r="J11575" s="5"/>
      <c r="K11575" s="5"/>
      <c r="L11575" s="5"/>
    </row>
    <row r="11576" spans="8:12" x14ac:dyDescent="0.3">
      <c r="H11576" s="5"/>
      <c r="I11576" s="5"/>
      <c r="J11576" s="5"/>
      <c r="K11576" s="5"/>
      <c r="L11576" s="5"/>
    </row>
    <row r="11577" spans="8:12" x14ac:dyDescent="0.3">
      <c r="H11577" s="5"/>
      <c r="I11577" s="5"/>
      <c r="J11577" s="5"/>
      <c r="K11577" s="5"/>
      <c r="L11577" s="5"/>
    </row>
    <row r="11578" spans="8:12" x14ac:dyDescent="0.3">
      <c r="H11578" s="5"/>
      <c r="I11578" s="5"/>
      <c r="J11578" s="5"/>
      <c r="K11578" s="5"/>
      <c r="L11578" s="5"/>
    </row>
    <row r="11579" spans="8:12" x14ac:dyDescent="0.3">
      <c r="H11579" s="5"/>
      <c r="I11579" s="5"/>
      <c r="J11579" s="5"/>
      <c r="K11579" s="5"/>
      <c r="L11579" s="5"/>
    </row>
    <row r="11580" spans="8:12" x14ac:dyDescent="0.3">
      <c r="H11580" s="5"/>
      <c r="I11580" s="5"/>
      <c r="J11580" s="5"/>
      <c r="K11580" s="5"/>
      <c r="L11580" s="5"/>
    </row>
    <row r="11581" spans="8:12" x14ac:dyDescent="0.3">
      <c r="H11581" s="5"/>
      <c r="I11581" s="5"/>
      <c r="J11581" s="5"/>
      <c r="K11581" s="5"/>
      <c r="L11581" s="5"/>
    </row>
    <row r="11582" spans="8:12" x14ac:dyDescent="0.3">
      <c r="H11582" s="5"/>
      <c r="I11582" s="5"/>
      <c r="J11582" s="5"/>
      <c r="K11582" s="5"/>
      <c r="L11582" s="5"/>
    </row>
    <row r="11583" spans="8:12" x14ac:dyDescent="0.3">
      <c r="H11583" s="5"/>
      <c r="I11583" s="5"/>
      <c r="J11583" s="5"/>
      <c r="K11583" s="5"/>
      <c r="L11583" s="5"/>
    </row>
    <row r="11584" spans="8:12" x14ac:dyDescent="0.3">
      <c r="H11584" s="5"/>
      <c r="I11584" s="5"/>
      <c r="J11584" s="5"/>
      <c r="K11584" s="5"/>
      <c r="L11584" s="5"/>
    </row>
    <row r="11585" spans="8:12" x14ac:dyDescent="0.3">
      <c r="H11585" s="5"/>
      <c r="I11585" s="5"/>
      <c r="J11585" s="5"/>
      <c r="K11585" s="5"/>
      <c r="L11585" s="5"/>
    </row>
    <row r="11586" spans="8:12" x14ac:dyDescent="0.3">
      <c r="H11586" s="5"/>
      <c r="I11586" s="5"/>
      <c r="J11586" s="5"/>
      <c r="K11586" s="5"/>
      <c r="L11586" s="5"/>
    </row>
    <row r="11587" spans="8:12" x14ac:dyDescent="0.3">
      <c r="H11587" s="5"/>
      <c r="I11587" s="5"/>
      <c r="J11587" s="5"/>
      <c r="K11587" s="5"/>
      <c r="L11587" s="5"/>
    </row>
    <row r="11588" spans="8:12" x14ac:dyDescent="0.3">
      <c r="H11588" s="5"/>
      <c r="I11588" s="5"/>
      <c r="J11588" s="5"/>
      <c r="K11588" s="5"/>
      <c r="L11588" s="5"/>
    </row>
    <row r="11589" spans="8:12" x14ac:dyDescent="0.3">
      <c r="H11589" s="5"/>
      <c r="I11589" s="5"/>
      <c r="J11589" s="5"/>
      <c r="K11589" s="5"/>
      <c r="L11589" s="5"/>
    </row>
    <row r="11590" spans="8:12" x14ac:dyDescent="0.3">
      <c r="H11590" s="5"/>
      <c r="I11590" s="5"/>
      <c r="J11590" s="5"/>
      <c r="K11590" s="5"/>
      <c r="L11590" s="5"/>
    </row>
    <row r="11591" spans="8:12" x14ac:dyDescent="0.3">
      <c r="H11591" s="5"/>
      <c r="I11591" s="5"/>
      <c r="J11591" s="5"/>
      <c r="K11591" s="5"/>
      <c r="L11591" s="5"/>
    </row>
    <row r="11592" spans="8:12" x14ac:dyDescent="0.3">
      <c r="H11592" s="5"/>
      <c r="I11592" s="5"/>
      <c r="J11592" s="5"/>
      <c r="K11592" s="5"/>
      <c r="L11592" s="5"/>
    </row>
    <row r="11593" spans="8:12" x14ac:dyDescent="0.3">
      <c r="H11593" s="5"/>
      <c r="I11593" s="5"/>
      <c r="J11593" s="5"/>
      <c r="K11593" s="5"/>
      <c r="L11593" s="5"/>
    </row>
    <row r="11594" spans="8:12" x14ac:dyDescent="0.3">
      <c r="H11594" s="5"/>
      <c r="I11594" s="5"/>
      <c r="J11594" s="5"/>
      <c r="K11594" s="5"/>
      <c r="L11594" s="5"/>
    </row>
    <row r="11595" spans="8:12" x14ac:dyDescent="0.3">
      <c r="H11595" s="5"/>
      <c r="I11595" s="5"/>
      <c r="J11595" s="5"/>
      <c r="K11595" s="5"/>
      <c r="L11595" s="5"/>
    </row>
    <row r="11596" spans="8:12" x14ac:dyDescent="0.3">
      <c r="H11596" s="5"/>
      <c r="I11596" s="5"/>
      <c r="J11596" s="5"/>
      <c r="K11596" s="5"/>
      <c r="L11596" s="5"/>
    </row>
    <row r="11597" spans="8:12" x14ac:dyDescent="0.3">
      <c r="H11597" s="5"/>
      <c r="I11597" s="5"/>
      <c r="J11597" s="5"/>
      <c r="K11597" s="5"/>
      <c r="L11597" s="5"/>
    </row>
    <row r="11598" spans="8:12" x14ac:dyDescent="0.3">
      <c r="H11598" s="5"/>
      <c r="I11598" s="5"/>
      <c r="J11598" s="5"/>
      <c r="K11598" s="5"/>
      <c r="L11598" s="5"/>
    </row>
    <row r="11599" spans="8:12" x14ac:dyDescent="0.3">
      <c r="H11599" s="5"/>
      <c r="I11599" s="5"/>
      <c r="J11599" s="5"/>
      <c r="K11599" s="5"/>
      <c r="L11599" s="5"/>
    </row>
    <row r="11600" spans="8:12" x14ac:dyDescent="0.3">
      <c r="H11600" s="5"/>
      <c r="I11600" s="5"/>
      <c r="J11600" s="5"/>
      <c r="K11600" s="5"/>
      <c r="L11600" s="5"/>
    </row>
    <row r="11601" spans="8:12" x14ac:dyDescent="0.3">
      <c r="H11601" s="5"/>
      <c r="I11601" s="5"/>
      <c r="J11601" s="5"/>
      <c r="K11601" s="5"/>
      <c r="L11601" s="5"/>
    </row>
    <row r="11602" spans="8:12" x14ac:dyDescent="0.3">
      <c r="H11602" s="5"/>
      <c r="I11602" s="5"/>
      <c r="J11602" s="5"/>
      <c r="K11602" s="5"/>
      <c r="L11602" s="5"/>
    </row>
    <row r="11603" spans="8:12" x14ac:dyDescent="0.3">
      <c r="H11603" s="5"/>
      <c r="I11603" s="5"/>
      <c r="J11603" s="5"/>
      <c r="K11603" s="5"/>
      <c r="L11603" s="5"/>
    </row>
    <row r="11604" spans="8:12" x14ac:dyDescent="0.3">
      <c r="H11604" s="5"/>
      <c r="I11604" s="5"/>
      <c r="J11604" s="5"/>
      <c r="K11604" s="5"/>
      <c r="L11604" s="5"/>
    </row>
    <row r="11605" spans="8:12" x14ac:dyDescent="0.3">
      <c r="H11605" s="5"/>
      <c r="I11605" s="5"/>
      <c r="J11605" s="5"/>
      <c r="K11605" s="5"/>
      <c r="L11605" s="5"/>
    </row>
    <row r="11606" spans="8:12" x14ac:dyDescent="0.3">
      <c r="H11606" s="5"/>
      <c r="I11606" s="5"/>
      <c r="J11606" s="5"/>
      <c r="K11606" s="5"/>
      <c r="L11606" s="5"/>
    </row>
    <row r="11607" spans="8:12" x14ac:dyDescent="0.3">
      <c r="H11607" s="5"/>
      <c r="I11607" s="5"/>
      <c r="J11607" s="5"/>
      <c r="K11607" s="5"/>
      <c r="L11607" s="5"/>
    </row>
    <row r="11608" spans="8:12" x14ac:dyDescent="0.3">
      <c r="H11608" s="5"/>
      <c r="I11608" s="5"/>
      <c r="J11608" s="5"/>
      <c r="K11608" s="5"/>
      <c r="L11608" s="5"/>
    </row>
    <row r="11609" spans="8:12" x14ac:dyDescent="0.3">
      <c r="H11609" s="5"/>
      <c r="I11609" s="5"/>
      <c r="J11609" s="5"/>
      <c r="K11609" s="5"/>
      <c r="L11609" s="5"/>
    </row>
    <row r="11610" spans="8:12" x14ac:dyDescent="0.3">
      <c r="H11610" s="5"/>
      <c r="I11610" s="5"/>
      <c r="J11610" s="5"/>
      <c r="K11610" s="5"/>
      <c r="L11610" s="5"/>
    </row>
    <row r="11611" spans="8:12" x14ac:dyDescent="0.3">
      <c r="H11611" s="5"/>
      <c r="I11611" s="5"/>
      <c r="J11611" s="5"/>
      <c r="K11611" s="5"/>
      <c r="L11611" s="5"/>
    </row>
    <row r="11612" spans="8:12" x14ac:dyDescent="0.3">
      <c r="H11612" s="5"/>
      <c r="I11612" s="5"/>
      <c r="J11612" s="5"/>
      <c r="K11612" s="5"/>
      <c r="L11612" s="5"/>
    </row>
    <row r="11613" spans="8:12" x14ac:dyDescent="0.3">
      <c r="H11613" s="5"/>
      <c r="I11613" s="5"/>
      <c r="J11613" s="5"/>
      <c r="K11613" s="5"/>
      <c r="L11613" s="5"/>
    </row>
    <row r="11614" spans="8:12" x14ac:dyDescent="0.3">
      <c r="H11614" s="5"/>
      <c r="I11614" s="5"/>
      <c r="J11614" s="5"/>
      <c r="K11614" s="5"/>
      <c r="L11614" s="5"/>
    </row>
    <row r="11615" spans="8:12" x14ac:dyDescent="0.3">
      <c r="H11615" s="5"/>
      <c r="I11615" s="5"/>
      <c r="J11615" s="5"/>
      <c r="K11615" s="5"/>
      <c r="L11615" s="5"/>
    </row>
    <row r="11616" spans="8:12" x14ac:dyDescent="0.3">
      <c r="H11616" s="5"/>
      <c r="I11616" s="5"/>
      <c r="J11616" s="5"/>
      <c r="K11616" s="5"/>
      <c r="L11616" s="5"/>
    </row>
    <row r="11617" spans="8:12" x14ac:dyDescent="0.3">
      <c r="H11617" s="5"/>
      <c r="I11617" s="5"/>
      <c r="J11617" s="5"/>
      <c r="K11617" s="5"/>
      <c r="L11617" s="5"/>
    </row>
    <row r="11618" spans="8:12" x14ac:dyDescent="0.3">
      <c r="H11618" s="5"/>
      <c r="I11618" s="5"/>
      <c r="J11618" s="5"/>
      <c r="K11618" s="5"/>
      <c r="L11618" s="5"/>
    </row>
    <row r="11619" spans="8:12" x14ac:dyDescent="0.3">
      <c r="H11619" s="5"/>
      <c r="I11619" s="5"/>
      <c r="J11619" s="5"/>
      <c r="K11619" s="5"/>
      <c r="L11619" s="5"/>
    </row>
    <row r="11620" spans="8:12" x14ac:dyDescent="0.3">
      <c r="H11620" s="5"/>
      <c r="I11620" s="5"/>
      <c r="J11620" s="5"/>
      <c r="K11620" s="5"/>
      <c r="L11620" s="5"/>
    </row>
    <row r="11621" spans="8:12" x14ac:dyDescent="0.3">
      <c r="H11621" s="5"/>
      <c r="I11621" s="5"/>
      <c r="J11621" s="5"/>
      <c r="K11621" s="5"/>
      <c r="L11621" s="5"/>
    </row>
    <row r="11622" spans="8:12" x14ac:dyDescent="0.3">
      <c r="H11622" s="5"/>
      <c r="I11622" s="5"/>
      <c r="J11622" s="5"/>
      <c r="K11622" s="5"/>
      <c r="L11622" s="5"/>
    </row>
    <row r="11623" spans="8:12" x14ac:dyDescent="0.3">
      <c r="H11623" s="5"/>
      <c r="I11623" s="5"/>
      <c r="J11623" s="5"/>
      <c r="K11623" s="5"/>
      <c r="L11623" s="5"/>
    </row>
    <row r="11624" spans="8:12" x14ac:dyDescent="0.3">
      <c r="H11624" s="5"/>
      <c r="I11624" s="5"/>
      <c r="J11624" s="5"/>
      <c r="K11624" s="5"/>
      <c r="L11624" s="5"/>
    </row>
    <row r="11625" spans="8:12" x14ac:dyDescent="0.3">
      <c r="H11625" s="5"/>
      <c r="I11625" s="5"/>
      <c r="J11625" s="5"/>
      <c r="K11625" s="5"/>
      <c r="L11625" s="5"/>
    </row>
    <row r="11626" spans="8:12" x14ac:dyDescent="0.3">
      <c r="H11626" s="5"/>
      <c r="I11626" s="5"/>
      <c r="J11626" s="5"/>
      <c r="K11626" s="5"/>
      <c r="L11626" s="5"/>
    </row>
    <row r="11627" spans="8:12" x14ac:dyDescent="0.3">
      <c r="H11627" s="5"/>
      <c r="I11627" s="5"/>
      <c r="J11627" s="5"/>
      <c r="K11627" s="5"/>
      <c r="L11627" s="5"/>
    </row>
    <row r="11628" spans="8:12" x14ac:dyDescent="0.3">
      <c r="H11628" s="5"/>
      <c r="I11628" s="5"/>
      <c r="J11628" s="5"/>
      <c r="K11628" s="5"/>
      <c r="L11628" s="5"/>
    </row>
    <row r="11629" spans="8:12" x14ac:dyDescent="0.3">
      <c r="H11629" s="5"/>
      <c r="I11629" s="5"/>
      <c r="J11629" s="5"/>
      <c r="K11629" s="5"/>
      <c r="L11629" s="5"/>
    </row>
    <row r="11630" spans="8:12" x14ac:dyDescent="0.3">
      <c r="H11630" s="5"/>
      <c r="I11630" s="5"/>
      <c r="J11630" s="5"/>
      <c r="K11630" s="5"/>
      <c r="L11630" s="5"/>
    </row>
    <row r="11631" spans="8:12" x14ac:dyDescent="0.3">
      <c r="H11631" s="5"/>
      <c r="I11631" s="5"/>
      <c r="J11631" s="5"/>
      <c r="K11631" s="5"/>
      <c r="L11631" s="5"/>
    </row>
    <row r="11632" spans="8:12" x14ac:dyDescent="0.3">
      <c r="H11632" s="5"/>
      <c r="I11632" s="5"/>
      <c r="J11632" s="5"/>
      <c r="K11632" s="5"/>
      <c r="L11632" s="5"/>
    </row>
    <row r="11633" spans="8:12" x14ac:dyDescent="0.3">
      <c r="H11633" s="5"/>
      <c r="I11633" s="5"/>
      <c r="J11633" s="5"/>
      <c r="K11633" s="5"/>
      <c r="L11633" s="5"/>
    </row>
    <row r="11634" spans="8:12" x14ac:dyDescent="0.3">
      <c r="H11634" s="5"/>
      <c r="I11634" s="5"/>
      <c r="J11634" s="5"/>
      <c r="K11634" s="5"/>
      <c r="L11634" s="5"/>
    </row>
    <row r="11635" spans="8:12" x14ac:dyDescent="0.3">
      <c r="H11635" s="5"/>
      <c r="I11635" s="5"/>
      <c r="J11635" s="5"/>
      <c r="K11635" s="5"/>
      <c r="L11635" s="5"/>
    </row>
    <row r="11636" spans="8:12" x14ac:dyDescent="0.3">
      <c r="H11636" s="5"/>
      <c r="I11636" s="5"/>
      <c r="J11636" s="5"/>
      <c r="K11636" s="5"/>
      <c r="L11636" s="5"/>
    </row>
    <row r="11637" spans="8:12" x14ac:dyDescent="0.3">
      <c r="H11637" s="5"/>
      <c r="I11637" s="5"/>
      <c r="J11637" s="5"/>
      <c r="K11637" s="5"/>
      <c r="L11637" s="5"/>
    </row>
    <row r="11638" spans="8:12" x14ac:dyDescent="0.3">
      <c r="H11638" s="5"/>
      <c r="I11638" s="5"/>
      <c r="J11638" s="5"/>
      <c r="K11638" s="5"/>
      <c r="L11638" s="5"/>
    </row>
    <row r="11639" spans="8:12" x14ac:dyDescent="0.3">
      <c r="H11639" s="5"/>
      <c r="I11639" s="5"/>
      <c r="J11639" s="5"/>
      <c r="K11639" s="5"/>
      <c r="L11639" s="5"/>
    </row>
    <row r="11640" spans="8:12" x14ac:dyDescent="0.3">
      <c r="H11640" s="5"/>
      <c r="I11640" s="5"/>
      <c r="J11640" s="5"/>
      <c r="K11640" s="5"/>
      <c r="L11640" s="5"/>
    </row>
    <row r="11641" spans="8:12" x14ac:dyDescent="0.3">
      <c r="H11641" s="5"/>
      <c r="I11641" s="5"/>
      <c r="J11641" s="5"/>
      <c r="K11641" s="5"/>
      <c r="L11641" s="5"/>
    </row>
    <row r="11642" spans="8:12" x14ac:dyDescent="0.3">
      <c r="H11642" s="5"/>
      <c r="I11642" s="5"/>
      <c r="J11642" s="5"/>
      <c r="K11642" s="5"/>
      <c r="L11642" s="5"/>
    </row>
    <row r="11643" spans="8:12" x14ac:dyDescent="0.3">
      <c r="H11643" s="5"/>
      <c r="I11643" s="5"/>
      <c r="J11643" s="5"/>
      <c r="K11643" s="5"/>
      <c r="L11643" s="5"/>
    </row>
    <row r="11644" spans="8:12" x14ac:dyDescent="0.3">
      <c r="H11644" s="5"/>
      <c r="I11644" s="5"/>
      <c r="J11644" s="5"/>
      <c r="K11644" s="5"/>
      <c r="L11644" s="5"/>
    </row>
    <row r="11645" spans="8:12" x14ac:dyDescent="0.3">
      <c r="H11645" s="5"/>
      <c r="I11645" s="5"/>
      <c r="J11645" s="5"/>
      <c r="K11645" s="5"/>
      <c r="L11645" s="5"/>
    </row>
    <row r="11646" spans="8:12" x14ac:dyDescent="0.3">
      <c r="H11646" s="5"/>
      <c r="I11646" s="5"/>
      <c r="J11646" s="5"/>
      <c r="K11646" s="5"/>
      <c r="L11646" s="5"/>
    </row>
    <row r="11647" spans="8:12" x14ac:dyDescent="0.3">
      <c r="H11647" s="5"/>
      <c r="I11647" s="5"/>
      <c r="J11647" s="5"/>
      <c r="K11647" s="5"/>
      <c r="L11647" s="5"/>
    </row>
    <row r="11648" spans="8:12" x14ac:dyDescent="0.3">
      <c r="H11648" s="5"/>
      <c r="I11648" s="5"/>
      <c r="J11648" s="5"/>
      <c r="K11648" s="5"/>
      <c r="L11648" s="5"/>
    </row>
    <row r="11649" spans="8:12" x14ac:dyDescent="0.3">
      <c r="H11649" s="5"/>
      <c r="I11649" s="5"/>
      <c r="J11649" s="5"/>
      <c r="K11649" s="5"/>
      <c r="L11649" s="5"/>
    </row>
    <row r="11650" spans="8:12" x14ac:dyDescent="0.3">
      <c r="H11650" s="5"/>
      <c r="I11650" s="5"/>
      <c r="J11650" s="5"/>
      <c r="K11650" s="5"/>
      <c r="L11650" s="5"/>
    </row>
    <row r="11651" spans="8:12" x14ac:dyDescent="0.3">
      <c r="H11651" s="5"/>
      <c r="I11651" s="5"/>
      <c r="J11651" s="5"/>
      <c r="K11651" s="5"/>
      <c r="L11651" s="5"/>
    </row>
    <row r="11652" spans="8:12" x14ac:dyDescent="0.3">
      <c r="H11652" s="5"/>
      <c r="I11652" s="5"/>
      <c r="J11652" s="5"/>
      <c r="K11652" s="5"/>
      <c r="L11652" s="5"/>
    </row>
    <row r="11653" spans="8:12" x14ac:dyDescent="0.3">
      <c r="H11653" s="5"/>
      <c r="I11653" s="5"/>
      <c r="J11653" s="5"/>
      <c r="K11653" s="5"/>
      <c r="L11653" s="5"/>
    </row>
    <row r="11654" spans="8:12" x14ac:dyDescent="0.3">
      <c r="H11654" s="5"/>
      <c r="I11654" s="5"/>
      <c r="J11654" s="5"/>
      <c r="K11654" s="5"/>
      <c r="L11654" s="5"/>
    </row>
    <row r="11655" spans="8:12" x14ac:dyDescent="0.3">
      <c r="H11655" s="5"/>
      <c r="I11655" s="5"/>
      <c r="J11655" s="5"/>
      <c r="K11655" s="5"/>
      <c r="L11655" s="5"/>
    </row>
    <row r="11656" spans="8:12" x14ac:dyDescent="0.3">
      <c r="H11656" s="5"/>
      <c r="I11656" s="5"/>
      <c r="J11656" s="5"/>
      <c r="K11656" s="5"/>
      <c r="L11656" s="5"/>
    </row>
    <row r="11657" spans="8:12" x14ac:dyDescent="0.3">
      <c r="H11657" s="5"/>
      <c r="I11657" s="5"/>
      <c r="J11657" s="5"/>
      <c r="K11657" s="5"/>
      <c r="L11657" s="5"/>
    </row>
    <row r="11658" spans="8:12" x14ac:dyDescent="0.3">
      <c r="H11658" s="5"/>
      <c r="I11658" s="5"/>
      <c r="J11658" s="5"/>
      <c r="K11658" s="5"/>
      <c r="L11658" s="5"/>
    </row>
    <row r="11659" spans="8:12" x14ac:dyDescent="0.3">
      <c r="H11659" s="5"/>
      <c r="I11659" s="5"/>
      <c r="J11659" s="5"/>
      <c r="K11659" s="5"/>
      <c r="L11659" s="5"/>
    </row>
    <row r="11660" spans="8:12" x14ac:dyDescent="0.3">
      <c r="H11660" s="5"/>
      <c r="I11660" s="5"/>
      <c r="J11660" s="5"/>
      <c r="K11660" s="5"/>
      <c r="L11660" s="5"/>
    </row>
    <row r="11661" spans="8:12" x14ac:dyDescent="0.3">
      <c r="H11661" s="5"/>
      <c r="I11661" s="5"/>
      <c r="J11661" s="5"/>
      <c r="K11661" s="5"/>
      <c r="L11661" s="5"/>
    </row>
    <row r="11662" spans="8:12" x14ac:dyDescent="0.3">
      <c r="H11662" s="5"/>
      <c r="I11662" s="5"/>
      <c r="J11662" s="5"/>
      <c r="K11662" s="5"/>
      <c r="L11662" s="5"/>
    </row>
    <row r="11663" spans="8:12" x14ac:dyDescent="0.3">
      <c r="H11663" s="5"/>
      <c r="I11663" s="5"/>
      <c r="J11663" s="5"/>
      <c r="K11663" s="5"/>
      <c r="L11663" s="5"/>
    </row>
    <row r="11664" spans="8:12" x14ac:dyDescent="0.3">
      <c r="H11664" s="5"/>
      <c r="I11664" s="5"/>
      <c r="J11664" s="5"/>
      <c r="K11664" s="5"/>
      <c r="L11664" s="5"/>
    </row>
    <row r="11665" spans="8:12" x14ac:dyDescent="0.3">
      <c r="H11665" s="5"/>
      <c r="I11665" s="5"/>
      <c r="J11665" s="5"/>
      <c r="K11665" s="5"/>
      <c r="L11665" s="5"/>
    </row>
    <row r="11666" spans="8:12" x14ac:dyDescent="0.3">
      <c r="H11666" s="5"/>
      <c r="I11666" s="5"/>
      <c r="J11666" s="5"/>
      <c r="K11666" s="5"/>
      <c r="L11666" s="5"/>
    </row>
    <row r="11667" spans="8:12" x14ac:dyDescent="0.3">
      <c r="H11667" s="5"/>
      <c r="I11667" s="5"/>
      <c r="J11667" s="5"/>
      <c r="K11667" s="5"/>
      <c r="L11667" s="5"/>
    </row>
    <row r="11668" spans="8:12" x14ac:dyDescent="0.3">
      <c r="H11668" s="5"/>
      <c r="I11668" s="5"/>
      <c r="J11668" s="5"/>
      <c r="K11668" s="5"/>
      <c r="L11668" s="5"/>
    </row>
    <row r="11669" spans="8:12" x14ac:dyDescent="0.3">
      <c r="H11669" s="5"/>
      <c r="I11669" s="5"/>
      <c r="J11669" s="5"/>
      <c r="K11669" s="5"/>
      <c r="L11669" s="5"/>
    </row>
    <row r="11670" spans="8:12" x14ac:dyDescent="0.3">
      <c r="H11670" s="5"/>
      <c r="I11670" s="5"/>
      <c r="J11670" s="5"/>
      <c r="K11670" s="5"/>
      <c r="L11670" s="5"/>
    </row>
    <row r="11671" spans="8:12" x14ac:dyDescent="0.3">
      <c r="H11671" s="5"/>
      <c r="I11671" s="5"/>
      <c r="J11671" s="5"/>
      <c r="K11671" s="5"/>
      <c r="L11671" s="5"/>
    </row>
    <row r="11672" spans="8:12" x14ac:dyDescent="0.3">
      <c r="H11672" s="5"/>
      <c r="I11672" s="5"/>
      <c r="J11672" s="5"/>
      <c r="K11672" s="5"/>
      <c r="L11672" s="5"/>
    </row>
    <row r="11673" spans="8:12" x14ac:dyDescent="0.3">
      <c r="H11673" s="5"/>
      <c r="I11673" s="5"/>
      <c r="J11673" s="5"/>
      <c r="K11673" s="5"/>
      <c r="L11673" s="5"/>
    </row>
    <row r="11674" spans="8:12" x14ac:dyDescent="0.3">
      <c r="H11674" s="5"/>
      <c r="I11674" s="5"/>
      <c r="J11674" s="5"/>
      <c r="K11674" s="5"/>
      <c r="L11674" s="5"/>
    </row>
    <row r="11675" spans="8:12" x14ac:dyDescent="0.3">
      <c r="H11675" s="5"/>
      <c r="I11675" s="5"/>
      <c r="J11675" s="5"/>
      <c r="K11675" s="5"/>
      <c r="L11675" s="5"/>
    </row>
    <row r="11676" spans="8:12" x14ac:dyDescent="0.3">
      <c r="H11676" s="5"/>
      <c r="I11676" s="5"/>
      <c r="J11676" s="5"/>
      <c r="K11676" s="5"/>
      <c r="L11676" s="5"/>
    </row>
    <row r="11677" spans="8:12" x14ac:dyDescent="0.3">
      <c r="H11677" s="5"/>
      <c r="I11677" s="5"/>
      <c r="J11677" s="5"/>
      <c r="K11677" s="5"/>
      <c r="L11677" s="5"/>
    </row>
    <row r="11678" spans="8:12" x14ac:dyDescent="0.3">
      <c r="H11678" s="5"/>
      <c r="I11678" s="5"/>
      <c r="J11678" s="5"/>
      <c r="K11678" s="5"/>
      <c r="L11678" s="5"/>
    </row>
    <row r="11679" spans="8:12" x14ac:dyDescent="0.3">
      <c r="H11679" s="5"/>
      <c r="I11679" s="5"/>
      <c r="J11679" s="5"/>
      <c r="K11679" s="5"/>
      <c r="L11679" s="5"/>
    </row>
    <row r="11680" spans="8:12" x14ac:dyDescent="0.3">
      <c r="H11680" s="5"/>
      <c r="I11680" s="5"/>
      <c r="J11680" s="5"/>
      <c r="K11680" s="5"/>
      <c r="L11680" s="5"/>
    </row>
    <row r="11681" spans="8:12" x14ac:dyDescent="0.3">
      <c r="H11681" s="5"/>
      <c r="I11681" s="5"/>
      <c r="J11681" s="5"/>
      <c r="K11681" s="5"/>
      <c r="L11681" s="5"/>
    </row>
    <row r="11682" spans="8:12" x14ac:dyDescent="0.3">
      <c r="H11682" s="5"/>
      <c r="I11682" s="5"/>
      <c r="J11682" s="5"/>
      <c r="K11682" s="5"/>
      <c r="L11682" s="5"/>
    </row>
    <row r="11683" spans="8:12" x14ac:dyDescent="0.3">
      <c r="H11683" s="5"/>
      <c r="I11683" s="5"/>
      <c r="J11683" s="5"/>
      <c r="K11683" s="5"/>
      <c r="L11683" s="5"/>
    </row>
    <row r="11684" spans="8:12" x14ac:dyDescent="0.3">
      <c r="H11684" s="5"/>
      <c r="I11684" s="5"/>
      <c r="J11684" s="5"/>
      <c r="K11684" s="5"/>
      <c r="L11684" s="5"/>
    </row>
    <row r="11685" spans="8:12" x14ac:dyDescent="0.3">
      <c r="H11685" s="5"/>
      <c r="I11685" s="5"/>
      <c r="J11685" s="5"/>
      <c r="K11685" s="5"/>
      <c r="L11685" s="5"/>
    </row>
    <row r="11686" spans="8:12" x14ac:dyDescent="0.3">
      <c r="H11686" s="5"/>
      <c r="I11686" s="5"/>
      <c r="J11686" s="5"/>
      <c r="K11686" s="5"/>
      <c r="L11686" s="5"/>
    </row>
    <row r="11687" spans="8:12" x14ac:dyDescent="0.3">
      <c r="H11687" s="5"/>
      <c r="I11687" s="5"/>
      <c r="J11687" s="5"/>
      <c r="K11687" s="5"/>
      <c r="L11687" s="5"/>
    </row>
    <row r="11688" spans="8:12" x14ac:dyDescent="0.3">
      <c r="H11688" s="5"/>
      <c r="I11688" s="5"/>
      <c r="J11688" s="5"/>
      <c r="K11688" s="5"/>
      <c r="L11688" s="5"/>
    </row>
    <row r="11689" spans="8:12" x14ac:dyDescent="0.3">
      <c r="H11689" s="5"/>
      <c r="I11689" s="5"/>
      <c r="J11689" s="5"/>
      <c r="K11689" s="5"/>
      <c r="L11689" s="5"/>
    </row>
    <row r="11690" spans="8:12" x14ac:dyDescent="0.3">
      <c r="H11690" s="5"/>
      <c r="I11690" s="5"/>
      <c r="J11690" s="5"/>
      <c r="K11690" s="5"/>
      <c r="L11690" s="5"/>
    </row>
    <row r="11691" spans="8:12" x14ac:dyDescent="0.3">
      <c r="H11691" s="5"/>
      <c r="I11691" s="5"/>
      <c r="J11691" s="5"/>
      <c r="K11691" s="5"/>
      <c r="L11691" s="5"/>
    </row>
    <row r="11692" spans="8:12" x14ac:dyDescent="0.3">
      <c r="H11692" s="5"/>
      <c r="I11692" s="5"/>
      <c r="J11692" s="5"/>
      <c r="K11692" s="5"/>
      <c r="L11692" s="5"/>
    </row>
    <row r="11693" spans="8:12" x14ac:dyDescent="0.3">
      <c r="H11693" s="5"/>
      <c r="I11693" s="5"/>
      <c r="J11693" s="5"/>
      <c r="K11693" s="5"/>
      <c r="L11693" s="5"/>
    </row>
    <row r="11694" spans="8:12" x14ac:dyDescent="0.3">
      <c r="H11694" s="5"/>
      <c r="I11694" s="5"/>
      <c r="J11694" s="5"/>
      <c r="K11694" s="5"/>
      <c r="L11694" s="5"/>
    </row>
    <row r="11695" spans="8:12" x14ac:dyDescent="0.3">
      <c r="H11695" s="5"/>
      <c r="I11695" s="5"/>
      <c r="J11695" s="5"/>
      <c r="K11695" s="5"/>
      <c r="L11695" s="5"/>
    </row>
    <row r="11696" spans="8:12" x14ac:dyDescent="0.3">
      <c r="H11696" s="5"/>
      <c r="I11696" s="5"/>
      <c r="J11696" s="5"/>
      <c r="K11696" s="5"/>
      <c r="L11696" s="5"/>
    </row>
    <row r="11697" spans="8:12" x14ac:dyDescent="0.3">
      <c r="H11697" s="5"/>
      <c r="I11697" s="5"/>
      <c r="J11697" s="5"/>
      <c r="K11697" s="5"/>
      <c r="L11697" s="5"/>
    </row>
    <row r="11698" spans="8:12" x14ac:dyDescent="0.3">
      <c r="H11698" s="5"/>
      <c r="I11698" s="5"/>
      <c r="J11698" s="5"/>
      <c r="K11698" s="5"/>
      <c r="L11698" s="5"/>
    </row>
    <row r="11699" spans="8:12" x14ac:dyDescent="0.3">
      <c r="H11699" s="5"/>
      <c r="I11699" s="5"/>
      <c r="J11699" s="5"/>
      <c r="K11699" s="5"/>
      <c r="L11699" s="5"/>
    </row>
    <row r="11700" spans="8:12" x14ac:dyDescent="0.3">
      <c r="H11700" s="5"/>
      <c r="I11700" s="5"/>
      <c r="J11700" s="5"/>
      <c r="K11700" s="5"/>
      <c r="L11700" s="5"/>
    </row>
    <row r="11701" spans="8:12" x14ac:dyDescent="0.3">
      <c r="H11701" s="5"/>
      <c r="I11701" s="5"/>
      <c r="J11701" s="5"/>
      <c r="K11701" s="5"/>
      <c r="L11701" s="5"/>
    </row>
    <row r="11702" spans="8:12" x14ac:dyDescent="0.3">
      <c r="H11702" s="5"/>
      <c r="I11702" s="5"/>
      <c r="J11702" s="5"/>
      <c r="K11702" s="5"/>
      <c r="L11702" s="5"/>
    </row>
    <row r="11703" spans="8:12" x14ac:dyDescent="0.3">
      <c r="H11703" s="5"/>
      <c r="I11703" s="5"/>
      <c r="J11703" s="5"/>
      <c r="K11703" s="5"/>
      <c r="L11703" s="5"/>
    </row>
    <row r="11704" spans="8:12" x14ac:dyDescent="0.3">
      <c r="H11704" s="5"/>
      <c r="I11704" s="5"/>
      <c r="J11704" s="5"/>
      <c r="K11704" s="5"/>
      <c r="L11704" s="5"/>
    </row>
    <row r="11705" spans="8:12" x14ac:dyDescent="0.3">
      <c r="H11705" s="5"/>
      <c r="I11705" s="5"/>
      <c r="J11705" s="5"/>
      <c r="K11705" s="5"/>
      <c r="L11705" s="5"/>
    </row>
    <row r="11706" spans="8:12" x14ac:dyDescent="0.3">
      <c r="H11706" s="5"/>
      <c r="I11706" s="5"/>
      <c r="J11706" s="5"/>
      <c r="K11706" s="5"/>
      <c r="L11706" s="5"/>
    </row>
    <row r="11707" spans="8:12" x14ac:dyDescent="0.3">
      <c r="H11707" s="5"/>
      <c r="I11707" s="5"/>
      <c r="J11707" s="5"/>
      <c r="K11707" s="5"/>
      <c r="L11707" s="5"/>
    </row>
    <row r="11708" spans="8:12" x14ac:dyDescent="0.3">
      <c r="H11708" s="5"/>
      <c r="I11708" s="5"/>
      <c r="J11708" s="5"/>
      <c r="K11708" s="5"/>
      <c r="L11708" s="5"/>
    </row>
    <row r="11709" spans="8:12" x14ac:dyDescent="0.3">
      <c r="H11709" s="5"/>
      <c r="I11709" s="5"/>
      <c r="J11709" s="5"/>
      <c r="K11709" s="5"/>
      <c r="L11709" s="5"/>
    </row>
    <row r="11710" spans="8:12" x14ac:dyDescent="0.3">
      <c r="H11710" s="5"/>
      <c r="I11710" s="5"/>
      <c r="J11710" s="5"/>
      <c r="K11710" s="5"/>
      <c r="L11710" s="5"/>
    </row>
    <row r="11711" spans="8:12" x14ac:dyDescent="0.3">
      <c r="H11711" s="5"/>
      <c r="I11711" s="5"/>
      <c r="J11711" s="5"/>
      <c r="K11711" s="5"/>
      <c r="L11711" s="5"/>
    </row>
    <row r="11712" spans="8:12" x14ac:dyDescent="0.3">
      <c r="H11712" s="5"/>
      <c r="I11712" s="5"/>
      <c r="J11712" s="5"/>
      <c r="K11712" s="5"/>
      <c r="L11712" s="5"/>
    </row>
    <row r="11713" spans="8:12" x14ac:dyDescent="0.3">
      <c r="H11713" s="5"/>
      <c r="I11713" s="5"/>
      <c r="J11713" s="5"/>
      <c r="K11713" s="5"/>
      <c r="L11713" s="5"/>
    </row>
    <row r="11714" spans="8:12" x14ac:dyDescent="0.3">
      <c r="H11714" s="5"/>
      <c r="I11714" s="5"/>
      <c r="J11714" s="5"/>
      <c r="K11714" s="5"/>
      <c r="L11714" s="5"/>
    </row>
    <row r="11715" spans="8:12" x14ac:dyDescent="0.3">
      <c r="H11715" s="5"/>
      <c r="I11715" s="5"/>
      <c r="J11715" s="5"/>
      <c r="K11715" s="5"/>
      <c r="L11715" s="5"/>
    </row>
    <row r="11716" spans="8:12" x14ac:dyDescent="0.3">
      <c r="H11716" s="5"/>
      <c r="I11716" s="5"/>
      <c r="J11716" s="5"/>
      <c r="K11716" s="5"/>
      <c r="L11716" s="5"/>
    </row>
    <row r="11717" spans="8:12" x14ac:dyDescent="0.3">
      <c r="H11717" s="5"/>
      <c r="I11717" s="5"/>
      <c r="J11717" s="5"/>
      <c r="K11717" s="5"/>
      <c r="L11717" s="5"/>
    </row>
    <row r="11718" spans="8:12" x14ac:dyDescent="0.3">
      <c r="H11718" s="5"/>
      <c r="I11718" s="5"/>
      <c r="J11718" s="5"/>
      <c r="K11718" s="5"/>
      <c r="L11718" s="5"/>
    </row>
    <row r="11719" spans="8:12" x14ac:dyDescent="0.3">
      <c r="H11719" s="5"/>
      <c r="I11719" s="5"/>
      <c r="J11719" s="5"/>
      <c r="K11719" s="5"/>
      <c r="L11719" s="5"/>
    </row>
    <row r="11720" spans="8:12" x14ac:dyDescent="0.3">
      <c r="H11720" s="5"/>
      <c r="I11720" s="5"/>
      <c r="J11720" s="5"/>
      <c r="K11720" s="5"/>
      <c r="L11720" s="5"/>
    </row>
    <row r="11721" spans="8:12" x14ac:dyDescent="0.3">
      <c r="H11721" s="5"/>
      <c r="I11721" s="5"/>
      <c r="J11721" s="5"/>
      <c r="K11721" s="5"/>
      <c r="L11721" s="5"/>
    </row>
    <row r="11722" spans="8:12" x14ac:dyDescent="0.3">
      <c r="H11722" s="5"/>
      <c r="I11722" s="5"/>
      <c r="J11722" s="5"/>
      <c r="K11722" s="5"/>
      <c r="L11722" s="5"/>
    </row>
    <row r="11723" spans="8:12" x14ac:dyDescent="0.3">
      <c r="H11723" s="5"/>
      <c r="I11723" s="5"/>
      <c r="J11723" s="5"/>
      <c r="K11723" s="5"/>
      <c r="L11723" s="5"/>
    </row>
    <row r="11724" spans="8:12" x14ac:dyDescent="0.3">
      <c r="H11724" s="5"/>
      <c r="I11724" s="5"/>
      <c r="J11724" s="5"/>
      <c r="K11724" s="5"/>
      <c r="L11724" s="5"/>
    </row>
    <row r="11725" spans="8:12" x14ac:dyDescent="0.3">
      <c r="H11725" s="5"/>
      <c r="I11725" s="5"/>
      <c r="J11725" s="5"/>
      <c r="K11725" s="5"/>
      <c r="L11725" s="5"/>
    </row>
    <row r="11726" spans="8:12" x14ac:dyDescent="0.3">
      <c r="H11726" s="5"/>
      <c r="I11726" s="5"/>
      <c r="J11726" s="5"/>
      <c r="K11726" s="5"/>
      <c r="L11726" s="5"/>
    </row>
    <row r="11727" spans="8:12" x14ac:dyDescent="0.3">
      <c r="H11727" s="5"/>
      <c r="I11727" s="5"/>
      <c r="J11727" s="5"/>
      <c r="K11727" s="5"/>
      <c r="L11727" s="5"/>
    </row>
    <row r="11728" spans="8:12" x14ac:dyDescent="0.3">
      <c r="H11728" s="5"/>
      <c r="I11728" s="5"/>
      <c r="J11728" s="5"/>
      <c r="K11728" s="5"/>
      <c r="L11728" s="5"/>
    </row>
    <row r="11729" spans="8:12" x14ac:dyDescent="0.3">
      <c r="H11729" s="5"/>
      <c r="I11729" s="5"/>
      <c r="J11729" s="5"/>
      <c r="K11729" s="5"/>
      <c r="L11729" s="5"/>
    </row>
    <row r="11730" spans="8:12" x14ac:dyDescent="0.3">
      <c r="H11730" s="5"/>
      <c r="I11730" s="5"/>
      <c r="J11730" s="5"/>
      <c r="K11730" s="5"/>
      <c r="L11730" s="5"/>
    </row>
    <row r="11731" spans="8:12" x14ac:dyDescent="0.3">
      <c r="H11731" s="5"/>
      <c r="I11731" s="5"/>
      <c r="J11731" s="5"/>
      <c r="K11731" s="5"/>
      <c r="L11731" s="5"/>
    </row>
    <row r="11732" spans="8:12" x14ac:dyDescent="0.3">
      <c r="H11732" s="5"/>
      <c r="I11732" s="5"/>
      <c r="J11732" s="5"/>
      <c r="K11732" s="5"/>
      <c r="L11732" s="5"/>
    </row>
    <row r="11733" spans="8:12" x14ac:dyDescent="0.3">
      <c r="H11733" s="5"/>
      <c r="I11733" s="5"/>
      <c r="J11733" s="5"/>
      <c r="K11733" s="5"/>
      <c r="L11733" s="5"/>
    </row>
    <row r="11734" spans="8:12" x14ac:dyDescent="0.3">
      <c r="H11734" s="5"/>
      <c r="I11734" s="5"/>
      <c r="J11734" s="5"/>
      <c r="K11734" s="5"/>
      <c r="L11734" s="5"/>
    </row>
    <row r="11735" spans="8:12" x14ac:dyDescent="0.3">
      <c r="H11735" s="5"/>
      <c r="I11735" s="5"/>
      <c r="J11735" s="5"/>
      <c r="K11735" s="5"/>
      <c r="L11735" s="5"/>
    </row>
    <row r="11736" spans="8:12" x14ac:dyDescent="0.3">
      <c r="H11736" s="5"/>
      <c r="I11736" s="5"/>
      <c r="J11736" s="5"/>
      <c r="K11736" s="5"/>
      <c r="L11736" s="5"/>
    </row>
    <row r="11737" spans="8:12" x14ac:dyDescent="0.3">
      <c r="H11737" s="5"/>
      <c r="I11737" s="5"/>
      <c r="J11737" s="5"/>
      <c r="K11737" s="5"/>
      <c r="L11737" s="5"/>
    </row>
    <row r="11738" spans="8:12" x14ac:dyDescent="0.3">
      <c r="H11738" s="5"/>
      <c r="I11738" s="5"/>
      <c r="J11738" s="5"/>
      <c r="K11738" s="5"/>
      <c r="L11738" s="5"/>
    </row>
    <row r="11739" spans="8:12" x14ac:dyDescent="0.3">
      <c r="H11739" s="5"/>
      <c r="I11739" s="5"/>
      <c r="J11739" s="5"/>
      <c r="K11739" s="5"/>
      <c r="L11739" s="5"/>
    </row>
    <row r="11740" spans="8:12" x14ac:dyDescent="0.3">
      <c r="H11740" s="5"/>
      <c r="I11740" s="5"/>
      <c r="J11740" s="5"/>
      <c r="K11740" s="5"/>
      <c r="L11740" s="5"/>
    </row>
    <row r="11741" spans="8:12" x14ac:dyDescent="0.3">
      <c r="H11741" s="5"/>
      <c r="I11741" s="5"/>
      <c r="J11741" s="5"/>
      <c r="K11741" s="5"/>
      <c r="L11741" s="5"/>
    </row>
    <row r="11742" spans="8:12" x14ac:dyDescent="0.3">
      <c r="H11742" s="5"/>
      <c r="I11742" s="5"/>
      <c r="J11742" s="5"/>
      <c r="K11742" s="5"/>
      <c r="L11742" s="5"/>
    </row>
    <row r="11743" spans="8:12" x14ac:dyDescent="0.3">
      <c r="H11743" s="5"/>
      <c r="I11743" s="5"/>
      <c r="J11743" s="5"/>
      <c r="K11743" s="5"/>
      <c r="L11743" s="5"/>
    </row>
    <row r="11744" spans="8:12" x14ac:dyDescent="0.3">
      <c r="H11744" s="5"/>
      <c r="I11744" s="5"/>
      <c r="J11744" s="5"/>
      <c r="K11744" s="5"/>
      <c r="L11744" s="5"/>
    </row>
    <row r="11745" spans="8:12" x14ac:dyDescent="0.3">
      <c r="H11745" s="5"/>
      <c r="I11745" s="5"/>
      <c r="J11745" s="5"/>
      <c r="K11745" s="5"/>
      <c r="L11745" s="5"/>
    </row>
    <row r="11746" spans="8:12" x14ac:dyDescent="0.3">
      <c r="H11746" s="5"/>
      <c r="I11746" s="5"/>
      <c r="J11746" s="5"/>
      <c r="K11746" s="5"/>
      <c r="L11746" s="5"/>
    </row>
    <row r="11747" spans="8:12" x14ac:dyDescent="0.3">
      <c r="H11747" s="5"/>
      <c r="I11747" s="5"/>
      <c r="J11747" s="5"/>
      <c r="K11747" s="5"/>
      <c r="L11747" s="5"/>
    </row>
    <row r="11748" spans="8:12" x14ac:dyDescent="0.3">
      <c r="H11748" s="5"/>
      <c r="I11748" s="5"/>
      <c r="J11748" s="5"/>
      <c r="K11748" s="5"/>
      <c r="L11748" s="5"/>
    </row>
    <row r="11749" spans="8:12" x14ac:dyDescent="0.3">
      <c r="H11749" s="5"/>
      <c r="I11749" s="5"/>
      <c r="J11749" s="5"/>
      <c r="K11749" s="5"/>
      <c r="L11749" s="5"/>
    </row>
    <row r="11750" spans="8:12" x14ac:dyDescent="0.3">
      <c r="H11750" s="5"/>
      <c r="I11750" s="5"/>
      <c r="J11750" s="5"/>
      <c r="K11750" s="5"/>
      <c r="L11750" s="5"/>
    </row>
    <row r="11751" spans="8:12" x14ac:dyDescent="0.3">
      <c r="H11751" s="5"/>
      <c r="I11751" s="5"/>
      <c r="J11751" s="5"/>
      <c r="K11751" s="5"/>
      <c r="L11751" s="5"/>
    </row>
    <row r="11752" spans="8:12" x14ac:dyDescent="0.3">
      <c r="H11752" s="5"/>
      <c r="I11752" s="5"/>
      <c r="J11752" s="5"/>
      <c r="K11752" s="5"/>
      <c r="L11752" s="5"/>
    </row>
    <row r="11753" spans="8:12" x14ac:dyDescent="0.3">
      <c r="H11753" s="5"/>
      <c r="I11753" s="5"/>
      <c r="J11753" s="5"/>
      <c r="K11753" s="5"/>
      <c r="L11753" s="5"/>
    </row>
    <row r="11754" spans="8:12" x14ac:dyDescent="0.3">
      <c r="H11754" s="5"/>
      <c r="I11754" s="5"/>
      <c r="J11754" s="5"/>
      <c r="K11754" s="5"/>
      <c r="L11754" s="5"/>
    </row>
    <row r="11755" spans="8:12" x14ac:dyDescent="0.3">
      <c r="H11755" s="5"/>
      <c r="I11755" s="5"/>
      <c r="J11755" s="5"/>
      <c r="K11755" s="5"/>
      <c r="L11755" s="5"/>
    </row>
    <row r="11756" spans="8:12" x14ac:dyDescent="0.3">
      <c r="H11756" s="5"/>
      <c r="I11756" s="5"/>
      <c r="J11756" s="5"/>
      <c r="K11756" s="5"/>
      <c r="L11756" s="5"/>
    </row>
    <row r="11757" spans="8:12" x14ac:dyDescent="0.3">
      <c r="H11757" s="5"/>
      <c r="I11757" s="5"/>
      <c r="J11757" s="5"/>
      <c r="K11757" s="5"/>
      <c r="L11757" s="5"/>
    </row>
    <row r="11758" spans="8:12" x14ac:dyDescent="0.3">
      <c r="H11758" s="5"/>
      <c r="I11758" s="5"/>
      <c r="J11758" s="5"/>
      <c r="K11758" s="5"/>
      <c r="L11758" s="5"/>
    </row>
    <row r="11759" spans="8:12" x14ac:dyDescent="0.3">
      <c r="H11759" s="5"/>
      <c r="I11759" s="5"/>
      <c r="J11759" s="5"/>
      <c r="K11759" s="5"/>
      <c r="L11759" s="5"/>
    </row>
    <row r="11760" spans="8:12" x14ac:dyDescent="0.3">
      <c r="H11760" s="5"/>
      <c r="I11760" s="5"/>
      <c r="J11760" s="5"/>
      <c r="K11760" s="5"/>
      <c r="L11760" s="5"/>
    </row>
    <row r="11761" spans="8:12" x14ac:dyDescent="0.3">
      <c r="H11761" s="5"/>
      <c r="I11761" s="5"/>
      <c r="J11761" s="5"/>
      <c r="K11761" s="5"/>
      <c r="L11761" s="5"/>
    </row>
    <row r="11762" spans="8:12" x14ac:dyDescent="0.3">
      <c r="H11762" s="5"/>
      <c r="I11762" s="5"/>
      <c r="J11762" s="5"/>
      <c r="K11762" s="5"/>
      <c r="L11762" s="5"/>
    </row>
    <row r="11763" spans="8:12" x14ac:dyDescent="0.3">
      <c r="H11763" s="5"/>
      <c r="I11763" s="5"/>
      <c r="J11763" s="5"/>
      <c r="K11763" s="5"/>
      <c r="L11763" s="5"/>
    </row>
    <row r="11764" spans="8:12" x14ac:dyDescent="0.3">
      <c r="H11764" s="5"/>
      <c r="I11764" s="5"/>
      <c r="J11764" s="5"/>
      <c r="K11764" s="5"/>
      <c r="L11764" s="5"/>
    </row>
    <row r="11765" spans="8:12" x14ac:dyDescent="0.3">
      <c r="H11765" s="5"/>
      <c r="I11765" s="5"/>
      <c r="J11765" s="5"/>
      <c r="K11765" s="5"/>
      <c r="L11765" s="5"/>
    </row>
    <row r="11766" spans="8:12" x14ac:dyDescent="0.3">
      <c r="H11766" s="5"/>
      <c r="I11766" s="5"/>
      <c r="J11766" s="5"/>
      <c r="K11766" s="5"/>
      <c r="L11766" s="5"/>
    </row>
    <row r="11767" spans="8:12" x14ac:dyDescent="0.3">
      <c r="H11767" s="5"/>
      <c r="I11767" s="5"/>
      <c r="J11767" s="5"/>
      <c r="K11767" s="5"/>
      <c r="L11767" s="5"/>
    </row>
    <row r="11768" spans="8:12" x14ac:dyDescent="0.3">
      <c r="H11768" s="5"/>
      <c r="I11768" s="5"/>
      <c r="J11768" s="5"/>
      <c r="K11768" s="5"/>
      <c r="L11768" s="5"/>
    </row>
    <row r="11769" spans="8:12" x14ac:dyDescent="0.3">
      <c r="H11769" s="5"/>
      <c r="I11769" s="5"/>
      <c r="J11769" s="5"/>
      <c r="K11769" s="5"/>
      <c r="L11769" s="5"/>
    </row>
    <row r="11770" spans="8:12" x14ac:dyDescent="0.3">
      <c r="H11770" s="5"/>
      <c r="I11770" s="5"/>
      <c r="J11770" s="5"/>
      <c r="K11770" s="5"/>
      <c r="L11770" s="5"/>
    </row>
    <row r="11771" spans="8:12" x14ac:dyDescent="0.3">
      <c r="H11771" s="5"/>
      <c r="I11771" s="5"/>
      <c r="J11771" s="5"/>
      <c r="K11771" s="5"/>
      <c r="L11771" s="5"/>
    </row>
    <row r="11772" spans="8:12" x14ac:dyDescent="0.3">
      <c r="H11772" s="5"/>
      <c r="I11772" s="5"/>
      <c r="J11772" s="5"/>
      <c r="K11772" s="5"/>
      <c r="L11772" s="5"/>
    </row>
    <row r="11773" spans="8:12" x14ac:dyDescent="0.3">
      <c r="H11773" s="5"/>
      <c r="I11773" s="5"/>
      <c r="J11773" s="5"/>
      <c r="K11773" s="5"/>
      <c r="L11773" s="5"/>
    </row>
    <row r="11774" spans="8:12" x14ac:dyDescent="0.3">
      <c r="H11774" s="5"/>
      <c r="I11774" s="5"/>
      <c r="J11774" s="5"/>
      <c r="K11774" s="5"/>
      <c r="L11774" s="5"/>
    </row>
    <row r="11775" spans="8:12" x14ac:dyDescent="0.3">
      <c r="H11775" s="5"/>
      <c r="I11775" s="5"/>
      <c r="J11775" s="5"/>
      <c r="K11775" s="5"/>
      <c r="L11775" s="5"/>
    </row>
    <row r="11776" spans="8:12" x14ac:dyDescent="0.3">
      <c r="H11776" s="5"/>
      <c r="I11776" s="5"/>
      <c r="J11776" s="5"/>
      <c r="K11776" s="5"/>
      <c r="L11776" s="5"/>
    </row>
    <row r="11777" spans="8:12" x14ac:dyDescent="0.3">
      <c r="H11777" s="5"/>
      <c r="I11777" s="5"/>
      <c r="J11777" s="5"/>
      <c r="K11777" s="5"/>
      <c r="L11777" s="5"/>
    </row>
    <row r="11778" spans="8:12" x14ac:dyDescent="0.3">
      <c r="H11778" s="5"/>
      <c r="I11778" s="5"/>
      <c r="J11778" s="5"/>
      <c r="K11778" s="5"/>
      <c r="L11778" s="5"/>
    </row>
    <row r="11779" spans="8:12" x14ac:dyDescent="0.3">
      <c r="H11779" s="5"/>
      <c r="I11779" s="5"/>
      <c r="J11779" s="5"/>
      <c r="K11779" s="5"/>
      <c r="L11779" s="5"/>
    </row>
    <row r="11780" spans="8:12" x14ac:dyDescent="0.3">
      <c r="H11780" s="5"/>
      <c r="I11780" s="5"/>
      <c r="J11780" s="5"/>
      <c r="K11780" s="5"/>
      <c r="L11780" s="5"/>
    </row>
    <row r="11781" spans="8:12" x14ac:dyDescent="0.3">
      <c r="H11781" s="5"/>
      <c r="I11781" s="5"/>
      <c r="J11781" s="5"/>
      <c r="K11781" s="5"/>
      <c r="L11781" s="5"/>
    </row>
    <row r="11782" spans="8:12" x14ac:dyDescent="0.3">
      <c r="H11782" s="5"/>
      <c r="I11782" s="5"/>
      <c r="J11782" s="5"/>
      <c r="K11782" s="5"/>
      <c r="L11782" s="5"/>
    </row>
    <row r="11783" spans="8:12" x14ac:dyDescent="0.3">
      <c r="H11783" s="5"/>
      <c r="I11783" s="5"/>
      <c r="J11783" s="5"/>
      <c r="K11783" s="5"/>
      <c r="L11783" s="5"/>
    </row>
    <row r="11784" spans="8:12" x14ac:dyDescent="0.3">
      <c r="H11784" s="5"/>
      <c r="I11784" s="5"/>
      <c r="J11784" s="5"/>
      <c r="K11784" s="5"/>
      <c r="L11784" s="5"/>
    </row>
    <row r="11785" spans="8:12" x14ac:dyDescent="0.3">
      <c r="H11785" s="5"/>
      <c r="I11785" s="5"/>
      <c r="J11785" s="5"/>
      <c r="K11785" s="5"/>
      <c r="L11785" s="5"/>
    </row>
    <row r="11786" spans="8:12" x14ac:dyDescent="0.3">
      <c r="H11786" s="5"/>
      <c r="I11786" s="5"/>
      <c r="J11786" s="5"/>
      <c r="K11786" s="5"/>
      <c r="L11786" s="5"/>
    </row>
    <row r="11787" spans="8:12" x14ac:dyDescent="0.3">
      <c r="H11787" s="5"/>
      <c r="I11787" s="5"/>
      <c r="J11787" s="5"/>
      <c r="K11787" s="5"/>
      <c r="L11787" s="5"/>
    </row>
    <row r="11788" spans="8:12" x14ac:dyDescent="0.3">
      <c r="H11788" s="5"/>
      <c r="I11788" s="5"/>
      <c r="J11788" s="5"/>
      <c r="K11788" s="5"/>
      <c r="L11788" s="5"/>
    </row>
    <row r="11789" spans="8:12" x14ac:dyDescent="0.3">
      <c r="H11789" s="5"/>
      <c r="I11789" s="5"/>
      <c r="J11789" s="5"/>
      <c r="K11789" s="5"/>
      <c r="L11789" s="5"/>
    </row>
    <row r="11790" spans="8:12" x14ac:dyDescent="0.3">
      <c r="H11790" s="5"/>
      <c r="I11790" s="5"/>
      <c r="J11790" s="5"/>
      <c r="K11790" s="5"/>
      <c r="L11790" s="5"/>
    </row>
    <row r="11791" spans="8:12" x14ac:dyDescent="0.3">
      <c r="H11791" s="5"/>
      <c r="I11791" s="5"/>
      <c r="J11791" s="5"/>
      <c r="K11791" s="5"/>
      <c r="L11791" s="5"/>
    </row>
    <row r="11792" spans="8:12" x14ac:dyDescent="0.3">
      <c r="H11792" s="5"/>
      <c r="I11792" s="5"/>
      <c r="J11792" s="5"/>
      <c r="K11792" s="5"/>
      <c r="L11792" s="5"/>
    </row>
    <row r="11793" spans="8:12" x14ac:dyDescent="0.3">
      <c r="H11793" s="5"/>
      <c r="I11793" s="5"/>
      <c r="J11793" s="5"/>
      <c r="K11793" s="5"/>
      <c r="L11793" s="5"/>
    </row>
    <row r="11794" spans="8:12" x14ac:dyDescent="0.3">
      <c r="H11794" s="5"/>
      <c r="I11794" s="5"/>
      <c r="J11794" s="5"/>
      <c r="K11794" s="5"/>
      <c r="L11794" s="5"/>
    </row>
    <row r="11795" spans="8:12" x14ac:dyDescent="0.3">
      <c r="H11795" s="5"/>
      <c r="I11795" s="5"/>
      <c r="J11795" s="5"/>
      <c r="K11795" s="5"/>
      <c r="L11795" s="5"/>
    </row>
    <row r="11796" spans="8:12" x14ac:dyDescent="0.3">
      <c r="H11796" s="5"/>
      <c r="I11796" s="5"/>
      <c r="J11796" s="5"/>
      <c r="K11796" s="5"/>
      <c r="L11796" s="5"/>
    </row>
    <row r="11797" spans="8:12" x14ac:dyDescent="0.3">
      <c r="H11797" s="5"/>
      <c r="I11797" s="5"/>
      <c r="J11797" s="5"/>
      <c r="K11797" s="5"/>
      <c r="L11797" s="5"/>
    </row>
    <row r="11798" spans="8:12" x14ac:dyDescent="0.3">
      <c r="H11798" s="5"/>
      <c r="I11798" s="5"/>
      <c r="J11798" s="5"/>
      <c r="K11798" s="5"/>
      <c r="L11798" s="5"/>
    </row>
    <row r="11799" spans="8:12" x14ac:dyDescent="0.3">
      <c r="H11799" s="5"/>
      <c r="I11799" s="5"/>
      <c r="J11799" s="5"/>
      <c r="K11799" s="5"/>
      <c r="L11799" s="5"/>
    </row>
    <row r="11800" spans="8:12" x14ac:dyDescent="0.3">
      <c r="H11800" s="5"/>
      <c r="I11800" s="5"/>
      <c r="J11800" s="5"/>
      <c r="K11800" s="5"/>
      <c r="L11800" s="5"/>
    </row>
    <row r="11801" spans="8:12" x14ac:dyDescent="0.3">
      <c r="H11801" s="5"/>
      <c r="I11801" s="5"/>
      <c r="J11801" s="5"/>
      <c r="K11801" s="5"/>
      <c r="L11801" s="5"/>
    </row>
    <row r="11802" spans="8:12" x14ac:dyDescent="0.3">
      <c r="H11802" s="5"/>
      <c r="I11802" s="5"/>
      <c r="J11802" s="5"/>
      <c r="K11802" s="5"/>
      <c r="L11802" s="5"/>
    </row>
    <row r="11803" spans="8:12" x14ac:dyDescent="0.3">
      <c r="H11803" s="5"/>
      <c r="I11803" s="5"/>
      <c r="J11803" s="5"/>
      <c r="K11803" s="5"/>
      <c r="L11803" s="5"/>
    </row>
    <row r="11804" spans="8:12" x14ac:dyDescent="0.3">
      <c r="H11804" s="5"/>
      <c r="I11804" s="5"/>
      <c r="J11804" s="5"/>
      <c r="K11804" s="5"/>
      <c r="L11804" s="5"/>
    </row>
    <row r="11805" spans="8:12" x14ac:dyDescent="0.3">
      <c r="H11805" s="5"/>
      <c r="I11805" s="5"/>
      <c r="J11805" s="5"/>
      <c r="K11805" s="5"/>
      <c r="L11805" s="5"/>
    </row>
    <row r="11806" spans="8:12" x14ac:dyDescent="0.3">
      <c r="H11806" s="5"/>
      <c r="I11806" s="5"/>
      <c r="J11806" s="5"/>
      <c r="K11806" s="5"/>
      <c r="L11806" s="5"/>
    </row>
    <row r="11807" spans="8:12" x14ac:dyDescent="0.3">
      <c r="H11807" s="5"/>
      <c r="I11807" s="5"/>
      <c r="J11807" s="5"/>
      <c r="K11807" s="5"/>
      <c r="L11807" s="5"/>
    </row>
    <row r="11808" spans="8:12" x14ac:dyDescent="0.3">
      <c r="H11808" s="5"/>
      <c r="I11808" s="5"/>
      <c r="J11808" s="5"/>
      <c r="K11808" s="5"/>
      <c r="L11808" s="5"/>
    </row>
    <row r="11809" spans="8:12" x14ac:dyDescent="0.3">
      <c r="H11809" s="5"/>
      <c r="I11809" s="5"/>
      <c r="J11809" s="5"/>
      <c r="K11809" s="5"/>
      <c r="L11809" s="5"/>
    </row>
    <row r="11810" spans="8:12" x14ac:dyDescent="0.3">
      <c r="H11810" s="5"/>
      <c r="I11810" s="5"/>
      <c r="J11810" s="5"/>
      <c r="K11810" s="5"/>
      <c r="L11810" s="5"/>
    </row>
    <row r="11811" spans="8:12" x14ac:dyDescent="0.3">
      <c r="H11811" s="5"/>
      <c r="I11811" s="5"/>
      <c r="J11811" s="5"/>
      <c r="K11811" s="5"/>
      <c r="L11811" s="5"/>
    </row>
    <row r="11812" spans="8:12" x14ac:dyDescent="0.3">
      <c r="H11812" s="5"/>
      <c r="I11812" s="5"/>
      <c r="J11812" s="5"/>
      <c r="K11812" s="5"/>
      <c r="L11812" s="5"/>
    </row>
    <row r="11813" spans="8:12" x14ac:dyDescent="0.3">
      <c r="H11813" s="5"/>
      <c r="I11813" s="5"/>
      <c r="J11813" s="5"/>
      <c r="K11813" s="5"/>
      <c r="L11813" s="5"/>
    </row>
    <row r="11814" spans="8:12" x14ac:dyDescent="0.3">
      <c r="H11814" s="5"/>
      <c r="I11814" s="5"/>
      <c r="J11814" s="5"/>
      <c r="K11814" s="5"/>
      <c r="L11814" s="5"/>
    </row>
    <row r="11815" spans="8:12" x14ac:dyDescent="0.3">
      <c r="H11815" s="5"/>
      <c r="I11815" s="5"/>
      <c r="J11815" s="5"/>
      <c r="K11815" s="5"/>
      <c r="L11815" s="5"/>
    </row>
    <row r="11816" spans="8:12" x14ac:dyDescent="0.3">
      <c r="H11816" s="5"/>
      <c r="I11816" s="5"/>
      <c r="J11816" s="5"/>
      <c r="K11816" s="5"/>
      <c r="L11816" s="5"/>
    </row>
    <row r="11817" spans="8:12" x14ac:dyDescent="0.3">
      <c r="H11817" s="5"/>
      <c r="I11817" s="5"/>
      <c r="J11817" s="5"/>
      <c r="K11817" s="5"/>
      <c r="L11817" s="5"/>
    </row>
    <row r="11818" spans="8:12" x14ac:dyDescent="0.3">
      <c r="H11818" s="5"/>
      <c r="I11818" s="5"/>
      <c r="J11818" s="5"/>
      <c r="K11818" s="5"/>
      <c r="L11818" s="5"/>
    </row>
    <row r="11819" spans="8:12" x14ac:dyDescent="0.3">
      <c r="H11819" s="5"/>
      <c r="I11819" s="5"/>
      <c r="J11819" s="5"/>
      <c r="K11819" s="5"/>
      <c r="L11819" s="5"/>
    </row>
    <row r="11820" spans="8:12" x14ac:dyDescent="0.3">
      <c r="H11820" s="5"/>
      <c r="I11820" s="5"/>
      <c r="J11820" s="5"/>
      <c r="K11820" s="5"/>
      <c r="L11820" s="5"/>
    </row>
    <row r="11821" spans="8:12" x14ac:dyDescent="0.3">
      <c r="H11821" s="5"/>
      <c r="I11821" s="5"/>
      <c r="J11821" s="5"/>
      <c r="K11821" s="5"/>
      <c r="L11821" s="5"/>
    </row>
    <row r="11822" spans="8:12" x14ac:dyDescent="0.3">
      <c r="H11822" s="5"/>
      <c r="I11822" s="5"/>
      <c r="J11822" s="5"/>
      <c r="K11822" s="5"/>
      <c r="L11822" s="5"/>
    </row>
    <row r="11823" spans="8:12" x14ac:dyDescent="0.3">
      <c r="H11823" s="5"/>
      <c r="I11823" s="5"/>
      <c r="J11823" s="5"/>
      <c r="K11823" s="5"/>
      <c r="L11823" s="5"/>
    </row>
    <row r="11824" spans="8:12" x14ac:dyDescent="0.3">
      <c r="H11824" s="5"/>
      <c r="I11824" s="5"/>
      <c r="J11824" s="5"/>
      <c r="K11824" s="5"/>
      <c r="L11824" s="5"/>
    </row>
    <row r="11825" spans="8:12" x14ac:dyDescent="0.3">
      <c r="H11825" s="5"/>
      <c r="I11825" s="5"/>
      <c r="J11825" s="5"/>
      <c r="K11825" s="5"/>
      <c r="L11825" s="5"/>
    </row>
    <row r="11826" spans="8:12" x14ac:dyDescent="0.3">
      <c r="H11826" s="5"/>
      <c r="I11826" s="5"/>
      <c r="J11826" s="5"/>
      <c r="K11826" s="5"/>
      <c r="L11826" s="5"/>
    </row>
    <row r="11827" spans="8:12" x14ac:dyDescent="0.3">
      <c r="H11827" s="5"/>
      <c r="I11827" s="5"/>
      <c r="J11827" s="5"/>
      <c r="K11827" s="5"/>
      <c r="L11827" s="5"/>
    </row>
    <row r="11828" spans="8:12" x14ac:dyDescent="0.3">
      <c r="H11828" s="5"/>
      <c r="I11828" s="5"/>
      <c r="J11828" s="5"/>
      <c r="K11828" s="5"/>
      <c r="L11828" s="5"/>
    </row>
    <row r="11829" spans="8:12" x14ac:dyDescent="0.3">
      <c r="H11829" s="5"/>
      <c r="I11829" s="5"/>
      <c r="J11829" s="5"/>
      <c r="K11829" s="5"/>
      <c r="L11829" s="5"/>
    </row>
    <row r="11830" spans="8:12" x14ac:dyDescent="0.3">
      <c r="H11830" s="5"/>
      <c r="I11830" s="5"/>
      <c r="J11830" s="5"/>
      <c r="K11830" s="5"/>
      <c r="L11830" s="5"/>
    </row>
    <row r="11831" spans="8:12" x14ac:dyDescent="0.3">
      <c r="H11831" s="5"/>
      <c r="I11831" s="5"/>
      <c r="J11831" s="5"/>
      <c r="K11831" s="5"/>
      <c r="L11831" s="5"/>
    </row>
    <row r="11832" spans="8:12" x14ac:dyDescent="0.3">
      <c r="H11832" s="5"/>
      <c r="I11832" s="5"/>
      <c r="J11832" s="5"/>
      <c r="K11832" s="5"/>
      <c r="L11832" s="5"/>
    </row>
    <row r="11833" spans="8:12" x14ac:dyDescent="0.3">
      <c r="H11833" s="5"/>
      <c r="I11833" s="5"/>
      <c r="J11833" s="5"/>
      <c r="K11833" s="5"/>
      <c r="L11833" s="5"/>
    </row>
    <row r="11834" spans="8:12" x14ac:dyDescent="0.3">
      <c r="H11834" s="5"/>
      <c r="I11834" s="5"/>
      <c r="J11834" s="5"/>
      <c r="K11834" s="5"/>
      <c r="L11834" s="5"/>
    </row>
    <row r="11835" spans="8:12" x14ac:dyDescent="0.3">
      <c r="H11835" s="5"/>
      <c r="I11835" s="5"/>
      <c r="J11835" s="5"/>
      <c r="K11835" s="5"/>
      <c r="L11835" s="5"/>
    </row>
    <row r="11836" spans="8:12" x14ac:dyDescent="0.3">
      <c r="H11836" s="5"/>
      <c r="I11836" s="5"/>
      <c r="J11836" s="5"/>
      <c r="K11836" s="5"/>
      <c r="L11836" s="5"/>
    </row>
    <row r="11837" spans="8:12" x14ac:dyDescent="0.3">
      <c r="H11837" s="5"/>
      <c r="I11837" s="5"/>
      <c r="J11837" s="5"/>
      <c r="K11837" s="5"/>
      <c r="L11837" s="5"/>
    </row>
    <row r="11838" spans="8:12" x14ac:dyDescent="0.3">
      <c r="H11838" s="5"/>
      <c r="I11838" s="5"/>
      <c r="J11838" s="5"/>
      <c r="K11838" s="5"/>
      <c r="L11838" s="5"/>
    </row>
    <row r="11839" spans="8:12" x14ac:dyDescent="0.3">
      <c r="H11839" s="5"/>
      <c r="I11839" s="5"/>
      <c r="J11839" s="5"/>
      <c r="K11839" s="5"/>
      <c r="L11839" s="5"/>
    </row>
    <row r="11840" spans="8:12" x14ac:dyDescent="0.3">
      <c r="H11840" s="5"/>
      <c r="I11840" s="5"/>
      <c r="J11840" s="5"/>
      <c r="K11840" s="5"/>
      <c r="L11840" s="5"/>
    </row>
    <row r="11841" spans="8:12" x14ac:dyDescent="0.3">
      <c r="H11841" s="5"/>
      <c r="I11841" s="5"/>
      <c r="J11841" s="5"/>
      <c r="K11841" s="5"/>
      <c r="L11841" s="5"/>
    </row>
    <row r="11842" spans="8:12" x14ac:dyDescent="0.3">
      <c r="H11842" s="5"/>
      <c r="I11842" s="5"/>
      <c r="J11842" s="5"/>
      <c r="K11842" s="5"/>
      <c r="L11842" s="5"/>
    </row>
    <row r="11843" spans="8:12" x14ac:dyDescent="0.3">
      <c r="H11843" s="5"/>
      <c r="I11843" s="5"/>
      <c r="J11843" s="5"/>
      <c r="K11843" s="5"/>
      <c r="L11843" s="5"/>
    </row>
    <row r="11844" spans="8:12" x14ac:dyDescent="0.3">
      <c r="H11844" s="5"/>
      <c r="I11844" s="5"/>
      <c r="J11844" s="5"/>
      <c r="K11844" s="5"/>
      <c r="L11844" s="5"/>
    </row>
    <row r="11845" spans="8:12" x14ac:dyDescent="0.3">
      <c r="H11845" s="5"/>
      <c r="I11845" s="5"/>
      <c r="J11845" s="5"/>
      <c r="K11845" s="5"/>
      <c r="L11845" s="5"/>
    </row>
    <row r="11846" spans="8:12" x14ac:dyDescent="0.3">
      <c r="H11846" s="5"/>
      <c r="I11846" s="5"/>
      <c r="J11846" s="5"/>
      <c r="K11846" s="5"/>
      <c r="L11846" s="5"/>
    </row>
    <row r="11847" spans="8:12" x14ac:dyDescent="0.3">
      <c r="H11847" s="5"/>
      <c r="I11847" s="5"/>
      <c r="J11847" s="5"/>
      <c r="K11847" s="5"/>
      <c r="L11847" s="5"/>
    </row>
    <row r="11848" spans="8:12" x14ac:dyDescent="0.3">
      <c r="H11848" s="5"/>
      <c r="I11848" s="5"/>
      <c r="J11848" s="5"/>
      <c r="K11848" s="5"/>
      <c r="L11848" s="5"/>
    </row>
    <row r="11849" spans="8:12" x14ac:dyDescent="0.3">
      <c r="H11849" s="5"/>
      <c r="I11849" s="5"/>
      <c r="J11849" s="5"/>
      <c r="K11849" s="5"/>
      <c r="L11849" s="5"/>
    </row>
    <row r="11850" spans="8:12" x14ac:dyDescent="0.3">
      <c r="H11850" s="5"/>
      <c r="I11850" s="5"/>
      <c r="J11850" s="5"/>
      <c r="K11850" s="5"/>
      <c r="L11850" s="5"/>
    </row>
    <row r="11851" spans="8:12" x14ac:dyDescent="0.3">
      <c r="H11851" s="5"/>
      <c r="I11851" s="5"/>
      <c r="J11851" s="5"/>
      <c r="K11851" s="5"/>
      <c r="L11851" s="5"/>
    </row>
    <row r="11852" spans="8:12" x14ac:dyDescent="0.3">
      <c r="H11852" s="5"/>
      <c r="I11852" s="5"/>
      <c r="J11852" s="5"/>
      <c r="K11852" s="5"/>
      <c r="L11852" s="5"/>
    </row>
    <row r="11853" spans="8:12" x14ac:dyDescent="0.3">
      <c r="H11853" s="5"/>
      <c r="I11853" s="5"/>
      <c r="J11853" s="5"/>
      <c r="K11853" s="5"/>
      <c r="L11853" s="5"/>
    </row>
    <row r="11854" spans="8:12" x14ac:dyDescent="0.3">
      <c r="H11854" s="5"/>
      <c r="I11854" s="5"/>
      <c r="J11854" s="5"/>
      <c r="K11854" s="5"/>
      <c r="L11854" s="5"/>
    </row>
    <row r="11855" spans="8:12" x14ac:dyDescent="0.3">
      <c r="H11855" s="5"/>
      <c r="I11855" s="5"/>
      <c r="J11855" s="5"/>
      <c r="K11855" s="5"/>
      <c r="L11855" s="5"/>
    </row>
    <row r="11856" spans="8:12" x14ac:dyDescent="0.3">
      <c r="H11856" s="5"/>
      <c r="I11856" s="5"/>
      <c r="J11856" s="5"/>
      <c r="K11856" s="5"/>
      <c r="L11856" s="5"/>
    </row>
    <row r="11857" spans="8:12" x14ac:dyDescent="0.3">
      <c r="H11857" s="5"/>
      <c r="I11857" s="5"/>
      <c r="J11857" s="5"/>
      <c r="K11857" s="5"/>
      <c r="L11857" s="5"/>
    </row>
    <row r="11858" spans="8:12" x14ac:dyDescent="0.3">
      <c r="H11858" s="5"/>
      <c r="I11858" s="5"/>
      <c r="J11858" s="5"/>
      <c r="K11858" s="5"/>
      <c r="L11858" s="5"/>
    </row>
    <row r="11859" spans="8:12" x14ac:dyDescent="0.3">
      <c r="H11859" s="5"/>
      <c r="I11859" s="5"/>
      <c r="J11859" s="5"/>
      <c r="K11859" s="5"/>
      <c r="L11859" s="5"/>
    </row>
    <row r="11860" spans="8:12" x14ac:dyDescent="0.3">
      <c r="H11860" s="5"/>
      <c r="I11860" s="5"/>
      <c r="J11860" s="5"/>
      <c r="K11860" s="5"/>
      <c r="L11860" s="5"/>
    </row>
    <row r="11861" spans="8:12" x14ac:dyDescent="0.3">
      <c r="H11861" s="5"/>
      <c r="I11861" s="5"/>
      <c r="J11861" s="5"/>
      <c r="K11861" s="5"/>
      <c r="L11861" s="5"/>
    </row>
    <row r="11862" spans="8:12" x14ac:dyDescent="0.3">
      <c r="H11862" s="5"/>
      <c r="I11862" s="5"/>
      <c r="J11862" s="5"/>
      <c r="K11862" s="5"/>
      <c r="L11862" s="5"/>
    </row>
    <row r="11863" spans="8:12" x14ac:dyDescent="0.3">
      <c r="H11863" s="5"/>
      <c r="I11863" s="5"/>
      <c r="J11863" s="5"/>
      <c r="K11863" s="5"/>
      <c r="L11863" s="5"/>
    </row>
    <row r="11864" spans="8:12" x14ac:dyDescent="0.3">
      <c r="H11864" s="5"/>
      <c r="I11864" s="5"/>
      <c r="J11864" s="5"/>
      <c r="K11864" s="5"/>
      <c r="L11864" s="5"/>
    </row>
    <row r="11865" spans="8:12" x14ac:dyDescent="0.3">
      <c r="H11865" s="5"/>
      <c r="I11865" s="5"/>
      <c r="J11865" s="5"/>
      <c r="K11865" s="5"/>
      <c r="L11865" s="5"/>
    </row>
    <row r="11866" spans="8:12" x14ac:dyDescent="0.3">
      <c r="H11866" s="5"/>
      <c r="I11866" s="5"/>
      <c r="J11866" s="5"/>
      <c r="K11866" s="5"/>
      <c r="L11866" s="5"/>
    </row>
    <row r="11867" spans="8:12" x14ac:dyDescent="0.3">
      <c r="H11867" s="5"/>
      <c r="I11867" s="5"/>
      <c r="J11867" s="5"/>
      <c r="K11867" s="5"/>
      <c r="L11867" s="5"/>
    </row>
    <row r="11868" spans="8:12" x14ac:dyDescent="0.3">
      <c r="H11868" s="5"/>
      <c r="I11868" s="5"/>
      <c r="J11868" s="5"/>
      <c r="K11868" s="5"/>
      <c r="L11868" s="5"/>
    </row>
    <row r="11869" spans="8:12" x14ac:dyDescent="0.3">
      <c r="H11869" s="5"/>
      <c r="I11869" s="5"/>
      <c r="J11869" s="5"/>
      <c r="K11869" s="5"/>
      <c r="L11869" s="5"/>
    </row>
    <row r="11870" spans="8:12" x14ac:dyDescent="0.3">
      <c r="H11870" s="5"/>
      <c r="I11870" s="5"/>
      <c r="J11870" s="5"/>
      <c r="K11870" s="5"/>
      <c r="L11870" s="5"/>
    </row>
    <row r="11871" spans="8:12" x14ac:dyDescent="0.3">
      <c r="H11871" s="5"/>
      <c r="I11871" s="5"/>
      <c r="J11871" s="5"/>
      <c r="K11871" s="5"/>
      <c r="L11871" s="5"/>
    </row>
    <row r="11872" spans="8:12" x14ac:dyDescent="0.3">
      <c r="H11872" s="5"/>
      <c r="I11872" s="5"/>
      <c r="J11872" s="5"/>
      <c r="K11872" s="5"/>
      <c r="L11872" s="5"/>
    </row>
    <row r="11873" spans="8:12" x14ac:dyDescent="0.3">
      <c r="H11873" s="5"/>
      <c r="I11873" s="5"/>
      <c r="J11873" s="5"/>
      <c r="K11873" s="5"/>
      <c r="L11873" s="5"/>
    </row>
    <row r="11874" spans="8:12" x14ac:dyDescent="0.3">
      <c r="H11874" s="5"/>
      <c r="I11874" s="5"/>
      <c r="J11874" s="5"/>
      <c r="K11874" s="5"/>
      <c r="L11874" s="5"/>
    </row>
    <row r="11875" spans="8:12" x14ac:dyDescent="0.3">
      <c r="H11875" s="5"/>
      <c r="I11875" s="5"/>
      <c r="J11875" s="5"/>
      <c r="K11875" s="5"/>
      <c r="L11875" s="5"/>
    </row>
    <row r="11876" spans="8:12" x14ac:dyDescent="0.3">
      <c r="H11876" s="5"/>
      <c r="I11876" s="5"/>
      <c r="J11876" s="5"/>
      <c r="K11876" s="5"/>
      <c r="L11876" s="5"/>
    </row>
    <row r="11877" spans="8:12" x14ac:dyDescent="0.3">
      <c r="H11877" s="5"/>
      <c r="I11877" s="5"/>
      <c r="J11877" s="5"/>
      <c r="K11877" s="5"/>
      <c r="L11877" s="5"/>
    </row>
    <row r="11878" spans="8:12" x14ac:dyDescent="0.3">
      <c r="H11878" s="5"/>
      <c r="I11878" s="5"/>
      <c r="J11878" s="5"/>
      <c r="K11878" s="5"/>
      <c r="L11878" s="5"/>
    </row>
    <row r="11879" spans="8:12" x14ac:dyDescent="0.3">
      <c r="H11879" s="5"/>
      <c r="I11879" s="5"/>
      <c r="J11879" s="5"/>
      <c r="K11879" s="5"/>
      <c r="L11879" s="5"/>
    </row>
    <row r="11880" spans="8:12" x14ac:dyDescent="0.3">
      <c r="H11880" s="5"/>
      <c r="I11880" s="5"/>
      <c r="J11880" s="5"/>
      <c r="K11880" s="5"/>
      <c r="L11880" s="5"/>
    </row>
    <row r="11881" spans="8:12" x14ac:dyDescent="0.3">
      <c r="H11881" s="5"/>
      <c r="I11881" s="5"/>
      <c r="J11881" s="5"/>
      <c r="K11881" s="5"/>
      <c r="L11881" s="5"/>
    </row>
    <row r="11882" spans="8:12" x14ac:dyDescent="0.3">
      <c r="H11882" s="5"/>
      <c r="I11882" s="5"/>
      <c r="J11882" s="5"/>
      <c r="K11882" s="5"/>
      <c r="L11882" s="5"/>
    </row>
    <row r="11883" spans="8:12" x14ac:dyDescent="0.3">
      <c r="H11883" s="5"/>
      <c r="I11883" s="5"/>
      <c r="J11883" s="5"/>
      <c r="K11883" s="5"/>
      <c r="L11883" s="5"/>
    </row>
    <row r="11884" spans="8:12" x14ac:dyDescent="0.3">
      <c r="H11884" s="5"/>
      <c r="I11884" s="5"/>
      <c r="J11884" s="5"/>
      <c r="K11884" s="5"/>
      <c r="L11884" s="5"/>
    </row>
    <row r="11885" spans="8:12" x14ac:dyDescent="0.3">
      <c r="H11885" s="5"/>
      <c r="I11885" s="5"/>
      <c r="J11885" s="5"/>
      <c r="K11885" s="5"/>
      <c r="L11885" s="5"/>
    </row>
    <row r="11886" spans="8:12" x14ac:dyDescent="0.3">
      <c r="H11886" s="5"/>
      <c r="I11886" s="5"/>
      <c r="J11886" s="5"/>
      <c r="K11886" s="5"/>
      <c r="L11886" s="5"/>
    </row>
    <row r="11887" spans="8:12" x14ac:dyDescent="0.3">
      <c r="H11887" s="5"/>
      <c r="I11887" s="5"/>
      <c r="J11887" s="5"/>
      <c r="K11887" s="5"/>
      <c r="L11887" s="5"/>
    </row>
    <row r="11888" spans="8:12" x14ac:dyDescent="0.3">
      <c r="H11888" s="5"/>
      <c r="I11888" s="5"/>
      <c r="J11888" s="5"/>
      <c r="K11888" s="5"/>
      <c r="L11888" s="5"/>
    </row>
    <row r="11889" spans="8:12" x14ac:dyDescent="0.3">
      <c r="H11889" s="5"/>
      <c r="I11889" s="5"/>
      <c r="J11889" s="5"/>
      <c r="K11889" s="5"/>
      <c r="L11889" s="5"/>
    </row>
    <row r="11890" spans="8:12" x14ac:dyDescent="0.3">
      <c r="H11890" s="5"/>
      <c r="I11890" s="5"/>
      <c r="J11890" s="5"/>
      <c r="K11890" s="5"/>
      <c r="L11890" s="5"/>
    </row>
    <row r="11891" spans="8:12" x14ac:dyDescent="0.3">
      <c r="H11891" s="5"/>
      <c r="I11891" s="5"/>
      <c r="J11891" s="5"/>
      <c r="K11891" s="5"/>
      <c r="L11891" s="5"/>
    </row>
    <row r="11892" spans="8:12" x14ac:dyDescent="0.3">
      <c r="H11892" s="5"/>
      <c r="I11892" s="5"/>
      <c r="J11892" s="5"/>
      <c r="K11892" s="5"/>
      <c r="L11892" s="5"/>
    </row>
    <row r="11893" spans="8:12" x14ac:dyDescent="0.3">
      <c r="H11893" s="5"/>
      <c r="I11893" s="5"/>
      <c r="J11893" s="5"/>
      <c r="K11893" s="5"/>
      <c r="L11893" s="5"/>
    </row>
    <row r="11894" spans="8:12" x14ac:dyDescent="0.3">
      <c r="H11894" s="5"/>
      <c r="I11894" s="5"/>
      <c r="J11894" s="5"/>
      <c r="K11894" s="5"/>
      <c r="L11894" s="5"/>
    </row>
    <row r="11895" spans="8:12" x14ac:dyDescent="0.3">
      <c r="H11895" s="5"/>
      <c r="I11895" s="5"/>
      <c r="J11895" s="5"/>
      <c r="K11895" s="5"/>
      <c r="L11895" s="5"/>
    </row>
    <row r="11896" spans="8:12" x14ac:dyDescent="0.3">
      <c r="H11896" s="5"/>
      <c r="I11896" s="5"/>
      <c r="J11896" s="5"/>
      <c r="K11896" s="5"/>
      <c r="L11896" s="5"/>
    </row>
    <row r="11897" spans="8:12" x14ac:dyDescent="0.3">
      <c r="H11897" s="5"/>
      <c r="I11897" s="5"/>
      <c r="J11897" s="5"/>
      <c r="K11897" s="5"/>
      <c r="L11897" s="5"/>
    </row>
    <row r="11898" spans="8:12" x14ac:dyDescent="0.3">
      <c r="H11898" s="5"/>
      <c r="I11898" s="5"/>
      <c r="J11898" s="5"/>
      <c r="K11898" s="5"/>
      <c r="L11898" s="5"/>
    </row>
    <row r="11899" spans="8:12" x14ac:dyDescent="0.3">
      <c r="H11899" s="5"/>
      <c r="I11899" s="5"/>
      <c r="J11899" s="5"/>
      <c r="K11899" s="5"/>
      <c r="L11899" s="5"/>
    </row>
    <row r="11900" spans="8:12" x14ac:dyDescent="0.3">
      <c r="H11900" s="5"/>
      <c r="I11900" s="5"/>
      <c r="J11900" s="5"/>
      <c r="K11900" s="5"/>
      <c r="L11900" s="5"/>
    </row>
    <row r="11901" spans="8:12" x14ac:dyDescent="0.3">
      <c r="H11901" s="5"/>
      <c r="I11901" s="5"/>
      <c r="J11901" s="5"/>
      <c r="K11901" s="5"/>
      <c r="L11901" s="5"/>
    </row>
    <row r="11902" spans="8:12" x14ac:dyDescent="0.3">
      <c r="H11902" s="5"/>
      <c r="I11902" s="5"/>
      <c r="J11902" s="5"/>
      <c r="K11902" s="5"/>
      <c r="L11902" s="5"/>
    </row>
    <row r="11903" spans="8:12" x14ac:dyDescent="0.3">
      <c r="H11903" s="5"/>
      <c r="I11903" s="5"/>
      <c r="J11903" s="5"/>
      <c r="K11903" s="5"/>
      <c r="L11903" s="5"/>
    </row>
    <row r="11904" spans="8:12" x14ac:dyDescent="0.3">
      <c r="H11904" s="5"/>
      <c r="I11904" s="5"/>
      <c r="J11904" s="5"/>
      <c r="K11904" s="5"/>
      <c r="L11904" s="5"/>
    </row>
    <row r="11905" spans="8:12" x14ac:dyDescent="0.3">
      <c r="H11905" s="5"/>
      <c r="I11905" s="5"/>
      <c r="J11905" s="5"/>
      <c r="K11905" s="5"/>
      <c r="L11905" s="5"/>
    </row>
    <row r="11906" spans="8:12" x14ac:dyDescent="0.3">
      <c r="H11906" s="5"/>
      <c r="I11906" s="5"/>
      <c r="J11906" s="5"/>
      <c r="K11906" s="5"/>
      <c r="L11906" s="5"/>
    </row>
    <row r="11907" spans="8:12" x14ac:dyDescent="0.3">
      <c r="H11907" s="5"/>
      <c r="I11907" s="5"/>
      <c r="J11907" s="5"/>
      <c r="K11907" s="5"/>
      <c r="L11907" s="5"/>
    </row>
    <row r="11908" spans="8:12" x14ac:dyDescent="0.3">
      <c r="H11908" s="5"/>
      <c r="I11908" s="5"/>
      <c r="J11908" s="5"/>
      <c r="K11908" s="5"/>
      <c r="L11908" s="5"/>
    </row>
    <row r="11909" spans="8:12" x14ac:dyDescent="0.3">
      <c r="H11909" s="5"/>
      <c r="I11909" s="5"/>
      <c r="J11909" s="5"/>
      <c r="K11909" s="5"/>
      <c r="L11909" s="5"/>
    </row>
    <row r="11910" spans="8:12" x14ac:dyDescent="0.3">
      <c r="H11910" s="5"/>
      <c r="I11910" s="5"/>
      <c r="J11910" s="5"/>
      <c r="K11910" s="5"/>
      <c r="L11910" s="5"/>
    </row>
    <row r="11911" spans="8:12" x14ac:dyDescent="0.3">
      <c r="H11911" s="5"/>
      <c r="I11911" s="5"/>
      <c r="J11911" s="5"/>
      <c r="K11911" s="5"/>
      <c r="L11911" s="5"/>
    </row>
    <row r="11912" spans="8:12" x14ac:dyDescent="0.3">
      <c r="H11912" s="5"/>
      <c r="I11912" s="5"/>
      <c r="J11912" s="5"/>
      <c r="K11912" s="5"/>
      <c r="L11912" s="5"/>
    </row>
    <row r="11913" spans="8:12" x14ac:dyDescent="0.3">
      <c r="H11913" s="5"/>
      <c r="I11913" s="5"/>
      <c r="J11913" s="5"/>
      <c r="K11913" s="5"/>
      <c r="L11913" s="5"/>
    </row>
    <row r="11914" spans="8:12" x14ac:dyDescent="0.3">
      <c r="H11914" s="5"/>
      <c r="I11914" s="5"/>
      <c r="J11914" s="5"/>
      <c r="K11914" s="5"/>
      <c r="L11914" s="5"/>
    </row>
    <row r="11915" spans="8:12" x14ac:dyDescent="0.3">
      <c r="H11915" s="5"/>
      <c r="I11915" s="5"/>
      <c r="J11915" s="5"/>
      <c r="K11915" s="5"/>
      <c r="L11915" s="5"/>
    </row>
    <row r="11916" spans="8:12" x14ac:dyDescent="0.3">
      <c r="H11916" s="5"/>
      <c r="I11916" s="5"/>
      <c r="J11916" s="5"/>
      <c r="K11916" s="5"/>
      <c r="L11916" s="5"/>
    </row>
    <row r="11917" spans="8:12" x14ac:dyDescent="0.3">
      <c r="H11917" s="5"/>
      <c r="I11917" s="5"/>
      <c r="J11917" s="5"/>
      <c r="K11917" s="5"/>
      <c r="L11917" s="5"/>
    </row>
    <row r="11918" spans="8:12" x14ac:dyDescent="0.3">
      <c r="H11918" s="5"/>
      <c r="I11918" s="5"/>
      <c r="J11918" s="5"/>
      <c r="K11918" s="5"/>
      <c r="L11918" s="5"/>
    </row>
    <row r="11919" spans="8:12" x14ac:dyDescent="0.3">
      <c r="H11919" s="5"/>
      <c r="I11919" s="5"/>
      <c r="J11919" s="5"/>
      <c r="K11919" s="5"/>
      <c r="L11919" s="5"/>
    </row>
    <row r="11920" spans="8:12" x14ac:dyDescent="0.3">
      <c r="H11920" s="5"/>
      <c r="I11920" s="5"/>
      <c r="J11920" s="5"/>
      <c r="K11920" s="5"/>
      <c r="L11920" s="5"/>
    </row>
    <row r="11921" spans="8:12" x14ac:dyDescent="0.3">
      <c r="H11921" s="5"/>
      <c r="I11921" s="5"/>
      <c r="J11921" s="5"/>
      <c r="K11921" s="5"/>
      <c r="L11921" s="5"/>
    </row>
    <row r="11922" spans="8:12" x14ac:dyDescent="0.3">
      <c r="H11922" s="5"/>
      <c r="I11922" s="5"/>
      <c r="J11922" s="5"/>
      <c r="K11922" s="5"/>
      <c r="L11922" s="5"/>
    </row>
    <row r="11923" spans="8:12" x14ac:dyDescent="0.3">
      <c r="H11923" s="5"/>
      <c r="I11923" s="5"/>
      <c r="J11923" s="5"/>
      <c r="K11923" s="5"/>
      <c r="L11923" s="5"/>
    </row>
    <row r="11924" spans="8:12" x14ac:dyDescent="0.3">
      <c r="H11924" s="5"/>
      <c r="I11924" s="5"/>
      <c r="J11924" s="5"/>
      <c r="K11924" s="5"/>
      <c r="L11924" s="5"/>
    </row>
    <row r="11925" spans="8:12" x14ac:dyDescent="0.3">
      <c r="H11925" s="5"/>
      <c r="I11925" s="5"/>
      <c r="J11925" s="5"/>
      <c r="K11925" s="5"/>
      <c r="L11925" s="5"/>
    </row>
    <row r="11926" spans="8:12" x14ac:dyDescent="0.3">
      <c r="H11926" s="5"/>
      <c r="I11926" s="5"/>
      <c r="J11926" s="5"/>
      <c r="K11926" s="5"/>
      <c r="L11926" s="5"/>
    </row>
    <row r="11927" spans="8:12" x14ac:dyDescent="0.3">
      <c r="H11927" s="5"/>
      <c r="I11927" s="5"/>
      <c r="J11927" s="5"/>
      <c r="K11927" s="5"/>
      <c r="L11927" s="5"/>
    </row>
    <row r="11928" spans="8:12" x14ac:dyDescent="0.3">
      <c r="H11928" s="5"/>
      <c r="I11928" s="5"/>
      <c r="J11928" s="5"/>
      <c r="K11928" s="5"/>
      <c r="L11928" s="5"/>
    </row>
    <row r="11929" spans="8:12" x14ac:dyDescent="0.3">
      <c r="H11929" s="5"/>
      <c r="I11929" s="5"/>
      <c r="J11929" s="5"/>
      <c r="K11929" s="5"/>
      <c r="L11929" s="5"/>
    </row>
    <row r="11930" spans="8:12" x14ac:dyDescent="0.3">
      <c r="H11930" s="5"/>
      <c r="I11930" s="5"/>
      <c r="J11930" s="5"/>
      <c r="K11930" s="5"/>
      <c r="L11930" s="5"/>
    </row>
    <row r="11931" spans="8:12" x14ac:dyDescent="0.3">
      <c r="H11931" s="5"/>
      <c r="I11931" s="5"/>
      <c r="J11931" s="5"/>
      <c r="K11931" s="5"/>
      <c r="L11931" s="5"/>
    </row>
    <row r="11932" spans="8:12" x14ac:dyDescent="0.3">
      <c r="H11932" s="5"/>
      <c r="I11932" s="5"/>
      <c r="J11932" s="5"/>
      <c r="K11932" s="5"/>
      <c r="L11932" s="5"/>
    </row>
    <row r="11933" spans="8:12" x14ac:dyDescent="0.3">
      <c r="H11933" s="5"/>
      <c r="I11933" s="5"/>
      <c r="J11933" s="5"/>
      <c r="K11933" s="5"/>
      <c r="L11933" s="5"/>
    </row>
    <row r="11934" spans="8:12" x14ac:dyDescent="0.3">
      <c r="H11934" s="5"/>
      <c r="I11934" s="5"/>
      <c r="J11934" s="5"/>
      <c r="K11934" s="5"/>
      <c r="L11934" s="5"/>
    </row>
    <row r="11935" spans="8:12" x14ac:dyDescent="0.3">
      <c r="H11935" s="5"/>
      <c r="I11935" s="5"/>
      <c r="J11935" s="5"/>
      <c r="K11935" s="5"/>
      <c r="L11935" s="5"/>
    </row>
    <row r="11936" spans="8:12" x14ac:dyDescent="0.3">
      <c r="H11936" s="5"/>
      <c r="I11936" s="5"/>
      <c r="J11936" s="5"/>
      <c r="K11936" s="5"/>
      <c r="L11936" s="5"/>
    </row>
    <row r="11937" spans="8:12" x14ac:dyDescent="0.3">
      <c r="H11937" s="5"/>
      <c r="I11937" s="5"/>
      <c r="J11937" s="5"/>
      <c r="K11937" s="5"/>
      <c r="L11937" s="5"/>
    </row>
    <row r="11938" spans="8:12" x14ac:dyDescent="0.3">
      <c r="H11938" s="5"/>
      <c r="I11938" s="5"/>
      <c r="J11938" s="5"/>
      <c r="K11938" s="5"/>
      <c r="L11938" s="5"/>
    </row>
    <row r="11939" spans="8:12" x14ac:dyDescent="0.3">
      <c r="H11939" s="5"/>
      <c r="I11939" s="5"/>
      <c r="J11939" s="5"/>
      <c r="K11939" s="5"/>
      <c r="L11939" s="5"/>
    </row>
    <row r="11940" spans="8:12" x14ac:dyDescent="0.3">
      <c r="H11940" s="5"/>
      <c r="I11940" s="5"/>
      <c r="J11940" s="5"/>
      <c r="K11940" s="5"/>
      <c r="L11940" s="5"/>
    </row>
    <row r="11941" spans="8:12" x14ac:dyDescent="0.3">
      <c r="H11941" s="5"/>
      <c r="I11941" s="5"/>
      <c r="J11941" s="5"/>
      <c r="K11941" s="5"/>
      <c r="L11941" s="5"/>
    </row>
    <row r="11942" spans="8:12" x14ac:dyDescent="0.3">
      <c r="H11942" s="5"/>
      <c r="I11942" s="5"/>
      <c r="J11942" s="5"/>
      <c r="K11942" s="5"/>
      <c r="L11942" s="5"/>
    </row>
    <row r="11943" spans="8:12" x14ac:dyDescent="0.3">
      <c r="H11943" s="5"/>
      <c r="I11943" s="5"/>
      <c r="J11943" s="5"/>
      <c r="K11943" s="5"/>
      <c r="L11943" s="5"/>
    </row>
    <row r="11944" spans="8:12" x14ac:dyDescent="0.3">
      <c r="H11944" s="5"/>
      <c r="I11944" s="5"/>
      <c r="J11944" s="5"/>
      <c r="K11944" s="5"/>
      <c r="L11944" s="5"/>
    </row>
    <row r="11945" spans="8:12" x14ac:dyDescent="0.3">
      <c r="H11945" s="5"/>
      <c r="I11945" s="5"/>
      <c r="J11945" s="5"/>
      <c r="K11945" s="5"/>
      <c r="L11945" s="5"/>
    </row>
    <row r="11946" spans="8:12" x14ac:dyDescent="0.3">
      <c r="H11946" s="5"/>
      <c r="I11946" s="5"/>
      <c r="J11946" s="5"/>
      <c r="K11946" s="5"/>
      <c r="L11946" s="5"/>
    </row>
    <row r="11947" spans="8:12" x14ac:dyDescent="0.3">
      <c r="H11947" s="5"/>
      <c r="I11947" s="5"/>
      <c r="J11947" s="5"/>
      <c r="K11947" s="5"/>
      <c r="L11947" s="5"/>
    </row>
    <row r="11948" spans="8:12" x14ac:dyDescent="0.3">
      <c r="H11948" s="5"/>
      <c r="I11948" s="5"/>
      <c r="J11948" s="5"/>
      <c r="K11948" s="5"/>
      <c r="L11948" s="5"/>
    </row>
    <row r="11949" spans="8:12" x14ac:dyDescent="0.3">
      <c r="H11949" s="5"/>
      <c r="I11949" s="5"/>
      <c r="J11949" s="5"/>
      <c r="K11949" s="5"/>
      <c r="L11949" s="5"/>
    </row>
    <row r="11950" spans="8:12" x14ac:dyDescent="0.3">
      <c r="H11950" s="5"/>
      <c r="I11950" s="5"/>
      <c r="J11950" s="5"/>
      <c r="K11950" s="5"/>
      <c r="L11950" s="5"/>
    </row>
    <row r="11951" spans="8:12" x14ac:dyDescent="0.3">
      <c r="H11951" s="5"/>
      <c r="I11951" s="5"/>
      <c r="J11951" s="5"/>
      <c r="K11951" s="5"/>
      <c r="L11951" s="5"/>
    </row>
    <row r="11952" spans="8:12" x14ac:dyDescent="0.3">
      <c r="H11952" s="5"/>
      <c r="I11952" s="5"/>
      <c r="J11952" s="5"/>
      <c r="K11952" s="5"/>
      <c r="L11952" s="5"/>
    </row>
    <row r="11953" spans="8:12" x14ac:dyDescent="0.3">
      <c r="H11953" s="5"/>
      <c r="I11953" s="5"/>
      <c r="J11953" s="5"/>
      <c r="K11953" s="5"/>
      <c r="L11953" s="5"/>
    </row>
    <row r="11954" spans="8:12" x14ac:dyDescent="0.3">
      <c r="H11954" s="5"/>
      <c r="I11954" s="5"/>
      <c r="J11954" s="5"/>
      <c r="K11954" s="5"/>
      <c r="L11954" s="5"/>
    </row>
    <row r="11955" spans="8:12" x14ac:dyDescent="0.3">
      <c r="H11955" s="5"/>
      <c r="I11955" s="5"/>
      <c r="J11955" s="5"/>
      <c r="K11955" s="5"/>
      <c r="L11955" s="5"/>
    </row>
    <row r="11956" spans="8:12" x14ac:dyDescent="0.3">
      <c r="H11956" s="5"/>
      <c r="I11956" s="5"/>
      <c r="J11956" s="5"/>
      <c r="K11956" s="5"/>
      <c r="L11956" s="5"/>
    </row>
    <row r="11957" spans="8:12" x14ac:dyDescent="0.3">
      <c r="H11957" s="5"/>
      <c r="I11957" s="5"/>
      <c r="J11957" s="5"/>
      <c r="K11957" s="5"/>
      <c r="L11957" s="5"/>
    </row>
    <row r="11958" spans="8:12" x14ac:dyDescent="0.3">
      <c r="H11958" s="5"/>
      <c r="I11958" s="5"/>
      <c r="J11958" s="5"/>
      <c r="K11958" s="5"/>
      <c r="L11958" s="5"/>
    </row>
    <row r="11959" spans="8:12" x14ac:dyDescent="0.3">
      <c r="H11959" s="5"/>
      <c r="I11959" s="5"/>
      <c r="J11959" s="5"/>
      <c r="K11959" s="5"/>
      <c r="L11959" s="5"/>
    </row>
    <row r="11960" spans="8:12" x14ac:dyDescent="0.3">
      <c r="H11960" s="5"/>
      <c r="I11960" s="5"/>
      <c r="J11960" s="5"/>
      <c r="K11960" s="5"/>
      <c r="L11960" s="5"/>
    </row>
    <row r="11961" spans="8:12" x14ac:dyDescent="0.3">
      <c r="H11961" s="5"/>
      <c r="I11961" s="5"/>
      <c r="J11961" s="5"/>
      <c r="K11961" s="5"/>
      <c r="L11961" s="5"/>
    </row>
    <row r="11962" spans="8:12" x14ac:dyDescent="0.3">
      <c r="H11962" s="5"/>
      <c r="I11962" s="5"/>
      <c r="J11962" s="5"/>
      <c r="K11962" s="5"/>
      <c r="L11962" s="5"/>
    </row>
    <row r="11963" spans="8:12" x14ac:dyDescent="0.3">
      <c r="H11963" s="5"/>
      <c r="I11963" s="5"/>
      <c r="J11963" s="5"/>
      <c r="K11963" s="5"/>
      <c r="L11963" s="5"/>
    </row>
    <row r="11964" spans="8:12" x14ac:dyDescent="0.3">
      <c r="H11964" s="5"/>
      <c r="I11964" s="5"/>
      <c r="J11964" s="5"/>
      <c r="K11964" s="5"/>
      <c r="L11964" s="5"/>
    </row>
    <row r="11965" spans="8:12" x14ac:dyDescent="0.3">
      <c r="H11965" s="5"/>
      <c r="I11965" s="5"/>
      <c r="J11965" s="5"/>
      <c r="K11965" s="5"/>
      <c r="L11965" s="5"/>
    </row>
    <row r="11966" spans="8:12" x14ac:dyDescent="0.3">
      <c r="H11966" s="5"/>
      <c r="I11966" s="5"/>
      <c r="J11966" s="5"/>
      <c r="K11966" s="5"/>
      <c r="L11966" s="5"/>
    </row>
    <row r="11967" spans="8:12" x14ac:dyDescent="0.3">
      <c r="H11967" s="5"/>
      <c r="I11967" s="5"/>
      <c r="J11967" s="5"/>
      <c r="K11967" s="5"/>
      <c r="L11967" s="5"/>
    </row>
    <row r="11968" spans="8:12" x14ac:dyDescent="0.3">
      <c r="H11968" s="5"/>
      <c r="I11968" s="5"/>
      <c r="J11968" s="5"/>
      <c r="K11968" s="5"/>
      <c r="L11968" s="5"/>
    </row>
    <row r="11969" spans="8:12" x14ac:dyDescent="0.3">
      <c r="H11969" s="5"/>
      <c r="I11969" s="5"/>
      <c r="J11969" s="5"/>
      <c r="K11969" s="5"/>
      <c r="L11969" s="5"/>
    </row>
    <row r="11970" spans="8:12" x14ac:dyDescent="0.3">
      <c r="H11970" s="5"/>
      <c r="I11970" s="5"/>
      <c r="J11970" s="5"/>
      <c r="K11970" s="5"/>
      <c r="L11970" s="5"/>
    </row>
    <row r="11971" spans="8:12" x14ac:dyDescent="0.3">
      <c r="H11971" s="5"/>
      <c r="I11971" s="5"/>
      <c r="J11971" s="5"/>
      <c r="K11971" s="5"/>
      <c r="L11971" s="5"/>
    </row>
    <row r="11972" spans="8:12" x14ac:dyDescent="0.3">
      <c r="H11972" s="5"/>
      <c r="I11972" s="5"/>
      <c r="J11972" s="5"/>
      <c r="K11972" s="5"/>
      <c r="L11972" s="5"/>
    </row>
    <row r="11973" spans="8:12" x14ac:dyDescent="0.3">
      <c r="H11973" s="5"/>
      <c r="I11973" s="5"/>
      <c r="J11973" s="5"/>
      <c r="K11973" s="5"/>
      <c r="L11973" s="5"/>
    </row>
    <row r="11974" spans="8:12" x14ac:dyDescent="0.3">
      <c r="H11974" s="5"/>
      <c r="I11974" s="5"/>
      <c r="J11974" s="5"/>
      <c r="K11974" s="5"/>
      <c r="L11974" s="5"/>
    </row>
    <row r="11975" spans="8:12" x14ac:dyDescent="0.3">
      <c r="H11975" s="5"/>
      <c r="I11975" s="5"/>
      <c r="J11975" s="5"/>
      <c r="K11975" s="5"/>
      <c r="L11975" s="5"/>
    </row>
    <row r="11976" spans="8:12" x14ac:dyDescent="0.3">
      <c r="H11976" s="5"/>
      <c r="I11976" s="5"/>
      <c r="J11976" s="5"/>
      <c r="K11976" s="5"/>
      <c r="L11976" s="5"/>
    </row>
    <row r="11977" spans="8:12" x14ac:dyDescent="0.3">
      <c r="H11977" s="5"/>
      <c r="I11977" s="5"/>
      <c r="J11977" s="5"/>
      <c r="K11977" s="5"/>
      <c r="L11977" s="5"/>
    </row>
    <row r="11978" spans="8:12" x14ac:dyDescent="0.3">
      <c r="H11978" s="5"/>
      <c r="I11978" s="5"/>
      <c r="J11978" s="5"/>
      <c r="K11978" s="5"/>
      <c r="L11978" s="5"/>
    </row>
    <row r="11979" spans="8:12" x14ac:dyDescent="0.3">
      <c r="H11979" s="5"/>
      <c r="I11979" s="5"/>
      <c r="J11979" s="5"/>
      <c r="K11979" s="5"/>
      <c r="L11979" s="5"/>
    </row>
    <row r="11980" spans="8:12" x14ac:dyDescent="0.3">
      <c r="H11980" s="5"/>
      <c r="I11980" s="5"/>
      <c r="J11980" s="5"/>
      <c r="K11980" s="5"/>
      <c r="L11980" s="5"/>
    </row>
    <row r="11981" spans="8:12" x14ac:dyDescent="0.3">
      <c r="H11981" s="5"/>
      <c r="I11981" s="5"/>
      <c r="J11981" s="5"/>
      <c r="K11981" s="5"/>
      <c r="L11981" s="5"/>
    </row>
    <row r="11982" spans="8:12" x14ac:dyDescent="0.3">
      <c r="H11982" s="5"/>
      <c r="I11982" s="5"/>
      <c r="J11982" s="5"/>
      <c r="K11982" s="5"/>
      <c r="L11982" s="5"/>
    </row>
    <row r="11983" spans="8:12" x14ac:dyDescent="0.3">
      <c r="H11983" s="5"/>
      <c r="I11983" s="5"/>
      <c r="J11983" s="5"/>
      <c r="K11983" s="5"/>
      <c r="L11983" s="5"/>
    </row>
    <row r="11984" spans="8:12" x14ac:dyDescent="0.3">
      <c r="H11984" s="5"/>
      <c r="I11984" s="5"/>
      <c r="J11984" s="5"/>
      <c r="K11984" s="5"/>
      <c r="L11984" s="5"/>
    </row>
    <row r="11985" spans="8:12" x14ac:dyDescent="0.3">
      <c r="H11985" s="5"/>
      <c r="I11985" s="5"/>
      <c r="J11985" s="5"/>
      <c r="K11985" s="5"/>
      <c r="L11985" s="5"/>
    </row>
    <row r="11986" spans="8:12" x14ac:dyDescent="0.3">
      <c r="H11986" s="5"/>
      <c r="I11986" s="5"/>
      <c r="J11986" s="5"/>
      <c r="K11986" s="5"/>
      <c r="L11986" s="5"/>
    </row>
    <row r="11987" spans="8:12" x14ac:dyDescent="0.3">
      <c r="H11987" s="5"/>
      <c r="I11987" s="5"/>
      <c r="J11987" s="5"/>
      <c r="K11987" s="5"/>
      <c r="L11987" s="5"/>
    </row>
    <row r="11988" spans="8:12" x14ac:dyDescent="0.3">
      <c r="H11988" s="5"/>
      <c r="I11988" s="5"/>
      <c r="J11988" s="5"/>
      <c r="K11988" s="5"/>
      <c r="L11988" s="5"/>
    </row>
    <row r="11989" spans="8:12" x14ac:dyDescent="0.3">
      <c r="H11989" s="5"/>
      <c r="I11989" s="5"/>
      <c r="J11989" s="5"/>
      <c r="K11989" s="5"/>
      <c r="L11989" s="5"/>
    </row>
    <row r="11990" spans="8:12" x14ac:dyDescent="0.3">
      <c r="H11990" s="5"/>
      <c r="I11990" s="5"/>
      <c r="J11990" s="5"/>
      <c r="K11990" s="5"/>
      <c r="L11990" s="5"/>
    </row>
    <row r="11991" spans="8:12" x14ac:dyDescent="0.3">
      <c r="H11991" s="5"/>
      <c r="I11991" s="5"/>
      <c r="J11991" s="5"/>
      <c r="K11991" s="5"/>
      <c r="L11991" s="5"/>
    </row>
    <row r="11992" spans="8:12" x14ac:dyDescent="0.3">
      <c r="H11992" s="5"/>
      <c r="I11992" s="5"/>
      <c r="J11992" s="5"/>
      <c r="K11992" s="5"/>
      <c r="L11992" s="5"/>
    </row>
    <row r="11993" spans="8:12" x14ac:dyDescent="0.3">
      <c r="H11993" s="5"/>
      <c r="I11993" s="5"/>
      <c r="J11993" s="5"/>
      <c r="K11993" s="5"/>
      <c r="L11993" s="5"/>
    </row>
    <row r="11994" spans="8:12" x14ac:dyDescent="0.3">
      <c r="H11994" s="5"/>
      <c r="I11994" s="5"/>
      <c r="J11994" s="5"/>
      <c r="K11994" s="5"/>
      <c r="L11994" s="5"/>
    </row>
    <row r="11995" spans="8:12" x14ac:dyDescent="0.3">
      <c r="H11995" s="5"/>
      <c r="I11995" s="5"/>
      <c r="J11995" s="5"/>
      <c r="K11995" s="5"/>
      <c r="L11995" s="5"/>
    </row>
    <row r="11996" spans="8:12" x14ac:dyDescent="0.3">
      <c r="H11996" s="5"/>
      <c r="I11996" s="5"/>
      <c r="J11996" s="5"/>
      <c r="K11996" s="5"/>
      <c r="L11996" s="5"/>
    </row>
    <row r="11997" spans="8:12" x14ac:dyDescent="0.3">
      <c r="H11997" s="5"/>
      <c r="I11997" s="5"/>
      <c r="J11997" s="5"/>
      <c r="K11997" s="5"/>
      <c r="L11997" s="5"/>
    </row>
    <row r="11998" spans="8:12" x14ac:dyDescent="0.3">
      <c r="H11998" s="5"/>
      <c r="I11998" s="5"/>
      <c r="J11998" s="5"/>
      <c r="K11998" s="5"/>
      <c r="L11998" s="5"/>
    </row>
    <row r="11999" spans="8:12" x14ac:dyDescent="0.3">
      <c r="H11999" s="5"/>
      <c r="I11999" s="5"/>
      <c r="J11999" s="5"/>
      <c r="K11999" s="5"/>
      <c r="L11999" s="5"/>
    </row>
    <row r="12000" spans="8:12" x14ac:dyDescent="0.3">
      <c r="H12000" s="5"/>
      <c r="I12000" s="5"/>
      <c r="J12000" s="5"/>
      <c r="K12000" s="5"/>
      <c r="L12000" s="5"/>
    </row>
    <row r="12001" spans="8:12" x14ac:dyDescent="0.3">
      <c r="H12001" s="5"/>
      <c r="I12001" s="5"/>
      <c r="J12001" s="5"/>
      <c r="K12001" s="5"/>
      <c r="L12001" s="5"/>
    </row>
    <row r="12002" spans="8:12" x14ac:dyDescent="0.3">
      <c r="H12002" s="5"/>
      <c r="I12002" s="5"/>
      <c r="J12002" s="5"/>
      <c r="K12002" s="5"/>
      <c r="L12002" s="5"/>
    </row>
    <row r="12003" spans="8:12" x14ac:dyDescent="0.3">
      <c r="H12003" s="5"/>
      <c r="I12003" s="5"/>
      <c r="J12003" s="5"/>
      <c r="K12003" s="5"/>
      <c r="L12003" s="5"/>
    </row>
    <row r="12004" spans="8:12" x14ac:dyDescent="0.3">
      <c r="H12004" s="5"/>
      <c r="I12004" s="5"/>
      <c r="J12004" s="5"/>
      <c r="K12004" s="5"/>
      <c r="L12004" s="5"/>
    </row>
    <row r="12005" spans="8:12" x14ac:dyDescent="0.3">
      <c r="H12005" s="5"/>
      <c r="I12005" s="5"/>
      <c r="J12005" s="5"/>
      <c r="K12005" s="5"/>
      <c r="L12005" s="5"/>
    </row>
    <row r="12006" spans="8:12" x14ac:dyDescent="0.3">
      <c r="H12006" s="5"/>
      <c r="I12006" s="5"/>
      <c r="J12006" s="5"/>
      <c r="K12006" s="5"/>
      <c r="L12006" s="5"/>
    </row>
    <row r="12007" spans="8:12" x14ac:dyDescent="0.3">
      <c r="H12007" s="5"/>
      <c r="I12007" s="5"/>
      <c r="J12007" s="5"/>
      <c r="K12007" s="5"/>
      <c r="L12007" s="5"/>
    </row>
    <row r="12008" spans="8:12" x14ac:dyDescent="0.3">
      <c r="H12008" s="5"/>
      <c r="I12008" s="5"/>
      <c r="J12008" s="5"/>
      <c r="K12008" s="5"/>
      <c r="L12008" s="5"/>
    </row>
    <row r="12009" spans="8:12" x14ac:dyDescent="0.3">
      <c r="H12009" s="5"/>
      <c r="I12009" s="5"/>
      <c r="J12009" s="5"/>
      <c r="K12009" s="5"/>
      <c r="L12009" s="5"/>
    </row>
    <row r="12010" spans="8:12" x14ac:dyDescent="0.3">
      <c r="H12010" s="5"/>
      <c r="I12010" s="5"/>
      <c r="J12010" s="5"/>
      <c r="K12010" s="5"/>
      <c r="L12010" s="5"/>
    </row>
    <row r="12011" spans="8:12" x14ac:dyDescent="0.3">
      <c r="H12011" s="5"/>
      <c r="I12011" s="5"/>
      <c r="J12011" s="5"/>
      <c r="K12011" s="5"/>
      <c r="L12011" s="5"/>
    </row>
    <row r="12012" spans="8:12" x14ac:dyDescent="0.3">
      <c r="H12012" s="5"/>
      <c r="I12012" s="5"/>
      <c r="J12012" s="5"/>
      <c r="K12012" s="5"/>
      <c r="L12012" s="5"/>
    </row>
    <row r="12013" spans="8:12" x14ac:dyDescent="0.3">
      <c r="H12013" s="5"/>
      <c r="I12013" s="5"/>
      <c r="J12013" s="5"/>
      <c r="K12013" s="5"/>
      <c r="L12013" s="5"/>
    </row>
    <row r="12014" spans="8:12" x14ac:dyDescent="0.3">
      <c r="H12014" s="5"/>
      <c r="I12014" s="5"/>
      <c r="J12014" s="5"/>
      <c r="K12014" s="5"/>
      <c r="L12014" s="5"/>
    </row>
    <row r="12015" spans="8:12" x14ac:dyDescent="0.3">
      <c r="H12015" s="5"/>
      <c r="I12015" s="5"/>
      <c r="J12015" s="5"/>
      <c r="K12015" s="5"/>
      <c r="L12015" s="5"/>
    </row>
    <row r="12016" spans="8:12" x14ac:dyDescent="0.3">
      <c r="H12016" s="5"/>
      <c r="I12016" s="5"/>
      <c r="J12016" s="5"/>
      <c r="K12016" s="5"/>
      <c r="L12016" s="5"/>
    </row>
    <row r="12017" spans="8:12" x14ac:dyDescent="0.3">
      <c r="H12017" s="5"/>
      <c r="I12017" s="5"/>
      <c r="J12017" s="5"/>
      <c r="K12017" s="5"/>
      <c r="L12017" s="5"/>
    </row>
    <row r="12018" spans="8:12" x14ac:dyDescent="0.3">
      <c r="H12018" s="5"/>
      <c r="I12018" s="5"/>
      <c r="J12018" s="5"/>
      <c r="K12018" s="5"/>
      <c r="L12018" s="5"/>
    </row>
    <row r="12019" spans="8:12" x14ac:dyDescent="0.3">
      <c r="H12019" s="5"/>
      <c r="I12019" s="5"/>
      <c r="J12019" s="5"/>
      <c r="K12019" s="5"/>
      <c r="L12019" s="5"/>
    </row>
    <row r="12020" spans="8:12" x14ac:dyDescent="0.3">
      <c r="H12020" s="5"/>
      <c r="I12020" s="5"/>
      <c r="J12020" s="5"/>
      <c r="K12020" s="5"/>
      <c r="L12020" s="5"/>
    </row>
    <row r="12021" spans="8:12" x14ac:dyDescent="0.3">
      <c r="H12021" s="5"/>
      <c r="I12021" s="5"/>
      <c r="J12021" s="5"/>
      <c r="K12021" s="5"/>
      <c r="L12021" s="5"/>
    </row>
    <row r="12022" spans="8:12" x14ac:dyDescent="0.3">
      <c r="H12022" s="5"/>
      <c r="I12022" s="5"/>
      <c r="J12022" s="5"/>
      <c r="K12022" s="5"/>
      <c r="L12022" s="5"/>
    </row>
    <row r="12023" spans="8:12" x14ac:dyDescent="0.3">
      <c r="H12023" s="5"/>
      <c r="I12023" s="5"/>
      <c r="J12023" s="5"/>
      <c r="K12023" s="5"/>
      <c r="L12023" s="5"/>
    </row>
    <row r="12024" spans="8:12" x14ac:dyDescent="0.3">
      <c r="H12024" s="5"/>
      <c r="I12024" s="5"/>
      <c r="J12024" s="5"/>
      <c r="K12024" s="5"/>
      <c r="L12024" s="5"/>
    </row>
    <row r="12025" spans="8:12" x14ac:dyDescent="0.3">
      <c r="H12025" s="5"/>
      <c r="I12025" s="5"/>
      <c r="J12025" s="5"/>
      <c r="K12025" s="5"/>
      <c r="L12025" s="5"/>
    </row>
    <row r="12026" spans="8:12" x14ac:dyDescent="0.3">
      <c r="H12026" s="5"/>
      <c r="I12026" s="5"/>
      <c r="J12026" s="5"/>
      <c r="K12026" s="5"/>
      <c r="L12026" s="5"/>
    </row>
    <row r="12027" spans="8:12" x14ac:dyDescent="0.3">
      <c r="H12027" s="5"/>
      <c r="I12027" s="5"/>
      <c r="J12027" s="5"/>
      <c r="K12027" s="5"/>
      <c r="L12027" s="5"/>
    </row>
    <row r="12028" spans="8:12" x14ac:dyDescent="0.3">
      <c r="H12028" s="5"/>
      <c r="I12028" s="5"/>
      <c r="J12028" s="5"/>
      <c r="K12028" s="5"/>
      <c r="L12028" s="5"/>
    </row>
    <row r="12029" spans="8:12" x14ac:dyDescent="0.3">
      <c r="H12029" s="5"/>
      <c r="I12029" s="5"/>
      <c r="J12029" s="5"/>
      <c r="K12029" s="5"/>
      <c r="L12029" s="5"/>
    </row>
    <row r="12030" spans="8:12" x14ac:dyDescent="0.3">
      <c r="H12030" s="5"/>
      <c r="I12030" s="5"/>
      <c r="J12030" s="5"/>
      <c r="K12030" s="5"/>
      <c r="L12030" s="5"/>
    </row>
    <row r="12031" spans="8:12" x14ac:dyDescent="0.3">
      <c r="H12031" s="5"/>
      <c r="I12031" s="5"/>
      <c r="J12031" s="5"/>
      <c r="K12031" s="5"/>
      <c r="L12031" s="5"/>
    </row>
    <row r="12032" spans="8:12" x14ac:dyDescent="0.3">
      <c r="H12032" s="5"/>
      <c r="I12032" s="5"/>
      <c r="J12032" s="5"/>
      <c r="K12032" s="5"/>
      <c r="L12032" s="5"/>
    </row>
    <row r="12033" spans="8:12" x14ac:dyDescent="0.3">
      <c r="H12033" s="5"/>
      <c r="I12033" s="5"/>
      <c r="J12033" s="5"/>
      <c r="K12033" s="5"/>
      <c r="L12033" s="5"/>
    </row>
    <row r="12034" spans="8:12" x14ac:dyDescent="0.3">
      <c r="H12034" s="5"/>
      <c r="I12034" s="5"/>
      <c r="J12034" s="5"/>
      <c r="K12034" s="5"/>
      <c r="L12034" s="5"/>
    </row>
    <row r="12035" spans="8:12" x14ac:dyDescent="0.3">
      <c r="H12035" s="5"/>
      <c r="I12035" s="5"/>
      <c r="J12035" s="5"/>
      <c r="K12035" s="5"/>
      <c r="L12035" s="5"/>
    </row>
    <row r="12036" spans="8:12" x14ac:dyDescent="0.3">
      <c r="H12036" s="5"/>
      <c r="I12036" s="5"/>
      <c r="J12036" s="5"/>
      <c r="K12036" s="5"/>
      <c r="L12036" s="5"/>
    </row>
    <row r="12037" spans="8:12" x14ac:dyDescent="0.3">
      <c r="H12037" s="5"/>
      <c r="I12037" s="5"/>
      <c r="J12037" s="5"/>
      <c r="K12037" s="5"/>
      <c r="L12037" s="5"/>
    </row>
    <row r="12038" spans="8:12" x14ac:dyDescent="0.3">
      <c r="H12038" s="5"/>
      <c r="I12038" s="5"/>
      <c r="J12038" s="5"/>
      <c r="K12038" s="5"/>
      <c r="L12038" s="5"/>
    </row>
    <row r="12039" spans="8:12" x14ac:dyDescent="0.3">
      <c r="H12039" s="5"/>
      <c r="I12039" s="5"/>
      <c r="J12039" s="5"/>
      <c r="K12039" s="5"/>
      <c r="L12039" s="5"/>
    </row>
    <row r="12040" spans="8:12" x14ac:dyDescent="0.3">
      <c r="H12040" s="5"/>
      <c r="I12040" s="5"/>
      <c r="J12040" s="5"/>
      <c r="K12040" s="5"/>
      <c r="L12040" s="5"/>
    </row>
    <row r="12041" spans="8:12" x14ac:dyDescent="0.3">
      <c r="H12041" s="5"/>
      <c r="I12041" s="5"/>
      <c r="J12041" s="5"/>
      <c r="K12041" s="5"/>
      <c r="L12041" s="5"/>
    </row>
    <row r="12042" spans="8:12" x14ac:dyDescent="0.3">
      <c r="H12042" s="5"/>
      <c r="I12042" s="5"/>
      <c r="J12042" s="5"/>
      <c r="K12042" s="5"/>
      <c r="L12042" s="5"/>
    </row>
    <row r="12043" spans="8:12" x14ac:dyDescent="0.3">
      <c r="H12043" s="5"/>
      <c r="I12043" s="5"/>
      <c r="J12043" s="5"/>
      <c r="K12043" s="5"/>
      <c r="L12043" s="5"/>
    </row>
    <row r="12044" spans="8:12" x14ac:dyDescent="0.3">
      <c r="H12044" s="5"/>
      <c r="I12044" s="5"/>
      <c r="J12044" s="5"/>
      <c r="K12044" s="5"/>
      <c r="L12044" s="5"/>
    </row>
    <row r="12045" spans="8:12" x14ac:dyDescent="0.3">
      <c r="H12045" s="5"/>
      <c r="I12045" s="5"/>
      <c r="J12045" s="5"/>
      <c r="K12045" s="5"/>
      <c r="L12045" s="5"/>
    </row>
    <row r="12046" spans="8:12" x14ac:dyDescent="0.3">
      <c r="H12046" s="5"/>
      <c r="I12046" s="5"/>
      <c r="J12046" s="5"/>
      <c r="K12046" s="5"/>
      <c r="L12046" s="5"/>
    </row>
    <row r="12047" spans="8:12" x14ac:dyDescent="0.3">
      <c r="H12047" s="5"/>
      <c r="I12047" s="5"/>
      <c r="J12047" s="5"/>
      <c r="K12047" s="5"/>
      <c r="L12047" s="5"/>
    </row>
    <row r="12048" spans="8:12" x14ac:dyDescent="0.3">
      <c r="H12048" s="5"/>
      <c r="I12048" s="5"/>
      <c r="J12048" s="5"/>
      <c r="K12048" s="5"/>
      <c r="L12048" s="5"/>
    </row>
    <row r="12049" spans="8:12" x14ac:dyDescent="0.3">
      <c r="H12049" s="5"/>
      <c r="I12049" s="5"/>
      <c r="J12049" s="5"/>
      <c r="K12049" s="5"/>
      <c r="L12049" s="5"/>
    </row>
    <row r="12050" spans="8:12" x14ac:dyDescent="0.3">
      <c r="H12050" s="5"/>
      <c r="I12050" s="5"/>
      <c r="J12050" s="5"/>
      <c r="K12050" s="5"/>
      <c r="L12050" s="5"/>
    </row>
    <row r="12051" spans="8:12" x14ac:dyDescent="0.3">
      <c r="H12051" s="5"/>
      <c r="I12051" s="5"/>
      <c r="J12051" s="5"/>
      <c r="K12051" s="5"/>
      <c r="L12051" s="5"/>
    </row>
    <row r="12052" spans="8:12" x14ac:dyDescent="0.3">
      <c r="H12052" s="5"/>
      <c r="I12052" s="5"/>
      <c r="J12052" s="5"/>
      <c r="K12052" s="5"/>
      <c r="L12052" s="5"/>
    </row>
    <row r="12053" spans="8:12" x14ac:dyDescent="0.3">
      <c r="H12053" s="5"/>
      <c r="I12053" s="5"/>
      <c r="J12053" s="5"/>
      <c r="K12053" s="5"/>
      <c r="L12053" s="5"/>
    </row>
    <row r="12054" spans="8:12" x14ac:dyDescent="0.3">
      <c r="H12054" s="5"/>
      <c r="I12054" s="5"/>
      <c r="J12054" s="5"/>
      <c r="K12054" s="5"/>
      <c r="L12054" s="5"/>
    </row>
    <row r="12055" spans="8:12" x14ac:dyDescent="0.3">
      <c r="H12055" s="5"/>
      <c r="I12055" s="5"/>
      <c r="J12055" s="5"/>
      <c r="K12055" s="5"/>
      <c r="L12055" s="5"/>
    </row>
    <row r="12056" spans="8:12" x14ac:dyDescent="0.3">
      <c r="H12056" s="5"/>
      <c r="I12056" s="5"/>
      <c r="J12056" s="5"/>
      <c r="K12056" s="5"/>
      <c r="L12056" s="5"/>
    </row>
    <row r="12057" spans="8:12" x14ac:dyDescent="0.3">
      <c r="H12057" s="5"/>
      <c r="I12057" s="5"/>
      <c r="J12057" s="5"/>
      <c r="K12057" s="5"/>
      <c r="L12057" s="5"/>
    </row>
    <row r="12058" spans="8:12" x14ac:dyDescent="0.3">
      <c r="H12058" s="5"/>
      <c r="I12058" s="5"/>
      <c r="J12058" s="5"/>
      <c r="K12058" s="5"/>
      <c r="L12058" s="5"/>
    </row>
    <row r="12059" spans="8:12" x14ac:dyDescent="0.3">
      <c r="H12059" s="5"/>
      <c r="I12059" s="5"/>
      <c r="J12059" s="5"/>
      <c r="K12059" s="5"/>
      <c r="L12059" s="5"/>
    </row>
    <row r="12060" spans="8:12" x14ac:dyDescent="0.3">
      <c r="H12060" s="5"/>
      <c r="I12060" s="5"/>
      <c r="J12060" s="5"/>
      <c r="K12060" s="5"/>
      <c r="L12060" s="5"/>
    </row>
    <row r="12061" spans="8:12" x14ac:dyDescent="0.3">
      <c r="H12061" s="5"/>
      <c r="I12061" s="5"/>
      <c r="J12061" s="5"/>
      <c r="K12061" s="5"/>
      <c r="L12061" s="5"/>
    </row>
    <row r="12062" spans="8:12" x14ac:dyDescent="0.3">
      <c r="H12062" s="5"/>
      <c r="I12062" s="5"/>
      <c r="J12062" s="5"/>
      <c r="K12062" s="5"/>
      <c r="L12062" s="5"/>
    </row>
    <row r="12063" spans="8:12" x14ac:dyDescent="0.3">
      <c r="H12063" s="5"/>
      <c r="I12063" s="5"/>
      <c r="J12063" s="5"/>
      <c r="K12063" s="5"/>
      <c r="L12063" s="5"/>
    </row>
    <row r="12064" spans="8:12" x14ac:dyDescent="0.3">
      <c r="H12064" s="5"/>
      <c r="I12064" s="5"/>
      <c r="J12064" s="5"/>
      <c r="K12064" s="5"/>
      <c r="L12064" s="5"/>
    </row>
    <row r="12065" spans="8:12" x14ac:dyDescent="0.3">
      <c r="H12065" s="5"/>
      <c r="I12065" s="5"/>
      <c r="J12065" s="5"/>
      <c r="K12065" s="5"/>
      <c r="L12065" s="5"/>
    </row>
    <row r="12066" spans="8:12" x14ac:dyDescent="0.3">
      <c r="H12066" s="5"/>
      <c r="I12066" s="5"/>
      <c r="J12066" s="5"/>
      <c r="K12066" s="5"/>
      <c r="L12066" s="5"/>
    </row>
    <row r="12067" spans="8:12" x14ac:dyDescent="0.3">
      <c r="H12067" s="5"/>
      <c r="I12067" s="5"/>
      <c r="J12067" s="5"/>
      <c r="K12067" s="5"/>
      <c r="L12067" s="5"/>
    </row>
    <row r="12068" spans="8:12" x14ac:dyDescent="0.3">
      <c r="H12068" s="5"/>
      <c r="I12068" s="5"/>
      <c r="J12068" s="5"/>
      <c r="K12068" s="5"/>
      <c r="L12068" s="5"/>
    </row>
    <row r="12069" spans="8:12" x14ac:dyDescent="0.3">
      <c r="H12069" s="5"/>
      <c r="I12069" s="5"/>
      <c r="J12069" s="5"/>
      <c r="K12069" s="5"/>
      <c r="L12069" s="5"/>
    </row>
    <row r="12070" spans="8:12" x14ac:dyDescent="0.3">
      <c r="H12070" s="5"/>
      <c r="I12070" s="5"/>
      <c r="J12070" s="5"/>
      <c r="K12070" s="5"/>
      <c r="L12070" s="5"/>
    </row>
    <row r="12071" spans="8:12" x14ac:dyDescent="0.3">
      <c r="H12071" s="5"/>
      <c r="I12071" s="5"/>
      <c r="J12071" s="5"/>
      <c r="K12071" s="5"/>
      <c r="L12071" s="5"/>
    </row>
    <row r="12072" spans="8:12" x14ac:dyDescent="0.3">
      <c r="H12072" s="5"/>
      <c r="I12072" s="5"/>
      <c r="J12072" s="5"/>
      <c r="K12072" s="5"/>
      <c r="L12072" s="5"/>
    </row>
    <row r="12073" spans="8:12" x14ac:dyDescent="0.3">
      <c r="H12073" s="5"/>
      <c r="I12073" s="5"/>
      <c r="J12073" s="5"/>
      <c r="K12073" s="5"/>
      <c r="L12073" s="5"/>
    </row>
    <row r="12074" spans="8:12" x14ac:dyDescent="0.3">
      <c r="H12074" s="5"/>
      <c r="I12074" s="5"/>
      <c r="J12074" s="5"/>
      <c r="K12074" s="5"/>
      <c r="L12074" s="5"/>
    </row>
    <row r="12075" spans="8:12" x14ac:dyDescent="0.3">
      <c r="H12075" s="5"/>
      <c r="I12075" s="5"/>
      <c r="J12075" s="5"/>
      <c r="K12075" s="5"/>
      <c r="L12075" s="5"/>
    </row>
    <row r="12076" spans="8:12" x14ac:dyDescent="0.3">
      <c r="H12076" s="5"/>
      <c r="I12076" s="5"/>
      <c r="J12076" s="5"/>
      <c r="K12076" s="5"/>
      <c r="L12076" s="5"/>
    </row>
    <row r="12077" spans="8:12" x14ac:dyDescent="0.3">
      <c r="H12077" s="5"/>
      <c r="I12077" s="5"/>
      <c r="J12077" s="5"/>
      <c r="K12077" s="5"/>
      <c r="L12077" s="5"/>
    </row>
    <row r="12078" spans="8:12" x14ac:dyDescent="0.3">
      <c r="H12078" s="5"/>
      <c r="I12078" s="5"/>
      <c r="J12078" s="5"/>
      <c r="K12078" s="5"/>
      <c r="L12078" s="5"/>
    </row>
    <row r="12079" spans="8:12" x14ac:dyDescent="0.3">
      <c r="H12079" s="5"/>
      <c r="I12079" s="5"/>
      <c r="J12079" s="5"/>
      <c r="K12079" s="5"/>
      <c r="L12079" s="5"/>
    </row>
    <row r="12080" spans="8:12" x14ac:dyDescent="0.3">
      <c r="H12080" s="5"/>
      <c r="I12080" s="5"/>
      <c r="J12080" s="5"/>
      <c r="K12080" s="5"/>
      <c r="L12080" s="5"/>
    </row>
    <row r="12081" spans="8:12" x14ac:dyDescent="0.3">
      <c r="H12081" s="5"/>
      <c r="I12081" s="5"/>
      <c r="J12081" s="5"/>
      <c r="K12081" s="5"/>
      <c r="L12081" s="5"/>
    </row>
    <row r="12082" spans="8:12" x14ac:dyDescent="0.3">
      <c r="H12082" s="5"/>
      <c r="I12082" s="5"/>
      <c r="J12082" s="5"/>
      <c r="K12082" s="5"/>
      <c r="L12082" s="5"/>
    </row>
    <row r="12083" spans="8:12" x14ac:dyDescent="0.3">
      <c r="H12083" s="5"/>
      <c r="I12083" s="5"/>
      <c r="J12083" s="5"/>
      <c r="K12083" s="5"/>
      <c r="L12083" s="5"/>
    </row>
    <row r="12084" spans="8:12" x14ac:dyDescent="0.3">
      <c r="H12084" s="5"/>
      <c r="I12084" s="5"/>
      <c r="J12084" s="5"/>
      <c r="K12084" s="5"/>
      <c r="L12084" s="5"/>
    </row>
    <row r="12085" spans="8:12" x14ac:dyDescent="0.3">
      <c r="H12085" s="5"/>
      <c r="I12085" s="5"/>
      <c r="J12085" s="5"/>
      <c r="K12085" s="5"/>
      <c r="L12085" s="5"/>
    </row>
    <row r="12086" spans="8:12" x14ac:dyDescent="0.3">
      <c r="H12086" s="5"/>
      <c r="I12086" s="5"/>
      <c r="J12086" s="5"/>
      <c r="K12086" s="5"/>
      <c r="L12086" s="5"/>
    </row>
    <row r="12087" spans="8:12" x14ac:dyDescent="0.3">
      <c r="H12087" s="5"/>
      <c r="I12087" s="5"/>
      <c r="J12087" s="5"/>
      <c r="K12087" s="5"/>
      <c r="L12087" s="5"/>
    </row>
    <row r="12088" spans="8:12" x14ac:dyDescent="0.3">
      <c r="H12088" s="5"/>
      <c r="I12088" s="5"/>
      <c r="J12088" s="5"/>
      <c r="K12088" s="5"/>
      <c r="L12088" s="5"/>
    </row>
    <row r="12089" spans="8:12" x14ac:dyDescent="0.3">
      <c r="H12089" s="5"/>
      <c r="I12089" s="5"/>
      <c r="J12089" s="5"/>
      <c r="K12089" s="5"/>
      <c r="L12089" s="5"/>
    </row>
    <row r="12090" spans="8:12" x14ac:dyDescent="0.3">
      <c r="H12090" s="5"/>
      <c r="I12090" s="5"/>
      <c r="J12090" s="5"/>
      <c r="K12090" s="5"/>
      <c r="L12090" s="5"/>
    </row>
    <row r="12091" spans="8:12" x14ac:dyDescent="0.3">
      <c r="H12091" s="5"/>
      <c r="I12091" s="5"/>
      <c r="J12091" s="5"/>
      <c r="K12091" s="5"/>
      <c r="L12091" s="5"/>
    </row>
    <row r="12092" spans="8:12" x14ac:dyDescent="0.3">
      <c r="H12092" s="5"/>
      <c r="I12092" s="5"/>
      <c r="J12092" s="5"/>
      <c r="K12092" s="5"/>
      <c r="L12092" s="5"/>
    </row>
    <row r="12093" spans="8:12" x14ac:dyDescent="0.3">
      <c r="H12093" s="5"/>
      <c r="I12093" s="5"/>
      <c r="J12093" s="5"/>
      <c r="K12093" s="5"/>
      <c r="L12093" s="5"/>
    </row>
    <row r="12094" spans="8:12" x14ac:dyDescent="0.3">
      <c r="H12094" s="5"/>
      <c r="I12094" s="5"/>
      <c r="J12094" s="5"/>
      <c r="K12094" s="5"/>
      <c r="L12094" s="5"/>
    </row>
    <row r="12095" spans="8:12" x14ac:dyDescent="0.3">
      <c r="H12095" s="5"/>
      <c r="I12095" s="5"/>
      <c r="J12095" s="5"/>
      <c r="K12095" s="5"/>
      <c r="L12095" s="5"/>
    </row>
    <row r="12096" spans="8:12" x14ac:dyDescent="0.3">
      <c r="H12096" s="5"/>
      <c r="I12096" s="5"/>
      <c r="J12096" s="5"/>
      <c r="K12096" s="5"/>
      <c r="L12096" s="5"/>
    </row>
    <row r="12097" spans="8:12" x14ac:dyDescent="0.3">
      <c r="H12097" s="5"/>
      <c r="I12097" s="5"/>
      <c r="J12097" s="5"/>
      <c r="K12097" s="5"/>
      <c r="L12097" s="5"/>
    </row>
    <row r="12098" spans="8:12" x14ac:dyDescent="0.3">
      <c r="H12098" s="5"/>
      <c r="I12098" s="5"/>
      <c r="J12098" s="5"/>
      <c r="K12098" s="5"/>
      <c r="L12098" s="5"/>
    </row>
    <row r="12099" spans="8:12" x14ac:dyDescent="0.3">
      <c r="H12099" s="5"/>
      <c r="I12099" s="5"/>
      <c r="J12099" s="5"/>
      <c r="K12099" s="5"/>
      <c r="L12099" s="5"/>
    </row>
    <row r="12100" spans="8:12" x14ac:dyDescent="0.3">
      <c r="H12100" s="5"/>
      <c r="I12100" s="5"/>
      <c r="J12100" s="5"/>
      <c r="K12100" s="5"/>
      <c r="L12100" s="5"/>
    </row>
    <row r="12101" spans="8:12" x14ac:dyDescent="0.3">
      <c r="H12101" s="5"/>
      <c r="I12101" s="5"/>
      <c r="J12101" s="5"/>
      <c r="K12101" s="5"/>
      <c r="L12101" s="5"/>
    </row>
    <row r="12102" spans="8:12" x14ac:dyDescent="0.3">
      <c r="H12102" s="5"/>
      <c r="I12102" s="5"/>
      <c r="J12102" s="5"/>
      <c r="K12102" s="5"/>
      <c r="L12102" s="5"/>
    </row>
    <row r="12103" spans="8:12" x14ac:dyDescent="0.3">
      <c r="H12103" s="5"/>
      <c r="I12103" s="5"/>
      <c r="J12103" s="5"/>
      <c r="K12103" s="5"/>
      <c r="L12103" s="5"/>
    </row>
    <row r="12104" spans="8:12" x14ac:dyDescent="0.3">
      <c r="H12104" s="5"/>
      <c r="I12104" s="5"/>
      <c r="J12104" s="5"/>
      <c r="K12104" s="5"/>
      <c r="L12104" s="5"/>
    </row>
    <row r="12105" spans="8:12" x14ac:dyDescent="0.3">
      <c r="H12105" s="5"/>
      <c r="I12105" s="5"/>
      <c r="J12105" s="5"/>
      <c r="K12105" s="5"/>
      <c r="L12105" s="5"/>
    </row>
    <row r="12106" spans="8:12" x14ac:dyDescent="0.3">
      <c r="H12106" s="5"/>
      <c r="I12106" s="5"/>
      <c r="J12106" s="5"/>
      <c r="K12106" s="5"/>
      <c r="L12106" s="5"/>
    </row>
    <row r="12107" spans="8:12" x14ac:dyDescent="0.3">
      <c r="H12107" s="5"/>
      <c r="I12107" s="5"/>
      <c r="J12107" s="5"/>
      <c r="K12107" s="5"/>
      <c r="L12107" s="5"/>
    </row>
    <row r="12108" spans="8:12" x14ac:dyDescent="0.3">
      <c r="H12108" s="5"/>
      <c r="I12108" s="5"/>
      <c r="J12108" s="5"/>
      <c r="K12108" s="5"/>
      <c r="L12108" s="5"/>
    </row>
    <row r="12109" spans="8:12" x14ac:dyDescent="0.3">
      <c r="H12109" s="5"/>
      <c r="I12109" s="5"/>
      <c r="J12109" s="5"/>
      <c r="K12109" s="5"/>
      <c r="L12109" s="5"/>
    </row>
    <row r="12110" spans="8:12" x14ac:dyDescent="0.3">
      <c r="H12110" s="5"/>
      <c r="I12110" s="5"/>
      <c r="J12110" s="5"/>
      <c r="K12110" s="5"/>
      <c r="L12110" s="5"/>
    </row>
    <row r="12111" spans="8:12" x14ac:dyDescent="0.3">
      <c r="H12111" s="5"/>
      <c r="I12111" s="5"/>
      <c r="J12111" s="5"/>
      <c r="K12111" s="5"/>
      <c r="L12111" s="5"/>
    </row>
    <row r="12112" spans="8:12" x14ac:dyDescent="0.3">
      <c r="H12112" s="5"/>
      <c r="I12112" s="5"/>
      <c r="J12112" s="5"/>
      <c r="K12112" s="5"/>
      <c r="L12112" s="5"/>
    </row>
    <row r="12113" spans="8:12" x14ac:dyDescent="0.3">
      <c r="H12113" s="5"/>
      <c r="I12113" s="5"/>
      <c r="J12113" s="5"/>
      <c r="K12113" s="5"/>
      <c r="L12113" s="5"/>
    </row>
    <row r="12114" spans="8:12" x14ac:dyDescent="0.3">
      <c r="H12114" s="5"/>
      <c r="I12114" s="5"/>
      <c r="J12114" s="5"/>
      <c r="K12114" s="5"/>
      <c r="L12114" s="5"/>
    </row>
    <row r="12115" spans="8:12" x14ac:dyDescent="0.3">
      <c r="H12115" s="5"/>
      <c r="I12115" s="5"/>
      <c r="J12115" s="5"/>
      <c r="K12115" s="5"/>
      <c r="L12115" s="5"/>
    </row>
    <row r="12116" spans="8:12" x14ac:dyDescent="0.3">
      <c r="H12116" s="5"/>
      <c r="I12116" s="5"/>
      <c r="J12116" s="5"/>
      <c r="K12116" s="5"/>
      <c r="L12116" s="5"/>
    </row>
    <row r="12117" spans="8:12" x14ac:dyDescent="0.3">
      <c r="H12117" s="5"/>
      <c r="I12117" s="5"/>
      <c r="J12117" s="5"/>
      <c r="K12117" s="5"/>
      <c r="L12117" s="5"/>
    </row>
    <row r="12118" spans="8:12" x14ac:dyDescent="0.3">
      <c r="H12118" s="5"/>
      <c r="I12118" s="5"/>
      <c r="J12118" s="5"/>
      <c r="K12118" s="5"/>
      <c r="L12118" s="5"/>
    </row>
    <row r="12119" spans="8:12" x14ac:dyDescent="0.3">
      <c r="H12119" s="5"/>
      <c r="I12119" s="5"/>
      <c r="J12119" s="5"/>
      <c r="K12119" s="5"/>
      <c r="L12119" s="5"/>
    </row>
    <row r="12120" spans="8:12" x14ac:dyDescent="0.3">
      <c r="H12120" s="5"/>
      <c r="I12120" s="5"/>
      <c r="J12120" s="5"/>
      <c r="K12120" s="5"/>
      <c r="L12120" s="5"/>
    </row>
    <row r="12121" spans="8:12" x14ac:dyDescent="0.3">
      <c r="H12121" s="5"/>
      <c r="I12121" s="5"/>
      <c r="J12121" s="5"/>
      <c r="K12121" s="5"/>
      <c r="L12121" s="5"/>
    </row>
    <row r="12122" spans="8:12" x14ac:dyDescent="0.3">
      <c r="H12122" s="5"/>
      <c r="I12122" s="5"/>
      <c r="J12122" s="5"/>
      <c r="K12122" s="5"/>
      <c r="L12122" s="5"/>
    </row>
    <row r="12123" spans="8:12" x14ac:dyDescent="0.3">
      <c r="H12123" s="5"/>
      <c r="I12123" s="5"/>
      <c r="J12123" s="5"/>
      <c r="K12123" s="5"/>
      <c r="L12123" s="5"/>
    </row>
    <row r="12124" spans="8:12" x14ac:dyDescent="0.3">
      <c r="H12124" s="5"/>
      <c r="I12124" s="5"/>
      <c r="J12124" s="5"/>
      <c r="K12124" s="5"/>
      <c r="L12124" s="5"/>
    </row>
    <row r="12125" spans="8:12" x14ac:dyDescent="0.3">
      <c r="H12125" s="5"/>
      <c r="I12125" s="5"/>
      <c r="J12125" s="5"/>
      <c r="K12125" s="5"/>
      <c r="L12125" s="5"/>
    </row>
    <row r="12126" spans="8:12" x14ac:dyDescent="0.3">
      <c r="H12126" s="5"/>
      <c r="I12126" s="5"/>
      <c r="J12126" s="5"/>
      <c r="K12126" s="5"/>
      <c r="L12126" s="5"/>
    </row>
    <row r="12127" spans="8:12" x14ac:dyDescent="0.3">
      <c r="H12127" s="5"/>
      <c r="I12127" s="5"/>
      <c r="J12127" s="5"/>
      <c r="K12127" s="5"/>
      <c r="L12127" s="5"/>
    </row>
    <row r="12128" spans="8:12" x14ac:dyDescent="0.3">
      <c r="H12128" s="5"/>
      <c r="I12128" s="5"/>
      <c r="J12128" s="5"/>
      <c r="K12128" s="5"/>
      <c r="L12128" s="5"/>
    </row>
    <row r="12129" spans="8:12" x14ac:dyDescent="0.3">
      <c r="H12129" s="5"/>
      <c r="I12129" s="5"/>
      <c r="J12129" s="5"/>
      <c r="K12129" s="5"/>
      <c r="L12129" s="5"/>
    </row>
    <row r="12130" spans="8:12" x14ac:dyDescent="0.3">
      <c r="H12130" s="5"/>
      <c r="I12130" s="5"/>
      <c r="J12130" s="5"/>
      <c r="K12130" s="5"/>
      <c r="L12130" s="5"/>
    </row>
    <row r="12131" spans="8:12" x14ac:dyDescent="0.3">
      <c r="H12131" s="5"/>
      <c r="I12131" s="5"/>
      <c r="J12131" s="5"/>
      <c r="K12131" s="5"/>
      <c r="L12131" s="5"/>
    </row>
    <row r="12132" spans="8:12" x14ac:dyDescent="0.3">
      <c r="H12132" s="5"/>
      <c r="I12132" s="5"/>
      <c r="J12132" s="5"/>
      <c r="K12132" s="5"/>
      <c r="L12132" s="5"/>
    </row>
    <row r="12133" spans="8:12" x14ac:dyDescent="0.3">
      <c r="H12133" s="2"/>
      <c r="I12133" s="2"/>
      <c r="J12133" s="2"/>
      <c r="K12133" s="2"/>
      <c r="L12133" s="2"/>
    </row>
    <row r="12134" spans="8:12" x14ac:dyDescent="0.3">
      <c r="H12134" s="4"/>
      <c r="I12134" s="2"/>
      <c r="J12134" s="2"/>
      <c r="K12134" s="2"/>
      <c r="L12134" s="2"/>
    </row>
    <row r="12135" spans="8:12" x14ac:dyDescent="0.3">
      <c r="H12135" s="2"/>
      <c r="I12135" s="2"/>
      <c r="J12135" s="2"/>
      <c r="K12135" s="2"/>
      <c r="L12135" s="2"/>
    </row>
    <row r="12136" spans="8:12" x14ac:dyDescent="0.3">
      <c r="H12136" s="2"/>
      <c r="I12136" s="2"/>
      <c r="J12136" s="2"/>
      <c r="K12136" s="2"/>
      <c r="L12136" s="2"/>
    </row>
    <row r="12137" spans="8:12" x14ac:dyDescent="0.3">
      <c r="H12137" s="2"/>
      <c r="I12137" s="2"/>
      <c r="J12137" s="2"/>
      <c r="K12137" s="2"/>
      <c r="L12137" s="2"/>
    </row>
    <row r="12138" spans="8:12" x14ac:dyDescent="0.3">
      <c r="H12138" s="2"/>
      <c r="I12138" s="2"/>
      <c r="J12138" s="2"/>
      <c r="K12138" s="2"/>
      <c r="L12138" s="2"/>
    </row>
    <row r="12139" spans="8:12" x14ac:dyDescent="0.3">
      <c r="H12139" s="2"/>
      <c r="I12139" s="2"/>
      <c r="J12139" s="2"/>
      <c r="K12139" s="2"/>
      <c r="L12139" s="2"/>
    </row>
    <row r="12140" spans="8:12" x14ac:dyDescent="0.3">
      <c r="H12140" s="2"/>
      <c r="I12140" s="2"/>
      <c r="J12140" s="2"/>
      <c r="K12140" s="2"/>
      <c r="L12140" s="2"/>
    </row>
    <row r="12141" spans="8:12" x14ac:dyDescent="0.3">
      <c r="H12141" s="2"/>
      <c r="I12141" s="2"/>
      <c r="J12141" s="2"/>
      <c r="K12141" s="2"/>
      <c r="L12141" s="2"/>
    </row>
    <row r="12142" spans="8:12" x14ac:dyDescent="0.3">
      <c r="H12142" s="2"/>
      <c r="I12142" s="2"/>
      <c r="J12142" s="2"/>
      <c r="K12142" s="2"/>
      <c r="L12142" s="2"/>
    </row>
    <row r="12143" spans="8:12" x14ac:dyDescent="0.3">
      <c r="H12143" s="2"/>
      <c r="I12143" s="2"/>
      <c r="J12143" s="2"/>
      <c r="K12143" s="2"/>
      <c r="L12143" s="2"/>
    </row>
    <row r="12144" spans="8:12" x14ac:dyDescent="0.3">
      <c r="H12144" s="2"/>
      <c r="I12144" s="2"/>
      <c r="J12144" s="2"/>
      <c r="K12144" s="2"/>
      <c r="L12144" s="2"/>
    </row>
    <row r="12145" spans="8:12" x14ac:dyDescent="0.3">
      <c r="H12145" s="2"/>
      <c r="I12145" s="2"/>
      <c r="J12145" s="2"/>
      <c r="K12145" s="2"/>
      <c r="L12145" s="2"/>
    </row>
    <row r="12146" spans="8:12" x14ac:dyDescent="0.3">
      <c r="H12146" s="2"/>
      <c r="I12146" s="2"/>
      <c r="J12146" s="2"/>
      <c r="K12146" s="2"/>
      <c r="L12146" s="2"/>
    </row>
    <row r="12147" spans="8:12" x14ac:dyDescent="0.3">
      <c r="H12147" s="2"/>
      <c r="I12147" s="2"/>
      <c r="J12147" s="2"/>
      <c r="K12147" s="2"/>
      <c r="L12147" s="2"/>
    </row>
    <row r="12148" spans="8:12" x14ac:dyDescent="0.3">
      <c r="H12148" s="2"/>
      <c r="I12148" s="2"/>
      <c r="J12148" s="2"/>
      <c r="K12148" s="2"/>
      <c r="L12148" s="2"/>
    </row>
    <row r="12149" spans="8:12" x14ac:dyDescent="0.3">
      <c r="H12149" s="2"/>
      <c r="I12149" s="2"/>
      <c r="J12149" s="2"/>
      <c r="K12149" s="2"/>
      <c r="L12149" s="2"/>
    </row>
    <row r="12150" spans="8:12" x14ac:dyDescent="0.3">
      <c r="H12150" s="2"/>
      <c r="I12150" s="2"/>
      <c r="J12150" s="2"/>
      <c r="K12150" s="2"/>
      <c r="L12150" s="2"/>
    </row>
    <row r="12151" spans="8:12" x14ac:dyDescent="0.3">
      <c r="H12151" s="2"/>
      <c r="I12151" s="2"/>
      <c r="J12151" s="2"/>
      <c r="K12151" s="2"/>
      <c r="L12151" s="2"/>
    </row>
    <row r="12152" spans="8:12" x14ac:dyDescent="0.3">
      <c r="H12152" s="2"/>
      <c r="I12152" s="2"/>
      <c r="J12152" s="2"/>
      <c r="K12152" s="2"/>
      <c r="L12152" s="2"/>
    </row>
    <row r="12153" spans="8:12" x14ac:dyDescent="0.3">
      <c r="H12153" s="2"/>
      <c r="I12153" s="2"/>
      <c r="J12153" s="2"/>
      <c r="K12153" s="2"/>
      <c r="L12153" s="2"/>
    </row>
    <row r="12154" spans="8:12" x14ac:dyDescent="0.3">
      <c r="H12154" s="2"/>
      <c r="I12154" s="2"/>
      <c r="J12154" s="2"/>
      <c r="K12154" s="2"/>
      <c r="L12154" s="2"/>
    </row>
    <row r="12155" spans="8:12" x14ac:dyDescent="0.3">
      <c r="H12155" s="2"/>
      <c r="I12155" s="2"/>
      <c r="J12155" s="2"/>
      <c r="K12155" s="2"/>
      <c r="L12155" s="2"/>
    </row>
    <row r="12156" spans="8:12" x14ac:dyDescent="0.3">
      <c r="H12156" s="2"/>
      <c r="I12156" s="2"/>
      <c r="J12156" s="2"/>
      <c r="K12156" s="2"/>
      <c r="L12156" s="2"/>
    </row>
    <row r="12157" spans="8:12" x14ac:dyDescent="0.3">
      <c r="H12157" s="2"/>
      <c r="I12157" s="2"/>
      <c r="J12157" s="2"/>
      <c r="K12157" s="2"/>
      <c r="L12157" s="2"/>
    </row>
    <row r="12158" spans="8:12" x14ac:dyDescent="0.3">
      <c r="H12158" s="2"/>
      <c r="I12158" s="2"/>
      <c r="J12158" s="2"/>
      <c r="K12158" s="2"/>
      <c r="L12158" s="2"/>
    </row>
    <row r="12159" spans="8:12" x14ac:dyDescent="0.3">
      <c r="H12159" s="2"/>
      <c r="I12159" s="2"/>
      <c r="J12159" s="2"/>
      <c r="K12159" s="2"/>
      <c r="L12159" s="2"/>
    </row>
    <row r="12160" spans="8:12" x14ac:dyDescent="0.3">
      <c r="H12160" s="2"/>
      <c r="I12160" s="2"/>
      <c r="J12160" s="2"/>
      <c r="K12160" s="2"/>
      <c r="L12160" s="2"/>
    </row>
    <row r="12161" spans="8:12" x14ac:dyDescent="0.3">
      <c r="H12161" s="2"/>
      <c r="I12161" s="2"/>
      <c r="J12161" s="2"/>
      <c r="K12161" s="2"/>
      <c r="L12161" s="2"/>
    </row>
    <row r="12162" spans="8:12" x14ac:dyDescent="0.3">
      <c r="H12162" s="2"/>
      <c r="I12162" s="2"/>
      <c r="J12162" s="2"/>
      <c r="K12162" s="2"/>
      <c r="L12162" s="2"/>
    </row>
    <row r="12163" spans="8:12" x14ac:dyDescent="0.3">
      <c r="H12163" s="2"/>
      <c r="I12163" s="2"/>
      <c r="J12163" s="2"/>
      <c r="K12163" s="2"/>
      <c r="L12163" s="2"/>
    </row>
    <row r="12164" spans="8:12" x14ac:dyDescent="0.3">
      <c r="H12164" s="2"/>
      <c r="I12164" s="2"/>
      <c r="J12164" s="2"/>
      <c r="K12164" s="2"/>
      <c r="L12164" s="2"/>
    </row>
    <row r="12165" spans="8:12" x14ac:dyDescent="0.3">
      <c r="H12165" s="2"/>
      <c r="I12165" s="2"/>
      <c r="J12165" s="2"/>
      <c r="K12165" s="2"/>
      <c r="L12165" s="2"/>
    </row>
    <row r="12166" spans="8:12" x14ac:dyDescent="0.3">
      <c r="H12166" s="2"/>
      <c r="I12166" s="2"/>
      <c r="J12166" s="2"/>
      <c r="K12166" s="2"/>
      <c r="L12166" s="2"/>
    </row>
    <row r="12167" spans="8:12" x14ac:dyDescent="0.3">
      <c r="H12167" s="2"/>
      <c r="I12167" s="2"/>
      <c r="J12167" s="2"/>
      <c r="K12167" s="2"/>
      <c r="L12167" s="2"/>
    </row>
    <row r="12168" spans="8:12" x14ac:dyDescent="0.3">
      <c r="H12168" s="2"/>
      <c r="I12168" s="2"/>
      <c r="J12168" s="2"/>
      <c r="K12168" s="2"/>
      <c r="L12168" s="2"/>
    </row>
    <row r="12169" spans="8:12" x14ac:dyDescent="0.3">
      <c r="H12169" s="2"/>
      <c r="I12169" s="2"/>
      <c r="J12169" s="2"/>
      <c r="K12169" s="2"/>
      <c r="L12169" s="2"/>
    </row>
    <row r="12170" spans="8:12" x14ac:dyDescent="0.3">
      <c r="H12170" s="2"/>
      <c r="I12170" s="2"/>
      <c r="J12170" s="2"/>
      <c r="K12170" s="2"/>
      <c r="L12170" s="2"/>
    </row>
    <row r="12171" spans="8:12" x14ac:dyDescent="0.3">
      <c r="H12171" s="2"/>
      <c r="I12171" s="2"/>
      <c r="J12171" s="2"/>
      <c r="K12171" s="2"/>
      <c r="L12171" s="2"/>
    </row>
    <row r="12172" spans="8:12" x14ac:dyDescent="0.3">
      <c r="H12172" s="2"/>
      <c r="I12172" s="2"/>
      <c r="J12172" s="2"/>
      <c r="K12172" s="2"/>
      <c r="L12172" s="2"/>
    </row>
    <row r="12173" spans="8:12" x14ac:dyDescent="0.3">
      <c r="H12173" s="2"/>
      <c r="I12173" s="2"/>
      <c r="J12173" s="2"/>
      <c r="K12173" s="2"/>
      <c r="L12173" s="2"/>
    </row>
    <row r="12174" spans="8:12" x14ac:dyDescent="0.3">
      <c r="H12174" s="2"/>
      <c r="I12174" s="2"/>
      <c r="J12174" s="2"/>
      <c r="K12174" s="2"/>
      <c r="L12174" s="2"/>
    </row>
    <row r="12175" spans="8:12" x14ac:dyDescent="0.3">
      <c r="H12175" s="2"/>
      <c r="I12175" s="2"/>
      <c r="J12175" s="2"/>
      <c r="K12175" s="2"/>
      <c r="L12175" s="2"/>
    </row>
    <row r="12176" spans="8:12" x14ac:dyDescent="0.3">
      <c r="H12176" s="2"/>
      <c r="I12176" s="2"/>
      <c r="J12176" s="2"/>
      <c r="K12176" s="2"/>
      <c r="L12176" s="2"/>
    </row>
    <row r="12177" spans="8:12" x14ac:dyDescent="0.3">
      <c r="H12177" s="2"/>
      <c r="I12177" s="2"/>
      <c r="J12177" s="2"/>
      <c r="K12177" s="2"/>
      <c r="L12177" s="2"/>
    </row>
    <row r="12178" spans="8:12" x14ac:dyDescent="0.3">
      <c r="H12178" s="2"/>
      <c r="I12178" s="2"/>
      <c r="J12178" s="2"/>
      <c r="K12178" s="2"/>
      <c r="L12178" s="2"/>
    </row>
    <row r="12179" spans="8:12" x14ac:dyDescent="0.3">
      <c r="H12179" s="2"/>
      <c r="I12179" s="2"/>
      <c r="J12179" s="2"/>
      <c r="K12179" s="2"/>
      <c r="L12179" s="2"/>
    </row>
    <row r="12180" spans="8:12" x14ac:dyDescent="0.3">
      <c r="H12180" s="2"/>
      <c r="I12180" s="2"/>
      <c r="J12180" s="2"/>
      <c r="K12180" s="2"/>
      <c r="L12180" s="2"/>
    </row>
    <row r="12181" spans="8:12" x14ac:dyDescent="0.3">
      <c r="H12181" s="2"/>
      <c r="I12181" s="2"/>
      <c r="J12181" s="2"/>
      <c r="K12181" s="2"/>
      <c r="L12181" s="2"/>
    </row>
    <row r="12182" spans="8:12" x14ac:dyDescent="0.3">
      <c r="H12182" s="2"/>
      <c r="I12182" s="2"/>
      <c r="J12182" s="2"/>
      <c r="K12182" s="2"/>
      <c r="L12182" s="2"/>
    </row>
    <row r="12183" spans="8:12" x14ac:dyDescent="0.3">
      <c r="H12183" s="2"/>
      <c r="I12183" s="2"/>
      <c r="J12183" s="2"/>
      <c r="K12183" s="2"/>
      <c r="L12183" s="2"/>
    </row>
    <row r="12184" spans="8:12" x14ac:dyDescent="0.3">
      <c r="H12184" s="2"/>
      <c r="I12184" s="2"/>
      <c r="J12184" s="2"/>
      <c r="K12184" s="2"/>
      <c r="L12184" s="2"/>
    </row>
    <row r="12185" spans="8:12" x14ac:dyDescent="0.3">
      <c r="H12185" s="2"/>
      <c r="I12185" s="2"/>
      <c r="J12185" s="2"/>
      <c r="K12185" s="2"/>
      <c r="L12185" s="2"/>
    </row>
    <row r="12186" spans="8:12" x14ac:dyDescent="0.3">
      <c r="H12186" s="2"/>
      <c r="I12186" s="2"/>
      <c r="J12186" s="2"/>
      <c r="K12186" s="2"/>
      <c r="L12186" s="2"/>
    </row>
    <row r="12187" spans="8:12" x14ac:dyDescent="0.3">
      <c r="H12187" s="2"/>
      <c r="I12187" s="2"/>
      <c r="J12187" s="2"/>
      <c r="K12187" s="2"/>
      <c r="L12187" s="2"/>
    </row>
    <row r="12188" spans="8:12" x14ac:dyDescent="0.3">
      <c r="H12188" s="2"/>
      <c r="I12188" s="2"/>
      <c r="J12188" s="2"/>
      <c r="K12188" s="2"/>
      <c r="L12188" s="2"/>
    </row>
    <row r="12189" spans="8:12" x14ac:dyDescent="0.3">
      <c r="H12189" s="2"/>
      <c r="I12189" s="2"/>
      <c r="J12189" s="2"/>
      <c r="K12189" s="2"/>
      <c r="L12189" s="2"/>
    </row>
    <row r="12190" spans="8:12" x14ac:dyDescent="0.3">
      <c r="H12190" s="2"/>
      <c r="I12190" s="2"/>
      <c r="J12190" s="2"/>
      <c r="K12190" s="2"/>
      <c r="L12190" s="2"/>
    </row>
    <row r="12191" spans="8:12" x14ac:dyDescent="0.3">
      <c r="H12191" s="2"/>
      <c r="I12191" s="2"/>
      <c r="J12191" s="2"/>
      <c r="K12191" s="2"/>
      <c r="L12191" s="2"/>
    </row>
    <row r="12192" spans="8:12" x14ac:dyDescent="0.3">
      <c r="H12192" s="2"/>
      <c r="I12192" s="2"/>
      <c r="J12192" s="2"/>
      <c r="K12192" s="2"/>
      <c r="L12192" s="2"/>
    </row>
    <row r="12193" spans="8:12" x14ac:dyDescent="0.3">
      <c r="H12193" s="2"/>
      <c r="I12193" s="2"/>
      <c r="J12193" s="2"/>
      <c r="K12193" s="2"/>
      <c r="L12193" s="2"/>
    </row>
    <row r="12194" spans="8:12" x14ac:dyDescent="0.3">
      <c r="H12194" s="2"/>
      <c r="I12194" s="2"/>
      <c r="J12194" s="2"/>
      <c r="K12194" s="2"/>
      <c r="L12194" s="2"/>
    </row>
    <row r="12195" spans="8:12" x14ac:dyDescent="0.3">
      <c r="H12195" s="2"/>
      <c r="I12195" s="2"/>
      <c r="J12195" s="2"/>
      <c r="K12195" s="2"/>
      <c r="L12195" s="2"/>
    </row>
    <row r="12196" spans="8:12" x14ac:dyDescent="0.3">
      <c r="H12196" s="2"/>
      <c r="I12196" s="2"/>
      <c r="J12196" s="2"/>
      <c r="K12196" s="2"/>
      <c r="L12196" s="2"/>
    </row>
    <row r="12197" spans="8:12" x14ac:dyDescent="0.3">
      <c r="H12197" s="2"/>
      <c r="I12197" s="2"/>
      <c r="J12197" s="2"/>
      <c r="K12197" s="2"/>
      <c r="L12197" s="2"/>
    </row>
    <row r="12198" spans="8:12" x14ac:dyDescent="0.3">
      <c r="H12198" s="2"/>
      <c r="I12198" s="2"/>
      <c r="J12198" s="2"/>
      <c r="K12198" s="2"/>
      <c r="L12198" s="2"/>
    </row>
    <row r="12199" spans="8:12" x14ac:dyDescent="0.3">
      <c r="H12199" s="2"/>
      <c r="I12199" s="2"/>
      <c r="J12199" s="2"/>
      <c r="K12199" s="2"/>
      <c r="L12199" s="2"/>
    </row>
    <row r="12200" spans="8:12" x14ac:dyDescent="0.3">
      <c r="H12200" s="2"/>
      <c r="I12200" s="2"/>
      <c r="J12200" s="2"/>
      <c r="K12200" s="2"/>
      <c r="L12200" s="2"/>
    </row>
    <row r="12201" spans="8:12" x14ac:dyDescent="0.3">
      <c r="H12201" s="2"/>
      <c r="I12201" s="2"/>
      <c r="J12201" s="2"/>
      <c r="K12201" s="2"/>
      <c r="L12201" s="2"/>
    </row>
    <row r="12202" spans="8:12" x14ac:dyDescent="0.3">
      <c r="H12202" s="2"/>
      <c r="I12202" s="2"/>
      <c r="J12202" s="2"/>
      <c r="K12202" s="2"/>
      <c r="L12202" s="2"/>
    </row>
    <row r="12203" spans="8:12" x14ac:dyDescent="0.3">
      <c r="H12203" s="2"/>
      <c r="I12203" s="2"/>
      <c r="J12203" s="2"/>
      <c r="K12203" s="2"/>
      <c r="L12203" s="2"/>
    </row>
    <row r="12204" spans="8:12" x14ac:dyDescent="0.3">
      <c r="H12204" s="2"/>
      <c r="I12204" s="2"/>
      <c r="J12204" s="2"/>
      <c r="K12204" s="2"/>
      <c r="L12204" s="2"/>
    </row>
    <row r="12205" spans="8:12" x14ac:dyDescent="0.3">
      <c r="H12205" s="2"/>
      <c r="I12205" s="2"/>
      <c r="J12205" s="2"/>
      <c r="K12205" s="2"/>
      <c r="L12205" s="2"/>
    </row>
    <row r="12206" spans="8:12" x14ac:dyDescent="0.3">
      <c r="H12206" s="2"/>
      <c r="I12206" s="2"/>
      <c r="J12206" s="2"/>
      <c r="K12206" s="2"/>
      <c r="L12206" s="2"/>
    </row>
    <row r="12207" spans="8:12" x14ac:dyDescent="0.3">
      <c r="H12207" s="2"/>
      <c r="I12207" s="2"/>
      <c r="J12207" s="2"/>
      <c r="K12207" s="2"/>
      <c r="L12207" s="2"/>
    </row>
    <row r="12208" spans="8:12" x14ac:dyDescent="0.3">
      <c r="H12208" s="2"/>
      <c r="I12208" s="2"/>
      <c r="J12208" s="2"/>
      <c r="K12208" s="2"/>
      <c r="L12208" s="2"/>
    </row>
    <row r="12209" spans="8:12" x14ac:dyDescent="0.3">
      <c r="H12209" s="2"/>
      <c r="I12209" s="2"/>
      <c r="J12209" s="2"/>
      <c r="K12209" s="2"/>
      <c r="L12209" s="2"/>
    </row>
    <row r="12210" spans="8:12" x14ac:dyDescent="0.3">
      <c r="H12210" s="2"/>
      <c r="I12210" s="2"/>
      <c r="J12210" s="2"/>
      <c r="K12210" s="2"/>
      <c r="L12210" s="2"/>
    </row>
    <row r="12211" spans="8:12" x14ac:dyDescent="0.3">
      <c r="H12211" s="2"/>
      <c r="I12211" s="2"/>
      <c r="J12211" s="2"/>
      <c r="K12211" s="2"/>
      <c r="L12211" s="2"/>
    </row>
    <row r="12212" spans="8:12" x14ac:dyDescent="0.3">
      <c r="H12212" s="2"/>
      <c r="I12212" s="2"/>
      <c r="J12212" s="2"/>
      <c r="K12212" s="2"/>
      <c r="L12212" s="2"/>
    </row>
    <row r="12213" spans="8:12" x14ac:dyDescent="0.3">
      <c r="H12213" s="2"/>
      <c r="I12213" s="2"/>
      <c r="J12213" s="2"/>
      <c r="K12213" s="2"/>
      <c r="L12213" s="2"/>
    </row>
    <row r="12214" spans="8:12" x14ac:dyDescent="0.3">
      <c r="H12214" s="2"/>
      <c r="I12214" s="2"/>
      <c r="J12214" s="2"/>
      <c r="K12214" s="2"/>
      <c r="L12214" s="2"/>
    </row>
    <row r="12215" spans="8:12" x14ac:dyDescent="0.3">
      <c r="H12215" s="2"/>
      <c r="I12215" s="2"/>
      <c r="J12215" s="2"/>
      <c r="K12215" s="2"/>
      <c r="L12215" s="2"/>
    </row>
    <row r="12216" spans="8:12" x14ac:dyDescent="0.3">
      <c r="H12216" s="2"/>
      <c r="I12216" s="2"/>
      <c r="J12216" s="2"/>
      <c r="K12216" s="2"/>
      <c r="L12216" s="2"/>
    </row>
    <row r="12217" spans="8:12" x14ac:dyDescent="0.3">
      <c r="H12217" s="2"/>
      <c r="I12217" s="2"/>
      <c r="J12217" s="2"/>
      <c r="K12217" s="2"/>
      <c r="L12217" s="2"/>
    </row>
    <row r="12218" spans="8:12" x14ac:dyDescent="0.3">
      <c r="H12218" s="2"/>
      <c r="I12218" s="2"/>
      <c r="J12218" s="2"/>
      <c r="K12218" s="2"/>
      <c r="L12218" s="2"/>
    </row>
    <row r="12219" spans="8:12" x14ac:dyDescent="0.3">
      <c r="H12219" s="2"/>
      <c r="I12219" s="2"/>
      <c r="J12219" s="2"/>
      <c r="K12219" s="2"/>
      <c r="L12219" s="2"/>
    </row>
    <row r="12220" spans="8:12" x14ac:dyDescent="0.3">
      <c r="H12220" s="2"/>
      <c r="I12220" s="2"/>
      <c r="J12220" s="2"/>
      <c r="K12220" s="2"/>
      <c r="L12220" s="2"/>
    </row>
    <row r="12221" spans="8:12" x14ac:dyDescent="0.3">
      <c r="H12221" s="2"/>
      <c r="I12221" s="2"/>
      <c r="J12221" s="2"/>
      <c r="K12221" s="2"/>
      <c r="L12221" s="2"/>
    </row>
    <row r="12222" spans="8:12" x14ac:dyDescent="0.3">
      <c r="H12222" s="2"/>
      <c r="I12222" s="2"/>
      <c r="J12222" s="2"/>
      <c r="K12222" s="2"/>
      <c r="L12222" s="2"/>
    </row>
    <row r="12223" spans="8:12" x14ac:dyDescent="0.3">
      <c r="H12223" s="2"/>
      <c r="I12223" s="2"/>
      <c r="J12223" s="2"/>
      <c r="K12223" s="2"/>
      <c r="L12223" s="2"/>
    </row>
    <row r="12224" spans="8:12" x14ac:dyDescent="0.3">
      <c r="H12224" s="2"/>
      <c r="I12224" s="2"/>
      <c r="J12224" s="2"/>
      <c r="K12224" s="2"/>
      <c r="L12224" s="2"/>
    </row>
    <row r="12225" spans="8:12" x14ac:dyDescent="0.3">
      <c r="H12225" s="2"/>
      <c r="I12225" s="2"/>
      <c r="J12225" s="2"/>
      <c r="K12225" s="2"/>
      <c r="L12225" s="2"/>
    </row>
    <row r="12226" spans="8:12" x14ac:dyDescent="0.3">
      <c r="H12226" s="2"/>
      <c r="I12226" s="2"/>
      <c r="J12226" s="2"/>
      <c r="K12226" s="2"/>
      <c r="L12226" s="2"/>
    </row>
    <row r="12227" spans="8:12" x14ac:dyDescent="0.3">
      <c r="H12227" s="2"/>
      <c r="I12227" s="2"/>
      <c r="J12227" s="2"/>
      <c r="K12227" s="2"/>
      <c r="L12227" s="2"/>
    </row>
    <row r="12228" spans="8:12" x14ac:dyDescent="0.3">
      <c r="H12228" s="2"/>
      <c r="I12228" s="2"/>
      <c r="J12228" s="2"/>
      <c r="K12228" s="2"/>
      <c r="L12228" s="2"/>
    </row>
    <row r="12229" spans="8:12" x14ac:dyDescent="0.3">
      <c r="H12229" s="2"/>
      <c r="I12229" s="2"/>
      <c r="J12229" s="2"/>
      <c r="K12229" s="2"/>
      <c r="L12229" s="2"/>
    </row>
    <row r="12230" spans="8:12" x14ac:dyDescent="0.3">
      <c r="H12230" s="2"/>
      <c r="I12230" s="2"/>
      <c r="J12230" s="2"/>
      <c r="K12230" s="2"/>
      <c r="L12230" s="2"/>
    </row>
    <row r="12231" spans="8:12" x14ac:dyDescent="0.3">
      <c r="H12231" s="2"/>
      <c r="I12231" s="2"/>
      <c r="J12231" s="2"/>
      <c r="K12231" s="2"/>
      <c r="L12231" s="2"/>
    </row>
    <row r="12232" spans="8:12" x14ac:dyDescent="0.3">
      <c r="H12232" s="2"/>
      <c r="I12232" s="2"/>
      <c r="J12232" s="2"/>
      <c r="K12232" s="2"/>
      <c r="L12232" s="2"/>
    </row>
    <row r="12233" spans="8:12" x14ac:dyDescent="0.3">
      <c r="H12233" s="2"/>
      <c r="I12233" s="2"/>
      <c r="J12233" s="2"/>
      <c r="K12233" s="2"/>
      <c r="L12233" s="2"/>
    </row>
    <row r="12234" spans="8:12" x14ac:dyDescent="0.3">
      <c r="H12234" s="2"/>
      <c r="I12234" s="2"/>
      <c r="J12234" s="2"/>
      <c r="K12234" s="2"/>
      <c r="L12234" s="2"/>
    </row>
    <row r="12235" spans="8:12" x14ac:dyDescent="0.3">
      <c r="H12235" s="2"/>
      <c r="I12235" s="2"/>
      <c r="J12235" s="2"/>
      <c r="K12235" s="2"/>
      <c r="L12235" s="2"/>
    </row>
    <row r="12236" spans="8:12" x14ac:dyDescent="0.3">
      <c r="H12236" s="2"/>
      <c r="I12236" s="2"/>
      <c r="J12236" s="2"/>
      <c r="K12236" s="2"/>
      <c r="L12236" s="2"/>
    </row>
    <row r="12237" spans="8:12" x14ac:dyDescent="0.3">
      <c r="H12237" s="2"/>
      <c r="I12237" s="2"/>
      <c r="J12237" s="2"/>
      <c r="K12237" s="2"/>
      <c r="L12237" s="2"/>
    </row>
    <row r="12238" spans="8:12" x14ac:dyDescent="0.3">
      <c r="H12238" s="2"/>
      <c r="I12238" s="2"/>
      <c r="J12238" s="2"/>
      <c r="K12238" s="2"/>
      <c r="L12238" s="2"/>
    </row>
    <row r="12239" spans="8:12" x14ac:dyDescent="0.3">
      <c r="H12239" s="2"/>
      <c r="I12239" s="2"/>
      <c r="J12239" s="2"/>
      <c r="K12239" s="2"/>
      <c r="L12239" s="2"/>
    </row>
    <row r="12240" spans="8:12" x14ac:dyDescent="0.3">
      <c r="H12240" s="2"/>
      <c r="I12240" s="2"/>
      <c r="J12240" s="2"/>
      <c r="K12240" s="2"/>
      <c r="L12240" s="2"/>
    </row>
    <row r="12241" spans="8:12" x14ac:dyDescent="0.3">
      <c r="H12241" s="2"/>
      <c r="I12241" s="2"/>
      <c r="J12241" s="2"/>
      <c r="K12241" s="2"/>
      <c r="L12241" s="2"/>
    </row>
    <row r="12242" spans="8:12" x14ac:dyDescent="0.3">
      <c r="H12242" s="2"/>
      <c r="I12242" s="2"/>
      <c r="J12242" s="2"/>
      <c r="K12242" s="2"/>
      <c r="L12242" s="2"/>
    </row>
    <row r="12243" spans="8:12" x14ac:dyDescent="0.3">
      <c r="H12243" s="2"/>
      <c r="I12243" s="2"/>
      <c r="J12243" s="2"/>
      <c r="K12243" s="2"/>
      <c r="L12243" s="2"/>
    </row>
    <row r="12244" spans="8:12" x14ac:dyDescent="0.3">
      <c r="H12244" s="2"/>
      <c r="I12244" s="2"/>
      <c r="J12244" s="2"/>
      <c r="K12244" s="2"/>
      <c r="L12244" s="2"/>
    </row>
    <row r="12245" spans="8:12" x14ac:dyDescent="0.3">
      <c r="H12245" s="2"/>
      <c r="I12245" s="2"/>
      <c r="J12245" s="2"/>
      <c r="K12245" s="2"/>
      <c r="L12245" s="2"/>
    </row>
    <row r="12246" spans="8:12" x14ac:dyDescent="0.3">
      <c r="H12246" s="2"/>
      <c r="I12246" s="2"/>
      <c r="J12246" s="2"/>
      <c r="K12246" s="2"/>
      <c r="L12246" s="2"/>
    </row>
    <row r="12247" spans="8:12" x14ac:dyDescent="0.3">
      <c r="H12247" s="2"/>
      <c r="I12247" s="2"/>
      <c r="J12247" s="2"/>
      <c r="K12247" s="2"/>
      <c r="L12247" s="2"/>
    </row>
    <row r="12248" spans="8:12" x14ac:dyDescent="0.3">
      <c r="H12248" s="2"/>
      <c r="I12248" s="2"/>
      <c r="J12248" s="2"/>
      <c r="K12248" s="2"/>
      <c r="L12248" s="2"/>
    </row>
    <row r="12249" spans="8:12" x14ac:dyDescent="0.3">
      <c r="H12249" s="2"/>
      <c r="I12249" s="2"/>
      <c r="J12249" s="2"/>
      <c r="K12249" s="2"/>
      <c r="L12249" s="2"/>
    </row>
    <row r="12250" spans="8:12" x14ac:dyDescent="0.3">
      <c r="H12250" s="2"/>
      <c r="I12250" s="2"/>
      <c r="J12250" s="2"/>
      <c r="K12250" s="2"/>
      <c r="L12250" s="2"/>
    </row>
    <row r="12251" spans="8:12" x14ac:dyDescent="0.3">
      <c r="H12251" s="2"/>
      <c r="I12251" s="2"/>
      <c r="J12251" s="2"/>
      <c r="K12251" s="2"/>
      <c r="L12251" s="2"/>
    </row>
    <row r="12252" spans="8:12" x14ac:dyDescent="0.3">
      <c r="H12252" s="2"/>
      <c r="I12252" s="2"/>
      <c r="J12252" s="2"/>
      <c r="K12252" s="2"/>
      <c r="L12252" s="2"/>
    </row>
    <row r="12253" spans="8:12" x14ac:dyDescent="0.3">
      <c r="H12253" s="2"/>
      <c r="I12253" s="2"/>
      <c r="J12253" s="2"/>
      <c r="K12253" s="2"/>
      <c r="L12253" s="2"/>
    </row>
    <row r="12254" spans="8:12" x14ac:dyDescent="0.3">
      <c r="H12254" s="2"/>
      <c r="I12254" s="2"/>
      <c r="J12254" s="2"/>
      <c r="K12254" s="2"/>
      <c r="L12254" s="2"/>
    </row>
    <row r="12255" spans="8:12" x14ac:dyDescent="0.3">
      <c r="H12255" s="2"/>
      <c r="I12255" s="2"/>
      <c r="J12255" s="2"/>
      <c r="K12255" s="2"/>
      <c r="L12255" s="2"/>
    </row>
    <row r="12256" spans="8:12" x14ac:dyDescent="0.3">
      <c r="H12256" s="2"/>
      <c r="I12256" s="2"/>
      <c r="J12256" s="2"/>
      <c r="K12256" s="2"/>
      <c r="L12256" s="2"/>
    </row>
    <row r="12257" spans="8:12" x14ac:dyDescent="0.3">
      <c r="H12257" s="2"/>
      <c r="I12257" s="2"/>
      <c r="J12257" s="2"/>
      <c r="K12257" s="2"/>
      <c r="L12257" s="2"/>
    </row>
    <row r="12258" spans="8:12" x14ac:dyDescent="0.3">
      <c r="H12258" s="2"/>
      <c r="I12258" s="2"/>
      <c r="J12258" s="2"/>
      <c r="K12258" s="2"/>
      <c r="L12258" s="2"/>
    </row>
    <row r="12259" spans="8:12" x14ac:dyDescent="0.3">
      <c r="H12259" s="2"/>
      <c r="I12259" s="2"/>
      <c r="J12259" s="2"/>
      <c r="K12259" s="2"/>
      <c r="L12259" s="2"/>
    </row>
    <row r="12260" spans="8:12" x14ac:dyDescent="0.3">
      <c r="H12260" s="2"/>
      <c r="I12260" s="2"/>
      <c r="J12260" s="2"/>
      <c r="K12260" s="2"/>
      <c r="L12260" s="2"/>
    </row>
    <row r="12261" spans="8:12" x14ac:dyDescent="0.3">
      <c r="H12261" s="2"/>
      <c r="I12261" s="2"/>
      <c r="J12261" s="2"/>
      <c r="K12261" s="2"/>
      <c r="L12261" s="2"/>
    </row>
    <row r="12262" spans="8:12" x14ac:dyDescent="0.3">
      <c r="H12262" s="2"/>
      <c r="I12262" s="2"/>
      <c r="J12262" s="2"/>
      <c r="K12262" s="2"/>
      <c r="L12262" s="2"/>
    </row>
    <row r="12263" spans="8:12" x14ac:dyDescent="0.3">
      <c r="H12263" s="2"/>
      <c r="I12263" s="2"/>
      <c r="J12263" s="2"/>
      <c r="K12263" s="2"/>
      <c r="L12263" s="2"/>
    </row>
    <row r="12264" spans="8:12" x14ac:dyDescent="0.3">
      <c r="H12264" s="2"/>
      <c r="I12264" s="2"/>
      <c r="J12264" s="2"/>
      <c r="K12264" s="2"/>
      <c r="L12264" s="2"/>
    </row>
    <row r="12265" spans="8:12" x14ac:dyDescent="0.3">
      <c r="H12265" s="2"/>
      <c r="I12265" s="2"/>
      <c r="J12265" s="2"/>
      <c r="K12265" s="2"/>
      <c r="L12265" s="2"/>
    </row>
    <row r="12266" spans="8:12" x14ac:dyDescent="0.3">
      <c r="H12266" s="2"/>
      <c r="I12266" s="2"/>
      <c r="J12266" s="2"/>
      <c r="K12266" s="2"/>
      <c r="L12266" s="2"/>
    </row>
    <row r="12267" spans="8:12" x14ac:dyDescent="0.3">
      <c r="H12267" s="2"/>
      <c r="I12267" s="2"/>
      <c r="J12267" s="2"/>
      <c r="K12267" s="2"/>
      <c r="L12267" s="2"/>
    </row>
    <row r="12268" spans="8:12" x14ac:dyDescent="0.3">
      <c r="H12268" s="2"/>
      <c r="I12268" s="2"/>
      <c r="J12268" s="2"/>
      <c r="K12268" s="2"/>
      <c r="L12268" s="2"/>
    </row>
    <row r="12269" spans="8:12" x14ac:dyDescent="0.3">
      <c r="H12269" s="2"/>
      <c r="I12269" s="2"/>
      <c r="J12269" s="2"/>
      <c r="K12269" s="2"/>
      <c r="L12269" s="2"/>
    </row>
    <row r="12270" spans="8:12" x14ac:dyDescent="0.3">
      <c r="H12270" s="2"/>
      <c r="I12270" s="2"/>
      <c r="J12270" s="2"/>
      <c r="K12270" s="2"/>
      <c r="L12270" s="2"/>
    </row>
    <row r="12271" spans="8:12" x14ac:dyDescent="0.3">
      <c r="H12271" s="2"/>
      <c r="I12271" s="2"/>
      <c r="J12271" s="2"/>
      <c r="K12271" s="2"/>
      <c r="L12271" s="2"/>
    </row>
    <row r="12272" spans="8:12" x14ac:dyDescent="0.3">
      <c r="H12272" s="2"/>
      <c r="I12272" s="2"/>
      <c r="J12272" s="2"/>
      <c r="K12272" s="2"/>
      <c r="L12272" s="2"/>
    </row>
    <row r="12273" spans="8:12" x14ac:dyDescent="0.3">
      <c r="H12273" s="2"/>
      <c r="I12273" s="2"/>
      <c r="J12273" s="2"/>
      <c r="K12273" s="2"/>
      <c r="L12273" s="2"/>
    </row>
    <row r="12274" spans="8:12" x14ac:dyDescent="0.3">
      <c r="H12274" s="2"/>
      <c r="I12274" s="2"/>
      <c r="J12274" s="2"/>
      <c r="K12274" s="2"/>
      <c r="L12274" s="2"/>
    </row>
    <row r="12275" spans="8:12" x14ac:dyDescent="0.3">
      <c r="H12275" s="2"/>
      <c r="I12275" s="2"/>
      <c r="J12275" s="2"/>
      <c r="K12275" s="2"/>
      <c r="L12275" s="2"/>
    </row>
    <row r="12276" spans="8:12" x14ac:dyDescent="0.3">
      <c r="H12276" s="2"/>
      <c r="I12276" s="2"/>
      <c r="J12276" s="2"/>
      <c r="K12276" s="2"/>
      <c r="L12276" s="2"/>
    </row>
    <row r="12277" spans="8:12" x14ac:dyDescent="0.3">
      <c r="H12277" s="2"/>
      <c r="I12277" s="2"/>
      <c r="J12277" s="2"/>
      <c r="K12277" s="2"/>
      <c r="L12277" s="2"/>
    </row>
    <row r="12278" spans="8:12" x14ac:dyDescent="0.3">
      <c r="H12278" s="2"/>
      <c r="I12278" s="2"/>
      <c r="J12278" s="2"/>
      <c r="K12278" s="2"/>
      <c r="L12278" s="2"/>
    </row>
    <row r="12279" spans="8:12" x14ac:dyDescent="0.3">
      <c r="H12279" s="2"/>
      <c r="I12279" s="2"/>
      <c r="J12279" s="2"/>
      <c r="K12279" s="2"/>
      <c r="L12279" s="2"/>
    </row>
    <row r="12280" spans="8:12" x14ac:dyDescent="0.3">
      <c r="H12280" s="2"/>
      <c r="I12280" s="2"/>
      <c r="J12280" s="2"/>
      <c r="K12280" s="2"/>
      <c r="L12280" s="2"/>
    </row>
    <row r="12281" spans="8:12" x14ac:dyDescent="0.3">
      <c r="H12281" s="2"/>
      <c r="I12281" s="2"/>
      <c r="J12281" s="2"/>
      <c r="K12281" s="2"/>
      <c r="L12281" s="2"/>
    </row>
    <row r="12282" spans="8:12" x14ac:dyDescent="0.3">
      <c r="H12282" s="2"/>
      <c r="I12282" s="2"/>
      <c r="J12282" s="2"/>
      <c r="K12282" s="2"/>
      <c r="L12282" s="2"/>
    </row>
    <row r="12283" spans="8:12" x14ac:dyDescent="0.3">
      <c r="H12283" s="2"/>
      <c r="I12283" s="2"/>
      <c r="J12283" s="2"/>
      <c r="K12283" s="2"/>
      <c r="L12283" s="2"/>
    </row>
    <row r="12284" spans="8:12" x14ac:dyDescent="0.3">
      <c r="H12284" s="2"/>
      <c r="I12284" s="2"/>
      <c r="J12284" s="2"/>
      <c r="K12284" s="2"/>
      <c r="L12284" s="2"/>
    </row>
    <row r="12285" spans="8:12" x14ac:dyDescent="0.3">
      <c r="H12285" s="2"/>
      <c r="I12285" s="2"/>
      <c r="J12285" s="2"/>
      <c r="K12285" s="2"/>
      <c r="L12285" s="2"/>
    </row>
    <row r="12286" spans="8:12" x14ac:dyDescent="0.3">
      <c r="H12286" s="2"/>
      <c r="I12286" s="2"/>
      <c r="J12286" s="2"/>
      <c r="K12286" s="2"/>
      <c r="L12286" s="2"/>
    </row>
    <row r="12287" spans="8:12" x14ac:dyDescent="0.3">
      <c r="H12287" s="2"/>
      <c r="I12287" s="2"/>
      <c r="J12287" s="2"/>
      <c r="K12287" s="2"/>
      <c r="L12287" s="2"/>
    </row>
    <row r="12288" spans="8:12" x14ac:dyDescent="0.3">
      <c r="H12288" s="2"/>
      <c r="I12288" s="2"/>
      <c r="J12288" s="2"/>
      <c r="K12288" s="2"/>
      <c r="L12288" s="2"/>
    </row>
    <row r="12289" spans="8:12" x14ac:dyDescent="0.3">
      <c r="H12289" s="2"/>
      <c r="I12289" s="2"/>
      <c r="J12289" s="2"/>
      <c r="K12289" s="2"/>
      <c r="L12289" s="2"/>
    </row>
    <row r="12290" spans="8:12" x14ac:dyDescent="0.3">
      <c r="H12290" s="2"/>
      <c r="I12290" s="2"/>
      <c r="J12290" s="2"/>
      <c r="K12290" s="2"/>
      <c r="L12290" s="2"/>
    </row>
    <row r="12291" spans="8:12" x14ac:dyDescent="0.3">
      <c r="H12291" s="2"/>
      <c r="I12291" s="2"/>
      <c r="J12291" s="2"/>
      <c r="K12291" s="2"/>
      <c r="L12291" s="2"/>
    </row>
    <row r="12292" spans="8:12" x14ac:dyDescent="0.3">
      <c r="H12292" s="2"/>
      <c r="I12292" s="2"/>
      <c r="J12292" s="2"/>
      <c r="K12292" s="2"/>
      <c r="L12292" s="2"/>
    </row>
    <row r="12293" spans="8:12" x14ac:dyDescent="0.3">
      <c r="H12293" s="2"/>
      <c r="I12293" s="2"/>
      <c r="J12293" s="2"/>
      <c r="K12293" s="2"/>
      <c r="L12293" s="2"/>
    </row>
    <row r="12294" spans="8:12" x14ac:dyDescent="0.3">
      <c r="H12294" s="2"/>
      <c r="I12294" s="2"/>
      <c r="J12294" s="2"/>
      <c r="K12294" s="2"/>
      <c r="L12294" s="2"/>
    </row>
    <row r="12295" spans="8:12" x14ac:dyDescent="0.3">
      <c r="H12295" s="2"/>
      <c r="I12295" s="2"/>
      <c r="J12295" s="2"/>
      <c r="K12295" s="2"/>
      <c r="L12295" s="2"/>
    </row>
    <row r="12296" spans="8:12" x14ac:dyDescent="0.3">
      <c r="H12296" s="2"/>
      <c r="I12296" s="2"/>
      <c r="J12296" s="2"/>
      <c r="K12296" s="2"/>
      <c r="L12296" s="2"/>
    </row>
    <row r="12297" spans="8:12" x14ac:dyDescent="0.3">
      <c r="H12297" s="2"/>
      <c r="I12297" s="2"/>
      <c r="J12297" s="2"/>
      <c r="K12297" s="2"/>
      <c r="L12297" s="2"/>
    </row>
    <row r="12298" spans="8:12" x14ac:dyDescent="0.3">
      <c r="H12298" s="2"/>
      <c r="I12298" s="2"/>
      <c r="J12298" s="2"/>
      <c r="K12298" s="2"/>
      <c r="L12298" s="2"/>
    </row>
    <row r="12299" spans="8:12" x14ac:dyDescent="0.3">
      <c r="H12299" s="2"/>
      <c r="I12299" s="2"/>
      <c r="J12299" s="2"/>
      <c r="K12299" s="2"/>
      <c r="L12299" s="2"/>
    </row>
    <row r="12300" spans="8:12" x14ac:dyDescent="0.3">
      <c r="H12300" s="2"/>
      <c r="I12300" s="2"/>
      <c r="J12300" s="2"/>
      <c r="K12300" s="2"/>
      <c r="L12300" s="2"/>
    </row>
    <row r="12301" spans="8:12" x14ac:dyDescent="0.3">
      <c r="H12301" s="2"/>
      <c r="I12301" s="2"/>
      <c r="J12301" s="2"/>
      <c r="K12301" s="2"/>
      <c r="L12301" s="2"/>
    </row>
    <row r="12302" spans="8:12" x14ac:dyDescent="0.3">
      <c r="H12302" s="2"/>
      <c r="I12302" s="2"/>
      <c r="J12302" s="2"/>
      <c r="K12302" s="2"/>
      <c r="L12302" s="2"/>
    </row>
    <row r="12303" spans="8:12" x14ac:dyDescent="0.3">
      <c r="H12303" s="2"/>
      <c r="I12303" s="2"/>
      <c r="J12303" s="2"/>
      <c r="K12303" s="2"/>
      <c r="L12303" s="2"/>
    </row>
    <row r="12304" spans="8:12" x14ac:dyDescent="0.3">
      <c r="H12304" s="2"/>
      <c r="I12304" s="2"/>
      <c r="J12304" s="2"/>
      <c r="K12304" s="2"/>
      <c r="L12304" s="2"/>
    </row>
    <row r="12305" spans="8:12" x14ac:dyDescent="0.3">
      <c r="H12305" s="2"/>
      <c r="I12305" s="2"/>
      <c r="J12305" s="2"/>
      <c r="K12305" s="2"/>
      <c r="L12305" s="2"/>
    </row>
    <row r="12306" spans="8:12" x14ac:dyDescent="0.3">
      <c r="H12306" s="2"/>
      <c r="I12306" s="2"/>
      <c r="J12306" s="2"/>
      <c r="K12306" s="2"/>
      <c r="L12306" s="2"/>
    </row>
    <row r="12307" spans="8:12" x14ac:dyDescent="0.3">
      <c r="H12307" s="2"/>
      <c r="I12307" s="2"/>
      <c r="J12307" s="2"/>
      <c r="K12307" s="2"/>
      <c r="L12307" s="2"/>
    </row>
    <row r="12308" spans="8:12" x14ac:dyDescent="0.3">
      <c r="H12308" s="2"/>
      <c r="I12308" s="2"/>
      <c r="J12308" s="2"/>
      <c r="K12308" s="2"/>
      <c r="L12308" s="2"/>
    </row>
    <row r="12309" spans="8:12" x14ac:dyDescent="0.3">
      <c r="H12309" s="2"/>
      <c r="I12309" s="2"/>
      <c r="J12309" s="2"/>
      <c r="K12309" s="2"/>
      <c r="L12309" s="2"/>
    </row>
    <row r="12310" spans="8:12" x14ac:dyDescent="0.3">
      <c r="H12310" s="2"/>
      <c r="I12310" s="2"/>
      <c r="J12310" s="2"/>
      <c r="K12310" s="2"/>
      <c r="L12310" s="2"/>
    </row>
    <row r="12311" spans="8:12" x14ac:dyDescent="0.3">
      <c r="H12311" s="2"/>
      <c r="I12311" s="2"/>
      <c r="J12311" s="2"/>
      <c r="K12311" s="2"/>
      <c r="L12311" s="2"/>
    </row>
    <row r="12312" spans="8:12" x14ac:dyDescent="0.3">
      <c r="H12312" s="2"/>
      <c r="I12312" s="2"/>
      <c r="J12312" s="2"/>
      <c r="K12312" s="2"/>
      <c r="L12312" s="2"/>
    </row>
    <row r="12313" spans="8:12" x14ac:dyDescent="0.3">
      <c r="H12313" s="2"/>
      <c r="I12313" s="2"/>
      <c r="J12313" s="2"/>
      <c r="K12313" s="2"/>
      <c r="L12313" s="2"/>
    </row>
    <row r="12314" spans="8:12" x14ac:dyDescent="0.3">
      <c r="H12314" s="2"/>
      <c r="I12314" s="2"/>
      <c r="J12314" s="2"/>
      <c r="K12314" s="2"/>
      <c r="L12314" s="2"/>
    </row>
    <row r="12315" spans="8:12" x14ac:dyDescent="0.3">
      <c r="H12315" s="2"/>
      <c r="I12315" s="2"/>
      <c r="J12315" s="2"/>
      <c r="K12315" s="2"/>
      <c r="L12315" s="2"/>
    </row>
    <row r="12316" spans="8:12" x14ac:dyDescent="0.3">
      <c r="H12316" s="2"/>
      <c r="I12316" s="2"/>
      <c r="J12316" s="2"/>
      <c r="K12316" s="2"/>
      <c r="L12316" s="2"/>
    </row>
    <row r="12317" spans="8:12" x14ac:dyDescent="0.3">
      <c r="H12317" s="2"/>
      <c r="I12317" s="2"/>
      <c r="J12317" s="2"/>
      <c r="K12317" s="2"/>
      <c r="L12317" s="2"/>
    </row>
    <row r="12318" spans="8:12" x14ac:dyDescent="0.3">
      <c r="H12318" s="2"/>
      <c r="I12318" s="2"/>
      <c r="J12318" s="2"/>
      <c r="K12318" s="2"/>
      <c r="L12318" s="2"/>
    </row>
    <row r="12319" spans="8:12" x14ac:dyDescent="0.3">
      <c r="H12319" s="2"/>
      <c r="I12319" s="2"/>
      <c r="J12319" s="2"/>
      <c r="K12319" s="2"/>
      <c r="L12319" s="2"/>
    </row>
    <row r="12320" spans="8:12" x14ac:dyDescent="0.3">
      <c r="H12320" s="2"/>
      <c r="I12320" s="2"/>
      <c r="J12320" s="2"/>
      <c r="K12320" s="2"/>
      <c r="L12320" s="2"/>
    </row>
    <row r="12321" spans="8:12" x14ac:dyDescent="0.3">
      <c r="H12321" s="2"/>
      <c r="I12321" s="2"/>
      <c r="J12321" s="2"/>
      <c r="K12321" s="2"/>
      <c r="L12321" s="2"/>
    </row>
    <row r="12322" spans="8:12" x14ac:dyDescent="0.3">
      <c r="H12322" s="2"/>
      <c r="I12322" s="2"/>
      <c r="J12322" s="2"/>
      <c r="K12322" s="2"/>
      <c r="L12322" s="2"/>
    </row>
    <row r="12323" spans="8:12" x14ac:dyDescent="0.3">
      <c r="H12323" s="2"/>
      <c r="I12323" s="2"/>
      <c r="J12323" s="2"/>
      <c r="K12323" s="2"/>
      <c r="L12323" s="2"/>
    </row>
    <row r="12324" spans="8:12" x14ac:dyDescent="0.3">
      <c r="H12324" s="2"/>
      <c r="I12324" s="2"/>
      <c r="J12324" s="2"/>
      <c r="K12324" s="2"/>
      <c r="L12324" s="2"/>
    </row>
    <row r="12325" spans="8:12" x14ac:dyDescent="0.3">
      <c r="H12325" s="2"/>
      <c r="I12325" s="2"/>
      <c r="J12325" s="2"/>
      <c r="K12325" s="2"/>
      <c r="L12325" s="2"/>
    </row>
    <row r="12326" spans="8:12" x14ac:dyDescent="0.3">
      <c r="H12326" s="2"/>
      <c r="I12326" s="2"/>
      <c r="J12326" s="2"/>
      <c r="K12326" s="2"/>
      <c r="L12326" s="2"/>
    </row>
    <row r="12327" spans="8:12" x14ac:dyDescent="0.3">
      <c r="H12327" s="2"/>
      <c r="I12327" s="2"/>
      <c r="J12327" s="2"/>
      <c r="K12327" s="2"/>
      <c r="L12327" s="2"/>
    </row>
    <row r="12328" spans="8:12" x14ac:dyDescent="0.3">
      <c r="H12328" s="2"/>
      <c r="I12328" s="2"/>
      <c r="J12328" s="2"/>
      <c r="K12328" s="2"/>
      <c r="L12328" s="2"/>
    </row>
    <row r="12329" spans="8:12" x14ac:dyDescent="0.3">
      <c r="H12329" s="2"/>
      <c r="I12329" s="2"/>
      <c r="J12329" s="2"/>
      <c r="K12329" s="2"/>
      <c r="L12329" s="2"/>
    </row>
    <row r="12330" spans="8:12" x14ac:dyDescent="0.3">
      <c r="H12330" s="2"/>
      <c r="I12330" s="2"/>
      <c r="J12330" s="2"/>
      <c r="K12330" s="2"/>
      <c r="L12330" s="2"/>
    </row>
    <row r="12331" spans="8:12" x14ac:dyDescent="0.3">
      <c r="H12331" s="2"/>
      <c r="I12331" s="2"/>
      <c r="J12331" s="2"/>
      <c r="K12331" s="2"/>
      <c r="L12331" s="2"/>
    </row>
    <row r="12332" spans="8:12" x14ac:dyDescent="0.3">
      <c r="H12332" s="2"/>
      <c r="I12332" s="2"/>
      <c r="J12332" s="2"/>
      <c r="K12332" s="2"/>
      <c r="L12332" s="2"/>
    </row>
    <row r="12333" spans="8:12" x14ac:dyDescent="0.3">
      <c r="H12333" s="2"/>
      <c r="I12333" s="2"/>
      <c r="J12333" s="2"/>
      <c r="K12333" s="2"/>
      <c r="L12333" s="2"/>
    </row>
    <row r="12334" spans="8:12" x14ac:dyDescent="0.3">
      <c r="H12334" s="2"/>
      <c r="I12334" s="2"/>
      <c r="J12334" s="2"/>
      <c r="K12334" s="2"/>
      <c r="L12334" s="2"/>
    </row>
    <row r="12335" spans="8:12" x14ac:dyDescent="0.3">
      <c r="H12335" s="2"/>
      <c r="I12335" s="2"/>
      <c r="J12335" s="2"/>
      <c r="K12335" s="2"/>
      <c r="L12335" s="2"/>
    </row>
    <row r="12336" spans="8:12" x14ac:dyDescent="0.3">
      <c r="H12336" s="2"/>
      <c r="I12336" s="2"/>
      <c r="J12336" s="2"/>
      <c r="K12336" s="2"/>
      <c r="L12336" s="2"/>
    </row>
    <row r="12337" spans="8:12" x14ac:dyDescent="0.3">
      <c r="H12337" s="2"/>
      <c r="I12337" s="2"/>
      <c r="J12337" s="2"/>
      <c r="K12337" s="2"/>
      <c r="L12337" s="2"/>
    </row>
    <row r="12338" spans="8:12" x14ac:dyDescent="0.3">
      <c r="H12338" s="2"/>
      <c r="I12338" s="2"/>
      <c r="J12338" s="2"/>
      <c r="K12338" s="2"/>
      <c r="L12338" s="2"/>
    </row>
    <row r="12339" spans="8:12" x14ac:dyDescent="0.3">
      <c r="H12339" s="2"/>
      <c r="I12339" s="2"/>
      <c r="J12339" s="2"/>
      <c r="K12339" s="2"/>
      <c r="L12339" s="2"/>
    </row>
    <row r="12340" spans="8:12" x14ac:dyDescent="0.3">
      <c r="H12340" s="2"/>
      <c r="I12340" s="2"/>
      <c r="J12340" s="2"/>
      <c r="K12340" s="2"/>
      <c r="L12340" s="2"/>
    </row>
    <row r="12341" spans="8:12" x14ac:dyDescent="0.3">
      <c r="H12341" s="2"/>
      <c r="I12341" s="2"/>
      <c r="J12341" s="2"/>
      <c r="K12341" s="2"/>
      <c r="L12341" s="2"/>
    </row>
    <row r="12342" spans="8:12" x14ac:dyDescent="0.3">
      <c r="H12342" s="2"/>
      <c r="I12342" s="2"/>
      <c r="J12342" s="2"/>
      <c r="K12342" s="2"/>
      <c r="L12342" s="2"/>
    </row>
    <row r="12343" spans="8:12" x14ac:dyDescent="0.3">
      <c r="H12343" s="2"/>
      <c r="I12343" s="2"/>
      <c r="J12343" s="2"/>
      <c r="K12343" s="2"/>
      <c r="L12343" s="2"/>
    </row>
    <row r="12344" spans="8:12" x14ac:dyDescent="0.3">
      <c r="H12344" s="2"/>
      <c r="I12344" s="2"/>
      <c r="J12344" s="2"/>
      <c r="K12344" s="2"/>
      <c r="L12344" s="2"/>
    </row>
    <row r="12345" spans="8:12" x14ac:dyDescent="0.3">
      <c r="H12345" s="2"/>
      <c r="I12345" s="2"/>
      <c r="J12345" s="2"/>
      <c r="K12345" s="2"/>
      <c r="L12345" s="2"/>
    </row>
    <row r="12346" spans="8:12" x14ac:dyDescent="0.3">
      <c r="H12346" s="2"/>
      <c r="I12346" s="2"/>
      <c r="J12346" s="2"/>
      <c r="K12346" s="2"/>
      <c r="L12346" s="2"/>
    </row>
    <row r="12347" spans="8:12" x14ac:dyDescent="0.3">
      <c r="H12347" s="2"/>
      <c r="I12347" s="2"/>
      <c r="J12347" s="2"/>
      <c r="K12347" s="2"/>
      <c r="L12347" s="2"/>
    </row>
    <row r="12348" spans="8:12" x14ac:dyDescent="0.3">
      <c r="H12348" s="2"/>
      <c r="I12348" s="2"/>
      <c r="J12348" s="2"/>
      <c r="K12348" s="2"/>
      <c r="L12348" s="2"/>
    </row>
    <row r="12349" spans="8:12" x14ac:dyDescent="0.3">
      <c r="H12349" s="2"/>
      <c r="I12349" s="2"/>
      <c r="J12349" s="2"/>
      <c r="K12349" s="2"/>
      <c r="L12349" s="2"/>
    </row>
    <row r="12350" spans="8:12" x14ac:dyDescent="0.3">
      <c r="H12350" s="2"/>
      <c r="I12350" s="2"/>
      <c r="J12350" s="2"/>
      <c r="K12350" s="2"/>
      <c r="L12350" s="2"/>
    </row>
    <row r="12351" spans="8:12" x14ac:dyDescent="0.3">
      <c r="H12351" s="2"/>
      <c r="I12351" s="2"/>
      <c r="J12351" s="2"/>
      <c r="K12351" s="2"/>
      <c r="L12351" s="2"/>
    </row>
    <row r="12352" spans="8:12" x14ac:dyDescent="0.3">
      <c r="H12352" s="2"/>
      <c r="I12352" s="2"/>
      <c r="J12352" s="2"/>
      <c r="K12352" s="2"/>
      <c r="L12352" s="2"/>
    </row>
    <row r="12353" spans="8:12" x14ac:dyDescent="0.3">
      <c r="H12353" s="2"/>
      <c r="I12353" s="2"/>
      <c r="J12353" s="2"/>
      <c r="K12353" s="2"/>
      <c r="L12353" s="2"/>
    </row>
    <row r="12354" spans="8:12" x14ac:dyDescent="0.3">
      <c r="H12354" s="2"/>
      <c r="I12354" s="2"/>
      <c r="J12354" s="2"/>
      <c r="K12354" s="2"/>
      <c r="L12354" s="2"/>
    </row>
    <row r="12355" spans="8:12" x14ac:dyDescent="0.3">
      <c r="H12355" s="2"/>
      <c r="I12355" s="2"/>
      <c r="J12355" s="2"/>
      <c r="K12355" s="2"/>
      <c r="L12355" s="2"/>
    </row>
    <row r="12356" spans="8:12" x14ac:dyDescent="0.3">
      <c r="H12356" s="2"/>
      <c r="I12356" s="2"/>
      <c r="J12356" s="2"/>
      <c r="K12356" s="2"/>
      <c r="L12356" s="2"/>
    </row>
    <row r="12357" spans="8:12" x14ac:dyDescent="0.3">
      <c r="H12357" s="2"/>
      <c r="I12357" s="2"/>
      <c r="J12357" s="2"/>
      <c r="K12357" s="2"/>
      <c r="L12357" s="2"/>
    </row>
    <row r="12358" spans="8:12" x14ac:dyDescent="0.3">
      <c r="H12358" s="2"/>
      <c r="I12358" s="2"/>
      <c r="J12358" s="2"/>
      <c r="K12358" s="2"/>
      <c r="L12358" s="2"/>
    </row>
    <row r="12359" spans="8:12" x14ac:dyDescent="0.3">
      <c r="H12359" s="2"/>
      <c r="I12359" s="2"/>
      <c r="J12359" s="2"/>
      <c r="K12359" s="2"/>
      <c r="L12359" s="2"/>
    </row>
    <row r="12360" spans="8:12" x14ac:dyDescent="0.3">
      <c r="H12360" s="2"/>
      <c r="I12360" s="2"/>
      <c r="J12360" s="2"/>
      <c r="K12360" s="2"/>
      <c r="L12360" s="2"/>
    </row>
    <row r="12361" spans="8:12" x14ac:dyDescent="0.3">
      <c r="H12361" s="2"/>
      <c r="I12361" s="2"/>
      <c r="J12361" s="2"/>
      <c r="K12361" s="2"/>
      <c r="L12361" s="2"/>
    </row>
    <row r="12362" spans="8:12" x14ac:dyDescent="0.3">
      <c r="H12362" s="2"/>
      <c r="I12362" s="2"/>
      <c r="J12362" s="2"/>
      <c r="K12362" s="2"/>
      <c r="L12362" s="2"/>
    </row>
    <row r="12363" spans="8:12" x14ac:dyDescent="0.3">
      <c r="H12363" s="2"/>
      <c r="I12363" s="2"/>
      <c r="J12363" s="2"/>
      <c r="K12363" s="2"/>
      <c r="L12363" s="2"/>
    </row>
    <row r="12364" spans="8:12" x14ac:dyDescent="0.3">
      <c r="H12364" s="2"/>
      <c r="I12364" s="2"/>
      <c r="J12364" s="2"/>
      <c r="K12364" s="2"/>
      <c r="L12364" s="2"/>
    </row>
    <row r="12365" spans="8:12" x14ac:dyDescent="0.3">
      <c r="H12365" s="2"/>
      <c r="I12365" s="2"/>
      <c r="J12365" s="2"/>
      <c r="K12365" s="2"/>
      <c r="L12365" s="2"/>
    </row>
    <row r="12366" spans="8:12" x14ac:dyDescent="0.3">
      <c r="H12366" s="2"/>
      <c r="I12366" s="2"/>
      <c r="J12366" s="2"/>
      <c r="K12366" s="2"/>
      <c r="L12366" s="2"/>
    </row>
    <row r="12367" spans="8:12" x14ac:dyDescent="0.3">
      <c r="H12367" s="2"/>
      <c r="I12367" s="2"/>
      <c r="J12367" s="2"/>
      <c r="K12367" s="2"/>
      <c r="L12367" s="2"/>
    </row>
    <row r="12368" spans="8:12" x14ac:dyDescent="0.3">
      <c r="H12368" s="2"/>
      <c r="I12368" s="2"/>
      <c r="J12368" s="2"/>
      <c r="K12368" s="2"/>
      <c r="L12368" s="2"/>
    </row>
    <row r="12369" spans="8:12" x14ac:dyDescent="0.3">
      <c r="H12369" s="2"/>
      <c r="I12369" s="2"/>
      <c r="J12369" s="2"/>
      <c r="K12369" s="2"/>
      <c r="L12369" s="2"/>
    </row>
    <row r="12370" spans="8:12" x14ac:dyDescent="0.3">
      <c r="H12370" s="2"/>
      <c r="I12370" s="2"/>
      <c r="J12370" s="2"/>
      <c r="K12370" s="2"/>
      <c r="L12370" s="2"/>
    </row>
    <row r="12371" spans="8:12" x14ac:dyDescent="0.3">
      <c r="H12371" s="2"/>
      <c r="I12371" s="2"/>
      <c r="J12371" s="2"/>
      <c r="K12371" s="2"/>
      <c r="L12371" s="2"/>
    </row>
    <row r="12372" spans="8:12" x14ac:dyDescent="0.3">
      <c r="H12372" s="2"/>
      <c r="I12372" s="2"/>
      <c r="J12372" s="2"/>
      <c r="K12372" s="2"/>
      <c r="L12372" s="2"/>
    </row>
    <row r="12373" spans="8:12" x14ac:dyDescent="0.3">
      <c r="H12373" s="2"/>
      <c r="I12373" s="2"/>
      <c r="J12373" s="2"/>
      <c r="K12373" s="2"/>
      <c r="L12373" s="2"/>
    </row>
    <row r="12374" spans="8:12" x14ac:dyDescent="0.3">
      <c r="H12374" s="2"/>
      <c r="I12374" s="2"/>
      <c r="J12374" s="2"/>
      <c r="K12374" s="2"/>
      <c r="L12374" s="2"/>
    </row>
    <row r="12375" spans="8:12" x14ac:dyDescent="0.3">
      <c r="H12375" s="2"/>
      <c r="I12375" s="2"/>
      <c r="J12375" s="2"/>
      <c r="K12375" s="2"/>
      <c r="L12375" s="2"/>
    </row>
    <row r="12376" spans="8:12" x14ac:dyDescent="0.3">
      <c r="H12376" s="2"/>
      <c r="I12376" s="2"/>
      <c r="J12376" s="2"/>
      <c r="K12376" s="2"/>
      <c r="L12376" s="2"/>
    </row>
    <row r="12377" spans="8:12" x14ac:dyDescent="0.3">
      <c r="H12377" s="2"/>
      <c r="I12377" s="2"/>
      <c r="J12377" s="2"/>
      <c r="K12377" s="2"/>
      <c r="L12377" s="2"/>
    </row>
    <row r="12378" spans="8:12" x14ac:dyDescent="0.3">
      <c r="H12378" s="2"/>
      <c r="I12378" s="2"/>
      <c r="J12378" s="2"/>
      <c r="K12378" s="2"/>
      <c r="L12378" s="2"/>
    </row>
    <row r="12379" spans="8:12" x14ac:dyDescent="0.3">
      <c r="H12379" s="2"/>
      <c r="I12379" s="2"/>
      <c r="J12379" s="2"/>
      <c r="K12379" s="2"/>
      <c r="L12379" s="2"/>
    </row>
    <row r="12380" spans="8:12" x14ac:dyDescent="0.3">
      <c r="H12380" s="2"/>
      <c r="I12380" s="2"/>
      <c r="J12380" s="2"/>
      <c r="K12380" s="2"/>
      <c r="L12380" s="2"/>
    </row>
    <row r="12381" spans="8:12" x14ac:dyDescent="0.3">
      <c r="H12381" s="2"/>
      <c r="I12381" s="2"/>
      <c r="J12381" s="2"/>
      <c r="K12381" s="2"/>
      <c r="L12381" s="2"/>
    </row>
    <row r="12382" spans="8:12" x14ac:dyDescent="0.3">
      <c r="H12382" s="2"/>
      <c r="I12382" s="2"/>
      <c r="J12382" s="2"/>
      <c r="K12382" s="2"/>
      <c r="L12382" s="2"/>
    </row>
    <row r="12383" spans="8:12" x14ac:dyDescent="0.3">
      <c r="H12383" s="2"/>
      <c r="I12383" s="2"/>
      <c r="J12383" s="2"/>
      <c r="K12383" s="2"/>
      <c r="L12383" s="2"/>
    </row>
    <row r="12384" spans="8:12" x14ac:dyDescent="0.3">
      <c r="H12384" s="2"/>
      <c r="I12384" s="2"/>
      <c r="J12384" s="2"/>
      <c r="K12384" s="2"/>
      <c r="L12384" s="2"/>
    </row>
    <row r="12385" spans="8:12" x14ac:dyDescent="0.3">
      <c r="H12385" s="2"/>
      <c r="I12385" s="2"/>
      <c r="J12385" s="2"/>
      <c r="K12385" s="2"/>
      <c r="L12385" s="2"/>
    </row>
    <row r="12386" spans="8:12" x14ac:dyDescent="0.3">
      <c r="H12386" s="2"/>
      <c r="I12386" s="2"/>
      <c r="J12386" s="2"/>
      <c r="K12386" s="2"/>
      <c r="L12386" s="2"/>
    </row>
    <row r="12387" spans="8:12" x14ac:dyDescent="0.3">
      <c r="H12387" s="2"/>
      <c r="I12387" s="2"/>
      <c r="J12387" s="2"/>
      <c r="K12387" s="2"/>
      <c r="L12387" s="2"/>
    </row>
    <row r="12388" spans="8:12" x14ac:dyDescent="0.3">
      <c r="H12388" s="2"/>
      <c r="I12388" s="2"/>
      <c r="J12388" s="2"/>
      <c r="K12388" s="2"/>
      <c r="L12388" s="2"/>
    </row>
    <row r="12389" spans="8:12" x14ac:dyDescent="0.3">
      <c r="H12389" s="2"/>
      <c r="I12389" s="2"/>
      <c r="J12389" s="2"/>
      <c r="K12389" s="2"/>
      <c r="L12389" s="2"/>
    </row>
    <row r="12390" spans="8:12" x14ac:dyDescent="0.3">
      <c r="H12390" s="2"/>
      <c r="I12390" s="2"/>
      <c r="J12390" s="2"/>
      <c r="K12390" s="2"/>
      <c r="L12390" s="2"/>
    </row>
    <row r="12391" spans="8:12" x14ac:dyDescent="0.3">
      <c r="H12391" s="2"/>
      <c r="I12391" s="2"/>
      <c r="J12391" s="2"/>
      <c r="K12391" s="2"/>
      <c r="L12391" s="2"/>
    </row>
    <row r="12392" spans="8:12" x14ac:dyDescent="0.3">
      <c r="H12392" s="2"/>
      <c r="I12392" s="2"/>
      <c r="J12392" s="2"/>
      <c r="K12392" s="2"/>
      <c r="L12392" s="2"/>
    </row>
    <row r="12393" spans="8:12" x14ac:dyDescent="0.3">
      <c r="H12393" s="2"/>
      <c r="I12393" s="2"/>
      <c r="J12393" s="2"/>
      <c r="K12393" s="2"/>
      <c r="L12393" s="2"/>
    </row>
    <row r="12394" spans="8:12" x14ac:dyDescent="0.3">
      <c r="H12394" s="2"/>
      <c r="I12394" s="2"/>
      <c r="J12394" s="2"/>
      <c r="K12394" s="2"/>
      <c r="L12394" s="2"/>
    </row>
    <row r="12395" spans="8:12" x14ac:dyDescent="0.3">
      <c r="H12395" s="2"/>
      <c r="I12395" s="2"/>
      <c r="J12395" s="2"/>
      <c r="K12395" s="2"/>
      <c r="L12395" s="2"/>
    </row>
    <row r="12396" spans="8:12" x14ac:dyDescent="0.3">
      <c r="H12396" s="2"/>
      <c r="I12396" s="2"/>
      <c r="J12396" s="2"/>
      <c r="K12396" s="2"/>
      <c r="L12396" s="2"/>
    </row>
    <row r="12397" spans="8:12" x14ac:dyDescent="0.3">
      <c r="H12397" s="2"/>
      <c r="I12397" s="2"/>
      <c r="J12397" s="2"/>
      <c r="K12397" s="2"/>
      <c r="L12397" s="2"/>
    </row>
    <row r="12398" spans="8:12" x14ac:dyDescent="0.3">
      <c r="H12398" s="2"/>
      <c r="I12398" s="2"/>
      <c r="J12398" s="2"/>
      <c r="K12398" s="2"/>
      <c r="L12398" s="2"/>
    </row>
    <row r="12399" spans="8:12" x14ac:dyDescent="0.3">
      <c r="H12399" s="2"/>
      <c r="I12399" s="2"/>
      <c r="J12399" s="2"/>
      <c r="K12399" s="2"/>
      <c r="L12399" s="2"/>
    </row>
    <row r="12400" spans="8:12" x14ac:dyDescent="0.3">
      <c r="H12400" s="2"/>
      <c r="I12400" s="2"/>
      <c r="J12400" s="2"/>
      <c r="K12400" s="2"/>
      <c r="L12400" s="2"/>
    </row>
    <row r="12401" spans="8:12" x14ac:dyDescent="0.3">
      <c r="H12401" s="2"/>
      <c r="I12401" s="2"/>
      <c r="J12401" s="2"/>
      <c r="K12401" s="2"/>
      <c r="L12401" s="2"/>
    </row>
    <row r="12402" spans="8:12" x14ac:dyDescent="0.3">
      <c r="H12402" s="2"/>
      <c r="I12402" s="2"/>
      <c r="J12402" s="2"/>
      <c r="K12402" s="2"/>
      <c r="L12402" s="2"/>
    </row>
    <row r="12403" spans="8:12" x14ac:dyDescent="0.3">
      <c r="H12403" s="2"/>
      <c r="I12403" s="2"/>
      <c r="J12403" s="2"/>
      <c r="K12403" s="2"/>
      <c r="L12403" s="2"/>
    </row>
    <row r="12404" spans="8:12" x14ac:dyDescent="0.3">
      <c r="H12404" s="2"/>
      <c r="I12404" s="2"/>
      <c r="J12404" s="2"/>
      <c r="K12404" s="2"/>
      <c r="L12404" s="2"/>
    </row>
    <row r="12405" spans="8:12" x14ac:dyDescent="0.3">
      <c r="H12405" s="2"/>
      <c r="I12405" s="2"/>
      <c r="J12405" s="2"/>
      <c r="K12405" s="2"/>
      <c r="L12405" s="2"/>
    </row>
    <row r="12406" spans="8:12" x14ac:dyDescent="0.3">
      <c r="H12406" s="2"/>
      <c r="I12406" s="2"/>
      <c r="J12406" s="2"/>
      <c r="K12406" s="2"/>
      <c r="L12406" s="2"/>
    </row>
    <row r="12407" spans="8:12" x14ac:dyDescent="0.3">
      <c r="H12407" s="2"/>
      <c r="I12407" s="2"/>
      <c r="J12407" s="2"/>
      <c r="K12407" s="2"/>
      <c r="L12407" s="2"/>
    </row>
    <row r="12408" spans="8:12" x14ac:dyDescent="0.3">
      <c r="H12408" s="2"/>
      <c r="I12408" s="2"/>
      <c r="J12408" s="2"/>
      <c r="K12408" s="2"/>
      <c r="L12408" s="2"/>
    </row>
    <row r="12409" spans="8:12" x14ac:dyDescent="0.3">
      <c r="H12409" s="2"/>
      <c r="I12409" s="2"/>
      <c r="J12409" s="2"/>
      <c r="K12409" s="2"/>
      <c r="L12409" s="2"/>
    </row>
    <row r="12410" spans="8:12" x14ac:dyDescent="0.3">
      <c r="H12410" s="2"/>
      <c r="I12410" s="2"/>
      <c r="J12410" s="2"/>
      <c r="K12410" s="2"/>
      <c r="L12410" s="2"/>
    </row>
    <row r="12411" spans="8:12" x14ac:dyDescent="0.3">
      <c r="H12411" s="2"/>
      <c r="I12411" s="2"/>
      <c r="J12411" s="2"/>
      <c r="K12411" s="2"/>
      <c r="L12411" s="2"/>
    </row>
    <row r="12412" spans="8:12" x14ac:dyDescent="0.3">
      <c r="H12412" s="2"/>
      <c r="I12412" s="2"/>
      <c r="J12412" s="2"/>
      <c r="K12412" s="2"/>
      <c r="L12412" s="2"/>
    </row>
    <row r="12413" spans="8:12" x14ac:dyDescent="0.3">
      <c r="H12413" s="2"/>
      <c r="I12413" s="2"/>
      <c r="J12413" s="2"/>
      <c r="K12413" s="2"/>
      <c r="L12413" s="2"/>
    </row>
    <row r="12414" spans="8:12" x14ac:dyDescent="0.3">
      <c r="H12414" s="2"/>
      <c r="I12414" s="2"/>
      <c r="J12414" s="2"/>
      <c r="K12414" s="2"/>
      <c r="L12414" s="2"/>
    </row>
    <row r="12415" spans="8:12" x14ac:dyDescent="0.3">
      <c r="H12415" s="2"/>
      <c r="I12415" s="2"/>
      <c r="J12415" s="2"/>
      <c r="K12415" s="2"/>
      <c r="L12415" s="2"/>
    </row>
    <row r="12416" spans="8:12" x14ac:dyDescent="0.3">
      <c r="H12416" s="2"/>
      <c r="I12416" s="2"/>
      <c r="J12416" s="2"/>
      <c r="K12416" s="2"/>
      <c r="L12416" s="2"/>
    </row>
    <row r="12417" spans="8:12" x14ac:dyDescent="0.3">
      <c r="H12417" s="2"/>
      <c r="I12417" s="2"/>
      <c r="J12417" s="2"/>
      <c r="K12417" s="2"/>
      <c r="L12417" s="2"/>
    </row>
    <row r="12418" spans="8:12" x14ac:dyDescent="0.3">
      <c r="H12418" s="2"/>
      <c r="I12418" s="2"/>
      <c r="J12418" s="2"/>
      <c r="K12418" s="2"/>
      <c r="L12418" s="2"/>
    </row>
    <row r="12419" spans="8:12" x14ac:dyDescent="0.3">
      <c r="H12419" s="2"/>
      <c r="I12419" s="2"/>
      <c r="J12419" s="2"/>
      <c r="K12419" s="2"/>
      <c r="L12419" s="2"/>
    </row>
    <row r="12420" spans="8:12" x14ac:dyDescent="0.3">
      <c r="H12420" s="2"/>
      <c r="I12420" s="2"/>
      <c r="J12420" s="2"/>
      <c r="K12420" s="2"/>
      <c r="L12420" s="2"/>
    </row>
    <row r="12421" spans="8:12" x14ac:dyDescent="0.3">
      <c r="H12421" s="2"/>
      <c r="I12421" s="2"/>
      <c r="J12421" s="2"/>
      <c r="K12421" s="2"/>
      <c r="L12421" s="2"/>
    </row>
    <row r="12422" spans="8:12" x14ac:dyDescent="0.3">
      <c r="H12422" s="2"/>
      <c r="I12422" s="2"/>
      <c r="J12422" s="2"/>
      <c r="K12422" s="2"/>
      <c r="L12422" s="2"/>
    </row>
    <row r="12423" spans="8:12" x14ac:dyDescent="0.3">
      <c r="H12423" s="2"/>
      <c r="I12423" s="2"/>
      <c r="J12423" s="2"/>
      <c r="K12423" s="2"/>
      <c r="L12423" s="2"/>
    </row>
    <row r="12424" spans="8:12" x14ac:dyDescent="0.3">
      <c r="H12424" s="2"/>
      <c r="I12424" s="2"/>
      <c r="J12424" s="2"/>
      <c r="K12424" s="2"/>
      <c r="L12424" s="2"/>
    </row>
    <row r="12425" spans="8:12" x14ac:dyDescent="0.3">
      <c r="H12425" s="2"/>
      <c r="I12425" s="2"/>
      <c r="J12425" s="2"/>
      <c r="K12425" s="2"/>
      <c r="L12425" s="2"/>
    </row>
    <row r="12426" spans="8:12" x14ac:dyDescent="0.3">
      <c r="H12426" s="2"/>
      <c r="I12426" s="2"/>
      <c r="J12426" s="2"/>
      <c r="K12426" s="2"/>
      <c r="L12426" s="2"/>
    </row>
    <row r="12427" spans="8:12" x14ac:dyDescent="0.3">
      <c r="H12427" s="2"/>
      <c r="I12427" s="2"/>
      <c r="J12427" s="2"/>
      <c r="K12427" s="2"/>
      <c r="L12427" s="2"/>
    </row>
    <row r="12428" spans="8:12" x14ac:dyDescent="0.3">
      <c r="H12428" s="2"/>
      <c r="I12428" s="2"/>
      <c r="J12428" s="2"/>
      <c r="K12428" s="2"/>
      <c r="L12428" s="2"/>
    </row>
    <row r="12429" spans="8:12" x14ac:dyDescent="0.3">
      <c r="H12429" s="2"/>
      <c r="I12429" s="2"/>
      <c r="J12429" s="2"/>
      <c r="K12429" s="2"/>
      <c r="L12429" s="2"/>
    </row>
    <row r="12430" spans="8:12" x14ac:dyDescent="0.3">
      <c r="H12430" s="2"/>
      <c r="I12430" s="2"/>
      <c r="J12430" s="2"/>
      <c r="K12430" s="2"/>
      <c r="L12430" s="2"/>
    </row>
    <row r="12431" spans="8:12" x14ac:dyDescent="0.3">
      <c r="H12431" s="2"/>
      <c r="I12431" s="2"/>
      <c r="J12431" s="2"/>
      <c r="K12431" s="2"/>
      <c r="L12431" s="2"/>
    </row>
    <row r="12432" spans="8:12" x14ac:dyDescent="0.3">
      <c r="H12432" s="2"/>
      <c r="I12432" s="2"/>
      <c r="J12432" s="2"/>
      <c r="K12432" s="2"/>
      <c r="L12432" s="2"/>
    </row>
    <row r="12433" spans="8:12" x14ac:dyDescent="0.3">
      <c r="H12433" s="2"/>
      <c r="I12433" s="2"/>
      <c r="J12433" s="2"/>
      <c r="K12433" s="2"/>
      <c r="L12433" s="2"/>
    </row>
    <row r="12434" spans="8:12" x14ac:dyDescent="0.3">
      <c r="H12434" s="2"/>
      <c r="I12434" s="2"/>
      <c r="J12434" s="2"/>
      <c r="K12434" s="2"/>
      <c r="L12434" s="2"/>
    </row>
    <row r="12435" spans="8:12" x14ac:dyDescent="0.3">
      <c r="H12435" s="2"/>
      <c r="I12435" s="2"/>
      <c r="J12435" s="2"/>
      <c r="K12435" s="2"/>
      <c r="L12435" s="2"/>
    </row>
    <row r="12436" spans="8:12" x14ac:dyDescent="0.3">
      <c r="H12436" s="2"/>
      <c r="I12436" s="2"/>
      <c r="J12436" s="2"/>
      <c r="K12436" s="2"/>
      <c r="L12436" s="2"/>
    </row>
    <row r="12437" spans="8:12" x14ac:dyDescent="0.3">
      <c r="H12437" s="2"/>
      <c r="I12437" s="2"/>
      <c r="J12437" s="2"/>
      <c r="K12437" s="2"/>
      <c r="L12437" s="2"/>
    </row>
    <row r="12438" spans="8:12" x14ac:dyDescent="0.3">
      <c r="H12438" s="2"/>
      <c r="I12438" s="2"/>
      <c r="J12438" s="2"/>
      <c r="K12438" s="2"/>
      <c r="L12438" s="2"/>
    </row>
    <row r="12439" spans="8:12" x14ac:dyDescent="0.3">
      <c r="H12439" s="2"/>
      <c r="I12439" s="2"/>
      <c r="J12439" s="2"/>
      <c r="K12439" s="2"/>
      <c r="L12439" s="2"/>
    </row>
    <row r="12440" spans="8:12" x14ac:dyDescent="0.3">
      <c r="H12440" s="2"/>
      <c r="I12440" s="2"/>
      <c r="J12440" s="2"/>
      <c r="K12440" s="2"/>
      <c r="L12440" s="2"/>
    </row>
    <row r="12441" spans="8:12" x14ac:dyDescent="0.3">
      <c r="H12441" s="2"/>
      <c r="I12441" s="2"/>
      <c r="J12441" s="2"/>
      <c r="K12441" s="2"/>
      <c r="L12441" s="2"/>
    </row>
    <row r="12442" spans="8:12" x14ac:dyDescent="0.3">
      <c r="H12442" s="2"/>
      <c r="I12442" s="2"/>
      <c r="J12442" s="2"/>
      <c r="K12442" s="2"/>
      <c r="L12442" s="2"/>
    </row>
    <row r="12443" spans="8:12" x14ac:dyDescent="0.3">
      <c r="H12443" s="2"/>
      <c r="I12443" s="2"/>
      <c r="J12443" s="2"/>
      <c r="K12443" s="2"/>
      <c r="L12443" s="2"/>
    </row>
    <row r="12444" spans="8:12" x14ac:dyDescent="0.3">
      <c r="H12444" s="2"/>
      <c r="I12444" s="2"/>
      <c r="J12444" s="2"/>
      <c r="K12444" s="2"/>
      <c r="L12444" s="2"/>
    </row>
    <row r="12445" spans="8:12" x14ac:dyDescent="0.3">
      <c r="H12445" s="2"/>
      <c r="I12445" s="2"/>
      <c r="J12445" s="2"/>
      <c r="K12445" s="2"/>
      <c r="L12445" s="2"/>
    </row>
    <row r="12446" spans="8:12" x14ac:dyDescent="0.3">
      <c r="H12446" s="2"/>
      <c r="I12446" s="2"/>
      <c r="J12446" s="2"/>
      <c r="K12446" s="2"/>
      <c r="L12446" s="2"/>
    </row>
    <row r="12447" spans="8:12" x14ac:dyDescent="0.3">
      <c r="H12447" s="2"/>
      <c r="I12447" s="2"/>
      <c r="J12447" s="2"/>
      <c r="K12447" s="2"/>
      <c r="L12447" s="2"/>
    </row>
    <row r="12448" spans="8:12" x14ac:dyDescent="0.3">
      <c r="H12448" s="2"/>
      <c r="I12448" s="2"/>
      <c r="J12448" s="2"/>
      <c r="K12448" s="2"/>
      <c r="L12448" s="2"/>
    </row>
    <row r="12449" spans="8:12" x14ac:dyDescent="0.3">
      <c r="H12449" s="2"/>
      <c r="I12449" s="2"/>
      <c r="J12449" s="2"/>
      <c r="K12449" s="2"/>
      <c r="L12449" s="2"/>
    </row>
    <row r="12450" spans="8:12" x14ac:dyDescent="0.3">
      <c r="H12450" s="2"/>
      <c r="I12450" s="2"/>
      <c r="J12450" s="2"/>
      <c r="K12450" s="2"/>
      <c r="L12450" s="2"/>
    </row>
    <row r="12451" spans="8:12" x14ac:dyDescent="0.3">
      <c r="H12451" s="2"/>
      <c r="I12451" s="2"/>
      <c r="J12451" s="2"/>
      <c r="K12451" s="2"/>
      <c r="L12451" s="2"/>
    </row>
    <row r="12452" spans="8:12" x14ac:dyDescent="0.3">
      <c r="H12452" s="2"/>
      <c r="I12452" s="2"/>
      <c r="J12452" s="2"/>
      <c r="K12452" s="2"/>
      <c r="L12452" s="2"/>
    </row>
    <row r="12453" spans="8:12" x14ac:dyDescent="0.3">
      <c r="H12453" s="2"/>
      <c r="I12453" s="2"/>
      <c r="J12453" s="2"/>
      <c r="K12453" s="2"/>
      <c r="L12453" s="2"/>
    </row>
    <row r="12454" spans="8:12" x14ac:dyDescent="0.3">
      <c r="H12454" s="2"/>
      <c r="I12454" s="2"/>
      <c r="J12454" s="2"/>
      <c r="K12454" s="2"/>
      <c r="L12454" s="2"/>
    </row>
    <row r="12455" spans="8:12" x14ac:dyDescent="0.3">
      <c r="H12455" s="2"/>
      <c r="I12455" s="2"/>
      <c r="J12455" s="2"/>
      <c r="K12455" s="2"/>
      <c r="L12455" s="2"/>
    </row>
    <row r="12456" spans="8:12" x14ac:dyDescent="0.3">
      <c r="H12456" s="2"/>
      <c r="I12456" s="2"/>
      <c r="J12456" s="2"/>
      <c r="K12456" s="2"/>
      <c r="L12456" s="2"/>
    </row>
    <row r="12457" spans="8:12" x14ac:dyDescent="0.3">
      <c r="H12457" s="2"/>
      <c r="I12457" s="2"/>
      <c r="J12457" s="2"/>
      <c r="K12457" s="2"/>
      <c r="L12457" s="2"/>
    </row>
    <row r="12458" spans="8:12" x14ac:dyDescent="0.3">
      <c r="H12458" s="2"/>
      <c r="I12458" s="2"/>
      <c r="J12458" s="2"/>
      <c r="K12458" s="2"/>
      <c r="L12458" s="2"/>
    </row>
    <row r="12459" spans="8:12" x14ac:dyDescent="0.3">
      <c r="H12459" s="2"/>
      <c r="I12459" s="2"/>
      <c r="J12459" s="2"/>
      <c r="K12459" s="2"/>
      <c r="L12459" s="2"/>
    </row>
    <row r="12460" spans="8:12" x14ac:dyDescent="0.3">
      <c r="H12460" s="2"/>
      <c r="I12460" s="2"/>
      <c r="J12460" s="2"/>
      <c r="K12460" s="2"/>
      <c r="L12460" s="2"/>
    </row>
    <row r="12461" spans="8:12" x14ac:dyDescent="0.3">
      <c r="H12461" s="2"/>
      <c r="I12461" s="2"/>
      <c r="J12461" s="2"/>
      <c r="K12461" s="2"/>
      <c r="L12461" s="2"/>
    </row>
    <row r="12462" spans="8:12" x14ac:dyDescent="0.3">
      <c r="H12462" s="2"/>
      <c r="I12462" s="2"/>
      <c r="J12462" s="2"/>
      <c r="K12462" s="2"/>
      <c r="L12462" s="2"/>
    </row>
    <row r="12463" spans="8:12" x14ac:dyDescent="0.3">
      <c r="H12463" s="2"/>
      <c r="I12463" s="2"/>
      <c r="J12463" s="2"/>
      <c r="K12463" s="2"/>
      <c r="L12463" s="2"/>
    </row>
    <row r="12464" spans="8:12" x14ac:dyDescent="0.3">
      <c r="H12464" s="2"/>
      <c r="I12464" s="2"/>
      <c r="J12464" s="2"/>
      <c r="K12464" s="2"/>
      <c r="L12464" s="2"/>
    </row>
    <row r="12465" spans="8:12" x14ac:dyDescent="0.3">
      <c r="H12465" s="2"/>
      <c r="I12465" s="2"/>
      <c r="J12465" s="2"/>
      <c r="K12465" s="2"/>
      <c r="L12465" s="2"/>
    </row>
    <row r="12466" spans="8:12" x14ac:dyDescent="0.3">
      <c r="H12466" s="2"/>
      <c r="I12466" s="2"/>
      <c r="J12466" s="2"/>
      <c r="K12466" s="2"/>
      <c r="L12466" s="2"/>
    </row>
    <row r="12467" spans="8:12" x14ac:dyDescent="0.3">
      <c r="H12467" s="2"/>
      <c r="I12467" s="2"/>
      <c r="J12467" s="2"/>
      <c r="K12467" s="2"/>
      <c r="L12467" s="2"/>
    </row>
    <row r="12468" spans="8:12" x14ac:dyDescent="0.3">
      <c r="H12468" s="2"/>
      <c r="I12468" s="2"/>
      <c r="J12468" s="2"/>
      <c r="K12468" s="2"/>
      <c r="L12468" s="2"/>
    </row>
    <row r="12469" spans="8:12" x14ac:dyDescent="0.3">
      <c r="H12469" s="2"/>
      <c r="I12469" s="2"/>
      <c r="J12469" s="2"/>
      <c r="K12469" s="2"/>
      <c r="L12469" s="2"/>
    </row>
    <row r="12470" spans="8:12" x14ac:dyDescent="0.3">
      <c r="H12470" s="2"/>
      <c r="I12470" s="2"/>
      <c r="J12470" s="2"/>
      <c r="K12470" s="2"/>
      <c r="L12470" s="2"/>
    </row>
    <row r="12471" spans="8:12" x14ac:dyDescent="0.3">
      <c r="H12471" s="2"/>
      <c r="I12471" s="2"/>
      <c r="J12471" s="2"/>
      <c r="K12471" s="2"/>
      <c r="L12471" s="2"/>
    </row>
    <row r="12472" spans="8:12" x14ac:dyDescent="0.3">
      <c r="H12472" s="2"/>
      <c r="I12472" s="2"/>
      <c r="J12472" s="2"/>
      <c r="K12472" s="2"/>
      <c r="L12472" s="2"/>
    </row>
    <row r="12473" spans="8:12" x14ac:dyDescent="0.3">
      <c r="H12473" s="2"/>
      <c r="I12473" s="2"/>
      <c r="J12473" s="2"/>
      <c r="K12473" s="2"/>
      <c r="L12473" s="2"/>
    </row>
    <row r="12474" spans="8:12" x14ac:dyDescent="0.3">
      <c r="H12474" s="2"/>
      <c r="I12474" s="2"/>
      <c r="J12474" s="2"/>
      <c r="K12474" s="2"/>
      <c r="L12474" s="2"/>
    </row>
    <row r="12475" spans="8:12" x14ac:dyDescent="0.3">
      <c r="H12475" s="2"/>
      <c r="I12475" s="2"/>
      <c r="J12475" s="2"/>
      <c r="K12475" s="2"/>
      <c r="L12475" s="2"/>
    </row>
    <row r="12476" spans="8:12" x14ac:dyDescent="0.3">
      <c r="H12476" s="2"/>
      <c r="I12476" s="2"/>
      <c r="J12476" s="2"/>
      <c r="K12476" s="2"/>
      <c r="L12476" s="2"/>
    </row>
    <row r="12477" spans="8:12" x14ac:dyDescent="0.3">
      <c r="H12477" s="2"/>
      <c r="I12477" s="2"/>
      <c r="J12477" s="2"/>
      <c r="K12477" s="2"/>
      <c r="L12477" s="2"/>
    </row>
    <row r="12478" spans="8:12" x14ac:dyDescent="0.3">
      <c r="H12478" s="2"/>
      <c r="I12478" s="2"/>
      <c r="J12478" s="2"/>
      <c r="K12478" s="2"/>
      <c r="L12478" s="2"/>
    </row>
    <row r="12479" spans="8:12" x14ac:dyDescent="0.3">
      <c r="H12479" s="2"/>
      <c r="I12479" s="2"/>
      <c r="J12479" s="2"/>
      <c r="K12479" s="2"/>
      <c r="L12479" s="2"/>
    </row>
    <row r="12480" spans="8:12" x14ac:dyDescent="0.3">
      <c r="H12480" s="2"/>
      <c r="I12480" s="2"/>
      <c r="J12480" s="2"/>
      <c r="K12480" s="2"/>
      <c r="L12480" s="2"/>
    </row>
    <row r="12481" spans="8:12" x14ac:dyDescent="0.3">
      <c r="H12481" s="2"/>
      <c r="I12481" s="2"/>
      <c r="J12481" s="2"/>
      <c r="K12481" s="2"/>
      <c r="L12481" s="2"/>
    </row>
    <row r="12482" spans="8:12" x14ac:dyDescent="0.3">
      <c r="H12482" s="2"/>
      <c r="I12482" s="2"/>
      <c r="J12482" s="2"/>
      <c r="K12482" s="2"/>
      <c r="L12482" s="2"/>
    </row>
    <row r="12483" spans="8:12" x14ac:dyDescent="0.3">
      <c r="H12483" s="2"/>
      <c r="I12483" s="2"/>
      <c r="J12483" s="2"/>
      <c r="K12483" s="2"/>
      <c r="L12483" s="2"/>
    </row>
    <row r="12484" spans="8:12" x14ac:dyDescent="0.3">
      <c r="H12484" s="2"/>
      <c r="I12484" s="2"/>
      <c r="J12484" s="2"/>
      <c r="K12484" s="2"/>
      <c r="L12484" s="2"/>
    </row>
    <row r="12485" spans="8:12" x14ac:dyDescent="0.3">
      <c r="H12485" s="2"/>
      <c r="I12485" s="2"/>
      <c r="J12485" s="2"/>
      <c r="K12485" s="2"/>
      <c r="L12485" s="2"/>
    </row>
    <row r="12486" spans="8:12" x14ac:dyDescent="0.3">
      <c r="H12486" s="2"/>
      <c r="I12486" s="2"/>
      <c r="J12486" s="2"/>
      <c r="K12486" s="2"/>
      <c r="L12486" s="2"/>
    </row>
    <row r="12487" spans="8:12" x14ac:dyDescent="0.3">
      <c r="H12487" s="2"/>
      <c r="I12487" s="2"/>
      <c r="J12487" s="2"/>
      <c r="K12487" s="2"/>
      <c r="L12487" s="2"/>
    </row>
    <row r="12488" spans="8:12" x14ac:dyDescent="0.3">
      <c r="H12488" s="2"/>
      <c r="I12488" s="2"/>
      <c r="J12488" s="2"/>
      <c r="K12488" s="2"/>
      <c r="L12488" s="2"/>
    </row>
    <row r="12489" spans="8:12" x14ac:dyDescent="0.3">
      <c r="H12489" s="2"/>
      <c r="I12489" s="2"/>
      <c r="J12489" s="2"/>
      <c r="K12489" s="2"/>
      <c r="L12489" s="2"/>
    </row>
    <row r="12490" spans="8:12" x14ac:dyDescent="0.3">
      <c r="H12490" s="2"/>
      <c r="I12490" s="2"/>
      <c r="J12490" s="2"/>
      <c r="K12490" s="2"/>
      <c r="L12490" s="2"/>
    </row>
    <row r="12491" spans="8:12" x14ac:dyDescent="0.3">
      <c r="H12491" s="2"/>
      <c r="I12491" s="2"/>
      <c r="J12491" s="2"/>
      <c r="K12491" s="2"/>
      <c r="L12491" s="2"/>
    </row>
    <row r="12492" spans="8:12" x14ac:dyDescent="0.3">
      <c r="H12492" s="2"/>
      <c r="I12492" s="2"/>
      <c r="J12492" s="2"/>
      <c r="K12492" s="2"/>
      <c r="L12492" s="2"/>
    </row>
    <row r="12493" spans="8:12" x14ac:dyDescent="0.3">
      <c r="H12493" s="2"/>
      <c r="I12493" s="2"/>
      <c r="J12493" s="2"/>
      <c r="K12493" s="2"/>
      <c r="L12493" s="2"/>
    </row>
    <row r="12494" spans="8:12" x14ac:dyDescent="0.3">
      <c r="H12494" s="2"/>
      <c r="I12494" s="2"/>
      <c r="J12494" s="2"/>
      <c r="K12494" s="2"/>
      <c r="L12494" s="2"/>
    </row>
    <row r="12495" spans="8:12" x14ac:dyDescent="0.3">
      <c r="H12495" s="2"/>
      <c r="I12495" s="2"/>
      <c r="J12495" s="2"/>
      <c r="K12495" s="2"/>
      <c r="L12495" s="2"/>
    </row>
    <row r="12496" spans="8:12" x14ac:dyDescent="0.3">
      <c r="H12496" s="2"/>
      <c r="I12496" s="2"/>
      <c r="J12496" s="2"/>
      <c r="K12496" s="2"/>
      <c r="L12496" s="2"/>
    </row>
    <row r="12497" spans="8:12" x14ac:dyDescent="0.3">
      <c r="H12497" s="2"/>
      <c r="I12497" s="2"/>
      <c r="J12497" s="2"/>
      <c r="K12497" s="2"/>
      <c r="L12497" s="2"/>
    </row>
    <row r="12498" spans="8:12" x14ac:dyDescent="0.3">
      <c r="H12498" s="2"/>
      <c r="I12498" s="2"/>
      <c r="J12498" s="2"/>
      <c r="K12498" s="2"/>
      <c r="L12498" s="2"/>
    </row>
    <row r="12499" spans="8:12" x14ac:dyDescent="0.3">
      <c r="H12499" s="2"/>
      <c r="I12499" s="2"/>
      <c r="J12499" s="2"/>
      <c r="K12499" s="2"/>
      <c r="L12499" s="2"/>
    </row>
    <row r="12500" spans="8:12" x14ac:dyDescent="0.3">
      <c r="H12500" s="2"/>
      <c r="I12500" s="2"/>
      <c r="J12500" s="2"/>
      <c r="K12500" s="2"/>
      <c r="L12500" s="2"/>
    </row>
    <row r="12501" spans="8:12" x14ac:dyDescent="0.3">
      <c r="H12501" s="2"/>
      <c r="I12501" s="2"/>
      <c r="J12501" s="2"/>
      <c r="K12501" s="2"/>
      <c r="L12501" s="2"/>
    </row>
    <row r="12502" spans="8:12" x14ac:dyDescent="0.3">
      <c r="H12502" s="2"/>
      <c r="I12502" s="2"/>
      <c r="J12502" s="2"/>
      <c r="K12502" s="2"/>
      <c r="L12502" s="2"/>
    </row>
    <row r="12503" spans="8:12" x14ac:dyDescent="0.3">
      <c r="H12503" s="2"/>
      <c r="I12503" s="2"/>
      <c r="J12503" s="2"/>
      <c r="K12503" s="2"/>
      <c r="L12503" s="2"/>
    </row>
    <row r="12504" spans="8:12" x14ac:dyDescent="0.3">
      <c r="H12504" s="2"/>
      <c r="I12504" s="2"/>
      <c r="J12504" s="2"/>
      <c r="K12504" s="2"/>
      <c r="L12504" s="2"/>
    </row>
    <row r="12505" spans="8:12" x14ac:dyDescent="0.3">
      <c r="H12505" s="2"/>
      <c r="I12505" s="2"/>
      <c r="J12505" s="2"/>
      <c r="K12505" s="2"/>
      <c r="L12505" s="2"/>
    </row>
    <row r="12506" spans="8:12" x14ac:dyDescent="0.3">
      <c r="H12506" s="2"/>
      <c r="I12506" s="2"/>
      <c r="J12506" s="2"/>
      <c r="K12506" s="2"/>
      <c r="L12506" s="2"/>
    </row>
    <row r="12507" spans="8:12" x14ac:dyDescent="0.3">
      <c r="H12507" s="2"/>
      <c r="I12507" s="2"/>
      <c r="J12507" s="2"/>
      <c r="K12507" s="2"/>
      <c r="L12507" s="2"/>
    </row>
    <row r="12508" spans="8:12" x14ac:dyDescent="0.3">
      <c r="H12508" s="2"/>
      <c r="I12508" s="2"/>
      <c r="J12508" s="2"/>
      <c r="K12508" s="2"/>
      <c r="L12508" s="2"/>
    </row>
    <row r="12509" spans="8:12" x14ac:dyDescent="0.3">
      <c r="H12509" s="2"/>
      <c r="I12509" s="2"/>
      <c r="J12509" s="2"/>
      <c r="K12509" s="2"/>
      <c r="L12509" s="2"/>
    </row>
    <row r="12510" spans="8:12" x14ac:dyDescent="0.3">
      <c r="H12510" s="2"/>
      <c r="I12510" s="2"/>
      <c r="J12510" s="2"/>
      <c r="K12510" s="2"/>
      <c r="L12510" s="2"/>
    </row>
    <row r="12511" spans="8:12" x14ac:dyDescent="0.3">
      <c r="H12511" s="2"/>
      <c r="I12511" s="2"/>
      <c r="J12511" s="2"/>
      <c r="K12511" s="2"/>
      <c r="L12511" s="2"/>
    </row>
    <row r="12512" spans="8:12" x14ac:dyDescent="0.3">
      <c r="H12512" s="2"/>
      <c r="I12512" s="2"/>
      <c r="J12512" s="2"/>
      <c r="K12512" s="2"/>
      <c r="L12512" s="2"/>
    </row>
    <row r="12513" spans="8:12" x14ac:dyDescent="0.3">
      <c r="H12513" s="2"/>
      <c r="I12513" s="2"/>
      <c r="J12513" s="2"/>
      <c r="K12513" s="2"/>
      <c r="L12513" s="2"/>
    </row>
    <row r="12514" spans="8:12" x14ac:dyDescent="0.3">
      <c r="H12514" s="2"/>
      <c r="I12514" s="2"/>
      <c r="J12514" s="2"/>
      <c r="K12514" s="2"/>
      <c r="L12514" s="2"/>
    </row>
    <row r="12515" spans="8:12" x14ac:dyDescent="0.3">
      <c r="H12515" s="2"/>
      <c r="I12515" s="2"/>
      <c r="J12515" s="2"/>
      <c r="K12515" s="2"/>
      <c r="L12515" s="2"/>
    </row>
    <row r="12516" spans="8:12" x14ac:dyDescent="0.3">
      <c r="H12516" s="2"/>
      <c r="I12516" s="2"/>
      <c r="J12516" s="2"/>
      <c r="K12516" s="2"/>
      <c r="L12516" s="2"/>
    </row>
    <row r="12517" spans="8:12" x14ac:dyDescent="0.3">
      <c r="H12517" s="2"/>
      <c r="I12517" s="2"/>
      <c r="J12517" s="2"/>
      <c r="K12517" s="2"/>
      <c r="L12517" s="2"/>
    </row>
    <row r="12518" spans="8:12" x14ac:dyDescent="0.3">
      <c r="H12518" s="2"/>
      <c r="I12518" s="2"/>
      <c r="J12518" s="2"/>
      <c r="K12518" s="2"/>
      <c r="L12518" s="2"/>
    </row>
    <row r="12519" spans="8:12" x14ac:dyDescent="0.3">
      <c r="H12519" s="2"/>
      <c r="I12519" s="2"/>
      <c r="J12519" s="2"/>
      <c r="K12519" s="2"/>
      <c r="L12519" s="2"/>
    </row>
    <row r="12520" spans="8:12" x14ac:dyDescent="0.3">
      <c r="H12520" s="2"/>
      <c r="I12520" s="2"/>
      <c r="J12520" s="2"/>
      <c r="K12520" s="2"/>
      <c r="L12520" s="2"/>
    </row>
    <row r="12521" spans="8:12" x14ac:dyDescent="0.3">
      <c r="H12521" s="2"/>
      <c r="I12521" s="2"/>
      <c r="J12521" s="2"/>
      <c r="K12521" s="2"/>
      <c r="L12521" s="2"/>
    </row>
    <row r="12522" spans="8:12" x14ac:dyDescent="0.3">
      <c r="H12522" s="2"/>
      <c r="I12522" s="2"/>
      <c r="J12522" s="2"/>
      <c r="K12522" s="2"/>
      <c r="L12522" s="2"/>
    </row>
    <row r="12523" spans="8:12" x14ac:dyDescent="0.3">
      <c r="H12523" s="2"/>
      <c r="I12523" s="2"/>
      <c r="J12523" s="2"/>
      <c r="K12523" s="2"/>
      <c r="L12523" s="2"/>
    </row>
    <row r="12524" spans="8:12" x14ac:dyDescent="0.3">
      <c r="H12524" s="2"/>
      <c r="I12524" s="2"/>
      <c r="J12524" s="2"/>
      <c r="K12524" s="2"/>
      <c r="L12524" s="2"/>
    </row>
    <row r="12525" spans="8:12" x14ac:dyDescent="0.3">
      <c r="H12525" s="2"/>
      <c r="I12525" s="2"/>
      <c r="J12525" s="2"/>
      <c r="K12525" s="2"/>
      <c r="L12525" s="2"/>
    </row>
    <row r="12526" spans="8:12" x14ac:dyDescent="0.3">
      <c r="H12526" s="2"/>
      <c r="I12526" s="2"/>
      <c r="J12526" s="2"/>
      <c r="K12526" s="2"/>
      <c r="L12526" s="2"/>
    </row>
    <row r="12527" spans="8:12" x14ac:dyDescent="0.3">
      <c r="H12527" s="2"/>
      <c r="I12527" s="2"/>
      <c r="J12527" s="2"/>
      <c r="K12527" s="2"/>
      <c r="L12527" s="2"/>
    </row>
    <row r="12528" spans="8:12" x14ac:dyDescent="0.3">
      <c r="H12528" s="2"/>
      <c r="I12528" s="2"/>
      <c r="J12528" s="2"/>
      <c r="K12528" s="2"/>
      <c r="L12528" s="2"/>
    </row>
    <row r="12529" spans="8:12" x14ac:dyDescent="0.3">
      <c r="H12529" s="2"/>
      <c r="I12529" s="2"/>
      <c r="J12529" s="2"/>
      <c r="K12529" s="2"/>
      <c r="L12529" s="2"/>
    </row>
    <row r="12530" spans="8:12" x14ac:dyDescent="0.3">
      <c r="H12530" s="2"/>
      <c r="I12530" s="2"/>
      <c r="J12530" s="2"/>
      <c r="K12530" s="2"/>
      <c r="L12530" s="2"/>
    </row>
    <row r="12531" spans="8:12" x14ac:dyDescent="0.3">
      <c r="H12531" s="2"/>
      <c r="I12531" s="2"/>
      <c r="J12531" s="2"/>
      <c r="K12531" s="2"/>
      <c r="L12531" s="2"/>
    </row>
    <row r="12532" spans="8:12" x14ac:dyDescent="0.3">
      <c r="H12532" s="2"/>
      <c r="I12532" s="2"/>
      <c r="J12532" s="2"/>
      <c r="K12532" s="2"/>
      <c r="L12532" s="2"/>
    </row>
    <row r="12533" spans="8:12" x14ac:dyDescent="0.3">
      <c r="H12533" s="2"/>
      <c r="I12533" s="2"/>
      <c r="J12533" s="2"/>
      <c r="K12533" s="2"/>
      <c r="L12533" s="2"/>
    </row>
    <row r="12534" spans="8:12" x14ac:dyDescent="0.3">
      <c r="H12534" s="2"/>
      <c r="I12534" s="2"/>
      <c r="J12534" s="2"/>
      <c r="K12534" s="2"/>
      <c r="L12534" s="2"/>
    </row>
    <row r="12535" spans="8:12" x14ac:dyDescent="0.3">
      <c r="H12535" s="2"/>
      <c r="I12535" s="2"/>
      <c r="J12535" s="2"/>
      <c r="K12535" s="2"/>
      <c r="L12535" s="2"/>
    </row>
    <row r="12536" spans="8:12" x14ac:dyDescent="0.3">
      <c r="H12536" s="2"/>
      <c r="I12536" s="2"/>
      <c r="J12536" s="2"/>
      <c r="K12536" s="2"/>
      <c r="L12536" s="2"/>
    </row>
    <row r="12537" spans="8:12" x14ac:dyDescent="0.3">
      <c r="H12537" s="2"/>
      <c r="I12537" s="2"/>
      <c r="J12537" s="2"/>
      <c r="K12537" s="2"/>
      <c r="L12537" s="2"/>
    </row>
    <row r="12538" spans="8:12" x14ac:dyDescent="0.3">
      <c r="H12538" s="2"/>
      <c r="I12538" s="2"/>
      <c r="J12538" s="2"/>
      <c r="K12538" s="2"/>
      <c r="L12538" s="2"/>
    </row>
    <row r="12539" spans="8:12" x14ac:dyDescent="0.3">
      <c r="H12539" s="2"/>
      <c r="I12539" s="2"/>
      <c r="J12539" s="2"/>
      <c r="K12539" s="2"/>
      <c r="L12539" s="2"/>
    </row>
    <row r="12540" spans="8:12" x14ac:dyDescent="0.3">
      <c r="H12540" s="2"/>
      <c r="I12540" s="2"/>
      <c r="J12540" s="2"/>
      <c r="K12540" s="2"/>
      <c r="L12540" s="2"/>
    </row>
    <row r="12541" spans="8:12" x14ac:dyDescent="0.3">
      <c r="H12541" s="2"/>
      <c r="I12541" s="2"/>
      <c r="J12541" s="2"/>
      <c r="K12541" s="2"/>
      <c r="L12541" s="2"/>
    </row>
    <row r="12542" spans="8:12" x14ac:dyDescent="0.3">
      <c r="H12542" s="2"/>
      <c r="I12542" s="2"/>
      <c r="J12542" s="2"/>
      <c r="K12542" s="2"/>
      <c r="L12542" s="2"/>
    </row>
    <row r="12543" spans="8:12" x14ac:dyDescent="0.3">
      <c r="H12543" s="2"/>
      <c r="I12543" s="2"/>
      <c r="J12543" s="2"/>
      <c r="K12543" s="2"/>
      <c r="L12543" s="2"/>
    </row>
    <row r="12544" spans="8:12" x14ac:dyDescent="0.3">
      <c r="H12544" s="2"/>
      <c r="I12544" s="2"/>
      <c r="J12544" s="2"/>
      <c r="K12544" s="2"/>
      <c r="L12544" s="2"/>
    </row>
    <row r="12545" spans="8:12" x14ac:dyDescent="0.3">
      <c r="H12545" s="2"/>
      <c r="I12545" s="2"/>
      <c r="J12545" s="2"/>
      <c r="K12545" s="2"/>
      <c r="L12545" s="2"/>
    </row>
    <row r="12546" spans="8:12" x14ac:dyDescent="0.3">
      <c r="H12546" s="2"/>
      <c r="I12546" s="2"/>
      <c r="J12546" s="2"/>
      <c r="K12546" s="2"/>
      <c r="L12546" s="2"/>
    </row>
    <row r="12547" spans="8:12" x14ac:dyDescent="0.3">
      <c r="H12547" s="2"/>
      <c r="I12547" s="2"/>
      <c r="J12547" s="2"/>
      <c r="K12547" s="2"/>
      <c r="L12547" s="2"/>
    </row>
    <row r="12548" spans="8:12" x14ac:dyDescent="0.3">
      <c r="H12548" s="2"/>
      <c r="I12548" s="2"/>
      <c r="J12548" s="2"/>
      <c r="K12548" s="2"/>
      <c r="L12548" s="2"/>
    </row>
    <row r="12549" spans="8:12" x14ac:dyDescent="0.3">
      <c r="H12549" s="2"/>
      <c r="I12549" s="2"/>
      <c r="J12549" s="2"/>
      <c r="K12549" s="2"/>
      <c r="L12549" s="2"/>
    </row>
    <row r="12550" spans="8:12" x14ac:dyDescent="0.3">
      <c r="H12550" s="2"/>
      <c r="I12550" s="2"/>
      <c r="J12550" s="2"/>
      <c r="K12550" s="2"/>
      <c r="L12550" s="2"/>
    </row>
    <row r="12551" spans="8:12" x14ac:dyDescent="0.3">
      <c r="H12551" s="2"/>
      <c r="I12551" s="2"/>
      <c r="J12551" s="2"/>
      <c r="K12551" s="2"/>
      <c r="L12551" s="2"/>
    </row>
    <row r="12552" spans="8:12" x14ac:dyDescent="0.3">
      <c r="H12552" s="2"/>
      <c r="I12552" s="2"/>
      <c r="J12552" s="2"/>
      <c r="K12552" s="2"/>
      <c r="L12552" s="2"/>
    </row>
    <row r="12553" spans="8:12" x14ac:dyDescent="0.3">
      <c r="H12553" s="2"/>
      <c r="I12553" s="2"/>
      <c r="J12553" s="2"/>
      <c r="K12553" s="2"/>
      <c r="L12553" s="2"/>
    </row>
    <row r="12554" spans="8:12" x14ac:dyDescent="0.3">
      <c r="H12554" s="2"/>
      <c r="I12554" s="2"/>
      <c r="J12554" s="2"/>
      <c r="K12554" s="2"/>
      <c r="L12554" s="2"/>
    </row>
    <row r="12555" spans="8:12" x14ac:dyDescent="0.3">
      <c r="H12555" s="2"/>
      <c r="I12555" s="2"/>
      <c r="J12555" s="2"/>
      <c r="K12555" s="2"/>
      <c r="L12555" s="2"/>
    </row>
    <row r="12556" spans="8:12" x14ac:dyDescent="0.3">
      <c r="H12556" s="2"/>
      <c r="I12556" s="2"/>
      <c r="J12556" s="2"/>
      <c r="K12556" s="2"/>
      <c r="L12556" s="2"/>
    </row>
    <row r="12557" spans="8:12" x14ac:dyDescent="0.3">
      <c r="H12557" s="2"/>
      <c r="I12557" s="2"/>
      <c r="J12557" s="2"/>
      <c r="K12557" s="2"/>
      <c r="L12557" s="2"/>
    </row>
    <row r="12558" spans="8:12" x14ac:dyDescent="0.3">
      <c r="H12558" s="2"/>
      <c r="I12558" s="2"/>
      <c r="J12558" s="2"/>
      <c r="K12558" s="2"/>
      <c r="L12558" s="2"/>
    </row>
    <row r="12559" spans="8:12" x14ac:dyDescent="0.3">
      <c r="H12559" s="2"/>
      <c r="I12559" s="2"/>
      <c r="J12559" s="2"/>
      <c r="K12559" s="2"/>
      <c r="L12559" s="2"/>
    </row>
    <row r="12560" spans="8:12" x14ac:dyDescent="0.3">
      <c r="H12560" s="2"/>
      <c r="I12560" s="2"/>
      <c r="J12560" s="2"/>
      <c r="K12560" s="2"/>
      <c r="L12560" s="2"/>
    </row>
    <row r="12561" spans="8:12" x14ac:dyDescent="0.3">
      <c r="H12561" s="2"/>
      <c r="I12561" s="2"/>
      <c r="J12561" s="2"/>
      <c r="K12561" s="2"/>
      <c r="L12561" s="2"/>
    </row>
    <row r="12562" spans="8:12" x14ac:dyDescent="0.3">
      <c r="H12562" s="2"/>
      <c r="I12562" s="2"/>
      <c r="J12562" s="2"/>
      <c r="K12562" s="2"/>
      <c r="L12562" s="2"/>
    </row>
    <row r="12563" spans="8:12" x14ac:dyDescent="0.3">
      <c r="H12563" s="2"/>
      <c r="I12563" s="2"/>
      <c r="J12563" s="2"/>
      <c r="K12563" s="2"/>
      <c r="L12563" s="2"/>
    </row>
    <row r="12564" spans="8:12" x14ac:dyDescent="0.3">
      <c r="H12564" s="2"/>
      <c r="I12564" s="2"/>
      <c r="J12564" s="2"/>
      <c r="K12564" s="2"/>
      <c r="L12564" s="2"/>
    </row>
    <row r="12565" spans="8:12" x14ac:dyDescent="0.3">
      <c r="H12565" s="2"/>
      <c r="I12565" s="2"/>
      <c r="J12565" s="2"/>
      <c r="K12565" s="2"/>
      <c r="L12565" s="2"/>
    </row>
    <row r="12566" spans="8:12" x14ac:dyDescent="0.3">
      <c r="H12566" s="2"/>
      <c r="I12566" s="2"/>
      <c r="J12566" s="2"/>
      <c r="K12566" s="2"/>
      <c r="L12566" s="2"/>
    </row>
    <row r="12567" spans="8:12" x14ac:dyDescent="0.3">
      <c r="H12567" s="2"/>
      <c r="I12567" s="2"/>
      <c r="J12567" s="2"/>
      <c r="K12567" s="2"/>
      <c r="L12567" s="2"/>
    </row>
    <row r="12568" spans="8:12" x14ac:dyDescent="0.3">
      <c r="H12568" s="2"/>
      <c r="I12568" s="2"/>
      <c r="J12568" s="2"/>
      <c r="K12568" s="2"/>
      <c r="L12568" s="2"/>
    </row>
    <row r="12569" spans="8:12" x14ac:dyDescent="0.3">
      <c r="H12569" s="2"/>
      <c r="I12569" s="2"/>
      <c r="J12569" s="2"/>
      <c r="K12569" s="2"/>
      <c r="L12569" s="2"/>
    </row>
    <row r="12570" spans="8:12" x14ac:dyDescent="0.3">
      <c r="H12570" s="2"/>
      <c r="I12570" s="2"/>
      <c r="J12570" s="2"/>
      <c r="K12570" s="2"/>
      <c r="L12570" s="2"/>
    </row>
    <row r="12571" spans="8:12" x14ac:dyDescent="0.3">
      <c r="H12571" s="2"/>
      <c r="I12571" s="2"/>
      <c r="J12571" s="2"/>
      <c r="K12571" s="2"/>
      <c r="L12571" s="2"/>
    </row>
    <row r="12572" spans="8:12" x14ac:dyDescent="0.3">
      <c r="H12572" s="2"/>
      <c r="I12572" s="2"/>
      <c r="J12572" s="2"/>
      <c r="K12572" s="2"/>
      <c r="L12572" s="2"/>
    </row>
    <row r="12573" spans="8:12" x14ac:dyDescent="0.3">
      <c r="H12573" s="2"/>
      <c r="I12573" s="2"/>
      <c r="J12573" s="2"/>
      <c r="K12573" s="2"/>
      <c r="L12573" s="2"/>
    </row>
    <row r="12574" spans="8:12" x14ac:dyDescent="0.3">
      <c r="H12574" s="2"/>
      <c r="I12574" s="2"/>
      <c r="J12574" s="2"/>
      <c r="K12574" s="2"/>
      <c r="L12574" s="2"/>
    </row>
    <row r="12575" spans="8:12" x14ac:dyDescent="0.3">
      <c r="H12575" s="2"/>
      <c r="I12575" s="2"/>
      <c r="J12575" s="2"/>
      <c r="K12575" s="2"/>
      <c r="L12575" s="2"/>
    </row>
    <row r="12576" spans="8:12" x14ac:dyDescent="0.3">
      <c r="H12576" s="2"/>
      <c r="I12576" s="2"/>
      <c r="J12576" s="2"/>
      <c r="K12576" s="2"/>
      <c r="L12576" s="2"/>
    </row>
    <row r="12577" spans="8:12" x14ac:dyDescent="0.3">
      <c r="H12577" s="2"/>
      <c r="I12577" s="2"/>
      <c r="J12577" s="2"/>
      <c r="K12577" s="2"/>
      <c r="L12577" s="2"/>
    </row>
    <row r="12578" spans="8:12" x14ac:dyDescent="0.3">
      <c r="H12578" s="2"/>
      <c r="I12578" s="2"/>
      <c r="J12578" s="2"/>
      <c r="K12578" s="2"/>
      <c r="L12578" s="2"/>
    </row>
    <row r="12579" spans="8:12" x14ac:dyDescent="0.3">
      <c r="H12579" s="2"/>
      <c r="I12579" s="2"/>
      <c r="J12579" s="2"/>
      <c r="K12579" s="2"/>
      <c r="L12579" s="2"/>
    </row>
    <row r="12580" spans="8:12" x14ac:dyDescent="0.3">
      <c r="H12580" s="2"/>
      <c r="I12580" s="2"/>
      <c r="J12580" s="2"/>
      <c r="K12580" s="2"/>
      <c r="L12580" s="2"/>
    </row>
    <row r="12581" spans="8:12" x14ac:dyDescent="0.3">
      <c r="H12581" s="2"/>
      <c r="I12581" s="2"/>
      <c r="J12581" s="2"/>
      <c r="K12581" s="2"/>
      <c r="L12581" s="2"/>
    </row>
    <row r="12582" spans="8:12" x14ac:dyDescent="0.3">
      <c r="H12582" s="2"/>
      <c r="I12582" s="2"/>
      <c r="J12582" s="2"/>
      <c r="K12582" s="2"/>
      <c r="L12582" s="2"/>
    </row>
    <row r="12583" spans="8:12" x14ac:dyDescent="0.3">
      <c r="H12583" s="2"/>
      <c r="I12583" s="2"/>
      <c r="J12583" s="2"/>
      <c r="K12583" s="2"/>
      <c r="L12583" s="2"/>
    </row>
    <row r="12584" spans="8:12" x14ac:dyDescent="0.3">
      <c r="H12584" s="2"/>
      <c r="I12584" s="2"/>
      <c r="J12584" s="2"/>
      <c r="K12584" s="2"/>
      <c r="L12584" s="2"/>
    </row>
    <row r="12585" spans="8:12" x14ac:dyDescent="0.3">
      <c r="H12585" s="2"/>
      <c r="I12585" s="2"/>
      <c r="J12585" s="2"/>
      <c r="K12585" s="2"/>
      <c r="L12585" s="2"/>
    </row>
    <row r="12586" spans="8:12" x14ac:dyDescent="0.3">
      <c r="H12586" s="2"/>
      <c r="I12586" s="2"/>
      <c r="J12586" s="2"/>
      <c r="K12586" s="2"/>
      <c r="L12586" s="2"/>
    </row>
    <row r="12587" spans="8:12" x14ac:dyDescent="0.3">
      <c r="H12587" s="2"/>
      <c r="I12587" s="2"/>
      <c r="J12587" s="2"/>
      <c r="K12587" s="2"/>
      <c r="L12587" s="2"/>
    </row>
    <row r="12588" spans="8:12" x14ac:dyDescent="0.3">
      <c r="H12588" s="2"/>
      <c r="I12588" s="2"/>
      <c r="J12588" s="2"/>
      <c r="K12588" s="2"/>
      <c r="L12588" s="2"/>
    </row>
    <row r="12589" spans="8:12" x14ac:dyDescent="0.3">
      <c r="H12589" s="2"/>
      <c r="I12589" s="2"/>
      <c r="J12589" s="2"/>
      <c r="K12589" s="2"/>
      <c r="L12589" s="2"/>
    </row>
    <row r="12590" spans="8:12" x14ac:dyDescent="0.3">
      <c r="H12590" s="2"/>
      <c r="I12590" s="2"/>
      <c r="J12590" s="2"/>
      <c r="K12590" s="2"/>
      <c r="L12590" s="2"/>
    </row>
    <row r="12591" spans="8:12" x14ac:dyDescent="0.3">
      <c r="H12591" s="2"/>
      <c r="I12591" s="2"/>
      <c r="J12591" s="2"/>
      <c r="K12591" s="2"/>
      <c r="L12591" s="2"/>
    </row>
    <row r="12592" spans="8:12" x14ac:dyDescent="0.3">
      <c r="H12592" s="2"/>
      <c r="I12592" s="2"/>
      <c r="J12592" s="2"/>
      <c r="K12592" s="2"/>
      <c r="L12592" s="2"/>
    </row>
    <row r="12593" spans="8:12" x14ac:dyDescent="0.3">
      <c r="H12593" s="2"/>
      <c r="I12593" s="2"/>
      <c r="J12593" s="2"/>
      <c r="K12593" s="2"/>
      <c r="L12593" s="2"/>
    </row>
    <row r="12594" spans="8:12" x14ac:dyDescent="0.3">
      <c r="H12594" s="2"/>
      <c r="I12594" s="2"/>
      <c r="J12594" s="2"/>
      <c r="K12594" s="2"/>
      <c r="L12594" s="2"/>
    </row>
    <row r="12595" spans="8:12" x14ac:dyDescent="0.3">
      <c r="H12595" s="2"/>
      <c r="I12595" s="2"/>
      <c r="J12595" s="2"/>
      <c r="K12595" s="2"/>
      <c r="L12595" s="2"/>
    </row>
    <row r="12596" spans="8:12" x14ac:dyDescent="0.3">
      <c r="H12596" s="2"/>
      <c r="I12596" s="2"/>
      <c r="J12596" s="2"/>
      <c r="K12596" s="2"/>
      <c r="L12596" s="2"/>
    </row>
    <row r="12597" spans="8:12" x14ac:dyDescent="0.3">
      <c r="H12597" s="2"/>
      <c r="I12597" s="2"/>
      <c r="J12597" s="2"/>
      <c r="K12597" s="2"/>
      <c r="L12597" s="2"/>
    </row>
    <row r="12598" spans="8:12" x14ac:dyDescent="0.3">
      <c r="H12598" s="2"/>
      <c r="I12598" s="2"/>
      <c r="J12598" s="2"/>
      <c r="K12598" s="2"/>
      <c r="L12598" s="2"/>
    </row>
    <row r="12599" spans="8:12" x14ac:dyDescent="0.3">
      <c r="H12599" s="2"/>
      <c r="I12599" s="2"/>
      <c r="J12599" s="2"/>
      <c r="K12599" s="2"/>
      <c r="L12599" s="2"/>
    </row>
    <row r="12600" spans="8:12" x14ac:dyDescent="0.3">
      <c r="H12600" s="2"/>
      <c r="I12600" s="2"/>
      <c r="J12600" s="2"/>
      <c r="K12600" s="2"/>
      <c r="L12600" s="2"/>
    </row>
    <row r="12601" spans="8:12" x14ac:dyDescent="0.3">
      <c r="H12601" s="2"/>
      <c r="I12601" s="2"/>
      <c r="J12601" s="2"/>
      <c r="K12601" s="2"/>
      <c r="L12601" s="2"/>
    </row>
    <row r="12602" spans="8:12" x14ac:dyDescent="0.3">
      <c r="H12602" s="2"/>
      <c r="I12602" s="2"/>
      <c r="J12602" s="2"/>
      <c r="K12602" s="2"/>
      <c r="L12602" s="2"/>
    </row>
    <row r="12603" spans="8:12" x14ac:dyDescent="0.3">
      <c r="H12603" s="2"/>
      <c r="I12603" s="2"/>
      <c r="J12603" s="2"/>
      <c r="K12603" s="2"/>
      <c r="L12603" s="2"/>
    </row>
    <row r="12604" spans="8:12" x14ac:dyDescent="0.3">
      <c r="H12604" s="2"/>
      <c r="I12604" s="2"/>
      <c r="J12604" s="2"/>
      <c r="K12604" s="2"/>
      <c r="L12604" s="2"/>
    </row>
    <row r="12605" spans="8:12" x14ac:dyDescent="0.3">
      <c r="H12605" s="2"/>
      <c r="I12605" s="2"/>
      <c r="J12605" s="2"/>
      <c r="K12605" s="2"/>
      <c r="L12605" s="2"/>
    </row>
    <row r="12606" spans="8:12" x14ac:dyDescent="0.3">
      <c r="H12606" s="2"/>
      <c r="I12606" s="2"/>
      <c r="J12606" s="2"/>
      <c r="K12606" s="2"/>
      <c r="L12606" s="2"/>
    </row>
    <row r="12607" spans="8:12" x14ac:dyDescent="0.3">
      <c r="H12607" s="2"/>
      <c r="I12607" s="2"/>
      <c r="J12607" s="2"/>
      <c r="K12607" s="2"/>
      <c r="L12607" s="2"/>
    </row>
    <row r="12608" spans="8:12" x14ac:dyDescent="0.3">
      <c r="H12608" s="2"/>
      <c r="I12608" s="2"/>
      <c r="J12608" s="2"/>
      <c r="K12608" s="2"/>
      <c r="L12608" s="2"/>
    </row>
    <row r="12609" spans="8:12" x14ac:dyDescent="0.3">
      <c r="H12609" s="2"/>
      <c r="I12609" s="2"/>
      <c r="J12609" s="2"/>
      <c r="K12609" s="2"/>
      <c r="L12609" s="2"/>
    </row>
    <row r="12610" spans="8:12" x14ac:dyDescent="0.3">
      <c r="H12610" s="2"/>
      <c r="I12610" s="2"/>
      <c r="J12610" s="2"/>
      <c r="K12610" s="2"/>
      <c r="L12610" s="2"/>
    </row>
    <row r="12611" spans="8:12" x14ac:dyDescent="0.3">
      <c r="H12611" s="2"/>
      <c r="I12611" s="2"/>
      <c r="J12611" s="2"/>
      <c r="K12611" s="2"/>
      <c r="L12611" s="2"/>
    </row>
    <row r="12612" spans="8:12" x14ac:dyDescent="0.3">
      <c r="H12612" s="2"/>
      <c r="I12612" s="2"/>
      <c r="J12612" s="2"/>
      <c r="K12612" s="2"/>
      <c r="L12612" s="2"/>
    </row>
    <row r="12613" spans="8:12" x14ac:dyDescent="0.3">
      <c r="H12613" s="2"/>
      <c r="I12613" s="2"/>
      <c r="J12613" s="2"/>
      <c r="K12613" s="2"/>
      <c r="L12613" s="2"/>
    </row>
    <row r="12614" spans="8:12" x14ac:dyDescent="0.3">
      <c r="H12614" s="2"/>
      <c r="I12614" s="2"/>
      <c r="J12614" s="2"/>
      <c r="K12614" s="2"/>
      <c r="L12614" s="2"/>
    </row>
    <row r="12615" spans="8:12" x14ac:dyDescent="0.3">
      <c r="H12615" s="2"/>
      <c r="I12615" s="2"/>
      <c r="J12615" s="2"/>
      <c r="K12615" s="2"/>
      <c r="L12615" s="2"/>
    </row>
    <row r="12616" spans="8:12" x14ac:dyDescent="0.3">
      <c r="H12616" s="2"/>
      <c r="I12616" s="2"/>
      <c r="J12616" s="2"/>
      <c r="K12616" s="2"/>
      <c r="L12616" s="2"/>
    </row>
    <row r="12617" spans="8:12" x14ac:dyDescent="0.3">
      <c r="H12617" s="2"/>
      <c r="I12617" s="2"/>
      <c r="J12617" s="2"/>
      <c r="K12617" s="2"/>
      <c r="L12617" s="2"/>
    </row>
    <row r="12618" spans="8:12" x14ac:dyDescent="0.3">
      <c r="H12618" s="2"/>
      <c r="I12618" s="2"/>
      <c r="J12618" s="2"/>
      <c r="K12618" s="2"/>
      <c r="L12618" s="2"/>
    </row>
    <row r="12619" spans="8:12" x14ac:dyDescent="0.3">
      <c r="H12619" s="2"/>
      <c r="I12619" s="2"/>
      <c r="J12619" s="2"/>
      <c r="K12619" s="2"/>
      <c r="L12619" s="2"/>
    </row>
    <row r="12620" spans="8:12" x14ac:dyDescent="0.3">
      <c r="H12620" s="2"/>
      <c r="I12620" s="2"/>
      <c r="J12620" s="2"/>
      <c r="K12620" s="2"/>
      <c r="L12620" s="2"/>
    </row>
    <row r="12621" spans="8:12" x14ac:dyDescent="0.3">
      <c r="H12621" s="2"/>
      <c r="I12621" s="2"/>
      <c r="J12621" s="2"/>
      <c r="K12621" s="2"/>
      <c r="L12621" s="2"/>
    </row>
    <row r="12622" spans="8:12" x14ac:dyDescent="0.3">
      <c r="H12622" s="2"/>
      <c r="I12622" s="2"/>
      <c r="J12622" s="2"/>
      <c r="K12622" s="2"/>
      <c r="L12622" s="2"/>
    </row>
    <row r="12623" spans="8:12" x14ac:dyDescent="0.3">
      <c r="H12623" s="2"/>
      <c r="I12623" s="2"/>
      <c r="J12623" s="2"/>
      <c r="K12623" s="2"/>
      <c r="L12623" s="2"/>
    </row>
    <row r="12624" spans="8:12" x14ac:dyDescent="0.3">
      <c r="H12624" s="2"/>
      <c r="I12624" s="2"/>
      <c r="J12624" s="2"/>
      <c r="K12624" s="2"/>
      <c r="L12624" s="2"/>
    </row>
    <row r="12625" spans="8:12" x14ac:dyDescent="0.3">
      <c r="H12625" s="2"/>
      <c r="I12625" s="2"/>
      <c r="J12625" s="2"/>
      <c r="K12625" s="2"/>
      <c r="L12625" s="2"/>
    </row>
    <row r="12626" spans="8:12" x14ac:dyDescent="0.3">
      <c r="H12626" s="2"/>
      <c r="I12626" s="2"/>
      <c r="J12626" s="2"/>
      <c r="K12626" s="2"/>
      <c r="L12626" s="2"/>
    </row>
    <row r="12627" spans="8:12" x14ac:dyDescent="0.3">
      <c r="H12627" s="2"/>
      <c r="I12627" s="2"/>
      <c r="J12627" s="2"/>
      <c r="K12627" s="2"/>
      <c r="L12627" s="2"/>
    </row>
    <row r="12628" spans="8:12" x14ac:dyDescent="0.3">
      <c r="H12628" s="2"/>
      <c r="I12628" s="2"/>
      <c r="J12628" s="2"/>
      <c r="K12628" s="2"/>
      <c r="L12628" s="2"/>
    </row>
    <row r="12629" spans="8:12" x14ac:dyDescent="0.3">
      <c r="H12629" s="2"/>
      <c r="I12629" s="2"/>
      <c r="J12629" s="2"/>
      <c r="K12629" s="2"/>
      <c r="L12629" s="2"/>
    </row>
    <row r="12630" spans="8:12" x14ac:dyDescent="0.3">
      <c r="H12630" s="2"/>
      <c r="I12630" s="2"/>
      <c r="J12630" s="2"/>
      <c r="K12630" s="2"/>
      <c r="L12630" s="2"/>
    </row>
    <row r="12631" spans="8:12" x14ac:dyDescent="0.3">
      <c r="H12631" s="2"/>
      <c r="I12631" s="2"/>
      <c r="J12631" s="2"/>
      <c r="K12631" s="2"/>
      <c r="L12631" s="2"/>
    </row>
    <row r="12632" spans="8:12" x14ac:dyDescent="0.3">
      <c r="H12632" s="2"/>
      <c r="I12632" s="2"/>
      <c r="J12632" s="2"/>
      <c r="K12632" s="2"/>
      <c r="L12632" s="2"/>
    </row>
    <row r="12633" spans="8:12" x14ac:dyDescent="0.3">
      <c r="H12633" s="2"/>
      <c r="I12633" s="2"/>
      <c r="J12633" s="2"/>
      <c r="K12633" s="2"/>
      <c r="L12633" s="2"/>
    </row>
    <row r="12634" spans="8:12" x14ac:dyDescent="0.3">
      <c r="H12634" s="2"/>
      <c r="I12634" s="2"/>
      <c r="J12634" s="2"/>
      <c r="K12634" s="2"/>
      <c r="L12634" s="2"/>
    </row>
    <row r="12635" spans="8:12" x14ac:dyDescent="0.3">
      <c r="H12635" s="2"/>
      <c r="I12635" s="2"/>
      <c r="J12635" s="2"/>
      <c r="K12635" s="2"/>
      <c r="L12635" s="2"/>
    </row>
    <row r="12636" spans="8:12" x14ac:dyDescent="0.3">
      <c r="H12636" s="2"/>
      <c r="I12636" s="2"/>
      <c r="J12636" s="2"/>
      <c r="K12636" s="2"/>
      <c r="L12636" s="2"/>
    </row>
    <row r="12637" spans="8:12" x14ac:dyDescent="0.3">
      <c r="H12637" s="2"/>
      <c r="I12637" s="2"/>
      <c r="J12637" s="2"/>
      <c r="K12637" s="2"/>
      <c r="L12637" s="2"/>
    </row>
    <row r="12638" spans="8:12" x14ac:dyDescent="0.3">
      <c r="H12638" s="2"/>
      <c r="I12638" s="2"/>
      <c r="J12638" s="2"/>
      <c r="K12638" s="2"/>
      <c r="L12638" s="2"/>
    </row>
    <row r="12639" spans="8:12" x14ac:dyDescent="0.3">
      <c r="H12639" s="2"/>
      <c r="I12639" s="2"/>
      <c r="J12639" s="2"/>
      <c r="K12639" s="2"/>
      <c r="L12639" s="2"/>
    </row>
    <row r="12640" spans="8:12" x14ac:dyDescent="0.3">
      <c r="H12640" s="2"/>
      <c r="I12640" s="2"/>
      <c r="J12640" s="2"/>
      <c r="K12640" s="2"/>
      <c r="L12640" s="2"/>
    </row>
    <row r="12641" spans="8:12" x14ac:dyDescent="0.3">
      <c r="H12641" s="2"/>
      <c r="I12641" s="2"/>
      <c r="J12641" s="2"/>
      <c r="K12641" s="2"/>
      <c r="L12641" s="2"/>
    </row>
    <row r="12642" spans="8:12" x14ac:dyDescent="0.3">
      <c r="H12642" s="2"/>
      <c r="I12642" s="2"/>
      <c r="J12642" s="2"/>
      <c r="K12642" s="2"/>
      <c r="L12642" s="2"/>
    </row>
    <row r="12643" spans="8:12" x14ac:dyDescent="0.3">
      <c r="H12643" s="2"/>
      <c r="I12643" s="2"/>
      <c r="J12643" s="2"/>
      <c r="K12643" s="2"/>
      <c r="L12643" s="2"/>
    </row>
    <row r="12644" spans="8:12" x14ac:dyDescent="0.3">
      <c r="H12644" s="2"/>
      <c r="I12644" s="2"/>
      <c r="J12644" s="2"/>
      <c r="K12644" s="2"/>
      <c r="L12644" s="2"/>
    </row>
    <row r="12645" spans="8:12" x14ac:dyDescent="0.3">
      <c r="H12645" s="2"/>
      <c r="I12645" s="2"/>
      <c r="J12645" s="2"/>
      <c r="K12645" s="2"/>
      <c r="L12645" s="2"/>
    </row>
    <row r="12646" spans="8:12" x14ac:dyDescent="0.3">
      <c r="H12646" s="2"/>
      <c r="I12646" s="2"/>
      <c r="J12646" s="2"/>
      <c r="K12646" s="2"/>
      <c r="L12646" s="2"/>
    </row>
    <row r="12647" spans="8:12" x14ac:dyDescent="0.3">
      <c r="H12647" s="2"/>
      <c r="I12647" s="2"/>
      <c r="J12647" s="2"/>
      <c r="K12647" s="2"/>
      <c r="L12647" s="2"/>
    </row>
    <row r="12648" spans="8:12" x14ac:dyDescent="0.3">
      <c r="H12648" s="2"/>
      <c r="I12648" s="2"/>
      <c r="J12648" s="2"/>
      <c r="K12648" s="2"/>
      <c r="L12648" s="2"/>
    </row>
    <row r="12649" spans="8:12" x14ac:dyDescent="0.3">
      <c r="H12649" s="2"/>
      <c r="I12649" s="2"/>
      <c r="J12649" s="2"/>
      <c r="K12649" s="2"/>
      <c r="L12649" s="2"/>
    </row>
    <row r="12650" spans="8:12" x14ac:dyDescent="0.3">
      <c r="H12650" s="2"/>
      <c r="I12650" s="2"/>
      <c r="J12650" s="2"/>
      <c r="K12650" s="2"/>
      <c r="L12650" s="2"/>
    </row>
    <row r="12651" spans="8:12" x14ac:dyDescent="0.3">
      <c r="H12651" s="2"/>
      <c r="I12651" s="2"/>
      <c r="J12651" s="2"/>
      <c r="K12651" s="2"/>
      <c r="L12651" s="2"/>
    </row>
    <row r="12652" spans="8:12" x14ac:dyDescent="0.3">
      <c r="H12652" s="2"/>
      <c r="I12652" s="2"/>
      <c r="J12652" s="2"/>
      <c r="K12652" s="2"/>
      <c r="L12652" s="2"/>
    </row>
    <row r="12653" spans="8:12" x14ac:dyDescent="0.3">
      <c r="H12653" s="2"/>
      <c r="I12653" s="2"/>
      <c r="J12653" s="2"/>
      <c r="K12653" s="2"/>
      <c r="L12653" s="2"/>
    </row>
    <row r="12654" spans="8:12" x14ac:dyDescent="0.3">
      <c r="H12654" s="2"/>
      <c r="I12654" s="2"/>
      <c r="J12654" s="2"/>
      <c r="K12654" s="2"/>
      <c r="L12654" s="2"/>
    </row>
    <row r="12655" spans="8:12" x14ac:dyDescent="0.3">
      <c r="H12655" s="2"/>
      <c r="I12655" s="2"/>
      <c r="J12655" s="2"/>
      <c r="K12655" s="2"/>
      <c r="L12655" s="2"/>
    </row>
    <row r="12656" spans="8:12" x14ac:dyDescent="0.3">
      <c r="H12656" s="2"/>
      <c r="I12656" s="2"/>
      <c r="J12656" s="2"/>
      <c r="K12656" s="2"/>
      <c r="L12656" s="2"/>
    </row>
    <row r="12657" spans="8:12" x14ac:dyDescent="0.3">
      <c r="H12657" s="2"/>
      <c r="I12657" s="2"/>
      <c r="J12657" s="2"/>
      <c r="K12657" s="2"/>
      <c r="L12657" s="2"/>
    </row>
    <row r="12658" spans="8:12" x14ac:dyDescent="0.3">
      <c r="H12658" s="2"/>
      <c r="I12658" s="2"/>
      <c r="J12658" s="2"/>
      <c r="K12658" s="2"/>
      <c r="L12658" s="2"/>
    </row>
    <row r="12659" spans="8:12" x14ac:dyDescent="0.3">
      <c r="H12659" s="2"/>
      <c r="I12659" s="2"/>
      <c r="J12659" s="2"/>
      <c r="K12659" s="2"/>
      <c r="L12659" s="2"/>
    </row>
    <row r="12660" spans="8:12" x14ac:dyDescent="0.3">
      <c r="H12660" s="2"/>
      <c r="I12660" s="2"/>
      <c r="J12660" s="2"/>
      <c r="K12660" s="2"/>
      <c r="L12660" s="2"/>
    </row>
    <row r="12661" spans="8:12" x14ac:dyDescent="0.3">
      <c r="H12661" s="2"/>
      <c r="I12661" s="2"/>
      <c r="J12661" s="2"/>
      <c r="K12661" s="2"/>
      <c r="L12661" s="2"/>
    </row>
    <row r="12662" spans="8:12" x14ac:dyDescent="0.3">
      <c r="H12662" s="2"/>
      <c r="I12662" s="2"/>
      <c r="J12662" s="2"/>
      <c r="K12662" s="2"/>
      <c r="L12662" s="2"/>
    </row>
    <row r="12663" spans="8:12" x14ac:dyDescent="0.3">
      <c r="H12663" s="2"/>
      <c r="I12663" s="2"/>
      <c r="J12663" s="2"/>
      <c r="K12663" s="2"/>
      <c r="L12663" s="2"/>
    </row>
    <row r="12664" spans="8:12" x14ac:dyDescent="0.3">
      <c r="H12664" s="2"/>
      <c r="I12664" s="2"/>
      <c r="J12664" s="2"/>
      <c r="K12664" s="2"/>
      <c r="L12664" s="2"/>
    </row>
    <row r="12665" spans="8:12" x14ac:dyDescent="0.3">
      <c r="H12665" s="2"/>
      <c r="I12665" s="2"/>
      <c r="J12665" s="2"/>
      <c r="K12665" s="2"/>
      <c r="L12665" s="2"/>
    </row>
    <row r="12666" spans="8:12" x14ac:dyDescent="0.3">
      <c r="H12666" s="2"/>
      <c r="I12666" s="2"/>
      <c r="J12666" s="2"/>
      <c r="K12666" s="2"/>
      <c r="L12666" s="2"/>
    </row>
    <row r="12667" spans="8:12" x14ac:dyDescent="0.3">
      <c r="H12667" s="2"/>
      <c r="I12667" s="2"/>
      <c r="J12667" s="2"/>
      <c r="K12667" s="2"/>
      <c r="L12667" s="2"/>
    </row>
    <row r="12668" spans="8:12" x14ac:dyDescent="0.3">
      <c r="H12668" s="2"/>
      <c r="I12668" s="2"/>
      <c r="J12668" s="2"/>
      <c r="K12668" s="2"/>
      <c r="L12668" s="2"/>
    </row>
    <row r="12669" spans="8:12" x14ac:dyDescent="0.3">
      <c r="H12669" s="2"/>
      <c r="I12669" s="2"/>
      <c r="J12669" s="2"/>
      <c r="K12669" s="2"/>
      <c r="L12669" s="2"/>
    </row>
    <row r="12670" spans="8:12" x14ac:dyDescent="0.3">
      <c r="H12670" s="2"/>
      <c r="I12670" s="2"/>
      <c r="J12670" s="2"/>
      <c r="K12670" s="2"/>
      <c r="L12670" s="2"/>
    </row>
    <row r="12671" spans="8:12" x14ac:dyDescent="0.3">
      <c r="H12671" s="2"/>
      <c r="I12671" s="2"/>
      <c r="J12671" s="2"/>
      <c r="K12671" s="2"/>
      <c r="L12671" s="2"/>
    </row>
    <row r="12672" spans="8:12" x14ac:dyDescent="0.3">
      <c r="H12672" s="2"/>
      <c r="I12672" s="2"/>
      <c r="J12672" s="2"/>
      <c r="K12672" s="2"/>
      <c r="L12672" s="2"/>
    </row>
    <row r="12673" spans="8:12" x14ac:dyDescent="0.3">
      <c r="H12673" s="2"/>
      <c r="I12673" s="2"/>
      <c r="J12673" s="2"/>
      <c r="K12673" s="2"/>
      <c r="L12673" s="2"/>
    </row>
    <row r="12674" spans="8:12" x14ac:dyDescent="0.3">
      <c r="H12674" s="2"/>
      <c r="I12674" s="2"/>
      <c r="J12674" s="2"/>
      <c r="K12674" s="2"/>
      <c r="L12674" s="2"/>
    </row>
    <row r="12675" spans="8:12" x14ac:dyDescent="0.3">
      <c r="H12675" s="2"/>
      <c r="I12675" s="2"/>
      <c r="J12675" s="2"/>
      <c r="K12675" s="2"/>
      <c r="L12675" s="2"/>
    </row>
    <row r="12676" spans="8:12" x14ac:dyDescent="0.3">
      <c r="H12676" s="2"/>
      <c r="I12676" s="2"/>
      <c r="J12676" s="2"/>
      <c r="K12676" s="2"/>
      <c r="L12676" s="2"/>
    </row>
    <row r="12677" spans="8:12" x14ac:dyDescent="0.3">
      <c r="H12677" s="2"/>
      <c r="I12677" s="2"/>
      <c r="J12677" s="2"/>
      <c r="K12677" s="2"/>
      <c r="L12677" s="2"/>
    </row>
    <row r="12678" spans="8:12" x14ac:dyDescent="0.3">
      <c r="H12678" s="2"/>
      <c r="I12678" s="2"/>
      <c r="J12678" s="2"/>
      <c r="K12678" s="2"/>
      <c r="L12678" s="2"/>
    </row>
    <row r="12679" spans="8:12" x14ac:dyDescent="0.3">
      <c r="H12679" s="2"/>
      <c r="I12679" s="2"/>
      <c r="J12679" s="2"/>
      <c r="K12679" s="2"/>
      <c r="L12679" s="2"/>
    </row>
    <row r="12680" spans="8:12" x14ac:dyDescent="0.3">
      <c r="H12680" s="2"/>
      <c r="I12680" s="2"/>
      <c r="J12680" s="2"/>
      <c r="K12680" s="2"/>
      <c r="L12680" s="2"/>
    </row>
    <row r="12681" spans="8:12" x14ac:dyDescent="0.3">
      <c r="H12681" s="2"/>
      <c r="I12681" s="2"/>
      <c r="J12681" s="2"/>
      <c r="K12681" s="2"/>
      <c r="L12681" s="2"/>
    </row>
    <row r="12682" spans="8:12" x14ac:dyDescent="0.3">
      <c r="H12682" s="2"/>
      <c r="I12682" s="2"/>
      <c r="J12682" s="2"/>
      <c r="K12682" s="2"/>
      <c r="L12682" s="2"/>
    </row>
    <row r="12683" spans="8:12" x14ac:dyDescent="0.3">
      <c r="H12683" s="2"/>
      <c r="I12683" s="2"/>
      <c r="J12683" s="2"/>
      <c r="K12683" s="2"/>
      <c r="L12683" s="2"/>
    </row>
    <row r="12684" spans="8:12" x14ac:dyDescent="0.3">
      <c r="H12684" s="2"/>
      <c r="I12684" s="2"/>
      <c r="J12684" s="2"/>
      <c r="K12684" s="2"/>
      <c r="L12684" s="2"/>
    </row>
    <row r="12685" spans="8:12" x14ac:dyDescent="0.3">
      <c r="H12685" s="2"/>
      <c r="I12685" s="2"/>
      <c r="J12685" s="2"/>
      <c r="K12685" s="2"/>
      <c r="L12685" s="2"/>
    </row>
    <row r="12686" spans="8:12" x14ac:dyDescent="0.3">
      <c r="H12686" s="2"/>
      <c r="I12686" s="2"/>
      <c r="J12686" s="2"/>
      <c r="K12686" s="2"/>
      <c r="L12686" s="2"/>
    </row>
    <row r="12687" spans="8:12" x14ac:dyDescent="0.3">
      <c r="H12687" s="2"/>
      <c r="I12687" s="2"/>
      <c r="J12687" s="2"/>
      <c r="K12687" s="2"/>
      <c r="L12687" s="2"/>
    </row>
    <row r="12688" spans="8:12" x14ac:dyDescent="0.3">
      <c r="H12688" s="2"/>
      <c r="I12688" s="2"/>
      <c r="J12688" s="2"/>
      <c r="K12688" s="2"/>
      <c r="L12688" s="2"/>
    </row>
    <row r="12689" spans="8:12" x14ac:dyDescent="0.3">
      <c r="H12689" s="2"/>
      <c r="I12689" s="2"/>
      <c r="J12689" s="2"/>
      <c r="K12689" s="2"/>
      <c r="L12689" s="2"/>
    </row>
    <row r="12690" spans="8:12" x14ac:dyDescent="0.3">
      <c r="H12690" s="2"/>
      <c r="I12690" s="2"/>
      <c r="J12690" s="2"/>
      <c r="K12690" s="2"/>
      <c r="L12690" s="2"/>
    </row>
    <row r="12691" spans="8:12" x14ac:dyDescent="0.3">
      <c r="H12691" s="2"/>
      <c r="I12691" s="2"/>
      <c r="J12691" s="2"/>
      <c r="K12691" s="2"/>
      <c r="L12691" s="2"/>
    </row>
    <row r="12692" spans="8:12" x14ac:dyDescent="0.3">
      <c r="H12692" s="2"/>
      <c r="I12692" s="2"/>
      <c r="J12692" s="2"/>
      <c r="K12692" s="2"/>
      <c r="L12692" s="2"/>
    </row>
    <row r="12693" spans="8:12" x14ac:dyDescent="0.3">
      <c r="H12693" s="2"/>
      <c r="I12693" s="2"/>
      <c r="J12693" s="2"/>
      <c r="K12693" s="2"/>
      <c r="L12693" s="2"/>
    </row>
    <row r="12694" spans="8:12" x14ac:dyDescent="0.3">
      <c r="H12694" s="2"/>
      <c r="I12694" s="2"/>
      <c r="J12694" s="2"/>
      <c r="K12694" s="2"/>
      <c r="L12694" s="2"/>
    </row>
    <row r="12695" spans="8:12" x14ac:dyDescent="0.3">
      <c r="H12695" s="2"/>
      <c r="I12695" s="2"/>
      <c r="J12695" s="2"/>
      <c r="K12695" s="2"/>
      <c r="L12695" s="2"/>
    </row>
    <row r="12696" spans="8:12" x14ac:dyDescent="0.3">
      <c r="H12696" s="2"/>
      <c r="I12696" s="2"/>
      <c r="J12696" s="2"/>
      <c r="K12696" s="2"/>
      <c r="L12696" s="2"/>
    </row>
    <row r="12697" spans="8:12" x14ac:dyDescent="0.3">
      <c r="H12697" s="2"/>
      <c r="I12697" s="2"/>
      <c r="J12697" s="2"/>
      <c r="K12697" s="2"/>
      <c r="L12697" s="2"/>
    </row>
    <row r="12698" spans="8:12" x14ac:dyDescent="0.3">
      <c r="H12698" s="2"/>
      <c r="I12698" s="2"/>
      <c r="J12698" s="2"/>
      <c r="K12698" s="2"/>
      <c r="L12698" s="2"/>
    </row>
    <row r="12699" spans="8:12" x14ac:dyDescent="0.3">
      <c r="H12699" s="2"/>
      <c r="I12699" s="2"/>
      <c r="J12699" s="2"/>
      <c r="K12699" s="2"/>
      <c r="L12699" s="2"/>
    </row>
    <row r="12700" spans="8:12" x14ac:dyDescent="0.3">
      <c r="H12700" s="2"/>
      <c r="I12700" s="2"/>
      <c r="J12700" s="2"/>
      <c r="K12700" s="2"/>
      <c r="L12700" s="2"/>
    </row>
    <row r="12701" spans="8:12" x14ac:dyDescent="0.3">
      <c r="H12701" s="2"/>
      <c r="I12701" s="2"/>
      <c r="J12701" s="2"/>
      <c r="K12701" s="2"/>
      <c r="L12701" s="2"/>
    </row>
    <row r="12702" spans="8:12" x14ac:dyDescent="0.3">
      <c r="H12702" s="2"/>
      <c r="I12702" s="2"/>
      <c r="J12702" s="2"/>
      <c r="K12702" s="2"/>
      <c r="L12702" s="2"/>
    </row>
    <row r="12703" spans="8:12" x14ac:dyDescent="0.3">
      <c r="H12703" s="2"/>
      <c r="I12703" s="2"/>
      <c r="J12703" s="2"/>
      <c r="K12703" s="2"/>
      <c r="L12703" s="2"/>
    </row>
    <row r="12704" spans="8:12" x14ac:dyDescent="0.3">
      <c r="H12704" s="2"/>
      <c r="I12704" s="2"/>
      <c r="J12704" s="2"/>
      <c r="K12704" s="2"/>
      <c r="L12704" s="2"/>
    </row>
    <row r="12705" spans="8:12" x14ac:dyDescent="0.3">
      <c r="H12705" s="2"/>
      <c r="I12705" s="2"/>
      <c r="J12705" s="2"/>
      <c r="K12705" s="2"/>
      <c r="L12705" s="2"/>
    </row>
    <row r="12706" spans="8:12" x14ac:dyDescent="0.3">
      <c r="H12706" s="2"/>
      <c r="I12706" s="2"/>
      <c r="J12706" s="2"/>
      <c r="K12706" s="2"/>
      <c r="L12706" s="2"/>
    </row>
    <row r="12707" spans="8:12" x14ac:dyDescent="0.3">
      <c r="H12707" s="2"/>
      <c r="I12707" s="2"/>
      <c r="J12707" s="2"/>
      <c r="K12707" s="2"/>
      <c r="L12707" s="2"/>
    </row>
    <row r="12708" spans="8:12" x14ac:dyDescent="0.3">
      <c r="H12708" s="2"/>
      <c r="I12708" s="2"/>
      <c r="J12708" s="2"/>
      <c r="K12708" s="2"/>
      <c r="L12708" s="2"/>
    </row>
    <row r="12709" spans="8:12" x14ac:dyDescent="0.3">
      <c r="H12709" s="2"/>
      <c r="I12709" s="2"/>
      <c r="J12709" s="2"/>
      <c r="K12709" s="2"/>
      <c r="L12709" s="2"/>
    </row>
    <row r="12710" spans="8:12" x14ac:dyDescent="0.3">
      <c r="H12710" s="2"/>
      <c r="I12710" s="2"/>
      <c r="J12710" s="2"/>
      <c r="K12710" s="2"/>
      <c r="L12710" s="2"/>
    </row>
    <row r="12711" spans="8:12" x14ac:dyDescent="0.3">
      <c r="H12711" s="2"/>
      <c r="I12711" s="2"/>
      <c r="J12711" s="2"/>
      <c r="K12711" s="2"/>
      <c r="L12711" s="2"/>
    </row>
    <row r="12712" spans="8:12" x14ac:dyDescent="0.3">
      <c r="H12712" s="2"/>
      <c r="I12712" s="2"/>
      <c r="J12712" s="2"/>
      <c r="K12712" s="2"/>
      <c r="L12712" s="2"/>
    </row>
    <row r="12713" spans="8:12" x14ac:dyDescent="0.3">
      <c r="H12713" s="2"/>
      <c r="I12713" s="2"/>
      <c r="J12713" s="2"/>
      <c r="K12713" s="2"/>
      <c r="L12713" s="2"/>
    </row>
    <row r="12714" spans="8:12" x14ac:dyDescent="0.3">
      <c r="H12714" s="2"/>
      <c r="I12714" s="2"/>
      <c r="J12714" s="2"/>
      <c r="K12714" s="2"/>
      <c r="L12714" s="2"/>
    </row>
    <row r="12715" spans="8:12" x14ac:dyDescent="0.3">
      <c r="H12715" s="2"/>
      <c r="I12715" s="2"/>
      <c r="J12715" s="2"/>
      <c r="K12715" s="2"/>
      <c r="L12715" s="2"/>
    </row>
    <row r="12716" spans="8:12" x14ac:dyDescent="0.3">
      <c r="H12716" s="2"/>
      <c r="I12716" s="2"/>
      <c r="J12716" s="2"/>
      <c r="K12716" s="2"/>
      <c r="L12716" s="2"/>
    </row>
    <row r="12717" spans="8:12" x14ac:dyDescent="0.3">
      <c r="H12717" s="2"/>
      <c r="I12717" s="2"/>
      <c r="J12717" s="2"/>
      <c r="K12717" s="2"/>
      <c r="L12717" s="2"/>
    </row>
    <row r="12718" spans="8:12" x14ac:dyDescent="0.3">
      <c r="H12718" s="2"/>
      <c r="I12718" s="2"/>
      <c r="J12718" s="2"/>
      <c r="K12718" s="2"/>
      <c r="L12718" s="2"/>
    </row>
    <row r="12719" spans="8:12" x14ac:dyDescent="0.3">
      <c r="H12719" s="2"/>
      <c r="I12719" s="2"/>
      <c r="J12719" s="2"/>
      <c r="K12719" s="2"/>
      <c r="L12719" s="2"/>
    </row>
    <row r="12720" spans="8:12" x14ac:dyDescent="0.3">
      <c r="H12720" s="2"/>
      <c r="I12720" s="2"/>
      <c r="J12720" s="2"/>
      <c r="K12720" s="2"/>
      <c r="L12720" s="2"/>
    </row>
    <row r="12721" spans="8:12" x14ac:dyDescent="0.3">
      <c r="H12721" s="2"/>
      <c r="I12721" s="2"/>
      <c r="J12721" s="2"/>
      <c r="K12721" s="2"/>
      <c r="L12721" s="2"/>
    </row>
    <row r="12722" spans="8:12" x14ac:dyDescent="0.3">
      <c r="H12722" s="2"/>
      <c r="I12722" s="2"/>
      <c r="J12722" s="2"/>
      <c r="K12722" s="2"/>
      <c r="L12722" s="2"/>
    </row>
    <row r="12723" spans="8:12" x14ac:dyDescent="0.3">
      <c r="H12723" s="2"/>
      <c r="I12723" s="2"/>
      <c r="J12723" s="2"/>
      <c r="K12723" s="2"/>
      <c r="L12723" s="2"/>
    </row>
    <row r="12724" spans="8:12" x14ac:dyDescent="0.3">
      <c r="H12724" s="2"/>
      <c r="I12724" s="2"/>
      <c r="J12724" s="2"/>
      <c r="K12724" s="2"/>
      <c r="L12724" s="2"/>
    </row>
    <row r="12725" spans="8:12" x14ac:dyDescent="0.3">
      <c r="H12725" s="2"/>
      <c r="I12725" s="2"/>
      <c r="J12725" s="2"/>
      <c r="K12725" s="2"/>
      <c r="L12725" s="2"/>
    </row>
    <row r="12726" spans="8:12" x14ac:dyDescent="0.3">
      <c r="H12726" s="2"/>
      <c r="I12726" s="2"/>
      <c r="J12726" s="2"/>
      <c r="K12726" s="2"/>
      <c r="L12726" s="2"/>
    </row>
    <row r="12727" spans="8:12" x14ac:dyDescent="0.3">
      <c r="H12727" s="2"/>
      <c r="I12727" s="2"/>
      <c r="J12727" s="2"/>
      <c r="K12727" s="2"/>
      <c r="L12727" s="2"/>
    </row>
    <row r="12728" spans="8:12" x14ac:dyDescent="0.3">
      <c r="H12728" s="2"/>
      <c r="I12728" s="2"/>
      <c r="J12728" s="2"/>
      <c r="K12728" s="2"/>
      <c r="L12728" s="2"/>
    </row>
    <row r="12729" spans="8:12" x14ac:dyDescent="0.3">
      <c r="H12729" s="2"/>
      <c r="I12729" s="2"/>
      <c r="J12729" s="2"/>
      <c r="K12729" s="2"/>
      <c r="L12729" s="2"/>
    </row>
    <row r="12730" spans="8:12" x14ac:dyDescent="0.3">
      <c r="H12730" s="2"/>
      <c r="I12730" s="2"/>
      <c r="J12730" s="2"/>
      <c r="K12730" s="2"/>
      <c r="L12730" s="2"/>
    </row>
    <row r="12731" spans="8:12" x14ac:dyDescent="0.3">
      <c r="H12731" s="2"/>
      <c r="I12731" s="2"/>
      <c r="J12731" s="2"/>
      <c r="K12731" s="2"/>
      <c r="L12731" s="2"/>
    </row>
    <row r="12732" spans="8:12" x14ac:dyDescent="0.3">
      <c r="H12732" s="2"/>
      <c r="I12732" s="2"/>
      <c r="J12732" s="2"/>
      <c r="K12732" s="2"/>
      <c r="L12732" s="2"/>
    </row>
    <row r="12733" spans="8:12" x14ac:dyDescent="0.3">
      <c r="H12733" s="2"/>
      <c r="I12733" s="2"/>
      <c r="J12733" s="2"/>
      <c r="K12733" s="2"/>
      <c r="L12733" s="2"/>
    </row>
    <row r="12734" spans="8:12" x14ac:dyDescent="0.3">
      <c r="H12734" s="2"/>
      <c r="I12734" s="2"/>
      <c r="J12734" s="2"/>
      <c r="K12734" s="2"/>
      <c r="L12734" s="2"/>
    </row>
    <row r="12735" spans="8:12" x14ac:dyDescent="0.3">
      <c r="H12735" s="2"/>
      <c r="I12735" s="2"/>
      <c r="J12735" s="2"/>
      <c r="K12735" s="2"/>
      <c r="L12735" s="2"/>
    </row>
    <row r="12736" spans="8:12" x14ac:dyDescent="0.3">
      <c r="H12736" s="2"/>
      <c r="I12736" s="2"/>
      <c r="J12736" s="2"/>
      <c r="K12736" s="2"/>
      <c r="L12736" s="2"/>
    </row>
    <row r="12737" spans="8:12" x14ac:dyDescent="0.3">
      <c r="H12737" s="2"/>
      <c r="I12737" s="2"/>
      <c r="J12737" s="2"/>
      <c r="K12737" s="2"/>
      <c r="L12737" s="2"/>
    </row>
    <row r="12738" spans="8:12" x14ac:dyDescent="0.3">
      <c r="H12738" s="2"/>
      <c r="I12738" s="2"/>
      <c r="J12738" s="2"/>
      <c r="K12738" s="2"/>
      <c r="L12738" s="2"/>
    </row>
    <row r="12739" spans="8:12" x14ac:dyDescent="0.3">
      <c r="H12739" s="2"/>
      <c r="I12739" s="2"/>
      <c r="J12739" s="2"/>
      <c r="K12739" s="2"/>
      <c r="L12739" s="2"/>
    </row>
    <row r="12740" spans="8:12" x14ac:dyDescent="0.3">
      <c r="H12740" s="2"/>
      <c r="I12740" s="2"/>
      <c r="J12740" s="2"/>
      <c r="K12740" s="2"/>
      <c r="L12740" s="2"/>
    </row>
    <row r="12741" spans="8:12" x14ac:dyDescent="0.3">
      <c r="H12741" s="2"/>
      <c r="I12741" s="2"/>
      <c r="J12741" s="2"/>
      <c r="K12741" s="2"/>
      <c r="L12741" s="2"/>
    </row>
    <row r="12742" spans="8:12" x14ac:dyDescent="0.3">
      <c r="H12742" s="2"/>
      <c r="I12742" s="2"/>
      <c r="J12742" s="2"/>
      <c r="K12742" s="2"/>
      <c r="L12742" s="2"/>
    </row>
    <row r="12743" spans="8:12" x14ac:dyDescent="0.3">
      <c r="H12743" s="2"/>
      <c r="I12743" s="2"/>
      <c r="J12743" s="2"/>
      <c r="K12743" s="2"/>
      <c r="L12743" s="2"/>
    </row>
    <row r="12744" spans="8:12" x14ac:dyDescent="0.3">
      <c r="H12744" s="2"/>
      <c r="I12744" s="2"/>
      <c r="J12744" s="2"/>
      <c r="K12744" s="2"/>
      <c r="L12744" s="2"/>
    </row>
    <row r="12745" spans="8:12" x14ac:dyDescent="0.3">
      <c r="H12745" s="2"/>
      <c r="I12745" s="2"/>
      <c r="J12745" s="2"/>
      <c r="K12745" s="2"/>
      <c r="L12745" s="2"/>
    </row>
    <row r="12746" spans="8:12" x14ac:dyDescent="0.3">
      <c r="H12746" s="2"/>
      <c r="I12746" s="2"/>
      <c r="J12746" s="2"/>
      <c r="K12746" s="2"/>
      <c r="L12746" s="2"/>
    </row>
    <row r="12747" spans="8:12" x14ac:dyDescent="0.3">
      <c r="H12747" s="2"/>
      <c r="I12747" s="2"/>
      <c r="J12747" s="2"/>
      <c r="K12747" s="2"/>
      <c r="L12747" s="2"/>
    </row>
    <row r="12748" spans="8:12" x14ac:dyDescent="0.3">
      <c r="H12748" s="2"/>
      <c r="I12748" s="2"/>
      <c r="J12748" s="2"/>
      <c r="K12748" s="2"/>
      <c r="L12748" s="2"/>
    </row>
    <row r="12749" spans="8:12" x14ac:dyDescent="0.3">
      <c r="H12749" s="2"/>
      <c r="I12749" s="2"/>
      <c r="J12749" s="2"/>
      <c r="K12749" s="2"/>
      <c r="L12749" s="2"/>
    </row>
    <row r="12750" spans="8:12" x14ac:dyDescent="0.3">
      <c r="H12750" s="2"/>
      <c r="I12750" s="2"/>
      <c r="J12750" s="2"/>
      <c r="K12750" s="2"/>
      <c r="L12750" s="2"/>
    </row>
    <row r="12751" spans="8:12" x14ac:dyDescent="0.3">
      <c r="H12751" s="2"/>
      <c r="I12751" s="2"/>
      <c r="J12751" s="2"/>
      <c r="K12751" s="2"/>
      <c r="L12751" s="2"/>
    </row>
    <row r="12752" spans="8:12" x14ac:dyDescent="0.3">
      <c r="H12752" s="2"/>
      <c r="I12752" s="2"/>
      <c r="J12752" s="2"/>
      <c r="K12752" s="2"/>
      <c r="L12752" s="2"/>
    </row>
    <row r="12753" spans="8:12" x14ac:dyDescent="0.3">
      <c r="H12753" s="2"/>
      <c r="I12753" s="2"/>
      <c r="J12753" s="2"/>
      <c r="K12753" s="2"/>
      <c r="L12753" s="2"/>
    </row>
    <row r="12754" spans="8:12" x14ac:dyDescent="0.3">
      <c r="H12754" s="2"/>
      <c r="I12754" s="2"/>
      <c r="J12754" s="2"/>
      <c r="K12754" s="2"/>
      <c r="L12754" s="2"/>
    </row>
    <row r="12755" spans="8:12" x14ac:dyDescent="0.3">
      <c r="H12755" s="2"/>
      <c r="I12755" s="2"/>
      <c r="J12755" s="2"/>
      <c r="K12755" s="2"/>
      <c r="L12755" s="2"/>
    </row>
    <row r="12756" spans="8:12" x14ac:dyDescent="0.3">
      <c r="H12756" s="2"/>
      <c r="I12756" s="2"/>
      <c r="J12756" s="2"/>
      <c r="K12756" s="2"/>
      <c r="L12756" s="2"/>
    </row>
    <row r="12757" spans="8:12" x14ac:dyDescent="0.3">
      <c r="H12757" s="2"/>
      <c r="I12757" s="2"/>
      <c r="J12757" s="2"/>
      <c r="K12757" s="2"/>
      <c r="L12757" s="2"/>
    </row>
    <row r="12758" spans="8:12" x14ac:dyDescent="0.3">
      <c r="H12758" s="2"/>
      <c r="I12758" s="2"/>
      <c r="J12758" s="2"/>
      <c r="K12758" s="2"/>
      <c r="L12758" s="2"/>
    </row>
    <row r="12759" spans="8:12" x14ac:dyDescent="0.3">
      <c r="H12759" s="2"/>
      <c r="I12759" s="2"/>
      <c r="J12759" s="2"/>
      <c r="K12759" s="2"/>
      <c r="L12759" s="2"/>
    </row>
    <row r="12760" spans="8:12" x14ac:dyDescent="0.3">
      <c r="H12760" s="2"/>
      <c r="I12760" s="2"/>
      <c r="J12760" s="2"/>
      <c r="K12760" s="2"/>
      <c r="L12760" s="2"/>
    </row>
    <row r="12761" spans="8:12" x14ac:dyDescent="0.3">
      <c r="H12761" s="2"/>
      <c r="I12761" s="2"/>
      <c r="J12761" s="2"/>
      <c r="K12761" s="2"/>
      <c r="L12761" s="2"/>
    </row>
    <row r="12762" spans="8:12" x14ac:dyDescent="0.3">
      <c r="H12762" s="2"/>
      <c r="I12762" s="2"/>
      <c r="J12762" s="2"/>
      <c r="K12762" s="2"/>
      <c r="L12762" s="2"/>
    </row>
    <row r="12763" spans="8:12" x14ac:dyDescent="0.3">
      <c r="H12763" s="2"/>
      <c r="I12763" s="2"/>
      <c r="J12763" s="2"/>
      <c r="K12763" s="2"/>
      <c r="L12763" s="2"/>
    </row>
    <row r="12764" spans="8:12" x14ac:dyDescent="0.3">
      <c r="H12764" s="2"/>
      <c r="I12764" s="2"/>
      <c r="J12764" s="2"/>
      <c r="K12764" s="2"/>
      <c r="L12764" s="2"/>
    </row>
    <row r="12765" spans="8:12" x14ac:dyDescent="0.3">
      <c r="H12765" s="2"/>
      <c r="I12765" s="2"/>
      <c r="J12765" s="2"/>
      <c r="K12765" s="2"/>
      <c r="L12765" s="2"/>
    </row>
    <row r="12766" spans="8:12" x14ac:dyDescent="0.3">
      <c r="H12766" s="2"/>
      <c r="I12766" s="2"/>
      <c r="J12766" s="2"/>
      <c r="K12766" s="2"/>
      <c r="L12766" s="2"/>
    </row>
    <row r="12767" spans="8:12" x14ac:dyDescent="0.3">
      <c r="H12767" s="2"/>
      <c r="I12767" s="2"/>
      <c r="J12767" s="2"/>
      <c r="K12767" s="2"/>
      <c r="L12767" s="2"/>
    </row>
    <row r="12768" spans="8:12" x14ac:dyDescent="0.3">
      <c r="H12768" s="2"/>
      <c r="I12768" s="2"/>
      <c r="J12768" s="2"/>
      <c r="K12768" s="2"/>
      <c r="L12768" s="2"/>
    </row>
    <row r="12769" spans="8:12" x14ac:dyDescent="0.3">
      <c r="H12769" s="2"/>
      <c r="I12769" s="2"/>
      <c r="J12769" s="2"/>
      <c r="K12769" s="2"/>
      <c r="L12769" s="2"/>
    </row>
    <row r="12770" spans="8:12" x14ac:dyDescent="0.3">
      <c r="H12770" s="2"/>
      <c r="I12770" s="2"/>
      <c r="J12770" s="2"/>
      <c r="K12770" s="2"/>
      <c r="L12770" s="2"/>
    </row>
    <row r="12771" spans="8:12" x14ac:dyDescent="0.3">
      <c r="H12771" s="2"/>
      <c r="I12771" s="2"/>
      <c r="J12771" s="2"/>
      <c r="K12771" s="2"/>
      <c r="L12771" s="2"/>
    </row>
    <row r="12772" spans="8:12" x14ac:dyDescent="0.3">
      <c r="H12772" s="2"/>
      <c r="I12772" s="2"/>
      <c r="J12772" s="2"/>
      <c r="K12772" s="2"/>
      <c r="L12772" s="2"/>
    </row>
    <row r="12773" spans="8:12" x14ac:dyDescent="0.3">
      <c r="H12773" s="2"/>
      <c r="I12773" s="2"/>
      <c r="J12773" s="2"/>
      <c r="K12773" s="2"/>
      <c r="L12773" s="2"/>
    </row>
    <row r="12774" spans="8:12" x14ac:dyDescent="0.3">
      <c r="H12774" s="2"/>
      <c r="I12774" s="2"/>
      <c r="J12774" s="2"/>
      <c r="K12774" s="2"/>
      <c r="L12774" s="2"/>
    </row>
    <row r="12775" spans="8:12" x14ac:dyDescent="0.3">
      <c r="H12775" s="2"/>
      <c r="I12775" s="2"/>
      <c r="J12775" s="2"/>
      <c r="K12775" s="2"/>
      <c r="L12775" s="2"/>
    </row>
    <row r="12776" spans="8:12" x14ac:dyDescent="0.3">
      <c r="H12776" s="2"/>
      <c r="I12776" s="2"/>
      <c r="J12776" s="2"/>
      <c r="K12776" s="2"/>
      <c r="L12776" s="2"/>
    </row>
    <row r="12777" spans="8:12" x14ac:dyDescent="0.3">
      <c r="H12777" s="2"/>
      <c r="I12777" s="2"/>
      <c r="J12777" s="2"/>
      <c r="K12777" s="2"/>
      <c r="L12777" s="2"/>
    </row>
    <row r="12778" spans="8:12" x14ac:dyDescent="0.3">
      <c r="H12778" s="2"/>
      <c r="I12778" s="2"/>
      <c r="J12778" s="2"/>
      <c r="K12778" s="2"/>
      <c r="L12778" s="2"/>
    </row>
    <row r="12779" spans="8:12" x14ac:dyDescent="0.3">
      <c r="H12779" s="2"/>
      <c r="I12779" s="2"/>
      <c r="J12779" s="2"/>
      <c r="K12779" s="2"/>
      <c r="L12779" s="2"/>
    </row>
    <row r="12780" spans="8:12" x14ac:dyDescent="0.3">
      <c r="H12780" s="2"/>
      <c r="I12780" s="2"/>
      <c r="J12780" s="2"/>
      <c r="K12780" s="2"/>
      <c r="L12780" s="2"/>
    </row>
    <row r="12781" spans="8:12" x14ac:dyDescent="0.3">
      <c r="H12781" s="2"/>
      <c r="I12781" s="2"/>
      <c r="J12781" s="2"/>
      <c r="K12781" s="2"/>
      <c r="L12781" s="2"/>
    </row>
    <row r="12782" spans="8:12" x14ac:dyDescent="0.3">
      <c r="H12782" s="2"/>
      <c r="I12782" s="2"/>
      <c r="J12782" s="2"/>
      <c r="K12782" s="2"/>
      <c r="L12782" s="2"/>
    </row>
    <row r="12783" spans="8:12" x14ac:dyDescent="0.3">
      <c r="H12783" s="2"/>
      <c r="I12783" s="2"/>
      <c r="J12783" s="2"/>
      <c r="K12783" s="2"/>
      <c r="L12783" s="2"/>
    </row>
    <row r="12784" spans="8:12" x14ac:dyDescent="0.3">
      <c r="H12784" s="2"/>
      <c r="I12784" s="2"/>
      <c r="J12784" s="2"/>
      <c r="K12784" s="2"/>
      <c r="L12784" s="2"/>
    </row>
    <row r="12785" spans="8:12" x14ac:dyDescent="0.3">
      <c r="H12785" s="2"/>
      <c r="I12785" s="2"/>
      <c r="J12785" s="2"/>
      <c r="K12785" s="2"/>
      <c r="L12785" s="2"/>
    </row>
    <row r="12786" spans="8:12" x14ac:dyDescent="0.3">
      <c r="H12786" s="2"/>
      <c r="I12786" s="2"/>
      <c r="J12786" s="2"/>
      <c r="K12786" s="2"/>
      <c r="L12786" s="2"/>
    </row>
    <row r="12787" spans="8:12" x14ac:dyDescent="0.3">
      <c r="H12787" s="2"/>
      <c r="I12787" s="2"/>
      <c r="J12787" s="2"/>
      <c r="K12787" s="2"/>
      <c r="L12787" s="2"/>
    </row>
    <row r="12788" spans="8:12" x14ac:dyDescent="0.3">
      <c r="H12788" s="2"/>
      <c r="I12788" s="2"/>
      <c r="J12788" s="2"/>
      <c r="K12788" s="2"/>
      <c r="L12788" s="2"/>
    </row>
    <row r="12789" spans="8:12" x14ac:dyDescent="0.3">
      <c r="H12789" s="2"/>
      <c r="I12789" s="2"/>
      <c r="J12789" s="2"/>
      <c r="K12789" s="2"/>
      <c r="L12789" s="2"/>
    </row>
    <row r="12790" spans="8:12" x14ac:dyDescent="0.3">
      <c r="H12790" s="2"/>
      <c r="I12790" s="2"/>
      <c r="J12790" s="2"/>
      <c r="K12790" s="2"/>
      <c r="L12790" s="2"/>
    </row>
    <row r="12791" spans="8:12" x14ac:dyDescent="0.3">
      <c r="H12791" s="2"/>
      <c r="I12791" s="2"/>
      <c r="J12791" s="2"/>
      <c r="K12791" s="2"/>
      <c r="L12791" s="2"/>
    </row>
    <row r="12792" spans="8:12" x14ac:dyDescent="0.3">
      <c r="H12792" s="2"/>
      <c r="I12792" s="2"/>
      <c r="J12792" s="2"/>
      <c r="K12792" s="2"/>
      <c r="L12792" s="2"/>
    </row>
    <row r="12793" spans="8:12" x14ac:dyDescent="0.3">
      <c r="H12793" s="2"/>
      <c r="I12793" s="2"/>
      <c r="J12793" s="2"/>
      <c r="K12793" s="2"/>
      <c r="L12793" s="2"/>
    </row>
    <row r="12794" spans="8:12" x14ac:dyDescent="0.3">
      <c r="H12794" s="2"/>
      <c r="I12794" s="2"/>
      <c r="J12794" s="2"/>
      <c r="K12794" s="2"/>
      <c r="L12794" s="2"/>
    </row>
    <row r="12795" spans="8:12" x14ac:dyDescent="0.3">
      <c r="H12795" s="2"/>
      <c r="I12795" s="2"/>
      <c r="J12795" s="2"/>
      <c r="K12795" s="2"/>
      <c r="L12795" s="2"/>
    </row>
    <row r="12796" spans="8:12" x14ac:dyDescent="0.3">
      <c r="H12796" s="2"/>
      <c r="I12796" s="2"/>
      <c r="J12796" s="2"/>
      <c r="K12796" s="2"/>
      <c r="L12796" s="2"/>
    </row>
    <row r="12797" spans="8:12" x14ac:dyDescent="0.3">
      <c r="H12797" s="2"/>
      <c r="I12797" s="2"/>
      <c r="J12797" s="2"/>
      <c r="K12797" s="2"/>
      <c r="L12797" s="2"/>
    </row>
    <row r="12798" spans="8:12" x14ac:dyDescent="0.3">
      <c r="H12798" s="2"/>
      <c r="I12798" s="2"/>
      <c r="J12798" s="2"/>
      <c r="K12798" s="2"/>
      <c r="L12798" s="2"/>
    </row>
    <row r="12799" spans="8:12" x14ac:dyDescent="0.3">
      <c r="H12799" s="2"/>
      <c r="I12799" s="2"/>
      <c r="J12799" s="2"/>
      <c r="K12799" s="2"/>
      <c r="L12799" s="2"/>
    </row>
    <row r="12800" spans="8:12" x14ac:dyDescent="0.3">
      <c r="H12800" s="2"/>
      <c r="I12800" s="2"/>
      <c r="J12800" s="2"/>
      <c r="K12800" s="2"/>
      <c r="L12800" s="2"/>
    </row>
    <row r="12801" spans="8:12" x14ac:dyDescent="0.3">
      <c r="H12801" s="2"/>
      <c r="I12801" s="2"/>
      <c r="J12801" s="2"/>
      <c r="K12801" s="2"/>
      <c r="L12801" s="2"/>
    </row>
    <row r="12802" spans="8:12" x14ac:dyDescent="0.3">
      <c r="H12802" s="2"/>
      <c r="I12802" s="2"/>
      <c r="J12802" s="2"/>
      <c r="K12802" s="2"/>
      <c r="L12802" s="2"/>
    </row>
    <row r="12803" spans="8:12" x14ac:dyDescent="0.3">
      <c r="H12803" s="2"/>
      <c r="I12803" s="2"/>
      <c r="J12803" s="2"/>
      <c r="K12803" s="2"/>
      <c r="L12803" s="2"/>
    </row>
    <row r="12804" spans="8:12" x14ac:dyDescent="0.3">
      <c r="H12804" s="2"/>
      <c r="I12804" s="2"/>
      <c r="J12804" s="2"/>
      <c r="K12804" s="2"/>
      <c r="L12804" s="2"/>
    </row>
    <row r="12805" spans="8:12" x14ac:dyDescent="0.3">
      <c r="H12805" s="2"/>
      <c r="I12805" s="2"/>
      <c r="J12805" s="2"/>
      <c r="K12805" s="2"/>
      <c r="L12805" s="2"/>
    </row>
    <row r="12806" spans="8:12" x14ac:dyDescent="0.3">
      <c r="H12806" s="2"/>
      <c r="I12806" s="2"/>
      <c r="J12806" s="2"/>
      <c r="K12806" s="2"/>
      <c r="L12806" s="2"/>
    </row>
    <row r="12807" spans="8:12" x14ac:dyDescent="0.3">
      <c r="H12807" s="2"/>
      <c r="I12807" s="2"/>
      <c r="J12807" s="2"/>
      <c r="K12807" s="2"/>
      <c r="L12807" s="2"/>
    </row>
    <row r="12808" spans="8:12" x14ac:dyDescent="0.3">
      <c r="H12808" s="2"/>
      <c r="I12808" s="2"/>
      <c r="J12808" s="2"/>
      <c r="K12808" s="2"/>
      <c r="L12808" s="2"/>
    </row>
    <row r="12809" spans="8:12" x14ac:dyDescent="0.3">
      <c r="H12809" s="2"/>
      <c r="I12809" s="2"/>
      <c r="J12809" s="2"/>
      <c r="K12809" s="2"/>
      <c r="L12809" s="2"/>
    </row>
    <row r="12810" spans="8:12" x14ac:dyDescent="0.3">
      <c r="H12810" s="2"/>
      <c r="I12810" s="2"/>
      <c r="J12810" s="2"/>
      <c r="K12810" s="2"/>
      <c r="L12810" s="2"/>
    </row>
    <row r="12811" spans="8:12" x14ac:dyDescent="0.3">
      <c r="H12811" s="2"/>
      <c r="I12811" s="2"/>
      <c r="J12811" s="2"/>
      <c r="K12811" s="2"/>
      <c r="L12811" s="2"/>
    </row>
    <row r="12812" spans="8:12" x14ac:dyDescent="0.3">
      <c r="H12812" s="2"/>
      <c r="I12812" s="2"/>
      <c r="J12812" s="2"/>
      <c r="K12812" s="2"/>
      <c r="L12812" s="2"/>
    </row>
    <row r="12813" spans="8:12" x14ac:dyDescent="0.3">
      <c r="H12813" s="2"/>
      <c r="I12813" s="2"/>
      <c r="J12813" s="2"/>
      <c r="K12813" s="2"/>
      <c r="L12813" s="2"/>
    </row>
    <row r="12814" spans="8:12" x14ac:dyDescent="0.3">
      <c r="H12814" s="2"/>
      <c r="I12814" s="2"/>
      <c r="J12814" s="2"/>
      <c r="K12814" s="2"/>
      <c r="L12814" s="2"/>
    </row>
    <row r="12815" spans="8:12" x14ac:dyDescent="0.3">
      <c r="H12815" s="2"/>
      <c r="I12815" s="2"/>
      <c r="J12815" s="2"/>
      <c r="K12815" s="2"/>
      <c r="L12815" s="2"/>
    </row>
    <row r="12816" spans="8:12" x14ac:dyDescent="0.3">
      <c r="H12816" s="2"/>
      <c r="I12816" s="2"/>
      <c r="J12816" s="2"/>
      <c r="K12816" s="2"/>
      <c r="L12816" s="2"/>
    </row>
    <row r="12817" spans="8:12" x14ac:dyDescent="0.3">
      <c r="H12817" s="2"/>
      <c r="I12817" s="2"/>
      <c r="J12817" s="2"/>
      <c r="K12817" s="2"/>
      <c r="L12817" s="2"/>
    </row>
    <row r="12818" spans="8:12" x14ac:dyDescent="0.3">
      <c r="H12818" s="2"/>
      <c r="I12818" s="2"/>
      <c r="J12818" s="2"/>
      <c r="K12818" s="2"/>
      <c r="L12818" s="2"/>
    </row>
    <row r="12819" spans="8:12" x14ac:dyDescent="0.3">
      <c r="H12819" s="2"/>
      <c r="I12819" s="2"/>
      <c r="J12819" s="2"/>
      <c r="K12819" s="2"/>
      <c r="L12819" s="2"/>
    </row>
    <row r="12820" spans="8:12" x14ac:dyDescent="0.3">
      <c r="H12820" s="2"/>
      <c r="I12820" s="2"/>
      <c r="J12820" s="2"/>
      <c r="K12820" s="2"/>
      <c r="L12820" s="2"/>
    </row>
    <row r="12821" spans="8:12" x14ac:dyDescent="0.3">
      <c r="H12821" s="2"/>
      <c r="I12821" s="2"/>
      <c r="J12821" s="2"/>
      <c r="K12821" s="2"/>
      <c r="L12821" s="2"/>
    </row>
    <row r="12822" spans="8:12" x14ac:dyDescent="0.3">
      <c r="H12822" s="2"/>
      <c r="I12822" s="2"/>
      <c r="J12822" s="2"/>
      <c r="K12822" s="2"/>
      <c r="L12822" s="2"/>
    </row>
    <row r="12823" spans="8:12" x14ac:dyDescent="0.3">
      <c r="H12823" s="2"/>
      <c r="I12823" s="2"/>
      <c r="J12823" s="2"/>
      <c r="K12823" s="2"/>
      <c r="L12823" s="2"/>
    </row>
    <row r="12824" spans="8:12" x14ac:dyDescent="0.3">
      <c r="H12824" s="2"/>
      <c r="I12824" s="2"/>
      <c r="J12824" s="2"/>
      <c r="K12824" s="2"/>
      <c r="L12824" s="2"/>
    </row>
    <row r="12825" spans="8:12" x14ac:dyDescent="0.3">
      <c r="H12825" s="2"/>
      <c r="I12825" s="2"/>
      <c r="J12825" s="2"/>
      <c r="K12825" s="2"/>
      <c r="L12825" s="2"/>
    </row>
    <row r="12826" spans="8:12" x14ac:dyDescent="0.3">
      <c r="H12826" s="2"/>
      <c r="I12826" s="2"/>
      <c r="J12826" s="2"/>
      <c r="K12826" s="2"/>
      <c r="L12826" s="2"/>
    </row>
    <row r="12827" spans="8:12" x14ac:dyDescent="0.3">
      <c r="H12827" s="2"/>
      <c r="I12827" s="2"/>
      <c r="J12827" s="2"/>
      <c r="K12827" s="2"/>
      <c r="L12827" s="2"/>
    </row>
    <row r="12828" spans="8:12" x14ac:dyDescent="0.3">
      <c r="H12828" s="2"/>
      <c r="I12828" s="2"/>
      <c r="J12828" s="2"/>
      <c r="K12828" s="2"/>
      <c r="L12828" s="2"/>
    </row>
    <row r="12829" spans="8:12" x14ac:dyDescent="0.3">
      <c r="H12829" s="2"/>
      <c r="I12829" s="2"/>
      <c r="J12829" s="2"/>
      <c r="K12829" s="2"/>
      <c r="L12829" s="2"/>
    </row>
    <row r="12830" spans="8:12" x14ac:dyDescent="0.3">
      <c r="H12830" s="2"/>
      <c r="I12830" s="2"/>
      <c r="J12830" s="2"/>
      <c r="K12830" s="2"/>
      <c r="L12830" s="2"/>
    </row>
    <row r="12831" spans="8:12" x14ac:dyDescent="0.3">
      <c r="H12831" s="2"/>
      <c r="I12831" s="2"/>
      <c r="J12831" s="2"/>
      <c r="K12831" s="2"/>
      <c r="L12831" s="2"/>
    </row>
    <row r="12832" spans="8:12" x14ac:dyDescent="0.3">
      <c r="H12832" s="2"/>
      <c r="I12832" s="2"/>
      <c r="J12832" s="2"/>
      <c r="K12832" s="2"/>
      <c r="L12832" s="2"/>
    </row>
    <row r="12833" spans="8:12" x14ac:dyDescent="0.3">
      <c r="H12833" s="2"/>
      <c r="I12833" s="2"/>
      <c r="J12833" s="2"/>
      <c r="K12833" s="2"/>
      <c r="L12833" s="2"/>
    </row>
    <row r="12834" spans="8:12" x14ac:dyDescent="0.3">
      <c r="H12834" s="2"/>
      <c r="I12834" s="2"/>
      <c r="J12834" s="2"/>
      <c r="K12834" s="2"/>
      <c r="L12834" s="2"/>
    </row>
    <row r="12835" spans="8:12" x14ac:dyDescent="0.3">
      <c r="H12835" s="2"/>
      <c r="I12835" s="2"/>
      <c r="J12835" s="2"/>
      <c r="K12835" s="2"/>
      <c r="L12835" s="2"/>
    </row>
    <row r="12836" spans="8:12" x14ac:dyDescent="0.3">
      <c r="H12836" s="2"/>
      <c r="I12836" s="2"/>
      <c r="J12836" s="2"/>
      <c r="K12836" s="2"/>
      <c r="L12836" s="2"/>
    </row>
    <row r="12837" spans="8:12" x14ac:dyDescent="0.3">
      <c r="H12837" s="2"/>
      <c r="I12837" s="2"/>
      <c r="J12837" s="2"/>
      <c r="K12837" s="2"/>
      <c r="L12837" s="2"/>
    </row>
    <row r="12838" spans="8:12" x14ac:dyDescent="0.3">
      <c r="H12838" s="2"/>
      <c r="I12838" s="2"/>
      <c r="J12838" s="2"/>
      <c r="K12838" s="2"/>
      <c r="L12838" s="2"/>
    </row>
    <row r="12839" spans="8:12" x14ac:dyDescent="0.3">
      <c r="H12839" s="2"/>
      <c r="I12839" s="2"/>
      <c r="J12839" s="2"/>
      <c r="K12839" s="2"/>
      <c r="L12839" s="2"/>
    </row>
    <row r="12840" spans="8:12" x14ac:dyDescent="0.3">
      <c r="H12840" s="2"/>
      <c r="I12840" s="2"/>
      <c r="J12840" s="2"/>
      <c r="K12840" s="2"/>
      <c r="L12840" s="2"/>
    </row>
    <row r="12841" spans="8:12" x14ac:dyDescent="0.3">
      <c r="H12841" s="2"/>
      <c r="I12841" s="2"/>
      <c r="J12841" s="2"/>
      <c r="K12841" s="2"/>
      <c r="L12841" s="2"/>
    </row>
    <row r="12842" spans="8:12" x14ac:dyDescent="0.3">
      <c r="H12842" s="2"/>
      <c r="I12842" s="2"/>
      <c r="J12842" s="2"/>
      <c r="K12842" s="2"/>
      <c r="L12842" s="2"/>
    </row>
    <row r="12843" spans="8:12" x14ac:dyDescent="0.3">
      <c r="H12843" s="2"/>
      <c r="I12843" s="2"/>
      <c r="J12843" s="2"/>
      <c r="K12843" s="2"/>
      <c r="L12843" s="2"/>
    </row>
    <row r="12844" spans="8:12" x14ac:dyDescent="0.3">
      <c r="H12844" s="2"/>
      <c r="I12844" s="2"/>
      <c r="J12844" s="2"/>
      <c r="K12844" s="2"/>
      <c r="L12844" s="2"/>
    </row>
    <row r="12845" spans="8:12" x14ac:dyDescent="0.3">
      <c r="H12845" s="2"/>
      <c r="I12845" s="2"/>
      <c r="J12845" s="2"/>
      <c r="K12845" s="2"/>
      <c r="L12845" s="2"/>
    </row>
    <row r="12846" spans="8:12" x14ac:dyDescent="0.3">
      <c r="H12846" s="2"/>
      <c r="I12846" s="2"/>
      <c r="J12846" s="2"/>
      <c r="K12846" s="2"/>
      <c r="L12846" s="2"/>
    </row>
    <row r="12847" spans="8:12" x14ac:dyDescent="0.3">
      <c r="H12847" s="2"/>
      <c r="I12847" s="2"/>
      <c r="J12847" s="2"/>
      <c r="K12847" s="2"/>
      <c r="L12847" s="2"/>
    </row>
    <row r="12848" spans="8:12" x14ac:dyDescent="0.3">
      <c r="H12848" s="2"/>
      <c r="I12848" s="2"/>
      <c r="J12848" s="2"/>
      <c r="K12848" s="2"/>
      <c r="L12848" s="2"/>
    </row>
    <row r="12849" spans="8:12" x14ac:dyDescent="0.3">
      <c r="H12849" s="2"/>
      <c r="I12849" s="2"/>
      <c r="J12849" s="2"/>
      <c r="K12849" s="2"/>
      <c r="L12849" s="2"/>
    </row>
    <row r="12850" spans="8:12" x14ac:dyDescent="0.3">
      <c r="H12850" s="2"/>
      <c r="I12850" s="2"/>
      <c r="J12850" s="2"/>
      <c r="K12850" s="2"/>
      <c r="L12850" s="2"/>
    </row>
    <row r="12851" spans="8:12" x14ac:dyDescent="0.3">
      <c r="H12851" s="2"/>
      <c r="I12851" s="2"/>
      <c r="J12851" s="2"/>
      <c r="K12851" s="2"/>
      <c r="L12851" s="2"/>
    </row>
    <row r="12852" spans="8:12" x14ac:dyDescent="0.3">
      <c r="H12852" s="2"/>
      <c r="I12852" s="2"/>
      <c r="J12852" s="2"/>
      <c r="K12852" s="2"/>
      <c r="L12852" s="2"/>
    </row>
    <row r="12853" spans="8:12" x14ac:dyDescent="0.3">
      <c r="H12853" s="2"/>
      <c r="I12853" s="2"/>
      <c r="J12853" s="2"/>
      <c r="K12853" s="2"/>
      <c r="L12853" s="2"/>
    </row>
    <row r="12854" spans="8:12" x14ac:dyDescent="0.3">
      <c r="H12854" s="2"/>
      <c r="I12854" s="2"/>
      <c r="J12854" s="2"/>
      <c r="K12854" s="2"/>
      <c r="L12854" s="2"/>
    </row>
    <row r="12855" spans="8:12" x14ac:dyDescent="0.3">
      <c r="H12855" s="2"/>
      <c r="I12855" s="2"/>
      <c r="J12855" s="2"/>
      <c r="K12855" s="2"/>
      <c r="L12855" s="2"/>
    </row>
    <row r="12856" spans="8:12" x14ac:dyDescent="0.3">
      <c r="H12856" s="2"/>
      <c r="I12856" s="2"/>
      <c r="J12856" s="2"/>
      <c r="K12856" s="2"/>
      <c r="L12856" s="2"/>
    </row>
    <row r="12857" spans="8:12" x14ac:dyDescent="0.3">
      <c r="H12857" s="2"/>
      <c r="I12857" s="2"/>
      <c r="J12857" s="2"/>
      <c r="K12857" s="2"/>
      <c r="L12857" s="2"/>
    </row>
    <row r="12858" spans="8:12" x14ac:dyDescent="0.3">
      <c r="H12858" s="2"/>
      <c r="I12858" s="2"/>
      <c r="J12858" s="2"/>
      <c r="K12858" s="2"/>
      <c r="L12858" s="2"/>
    </row>
    <row r="12859" spans="8:12" x14ac:dyDescent="0.3">
      <c r="H12859" s="2"/>
      <c r="I12859" s="2"/>
      <c r="J12859" s="2"/>
      <c r="K12859" s="2"/>
      <c r="L12859" s="2"/>
    </row>
    <row r="12860" spans="8:12" x14ac:dyDescent="0.3">
      <c r="H12860" s="2"/>
      <c r="I12860" s="2"/>
      <c r="J12860" s="2"/>
      <c r="K12860" s="2"/>
      <c r="L12860" s="2"/>
    </row>
    <row r="12861" spans="8:12" x14ac:dyDescent="0.3">
      <c r="H12861" s="2"/>
      <c r="I12861" s="2"/>
      <c r="J12861" s="2"/>
      <c r="K12861" s="2"/>
      <c r="L12861" s="2"/>
    </row>
    <row r="12862" spans="8:12" x14ac:dyDescent="0.3">
      <c r="H12862" s="2"/>
      <c r="I12862" s="2"/>
      <c r="J12862" s="2"/>
      <c r="K12862" s="2"/>
      <c r="L12862" s="2"/>
    </row>
    <row r="12863" spans="8:12" x14ac:dyDescent="0.3">
      <c r="H12863" s="2"/>
      <c r="I12863" s="2"/>
      <c r="J12863" s="2"/>
      <c r="K12863" s="2"/>
      <c r="L12863" s="2"/>
    </row>
    <row r="12864" spans="8:12" x14ac:dyDescent="0.3">
      <c r="H12864" s="2"/>
      <c r="I12864" s="2"/>
      <c r="J12864" s="2"/>
      <c r="K12864" s="2"/>
      <c r="L12864" s="2"/>
    </row>
    <row r="12865" spans="8:12" x14ac:dyDescent="0.3">
      <c r="H12865" s="2"/>
      <c r="I12865" s="2"/>
      <c r="J12865" s="2"/>
      <c r="K12865" s="2"/>
      <c r="L12865" s="2"/>
    </row>
    <row r="12866" spans="8:12" x14ac:dyDescent="0.3">
      <c r="H12866" s="2"/>
      <c r="I12866" s="2"/>
      <c r="J12866" s="2"/>
      <c r="K12866" s="2"/>
      <c r="L12866" s="2"/>
    </row>
    <row r="12867" spans="8:12" x14ac:dyDescent="0.3">
      <c r="H12867" s="2"/>
      <c r="I12867" s="2"/>
      <c r="J12867" s="2"/>
      <c r="K12867" s="2"/>
      <c r="L12867" s="2"/>
    </row>
    <row r="12868" spans="8:12" x14ac:dyDescent="0.3">
      <c r="H12868" s="2"/>
      <c r="I12868" s="2"/>
      <c r="J12868" s="2"/>
      <c r="K12868" s="2"/>
      <c r="L12868" s="2"/>
    </row>
    <row r="12869" spans="8:12" x14ac:dyDescent="0.3">
      <c r="H12869" s="2"/>
      <c r="I12869" s="2"/>
      <c r="J12869" s="2"/>
      <c r="K12869" s="2"/>
      <c r="L12869" s="2"/>
    </row>
    <row r="12870" spans="8:12" x14ac:dyDescent="0.3">
      <c r="H12870" s="2"/>
      <c r="I12870" s="2"/>
      <c r="J12870" s="2"/>
      <c r="K12870" s="2"/>
      <c r="L12870" s="2"/>
    </row>
    <row r="12871" spans="8:12" x14ac:dyDescent="0.3">
      <c r="H12871" s="2"/>
      <c r="I12871" s="2"/>
      <c r="J12871" s="2"/>
      <c r="K12871" s="2"/>
      <c r="L12871" s="2"/>
    </row>
    <row r="12872" spans="8:12" x14ac:dyDescent="0.3">
      <c r="H12872" s="2"/>
      <c r="I12872" s="2"/>
      <c r="J12872" s="2"/>
      <c r="K12872" s="2"/>
      <c r="L12872" s="2"/>
    </row>
    <row r="12873" spans="8:12" x14ac:dyDescent="0.3">
      <c r="H12873" s="2"/>
      <c r="I12873" s="2"/>
      <c r="J12873" s="2"/>
      <c r="K12873" s="2"/>
      <c r="L12873" s="2"/>
    </row>
    <row r="12874" spans="8:12" x14ac:dyDescent="0.3">
      <c r="H12874" s="2"/>
      <c r="I12874" s="2"/>
      <c r="J12874" s="2"/>
      <c r="K12874" s="2"/>
      <c r="L12874" s="2"/>
    </row>
    <row r="12875" spans="8:12" x14ac:dyDescent="0.3">
      <c r="H12875" s="2"/>
      <c r="I12875" s="2"/>
      <c r="J12875" s="2"/>
      <c r="K12875" s="2"/>
      <c r="L12875" s="2"/>
    </row>
    <row r="12876" spans="8:12" x14ac:dyDescent="0.3">
      <c r="H12876" s="2"/>
      <c r="I12876" s="2"/>
      <c r="J12876" s="2"/>
      <c r="K12876" s="2"/>
      <c r="L12876" s="2"/>
    </row>
    <row r="12877" spans="8:12" x14ac:dyDescent="0.3">
      <c r="H12877" s="2"/>
      <c r="I12877" s="2"/>
      <c r="J12877" s="2"/>
      <c r="K12877" s="2"/>
      <c r="L12877" s="2"/>
    </row>
    <row r="12878" spans="8:12" x14ac:dyDescent="0.3">
      <c r="H12878" s="2"/>
      <c r="I12878" s="2"/>
      <c r="J12878" s="2"/>
      <c r="K12878" s="2"/>
      <c r="L12878" s="2"/>
    </row>
    <row r="12879" spans="8:12" x14ac:dyDescent="0.3">
      <c r="H12879" s="2"/>
      <c r="I12879" s="2"/>
      <c r="J12879" s="2"/>
      <c r="K12879" s="2"/>
      <c r="L12879" s="2"/>
    </row>
    <row r="12880" spans="8:12" x14ac:dyDescent="0.3">
      <c r="H12880" s="2"/>
      <c r="I12880" s="2"/>
      <c r="J12880" s="2"/>
      <c r="K12880" s="2"/>
      <c r="L12880" s="2"/>
    </row>
    <row r="12881" spans="8:12" x14ac:dyDescent="0.3">
      <c r="H12881" s="2"/>
      <c r="I12881" s="2"/>
      <c r="J12881" s="2"/>
      <c r="K12881" s="2"/>
      <c r="L12881" s="2"/>
    </row>
    <row r="12882" spans="8:12" x14ac:dyDescent="0.3">
      <c r="H12882" s="2"/>
      <c r="I12882" s="2"/>
      <c r="J12882" s="2"/>
      <c r="K12882" s="2"/>
      <c r="L12882" s="2"/>
    </row>
    <row r="12883" spans="8:12" x14ac:dyDescent="0.3">
      <c r="H12883" s="2"/>
      <c r="I12883" s="2"/>
      <c r="J12883" s="2"/>
      <c r="K12883" s="2"/>
      <c r="L12883" s="2"/>
    </row>
    <row r="12884" spans="8:12" x14ac:dyDescent="0.3">
      <c r="H12884" s="2"/>
      <c r="I12884" s="2"/>
      <c r="J12884" s="2"/>
      <c r="K12884" s="2"/>
      <c r="L12884" s="2"/>
    </row>
    <row r="12885" spans="8:12" x14ac:dyDescent="0.3">
      <c r="H12885" s="2"/>
      <c r="I12885" s="2"/>
      <c r="J12885" s="2"/>
      <c r="K12885" s="2"/>
      <c r="L12885" s="2"/>
    </row>
    <row r="12886" spans="8:12" x14ac:dyDescent="0.3">
      <c r="H12886" s="2"/>
      <c r="I12886" s="2"/>
      <c r="J12886" s="2"/>
      <c r="K12886" s="2"/>
      <c r="L12886" s="2"/>
    </row>
    <row r="12887" spans="8:12" x14ac:dyDescent="0.3">
      <c r="H12887" s="2"/>
      <c r="I12887" s="2"/>
      <c r="J12887" s="2"/>
      <c r="K12887" s="2"/>
      <c r="L12887" s="2"/>
    </row>
    <row r="12888" spans="8:12" x14ac:dyDescent="0.3">
      <c r="H12888" s="2"/>
      <c r="I12888" s="2"/>
      <c r="J12888" s="2"/>
      <c r="K12888" s="2"/>
      <c r="L12888" s="2"/>
    </row>
    <row r="12889" spans="8:12" x14ac:dyDescent="0.3">
      <c r="H12889" s="2"/>
      <c r="I12889" s="2"/>
      <c r="J12889" s="2"/>
      <c r="K12889" s="2"/>
      <c r="L12889" s="2"/>
    </row>
    <row r="12890" spans="8:12" x14ac:dyDescent="0.3">
      <c r="H12890" s="2"/>
      <c r="I12890" s="2"/>
      <c r="J12890" s="2"/>
      <c r="K12890" s="2"/>
      <c r="L12890" s="2"/>
    </row>
    <row r="12891" spans="8:12" x14ac:dyDescent="0.3">
      <c r="H12891" s="2"/>
      <c r="I12891" s="2"/>
      <c r="J12891" s="2"/>
      <c r="K12891" s="2"/>
      <c r="L12891" s="2"/>
    </row>
    <row r="12892" spans="8:12" x14ac:dyDescent="0.3">
      <c r="H12892" s="2"/>
      <c r="I12892" s="2"/>
      <c r="J12892" s="2"/>
      <c r="K12892" s="2"/>
      <c r="L12892" s="2"/>
    </row>
    <row r="12893" spans="8:12" x14ac:dyDescent="0.3">
      <c r="H12893" s="2"/>
      <c r="I12893" s="2"/>
      <c r="J12893" s="2"/>
      <c r="K12893" s="2"/>
      <c r="L12893" s="2"/>
    </row>
    <row r="12894" spans="8:12" x14ac:dyDescent="0.3">
      <c r="H12894" s="2"/>
      <c r="I12894" s="2"/>
      <c r="J12894" s="2"/>
      <c r="K12894" s="2"/>
      <c r="L12894" s="2"/>
    </row>
    <row r="12895" spans="8:12" x14ac:dyDescent="0.3">
      <c r="H12895" s="2"/>
      <c r="I12895" s="2"/>
      <c r="J12895" s="2"/>
      <c r="K12895" s="2"/>
      <c r="L12895" s="2"/>
    </row>
    <row r="12896" spans="8:12" x14ac:dyDescent="0.3">
      <c r="H12896" s="2"/>
      <c r="I12896" s="2"/>
      <c r="J12896" s="2"/>
      <c r="K12896" s="2"/>
      <c r="L12896" s="2"/>
    </row>
    <row r="12897" spans="8:12" x14ac:dyDescent="0.3">
      <c r="H12897" s="2"/>
      <c r="I12897" s="2"/>
      <c r="J12897" s="2"/>
      <c r="K12897" s="2"/>
      <c r="L12897" s="2"/>
    </row>
    <row r="12898" spans="8:12" x14ac:dyDescent="0.3">
      <c r="H12898" s="2"/>
      <c r="I12898" s="2"/>
      <c r="J12898" s="2"/>
      <c r="K12898" s="2"/>
      <c r="L12898" s="2"/>
    </row>
    <row r="12899" spans="8:12" x14ac:dyDescent="0.3">
      <c r="H12899" s="2"/>
      <c r="I12899" s="2"/>
      <c r="J12899" s="2"/>
      <c r="K12899" s="2"/>
      <c r="L12899" s="2"/>
    </row>
    <row r="12900" spans="8:12" x14ac:dyDescent="0.3">
      <c r="H12900" s="2"/>
      <c r="I12900" s="2"/>
      <c r="J12900" s="2"/>
      <c r="K12900" s="2"/>
      <c r="L12900" s="2"/>
    </row>
    <row r="12901" spans="8:12" x14ac:dyDescent="0.3">
      <c r="H12901" s="2"/>
      <c r="I12901" s="2"/>
      <c r="J12901" s="2"/>
      <c r="K12901" s="2"/>
      <c r="L12901" s="2"/>
    </row>
    <row r="12902" spans="8:12" x14ac:dyDescent="0.3">
      <c r="H12902" s="2"/>
      <c r="I12902" s="2"/>
      <c r="J12902" s="2"/>
      <c r="K12902" s="2"/>
      <c r="L12902" s="2"/>
    </row>
    <row r="12903" spans="8:12" x14ac:dyDescent="0.3">
      <c r="H12903" s="2"/>
      <c r="I12903" s="2"/>
      <c r="J12903" s="2"/>
      <c r="K12903" s="2"/>
      <c r="L12903" s="2"/>
    </row>
    <row r="12904" spans="8:12" x14ac:dyDescent="0.3">
      <c r="H12904" s="2"/>
      <c r="I12904" s="2"/>
      <c r="J12904" s="2"/>
      <c r="K12904" s="2"/>
      <c r="L12904" s="2"/>
    </row>
    <row r="12905" spans="8:12" x14ac:dyDescent="0.3">
      <c r="H12905" s="2"/>
      <c r="I12905" s="2"/>
      <c r="J12905" s="2"/>
      <c r="K12905" s="2"/>
      <c r="L12905" s="2"/>
    </row>
    <row r="12906" spans="8:12" x14ac:dyDescent="0.3">
      <c r="H12906" s="2"/>
      <c r="I12906" s="2"/>
      <c r="J12906" s="2"/>
      <c r="K12906" s="2"/>
      <c r="L12906" s="2"/>
    </row>
    <row r="12907" spans="8:12" x14ac:dyDescent="0.3">
      <c r="H12907" s="2"/>
      <c r="I12907" s="2"/>
      <c r="J12907" s="2"/>
      <c r="K12907" s="2"/>
      <c r="L12907" s="2"/>
    </row>
    <row r="12908" spans="8:12" x14ac:dyDescent="0.3">
      <c r="H12908" s="2"/>
      <c r="I12908" s="2"/>
      <c r="J12908" s="2"/>
      <c r="K12908" s="2"/>
      <c r="L12908" s="2"/>
    </row>
    <row r="12909" spans="8:12" x14ac:dyDescent="0.3">
      <c r="H12909" s="2"/>
      <c r="I12909" s="2"/>
      <c r="J12909" s="2"/>
      <c r="K12909" s="2"/>
      <c r="L12909" s="2"/>
    </row>
    <row r="12910" spans="8:12" x14ac:dyDescent="0.3">
      <c r="H12910" s="2"/>
      <c r="I12910" s="2"/>
      <c r="J12910" s="2"/>
      <c r="K12910" s="2"/>
      <c r="L12910" s="2"/>
    </row>
    <row r="12911" spans="8:12" x14ac:dyDescent="0.3">
      <c r="H12911" s="2"/>
      <c r="I12911" s="2"/>
      <c r="J12911" s="2"/>
      <c r="K12911" s="2"/>
      <c r="L12911" s="2"/>
    </row>
    <row r="12912" spans="8:12" x14ac:dyDescent="0.3">
      <c r="H12912" s="2"/>
      <c r="I12912" s="2"/>
      <c r="J12912" s="2"/>
      <c r="K12912" s="2"/>
      <c r="L12912" s="2"/>
    </row>
    <row r="12913" spans="8:12" x14ac:dyDescent="0.3">
      <c r="H12913" s="2"/>
      <c r="I12913" s="2"/>
      <c r="J12913" s="2"/>
      <c r="K12913" s="2"/>
      <c r="L12913" s="2"/>
    </row>
    <row r="12914" spans="8:12" x14ac:dyDescent="0.3">
      <c r="H12914" s="2"/>
      <c r="I12914" s="2"/>
      <c r="J12914" s="2"/>
      <c r="K12914" s="2"/>
      <c r="L12914" s="2"/>
    </row>
    <row r="12915" spans="8:12" x14ac:dyDescent="0.3">
      <c r="H12915" s="2"/>
      <c r="I12915" s="2"/>
      <c r="J12915" s="2"/>
      <c r="K12915" s="2"/>
      <c r="L12915" s="2"/>
    </row>
    <row r="12916" spans="8:12" x14ac:dyDescent="0.3">
      <c r="H12916" s="2"/>
      <c r="I12916" s="2"/>
      <c r="J12916" s="2"/>
      <c r="K12916" s="2"/>
      <c r="L12916" s="2"/>
    </row>
    <row r="12917" spans="8:12" x14ac:dyDescent="0.3">
      <c r="H12917" s="2"/>
      <c r="I12917" s="2"/>
      <c r="J12917" s="2"/>
      <c r="K12917" s="2"/>
      <c r="L12917" s="2"/>
    </row>
    <row r="12918" spans="8:12" x14ac:dyDescent="0.3">
      <c r="H12918" s="2"/>
      <c r="I12918" s="2"/>
      <c r="J12918" s="2"/>
      <c r="K12918" s="2"/>
      <c r="L12918" s="2"/>
    </row>
    <row r="12919" spans="8:12" x14ac:dyDescent="0.3">
      <c r="H12919" s="2"/>
      <c r="I12919" s="2"/>
      <c r="J12919" s="2"/>
      <c r="K12919" s="2"/>
      <c r="L12919" s="2"/>
    </row>
    <row r="12920" spans="8:12" x14ac:dyDescent="0.3">
      <c r="H12920" s="2"/>
      <c r="I12920" s="2"/>
      <c r="J12920" s="2"/>
      <c r="K12920" s="2"/>
      <c r="L12920" s="2"/>
    </row>
    <row r="12921" spans="8:12" x14ac:dyDescent="0.3">
      <c r="H12921" s="2"/>
      <c r="I12921" s="2"/>
      <c r="J12921" s="2"/>
      <c r="K12921" s="2"/>
      <c r="L12921" s="2"/>
    </row>
    <row r="12922" spans="8:12" x14ac:dyDescent="0.3">
      <c r="H12922" s="2"/>
      <c r="I12922" s="2"/>
      <c r="J12922" s="2"/>
      <c r="K12922" s="2"/>
      <c r="L12922" s="2"/>
    </row>
    <row r="12923" spans="8:12" x14ac:dyDescent="0.3">
      <c r="H12923" s="2"/>
      <c r="I12923" s="2"/>
      <c r="J12923" s="2"/>
      <c r="K12923" s="2"/>
      <c r="L12923" s="2"/>
    </row>
    <row r="12924" spans="8:12" x14ac:dyDescent="0.3">
      <c r="H12924" s="2"/>
      <c r="I12924" s="2"/>
      <c r="J12924" s="2"/>
      <c r="K12924" s="2"/>
      <c r="L12924" s="2"/>
    </row>
    <row r="12925" spans="8:12" x14ac:dyDescent="0.3">
      <c r="H12925" s="2"/>
      <c r="I12925" s="2"/>
      <c r="J12925" s="2"/>
      <c r="K12925" s="2"/>
      <c r="L12925" s="2"/>
    </row>
    <row r="12926" spans="8:12" x14ac:dyDescent="0.3">
      <c r="H12926" s="2"/>
      <c r="I12926" s="2"/>
      <c r="J12926" s="2"/>
      <c r="K12926" s="2"/>
      <c r="L12926" s="2"/>
    </row>
    <row r="12927" spans="8:12" x14ac:dyDescent="0.3">
      <c r="H12927" s="2"/>
      <c r="I12927" s="2"/>
      <c r="J12927" s="2"/>
      <c r="K12927" s="2"/>
      <c r="L12927" s="2"/>
    </row>
    <row r="12928" spans="8:12" x14ac:dyDescent="0.3">
      <c r="H12928" s="2"/>
      <c r="I12928" s="2"/>
      <c r="J12928" s="2"/>
      <c r="K12928" s="2"/>
      <c r="L12928" s="2"/>
    </row>
    <row r="12929" spans="8:12" x14ac:dyDescent="0.3">
      <c r="H12929" s="2"/>
      <c r="I12929" s="2"/>
      <c r="J12929" s="2"/>
      <c r="K12929" s="2"/>
      <c r="L12929" s="2"/>
    </row>
    <row r="12930" spans="8:12" x14ac:dyDescent="0.3">
      <c r="H12930" s="2"/>
      <c r="I12930" s="2"/>
      <c r="J12930" s="2"/>
      <c r="K12930" s="2"/>
      <c r="L12930" s="2"/>
    </row>
    <row r="12931" spans="8:12" x14ac:dyDescent="0.3">
      <c r="H12931" s="2"/>
      <c r="I12931" s="2"/>
      <c r="J12931" s="2"/>
      <c r="K12931" s="2"/>
      <c r="L12931" s="2"/>
    </row>
    <row r="12932" spans="8:12" x14ac:dyDescent="0.3">
      <c r="H12932" s="2"/>
      <c r="I12932" s="2"/>
      <c r="J12932" s="2"/>
      <c r="K12932" s="2"/>
      <c r="L12932" s="2"/>
    </row>
    <row r="12933" spans="8:12" x14ac:dyDescent="0.3">
      <c r="H12933" s="2"/>
      <c r="I12933" s="2"/>
      <c r="J12933" s="2"/>
      <c r="K12933" s="2"/>
      <c r="L12933" s="2"/>
    </row>
    <row r="12934" spans="8:12" x14ac:dyDescent="0.3">
      <c r="H12934" s="2"/>
      <c r="I12934" s="2"/>
      <c r="J12934" s="2"/>
      <c r="K12934" s="2"/>
      <c r="L12934" s="2"/>
    </row>
    <row r="12935" spans="8:12" x14ac:dyDescent="0.3">
      <c r="H12935" s="2"/>
      <c r="I12935" s="2"/>
      <c r="J12935" s="2"/>
      <c r="K12935" s="2"/>
      <c r="L12935" s="2"/>
    </row>
    <row r="12936" spans="8:12" x14ac:dyDescent="0.3">
      <c r="H12936" s="2"/>
      <c r="I12936" s="2"/>
      <c r="J12936" s="2"/>
      <c r="K12936" s="2"/>
      <c r="L12936" s="2"/>
    </row>
    <row r="12937" spans="8:12" x14ac:dyDescent="0.3">
      <c r="H12937" s="2"/>
      <c r="I12937" s="2"/>
      <c r="J12937" s="2"/>
      <c r="K12937" s="2"/>
      <c r="L12937" s="2"/>
    </row>
    <row r="12938" spans="8:12" x14ac:dyDescent="0.3">
      <c r="H12938" s="2"/>
      <c r="I12938" s="2"/>
      <c r="J12938" s="2"/>
      <c r="K12938" s="2"/>
      <c r="L12938" s="2"/>
    </row>
    <row r="12939" spans="8:12" x14ac:dyDescent="0.3">
      <c r="H12939" s="2"/>
      <c r="I12939" s="2"/>
      <c r="J12939" s="2"/>
      <c r="K12939" s="2"/>
      <c r="L12939" s="2"/>
    </row>
    <row r="12940" spans="8:12" x14ac:dyDescent="0.3">
      <c r="H12940" s="2"/>
      <c r="I12940" s="2"/>
      <c r="J12940" s="2"/>
      <c r="K12940" s="2"/>
      <c r="L12940" s="2"/>
    </row>
    <row r="12941" spans="8:12" x14ac:dyDescent="0.3">
      <c r="H12941" s="2"/>
      <c r="I12941" s="2"/>
      <c r="J12941" s="2"/>
      <c r="K12941" s="2"/>
      <c r="L12941" s="2"/>
    </row>
    <row r="12942" spans="8:12" x14ac:dyDescent="0.3">
      <c r="H12942" s="2"/>
      <c r="I12942" s="2"/>
      <c r="J12942" s="2"/>
      <c r="K12942" s="2"/>
      <c r="L12942" s="2"/>
    </row>
    <row r="12943" spans="8:12" x14ac:dyDescent="0.3">
      <c r="H12943" s="2"/>
      <c r="I12943" s="2"/>
      <c r="J12943" s="2"/>
      <c r="K12943" s="2"/>
      <c r="L12943" s="2"/>
    </row>
    <row r="12944" spans="8:12" x14ac:dyDescent="0.3">
      <c r="H12944" s="2"/>
      <c r="I12944" s="2"/>
      <c r="J12944" s="2"/>
      <c r="K12944" s="2"/>
      <c r="L12944" s="2"/>
    </row>
    <row r="12945" spans="8:12" x14ac:dyDescent="0.3">
      <c r="H12945" s="2"/>
      <c r="I12945" s="2"/>
      <c r="J12945" s="2"/>
      <c r="K12945" s="2"/>
      <c r="L12945" s="2"/>
    </row>
    <row r="12946" spans="8:12" x14ac:dyDescent="0.3">
      <c r="H12946" s="2"/>
      <c r="I12946" s="2"/>
      <c r="J12946" s="2"/>
      <c r="K12946" s="2"/>
      <c r="L12946" s="2"/>
    </row>
    <row r="12947" spans="8:12" x14ac:dyDescent="0.3">
      <c r="H12947" s="2"/>
      <c r="I12947" s="2"/>
      <c r="J12947" s="2"/>
      <c r="K12947" s="2"/>
      <c r="L12947" s="2"/>
    </row>
    <row r="12948" spans="8:12" x14ac:dyDescent="0.3">
      <c r="H12948" s="2"/>
      <c r="I12948" s="2"/>
      <c r="J12948" s="2"/>
      <c r="K12948" s="2"/>
      <c r="L12948" s="2"/>
    </row>
    <row r="12949" spans="8:12" x14ac:dyDescent="0.3">
      <c r="H12949" s="2"/>
      <c r="I12949" s="2"/>
      <c r="J12949" s="2"/>
      <c r="K12949" s="2"/>
      <c r="L12949" s="2"/>
    </row>
    <row r="12950" spans="8:12" x14ac:dyDescent="0.3">
      <c r="H12950" s="2"/>
      <c r="I12950" s="2"/>
      <c r="J12950" s="2"/>
      <c r="K12950" s="2"/>
      <c r="L12950" s="2"/>
    </row>
    <row r="12951" spans="8:12" x14ac:dyDescent="0.3">
      <c r="H12951" s="2"/>
      <c r="I12951" s="2"/>
      <c r="J12951" s="2"/>
      <c r="K12951" s="2"/>
      <c r="L12951" s="2"/>
    </row>
    <row r="12952" spans="8:12" x14ac:dyDescent="0.3">
      <c r="H12952" s="2"/>
      <c r="I12952" s="2"/>
      <c r="J12952" s="2"/>
      <c r="K12952" s="2"/>
      <c r="L12952" s="2"/>
    </row>
    <row r="12953" spans="8:12" x14ac:dyDescent="0.3">
      <c r="H12953" s="2"/>
      <c r="I12953" s="2"/>
      <c r="J12953" s="2"/>
      <c r="K12953" s="2"/>
      <c r="L12953" s="2"/>
    </row>
    <row r="12954" spans="8:12" x14ac:dyDescent="0.3">
      <c r="H12954" s="2"/>
      <c r="I12954" s="2"/>
      <c r="J12954" s="2"/>
      <c r="K12954" s="2"/>
      <c r="L12954" s="2"/>
    </row>
    <row r="12955" spans="8:12" x14ac:dyDescent="0.3">
      <c r="H12955" s="2"/>
      <c r="I12955" s="2"/>
      <c r="J12955" s="2"/>
      <c r="K12955" s="2"/>
      <c r="L12955" s="2"/>
    </row>
    <row r="12956" spans="8:12" x14ac:dyDescent="0.3">
      <c r="H12956" s="2"/>
      <c r="I12956" s="2"/>
      <c r="J12956" s="2"/>
      <c r="K12956" s="2"/>
      <c r="L12956" s="2"/>
    </row>
    <row r="12957" spans="8:12" x14ac:dyDescent="0.3">
      <c r="H12957" s="2"/>
      <c r="I12957" s="2"/>
      <c r="J12957" s="2"/>
      <c r="K12957" s="2"/>
      <c r="L12957" s="2"/>
    </row>
    <row r="12958" spans="8:12" x14ac:dyDescent="0.3">
      <c r="H12958" s="2"/>
      <c r="I12958" s="2"/>
      <c r="J12958" s="2"/>
      <c r="K12958" s="2"/>
      <c r="L12958" s="2"/>
    </row>
    <row r="12959" spans="8:12" x14ac:dyDescent="0.3">
      <c r="H12959" s="2"/>
      <c r="I12959" s="2"/>
      <c r="J12959" s="2"/>
      <c r="K12959" s="2"/>
      <c r="L12959" s="2"/>
    </row>
    <row r="12960" spans="8:12" x14ac:dyDescent="0.3">
      <c r="H12960" s="2"/>
      <c r="I12960" s="2"/>
      <c r="J12960" s="2"/>
      <c r="K12960" s="2"/>
      <c r="L12960" s="2"/>
    </row>
    <row r="12961" spans="8:12" x14ac:dyDescent="0.3">
      <c r="H12961" s="2"/>
      <c r="I12961" s="2"/>
      <c r="J12961" s="2"/>
      <c r="K12961" s="2"/>
      <c r="L12961" s="2"/>
    </row>
    <row r="12962" spans="8:12" x14ac:dyDescent="0.3">
      <c r="H12962" s="2"/>
      <c r="I12962" s="2"/>
      <c r="J12962" s="2"/>
      <c r="K12962" s="2"/>
      <c r="L12962" s="2"/>
    </row>
    <row r="12963" spans="8:12" x14ac:dyDescent="0.3">
      <c r="H12963" s="2"/>
      <c r="I12963" s="2"/>
      <c r="J12963" s="2"/>
      <c r="K12963" s="2"/>
      <c r="L12963" s="2"/>
    </row>
    <row r="12964" spans="8:12" x14ac:dyDescent="0.3">
      <c r="H12964" s="2"/>
      <c r="I12964" s="2"/>
      <c r="J12964" s="2"/>
      <c r="K12964" s="2"/>
      <c r="L12964" s="2"/>
    </row>
    <row r="12965" spans="8:12" x14ac:dyDescent="0.3">
      <c r="H12965" s="2"/>
      <c r="I12965" s="2"/>
      <c r="J12965" s="2"/>
      <c r="K12965" s="2"/>
      <c r="L12965" s="2"/>
    </row>
    <row r="12966" spans="8:12" x14ac:dyDescent="0.3">
      <c r="H12966" s="2"/>
      <c r="I12966" s="2"/>
      <c r="J12966" s="2"/>
      <c r="K12966" s="2"/>
      <c r="L12966" s="2"/>
    </row>
    <row r="12967" spans="8:12" x14ac:dyDescent="0.3">
      <c r="H12967" s="2"/>
      <c r="I12967" s="2"/>
      <c r="J12967" s="2"/>
      <c r="K12967" s="2"/>
      <c r="L12967" s="2"/>
    </row>
    <row r="12968" spans="8:12" x14ac:dyDescent="0.3">
      <c r="H12968" s="2"/>
      <c r="I12968" s="2"/>
      <c r="J12968" s="2"/>
      <c r="K12968" s="2"/>
      <c r="L12968" s="2"/>
    </row>
    <row r="12969" spans="8:12" x14ac:dyDescent="0.3">
      <c r="H12969" s="2"/>
      <c r="I12969" s="2"/>
      <c r="J12969" s="2"/>
      <c r="K12969" s="2"/>
      <c r="L12969" s="2"/>
    </row>
    <row r="12970" spans="8:12" x14ac:dyDescent="0.3">
      <c r="H12970" s="2"/>
      <c r="I12970" s="2"/>
      <c r="J12970" s="2"/>
      <c r="K12970" s="2"/>
      <c r="L12970" s="2"/>
    </row>
    <row r="12971" spans="8:12" x14ac:dyDescent="0.3">
      <c r="H12971" s="2"/>
      <c r="I12971" s="2"/>
      <c r="J12971" s="2"/>
      <c r="K12971" s="2"/>
      <c r="L12971" s="2"/>
    </row>
    <row r="12972" spans="8:12" x14ac:dyDescent="0.3">
      <c r="H12972" s="2"/>
      <c r="I12972" s="2"/>
      <c r="J12972" s="2"/>
      <c r="K12972" s="2"/>
      <c r="L12972" s="2"/>
    </row>
    <row r="12973" spans="8:12" x14ac:dyDescent="0.3">
      <c r="H12973" s="2"/>
      <c r="I12973" s="2"/>
      <c r="J12973" s="2"/>
      <c r="K12973" s="2"/>
      <c r="L12973" s="2"/>
    </row>
    <row r="12974" spans="8:12" x14ac:dyDescent="0.3">
      <c r="H12974" s="2"/>
      <c r="I12974" s="2"/>
      <c r="J12974" s="2"/>
      <c r="K12974" s="2"/>
      <c r="L12974" s="2"/>
    </row>
    <row r="12975" spans="8:12" x14ac:dyDescent="0.3">
      <c r="H12975" s="2"/>
      <c r="I12975" s="2"/>
      <c r="J12975" s="2"/>
      <c r="K12975" s="2"/>
      <c r="L12975" s="2"/>
    </row>
    <row r="12976" spans="8:12" x14ac:dyDescent="0.3">
      <c r="H12976" s="2"/>
      <c r="I12976" s="2"/>
      <c r="J12976" s="2"/>
      <c r="K12976" s="2"/>
      <c r="L12976" s="2"/>
    </row>
    <row r="12977" spans="8:12" x14ac:dyDescent="0.3">
      <c r="H12977" s="2"/>
      <c r="I12977" s="2"/>
      <c r="J12977" s="2"/>
      <c r="K12977" s="2"/>
      <c r="L12977" s="2"/>
    </row>
    <row r="12978" spans="8:12" x14ac:dyDescent="0.3">
      <c r="H12978" s="2"/>
      <c r="I12978" s="2"/>
      <c r="J12978" s="2"/>
      <c r="K12978" s="2"/>
      <c r="L12978" s="2"/>
    </row>
    <row r="12979" spans="8:12" x14ac:dyDescent="0.3">
      <c r="H12979" s="2"/>
      <c r="I12979" s="2"/>
      <c r="J12979" s="2"/>
      <c r="K12979" s="2"/>
      <c r="L12979" s="2"/>
    </row>
    <row r="12980" spans="8:12" x14ac:dyDescent="0.3">
      <c r="H12980" s="2"/>
      <c r="I12980" s="2"/>
      <c r="J12980" s="2"/>
      <c r="K12980" s="2"/>
      <c r="L12980" s="2"/>
    </row>
    <row r="12981" spans="8:12" x14ac:dyDescent="0.3">
      <c r="H12981" s="2"/>
      <c r="I12981" s="2"/>
      <c r="J12981" s="2"/>
      <c r="K12981" s="2"/>
      <c r="L12981" s="2"/>
    </row>
    <row r="12982" spans="8:12" x14ac:dyDescent="0.3">
      <c r="H12982" s="2"/>
      <c r="I12982" s="2"/>
      <c r="J12982" s="2"/>
      <c r="K12982" s="2"/>
      <c r="L12982" s="2"/>
    </row>
    <row r="12983" spans="8:12" x14ac:dyDescent="0.3">
      <c r="H12983" s="2"/>
      <c r="I12983" s="2"/>
      <c r="J12983" s="2"/>
      <c r="K12983" s="2"/>
      <c r="L12983" s="2"/>
    </row>
    <row r="12984" spans="8:12" x14ac:dyDescent="0.3">
      <c r="H12984" s="2"/>
      <c r="I12984" s="2"/>
      <c r="J12984" s="2"/>
      <c r="K12984" s="2"/>
      <c r="L12984" s="2"/>
    </row>
    <row r="12985" spans="8:12" x14ac:dyDescent="0.3">
      <c r="H12985" s="2"/>
      <c r="I12985" s="2"/>
      <c r="J12985" s="2"/>
      <c r="K12985" s="2"/>
      <c r="L12985" s="2"/>
    </row>
    <row r="12986" spans="8:12" x14ac:dyDescent="0.3">
      <c r="H12986" s="2"/>
      <c r="I12986" s="2"/>
      <c r="J12986" s="2"/>
      <c r="K12986" s="2"/>
      <c r="L12986" s="2"/>
    </row>
    <row r="12987" spans="8:12" x14ac:dyDescent="0.3">
      <c r="H12987" s="2"/>
      <c r="I12987" s="2"/>
      <c r="J12987" s="2"/>
      <c r="K12987" s="2"/>
      <c r="L12987" s="2"/>
    </row>
    <row r="12988" spans="8:12" x14ac:dyDescent="0.3">
      <c r="H12988" s="2"/>
      <c r="I12988" s="2"/>
      <c r="J12988" s="2"/>
      <c r="K12988" s="2"/>
      <c r="L12988" s="2"/>
    </row>
    <row r="12989" spans="8:12" x14ac:dyDescent="0.3">
      <c r="H12989" s="2"/>
      <c r="I12989" s="2"/>
      <c r="J12989" s="2"/>
      <c r="K12989" s="2"/>
      <c r="L12989" s="2"/>
    </row>
    <row r="12990" spans="8:12" x14ac:dyDescent="0.3">
      <c r="H12990" s="2"/>
      <c r="I12990" s="2"/>
      <c r="J12990" s="2"/>
      <c r="K12990" s="2"/>
      <c r="L12990" s="2"/>
    </row>
    <row r="12991" spans="8:12" x14ac:dyDescent="0.3">
      <c r="H12991" s="2"/>
      <c r="I12991" s="2"/>
      <c r="J12991" s="2"/>
      <c r="K12991" s="2"/>
      <c r="L12991" s="2"/>
    </row>
    <row r="12992" spans="8:12" x14ac:dyDescent="0.3">
      <c r="H12992" s="2"/>
      <c r="I12992" s="2"/>
      <c r="J12992" s="2"/>
      <c r="K12992" s="2"/>
      <c r="L12992" s="2"/>
    </row>
    <row r="12993" spans="8:12" x14ac:dyDescent="0.3">
      <c r="H12993" s="2"/>
      <c r="I12993" s="2"/>
      <c r="J12993" s="2"/>
      <c r="K12993" s="2"/>
      <c r="L12993" s="2"/>
    </row>
    <row r="12994" spans="8:12" x14ac:dyDescent="0.3">
      <c r="H12994" s="2"/>
      <c r="I12994" s="2"/>
      <c r="J12994" s="2"/>
      <c r="K12994" s="2"/>
      <c r="L12994" s="2"/>
    </row>
    <row r="12995" spans="8:12" x14ac:dyDescent="0.3">
      <c r="H12995" s="2"/>
      <c r="I12995" s="2"/>
      <c r="J12995" s="2"/>
      <c r="K12995" s="2"/>
      <c r="L12995" s="2"/>
    </row>
    <row r="12996" spans="8:12" x14ac:dyDescent="0.3">
      <c r="H12996" s="2"/>
      <c r="I12996" s="2"/>
      <c r="J12996" s="2"/>
      <c r="K12996" s="2"/>
      <c r="L12996" s="2"/>
    </row>
    <row r="12997" spans="8:12" x14ac:dyDescent="0.3">
      <c r="H12997" s="2"/>
      <c r="I12997" s="2"/>
      <c r="J12997" s="2"/>
      <c r="K12997" s="2"/>
      <c r="L12997" s="2"/>
    </row>
    <row r="12998" spans="8:12" x14ac:dyDescent="0.3">
      <c r="H12998" s="2"/>
      <c r="I12998" s="2"/>
      <c r="J12998" s="2"/>
      <c r="K12998" s="2"/>
      <c r="L12998" s="2"/>
    </row>
    <row r="12999" spans="8:12" x14ac:dyDescent="0.3">
      <c r="H12999" s="2"/>
      <c r="I12999" s="2"/>
      <c r="J12999" s="2"/>
      <c r="K12999" s="2"/>
      <c r="L12999" s="2"/>
    </row>
    <row r="13000" spans="8:12" x14ac:dyDescent="0.3">
      <c r="H13000" s="2"/>
      <c r="I13000" s="2"/>
      <c r="J13000" s="2"/>
      <c r="K13000" s="2"/>
      <c r="L13000" s="2"/>
    </row>
    <row r="13001" spans="8:12" x14ac:dyDescent="0.3">
      <c r="H13001" s="2"/>
      <c r="I13001" s="2"/>
      <c r="J13001" s="2"/>
      <c r="K13001" s="2"/>
      <c r="L13001" s="2"/>
    </row>
    <row r="13002" spans="8:12" x14ac:dyDescent="0.3">
      <c r="H13002" s="2"/>
      <c r="I13002" s="2"/>
      <c r="J13002" s="2"/>
      <c r="K13002" s="2"/>
      <c r="L13002" s="2"/>
    </row>
    <row r="13003" spans="8:12" x14ac:dyDescent="0.3">
      <c r="H13003" s="2"/>
      <c r="I13003" s="2"/>
      <c r="J13003" s="2"/>
      <c r="K13003" s="2"/>
      <c r="L13003" s="2"/>
    </row>
    <row r="13004" spans="8:12" x14ac:dyDescent="0.3">
      <c r="H13004" s="2"/>
      <c r="I13004" s="2"/>
      <c r="J13004" s="2"/>
      <c r="K13004" s="2"/>
      <c r="L13004" s="2"/>
    </row>
    <row r="13005" spans="8:12" x14ac:dyDescent="0.3">
      <c r="H13005" s="2"/>
      <c r="I13005" s="2"/>
      <c r="J13005" s="2"/>
      <c r="K13005" s="2"/>
      <c r="L13005" s="2"/>
    </row>
    <row r="13006" spans="8:12" x14ac:dyDescent="0.3">
      <c r="H13006" s="2"/>
      <c r="I13006" s="2"/>
      <c r="J13006" s="2"/>
      <c r="K13006" s="2"/>
      <c r="L13006" s="2"/>
    </row>
    <row r="13007" spans="8:12" x14ac:dyDescent="0.3">
      <c r="H13007" s="2"/>
      <c r="I13007" s="2"/>
      <c r="J13007" s="2"/>
      <c r="K13007" s="2"/>
      <c r="L13007" s="2"/>
    </row>
    <row r="13008" spans="8:12" x14ac:dyDescent="0.3">
      <c r="H13008" s="2"/>
      <c r="I13008" s="2"/>
      <c r="J13008" s="2"/>
      <c r="K13008" s="2"/>
      <c r="L13008" s="2"/>
    </row>
    <row r="13009" spans="8:12" x14ac:dyDescent="0.3">
      <c r="H13009" s="2"/>
      <c r="I13009" s="2"/>
      <c r="J13009" s="2"/>
      <c r="K13009" s="2"/>
      <c r="L13009" s="2"/>
    </row>
    <row r="13010" spans="8:12" x14ac:dyDescent="0.3">
      <c r="H13010" s="2"/>
      <c r="I13010" s="2"/>
      <c r="J13010" s="2"/>
      <c r="K13010" s="2"/>
      <c r="L13010" s="2"/>
    </row>
    <row r="13011" spans="8:12" x14ac:dyDescent="0.3">
      <c r="H13011" s="2"/>
      <c r="I13011" s="2"/>
      <c r="J13011" s="2"/>
      <c r="K13011" s="2"/>
      <c r="L13011" s="2"/>
    </row>
    <row r="13012" spans="8:12" x14ac:dyDescent="0.3">
      <c r="H13012" s="2"/>
      <c r="I13012" s="2"/>
      <c r="J13012" s="2"/>
      <c r="K13012" s="2"/>
      <c r="L13012" s="2"/>
    </row>
    <row r="13013" spans="8:12" x14ac:dyDescent="0.3">
      <c r="H13013" s="2"/>
      <c r="I13013" s="2"/>
      <c r="J13013" s="2"/>
      <c r="K13013" s="2"/>
      <c r="L13013" s="2"/>
    </row>
    <row r="13014" spans="8:12" x14ac:dyDescent="0.3">
      <c r="H13014" s="2"/>
      <c r="I13014" s="2"/>
      <c r="J13014" s="2"/>
      <c r="K13014" s="2"/>
      <c r="L13014" s="2"/>
    </row>
    <row r="13015" spans="8:12" x14ac:dyDescent="0.3">
      <c r="H13015" s="2"/>
      <c r="I13015" s="2"/>
      <c r="J13015" s="2"/>
      <c r="K13015" s="2"/>
      <c r="L13015" s="2"/>
    </row>
    <row r="13016" spans="8:12" x14ac:dyDescent="0.3">
      <c r="H13016" s="2"/>
      <c r="I13016" s="2"/>
      <c r="J13016" s="2"/>
      <c r="K13016" s="2"/>
      <c r="L13016" s="2"/>
    </row>
    <row r="13017" spans="8:12" x14ac:dyDescent="0.3">
      <c r="H13017" s="2"/>
      <c r="I13017" s="2"/>
      <c r="J13017" s="2"/>
      <c r="K13017" s="2"/>
      <c r="L13017" s="2"/>
    </row>
    <row r="13018" spans="8:12" x14ac:dyDescent="0.3">
      <c r="H13018" s="2"/>
      <c r="I13018" s="2"/>
      <c r="J13018" s="2"/>
      <c r="K13018" s="2"/>
      <c r="L13018" s="2"/>
    </row>
    <row r="13019" spans="8:12" x14ac:dyDescent="0.3">
      <c r="H13019" s="2"/>
      <c r="I13019" s="2"/>
      <c r="J13019" s="2"/>
      <c r="K13019" s="2"/>
      <c r="L13019" s="2"/>
    </row>
    <row r="13020" spans="8:12" x14ac:dyDescent="0.3">
      <c r="H13020" s="2"/>
      <c r="I13020" s="2"/>
      <c r="J13020" s="2"/>
      <c r="K13020" s="2"/>
      <c r="L13020" s="2"/>
    </row>
    <row r="13021" spans="8:12" x14ac:dyDescent="0.3">
      <c r="H13021" s="2"/>
      <c r="I13021" s="2"/>
      <c r="J13021" s="2"/>
      <c r="K13021" s="2"/>
      <c r="L13021" s="2"/>
    </row>
    <row r="13022" spans="8:12" x14ac:dyDescent="0.3">
      <c r="H13022" s="2"/>
      <c r="I13022" s="2"/>
      <c r="J13022" s="2"/>
      <c r="K13022" s="2"/>
      <c r="L13022" s="2"/>
    </row>
    <row r="13023" spans="8:12" x14ac:dyDescent="0.3">
      <c r="H13023" s="2"/>
      <c r="I13023" s="2"/>
      <c r="J13023" s="2"/>
      <c r="K13023" s="2"/>
      <c r="L13023" s="2"/>
    </row>
    <row r="13024" spans="8:12" x14ac:dyDescent="0.3">
      <c r="H13024" s="2"/>
      <c r="I13024" s="2"/>
      <c r="J13024" s="2"/>
      <c r="K13024" s="2"/>
      <c r="L13024" s="2"/>
    </row>
    <row r="13025" spans="8:12" x14ac:dyDescent="0.3">
      <c r="H13025" s="2"/>
      <c r="I13025" s="2"/>
      <c r="J13025" s="2"/>
      <c r="K13025" s="2"/>
      <c r="L13025" s="2"/>
    </row>
    <row r="13026" spans="8:12" x14ac:dyDescent="0.3">
      <c r="H13026" s="2"/>
      <c r="I13026" s="2"/>
      <c r="J13026" s="2"/>
      <c r="K13026" s="2"/>
      <c r="L13026" s="2"/>
    </row>
    <row r="13027" spans="8:12" x14ac:dyDescent="0.3">
      <c r="H13027" s="2"/>
      <c r="I13027" s="2"/>
      <c r="J13027" s="2"/>
      <c r="K13027" s="2"/>
      <c r="L13027" s="2"/>
    </row>
    <row r="13028" spans="8:12" x14ac:dyDescent="0.3">
      <c r="H13028" s="2"/>
      <c r="I13028" s="2"/>
      <c r="J13028" s="2"/>
      <c r="K13028" s="2"/>
      <c r="L13028" s="2"/>
    </row>
    <row r="13029" spans="8:12" x14ac:dyDescent="0.3">
      <c r="H13029" s="2"/>
      <c r="I13029" s="2"/>
      <c r="J13029" s="2"/>
      <c r="K13029" s="2"/>
      <c r="L13029" s="2"/>
    </row>
    <row r="13030" spans="8:12" x14ac:dyDescent="0.3">
      <c r="H13030" s="2"/>
      <c r="I13030" s="2"/>
      <c r="J13030" s="2"/>
      <c r="K13030" s="2"/>
      <c r="L13030" s="2"/>
    </row>
    <row r="13031" spans="8:12" x14ac:dyDescent="0.3">
      <c r="H13031" s="2"/>
      <c r="I13031" s="2"/>
      <c r="J13031" s="2"/>
      <c r="K13031" s="2"/>
      <c r="L13031" s="2"/>
    </row>
    <row r="13032" spans="8:12" x14ac:dyDescent="0.3">
      <c r="H13032" s="2"/>
      <c r="I13032" s="2"/>
      <c r="J13032" s="2"/>
      <c r="K13032" s="2"/>
      <c r="L13032" s="2"/>
    </row>
    <row r="13033" spans="8:12" x14ac:dyDescent="0.3">
      <c r="H13033" s="2"/>
      <c r="I13033" s="2"/>
      <c r="J13033" s="2"/>
      <c r="K13033" s="2"/>
      <c r="L13033" s="2"/>
    </row>
    <row r="13034" spans="8:12" x14ac:dyDescent="0.3">
      <c r="H13034" s="2"/>
      <c r="I13034" s="2"/>
      <c r="J13034" s="2"/>
      <c r="K13034" s="2"/>
      <c r="L13034" s="2"/>
    </row>
    <row r="13035" spans="8:12" x14ac:dyDescent="0.3">
      <c r="H13035" s="2"/>
      <c r="I13035" s="2"/>
      <c r="J13035" s="2"/>
      <c r="K13035" s="2"/>
      <c r="L13035" s="2"/>
    </row>
    <row r="13036" spans="8:12" x14ac:dyDescent="0.3">
      <c r="H13036" s="2"/>
      <c r="I13036" s="2"/>
      <c r="J13036" s="2"/>
      <c r="K13036" s="2"/>
      <c r="L13036" s="2"/>
    </row>
    <row r="13037" spans="8:12" x14ac:dyDescent="0.3">
      <c r="H13037" s="2"/>
      <c r="I13037" s="2"/>
      <c r="J13037" s="2"/>
      <c r="K13037" s="2"/>
      <c r="L13037" s="2"/>
    </row>
    <row r="13038" spans="8:12" x14ac:dyDescent="0.3">
      <c r="H13038" s="2"/>
      <c r="I13038" s="2"/>
      <c r="J13038" s="2"/>
      <c r="K13038" s="2"/>
      <c r="L13038" s="2"/>
    </row>
    <row r="13039" spans="8:12" x14ac:dyDescent="0.3">
      <c r="H13039" s="2"/>
      <c r="I13039" s="2"/>
      <c r="J13039" s="2"/>
      <c r="K13039" s="2"/>
      <c r="L13039" s="2"/>
    </row>
    <row r="13040" spans="8:12" x14ac:dyDescent="0.3">
      <c r="H13040" s="2"/>
      <c r="I13040" s="2"/>
      <c r="J13040" s="2"/>
      <c r="K13040" s="2"/>
      <c r="L13040" s="2"/>
    </row>
    <row r="13041" spans="8:12" x14ac:dyDescent="0.3">
      <c r="H13041" s="2"/>
      <c r="I13041" s="2"/>
      <c r="J13041" s="2"/>
      <c r="K13041" s="2"/>
      <c r="L13041" s="2"/>
    </row>
    <row r="13042" spans="8:12" x14ac:dyDescent="0.3">
      <c r="H13042" s="2"/>
      <c r="I13042" s="2"/>
      <c r="J13042" s="2"/>
      <c r="K13042" s="2"/>
      <c r="L13042" s="2"/>
    </row>
    <row r="13043" spans="8:12" x14ac:dyDescent="0.3">
      <c r="H13043" s="2"/>
      <c r="I13043" s="2"/>
      <c r="J13043" s="2"/>
      <c r="K13043" s="2"/>
      <c r="L13043" s="2"/>
    </row>
    <row r="13044" spans="8:12" x14ac:dyDescent="0.3">
      <c r="H13044" s="2"/>
      <c r="I13044" s="2"/>
      <c r="J13044" s="2"/>
      <c r="K13044" s="2"/>
      <c r="L13044" s="2"/>
    </row>
    <row r="13045" spans="8:12" x14ac:dyDescent="0.3">
      <c r="H13045" s="2"/>
      <c r="I13045" s="2"/>
      <c r="J13045" s="2"/>
      <c r="K13045" s="2"/>
      <c r="L13045" s="2"/>
    </row>
    <row r="13046" spans="8:12" x14ac:dyDescent="0.3">
      <c r="H13046" s="2"/>
      <c r="I13046" s="2"/>
      <c r="J13046" s="2"/>
      <c r="K13046" s="2"/>
      <c r="L13046" s="2"/>
    </row>
    <row r="13047" spans="8:12" x14ac:dyDescent="0.3">
      <c r="H13047" s="2"/>
      <c r="I13047" s="2"/>
      <c r="J13047" s="2"/>
      <c r="K13047" s="2"/>
      <c r="L13047" s="2"/>
    </row>
    <row r="13048" spans="8:12" x14ac:dyDescent="0.3">
      <c r="H13048" s="2"/>
      <c r="I13048" s="2"/>
      <c r="J13048" s="2"/>
      <c r="K13048" s="2"/>
      <c r="L13048" s="2"/>
    </row>
    <row r="13049" spans="8:12" x14ac:dyDescent="0.3">
      <c r="H13049" s="2"/>
      <c r="I13049" s="2"/>
      <c r="J13049" s="2"/>
      <c r="K13049" s="2"/>
      <c r="L13049" s="2"/>
    </row>
    <row r="13050" spans="8:12" x14ac:dyDescent="0.3">
      <c r="H13050" s="2"/>
      <c r="I13050" s="2"/>
      <c r="J13050" s="2"/>
      <c r="K13050" s="2"/>
      <c r="L13050" s="2"/>
    </row>
    <row r="13051" spans="8:12" x14ac:dyDescent="0.3">
      <c r="H13051" s="2"/>
      <c r="I13051" s="2"/>
      <c r="J13051" s="2"/>
      <c r="K13051" s="2"/>
      <c r="L13051" s="2"/>
    </row>
    <row r="13052" spans="8:12" x14ac:dyDescent="0.3">
      <c r="H13052" s="2"/>
      <c r="I13052" s="2"/>
      <c r="J13052" s="2"/>
      <c r="K13052" s="2"/>
      <c r="L13052" s="2"/>
    </row>
    <row r="13053" spans="8:12" x14ac:dyDescent="0.3">
      <c r="H13053" s="2"/>
      <c r="I13053" s="2"/>
      <c r="J13053" s="2"/>
      <c r="K13053" s="2"/>
      <c r="L13053" s="2"/>
    </row>
    <row r="13054" spans="8:12" x14ac:dyDescent="0.3">
      <c r="H13054" s="2"/>
      <c r="I13054" s="2"/>
      <c r="J13054" s="2"/>
      <c r="K13054" s="2"/>
      <c r="L13054" s="2"/>
    </row>
    <row r="13055" spans="8:12" x14ac:dyDescent="0.3">
      <c r="H13055" s="2"/>
      <c r="I13055" s="2"/>
      <c r="J13055" s="2"/>
      <c r="K13055" s="2"/>
      <c r="L13055" s="2"/>
    </row>
    <row r="13056" spans="8:12" x14ac:dyDescent="0.3">
      <c r="H13056" s="2"/>
      <c r="I13056" s="2"/>
      <c r="J13056" s="2"/>
      <c r="K13056" s="2"/>
      <c r="L13056" s="2"/>
    </row>
    <row r="13057" spans="8:12" x14ac:dyDescent="0.3">
      <c r="H13057" s="2"/>
      <c r="I13057" s="2"/>
      <c r="J13057" s="2"/>
      <c r="K13057" s="2"/>
      <c r="L13057" s="2"/>
    </row>
    <row r="13058" spans="8:12" x14ac:dyDescent="0.3">
      <c r="H13058" s="2"/>
      <c r="I13058" s="2"/>
      <c r="J13058" s="2"/>
      <c r="K13058" s="2"/>
      <c r="L13058" s="2"/>
    </row>
    <row r="13059" spans="8:12" x14ac:dyDescent="0.3">
      <c r="H13059" s="2"/>
      <c r="I13059" s="2"/>
      <c r="J13059" s="2"/>
      <c r="K13059" s="2"/>
      <c r="L13059" s="2"/>
    </row>
    <row r="13060" spans="8:12" x14ac:dyDescent="0.3">
      <c r="H13060" s="2"/>
      <c r="I13060" s="2"/>
      <c r="J13060" s="2"/>
      <c r="K13060" s="2"/>
      <c r="L13060" s="2"/>
    </row>
    <row r="13061" spans="8:12" x14ac:dyDescent="0.3">
      <c r="H13061" s="2"/>
      <c r="I13061" s="2"/>
      <c r="J13061" s="2"/>
      <c r="K13061" s="2"/>
      <c r="L13061" s="2"/>
    </row>
    <row r="13062" spans="8:12" x14ac:dyDescent="0.3">
      <c r="H13062" s="2"/>
      <c r="I13062" s="2"/>
      <c r="J13062" s="2"/>
      <c r="K13062" s="2"/>
      <c r="L13062" s="2"/>
    </row>
    <row r="13063" spans="8:12" x14ac:dyDescent="0.3">
      <c r="H13063" s="2"/>
      <c r="I13063" s="2"/>
      <c r="J13063" s="2"/>
      <c r="K13063" s="2"/>
      <c r="L13063" s="2"/>
    </row>
    <row r="13064" spans="8:12" x14ac:dyDescent="0.3">
      <c r="H13064" s="2"/>
      <c r="I13064" s="2"/>
      <c r="J13064" s="2"/>
      <c r="K13064" s="2"/>
      <c r="L13064" s="2"/>
    </row>
    <row r="13065" spans="8:12" x14ac:dyDescent="0.3">
      <c r="H13065" s="2"/>
      <c r="I13065" s="2"/>
      <c r="J13065" s="2"/>
      <c r="K13065" s="2"/>
      <c r="L13065" s="2"/>
    </row>
    <row r="13066" spans="8:12" x14ac:dyDescent="0.3">
      <c r="H13066" s="2"/>
      <c r="I13066" s="2"/>
      <c r="J13066" s="2"/>
      <c r="K13066" s="2"/>
      <c r="L13066" s="2"/>
    </row>
    <row r="13067" spans="8:12" x14ac:dyDescent="0.3">
      <c r="H13067" s="2"/>
      <c r="I13067" s="2"/>
      <c r="J13067" s="2"/>
      <c r="K13067" s="2"/>
      <c r="L13067" s="2"/>
    </row>
    <row r="13068" spans="8:12" x14ac:dyDescent="0.3">
      <c r="H13068" s="2"/>
      <c r="I13068" s="2"/>
      <c r="J13068" s="2"/>
      <c r="K13068" s="2"/>
      <c r="L13068" s="2"/>
    </row>
    <row r="13069" spans="8:12" x14ac:dyDescent="0.3">
      <c r="H13069" s="2"/>
      <c r="I13069" s="2"/>
      <c r="J13069" s="2"/>
      <c r="K13069" s="2"/>
      <c r="L13069" s="2"/>
    </row>
    <row r="13070" spans="8:12" x14ac:dyDescent="0.3">
      <c r="H13070" s="2"/>
      <c r="I13070" s="2"/>
      <c r="J13070" s="2"/>
      <c r="K13070" s="2"/>
      <c r="L13070" s="2"/>
    </row>
    <row r="13071" spans="8:12" x14ac:dyDescent="0.3">
      <c r="H13071" s="2"/>
      <c r="I13071" s="2"/>
      <c r="J13071" s="2"/>
      <c r="K13071" s="2"/>
      <c r="L13071" s="2"/>
    </row>
    <row r="13072" spans="8:12" x14ac:dyDescent="0.3">
      <c r="H13072" s="2"/>
      <c r="I13072" s="2"/>
      <c r="J13072" s="2"/>
      <c r="K13072" s="2"/>
      <c r="L13072" s="2"/>
    </row>
    <row r="13073" spans="8:12" x14ac:dyDescent="0.3">
      <c r="H13073" s="2"/>
      <c r="I13073" s="2"/>
      <c r="J13073" s="2"/>
      <c r="K13073" s="2"/>
      <c r="L13073" s="2"/>
    </row>
    <row r="13074" spans="8:12" x14ac:dyDescent="0.3">
      <c r="H13074" s="2"/>
      <c r="I13074" s="2"/>
      <c r="J13074" s="2"/>
      <c r="K13074" s="2"/>
      <c r="L13074" s="2"/>
    </row>
    <row r="13075" spans="8:12" x14ac:dyDescent="0.3">
      <c r="H13075" s="2"/>
      <c r="I13075" s="2"/>
      <c r="J13075" s="2"/>
      <c r="K13075" s="2"/>
      <c r="L13075" s="2"/>
    </row>
    <row r="13076" spans="8:12" x14ac:dyDescent="0.3">
      <c r="H13076" s="2"/>
      <c r="I13076" s="2"/>
      <c r="J13076" s="2"/>
      <c r="K13076" s="2"/>
      <c r="L13076" s="2"/>
    </row>
    <row r="13077" spans="8:12" x14ac:dyDescent="0.3">
      <c r="H13077" s="2"/>
      <c r="I13077" s="2"/>
      <c r="J13077" s="2"/>
      <c r="K13077" s="2"/>
      <c r="L13077" s="2"/>
    </row>
    <row r="13078" spans="8:12" x14ac:dyDescent="0.3">
      <c r="H13078" s="2"/>
      <c r="I13078" s="2"/>
      <c r="J13078" s="2"/>
      <c r="K13078" s="2"/>
      <c r="L13078" s="2"/>
    </row>
    <row r="13079" spans="8:12" x14ac:dyDescent="0.3">
      <c r="H13079" s="2"/>
      <c r="I13079" s="2"/>
      <c r="J13079" s="2"/>
      <c r="K13079" s="2"/>
      <c r="L13079" s="2"/>
    </row>
    <row r="13080" spans="8:12" x14ac:dyDescent="0.3">
      <c r="H13080" s="2"/>
      <c r="I13080" s="2"/>
      <c r="J13080" s="2"/>
      <c r="K13080" s="2"/>
      <c r="L13080" s="2"/>
    </row>
    <row r="13081" spans="8:12" x14ac:dyDescent="0.3">
      <c r="H13081" s="2"/>
      <c r="I13081" s="2"/>
      <c r="J13081" s="2"/>
      <c r="K13081" s="2"/>
      <c r="L13081" s="2"/>
    </row>
    <row r="13082" spans="8:12" x14ac:dyDescent="0.3">
      <c r="H13082" s="2"/>
      <c r="I13082" s="2"/>
      <c r="J13082" s="2"/>
      <c r="K13082" s="2"/>
      <c r="L13082" s="2"/>
    </row>
    <row r="13083" spans="8:12" x14ac:dyDescent="0.3">
      <c r="H13083" s="2"/>
      <c r="I13083" s="2"/>
      <c r="J13083" s="2"/>
      <c r="K13083" s="2"/>
      <c r="L13083" s="2"/>
    </row>
    <row r="13084" spans="8:12" x14ac:dyDescent="0.3">
      <c r="H13084" s="2"/>
      <c r="I13084" s="2"/>
      <c r="J13084" s="2"/>
      <c r="K13084" s="2"/>
      <c r="L13084" s="2"/>
    </row>
    <row r="13085" spans="8:12" x14ac:dyDescent="0.3">
      <c r="H13085" s="2"/>
      <c r="I13085" s="2"/>
      <c r="J13085" s="2"/>
      <c r="K13085" s="2"/>
      <c r="L13085" s="2"/>
    </row>
    <row r="13086" spans="8:12" x14ac:dyDescent="0.3">
      <c r="H13086" s="2"/>
      <c r="I13086" s="2"/>
      <c r="J13086" s="2"/>
      <c r="K13086" s="2"/>
      <c r="L13086" s="2"/>
    </row>
    <row r="13087" spans="8:12" x14ac:dyDescent="0.3">
      <c r="H13087" s="2"/>
      <c r="I13087" s="2"/>
      <c r="J13087" s="2"/>
      <c r="K13087" s="2"/>
      <c r="L13087" s="2"/>
    </row>
    <row r="13088" spans="8:12" x14ac:dyDescent="0.3">
      <c r="H13088" s="2"/>
      <c r="I13088" s="2"/>
      <c r="J13088" s="2"/>
      <c r="K13088" s="2"/>
      <c r="L13088" s="2"/>
    </row>
    <row r="13089" spans="8:12" x14ac:dyDescent="0.3">
      <c r="H13089" s="2"/>
      <c r="I13089" s="2"/>
      <c r="J13089" s="2"/>
      <c r="K13089" s="2"/>
      <c r="L13089" s="2"/>
    </row>
    <row r="13090" spans="8:12" x14ac:dyDescent="0.3">
      <c r="H13090" s="2"/>
      <c r="I13090" s="2"/>
      <c r="J13090" s="2"/>
      <c r="K13090" s="2"/>
      <c r="L13090" s="2"/>
    </row>
    <row r="13091" spans="8:12" x14ac:dyDescent="0.3">
      <c r="H13091" s="2"/>
      <c r="I13091" s="2"/>
      <c r="J13091" s="2"/>
      <c r="K13091" s="2"/>
      <c r="L13091" s="2"/>
    </row>
    <row r="13092" spans="8:12" x14ac:dyDescent="0.3">
      <c r="H13092" s="2"/>
      <c r="I13092" s="2"/>
      <c r="J13092" s="2"/>
      <c r="K13092" s="2"/>
      <c r="L13092" s="2"/>
    </row>
    <row r="13093" spans="8:12" x14ac:dyDescent="0.3">
      <c r="H13093" s="2"/>
      <c r="I13093" s="2"/>
      <c r="J13093" s="2"/>
      <c r="K13093" s="2"/>
      <c r="L13093" s="2"/>
    </row>
    <row r="13094" spans="8:12" x14ac:dyDescent="0.3">
      <c r="H13094" s="2"/>
      <c r="I13094" s="2"/>
      <c r="J13094" s="2"/>
      <c r="K13094" s="2"/>
      <c r="L13094" s="2"/>
    </row>
    <row r="13095" spans="8:12" x14ac:dyDescent="0.3">
      <c r="H13095" s="2"/>
      <c r="I13095" s="2"/>
      <c r="J13095" s="2"/>
      <c r="K13095" s="2"/>
      <c r="L13095" s="2"/>
    </row>
    <row r="13096" spans="8:12" x14ac:dyDescent="0.3">
      <c r="H13096" s="2"/>
      <c r="I13096" s="2"/>
      <c r="J13096" s="2"/>
      <c r="K13096" s="2"/>
      <c r="L13096" s="2"/>
    </row>
    <row r="13097" spans="8:12" x14ac:dyDescent="0.3">
      <c r="H13097" s="2"/>
      <c r="I13097" s="2"/>
      <c r="J13097" s="2"/>
      <c r="K13097" s="2"/>
      <c r="L13097" s="2"/>
    </row>
    <row r="13098" spans="8:12" x14ac:dyDescent="0.3">
      <c r="H13098" s="2"/>
      <c r="I13098" s="2"/>
      <c r="J13098" s="2"/>
      <c r="K13098" s="2"/>
      <c r="L13098" s="2"/>
    </row>
    <row r="13099" spans="8:12" x14ac:dyDescent="0.3">
      <c r="H13099" s="2"/>
      <c r="I13099" s="2"/>
      <c r="J13099" s="2"/>
      <c r="K13099" s="2"/>
      <c r="L13099" s="2"/>
    </row>
    <row r="13100" spans="8:12" x14ac:dyDescent="0.3">
      <c r="H13100" s="2"/>
      <c r="I13100" s="2"/>
      <c r="J13100" s="2"/>
      <c r="K13100" s="2"/>
      <c r="L13100" s="2"/>
    </row>
    <row r="13101" spans="8:12" x14ac:dyDescent="0.3">
      <c r="H13101" s="2"/>
      <c r="I13101" s="2"/>
      <c r="J13101" s="2"/>
      <c r="K13101" s="2"/>
      <c r="L13101" s="2"/>
    </row>
    <row r="13102" spans="8:12" x14ac:dyDescent="0.3">
      <c r="H13102" s="2"/>
      <c r="I13102" s="2"/>
      <c r="J13102" s="2"/>
      <c r="K13102" s="2"/>
      <c r="L13102" s="2"/>
    </row>
    <row r="13103" spans="8:12" x14ac:dyDescent="0.3">
      <c r="H13103" s="2"/>
      <c r="I13103" s="2"/>
      <c r="J13103" s="2"/>
      <c r="K13103" s="2"/>
      <c r="L13103" s="2"/>
    </row>
    <row r="13104" spans="8:12" x14ac:dyDescent="0.3">
      <c r="H13104" s="2"/>
      <c r="I13104" s="2"/>
      <c r="J13104" s="2"/>
      <c r="K13104" s="2"/>
      <c r="L13104" s="2"/>
    </row>
    <row r="13105" spans="8:12" x14ac:dyDescent="0.3">
      <c r="H13105" s="2"/>
      <c r="I13105" s="2"/>
      <c r="J13105" s="2"/>
      <c r="K13105" s="2"/>
      <c r="L13105" s="2"/>
    </row>
    <row r="13106" spans="8:12" x14ac:dyDescent="0.3">
      <c r="H13106" s="2"/>
      <c r="I13106" s="2"/>
      <c r="J13106" s="2"/>
      <c r="K13106" s="2"/>
      <c r="L13106" s="2"/>
    </row>
    <row r="13107" spans="8:12" x14ac:dyDescent="0.3">
      <c r="H13107" s="2"/>
      <c r="I13107" s="2"/>
      <c r="J13107" s="2"/>
      <c r="K13107" s="2"/>
      <c r="L13107" s="2"/>
    </row>
    <row r="13108" spans="8:12" x14ac:dyDescent="0.3">
      <c r="H13108" s="2"/>
      <c r="I13108" s="2"/>
      <c r="J13108" s="2"/>
      <c r="K13108" s="2"/>
      <c r="L13108" s="2"/>
    </row>
    <row r="13109" spans="8:12" x14ac:dyDescent="0.3">
      <c r="H13109" s="2"/>
      <c r="I13109" s="2"/>
      <c r="J13109" s="2"/>
      <c r="K13109" s="2"/>
      <c r="L13109" s="2"/>
    </row>
    <row r="13110" spans="8:12" x14ac:dyDescent="0.3">
      <c r="H13110" s="2"/>
      <c r="I13110" s="2"/>
      <c r="J13110" s="2"/>
      <c r="K13110" s="2"/>
      <c r="L13110" s="2"/>
    </row>
    <row r="13111" spans="8:12" x14ac:dyDescent="0.3">
      <c r="H13111" s="2"/>
      <c r="I13111" s="2"/>
      <c r="J13111" s="2"/>
      <c r="K13111" s="2"/>
      <c r="L13111" s="2"/>
    </row>
    <row r="13112" spans="8:12" x14ac:dyDescent="0.3">
      <c r="H13112" s="2"/>
      <c r="I13112" s="2"/>
      <c r="J13112" s="2"/>
      <c r="K13112" s="2"/>
      <c r="L13112" s="2"/>
    </row>
    <row r="13113" spans="8:12" x14ac:dyDescent="0.3">
      <c r="H13113" s="2"/>
      <c r="I13113" s="2"/>
      <c r="J13113" s="2"/>
      <c r="K13113" s="2"/>
      <c r="L13113" s="2"/>
    </row>
    <row r="13114" spans="8:12" x14ac:dyDescent="0.3">
      <c r="H13114" s="2"/>
      <c r="I13114" s="2"/>
      <c r="J13114" s="2"/>
      <c r="K13114" s="2"/>
      <c r="L13114" s="2"/>
    </row>
    <row r="13115" spans="8:12" x14ac:dyDescent="0.3">
      <c r="H13115" s="2"/>
      <c r="I13115" s="2"/>
      <c r="J13115" s="2"/>
      <c r="K13115" s="2"/>
      <c r="L13115" s="2"/>
    </row>
    <row r="13116" spans="8:12" x14ac:dyDescent="0.3">
      <c r="H13116" s="2"/>
      <c r="I13116" s="2"/>
      <c r="J13116" s="2"/>
      <c r="K13116" s="2"/>
      <c r="L13116" s="2"/>
    </row>
    <row r="13117" spans="8:12" x14ac:dyDescent="0.3">
      <c r="H13117" s="2"/>
      <c r="I13117" s="2"/>
      <c r="J13117" s="2"/>
      <c r="K13117" s="2"/>
      <c r="L13117" s="2"/>
    </row>
    <row r="13118" spans="8:12" x14ac:dyDescent="0.3">
      <c r="H13118" s="2"/>
      <c r="I13118" s="2"/>
      <c r="J13118" s="2"/>
      <c r="K13118" s="2"/>
      <c r="L13118" s="2"/>
    </row>
    <row r="13119" spans="8:12" x14ac:dyDescent="0.3">
      <c r="H13119" s="2"/>
      <c r="I13119" s="2"/>
      <c r="J13119" s="2"/>
      <c r="K13119" s="2"/>
      <c r="L13119" s="2"/>
    </row>
    <row r="13120" spans="8:12" x14ac:dyDescent="0.3">
      <c r="H13120" s="2"/>
      <c r="I13120" s="2"/>
      <c r="J13120" s="2"/>
      <c r="K13120" s="2"/>
      <c r="L13120" s="2"/>
    </row>
    <row r="13121" spans="8:12" x14ac:dyDescent="0.3">
      <c r="H13121" s="2"/>
      <c r="I13121" s="2"/>
      <c r="J13121" s="2"/>
      <c r="K13121" s="2"/>
      <c r="L13121" s="2"/>
    </row>
    <row r="13122" spans="8:12" x14ac:dyDescent="0.3">
      <c r="H13122" s="2"/>
      <c r="I13122" s="2"/>
      <c r="J13122" s="2"/>
      <c r="K13122" s="2"/>
      <c r="L13122" s="2"/>
    </row>
    <row r="13123" spans="8:12" x14ac:dyDescent="0.3">
      <c r="H13123" s="2"/>
      <c r="I13123" s="2"/>
      <c r="J13123" s="2"/>
      <c r="K13123" s="2"/>
      <c r="L13123" s="2"/>
    </row>
    <row r="13124" spans="8:12" x14ac:dyDescent="0.3">
      <c r="H13124" s="2"/>
      <c r="I13124" s="2"/>
      <c r="J13124" s="2"/>
      <c r="K13124" s="2"/>
      <c r="L13124" s="2"/>
    </row>
    <row r="13125" spans="8:12" x14ac:dyDescent="0.3">
      <c r="H13125" s="2"/>
      <c r="I13125" s="2"/>
      <c r="J13125" s="2"/>
      <c r="K13125" s="2"/>
      <c r="L13125" s="2"/>
    </row>
    <row r="13126" spans="8:12" x14ac:dyDescent="0.3">
      <c r="H13126" s="2"/>
      <c r="I13126" s="2"/>
      <c r="J13126" s="2"/>
      <c r="K13126" s="2"/>
      <c r="L13126" s="2"/>
    </row>
    <row r="13127" spans="8:12" x14ac:dyDescent="0.3">
      <c r="H13127" s="2"/>
      <c r="I13127" s="2"/>
      <c r="J13127" s="2"/>
      <c r="K13127" s="2"/>
      <c r="L13127" s="2"/>
    </row>
    <row r="13128" spans="8:12" x14ac:dyDescent="0.3">
      <c r="H13128" s="2"/>
      <c r="I13128" s="2"/>
      <c r="J13128" s="2"/>
      <c r="K13128" s="2"/>
      <c r="L13128" s="2"/>
    </row>
    <row r="13129" spans="8:12" x14ac:dyDescent="0.3">
      <c r="H13129" s="2"/>
      <c r="I13129" s="2"/>
      <c r="J13129" s="2"/>
      <c r="K13129" s="2"/>
      <c r="L13129" s="2"/>
    </row>
    <row r="13130" spans="8:12" x14ac:dyDescent="0.3">
      <c r="H13130" s="2"/>
      <c r="I13130" s="2"/>
      <c r="J13130" s="2"/>
      <c r="K13130" s="2"/>
      <c r="L13130" s="2"/>
    </row>
    <row r="13131" spans="8:12" x14ac:dyDescent="0.3">
      <c r="H13131" s="2"/>
      <c r="I13131" s="2"/>
      <c r="J13131" s="2"/>
      <c r="K13131" s="2"/>
      <c r="L13131" s="2"/>
    </row>
    <row r="13132" spans="8:12" x14ac:dyDescent="0.3">
      <c r="H13132" s="2"/>
      <c r="I13132" s="2"/>
      <c r="J13132" s="2"/>
      <c r="K13132" s="2"/>
      <c r="L13132" s="2"/>
    </row>
    <row r="13133" spans="8:12" x14ac:dyDescent="0.3">
      <c r="H13133" s="2"/>
      <c r="I13133" s="2"/>
      <c r="J13133" s="2"/>
      <c r="K13133" s="2"/>
      <c r="L13133" s="2"/>
    </row>
    <row r="13134" spans="8:12" x14ac:dyDescent="0.3">
      <c r="H13134" s="2"/>
      <c r="I13134" s="2"/>
      <c r="J13134" s="2"/>
      <c r="K13134" s="2"/>
      <c r="L13134" s="2"/>
    </row>
    <row r="13135" spans="8:12" x14ac:dyDescent="0.3">
      <c r="H13135" s="2"/>
      <c r="I13135" s="2"/>
      <c r="J13135" s="2"/>
      <c r="K13135" s="2"/>
      <c r="L13135" s="2"/>
    </row>
    <row r="13136" spans="8:12" x14ac:dyDescent="0.3">
      <c r="H13136" s="2"/>
      <c r="I13136" s="2"/>
      <c r="J13136" s="2"/>
      <c r="K13136" s="2"/>
      <c r="L13136" s="2"/>
    </row>
    <row r="13137" spans="8:12" x14ac:dyDescent="0.3">
      <c r="H13137" s="2"/>
      <c r="I13137" s="2"/>
      <c r="J13137" s="2"/>
      <c r="K13137" s="2"/>
      <c r="L13137" s="2"/>
    </row>
    <row r="13138" spans="8:12" x14ac:dyDescent="0.3">
      <c r="H13138" s="2"/>
      <c r="I13138" s="2"/>
      <c r="J13138" s="2"/>
      <c r="K13138" s="2"/>
      <c r="L13138" s="2"/>
    </row>
    <row r="13139" spans="8:12" x14ac:dyDescent="0.3">
      <c r="H13139" s="2"/>
      <c r="I13139" s="2"/>
      <c r="J13139" s="2"/>
      <c r="K13139" s="2"/>
      <c r="L13139" s="2"/>
    </row>
    <row r="13140" spans="8:12" x14ac:dyDescent="0.3">
      <c r="H13140" s="2"/>
      <c r="I13140" s="2"/>
      <c r="J13140" s="2"/>
      <c r="K13140" s="2"/>
      <c r="L13140" s="2"/>
    </row>
    <row r="13141" spans="8:12" x14ac:dyDescent="0.3">
      <c r="H13141" s="2"/>
      <c r="I13141" s="2"/>
      <c r="J13141" s="2"/>
      <c r="K13141" s="2"/>
      <c r="L13141" s="2"/>
    </row>
    <row r="13142" spans="8:12" x14ac:dyDescent="0.3">
      <c r="H13142" s="2"/>
      <c r="I13142" s="2"/>
      <c r="J13142" s="2"/>
      <c r="K13142" s="2"/>
      <c r="L13142" s="2"/>
    </row>
    <row r="13143" spans="8:12" x14ac:dyDescent="0.3">
      <c r="H13143" s="2"/>
      <c r="I13143" s="2"/>
      <c r="J13143" s="2"/>
      <c r="K13143" s="2"/>
      <c r="L13143" s="2"/>
    </row>
    <row r="13144" spans="8:12" x14ac:dyDescent="0.3">
      <c r="H13144" s="2"/>
      <c r="I13144" s="2"/>
      <c r="J13144" s="2"/>
      <c r="K13144" s="2"/>
      <c r="L13144" s="2"/>
    </row>
    <row r="13145" spans="8:12" x14ac:dyDescent="0.3">
      <c r="H13145" s="2"/>
      <c r="I13145" s="2"/>
      <c r="J13145" s="2"/>
      <c r="K13145" s="2"/>
      <c r="L13145" s="2"/>
    </row>
    <row r="13146" spans="8:12" x14ac:dyDescent="0.3">
      <c r="H13146" s="2"/>
      <c r="I13146" s="2"/>
      <c r="J13146" s="2"/>
      <c r="K13146" s="2"/>
      <c r="L13146" s="2"/>
    </row>
    <row r="13147" spans="8:12" x14ac:dyDescent="0.3">
      <c r="H13147" s="2"/>
      <c r="I13147" s="2"/>
      <c r="J13147" s="2"/>
      <c r="K13147" s="2"/>
      <c r="L13147" s="2"/>
    </row>
    <row r="13148" spans="8:12" x14ac:dyDescent="0.3">
      <c r="H13148" s="2"/>
      <c r="I13148" s="2"/>
      <c r="J13148" s="2"/>
      <c r="K13148" s="2"/>
      <c r="L13148" s="2"/>
    </row>
    <row r="13149" spans="8:12" x14ac:dyDescent="0.3">
      <c r="H13149" s="2"/>
      <c r="I13149" s="2"/>
      <c r="J13149" s="2"/>
      <c r="K13149" s="2"/>
      <c r="L13149" s="2"/>
    </row>
    <row r="13150" spans="8:12" x14ac:dyDescent="0.3">
      <c r="H13150" s="2"/>
      <c r="I13150" s="2"/>
      <c r="J13150" s="2"/>
      <c r="K13150" s="2"/>
      <c r="L13150" s="2"/>
    </row>
    <row r="13151" spans="8:12" x14ac:dyDescent="0.3">
      <c r="H13151" s="2"/>
      <c r="I13151" s="2"/>
      <c r="J13151" s="2"/>
      <c r="K13151" s="2"/>
      <c r="L13151" s="2"/>
    </row>
    <row r="13152" spans="8:12" x14ac:dyDescent="0.3">
      <c r="H13152" s="2"/>
      <c r="I13152" s="2"/>
      <c r="J13152" s="2"/>
      <c r="K13152" s="2"/>
      <c r="L13152" s="2"/>
    </row>
    <row r="13153" spans="8:12" x14ac:dyDescent="0.3">
      <c r="H13153" s="2"/>
      <c r="I13153" s="2"/>
      <c r="J13153" s="2"/>
      <c r="K13153" s="2"/>
      <c r="L13153" s="2"/>
    </row>
    <row r="13154" spans="8:12" x14ac:dyDescent="0.3">
      <c r="H13154" s="2"/>
      <c r="I13154" s="2"/>
      <c r="J13154" s="2"/>
      <c r="K13154" s="2"/>
      <c r="L13154" s="2"/>
    </row>
    <row r="13155" spans="8:12" x14ac:dyDescent="0.3">
      <c r="H13155" s="2"/>
      <c r="I13155" s="2"/>
      <c r="J13155" s="2"/>
      <c r="K13155" s="2"/>
      <c r="L13155" s="2"/>
    </row>
    <row r="13156" spans="8:12" x14ac:dyDescent="0.3">
      <c r="H13156" s="2"/>
      <c r="I13156" s="2"/>
      <c r="J13156" s="2"/>
      <c r="K13156" s="2"/>
      <c r="L13156" s="2"/>
    </row>
    <row r="13157" spans="8:12" x14ac:dyDescent="0.3">
      <c r="H13157" s="2"/>
      <c r="I13157" s="2"/>
      <c r="J13157" s="2"/>
      <c r="K13157" s="2"/>
      <c r="L13157" s="2"/>
    </row>
    <row r="13158" spans="8:12" x14ac:dyDescent="0.3">
      <c r="H13158" s="2"/>
      <c r="I13158" s="2"/>
      <c r="J13158" s="2"/>
      <c r="K13158" s="2"/>
      <c r="L13158" s="2"/>
    </row>
    <row r="13159" spans="8:12" x14ac:dyDescent="0.3">
      <c r="H13159" s="2"/>
      <c r="I13159" s="2"/>
      <c r="J13159" s="2"/>
      <c r="K13159" s="2"/>
      <c r="L13159" s="2"/>
    </row>
    <row r="13160" spans="8:12" x14ac:dyDescent="0.3">
      <c r="H13160" s="2"/>
      <c r="I13160" s="2"/>
      <c r="J13160" s="2"/>
      <c r="K13160" s="2"/>
      <c r="L13160" s="2"/>
    </row>
    <row r="13161" spans="8:12" x14ac:dyDescent="0.3">
      <c r="H13161" s="2"/>
      <c r="I13161" s="2"/>
      <c r="J13161" s="2"/>
      <c r="K13161" s="2"/>
      <c r="L13161" s="2"/>
    </row>
    <row r="13162" spans="8:12" x14ac:dyDescent="0.3">
      <c r="H13162" s="2"/>
      <c r="I13162" s="2"/>
      <c r="J13162" s="2"/>
      <c r="K13162" s="2"/>
      <c r="L13162" s="2"/>
    </row>
    <row r="13163" spans="8:12" x14ac:dyDescent="0.3">
      <c r="H13163" s="2"/>
      <c r="I13163" s="2"/>
      <c r="J13163" s="2"/>
      <c r="K13163" s="2"/>
      <c r="L13163" s="2"/>
    </row>
    <row r="13164" spans="8:12" x14ac:dyDescent="0.3">
      <c r="H13164" s="2"/>
      <c r="I13164" s="2"/>
      <c r="J13164" s="2"/>
      <c r="K13164" s="2"/>
      <c r="L13164" s="2"/>
    </row>
    <row r="13165" spans="8:12" x14ac:dyDescent="0.3">
      <c r="H13165" s="2"/>
      <c r="I13165" s="2"/>
      <c r="J13165" s="2"/>
      <c r="K13165" s="2"/>
      <c r="L13165" s="2"/>
    </row>
    <row r="13166" spans="8:12" x14ac:dyDescent="0.3">
      <c r="H13166" s="2"/>
      <c r="I13166" s="2"/>
      <c r="J13166" s="2"/>
      <c r="K13166" s="2"/>
      <c r="L13166" s="2"/>
    </row>
    <row r="13167" spans="8:12" x14ac:dyDescent="0.3">
      <c r="H13167" s="2"/>
      <c r="I13167" s="2"/>
      <c r="J13167" s="2"/>
      <c r="K13167" s="2"/>
      <c r="L13167" s="2"/>
    </row>
    <row r="13168" spans="8:12" x14ac:dyDescent="0.3">
      <c r="H13168" s="2"/>
      <c r="I13168" s="2"/>
      <c r="J13168" s="2"/>
      <c r="K13168" s="2"/>
      <c r="L13168" s="2"/>
    </row>
    <row r="13169" spans="8:12" x14ac:dyDescent="0.3">
      <c r="H13169" s="2"/>
      <c r="I13169" s="2"/>
      <c r="J13169" s="2"/>
      <c r="K13169" s="2"/>
      <c r="L13169" s="2"/>
    </row>
    <row r="13170" spans="8:12" x14ac:dyDescent="0.3">
      <c r="H13170" s="2"/>
      <c r="I13170" s="2"/>
      <c r="J13170" s="2"/>
      <c r="K13170" s="2"/>
      <c r="L13170" s="2"/>
    </row>
    <row r="13171" spans="8:12" x14ac:dyDescent="0.3">
      <c r="H13171" s="2"/>
      <c r="I13171" s="2"/>
      <c r="J13171" s="2"/>
      <c r="K13171" s="2"/>
      <c r="L13171" s="2"/>
    </row>
    <row r="13172" spans="8:12" x14ac:dyDescent="0.3">
      <c r="H13172" s="2"/>
      <c r="I13172" s="2"/>
      <c r="J13172" s="2"/>
      <c r="K13172" s="2"/>
      <c r="L13172" s="2"/>
    </row>
    <row r="13173" spans="8:12" x14ac:dyDescent="0.3">
      <c r="H13173" s="2"/>
      <c r="I13173" s="2"/>
      <c r="J13173" s="2"/>
      <c r="K13173" s="2"/>
      <c r="L13173" s="2"/>
    </row>
    <row r="13174" spans="8:12" x14ac:dyDescent="0.3">
      <c r="H13174" s="2"/>
      <c r="I13174" s="2"/>
      <c r="J13174" s="2"/>
      <c r="K13174" s="2"/>
      <c r="L13174" s="2"/>
    </row>
    <row r="13175" spans="8:12" x14ac:dyDescent="0.3">
      <c r="H13175" s="2"/>
      <c r="I13175" s="2"/>
      <c r="J13175" s="2"/>
      <c r="K13175" s="2"/>
      <c r="L13175" s="2"/>
    </row>
    <row r="13176" spans="8:12" x14ac:dyDescent="0.3">
      <c r="H13176" s="2"/>
      <c r="I13176" s="2"/>
      <c r="J13176" s="2"/>
      <c r="K13176" s="2"/>
      <c r="L13176" s="2"/>
    </row>
    <row r="13177" spans="8:12" x14ac:dyDescent="0.3">
      <c r="H13177" s="2"/>
      <c r="I13177" s="2"/>
      <c r="J13177" s="2"/>
      <c r="K13177" s="2"/>
      <c r="L13177" s="2"/>
    </row>
    <row r="13178" spans="8:12" x14ac:dyDescent="0.3">
      <c r="H13178" s="2"/>
      <c r="I13178" s="2"/>
      <c r="J13178" s="2"/>
      <c r="K13178" s="2"/>
      <c r="L13178" s="2"/>
    </row>
    <row r="13179" spans="8:12" x14ac:dyDescent="0.3">
      <c r="H13179" s="2"/>
      <c r="I13179" s="2"/>
      <c r="J13179" s="2"/>
      <c r="K13179" s="2"/>
      <c r="L13179" s="2"/>
    </row>
    <row r="13180" spans="8:12" x14ac:dyDescent="0.3">
      <c r="H13180" s="2"/>
      <c r="I13180" s="2"/>
      <c r="J13180" s="2"/>
      <c r="K13180" s="2"/>
      <c r="L13180" s="2"/>
    </row>
    <row r="13181" spans="8:12" x14ac:dyDescent="0.3">
      <c r="H13181" s="2"/>
      <c r="I13181" s="2"/>
      <c r="J13181" s="2"/>
      <c r="K13181" s="2"/>
      <c r="L13181" s="2"/>
    </row>
    <row r="13182" spans="8:12" x14ac:dyDescent="0.3">
      <c r="H13182" s="2"/>
      <c r="I13182" s="2"/>
      <c r="J13182" s="2"/>
      <c r="K13182" s="2"/>
      <c r="L13182" s="2"/>
    </row>
    <row r="13183" spans="8:12" x14ac:dyDescent="0.3">
      <c r="H13183" s="2"/>
      <c r="I13183" s="2"/>
      <c r="J13183" s="2"/>
      <c r="K13183" s="2"/>
      <c r="L13183" s="2"/>
    </row>
    <row r="13184" spans="8:12" x14ac:dyDescent="0.3">
      <c r="H13184" s="2"/>
      <c r="I13184" s="2"/>
      <c r="J13184" s="2"/>
      <c r="K13184" s="2"/>
      <c r="L13184" s="2"/>
    </row>
    <row r="13185" spans="8:12" x14ac:dyDescent="0.3">
      <c r="H13185" s="2"/>
      <c r="I13185" s="2"/>
      <c r="J13185" s="2"/>
      <c r="K13185" s="2"/>
      <c r="L13185" s="2"/>
    </row>
    <row r="13186" spans="8:12" x14ac:dyDescent="0.3">
      <c r="H13186" s="2"/>
      <c r="I13186" s="2"/>
      <c r="J13186" s="2"/>
      <c r="K13186" s="2"/>
      <c r="L13186" s="2"/>
    </row>
    <row r="13187" spans="8:12" x14ac:dyDescent="0.3">
      <c r="H13187" s="2"/>
      <c r="I13187" s="2"/>
      <c r="J13187" s="2"/>
      <c r="K13187" s="2"/>
      <c r="L13187" s="2"/>
    </row>
    <row r="13188" spans="8:12" x14ac:dyDescent="0.3">
      <c r="H13188" s="2"/>
      <c r="I13188" s="2"/>
      <c r="J13188" s="2"/>
      <c r="K13188" s="2"/>
      <c r="L13188" s="2"/>
    </row>
    <row r="13189" spans="8:12" x14ac:dyDescent="0.3">
      <c r="H13189" s="2"/>
      <c r="I13189" s="2"/>
      <c r="J13189" s="2"/>
      <c r="K13189" s="2"/>
      <c r="L13189" s="2"/>
    </row>
    <row r="13190" spans="8:12" x14ac:dyDescent="0.3">
      <c r="H13190" s="2"/>
      <c r="I13190" s="2"/>
      <c r="J13190" s="2"/>
      <c r="K13190" s="2"/>
      <c r="L13190" s="2"/>
    </row>
    <row r="13191" spans="8:12" x14ac:dyDescent="0.3">
      <c r="H13191" s="2"/>
      <c r="I13191" s="2"/>
      <c r="J13191" s="2"/>
      <c r="K13191" s="2"/>
      <c r="L13191" s="2"/>
    </row>
    <row r="13192" spans="8:12" x14ac:dyDescent="0.3">
      <c r="H13192" s="2"/>
      <c r="I13192" s="2"/>
      <c r="J13192" s="2"/>
      <c r="K13192" s="2"/>
      <c r="L13192" s="2"/>
    </row>
    <row r="13193" spans="8:12" x14ac:dyDescent="0.3">
      <c r="H13193" s="2"/>
      <c r="I13193" s="2"/>
      <c r="J13193" s="2"/>
      <c r="K13193" s="2"/>
      <c r="L13193" s="2"/>
    </row>
    <row r="13194" spans="8:12" x14ac:dyDescent="0.3">
      <c r="H13194" s="2"/>
      <c r="I13194" s="2"/>
      <c r="J13194" s="2"/>
      <c r="K13194" s="2"/>
      <c r="L13194" s="2"/>
    </row>
    <row r="13195" spans="8:12" x14ac:dyDescent="0.3">
      <c r="H13195" s="2"/>
      <c r="I13195" s="2"/>
      <c r="J13195" s="2"/>
      <c r="K13195" s="2"/>
      <c r="L13195" s="2"/>
    </row>
    <row r="13196" spans="8:12" x14ac:dyDescent="0.3">
      <c r="H13196" s="2"/>
      <c r="I13196" s="2"/>
      <c r="J13196" s="2"/>
      <c r="K13196" s="2"/>
      <c r="L13196" s="2"/>
    </row>
    <row r="13197" spans="8:12" x14ac:dyDescent="0.3">
      <c r="H13197" s="2"/>
      <c r="I13197" s="2"/>
      <c r="J13197" s="2"/>
      <c r="K13197" s="2"/>
      <c r="L13197" s="2"/>
    </row>
    <row r="13198" spans="8:12" x14ac:dyDescent="0.3">
      <c r="H13198" s="2"/>
      <c r="I13198" s="2"/>
      <c r="J13198" s="2"/>
      <c r="K13198" s="2"/>
      <c r="L13198" s="2"/>
    </row>
    <row r="13199" spans="8:12" x14ac:dyDescent="0.3">
      <c r="H13199" s="2"/>
      <c r="I13199" s="2"/>
      <c r="J13199" s="2"/>
      <c r="K13199" s="2"/>
      <c r="L13199" s="2"/>
    </row>
    <row r="13200" spans="8:12" x14ac:dyDescent="0.3">
      <c r="H13200" s="2"/>
      <c r="I13200" s="2"/>
      <c r="J13200" s="2"/>
      <c r="K13200" s="2"/>
      <c r="L13200" s="2"/>
    </row>
    <row r="13201" spans="8:12" x14ac:dyDescent="0.3">
      <c r="H13201" s="2"/>
      <c r="I13201" s="2"/>
      <c r="J13201" s="2"/>
      <c r="K13201" s="2"/>
      <c r="L13201" s="2"/>
    </row>
    <row r="13202" spans="8:12" x14ac:dyDescent="0.3">
      <c r="H13202" s="2"/>
      <c r="I13202" s="2"/>
      <c r="J13202" s="2"/>
      <c r="K13202" s="2"/>
      <c r="L13202" s="2"/>
    </row>
    <row r="13203" spans="8:12" x14ac:dyDescent="0.3">
      <c r="H13203" s="2"/>
      <c r="I13203" s="2"/>
      <c r="J13203" s="2"/>
      <c r="K13203" s="2"/>
      <c r="L13203" s="2"/>
    </row>
    <row r="13204" spans="8:12" x14ac:dyDescent="0.3">
      <c r="H13204" s="2"/>
      <c r="I13204" s="2"/>
      <c r="J13204" s="2"/>
      <c r="K13204" s="2"/>
      <c r="L13204" s="2"/>
    </row>
    <row r="13205" spans="8:12" x14ac:dyDescent="0.3">
      <c r="H13205" s="2"/>
      <c r="I13205" s="2"/>
      <c r="J13205" s="2"/>
      <c r="K13205" s="2"/>
      <c r="L13205" s="2"/>
    </row>
    <row r="13206" spans="8:12" x14ac:dyDescent="0.3">
      <c r="H13206" s="2"/>
      <c r="I13206" s="2"/>
      <c r="J13206" s="2"/>
      <c r="K13206" s="2"/>
      <c r="L13206" s="2"/>
    </row>
    <row r="13207" spans="8:12" x14ac:dyDescent="0.3">
      <c r="H13207" s="2"/>
      <c r="I13207" s="2"/>
      <c r="J13207" s="2"/>
      <c r="K13207" s="2"/>
      <c r="L13207" s="2"/>
    </row>
    <row r="13208" spans="8:12" x14ac:dyDescent="0.3">
      <c r="H13208" s="2"/>
      <c r="I13208" s="2"/>
      <c r="J13208" s="2"/>
      <c r="K13208" s="2"/>
      <c r="L13208" s="2"/>
    </row>
    <row r="13209" spans="8:12" x14ac:dyDescent="0.3">
      <c r="H13209" s="2"/>
      <c r="I13209" s="2"/>
      <c r="J13209" s="2"/>
      <c r="K13209" s="2"/>
      <c r="L13209" s="2"/>
    </row>
    <row r="13210" spans="8:12" x14ac:dyDescent="0.3">
      <c r="H13210" s="2"/>
      <c r="I13210" s="2"/>
      <c r="J13210" s="2"/>
      <c r="K13210" s="2"/>
      <c r="L13210" s="2"/>
    </row>
    <row r="13211" spans="8:12" x14ac:dyDescent="0.3">
      <c r="H13211" s="2"/>
      <c r="I13211" s="2"/>
      <c r="J13211" s="2"/>
      <c r="K13211" s="2"/>
      <c r="L13211" s="2"/>
    </row>
    <row r="13212" spans="8:12" x14ac:dyDescent="0.3">
      <c r="H13212" s="2"/>
      <c r="I13212" s="2"/>
      <c r="J13212" s="2"/>
      <c r="K13212" s="2"/>
      <c r="L13212" s="2"/>
    </row>
    <row r="13213" spans="8:12" x14ac:dyDescent="0.3">
      <c r="H13213" s="2"/>
      <c r="I13213" s="2"/>
      <c r="J13213" s="2"/>
      <c r="K13213" s="2"/>
      <c r="L13213" s="2"/>
    </row>
    <row r="13214" spans="8:12" x14ac:dyDescent="0.3">
      <c r="H13214" s="2"/>
      <c r="I13214" s="2"/>
      <c r="J13214" s="2"/>
      <c r="K13214" s="2"/>
      <c r="L13214" s="2"/>
    </row>
    <row r="13215" spans="8:12" x14ac:dyDescent="0.3">
      <c r="H13215" s="2"/>
      <c r="I13215" s="2"/>
      <c r="J13215" s="2"/>
      <c r="K13215" s="2"/>
      <c r="L13215" s="2"/>
    </row>
    <row r="13216" spans="8:12" x14ac:dyDescent="0.3">
      <c r="H13216" s="2"/>
      <c r="I13216" s="2"/>
      <c r="J13216" s="2"/>
      <c r="K13216" s="2"/>
      <c r="L13216" s="2"/>
    </row>
    <row r="13217" spans="8:12" x14ac:dyDescent="0.3">
      <c r="H13217" s="2"/>
      <c r="I13217" s="2"/>
      <c r="J13217" s="2"/>
      <c r="K13217" s="2"/>
      <c r="L13217" s="2"/>
    </row>
    <row r="13218" spans="8:12" x14ac:dyDescent="0.3">
      <c r="H13218" s="2"/>
      <c r="I13218" s="2"/>
      <c r="J13218" s="2"/>
      <c r="K13218" s="2"/>
      <c r="L13218" s="2"/>
    </row>
    <row r="13219" spans="8:12" x14ac:dyDescent="0.3">
      <c r="H13219" s="2"/>
      <c r="I13219" s="2"/>
      <c r="J13219" s="2"/>
      <c r="K13219" s="2"/>
      <c r="L13219" s="2"/>
    </row>
    <row r="13220" spans="8:12" x14ac:dyDescent="0.3">
      <c r="H13220" s="2"/>
      <c r="I13220" s="2"/>
      <c r="J13220" s="2"/>
      <c r="K13220" s="2"/>
      <c r="L13220" s="2"/>
    </row>
    <row r="13221" spans="8:12" x14ac:dyDescent="0.3">
      <c r="H13221" s="2"/>
      <c r="I13221" s="2"/>
      <c r="J13221" s="2"/>
      <c r="K13221" s="2"/>
      <c r="L13221" s="2"/>
    </row>
    <row r="13222" spans="8:12" x14ac:dyDescent="0.3">
      <c r="H13222" s="2"/>
      <c r="I13222" s="2"/>
      <c r="J13222" s="2"/>
      <c r="K13222" s="2"/>
      <c r="L13222" s="2"/>
    </row>
    <row r="13223" spans="8:12" x14ac:dyDescent="0.3">
      <c r="H13223" s="2"/>
      <c r="I13223" s="2"/>
      <c r="J13223" s="2"/>
      <c r="K13223" s="2"/>
      <c r="L13223" s="2"/>
    </row>
    <row r="13224" spans="8:12" x14ac:dyDescent="0.3">
      <c r="H13224" s="2"/>
      <c r="I13224" s="2"/>
      <c r="J13224" s="2"/>
      <c r="K13224" s="2"/>
      <c r="L13224" s="2"/>
    </row>
    <row r="13225" spans="8:12" x14ac:dyDescent="0.3">
      <c r="H13225" s="2"/>
      <c r="I13225" s="2"/>
      <c r="J13225" s="2"/>
      <c r="K13225" s="2"/>
      <c r="L13225" s="2"/>
    </row>
    <row r="13226" spans="8:12" x14ac:dyDescent="0.3">
      <c r="H13226" s="2"/>
      <c r="I13226" s="2"/>
      <c r="J13226" s="2"/>
      <c r="K13226" s="2"/>
      <c r="L13226" s="2"/>
    </row>
    <row r="13227" spans="8:12" x14ac:dyDescent="0.3">
      <c r="H13227" s="2"/>
      <c r="I13227" s="2"/>
      <c r="J13227" s="2"/>
      <c r="K13227" s="2"/>
      <c r="L13227" s="2"/>
    </row>
    <row r="13228" spans="8:12" x14ac:dyDescent="0.3">
      <c r="H13228" s="2"/>
      <c r="I13228" s="2"/>
      <c r="J13228" s="2"/>
      <c r="K13228" s="2"/>
      <c r="L13228" s="2"/>
    </row>
    <row r="13229" spans="8:12" x14ac:dyDescent="0.3">
      <c r="H13229" s="2"/>
      <c r="I13229" s="2"/>
      <c r="J13229" s="2"/>
      <c r="K13229" s="2"/>
      <c r="L13229" s="2"/>
    </row>
    <row r="13230" spans="8:12" x14ac:dyDescent="0.3">
      <c r="H13230" s="2"/>
      <c r="I13230" s="2"/>
      <c r="J13230" s="2"/>
      <c r="K13230" s="2"/>
      <c r="L13230" s="2"/>
    </row>
    <row r="13231" spans="8:12" x14ac:dyDescent="0.3">
      <c r="H13231" s="2"/>
      <c r="I13231" s="2"/>
      <c r="J13231" s="2"/>
      <c r="K13231" s="2"/>
      <c r="L13231" s="2"/>
    </row>
    <row r="13232" spans="8:12" x14ac:dyDescent="0.3">
      <c r="H13232" s="2"/>
      <c r="I13232" s="2"/>
      <c r="J13232" s="2"/>
      <c r="K13232" s="2"/>
      <c r="L13232" s="2"/>
    </row>
    <row r="13233" spans="8:12" x14ac:dyDescent="0.3">
      <c r="H13233" s="2"/>
      <c r="I13233" s="2"/>
      <c r="J13233" s="2"/>
      <c r="K13233" s="2"/>
      <c r="L13233" s="2"/>
    </row>
    <row r="13234" spans="8:12" x14ac:dyDescent="0.3">
      <c r="H13234" s="2"/>
      <c r="I13234" s="2"/>
      <c r="J13234" s="2"/>
      <c r="K13234" s="2"/>
      <c r="L13234" s="2"/>
    </row>
    <row r="13235" spans="8:12" x14ac:dyDescent="0.3">
      <c r="H13235" s="2"/>
      <c r="I13235" s="2"/>
      <c r="J13235" s="2"/>
      <c r="K13235" s="2"/>
      <c r="L13235" s="2"/>
    </row>
    <row r="13236" spans="8:12" x14ac:dyDescent="0.3">
      <c r="H13236" s="2"/>
      <c r="I13236" s="2"/>
      <c r="J13236" s="2"/>
      <c r="K13236" s="2"/>
      <c r="L13236" s="2"/>
    </row>
    <row r="13237" spans="8:12" x14ac:dyDescent="0.3">
      <c r="H13237" s="2"/>
      <c r="I13237" s="2"/>
      <c r="J13237" s="2"/>
      <c r="K13237" s="2"/>
      <c r="L13237" s="2"/>
    </row>
    <row r="13238" spans="8:12" x14ac:dyDescent="0.3">
      <c r="H13238" s="2"/>
      <c r="I13238" s="2"/>
      <c r="J13238" s="2"/>
      <c r="K13238" s="2"/>
      <c r="L13238" s="2"/>
    </row>
    <row r="13239" spans="8:12" x14ac:dyDescent="0.3">
      <c r="H13239" s="2"/>
      <c r="I13239" s="2"/>
      <c r="J13239" s="2"/>
      <c r="K13239" s="2"/>
      <c r="L13239" s="2"/>
    </row>
    <row r="13240" spans="8:12" x14ac:dyDescent="0.3">
      <c r="H13240" s="2"/>
      <c r="I13240" s="2"/>
      <c r="J13240" s="2"/>
      <c r="K13240" s="2"/>
      <c r="L13240" s="2"/>
    </row>
    <row r="13241" spans="8:12" x14ac:dyDescent="0.3">
      <c r="H13241" s="2"/>
      <c r="I13241" s="2"/>
      <c r="J13241" s="2"/>
      <c r="K13241" s="2"/>
      <c r="L13241" s="2"/>
    </row>
    <row r="13242" spans="8:12" x14ac:dyDescent="0.3">
      <c r="H13242" s="2"/>
      <c r="I13242" s="2"/>
      <c r="J13242" s="2"/>
      <c r="K13242" s="2"/>
      <c r="L13242" s="2"/>
    </row>
    <row r="13243" spans="8:12" x14ac:dyDescent="0.3">
      <c r="H13243" s="2"/>
      <c r="I13243" s="2"/>
      <c r="J13243" s="2"/>
      <c r="K13243" s="2"/>
      <c r="L13243" s="2"/>
    </row>
    <row r="13244" spans="8:12" x14ac:dyDescent="0.3">
      <c r="H13244" s="2"/>
      <c r="I13244" s="2"/>
      <c r="J13244" s="2"/>
      <c r="K13244" s="2"/>
      <c r="L13244" s="2"/>
    </row>
    <row r="13245" spans="8:12" x14ac:dyDescent="0.3">
      <c r="H13245" s="2"/>
      <c r="I13245" s="2"/>
      <c r="J13245" s="2"/>
      <c r="K13245" s="2"/>
      <c r="L13245" s="2"/>
    </row>
    <row r="13246" spans="8:12" x14ac:dyDescent="0.3">
      <c r="H13246" s="2"/>
      <c r="I13246" s="2"/>
      <c r="J13246" s="2"/>
      <c r="K13246" s="2"/>
      <c r="L13246" s="2"/>
    </row>
    <row r="13247" spans="8:12" x14ac:dyDescent="0.3">
      <c r="H13247" s="2"/>
      <c r="I13247" s="2"/>
      <c r="J13247" s="2"/>
      <c r="K13247" s="2"/>
      <c r="L13247" s="2"/>
    </row>
    <row r="13248" spans="8:12" x14ac:dyDescent="0.3">
      <c r="H13248" s="2"/>
      <c r="I13248" s="2"/>
      <c r="J13248" s="2"/>
      <c r="K13248" s="2"/>
      <c r="L13248" s="2"/>
    </row>
    <row r="13249" spans="8:12" x14ac:dyDescent="0.3">
      <c r="H13249" s="2"/>
      <c r="I13249" s="2"/>
      <c r="J13249" s="2"/>
      <c r="K13249" s="2"/>
      <c r="L13249" s="2"/>
    </row>
    <row r="13250" spans="8:12" x14ac:dyDescent="0.3">
      <c r="H13250" s="2"/>
      <c r="I13250" s="2"/>
      <c r="J13250" s="2"/>
      <c r="K13250" s="2"/>
      <c r="L13250" s="2"/>
    </row>
    <row r="13251" spans="8:12" x14ac:dyDescent="0.3">
      <c r="H13251" s="2"/>
      <c r="I13251" s="2"/>
      <c r="J13251" s="2"/>
      <c r="K13251" s="2"/>
      <c r="L13251" s="2"/>
    </row>
    <row r="13252" spans="8:12" x14ac:dyDescent="0.3">
      <c r="H13252" s="2"/>
      <c r="I13252" s="2"/>
      <c r="J13252" s="2"/>
      <c r="K13252" s="2"/>
      <c r="L13252" s="2"/>
    </row>
    <row r="13253" spans="8:12" x14ac:dyDescent="0.3">
      <c r="H13253" s="2"/>
      <c r="I13253" s="2"/>
      <c r="J13253" s="2"/>
      <c r="K13253" s="2"/>
      <c r="L13253" s="2"/>
    </row>
    <row r="13254" spans="8:12" x14ac:dyDescent="0.3">
      <c r="H13254" s="2"/>
      <c r="I13254" s="2"/>
      <c r="J13254" s="2"/>
      <c r="K13254" s="2"/>
      <c r="L13254" s="2"/>
    </row>
    <row r="13255" spans="8:12" x14ac:dyDescent="0.3">
      <c r="H13255" s="2"/>
      <c r="I13255" s="2"/>
      <c r="J13255" s="2"/>
      <c r="K13255" s="2"/>
      <c r="L13255" s="2"/>
    </row>
    <row r="13256" spans="8:12" x14ac:dyDescent="0.3">
      <c r="H13256" s="2"/>
      <c r="I13256" s="2"/>
      <c r="J13256" s="2"/>
      <c r="K13256" s="2"/>
      <c r="L13256" s="2"/>
    </row>
    <row r="13257" spans="8:12" x14ac:dyDescent="0.3">
      <c r="H13257" s="2"/>
      <c r="I13257" s="2"/>
      <c r="J13257" s="2"/>
      <c r="K13257" s="2"/>
      <c r="L13257" s="2"/>
    </row>
    <row r="13258" spans="8:12" x14ac:dyDescent="0.3">
      <c r="H13258" s="2"/>
      <c r="I13258" s="2"/>
      <c r="J13258" s="2"/>
      <c r="K13258" s="2"/>
      <c r="L13258" s="2"/>
    </row>
    <row r="13259" spans="8:12" x14ac:dyDescent="0.3">
      <c r="H13259" s="2"/>
      <c r="I13259" s="2"/>
      <c r="J13259" s="2"/>
      <c r="K13259" s="2"/>
      <c r="L13259" s="2"/>
    </row>
    <row r="13260" spans="8:12" x14ac:dyDescent="0.3">
      <c r="H13260" s="2"/>
      <c r="I13260" s="2"/>
      <c r="J13260" s="2"/>
      <c r="K13260" s="2"/>
      <c r="L13260" s="2"/>
    </row>
    <row r="13261" spans="8:12" x14ac:dyDescent="0.3">
      <c r="H13261" s="2"/>
      <c r="I13261" s="2"/>
      <c r="J13261" s="2"/>
      <c r="K13261" s="2"/>
      <c r="L13261" s="2"/>
    </row>
    <row r="13262" spans="8:12" x14ac:dyDescent="0.3">
      <c r="H13262" s="2"/>
      <c r="I13262" s="2"/>
      <c r="J13262" s="2"/>
      <c r="K13262" s="2"/>
      <c r="L13262" s="2"/>
    </row>
    <row r="13263" spans="8:12" x14ac:dyDescent="0.3">
      <c r="H13263" s="2"/>
      <c r="I13263" s="2"/>
      <c r="J13263" s="2"/>
      <c r="K13263" s="2"/>
      <c r="L13263" s="2"/>
    </row>
    <row r="13264" spans="8:12" x14ac:dyDescent="0.3">
      <c r="H13264" s="2"/>
      <c r="I13264" s="2"/>
      <c r="J13264" s="2"/>
      <c r="K13264" s="2"/>
      <c r="L13264" s="2"/>
    </row>
    <row r="13265" spans="8:12" x14ac:dyDescent="0.3">
      <c r="H13265" s="2"/>
      <c r="I13265" s="2"/>
      <c r="J13265" s="2"/>
      <c r="K13265" s="2"/>
      <c r="L13265" s="2"/>
    </row>
    <row r="13266" spans="8:12" x14ac:dyDescent="0.3">
      <c r="H13266" s="2"/>
      <c r="I13266" s="2"/>
      <c r="J13266" s="2"/>
      <c r="K13266" s="2"/>
      <c r="L13266" s="2"/>
    </row>
    <row r="13267" spans="8:12" x14ac:dyDescent="0.3">
      <c r="H13267" s="2"/>
      <c r="I13267" s="2"/>
      <c r="J13267" s="2"/>
      <c r="K13267" s="2"/>
      <c r="L13267" s="2"/>
    </row>
    <row r="13268" spans="8:12" x14ac:dyDescent="0.3">
      <c r="H13268" s="2"/>
      <c r="I13268" s="2"/>
      <c r="J13268" s="2"/>
      <c r="K13268" s="2"/>
      <c r="L13268" s="2"/>
    </row>
    <row r="13269" spans="8:12" x14ac:dyDescent="0.3">
      <c r="H13269" s="2"/>
      <c r="I13269" s="2"/>
      <c r="J13269" s="2"/>
      <c r="K13269" s="2"/>
      <c r="L13269" s="2"/>
    </row>
    <row r="13270" spans="8:12" x14ac:dyDescent="0.3">
      <c r="H13270" s="2"/>
      <c r="I13270" s="2"/>
      <c r="J13270" s="2"/>
      <c r="K13270" s="2"/>
      <c r="L13270" s="2"/>
    </row>
    <row r="13271" spans="8:12" x14ac:dyDescent="0.3">
      <c r="H13271" s="2"/>
      <c r="I13271" s="2"/>
      <c r="J13271" s="2"/>
      <c r="K13271" s="2"/>
      <c r="L13271" s="2"/>
    </row>
    <row r="13272" spans="8:12" x14ac:dyDescent="0.3">
      <c r="H13272" s="2"/>
      <c r="I13272" s="2"/>
      <c r="J13272" s="2"/>
      <c r="K13272" s="2"/>
      <c r="L13272" s="2"/>
    </row>
    <row r="13273" spans="8:12" x14ac:dyDescent="0.3">
      <c r="H13273" s="2"/>
      <c r="I13273" s="2"/>
      <c r="J13273" s="2"/>
      <c r="K13273" s="2"/>
      <c r="L13273" s="2"/>
    </row>
    <row r="13274" spans="8:12" x14ac:dyDescent="0.3">
      <c r="H13274" s="2"/>
      <c r="I13274" s="2"/>
      <c r="J13274" s="2"/>
      <c r="K13274" s="2"/>
      <c r="L13274" s="2"/>
    </row>
    <row r="13275" spans="8:12" x14ac:dyDescent="0.3">
      <c r="H13275" s="2"/>
      <c r="I13275" s="2"/>
      <c r="J13275" s="2"/>
      <c r="K13275" s="2"/>
      <c r="L13275" s="2"/>
    </row>
    <row r="13276" spans="8:12" x14ac:dyDescent="0.3">
      <c r="H13276" s="2"/>
      <c r="I13276" s="2"/>
      <c r="J13276" s="2"/>
      <c r="K13276" s="2"/>
      <c r="L13276" s="2"/>
    </row>
    <row r="13277" spans="8:12" x14ac:dyDescent="0.3">
      <c r="H13277" s="2"/>
      <c r="I13277" s="2"/>
      <c r="J13277" s="2"/>
      <c r="K13277" s="2"/>
      <c r="L13277" s="2"/>
    </row>
    <row r="13278" spans="8:12" x14ac:dyDescent="0.3">
      <c r="H13278" s="2"/>
      <c r="I13278" s="2"/>
      <c r="J13278" s="2"/>
      <c r="K13278" s="2"/>
      <c r="L13278" s="2"/>
    </row>
    <row r="13279" spans="8:12" x14ac:dyDescent="0.3">
      <c r="H13279" s="2"/>
      <c r="I13279" s="2"/>
      <c r="J13279" s="2"/>
      <c r="K13279" s="2"/>
      <c r="L13279" s="2"/>
    </row>
    <row r="13280" spans="8:12" x14ac:dyDescent="0.3">
      <c r="H13280" s="2"/>
      <c r="I13280" s="2"/>
      <c r="J13280" s="2"/>
      <c r="K13280" s="2"/>
      <c r="L13280" s="2"/>
    </row>
    <row r="13281" spans="8:12" x14ac:dyDescent="0.3">
      <c r="H13281" s="2"/>
      <c r="I13281" s="2"/>
      <c r="J13281" s="2"/>
      <c r="K13281" s="2"/>
      <c r="L13281" s="2"/>
    </row>
    <row r="13282" spans="8:12" x14ac:dyDescent="0.3">
      <c r="H13282" s="2"/>
      <c r="I13282" s="2"/>
      <c r="J13282" s="2"/>
      <c r="K13282" s="2"/>
      <c r="L13282" s="2"/>
    </row>
    <row r="13283" spans="8:12" x14ac:dyDescent="0.3">
      <c r="H13283" s="2"/>
      <c r="I13283" s="2"/>
      <c r="J13283" s="2"/>
      <c r="K13283" s="2"/>
      <c r="L13283" s="2"/>
    </row>
    <row r="13284" spans="8:12" x14ac:dyDescent="0.3">
      <c r="H13284" s="2"/>
      <c r="I13284" s="2"/>
      <c r="J13284" s="2"/>
      <c r="K13284" s="2"/>
      <c r="L13284" s="2"/>
    </row>
    <row r="13285" spans="8:12" x14ac:dyDescent="0.3">
      <c r="H13285" s="2"/>
      <c r="I13285" s="2"/>
      <c r="J13285" s="2"/>
      <c r="K13285" s="2"/>
      <c r="L13285" s="2"/>
    </row>
    <row r="13286" spans="8:12" x14ac:dyDescent="0.3">
      <c r="H13286" s="2"/>
      <c r="I13286" s="2"/>
      <c r="J13286" s="2"/>
      <c r="K13286" s="2"/>
      <c r="L13286" s="2"/>
    </row>
    <row r="13287" spans="8:12" x14ac:dyDescent="0.3">
      <c r="H13287" s="2"/>
      <c r="I13287" s="2"/>
      <c r="J13287" s="2"/>
      <c r="K13287" s="2"/>
      <c r="L13287" s="2"/>
    </row>
    <row r="13288" spans="8:12" x14ac:dyDescent="0.3">
      <c r="H13288" s="2"/>
      <c r="I13288" s="2"/>
      <c r="J13288" s="2"/>
      <c r="K13288" s="2"/>
      <c r="L13288" s="2"/>
    </row>
    <row r="13289" spans="8:12" x14ac:dyDescent="0.3">
      <c r="H13289" s="2"/>
      <c r="I13289" s="2"/>
      <c r="J13289" s="2"/>
      <c r="K13289" s="2"/>
      <c r="L13289" s="2"/>
    </row>
    <row r="13290" spans="8:12" x14ac:dyDescent="0.3">
      <c r="H13290" s="2"/>
      <c r="I13290" s="2"/>
      <c r="J13290" s="2"/>
      <c r="K13290" s="2"/>
      <c r="L13290" s="2"/>
    </row>
    <row r="13291" spans="8:12" x14ac:dyDescent="0.3">
      <c r="H13291" s="2"/>
      <c r="I13291" s="2"/>
      <c r="J13291" s="2"/>
      <c r="K13291" s="2"/>
      <c r="L13291" s="2"/>
    </row>
    <row r="13292" spans="8:12" x14ac:dyDescent="0.3">
      <c r="H13292" s="2"/>
      <c r="I13292" s="2"/>
      <c r="J13292" s="2"/>
      <c r="K13292" s="2"/>
      <c r="L13292" s="2"/>
    </row>
    <row r="13293" spans="8:12" x14ac:dyDescent="0.3">
      <c r="H13293" s="2"/>
      <c r="I13293" s="2"/>
      <c r="J13293" s="2"/>
      <c r="K13293" s="2"/>
      <c r="L13293" s="2"/>
    </row>
    <row r="13294" spans="8:12" x14ac:dyDescent="0.3">
      <c r="H13294" s="2"/>
      <c r="I13294" s="2"/>
      <c r="J13294" s="2"/>
      <c r="K13294" s="2"/>
      <c r="L13294" s="2"/>
    </row>
    <row r="13295" spans="8:12" x14ac:dyDescent="0.3">
      <c r="H13295" s="2"/>
      <c r="I13295" s="2"/>
      <c r="J13295" s="2"/>
      <c r="K13295" s="2"/>
      <c r="L13295" s="2"/>
    </row>
    <row r="13296" spans="8:12" x14ac:dyDescent="0.3">
      <c r="H13296" s="2"/>
      <c r="I13296" s="2"/>
      <c r="J13296" s="2"/>
      <c r="K13296" s="2"/>
      <c r="L13296" s="2"/>
    </row>
    <row r="13297" spans="8:12" x14ac:dyDescent="0.3">
      <c r="H13297" s="2"/>
      <c r="I13297" s="2"/>
      <c r="J13297" s="2"/>
      <c r="K13297" s="2"/>
      <c r="L13297" s="2"/>
    </row>
    <row r="13298" spans="8:12" x14ac:dyDescent="0.3">
      <c r="H13298" s="2"/>
      <c r="I13298" s="2"/>
      <c r="J13298" s="2"/>
      <c r="K13298" s="2"/>
      <c r="L13298" s="2"/>
    </row>
    <row r="13299" spans="8:12" x14ac:dyDescent="0.3">
      <c r="H13299" s="2"/>
      <c r="I13299" s="2"/>
      <c r="J13299" s="2"/>
      <c r="K13299" s="2"/>
      <c r="L13299" s="2"/>
    </row>
    <row r="13300" spans="8:12" x14ac:dyDescent="0.3">
      <c r="H13300" s="2"/>
      <c r="I13300" s="2"/>
      <c r="J13300" s="2"/>
      <c r="K13300" s="2"/>
      <c r="L13300" s="2"/>
    </row>
    <row r="13301" spans="8:12" x14ac:dyDescent="0.3">
      <c r="H13301" s="2"/>
      <c r="I13301" s="2"/>
      <c r="J13301" s="2"/>
      <c r="K13301" s="2"/>
      <c r="L13301" s="2"/>
    </row>
    <row r="13302" spans="8:12" x14ac:dyDescent="0.3">
      <c r="H13302" s="2"/>
      <c r="I13302" s="2"/>
      <c r="J13302" s="2"/>
      <c r="K13302" s="2"/>
      <c r="L13302" s="2"/>
    </row>
    <row r="13303" spans="8:12" x14ac:dyDescent="0.3">
      <c r="H13303" s="2"/>
      <c r="I13303" s="2"/>
      <c r="J13303" s="2"/>
      <c r="K13303" s="2"/>
      <c r="L13303" s="2"/>
    </row>
    <row r="13304" spans="8:12" x14ac:dyDescent="0.3">
      <c r="H13304" s="2"/>
      <c r="I13304" s="2"/>
      <c r="J13304" s="2"/>
      <c r="K13304" s="2"/>
      <c r="L13304" s="2"/>
    </row>
    <row r="13305" spans="8:12" x14ac:dyDescent="0.3">
      <c r="H13305" s="2"/>
      <c r="I13305" s="2"/>
      <c r="J13305" s="2"/>
      <c r="K13305" s="2"/>
      <c r="L13305" s="2"/>
    </row>
    <row r="13306" spans="8:12" x14ac:dyDescent="0.3">
      <c r="H13306" s="2"/>
      <c r="I13306" s="2"/>
      <c r="J13306" s="2"/>
      <c r="K13306" s="2"/>
      <c r="L13306" s="2"/>
    </row>
    <row r="13307" spans="8:12" x14ac:dyDescent="0.3">
      <c r="H13307" s="2"/>
      <c r="I13307" s="2"/>
      <c r="J13307" s="2"/>
      <c r="K13307" s="2"/>
      <c r="L13307" s="2"/>
    </row>
    <row r="13308" spans="8:12" x14ac:dyDescent="0.3">
      <c r="H13308" s="2"/>
      <c r="I13308" s="2"/>
      <c r="J13308" s="2"/>
      <c r="K13308" s="2"/>
      <c r="L13308" s="2"/>
    </row>
    <row r="13309" spans="8:12" x14ac:dyDescent="0.3">
      <c r="H13309" s="2"/>
      <c r="I13309" s="2"/>
      <c r="J13309" s="2"/>
      <c r="K13309" s="2"/>
      <c r="L13309" s="2"/>
    </row>
    <row r="13310" spans="8:12" x14ac:dyDescent="0.3">
      <c r="H13310" s="2"/>
      <c r="I13310" s="2"/>
      <c r="J13310" s="2"/>
      <c r="K13310" s="2"/>
      <c r="L13310" s="2"/>
    </row>
    <row r="13311" spans="8:12" x14ac:dyDescent="0.3">
      <c r="H13311" s="2"/>
      <c r="I13311" s="2"/>
      <c r="J13311" s="2"/>
      <c r="K13311" s="2"/>
      <c r="L13311" s="2"/>
    </row>
    <row r="13312" spans="8:12" x14ac:dyDescent="0.3">
      <c r="H13312" s="2"/>
      <c r="I13312" s="2"/>
      <c r="J13312" s="2"/>
      <c r="K13312" s="2"/>
      <c r="L13312" s="2"/>
    </row>
    <row r="13313" spans="8:12" x14ac:dyDescent="0.3">
      <c r="H13313" s="2"/>
      <c r="I13313" s="2"/>
      <c r="J13313" s="2"/>
      <c r="K13313" s="2"/>
      <c r="L13313" s="2"/>
    </row>
    <row r="13314" spans="8:12" x14ac:dyDescent="0.3">
      <c r="H13314" s="2"/>
      <c r="I13314" s="2"/>
      <c r="J13314" s="2"/>
      <c r="K13314" s="2"/>
      <c r="L13314" s="2"/>
    </row>
    <row r="13315" spans="8:12" x14ac:dyDescent="0.3">
      <c r="H13315" s="2"/>
      <c r="I13315" s="2"/>
      <c r="J13315" s="2"/>
      <c r="K13315" s="2"/>
      <c r="L13315" s="2"/>
    </row>
    <row r="13316" spans="8:12" x14ac:dyDescent="0.3">
      <c r="H13316" s="2"/>
      <c r="I13316" s="2"/>
      <c r="J13316" s="2"/>
      <c r="K13316" s="2"/>
      <c r="L13316" s="2"/>
    </row>
    <row r="13317" spans="8:12" x14ac:dyDescent="0.3">
      <c r="H13317" s="2"/>
      <c r="I13317" s="2"/>
      <c r="J13317" s="2"/>
      <c r="K13317" s="2"/>
      <c r="L13317" s="2"/>
    </row>
    <row r="13318" spans="8:12" x14ac:dyDescent="0.3">
      <c r="H13318" s="2"/>
      <c r="I13318" s="2"/>
      <c r="J13318" s="2"/>
      <c r="K13318" s="2"/>
      <c r="L13318" s="2"/>
    </row>
    <row r="13319" spans="8:12" x14ac:dyDescent="0.3">
      <c r="H13319" s="2"/>
      <c r="I13319" s="2"/>
      <c r="J13319" s="2"/>
      <c r="K13319" s="2"/>
      <c r="L13319" s="2"/>
    </row>
    <row r="13320" spans="8:12" x14ac:dyDescent="0.3">
      <c r="H13320" s="2"/>
      <c r="I13320" s="2"/>
      <c r="J13320" s="2"/>
      <c r="K13320" s="2"/>
      <c r="L13320" s="2"/>
    </row>
    <row r="13321" spans="8:12" x14ac:dyDescent="0.3">
      <c r="H13321" s="2"/>
      <c r="I13321" s="2"/>
      <c r="J13321" s="2"/>
      <c r="K13321" s="2"/>
      <c r="L13321" s="2"/>
    </row>
    <row r="13322" spans="8:12" x14ac:dyDescent="0.3">
      <c r="H13322" s="2"/>
      <c r="I13322" s="2"/>
      <c r="J13322" s="2"/>
      <c r="K13322" s="2"/>
      <c r="L13322" s="2"/>
    </row>
    <row r="13323" spans="8:12" x14ac:dyDescent="0.3">
      <c r="H13323" s="2"/>
      <c r="I13323" s="2"/>
      <c r="J13323" s="2"/>
      <c r="K13323" s="2"/>
      <c r="L13323" s="2"/>
    </row>
    <row r="13324" spans="8:12" x14ac:dyDescent="0.3">
      <c r="H13324" s="2"/>
      <c r="I13324" s="2"/>
      <c r="J13324" s="2"/>
      <c r="K13324" s="2"/>
      <c r="L13324" s="2"/>
    </row>
    <row r="13325" spans="8:12" x14ac:dyDescent="0.3">
      <c r="H13325" s="2"/>
      <c r="I13325" s="2"/>
      <c r="J13325" s="2"/>
      <c r="K13325" s="2"/>
      <c r="L13325" s="2"/>
    </row>
    <row r="13326" spans="8:12" x14ac:dyDescent="0.3">
      <c r="H13326" s="2"/>
      <c r="I13326" s="2"/>
      <c r="J13326" s="2"/>
      <c r="K13326" s="2"/>
      <c r="L13326" s="2"/>
    </row>
    <row r="13327" spans="8:12" x14ac:dyDescent="0.3">
      <c r="H13327" s="2"/>
      <c r="I13327" s="2"/>
      <c r="J13327" s="2"/>
      <c r="K13327" s="2"/>
      <c r="L13327" s="2"/>
    </row>
    <row r="13328" spans="8:12" x14ac:dyDescent="0.3">
      <c r="H13328" s="2"/>
      <c r="I13328" s="2"/>
      <c r="J13328" s="2"/>
      <c r="K13328" s="2"/>
      <c r="L13328" s="2"/>
    </row>
    <row r="13329" spans="8:12" x14ac:dyDescent="0.3">
      <c r="H13329" s="2"/>
      <c r="I13329" s="2"/>
      <c r="J13329" s="2"/>
      <c r="K13329" s="2"/>
      <c r="L13329" s="2"/>
    </row>
    <row r="13330" spans="8:12" x14ac:dyDescent="0.3">
      <c r="H13330" s="2"/>
      <c r="I13330" s="2"/>
      <c r="J13330" s="2"/>
      <c r="K13330" s="2"/>
      <c r="L13330" s="2"/>
    </row>
    <row r="13331" spans="8:12" x14ac:dyDescent="0.3">
      <c r="H13331" s="2"/>
      <c r="I13331" s="2"/>
      <c r="J13331" s="2"/>
      <c r="K13331" s="2"/>
      <c r="L13331" s="2"/>
    </row>
    <row r="13332" spans="8:12" x14ac:dyDescent="0.3">
      <c r="H13332" s="2"/>
      <c r="I13332" s="2"/>
      <c r="J13332" s="2"/>
      <c r="K13332" s="2"/>
      <c r="L13332" s="2"/>
    </row>
    <row r="13333" spans="8:12" x14ac:dyDescent="0.3">
      <c r="H13333" s="2"/>
      <c r="I13333" s="2"/>
      <c r="J13333" s="2"/>
      <c r="K13333" s="2"/>
      <c r="L13333" s="2"/>
    </row>
    <row r="13334" spans="8:12" x14ac:dyDescent="0.3">
      <c r="H13334" s="2"/>
      <c r="I13334" s="2"/>
      <c r="J13334" s="2"/>
      <c r="K13334" s="2"/>
      <c r="L13334" s="2"/>
    </row>
    <row r="13335" spans="8:12" x14ac:dyDescent="0.3">
      <c r="H13335" s="2"/>
      <c r="I13335" s="2"/>
      <c r="J13335" s="2"/>
      <c r="K13335" s="2"/>
      <c r="L13335" s="2"/>
    </row>
    <row r="13336" spans="8:12" x14ac:dyDescent="0.3">
      <c r="H13336" s="2"/>
      <c r="I13336" s="2"/>
      <c r="J13336" s="2"/>
      <c r="K13336" s="2"/>
      <c r="L13336" s="2"/>
    </row>
    <row r="13337" spans="8:12" x14ac:dyDescent="0.3">
      <c r="H13337" s="2"/>
      <c r="I13337" s="2"/>
      <c r="J13337" s="2"/>
      <c r="K13337" s="2"/>
      <c r="L13337" s="2"/>
    </row>
    <row r="13338" spans="8:12" x14ac:dyDescent="0.3">
      <c r="H13338" s="2"/>
      <c r="I13338" s="2"/>
      <c r="J13338" s="2"/>
      <c r="K13338" s="2"/>
      <c r="L13338" s="2"/>
    </row>
    <row r="13339" spans="8:12" x14ac:dyDescent="0.3">
      <c r="H13339" s="2"/>
      <c r="I13339" s="2"/>
      <c r="J13339" s="2"/>
      <c r="K13339" s="2"/>
      <c r="L13339" s="2"/>
    </row>
    <row r="13340" spans="8:12" x14ac:dyDescent="0.3">
      <c r="H13340" s="2"/>
      <c r="I13340" s="2"/>
      <c r="J13340" s="2"/>
      <c r="K13340" s="2"/>
      <c r="L13340" s="2"/>
    </row>
    <row r="13341" spans="8:12" x14ac:dyDescent="0.3">
      <c r="H13341" s="2"/>
      <c r="I13341" s="2"/>
      <c r="J13341" s="2"/>
      <c r="K13341" s="2"/>
      <c r="L13341" s="2"/>
    </row>
    <row r="13342" spans="8:12" x14ac:dyDescent="0.3">
      <c r="H13342" s="2"/>
      <c r="I13342" s="2"/>
      <c r="J13342" s="2"/>
      <c r="K13342" s="2"/>
      <c r="L13342" s="2"/>
    </row>
    <row r="13343" spans="8:12" x14ac:dyDescent="0.3">
      <c r="H13343" s="2"/>
      <c r="I13343" s="2"/>
      <c r="J13343" s="2"/>
      <c r="K13343" s="2"/>
      <c r="L13343" s="2"/>
    </row>
    <row r="13344" spans="8:12" x14ac:dyDescent="0.3">
      <c r="H13344" s="2"/>
      <c r="I13344" s="2"/>
      <c r="J13344" s="2"/>
      <c r="K13344" s="2"/>
      <c r="L13344" s="2"/>
    </row>
    <row r="13345" spans="8:12" x14ac:dyDescent="0.3">
      <c r="H13345" s="2"/>
      <c r="I13345" s="2"/>
      <c r="J13345" s="2"/>
      <c r="K13345" s="2"/>
      <c r="L13345" s="2"/>
    </row>
    <row r="13346" spans="8:12" x14ac:dyDescent="0.3">
      <c r="H13346" s="2"/>
      <c r="I13346" s="2"/>
      <c r="J13346" s="2"/>
      <c r="K13346" s="2"/>
      <c r="L13346" s="2"/>
    </row>
    <row r="13347" spans="8:12" x14ac:dyDescent="0.3">
      <c r="H13347" s="2"/>
      <c r="I13347" s="2"/>
      <c r="J13347" s="2"/>
      <c r="K13347" s="2"/>
      <c r="L13347" s="2"/>
    </row>
    <row r="13348" spans="8:12" x14ac:dyDescent="0.3">
      <c r="H13348" s="2"/>
      <c r="I13348" s="2"/>
      <c r="J13348" s="2"/>
      <c r="K13348" s="2"/>
      <c r="L13348" s="2"/>
    </row>
    <row r="13349" spans="8:12" x14ac:dyDescent="0.3">
      <c r="H13349" s="2"/>
      <c r="I13349" s="2"/>
      <c r="J13349" s="2"/>
      <c r="K13349" s="2"/>
      <c r="L13349" s="2"/>
    </row>
    <row r="13350" spans="8:12" x14ac:dyDescent="0.3">
      <c r="H13350" s="2"/>
      <c r="I13350" s="2"/>
      <c r="J13350" s="2"/>
      <c r="K13350" s="2"/>
      <c r="L13350" s="2"/>
    </row>
    <row r="13351" spans="8:12" x14ac:dyDescent="0.3">
      <c r="H13351" s="2"/>
      <c r="I13351" s="2"/>
      <c r="J13351" s="2"/>
      <c r="K13351" s="2"/>
      <c r="L13351" s="2"/>
    </row>
    <row r="13352" spans="8:12" x14ac:dyDescent="0.3">
      <c r="H13352" s="2"/>
      <c r="I13352" s="2"/>
      <c r="J13352" s="2"/>
      <c r="K13352" s="2"/>
      <c r="L13352" s="2"/>
    </row>
    <row r="13353" spans="8:12" x14ac:dyDescent="0.3">
      <c r="H13353" s="2"/>
      <c r="I13353" s="2"/>
      <c r="J13353" s="2"/>
      <c r="K13353" s="2"/>
      <c r="L13353" s="2"/>
    </row>
    <row r="13354" spans="8:12" x14ac:dyDescent="0.3">
      <c r="H13354" s="2"/>
      <c r="I13354" s="2"/>
      <c r="J13354" s="2"/>
      <c r="K13354" s="2"/>
      <c r="L13354" s="2"/>
    </row>
    <row r="13355" spans="8:12" x14ac:dyDescent="0.3">
      <c r="H13355" s="2"/>
      <c r="I13355" s="2"/>
      <c r="J13355" s="2"/>
      <c r="K13355" s="2"/>
      <c r="L13355" s="2"/>
    </row>
    <row r="13356" spans="8:12" x14ac:dyDescent="0.3">
      <c r="H13356" s="2"/>
      <c r="I13356" s="2"/>
      <c r="J13356" s="2"/>
      <c r="K13356" s="2"/>
      <c r="L13356" s="2"/>
    </row>
    <row r="13357" spans="8:12" x14ac:dyDescent="0.3">
      <c r="H13357" s="2"/>
      <c r="I13357" s="2"/>
      <c r="J13357" s="2"/>
      <c r="K13357" s="2"/>
      <c r="L13357" s="2"/>
    </row>
    <row r="13358" spans="8:12" x14ac:dyDescent="0.3">
      <c r="H13358" s="2"/>
      <c r="I13358" s="2"/>
      <c r="J13358" s="2"/>
      <c r="K13358" s="2"/>
      <c r="L13358" s="2"/>
    </row>
    <row r="13359" spans="8:12" x14ac:dyDescent="0.3">
      <c r="H13359" s="2"/>
      <c r="I13359" s="2"/>
      <c r="J13359" s="2"/>
      <c r="K13359" s="2"/>
      <c r="L13359" s="2"/>
    </row>
    <row r="13360" spans="8:12" x14ac:dyDescent="0.3">
      <c r="H13360" s="2"/>
      <c r="I13360" s="2"/>
      <c r="J13360" s="2"/>
      <c r="K13360" s="2"/>
      <c r="L13360" s="2"/>
    </row>
    <row r="13361" spans="8:12" x14ac:dyDescent="0.3">
      <c r="H13361" s="2"/>
      <c r="I13361" s="2"/>
      <c r="J13361" s="2"/>
      <c r="K13361" s="2"/>
      <c r="L13361" s="2"/>
    </row>
    <row r="13362" spans="8:12" x14ac:dyDescent="0.3">
      <c r="H13362" s="2"/>
      <c r="I13362" s="2"/>
      <c r="J13362" s="2"/>
      <c r="K13362" s="2"/>
      <c r="L13362" s="2"/>
    </row>
    <row r="13363" spans="8:12" x14ac:dyDescent="0.3">
      <c r="H13363" s="2"/>
      <c r="I13363" s="2"/>
      <c r="J13363" s="2"/>
      <c r="K13363" s="2"/>
      <c r="L13363" s="2"/>
    </row>
    <row r="13364" spans="8:12" x14ac:dyDescent="0.3">
      <c r="H13364" s="2"/>
      <c r="I13364" s="2"/>
      <c r="J13364" s="2"/>
      <c r="K13364" s="2"/>
      <c r="L13364" s="2"/>
    </row>
    <row r="13365" spans="8:12" x14ac:dyDescent="0.3">
      <c r="H13365" s="2"/>
      <c r="I13365" s="2"/>
      <c r="J13365" s="2"/>
      <c r="K13365" s="2"/>
      <c r="L13365" s="2"/>
    </row>
    <row r="13366" spans="8:12" x14ac:dyDescent="0.3">
      <c r="H13366" s="2"/>
      <c r="I13366" s="2"/>
      <c r="J13366" s="2"/>
      <c r="K13366" s="2"/>
      <c r="L13366" s="2"/>
    </row>
    <row r="13367" spans="8:12" x14ac:dyDescent="0.3">
      <c r="H13367" s="2"/>
      <c r="I13367" s="2"/>
      <c r="J13367" s="2"/>
      <c r="K13367" s="2"/>
      <c r="L13367" s="2"/>
    </row>
    <row r="13368" spans="8:12" x14ac:dyDescent="0.3">
      <c r="H13368" s="2"/>
      <c r="I13368" s="2"/>
      <c r="J13368" s="2"/>
      <c r="K13368" s="2"/>
      <c r="L13368" s="2"/>
    </row>
    <row r="13369" spans="8:12" x14ac:dyDescent="0.3">
      <c r="H13369" s="2"/>
      <c r="I13369" s="2"/>
      <c r="J13369" s="2"/>
      <c r="K13369" s="2"/>
      <c r="L13369" s="2"/>
    </row>
    <row r="13370" spans="8:12" x14ac:dyDescent="0.3">
      <c r="H13370" s="2"/>
      <c r="I13370" s="2"/>
      <c r="J13370" s="2"/>
      <c r="K13370" s="2"/>
      <c r="L13370" s="2"/>
    </row>
    <row r="13371" spans="8:12" x14ac:dyDescent="0.3">
      <c r="H13371" s="2"/>
      <c r="I13371" s="2"/>
      <c r="J13371" s="2"/>
      <c r="K13371" s="2"/>
      <c r="L13371" s="2"/>
    </row>
    <row r="13372" spans="8:12" x14ac:dyDescent="0.3">
      <c r="H13372" s="2"/>
      <c r="I13372" s="2"/>
      <c r="J13372" s="2"/>
      <c r="K13372" s="2"/>
      <c r="L13372" s="2"/>
    </row>
    <row r="13373" spans="8:12" x14ac:dyDescent="0.3">
      <c r="H13373" s="2"/>
      <c r="I13373" s="2"/>
      <c r="J13373" s="2"/>
      <c r="K13373" s="2"/>
      <c r="L13373" s="2"/>
    </row>
    <row r="13374" spans="8:12" x14ac:dyDescent="0.3">
      <c r="H13374" s="2"/>
      <c r="I13374" s="2"/>
      <c r="J13374" s="2"/>
      <c r="K13374" s="2"/>
      <c r="L13374" s="2"/>
    </row>
    <row r="13375" spans="8:12" x14ac:dyDescent="0.3">
      <c r="H13375" s="2"/>
      <c r="I13375" s="2"/>
      <c r="J13375" s="2"/>
      <c r="K13375" s="2"/>
      <c r="L13375" s="2"/>
    </row>
    <row r="13376" spans="8:12" x14ac:dyDescent="0.3">
      <c r="H13376" s="2"/>
      <c r="I13376" s="2"/>
      <c r="J13376" s="2"/>
      <c r="K13376" s="2"/>
      <c r="L13376" s="2"/>
    </row>
    <row r="13377" spans="8:12" x14ac:dyDescent="0.3">
      <c r="H13377" s="2"/>
      <c r="I13377" s="2"/>
      <c r="J13377" s="2"/>
      <c r="K13377" s="2"/>
      <c r="L13377" s="2"/>
    </row>
    <row r="13378" spans="8:12" x14ac:dyDescent="0.3">
      <c r="H13378" s="2"/>
      <c r="I13378" s="2"/>
      <c r="J13378" s="2"/>
      <c r="K13378" s="2"/>
      <c r="L13378" s="2"/>
    </row>
    <row r="13379" spans="8:12" x14ac:dyDescent="0.3">
      <c r="H13379" s="2"/>
      <c r="I13379" s="2"/>
      <c r="J13379" s="2"/>
      <c r="K13379" s="2"/>
      <c r="L13379" s="2"/>
    </row>
    <row r="13380" spans="8:12" x14ac:dyDescent="0.3">
      <c r="H13380" s="2"/>
      <c r="I13380" s="2"/>
      <c r="J13380" s="2"/>
      <c r="K13380" s="2"/>
      <c r="L13380" s="2"/>
    </row>
    <row r="13381" spans="8:12" x14ac:dyDescent="0.3">
      <c r="H13381" s="2"/>
      <c r="I13381" s="2"/>
      <c r="J13381" s="2"/>
      <c r="K13381" s="2"/>
      <c r="L13381" s="2"/>
    </row>
    <row r="13382" spans="8:12" x14ac:dyDescent="0.3">
      <c r="H13382" s="2"/>
      <c r="I13382" s="2"/>
      <c r="J13382" s="2"/>
      <c r="K13382" s="2"/>
      <c r="L13382" s="2"/>
    </row>
    <row r="13383" spans="8:12" x14ac:dyDescent="0.3">
      <c r="H13383" s="2"/>
      <c r="I13383" s="2"/>
      <c r="J13383" s="2"/>
      <c r="K13383" s="2"/>
      <c r="L13383" s="2"/>
    </row>
    <row r="13384" spans="8:12" x14ac:dyDescent="0.3">
      <c r="H13384" s="2"/>
      <c r="I13384" s="2"/>
      <c r="J13384" s="2"/>
      <c r="K13384" s="2"/>
      <c r="L13384" s="2"/>
    </row>
    <row r="13385" spans="8:12" x14ac:dyDescent="0.3">
      <c r="H13385" s="2"/>
      <c r="I13385" s="2"/>
      <c r="J13385" s="2"/>
      <c r="K13385" s="2"/>
      <c r="L13385" s="2"/>
    </row>
    <row r="13386" spans="8:12" x14ac:dyDescent="0.3">
      <c r="H13386" s="2"/>
      <c r="I13386" s="2"/>
      <c r="J13386" s="2"/>
      <c r="K13386" s="2"/>
      <c r="L13386" s="2"/>
    </row>
    <row r="13387" spans="8:12" x14ac:dyDescent="0.3">
      <c r="H13387" s="2"/>
      <c r="I13387" s="2"/>
      <c r="J13387" s="2"/>
      <c r="K13387" s="2"/>
      <c r="L13387" s="2"/>
    </row>
    <row r="13388" spans="8:12" x14ac:dyDescent="0.3">
      <c r="H13388" s="2"/>
      <c r="I13388" s="2"/>
      <c r="J13388" s="2"/>
      <c r="K13388" s="2"/>
      <c r="L13388" s="2"/>
    </row>
    <row r="13389" spans="8:12" x14ac:dyDescent="0.3">
      <c r="H13389" s="2"/>
      <c r="I13389" s="2"/>
      <c r="J13389" s="2"/>
      <c r="K13389" s="2"/>
      <c r="L13389" s="2"/>
    </row>
    <row r="13390" spans="8:12" x14ac:dyDescent="0.3">
      <c r="H13390" s="2"/>
      <c r="I13390" s="2"/>
      <c r="J13390" s="2"/>
      <c r="K13390" s="2"/>
      <c r="L13390" s="2"/>
    </row>
    <row r="13391" spans="8:12" x14ac:dyDescent="0.3">
      <c r="H13391" s="2"/>
      <c r="I13391" s="2"/>
      <c r="J13391" s="2"/>
      <c r="K13391" s="2"/>
      <c r="L13391" s="2"/>
    </row>
    <row r="13392" spans="8:12" x14ac:dyDescent="0.3">
      <c r="H13392" s="2"/>
      <c r="I13392" s="2"/>
      <c r="J13392" s="2"/>
      <c r="K13392" s="2"/>
      <c r="L13392" s="2"/>
    </row>
    <row r="13393" spans="8:12" x14ac:dyDescent="0.3">
      <c r="H13393" s="2"/>
      <c r="I13393" s="2"/>
      <c r="J13393" s="2"/>
      <c r="K13393" s="2"/>
      <c r="L13393" s="2"/>
    </row>
    <row r="13394" spans="8:12" x14ac:dyDescent="0.3">
      <c r="H13394" s="2"/>
      <c r="I13394" s="2"/>
      <c r="J13394" s="2"/>
      <c r="K13394" s="2"/>
      <c r="L13394" s="2"/>
    </row>
    <row r="13395" spans="8:12" x14ac:dyDescent="0.3">
      <c r="H13395" s="2"/>
      <c r="I13395" s="2"/>
      <c r="J13395" s="2"/>
      <c r="K13395" s="2"/>
      <c r="L13395" s="2"/>
    </row>
    <row r="13396" spans="8:12" x14ac:dyDescent="0.3">
      <c r="H13396" s="2"/>
      <c r="I13396" s="2"/>
      <c r="J13396" s="2"/>
      <c r="K13396" s="2"/>
      <c r="L13396" s="2"/>
    </row>
    <row r="13397" spans="8:12" x14ac:dyDescent="0.3">
      <c r="H13397" s="2"/>
      <c r="I13397" s="2"/>
      <c r="J13397" s="2"/>
      <c r="K13397" s="2"/>
      <c r="L13397" s="2"/>
    </row>
    <row r="13398" spans="8:12" x14ac:dyDescent="0.3">
      <c r="H13398" s="2"/>
      <c r="I13398" s="2"/>
      <c r="J13398" s="2"/>
      <c r="K13398" s="2"/>
      <c r="L13398" s="2"/>
    </row>
    <row r="13399" spans="8:12" x14ac:dyDescent="0.3">
      <c r="H13399" s="2"/>
      <c r="I13399" s="2"/>
      <c r="J13399" s="2"/>
      <c r="K13399" s="2"/>
      <c r="L13399" s="2"/>
    </row>
    <row r="13400" spans="8:12" x14ac:dyDescent="0.3">
      <c r="H13400" s="2"/>
      <c r="I13400" s="2"/>
      <c r="J13400" s="2"/>
      <c r="K13400" s="2"/>
      <c r="L13400" s="2"/>
    </row>
    <row r="13401" spans="8:12" x14ac:dyDescent="0.3">
      <c r="H13401" s="2"/>
      <c r="I13401" s="2"/>
      <c r="J13401" s="2"/>
      <c r="K13401" s="2"/>
      <c r="L13401" s="2"/>
    </row>
    <row r="13402" spans="8:12" x14ac:dyDescent="0.3">
      <c r="H13402" s="2"/>
      <c r="I13402" s="2"/>
      <c r="J13402" s="2"/>
      <c r="K13402" s="2"/>
      <c r="L13402" s="2"/>
    </row>
    <row r="13403" spans="8:12" x14ac:dyDescent="0.3">
      <c r="H13403" s="2"/>
      <c r="I13403" s="2"/>
      <c r="J13403" s="2"/>
      <c r="K13403" s="2"/>
      <c r="L13403" s="2"/>
    </row>
    <row r="13404" spans="8:12" x14ac:dyDescent="0.3">
      <c r="H13404" s="2"/>
      <c r="I13404" s="2"/>
      <c r="J13404" s="2"/>
      <c r="K13404" s="2"/>
      <c r="L13404" s="2"/>
    </row>
    <row r="13405" spans="8:12" x14ac:dyDescent="0.3">
      <c r="H13405" s="2"/>
      <c r="I13405" s="2"/>
      <c r="J13405" s="2"/>
      <c r="K13405" s="2"/>
      <c r="L13405" s="2"/>
    </row>
    <row r="13406" spans="8:12" x14ac:dyDescent="0.3">
      <c r="H13406" s="2"/>
      <c r="I13406" s="2"/>
      <c r="J13406" s="2"/>
      <c r="K13406" s="2"/>
      <c r="L13406" s="2"/>
    </row>
    <row r="13407" spans="8:12" x14ac:dyDescent="0.3">
      <c r="H13407" s="2"/>
      <c r="I13407" s="2"/>
      <c r="J13407" s="2"/>
      <c r="K13407" s="2"/>
      <c r="L13407" s="2"/>
    </row>
    <row r="13408" spans="8:12" x14ac:dyDescent="0.3">
      <c r="H13408" s="2"/>
      <c r="I13408" s="2"/>
      <c r="J13408" s="2"/>
      <c r="K13408" s="2"/>
      <c r="L13408" s="2"/>
    </row>
    <row r="13409" spans="8:12" x14ac:dyDescent="0.3">
      <c r="H13409" s="2"/>
      <c r="I13409" s="2"/>
      <c r="J13409" s="2"/>
      <c r="K13409" s="2"/>
      <c r="L13409" s="2"/>
    </row>
    <row r="13410" spans="8:12" x14ac:dyDescent="0.3">
      <c r="H13410" s="2"/>
      <c r="I13410" s="2"/>
      <c r="J13410" s="2"/>
      <c r="K13410" s="2"/>
      <c r="L13410" s="2"/>
    </row>
    <row r="13411" spans="8:12" x14ac:dyDescent="0.3">
      <c r="H13411" s="2"/>
      <c r="I13411" s="2"/>
      <c r="J13411" s="2"/>
      <c r="K13411" s="2"/>
      <c r="L13411" s="2"/>
    </row>
    <row r="13412" spans="8:12" x14ac:dyDescent="0.3">
      <c r="H13412" s="2"/>
      <c r="I13412" s="2"/>
      <c r="J13412" s="2"/>
      <c r="K13412" s="2"/>
      <c r="L13412" s="2"/>
    </row>
    <row r="13413" spans="8:12" x14ac:dyDescent="0.3">
      <c r="H13413" s="2"/>
      <c r="I13413" s="2"/>
      <c r="J13413" s="2"/>
      <c r="K13413" s="2"/>
      <c r="L13413" s="2"/>
    </row>
    <row r="13414" spans="8:12" x14ac:dyDescent="0.3">
      <c r="H13414" s="2"/>
      <c r="I13414" s="2"/>
      <c r="J13414" s="2"/>
      <c r="K13414" s="2"/>
      <c r="L13414" s="2"/>
    </row>
    <row r="13415" spans="8:12" x14ac:dyDescent="0.3">
      <c r="H13415" s="2"/>
      <c r="I13415" s="2"/>
      <c r="J13415" s="2"/>
      <c r="K13415" s="2"/>
      <c r="L13415" s="2"/>
    </row>
    <row r="13416" spans="8:12" x14ac:dyDescent="0.3">
      <c r="H13416" s="2"/>
      <c r="I13416" s="2"/>
      <c r="J13416" s="2"/>
      <c r="K13416" s="2"/>
      <c r="L13416" s="2"/>
    </row>
    <row r="13417" spans="8:12" x14ac:dyDescent="0.3">
      <c r="H13417" s="2"/>
      <c r="I13417" s="2"/>
      <c r="J13417" s="2"/>
      <c r="K13417" s="2"/>
      <c r="L13417" s="2"/>
    </row>
    <row r="13418" spans="8:12" x14ac:dyDescent="0.3">
      <c r="H13418" s="2"/>
      <c r="I13418" s="2"/>
      <c r="J13418" s="2"/>
      <c r="K13418" s="2"/>
      <c r="L13418" s="2"/>
    </row>
    <row r="13419" spans="8:12" x14ac:dyDescent="0.3">
      <c r="H13419" s="2"/>
      <c r="I13419" s="2"/>
      <c r="J13419" s="2"/>
      <c r="K13419" s="2"/>
      <c r="L13419" s="2"/>
    </row>
    <row r="13420" spans="8:12" x14ac:dyDescent="0.3">
      <c r="H13420" s="2"/>
      <c r="I13420" s="2"/>
      <c r="J13420" s="2"/>
      <c r="K13420" s="2"/>
      <c r="L13420" s="2"/>
    </row>
    <row r="13421" spans="8:12" x14ac:dyDescent="0.3">
      <c r="H13421" s="2"/>
      <c r="I13421" s="2"/>
      <c r="J13421" s="2"/>
      <c r="K13421" s="2"/>
      <c r="L13421" s="2"/>
    </row>
    <row r="13422" spans="8:12" x14ac:dyDescent="0.3">
      <c r="H13422" s="2"/>
      <c r="I13422" s="2"/>
      <c r="J13422" s="2"/>
      <c r="K13422" s="2"/>
      <c r="L13422" s="2"/>
    </row>
    <row r="13423" spans="8:12" x14ac:dyDescent="0.3">
      <c r="H13423" s="2"/>
      <c r="I13423" s="2"/>
      <c r="J13423" s="2"/>
      <c r="K13423" s="2"/>
      <c r="L13423" s="2"/>
    </row>
    <row r="13424" spans="8:12" x14ac:dyDescent="0.3">
      <c r="H13424" s="2"/>
      <c r="I13424" s="2"/>
      <c r="J13424" s="2"/>
      <c r="K13424" s="2"/>
      <c r="L13424" s="2"/>
    </row>
    <row r="13425" spans="8:12" x14ac:dyDescent="0.3">
      <c r="H13425" s="2"/>
      <c r="I13425" s="2"/>
      <c r="J13425" s="2"/>
      <c r="K13425" s="2"/>
      <c r="L13425" s="2"/>
    </row>
    <row r="13426" spans="8:12" x14ac:dyDescent="0.3">
      <c r="H13426" s="2"/>
      <c r="I13426" s="2"/>
      <c r="J13426" s="2"/>
      <c r="K13426" s="2"/>
      <c r="L13426" s="2"/>
    </row>
    <row r="13427" spans="8:12" x14ac:dyDescent="0.3">
      <c r="H13427" s="2"/>
      <c r="I13427" s="2"/>
      <c r="J13427" s="2"/>
      <c r="K13427" s="2"/>
      <c r="L13427" s="2"/>
    </row>
    <row r="13428" spans="8:12" x14ac:dyDescent="0.3">
      <c r="H13428" s="2"/>
      <c r="I13428" s="2"/>
      <c r="J13428" s="2"/>
      <c r="K13428" s="2"/>
      <c r="L13428" s="2"/>
    </row>
    <row r="13429" spans="8:12" x14ac:dyDescent="0.3">
      <c r="H13429" s="2"/>
      <c r="I13429" s="2"/>
      <c r="J13429" s="2"/>
      <c r="K13429" s="2"/>
      <c r="L13429" s="2"/>
    </row>
    <row r="13430" spans="8:12" x14ac:dyDescent="0.3">
      <c r="H13430" s="2"/>
      <c r="I13430" s="2"/>
      <c r="J13430" s="2"/>
      <c r="K13430" s="2"/>
      <c r="L13430" s="2"/>
    </row>
    <row r="13431" spans="8:12" x14ac:dyDescent="0.3">
      <c r="H13431" s="2"/>
      <c r="I13431" s="2"/>
      <c r="J13431" s="2"/>
      <c r="K13431" s="2"/>
      <c r="L13431" s="2"/>
    </row>
    <row r="13432" spans="8:12" x14ac:dyDescent="0.3">
      <c r="H13432" s="2"/>
      <c r="I13432" s="2"/>
      <c r="J13432" s="2"/>
      <c r="K13432" s="2"/>
      <c r="L13432" s="2"/>
    </row>
    <row r="13433" spans="8:12" x14ac:dyDescent="0.3">
      <c r="H13433" s="2"/>
      <c r="I13433" s="2"/>
      <c r="J13433" s="2"/>
      <c r="K13433" s="2"/>
      <c r="L13433" s="2"/>
    </row>
    <row r="13434" spans="8:12" x14ac:dyDescent="0.3">
      <c r="H13434" s="2"/>
      <c r="I13434" s="2"/>
      <c r="J13434" s="2"/>
      <c r="K13434" s="2"/>
      <c r="L13434" s="2"/>
    </row>
    <row r="13435" spans="8:12" x14ac:dyDescent="0.3">
      <c r="H13435" s="2"/>
      <c r="I13435" s="2"/>
      <c r="J13435" s="2"/>
      <c r="K13435" s="2"/>
      <c r="L13435" s="2"/>
    </row>
    <row r="13436" spans="8:12" x14ac:dyDescent="0.3">
      <c r="H13436" s="2"/>
      <c r="I13436" s="2"/>
      <c r="J13436" s="2"/>
      <c r="K13436" s="2"/>
      <c r="L13436" s="2"/>
    </row>
    <row r="13437" spans="8:12" x14ac:dyDescent="0.3">
      <c r="H13437" s="2"/>
      <c r="I13437" s="2"/>
      <c r="J13437" s="2"/>
      <c r="K13437" s="2"/>
      <c r="L13437" s="2"/>
    </row>
    <row r="13438" spans="8:12" x14ac:dyDescent="0.3">
      <c r="H13438" s="2"/>
      <c r="I13438" s="2"/>
      <c r="J13438" s="2"/>
      <c r="K13438" s="2"/>
      <c r="L13438" s="2"/>
    </row>
    <row r="13439" spans="8:12" x14ac:dyDescent="0.3">
      <c r="H13439" s="2"/>
      <c r="I13439" s="2"/>
      <c r="J13439" s="2"/>
      <c r="K13439" s="2"/>
      <c r="L13439" s="2"/>
    </row>
    <row r="13440" spans="8:12" x14ac:dyDescent="0.3">
      <c r="H13440" s="2"/>
      <c r="I13440" s="2"/>
      <c r="J13440" s="2"/>
      <c r="K13440" s="2"/>
      <c r="L13440" s="2"/>
    </row>
    <row r="13441" spans="8:12" x14ac:dyDescent="0.3">
      <c r="H13441" s="2"/>
      <c r="I13441" s="2"/>
      <c r="J13441" s="2"/>
      <c r="K13441" s="2"/>
      <c r="L13441" s="2"/>
    </row>
    <row r="13442" spans="8:12" x14ac:dyDescent="0.3">
      <c r="H13442" s="2"/>
      <c r="I13442" s="2"/>
      <c r="J13442" s="2"/>
      <c r="K13442" s="2"/>
      <c r="L13442" s="2"/>
    </row>
    <row r="13443" spans="8:12" x14ac:dyDescent="0.3">
      <c r="H13443" s="2"/>
      <c r="I13443" s="2"/>
      <c r="J13443" s="2"/>
      <c r="K13443" s="2"/>
      <c r="L13443" s="2"/>
    </row>
    <row r="13444" spans="8:12" x14ac:dyDescent="0.3">
      <c r="H13444" s="2"/>
      <c r="I13444" s="2"/>
      <c r="J13444" s="2"/>
      <c r="K13444" s="2"/>
      <c r="L13444" s="2"/>
    </row>
    <row r="13445" spans="8:12" x14ac:dyDescent="0.3">
      <c r="H13445" s="2"/>
      <c r="I13445" s="2"/>
      <c r="J13445" s="2"/>
      <c r="K13445" s="2"/>
      <c r="L13445" s="2"/>
    </row>
    <row r="13446" spans="8:12" x14ac:dyDescent="0.3">
      <c r="H13446" s="2"/>
      <c r="I13446" s="2"/>
      <c r="J13446" s="2"/>
      <c r="K13446" s="2"/>
      <c r="L13446" s="2"/>
    </row>
    <row r="13447" spans="8:12" x14ac:dyDescent="0.3">
      <c r="H13447" s="2"/>
      <c r="I13447" s="2"/>
      <c r="J13447" s="2"/>
      <c r="K13447" s="2"/>
      <c r="L13447" s="2"/>
    </row>
    <row r="13448" spans="8:12" x14ac:dyDescent="0.3">
      <c r="H13448" s="2"/>
      <c r="I13448" s="2"/>
      <c r="J13448" s="2"/>
      <c r="K13448" s="2"/>
      <c r="L13448" s="2"/>
    </row>
    <row r="13449" spans="8:12" x14ac:dyDescent="0.3">
      <c r="H13449" s="2"/>
      <c r="I13449" s="2"/>
      <c r="J13449" s="2"/>
      <c r="K13449" s="2"/>
      <c r="L13449" s="2"/>
    </row>
    <row r="13450" spans="8:12" x14ac:dyDescent="0.3">
      <c r="H13450" s="2"/>
      <c r="I13450" s="2"/>
      <c r="J13450" s="2"/>
      <c r="K13450" s="2"/>
      <c r="L13450" s="2"/>
    </row>
    <row r="13451" spans="8:12" x14ac:dyDescent="0.3">
      <c r="H13451" s="2"/>
      <c r="I13451" s="2"/>
      <c r="J13451" s="2"/>
      <c r="K13451" s="2"/>
      <c r="L13451" s="2"/>
    </row>
    <row r="13452" spans="8:12" x14ac:dyDescent="0.3">
      <c r="H13452" s="2"/>
      <c r="I13452" s="2"/>
      <c r="J13452" s="2"/>
      <c r="K13452" s="2"/>
      <c r="L13452" s="2"/>
    </row>
    <row r="13453" spans="8:12" x14ac:dyDescent="0.3">
      <c r="H13453" s="2"/>
      <c r="I13453" s="2"/>
      <c r="J13453" s="2"/>
      <c r="K13453" s="2"/>
      <c r="L13453" s="2"/>
    </row>
    <row r="13454" spans="8:12" x14ac:dyDescent="0.3">
      <c r="H13454" s="2"/>
      <c r="I13454" s="2"/>
      <c r="J13454" s="2"/>
      <c r="K13454" s="2"/>
      <c r="L13454" s="2"/>
    </row>
    <row r="13455" spans="8:12" x14ac:dyDescent="0.3">
      <c r="H13455" s="2"/>
      <c r="I13455" s="2"/>
      <c r="J13455" s="2"/>
      <c r="K13455" s="2"/>
      <c r="L13455" s="2"/>
    </row>
    <row r="13456" spans="8:12" x14ac:dyDescent="0.3">
      <c r="H13456" s="2"/>
      <c r="I13456" s="2"/>
      <c r="J13456" s="2"/>
      <c r="K13456" s="2"/>
      <c r="L13456" s="2"/>
    </row>
    <row r="13457" spans="8:12" x14ac:dyDescent="0.3">
      <c r="H13457" s="2"/>
      <c r="I13457" s="2"/>
      <c r="J13457" s="2"/>
      <c r="K13457" s="2"/>
      <c r="L13457" s="2"/>
    </row>
    <row r="13458" spans="8:12" x14ac:dyDescent="0.3">
      <c r="H13458" s="2"/>
      <c r="I13458" s="2"/>
      <c r="J13458" s="2"/>
      <c r="K13458" s="2"/>
      <c r="L13458" s="2"/>
    </row>
    <row r="13459" spans="8:12" x14ac:dyDescent="0.3">
      <c r="H13459" s="2"/>
      <c r="I13459" s="2"/>
      <c r="J13459" s="2"/>
      <c r="K13459" s="2"/>
      <c r="L13459" s="2"/>
    </row>
    <row r="13460" spans="8:12" x14ac:dyDescent="0.3">
      <c r="H13460" s="2"/>
      <c r="I13460" s="2"/>
      <c r="J13460" s="2"/>
      <c r="K13460" s="2"/>
      <c r="L13460" s="2"/>
    </row>
    <row r="13461" spans="8:12" x14ac:dyDescent="0.3">
      <c r="H13461" s="2"/>
      <c r="I13461" s="2"/>
      <c r="J13461" s="2"/>
      <c r="K13461" s="2"/>
      <c r="L13461" s="2"/>
    </row>
    <row r="13462" spans="8:12" x14ac:dyDescent="0.3">
      <c r="H13462" s="2"/>
      <c r="I13462" s="2"/>
      <c r="J13462" s="2"/>
      <c r="K13462" s="2"/>
      <c r="L13462" s="2"/>
    </row>
    <row r="13463" spans="8:12" x14ac:dyDescent="0.3">
      <c r="H13463" s="2"/>
      <c r="I13463" s="2"/>
      <c r="J13463" s="2"/>
      <c r="K13463" s="2"/>
      <c r="L13463" s="2"/>
    </row>
    <row r="13464" spans="8:12" x14ac:dyDescent="0.3">
      <c r="H13464" s="2"/>
      <c r="I13464" s="2"/>
      <c r="J13464" s="2"/>
      <c r="K13464" s="2"/>
      <c r="L13464" s="2"/>
    </row>
    <row r="13465" spans="8:12" x14ac:dyDescent="0.3">
      <c r="H13465" s="2"/>
      <c r="I13465" s="2"/>
      <c r="J13465" s="2"/>
      <c r="K13465" s="2"/>
      <c r="L13465" s="2"/>
    </row>
    <row r="13466" spans="8:12" x14ac:dyDescent="0.3">
      <c r="H13466" s="2"/>
      <c r="I13466" s="2"/>
      <c r="J13466" s="2"/>
      <c r="K13466" s="2"/>
      <c r="L13466" s="2"/>
    </row>
    <row r="13467" spans="8:12" x14ac:dyDescent="0.3">
      <c r="H13467" s="2"/>
      <c r="I13467" s="2"/>
      <c r="J13467" s="2"/>
      <c r="K13467" s="2"/>
      <c r="L13467" s="2"/>
    </row>
    <row r="13468" spans="8:12" x14ac:dyDescent="0.3">
      <c r="H13468" s="2"/>
      <c r="I13468" s="2"/>
      <c r="J13468" s="2"/>
      <c r="K13468" s="2"/>
      <c r="L13468" s="2"/>
    </row>
    <row r="13469" spans="8:12" x14ac:dyDescent="0.3">
      <c r="H13469" s="2"/>
      <c r="I13469" s="2"/>
      <c r="J13469" s="2"/>
      <c r="K13469" s="2"/>
      <c r="L13469" s="2"/>
    </row>
    <row r="13470" spans="8:12" x14ac:dyDescent="0.3">
      <c r="H13470" s="2"/>
      <c r="I13470" s="2"/>
      <c r="J13470" s="2"/>
      <c r="K13470" s="2"/>
      <c r="L13470" s="2"/>
    </row>
    <row r="13471" spans="8:12" x14ac:dyDescent="0.3">
      <c r="H13471" s="2"/>
      <c r="I13471" s="2"/>
      <c r="J13471" s="2"/>
      <c r="K13471" s="2"/>
      <c r="L13471" s="2"/>
    </row>
    <row r="13472" spans="8:12" x14ac:dyDescent="0.3">
      <c r="H13472" s="2"/>
      <c r="I13472" s="2"/>
      <c r="J13472" s="2"/>
      <c r="K13472" s="2"/>
      <c r="L13472" s="2"/>
    </row>
    <row r="13473" spans="8:12" x14ac:dyDescent="0.3">
      <c r="H13473" s="2"/>
      <c r="I13473" s="2"/>
      <c r="J13473" s="2"/>
      <c r="K13473" s="2"/>
      <c r="L13473" s="2"/>
    </row>
    <row r="13474" spans="8:12" x14ac:dyDescent="0.3">
      <c r="H13474" s="2"/>
      <c r="I13474" s="2"/>
      <c r="J13474" s="2"/>
      <c r="K13474" s="2"/>
      <c r="L13474" s="2"/>
    </row>
    <row r="13475" spans="8:12" x14ac:dyDescent="0.3">
      <c r="H13475" s="2"/>
      <c r="I13475" s="2"/>
      <c r="J13475" s="2"/>
      <c r="K13475" s="2"/>
      <c r="L13475" s="2"/>
    </row>
    <row r="13476" spans="8:12" x14ac:dyDescent="0.3">
      <c r="H13476" s="2"/>
      <c r="I13476" s="2"/>
      <c r="J13476" s="2"/>
      <c r="K13476" s="2"/>
      <c r="L13476" s="2"/>
    </row>
    <row r="13477" spans="8:12" x14ac:dyDescent="0.3">
      <c r="H13477" s="2"/>
      <c r="I13477" s="2"/>
      <c r="J13477" s="2"/>
      <c r="K13477" s="2"/>
      <c r="L13477" s="2"/>
    </row>
    <row r="13478" spans="8:12" x14ac:dyDescent="0.3">
      <c r="H13478" s="2"/>
      <c r="I13478" s="2"/>
      <c r="J13478" s="2"/>
      <c r="K13478" s="2"/>
      <c r="L13478" s="2"/>
    </row>
    <row r="13479" spans="8:12" x14ac:dyDescent="0.3">
      <c r="H13479" s="2"/>
      <c r="I13479" s="2"/>
      <c r="J13479" s="2"/>
      <c r="K13479" s="2"/>
      <c r="L13479" s="2"/>
    </row>
    <row r="13480" spans="8:12" x14ac:dyDescent="0.3">
      <c r="H13480" s="2"/>
      <c r="I13480" s="2"/>
      <c r="J13480" s="2"/>
      <c r="K13480" s="2"/>
      <c r="L13480" s="2"/>
    </row>
    <row r="13481" spans="8:12" x14ac:dyDescent="0.3">
      <c r="H13481" s="2"/>
      <c r="I13481" s="2"/>
      <c r="J13481" s="2"/>
      <c r="K13481" s="2"/>
      <c r="L13481" s="2"/>
    </row>
    <row r="13482" spans="8:12" x14ac:dyDescent="0.3">
      <c r="H13482" s="2"/>
      <c r="I13482" s="2"/>
      <c r="J13482" s="2"/>
      <c r="K13482" s="2"/>
      <c r="L13482" s="2"/>
    </row>
    <row r="13483" spans="8:12" x14ac:dyDescent="0.3">
      <c r="H13483" s="2"/>
      <c r="I13483" s="2"/>
      <c r="J13483" s="2"/>
      <c r="K13483" s="2"/>
      <c r="L13483" s="2"/>
    </row>
    <row r="13484" spans="8:12" x14ac:dyDescent="0.3">
      <c r="H13484" s="2"/>
      <c r="I13484" s="2"/>
      <c r="J13484" s="2"/>
      <c r="K13484" s="2"/>
      <c r="L13484" s="2"/>
    </row>
    <row r="13485" spans="8:12" x14ac:dyDescent="0.3">
      <c r="H13485" s="2"/>
      <c r="I13485" s="2"/>
      <c r="J13485" s="2"/>
      <c r="K13485" s="2"/>
      <c r="L13485" s="2"/>
    </row>
    <row r="13486" spans="8:12" x14ac:dyDescent="0.3">
      <c r="H13486" s="2"/>
      <c r="I13486" s="2"/>
      <c r="J13486" s="2"/>
      <c r="K13486" s="2"/>
      <c r="L13486" s="2"/>
    </row>
    <row r="13487" spans="8:12" x14ac:dyDescent="0.3">
      <c r="H13487" s="2"/>
      <c r="I13487" s="2"/>
      <c r="J13487" s="2"/>
      <c r="K13487" s="2"/>
      <c r="L13487" s="2"/>
    </row>
    <row r="13488" spans="8:12" x14ac:dyDescent="0.3">
      <c r="H13488" s="2"/>
      <c r="I13488" s="2"/>
      <c r="J13488" s="2"/>
      <c r="K13488" s="2"/>
      <c r="L13488" s="2"/>
    </row>
    <row r="13489" spans="8:12" x14ac:dyDescent="0.3">
      <c r="H13489" s="2"/>
      <c r="I13489" s="2"/>
      <c r="J13489" s="2"/>
      <c r="K13489" s="2"/>
      <c r="L13489" s="2"/>
    </row>
    <row r="13490" spans="8:12" x14ac:dyDescent="0.3">
      <c r="H13490" s="2"/>
      <c r="I13490" s="2"/>
      <c r="J13490" s="2"/>
      <c r="K13490" s="2"/>
      <c r="L13490" s="2"/>
    </row>
    <row r="13491" spans="8:12" x14ac:dyDescent="0.3">
      <c r="H13491" s="2"/>
      <c r="I13491" s="2"/>
      <c r="J13491" s="2"/>
      <c r="K13491" s="2"/>
      <c r="L13491" s="2"/>
    </row>
    <row r="13492" spans="8:12" x14ac:dyDescent="0.3">
      <c r="H13492" s="2"/>
      <c r="I13492" s="2"/>
      <c r="J13492" s="2"/>
      <c r="K13492" s="2"/>
      <c r="L13492" s="2"/>
    </row>
    <row r="13493" spans="8:12" x14ac:dyDescent="0.3">
      <c r="H13493" s="2"/>
      <c r="I13493" s="2"/>
      <c r="J13493" s="2"/>
      <c r="K13493" s="2"/>
      <c r="L13493" s="2"/>
    </row>
    <row r="13494" spans="8:12" x14ac:dyDescent="0.3">
      <c r="H13494" s="2"/>
      <c r="I13494" s="2"/>
      <c r="J13494" s="2"/>
      <c r="K13494" s="2"/>
      <c r="L13494" s="2"/>
    </row>
    <row r="13495" spans="8:12" x14ac:dyDescent="0.3">
      <c r="H13495" s="2"/>
      <c r="I13495" s="2"/>
      <c r="J13495" s="2"/>
      <c r="K13495" s="2"/>
      <c r="L13495" s="2"/>
    </row>
    <row r="13496" spans="8:12" x14ac:dyDescent="0.3">
      <c r="H13496" s="2"/>
      <c r="I13496" s="2"/>
      <c r="J13496" s="2"/>
      <c r="K13496" s="2"/>
      <c r="L13496" s="2"/>
    </row>
    <row r="13497" spans="8:12" x14ac:dyDescent="0.3">
      <c r="H13497" s="2"/>
      <c r="I13497" s="2"/>
      <c r="J13497" s="2"/>
      <c r="K13497" s="2"/>
      <c r="L13497" s="2"/>
    </row>
    <row r="13498" spans="8:12" x14ac:dyDescent="0.3">
      <c r="H13498" s="2"/>
      <c r="I13498" s="2"/>
      <c r="J13498" s="2"/>
      <c r="K13498" s="2"/>
      <c r="L13498" s="2"/>
    </row>
    <row r="13499" spans="8:12" x14ac:dyDescent="0.3">
      <c r="H13499" s="2"/>
      <c r="I13499" s="2"/>
      <c r="J13499" s="2"/>
      <c r="K13499" s="2"/>
      <c r="L13499" s="2"/>
    </row>
    <row r="13500" spans="8:12" x14ac:dyDescent="0.3">
      <c r="H13500" s="2"/>
      <c r="I13500" s="2"/>
      <c r="J13500" s="2"/>
      <c r="K13500" s="2"/>
      <c r="L13500" s="2"/>
    </row>
    <row r="13501" spans="8:12" x14ac:dyDescent="0.3">
      <c r="H13501" s="2"/>
      <c r="I13501" s="2"/>
      <c r="J13501" s="2"/>
      <c r="K13501" s="2"/>
      <c r="L13501" s="2"/>
    </row>
    <row r="13502" spans="8:12" x14ac:dyDescent="0.3">
      <c r="H13502" s="2"/>
      <c r="I13502" s="2"/>
      <c r="J13502" s="2"/>
      <c r="K13502" s="2"/>
      <c r="L13502" s="2"/>
    </row>
    <row r="13503" spans="8:12" x14ac:dyDescent="0.3">
      <c r="H13503" s="2"/>
      <c r="I13503" s="2"/>
      <c r="J13503" s="2"/>
      <c r="K13503" s="2"/>
      <c r="L13503" s="2"/>
    </row>
    <row r="13504" spans="8:12" x14ac:dyDescent="0.3">
      <c r="H13504" s="2"/>
      <c r="I13504" s="2"/>
      <c r="J13504" s="2"/>
      <c r="K13504" s="2"/>
      <c r="L13504" s="2"/>
    </row>
    <row r="13505" spans="8:12" x14ac:dyDescent="0.3">
      <c r="H13505" s="2"/>
      <c r="I13505" s="2"/>
      <c r="J13505" s="2"/>
      <c r="K13505" s="2"/>
      <c r="L13505" s="2"/>
    </row>
    <row r="13506" spans="8:12" x14ac:dyDescent="0.3">
      <c r="H13506" s="2"/>
      <c r="I13506" s="2"/>
      <c r="J13506" s="2"/>
      <c r="K13506" s="2"/>
      <c r="L13506" s="2"/>
    </row>
    <row r="13507" spans="8:12" x14ac:dyDescent="0.3">
      <c r="H13507" s="2"/>
      <c r="I13507" s="2"/>
      <c r="J13507" s="2"/>
      <c r="K13507" s="2"/>
      <c r="L13507" s="2"/>
    </row>
    <row r="13508" spans="8:12" x14ac:dyDescent="0.3">
      <c r="H13508" s="2"/>
      <c r="I13508" s="2"/>
      <c r="J13508" s="2"/>
      <c r="K13508" s="2"/>
      <c r="L13508" s="2"/>
    </row>
    <row r="13509" spans="8:12" x14ac:dyDescent="0.3">
      <c r="H13509" s="2"/>
      <c r="I13509" s="2"/>
      <c r="J13509" s="2"/>
      <c r="K13509" s="2"/>
      <c r="L13509" s="2"/>
    </row>
    <row r="13510" spans="8:12" x14ac:dyDescent="0.3">
      <c r="H13510" s="2"/>
      <c r="I13510" s="2"/>
      <c r="J13510" s="2"/>
      <c r="K13510" s="2"/>
      <c r="L13510" s="2"/>
    </row>
    <row r="13511" spans="8:12" x14ac:dyDescent="0.3">
      <c r="H13511" s="2"/>
      <c r="I13511" s="2"/>
      <c r="J13511" s="2"/>
      <c r="K13511" s="2"/>
      <c r="L13511" s="2"/>
    </row>
    <row r="13512" spans="8:12" x14ac:dyDescent="0.3">
      <c r="H13512" s="2"/>
      <c r="I13512" s="2"/>
      <c r="J13512" s="2"/>
      <c r="K13512" s="2"/>
      <c r="L13512" s="2"/>
    </row>
    <row r="13513" spans="8:12" x14ac:dyDescent="0.3">
      <c r="H13513" s="2"/>
      <c r="I13513" s="2"/>
      <c r="J13513" s="2"/>
      <c r="K13513" s="2"/>
      <c r="L13513" s="2"/>
    </row>
    <row r="13514" spans="8:12" x14ac:dyDescent="0.3">
      <c r="H13514" s="2"/>
      <c r="I13514" s="2"/>
      <c r="J13514" s="2"/>
      <c r="K13514" s="2"/>
      <c r="L13514" s="2"/>
    </row>
    <row r="13515" spans="8:12" x14ac:dyDescent="0.3">
      <c r="H13515" s="2"/>
      <c r="I13515" s="2"/>
      <c r="J13515" s="2"/>
      <c r="K13515" s="2"/>
      <c r="L13515" s="2"/>
    </row>
    <row r="13516" spans="8:12" x14ac:dyDescent="0.3">
      <c r="H13516" s="2"/>
      <c r="I13516" s="2"/>
      <c r="J13516" s="2"/>
      <c r="K13516" s="2"/>
      <c r="L13516" s="2"/>
    </row>
    <row r="13517" spans="8:12" x14ac:dyDescent="0.3">
      <c r="H13517" s="2"/>
      <c r="I13517" s="2"/>
      <c r="J13517" s="2"/>
      <c r="K13517" s="2"/>
      <c r="L13517" s="2"/>
    </row>
    <row r="13518" spans="8:12" x14ac:dyDescent="0.3">
      <c r="H13518" s="2"/>
      <c r="I13518" s="2"/>
      <c r="J13518" s="2"/>
      <c r="K13518" s="2"/>
      <c r="L13518" s="2"/>
    </row>
    <row r="13519" spans="8:12" x14ac:dyDescent="0.3">
      <c r="H13519" s="2"/>
      <c r="I13519" s="2"/>
      <c r="J13519" s="2"/>
      <c r="K13519" s="2"/>
      <c r="L13519" s="2"/>
    </row>
    <row r="13520" spans="8:12" x14ac:dyDescent="0.3">
      <c r="H13520" s="2"/>
      <c r="I13520" s="2"/>
      <c r="J13520" s="2"/>
      <c r="K13520" s="2"/>
      <c r="L13520" s="2"/>
    </row>
    <row r="13521" spans="8:12" x14ac:dyDescent="0.3">
      <c r="H13521" s="2"/>
      <c r="I13521" s="2"/>
      <c r="J13521" s="2"/>
      <c r="K13521" s="2"/>
      <c r="L13521" s="2"/>
    </row>
    <row r="13522" spans="8:12" x14ac:dyDescent="0.3">
      <c r="H13522" s="2"/>
      <c r="I13522" s="2"/>
      <c r="J13522" s="2"/>
      <c r="K13522" s="2"/>
      <c r="L13522" s="2"/>
    </row>
    <row r="13523" spans="8:12" x14ac:dyDescent="0.3">
      <c r="H13523" s="2"/>
      <c r="I13523" s="2"/>
      <c r="J13523" s="2"/>
      <c r="K13523" s="2"/>
      <c r="L13523" s="2"/>
    </row>
    <row r="13524" spans="8:12" x14ac:dyDescent="0.3">
      <c r="H13524" s="2"/>
      <c r="I13524" s="2"/>
      <c r="J13524" s="2"/>
      <c r="K13524" s="2"/>
      <c r="L13524" s="2"/>
    </row>
    <row r="13525" spans="8:12" x14ac:dyDescent="0.3">
      <c r="H13525" s="2"/>
      <c r="I13525" s="2"/>
      <c r="J13525" s="2"/>
      <c r="K13525" s="2"/>
      <c r="L13525" s="2"/>
    </row>
    <row r="13526" spans="8:12" x14ac:dyDescent="0.3">
      <c r="H13526" s="2"/>
      <c r="I13526" s="2"/>
      <c r="J13526" s="2"/>
      <c r="K13526" s="2"/>
      <c r="L13526" s="2"/>
    </row>
    <row r="13527" spans="8:12" x14ac:dyDescent="0.3">
      <c r="H13527" s="2"/>
      <c r="I13527" s="2"/>
      <c r="J13527" s="2"/>
      <c r="K13527" s="2"/>
      <c r="L13527" s="2"/>
    </row>
    <row r="13528" spans="8:12" x14ac:dyDescent="0.3">
      <c r="H13528" s="2"/>
      <c r="I13528" s="2"/>
      <c r="J13528" s="2"/>
      <c r="K13528" s="2"/>
      <c r="L13528" s="2"/>
    </row>
    <row r="13529" spans="8:12" x14ac:dyDescent="0.3">
      <c r="H13529" s="2"/>
      <c r="I13529" s="2"/>
      <c r="J13529" s="2"/>
      <c r="K13529" s="2"/>
      <c r="L13529" s="2"/>
    </row>
    <row r="13530" spans="8:12" x14ac:dyDescent="0.3">
      <c r="H13530" s="2"/>
      <c r="I13530" s="2"/>
      <c r="J13530" s="2"/>
      <c r="K13530" s="2"/>
      <c r="L13530" s="2"/>
    </row>
    <row r="13531" spans="8:12" x14ac:dyDescent="0.3">
      <c r="H13531" s="2"/>
      <c r="I13531" s="2"/>
      <c r="J13531" s="2"/>
      <c r="K13531" s="2"/>
      <c r="L13531" s="2"/>
    </row>
    <row r="13532" spans="8:12" x14ac:dyDescent="0.3">
      <c r="H13532" s="2"/>
      <c r="I13532" s="2"/>
      <c r="J13532" s="2"/>
      <c r="K13532" s="2"/>
      <c r="L13532" s="2"/>
    </row>
    <row r="13533" spans="8:12" x14ac:dyDescent="0.3">
      <c r="H13533" s="2"/>
      <c r="I13533" s="2"/>
      <c r="J13533" s="2"/>
      <c r="K13533" s="2"/>
      <c r="L13533" s="2"/>
    </row>
    <row r="13534" spans="8:12" x14ac:dyDescent="0.3">
      <c r="H13534" s="2"/>
      <c r="I13534" s="2"/>
      <c r="J13534" s="2"/>
      <c r="K13534" s="2"/>
      <c r="L13534" s="2"/>
    </row>
    <row r="13535" spans="8:12" x14ac:dyDescent="0.3">
      <c r="H13535" s="2"/>
      <c r="I13535" s="2"/>
      <c r="J13535" s="2"/>
      <c r="K13535" s="2"/>
      <c r="L13535" s="2"/>
    </row>
    <row r="13536" spans="8:12" x14ac:dyDescent="0.3">
      <c r="H13536" s="2"/>
      <c r="I13536" s="2"/>
      <c r="J13536" s="2"/>
      <c r="K13536" s="2"/>
      <c r="L13536" s="2"/>
    </row>
    <row r="13537" spans="8:12" x14ac:dyDescent="0.3">
      <c r="H13537" s="2"/>
      <c r="I13537" s="2"/>
      <c r="J13537" s="2"/>
      <c r="K13537" s="2"/>
      <c r="L13537" s="2"/>
    </row>
    <row r="13538" spans="8:12" x14ac:dyDescent="0.3">
      <c r="H13538" s="2"/>
      <c r="I13538" s="2"/>
      <c r="J13538" s="2"/>
      <c r="K13538" s="2"/>
      <c r="L13538" s="2"/>
    </row>
    <row r="13539" spans="8:12" x14ac:dyDescent="0.3">
      <c r="H13539" s="2"/>
      <c r="I13539" s="2"/>
      <c r="J13539" s="2"/>
      <c r="K13539" s="2"/>
      <c r="L13539" s="2"/>
    </row>
    <row r="13540" spans="8:12" x14ac:dyDescent="0.3">
      <c r="H13540" s="2"/>
      <c r="I13540" s="2"/>
      <c r="J13540" s="2"/>
      <c r="K13540" s="2"/>
      <c r="L13540" s="2"/>
    </row>
    <row r="13541" spans="8:12" x14ac:dyDescent="0.3">
      <c r="H13541" s="2"/>
      <c r="I13541" s="2"/>
      <c r="J13541" s="2"/>
      <c r="K13541" s="2"/>
      <c r="L13541" s="2"/>
    </row>
    <row r="13542" spans="8:12" x14ac:dyDescent="0.3">
      <c r="H13542" s="2"/>
      <c r="I13542" s="2"/>
      <c r="J13542" s="2"/>
      <c r="K13542" s="2"/>
      <c r="L13542" s="2"/>
    </row>
    <row r="13543" spans="8:12" x14ac:dyDescent="0.3">
      <c r="H13543" s="2"/>
      <c r="I13543" s="2"/>
      <c r="J13543" s="2"/>
      <c r="K13543" s="2"/>
      <c r="L13543" s="2"/>
    </row>
    <row r="13544" spans="8:12" x14ac:dyDescent="0.3">
      <c r="H13544" s="2"/>
      <c r="I13544" s="2"/>
      <c r="J13544" s="2"/>
      <c r="K13544" s="2"/>
      <c r="L13544" s="2"/>
    </row>
    <row r="13545" spans="8:12" x14ac:dyDescent="0.3">
      <c r="H13545" s="2"/>
      <c r="I13545" s="2"/>
      <c r="J13545" s="2"/>
      <c r="K13545" s="2"/>
      <c r="L13545" s="2"/>
    </row>
    <row r="13546" spans="8:12" x14ac:dyDescent="0.3">
      <c r="H13546" s="2"/>
      <c r="I13546" s="2"/>
      <c r="J13546" s="2"/>
      <c r="K13546" s="2"/>
      <c r="L13546" s="2"/>
    </row>
    <row r="13547" spans="8:12" x14ac:dyDescent="0.3">
      <c r="H13547" s="2"/>
      <c r="I13547" s="2"/>
      <c r="J13547" s="2"/>
      <c r="K13547" s="2"/>
      <c r="L13547" s="2"/>
    </row>
    <row r="13548" spans="8:12" x14ac:dyDescent="0.3">
      <c r="H13548" s="2"/>
      <c r="I13548" s="2"/>
      <c r="J13548" s="2"/>
      <c r="K13548" s="2"/>
      <c r="L13548" s="2"/>
    </row>
    <row r="13549" spans="8:12" x14ac:dyDescent="0.3">
      <c r="H13549" s="2"/>
      <c r="I13549" s="2"/>
      <c r="J13549" s="2"/>
      <c r="K13549" s="2"/>
      <c r="L13549" s="2"/>
    </row>
    <row r="13550" spans="8:12" x14ac:dyDescent="0.3">
      <c r="H13550" s="2"/>
      <c r="I13550" s="2"/>
      <c r="J13550" s="2"/>
      <c r="K13550" s="2"/>
      <c r="L13550" s="2"/>
    </row>
    <row r="13551" spans="8:12" x14ac:dyDescent="0.3">
      <c r="H13551" s="2"/>
      <c r="I13551" s="2"/>
      <c r="J13551" s="2"/>
      <c r="K13551" s="2"/>
      <c r="L13551" s="2"/>
    </row>
    <row r="13552" spans="8:12" x14ac:dyDescent="0.3">
      <c r="H13552" s="2"/>
      <c r="I13552" s="2"/>
      <c r="J13552" s="2"/>
      <c r="K13552" s="2"/>
      <c r="L13552" s="2"/>
    </row>
    <row r="13553" spans="8:12" x14ac:dyDescent="0.3">
      <c r="H13553" s="2"/>
      <c r="I13553" s="2"/>
      <c r="J13553" s="2"/>
      <c r="K13553" s="2"/>
      <c r="L13553" s="2"/>
    </row>
    <row r="13554" spans="8:12" x14ac:dyDescent="0.3">
      <c r="H13554" s="2"/>
      <c r="I13554" s="2"/>
      <c r="J13554" s="2"/>
      <c r="K13554" s="2"/>
      <c r="L13554" s="2"/>
    </row>
    <row r="13555" spans="8:12" x14ac:dyDescent="0.3">
      <c r="H13555" s="2"/>
      <c r="I13555" s="2"/>
      <c r="J13555" s="2"/>
      <c r="K13555" s="2"/>
      <c r="L13555" s="2"/>
    </row>
    <row r="13556" spans="8:12" x14ac:dyDescent="0.3">
      <c r="H13556" s="2"/>
      <c r="I13556" s="2"/>
      <c r="J13556" s="2"/>
      <c r="K13556" s="2"/>
      <c r="L13556" s="2"/>
    </row>
    <row r="13557" spans="8:12" x14ac:dyDescent="0.3">
      <c r="H13557" s="2"/>
      <c r="I13557" s="2"/>
      <c r="J13557" s="2"/>
      <c r="K13557" s="2"/>
      <c r="L13557" s="2"/>
    </row>
    <row r="13558" spans="8:12" x14ac:dyDescent="0.3">
      <c r="H13558" s="2"/>
      <c r="I13558" s="2"/>
      <c r="J13558" s="2"/>
      <c r="K13558" s="2"/>
      <c r="L13558" s="2"/>
    </row>
    <row r="13559" spans="8:12" x14ac:dyDescent="0.3">
      <c r="H13559" s="2"/>
      <c r="I13559" s="2"/>
      <c r="J13559" s="2"/>
      <c r="K13559" s="2"/>
      <c r="L13559" s="2"/>
    </row>
    <row r="13560" spans="8:12" x14ac:dyDescent="0.3">
      <c r="H13560" s="2"/>
      <c r="I13560" s="2"/>
      <c r="J13560" s="2"/>
      <c r="K13560" s="2"/>
      <c r="L13560" s="2"/>
    </row>
    <row r="13561" spans="8:12" x14ac:dyDescent="0.3">
      <c r="H13561" s="2"/>
      <c r="I13561" s="2"/>
      <c r="J13561" s="2"/>
      <c r="K13561" s="2"/>
      <c r="L13561" s="2"/>
    </row>
    <row r="13562" spans="8:12" x14ac:dyDescent="0.3">
      <c r="H13562" s="2"/>
      <c r="I13562" s="2"/>
      <c r="J13562" s="2"/>
      <c r="K13562" s="2"/>
      <c r="L13562" s="2"/>
    </row>
    <row r="13563" spans="8:12" x14ac:dyDescent="0.3">
      <c r="H13563" s="2"/>
      <c r="I13563" s="2"/>
      <c r="J13563" s="2"/>
      <c r="K13563" s="2"/>
      <c r="L13563" s="2"/>
    </row>
    <row r="13564" spans="8:12" x14ac:dyDescent="0.3">
      <c r="H13564" s="2"/>
      <c r="I13564" s="2"/>
      <c r="J13564" s="2"/>
      <c r="K13564" s="2"/>
      <c r="L13564" s="2"/>
    </row>
    <row r="13565" spans="8:12" x14ac:dyDescent="0.3">
      <c r="H13565" s="2"/>
      <c r="I13565" s="2"/>
      <c r="J13565" s="2"/>
      <c r="K13565" s="2"/>
      <c r="L13565" s="2"/>
    </row>
    <row r="13566" spans="8:12" x14ac:dyDescent="0.3">
      <c r="H13566" s="2"/>
      <c r="I13566" s="2"/>
      <c r="J13566" s="2"/>
      <c r="K13566" s="2"/>
      <c r="L13566" s="2"/>
    </row>
    <row r="13567" spans="8:12" x14ac:dyDescent="0.3">
      <c r="H13567" s="2"/>
      <c r="I13567" s="2"/>
      <c r="J13567" s="2"/>
      <c r="K13567" s="2"/>
      <c r="L13567" s="2"/>
    </row>
    <row r="13568" spans="8:12" x14ac:dyDescent="0.3">
      <c r="H13568" s="2"/>
      <c r="I13568" s="2"/>
      <c r="J13568" s="2"/>
      <c r="K13568" s="2"/>
      <c r="L13568" s="2"/>
    </row>
    <row r="13569" spans="8:12" x14ac:dyDescent="0.3">
      <c r="H13569" s="2"/>
      <c r="I13569" s="2"/>
      <c r="J13569" s="2"/>
      <c r="K13569" s="2"/>
      <c r="L13569" s="2"/>
    </row>
    <row r="13570" spans="8:12" x14ac:dyDescent="0.3">
      <c r="H13570" s="2"/>
      <c r="I13570" s="2"/>
      <c r="J13570" s="2"/>
      <c r="K13570" s="2"/>
      <c r="L13570" s="2"/>
    </row>
    <row r="13571" spans="8:12" x14ac:dyDescent="0.3">
      <c r="H13571" s="2"/>
      <c r="I13571" s="2"/>
      <c r="J13571" s="2"/>
      <c r="K13571" s="2"/>
      <c r="L13571" s="2"/>
    </row>
    <row r="13572" spans="8:12" x14ac:dyDescent="0.3">
      <c r="H13572" s="2"/>
      <c r="I13572" s="2"/>
      <c r="J13572" s="2"/>
      <c r="K13572" s="2"/>
      <c r="L13572" s="2"/>
    </row>
    <row r="13573" spans="8:12" x14ac:dyDescent="0.3">
      <c r="H13573" s="2"/>
      <c r="I13573" s="2"/>
      <c r="J13573" s="2"/>
      <c r="K13573" s="2"/>
      <c r="L13573" s="2"/>
    </row>
    <row r="13574" spans="8:12" x14ac:dyDescent="0.3">
      <c r="H13574" s="2"/>
      <c r="I13574" s="2"/>
      <c r="J13574" s="2"/>
      <c r="K13574" s="2"/>
      <c r="L13574" s="2"/>
    </row>
    <row r="13575" spans="8:12" x14ac:dyDescent="0.3">
      <c r="H13575" s="2"/>
      <c r="I13575" s="2"/>
      <c r="J13575" s="2"/>
      <c r="K13575" s="2"/>
      <c r="L13575" s="2"/>
    </row>
    <row r="13576" spans="8:12" x14ac:dyDescent="0.3">
      <c r="H13576" s="2"/>
      <c r="I13576" s="2"/>
      <c r="J13576" s="2"/>
      <c r="K13576" s="2"/>
      <c r="L13576" s="2"/>
    </row>
    <row r="13577" spans="8:12" x14ac:dyDescent="0.3">
      <c r="H13577" s="2"/>
      <c r="I13577" s="2"/>
      <c r="J13577" s="2"/>
      <c r="K13577" s="2"/>
      <c r="L13577" s="2"/>
    </row>
    <row r="13578" spans="8:12" x14ac:dyDescent="0.3">
      <c r="H13578" s="2"/>
      <c r="I13578" s="2"/>
      <c r="J13578" s="2"/>
      <c r="K13578" s="2"/>
      <c r="L13578" s="2"/>
    </row>
    <row r="13579" spans="8:12" x14ac:dyDescent="0.3">
      <c r="H13579" s="2"/>
      <c r="I13579" s="2"/>
      <c r="J13579" s="2"/>
      <c r="K13579" s="2"/>
      <c r="L13579" s="2"/>
    </row>
    <row r="13580" spans="8:12" x14ac:dyDescent="0.3">
      <c r="H13580" s="2"/>
      <c r="I13580" s="2"/>
      <c r="J13580" s="2"/>
      <c r="K13580" s="2"/>
      <c r="L13580" s="2"/>
    </row>
    <row r="13581" spans="8:12" x14ac:dyDescent="0.3">
      <c r="H13581" s="2"/>
      <c r="I13581" s="2"/>
      <c r="J13581" s="2"/>
      <c r="K13581" s="2"/>
      <c r="L13581" s="2"/>
    </row>
    <row r="13582" spans="8:12" x14ac:dyDescent="0.3">
      <c r="H13582" s="2"/>
      <c r="I13582" s="2"/>
      <c r="J13582" s="2"/>
      <c r="K13582" s="2"/>
      <c r="L13582" s="2"/>
    </row>
    <row r="13583" spans="8:12" x14ac:dyDescent="0.3">
      <c r="H13583" s="2"/>
      <c r="I13583" s="2"/>
      <c r="J13583" s="2"/>
      <c r="K13583" s="2"/>
      <c r="L13583" s="2"/>
    </row>
    <row r="13584" spans="8:12" x14ac:dyDescent="0.3">
      <c r="H13584" s="2"/>
      <c r="I13584" s="2"/>
      <c r="J13584" s="2"/>
      <c r="K13584" s="2"/>
      <c r="L13584" s="2"/>
    </row>
    <row r="13585" spans="8:12" x14ac:dyDescent="0.3">
      <c r="H13585" s="2"/>
      <c r="I13585" s="2"/>
      <c r="J13585" s="2"/>
      <c r="K13585" s="2"/>
      <c r="L13585" s="2"/>
    </row>
    <row r="13586" spans="8:12" x14ac:dyDescent="0.3">
      <c r="H13586" s="2"/>
      <c r="I13586" s="2"/>
      <c r="J13586" s="2"/>
      <c r="K13586" s="2"/>
      <c r="L13586" s="2"/>
    </row>
    <row r="13587" spans="8:12" x14ac:dyDescent="0.3">
      <c r="H13587" s="2"/>
      <c r="I13587" s="2"/>
      <c r="J13587" s="2"/>
      <c r="K13587" s="2"/>
      <c r="L13587" s="2"/>
    </row>
    <row r="13588" spans="8:12" x14ac:dyDescent="0.3">
      <c r="H13588" s="2"/>
      <c r="I13588" s="2"/>
      <c r="J13588" s="2"/>
      <c r="K13588" s="2"/>
      <c r="L13588" s="2"/>
    </row>
    <row r="13589" spans="8:12" x14ac:dyDescent="0.3">
      <c r="H13589" s="2"/>
      <c r="I13589" s="2"/>
      <c r="J13589" s="2"/>
      <c r="K13589" s="2"/>
      <c r="L13589" s="2"/>
    </row>
    <row r="13590" spans="8:12" x14ac:dyDescent="0.3">
      <c r="H13590" s="2"/>
      <c r="I13590" s="2"/>
      <c r="J13590" s="2"/>
      <c r="K13590" s="2"/>
      <c r="L13590" s="2"/>
    </row>
    <row r="13591" spans="8:12" x14ac:dyDescent="0.3">
      <c r="H13591" s="2"/>
      <c r="I13591" s="2"/>
      <c r="J13591" s="2"/>
      <c r="K13591" s="2"/>
      <c r="L13591" s="2"/>
    </row>
    <row r="13592" spans="8:12" x14ac:dyDescent="0.3">
      <c r="H13592" s="2"/>
      <c r="I13592" s="2"/>
      <c r="J13592" s="2"/>
      <c r="K13592" s="2"/>
      <c r="L13592" s="2"/>
    </row>
    <row r="13593" spans="8:12" x14ac:dyDescent="0.3">
      <c r="H13593" s="2"/>
      <c r="I13593" s="2"/>
      <c r="J13593" s="2"/>
      <c r="K13593" s="2"/>
      <c r="L13593" s="2"/>
    </row>
    <row r="13594" spans="8:12" x14ac:dyDescent="0.3">
      <c r="H13594" s="2"/>
      <c r="I13594" s="2"/>
      <c r="J13594" s="2"/>
      <c r="K13594" s="2"/>
      <c r="L13594" s="2"/>
    </row>
    <row r="13595" spans="8:12" x14ac:dyDescent="0.3">
      <c r="H13595" s="2"/>
      <c r="I13595" s="2"/>
      <c r="J13595" s="2"/>
      <c r="K13595" s="2"/>
      <c r="L13595" s="2"/>
    </row>
    <row r="13596" spans="8:12" x14ac:dyDescent="0.3">
      <c r="H13596" s="2"/>
      <c r="I13596" s="2"/>
      <c r="J13596" s="2"/>
      <c r="K13596" s="2"/>
      <c r="L13596" s="2"/>
    </row>
    <row r="13597" spans="8:12" x14ac:dyDescent="0.3">
      <c r="H13597" s="2"/>
      <c r="I13597" s="2"/>
      <c r="J13597" s="2"/>
      <c r="K13597" s="2"/>
      <c r="L13597" s="2"/>
    </row>
    <row r="13598" spans="8:12" x14ac:dyDescent="0.3">
      <c r="H13598" s="2"/>
      <c r="I13598" s="2"/>
      <c r="J13598" s="2"/>
      <c r="K13598" s="2"/>
      <c r="L13598" s="2"/>
    </row>
    <row r="13599" spans="8:12" x14ac:dyDescent="0.3">
      <c r="H13599" s="2"/>
      <c r="I13599" s="2"/>
      <c r="J13599" s="2"/>
      <c r="K13599" s="2"/>
      <c r="L13599" s="2"/>
    </row>
    <row r="13600" spans="8:12" x14ac:dyDescent="0.3">
      <c r="H13600" s="2"/>
      <c r="I13600" s="2"/>
      <c r="J13600" s="2"/>
      <c r="K13600" s="2"/>
      <c r="L13600" s="2"/>
    </row>
    <row r="13601" spans="8:12" x14ac:dyDescent="0.3">
      <c r="H13601" s="2"/>
      <c r="I13601" s="2"/>
      <c r="J13601" s="2"/>
      <c r="K13601" s="2"/>
      <c r="L13601" s="2"/>
    </row>
    <row r="13602" spans="8:12" x14ac:dyDescent="0.3">
      <c r="H13602" s="2"/>
      <c r="I13602" s="2"/>
      <c r="J13602" s="2"/>
      <c r="K13602" s="2"/>
      <c r="L13602" s="2"/>
    </row>
    <row r="13603" spans="8:12" x14ac:dyDescent="0.3">
      <c r="H13603" s="2"/>
      <c r="I13603" s="2"/>
      <c r="J13603" s="2"/>
      <c r="K13603" s="2"/>
      <c r="L13603" s="2"/>
    </row>
    <row r="13604" spans="8:12" x14ac:dyDescent="0.3">
      <c r="H13604" s="2"/>
      <c r="I13604" s="2"/>
      <c r="J13604" s="2"/>
      <c r="K13604" s="2"/>
      <c r="L13604" s="2"/>
    </row>
    <row r="13605" spans="8:12" x14ac:dyDescent="0.3">
      <c r="H13605" s="2"/>
      <c r="I13605" s="2"/>
      <c r="J13605" s="2"/>
      <c r="K13605" s="2"/>
      <c r="L13605" s="2"/>
    </row>
    <row r="13606" spans="8:12" x14ac:dyDescent="0.3">
      <c r="H13606" s="2"/>
      <c r="I13606" s="2"/>
      <c r="J13606" s="2"/>
      <c r="K13606" s="2"/>
      <c r="L13606" s="2"/>
    </row>
    <row r="13607" spans="8:12" x14ac:dyDescent="0.3">
      <c r="H13607" s="2"/>
      <c r="I13607" s="2"/>
      <c r="J13607" s="2"/>
      <c r="K13607" s="2"/>
      <c r="L13607" s="2"/>
    </row>
    <row r="13608" spans="8:12" x14ac:dyDescent="0.3">
      <c r="H13608" s="2"/>
      <c r="I13608" s="2"/>
      <c r="J13608" s="2"/>
      <c r="K13608" s="2"/>
      <c r="L13608" s="2"/>
    </row>
    <row r="13609" spans="8:12" x14ac:dyDescent="0.3">
      <c r="H13609" s="2"/>
      <c r="I13609" s="2"/>
      <c r="J13609" s="2"/>
      <c r="K13609" s="2"/>
      <c r="L13609" s="2"/>
    </row>
    <row r="13610" spans="8:12" x14ac:dyDescent="0.3">
      <c r="H13610" s="2"/>
      <c r="I13610" s="2"/>
      <c r="J13610" s="2"/>
      <c r="K13610" s="2"/>
      <c r="L13610" s="2"/>
    </row>
    <row r="13611" spans="8:12" x14ac:dyDescent="0.3">
      <c r="H13611" s="2"/>
      <c r="I13611" s="2"/>
      <c r="J13611" s="2"/>
      <c r="K13611" s="2"/>
      <c r="L13611" s="2"/>
    </row>
    <row r="13612" spans="8:12" x14ac:dyDescent="0.3">
      <c r="H13612" s="2"/>
      <c r="I13612" s="2"/>
      <c r="J13612" s="2"/>
      <c r="K13612" s="2"/>
      <c r="L13612" s="2"/>
    </row>
    <row r="13613" spans="8:12" x14ac:dyDescent="0.3">
      <c r="H13613" s="2"/>
      <c r="I13613" s="2"/>
      <c r="J13613" s="2"/>
      <c r="K13613" s="2"/>
      <c r="L13613" s="2"/>
    </row>
    <row r="13614" spans="8:12" x14ac:dyDescent="0.3">
      <c r="H13614" s="2"/>
      <c r="I13614" s="2"/>
      <c r="J13614" s="2"/>
      <c r="K13614" s="2"/>
      <c r="L13614" s="2"/>
    </row>
    <row r="13615" spans="8:12" x14ac:dyDescent="0.3">
      <c r="H13615" s="2"/>
      <c r="I13615" s="2"/>
      <c r="J13615" s="2"/>
      <c r="K13615" s="2"/>
      <c r="L13615" s="2"/>
    </row>
    <row r="13616" spans="8:12" x14ac:dyDescent="0.3">
      <c r="H13616" s="2"/>
      <c r="I13616" s="2"/>
      <c r="J13616" s="2"/>
      <c r="K13616" s="2"/>
      <c r="L13616" s="2"/>
    </row>
    <row r="13617" spans="8:12" x14ac:dyDescent="0.3">
      <c r="H13617" s="2"/>
      <c r="I13617" s="2"/>
      <c r="J13617" s="2"/>
      <c r="K13617" s="2"/>
      <c r="L13617" s="2"/>
    </row>
    <row r="13618" spans="8:12" x14ac:dyDescent="0.3">
      <c r="H13618" s="2"/>
      <c r="I13618" s="2"/>
      <c r="J13618" s="2"/>
      <c r="K13618" s="2"/>
      <c r="L13618" s="2"/>
    </row>
    <row r="13619" spans="8:12" x14ac:dyDescent="0.3">
      <c r="H13619" s="2"/>
      <c r="I13619" s="2"/>
      <c r="J13619" s="2"/>
      <c r="K13619" s="2"/>
      <c r="L13619" s="2"/>
    </row>
    <row r="13620" spans="8:12" x14ac:dyDescent="0.3">
      <c r="H13620" s="2"/>
      <c r="I13620" s="2"/>
      <c r="J13620" s="2"/>
      <c r="K13620" s="2"/>
      <c r="L13620" s="2"/>
    </row>
    <row r="13621" spans="8:12" x14ac:dyDescent="0.3">
      <c r="H13621" s="2"/>
      <c r="I13621" s="2"/>
      <c r="J13621" s="2"/>
      <c r="K13621" s="2"/>
      <c r="L13621" s="2"/>
    </row>
    <row r="13622" spans="8:12" x14ac:dyDescent="0.3">
      <c r="H13622" s="2"/>
      <c r="I13622" s="2"/>
      <c r="J13622" s="2"/>
      <c r="K13622" s="2"/>
      <c r="L13622" s="2"/>
    </row>
    <row r="13623" spans="8:12" x14ac:dyDescent="0.3">
      <c r="H13623" s="2"/>
      <c r="I13623" s="2"/>
      <c r="J13623" s="2"/>
      <c r="K13623" s="2"/>
      <c r="L13623" s="2"/>
    </row>
    <row r="13624" spans="8:12" x14ac:dyDescent="0.3">
      <c r="H13624" s="2"/>
      <c r="I13624" s="2"/>
      <c r="J13624" s="2"/>
      <c r="K13624" s="2"/>
      <c r="L13624" s="2"/>
    </row>
    <row r="13625" spans="8:12" x14ac:dyDescent="0.3">
      <c r="H13625" s="2"/>
      <c r="I13625" s="2"/>
      <c r="J13625" s="2"/>
      <c r="K13625" s="2"/>
      <c r="L13625" s="2"/>
    </row>
    <row r="13626" spans="8:12" x14ac:dyDescent="0.3">
      <c r="H13626" s="2"/>
      <c r="I13626" s="2"/>
      <c r="J13626" s="2"/>
      <c r="K13626" s="2"/>
      <c r="L13626" s="2"/>
    </row>
    <row r="13627" spans="8:12" x14ac:dyDescent="0.3">
      <c r="H13627" s="2"/>
      <c r="I13627" s="2"/>
      <c r="J13627" s="2"/>
      <c r="K13627" s="2"/>
      <c r="L13627" s="2"/>
    </row>
    <row r="13628" spans="8:12" x14ac:dyDescent="0.3">
      <c r="H13628" s="2"/>
      <c r="I13628" s="2"/>
      <c r="J13628" s="2"/>
      <c r="K13628" s="2"/>
      <c r="L13628" s="2"/>
    </row>
    <row r="13629" spans="8:12" x14ac:dyDescent="0.3">
      <c r="H13629" s="2"/>
      <c r="I13629" s="2"/>
      <c r="J13629" s="2"/>
      <c r="K13629" s="2"/>
      <c r="L13629" s="2"/>
    </row>
    <row r="13630" spans="8:12" x14ac:dyDescent="0.3">
      <c r="H13630" s="2"/>
      <c r="I13630" s="2"/>
      <c r="J13630" s="2"/>
      <c r="K13630" s="2"/>
      <c r="L13630" s="2"/>
    </row>
    <row r="13631" spans="8:12" x14ac:dyDescent="0.3">
      <c r="H13631" s="2"/>
      <c r="I13631" s="2"/>
      <c r="J13631" s="2"/>
      <c r="K13631" s="2"/>
      <c r="L13631" s="2"/>
    </row>
    <row r="13632" spans="8:12" x14ac:dyDescent="0.3">
      <c r="H13632" s="2"/>
      <c r="I13632" s="2"/>
      <c r="J13632" s="2"/>
      <c r="K13632" s="2"/>
      <c r="L13632" s="2"/>
    </row>
    <row r="13633" spans="8:12" x14ac:dyDescent="0.3">
      <c r="H13633" s="2"/>
      <c r="I13633" s="2"/>
      <c r="J13633" s="2"/>
      <c r="K13633" s="2"/>
      <c r="L13633" s="2"/>
    </row>
    <row r="13634" spans="8:12" x14ac:dyDescent="0.3">
      <c r="H13634" s="2"/>
      <c r="I13634" s="2"/>
      <c r="J13634" s="2"/>
      <c r="K13634" s="2"/>
      <c r="L13634" s="2"/>
    </row>
    <row r="13635" spans="8:12" x14ac:dyDescent="0.3">
      <c r="H13635" s="2"/>
      <c r="I13635" s="2"/>
      <c r="J13635" s="2"/>
      <c r="K13635" s="2"/>
      <c r="L13635" s="2"/>
    </row>
    <row r="13636" spans="8:12" x14ac:dyDescent="0.3">
      <c r="H13636" s="2"/>
      <c r="I13636" s="2"/>
      <c r="J13636" s="2"/>
      <c r="K13636" s="2"/>
      <c r="L13636" s="2"/>
    </row>
    <row r="13637" spans="8:12" x14ac:dyDescent="0.3">
      <c r="H13637" s="2"/>
      <c r="I13637" s="2"/>
      <c r="J13637" s="2"/>
      <c r="K13637" s="2"/>
      <c r="L13637" s="2"/>
    </row>
    <row r="13638" spans="8:12" x14ac:dyDescent="0.3">
      <c r="H13638" s="2"/>
      <c r="I13638" s="2"/>
      <c r="J13638" s="2"/>
      <c r="K13638" s="2"/>
      <c r="L13638" s="2"/>
    </row>
    <row r="13639" spans="8:12" x14ac:dyDescent="0.3">
      <c r="H13639" s="2"/>
      <c r="I13639" s="2"/>
      <c r="J13639" s="2"/>
      <c r="K13639" s="2"/>
      <c r="L13639" s="2"/>
    </row>
    <row r="13640" spans="8:12" x14ac:dyDescent="0.3">
      <c r="H13640" s="2"/>
      <c r="I13640" s="2"/>
      <c r="J13640" s="2"/>
      <c r="K13640" s="2"/>
      <c r="L13640" s="2"/>
    </row>
    <row r="13641" spans="8:12" x14ac:dyDescent="0.3">
      <c r="H13641" s="2"/>
      <c r="I13641" s="2"/>
      <c r="J13641" s="2"/>
      <c r="K13641" s="2"/>
      <c r="L13641" s="2"/>
    </row>
    <row r="13642" spans="8:12" x14ac:dyDescent="0.3">
      <c r="H13642" s="2"/>
      <c r="I13642" s="2"/>
      <c r="J13642" s="2"/>
      <c r="K13642" s="2"/>
      <c r="L13642" s="2"/>
    </row>
    <row r="13643" spans="8:12" x14ac:dyDescent="0.3">
      <c r="H13643" s="2"/>
      <c r="I13643" s="2"/>
      <c r="J13643" s="2"/>
      <c r="K13643" s="2"/>
      <c r="L13643" s="2"/>
    </row>
    <row r="13644" spans="8:12" x14ac:dyDescent="0.3">
      <c r="H13644" s="2"/>
      <c r="I13644" s="2"/>
      <c r="J13644" s="2"/>
      <c r="K13644" s="2"/>
      <c r="L13644" s="2"/>
    </row>
    <row r="13645" spans="8:12" x14ac:dyDescent="0.3">
      <c r="H13645" s="2"/>
      <c r="I13645" s="2"/>
      <c r="J13645" s="2"/>
      <c r="K13645" s="2"/>
      <c r="L13645" s="2"/>
    </row>
    <row r="13646" spans="8:12" x14ac:dyDescent="0.3">
      <c r="H13646" s="2"/>
      <c r="I13646" s="2"/>
      <c r="J13646" s="2"/>
      <c r="K13646" s="2"/>
      <c r="L13646" s="2"/>
    </row>
    <row r="13647" spans="8:12" x14ac:dyDescent="0.3">
      <c r="H13647" s="2"/>
      <c r="I13647" s="2"/>
      <c r="J13647" s="2"/>
      <c r="K13647" s="2"/>
      <c r="L13647" s="2"/>
    </row>
    <row r="13648" spans="8:12" x14ac:dyDescent="0.3">
      <c r="H13648" s="2"/>
      <c r="I13648" s="2"/>
      <c r="J13648" s="2"/>
      <c r="K13648" s="2"/>
      <c r="L13648" s="2"/>
    </row>
    <row r="13649" spans="8:12" x14ac:dyDescent="0.3">
      <c r="H13649" s="2"/>
      <c r="I13649" s="2"/>
      <c r="J13649" s="2"/>
      <c r="K13649" s="2"/>
      <c r="L13649" s="2"/>
    </row>
    <row r="13650" spans="8:12" x14ac:dyDescent="0.3">
      <c r="H13650" s="2"/>
      <c r="I13650" s="2"/>
      <c r="J13650" s="2"/>
      <c r="K13650" s="2"/>
      <c r="L13650" s="2"/>
    </row>
    <row r="13651" spans="8:12" x14ac:dyDescent="0.3">
      <c r="H13651" s="2"/>
      <c r="I13651" s="2"/>
      <c r="J13651" s="2"/>
      <c r="K13651" s="2"/>
      <c r="L13651" s="2"/>
    </row>
    <row r="13652" spans="8:12" x14ac:dyDescent="0.3">
      <c r="H13652" s="2"/>
      <c r="I13652" s="2"/>
      <c r="J13652" s="2"/>
      <c r="K13652" s="2"/>
      <c r="L13652" s="2"/>
    </row>
    <row r="13653" spans="8:12" x14ac:dyDescent="0.3">
      <c r="H13653" s="2"/>
      <c r="I13653" s="2"/>
      <c r="J13653" s="2"/>
      <c r="K13653" s="2"/>
      <c r="L13653" s="2"/>
    </row>
    <row r="13654" spans="8:12" x14ac:dyDescent="0.3">
      <c r="H13654" s="2"/>
      <c r="I13654" s="2"/>
      <c r="J13654" s="2"/>
      <c r="K13654" s="2"/>
      <c r="L13654" s="2"/>
    </row>
    <row r="13655" spans="8:12" x14ac:dyDescent="0.3">
      <c r="H13655" s="2"/>
      <c r="I13655" s="2"/>
      <c r="J13655" s="2"/>
      <c r="K13655" s="2"/>
      <c r="L13655" s="2"/>
    </row>
    <row r="13656" spans="8:12" x14ac:dyDescent="0.3">
      <c r="H13656" s="2"/>
      <c r="I13656" s="2"/>
      <c r="J13656" s="2"/>
      <c r="K13656" s="2"/>
      <c r="L13656" s="2"/>
    </row>
    <row r="13657" spans="8:12" x14ac:dyDescent="0.3">
      <c r="H13657" s="2"/>
      <c r="I13657" s="2"/>
      <c r="J13657" s="2"/>
      <c r="K13657" s="2"/>
      <c r="L13657" s="2"/>
    </row>
    <row r="13658" spans="8:12" x14ac:dyDescent="0.3">
      <c r="H13658" s="2"/>
      <c r="I13658" s="2"/>
      <c r="J13658" s="2"/>
      <c r="K13658" s="2"/>
      <c r="L13658" s="2"/>
    </row>
    <row r="13659" spans="8:12" x14ac:dyDescent="0.3">
      <c r="H13659" s="2"/>
      <c r="I13659" s="2"/>
      <c r="J13659" s="2"/>
      <c r="K13659" s="2"/>
      <c r="L13659" s="2"/>
    </row>
    <row r="13660" spans="8:12" x14ac:dyDescent="0.3">
      <c r="H13660" s="2"/>
      <c r="I13660" s="2"/>
      <c r="J13660" s="2"/>
      <c r="K13660" s="2"/>
      <c r="L13660" s="2"/>
    </row>
    <row r="13661" spans="8:12" x14ac:dyDescent="0.3">
      <c r="H13661" s="2"/>
      <c r="I13661" s="2"/>
      <c r="J13661" s="2"/>
      <c r="K13661" s="2"/>
      <c r="L13661" s="2"/>
    </row>
    <row r="13662" spans="8:12" x14ac:dyDescent="0.3">
      <c r="H13662" s="2"/>
      <c r="I13662" s="2"/>
      <c r="J13662" s="2"/>
      <c r="K13662" s="2"/>
      <c r="L13662" s="2"/>
    </row>
    <row r="13663" spans="8:12" x14ac:dyDescent="0.3">
      <c r="H13663" s="2"/>
      <c r="I13663" s="2"/>
      <c r="J13663" s="2"/>
      <c r="K13663" s="2"/>
      <c r="L13663" s="2"/>
    </row>
    <row r="13664" spans="8:12" x14ac:dyDescent="0.3">
      <c r="H13664" s="2"/>
      <c r="I13664" s="2"/>
      <c r="J13664" s="2"/>
      <c r="K13664" s="2"/>
      <c r="L13664" s="2"/>
    </row>
    <row r="13665" spans="8:12" x14ac:dyDescent="0.3">
      <c r="H13665" s="2"/>
      <c r="I13665" s="2"/>
      <c r="J13665" s="2"/>
      <c r="K13665" s="2"/>
      <c r="L13665" s="2"/>
    </row>
    <row r="13666" spans="8:12" x14ac:dyDescent="0.3">
      <c r="H13666" s="2"/>
      <c r="I13666" s="2"/>
      <c r="J13666" s="2"/>
      <c r="K13666" s="2"/>
      <c r="L13666" s="2"/>
    </row>
    <row r="13667" spans="8:12" x14ac:dyDescent="0.3">
      <c r="H13667" s="2"/>
      <c r="I13667" s="2"/>
      <c r="J13667" s="2"/>
      <c r="K13667" s="2"/>
      <c r="L13667" s="2"/>
    </row>
    <row r="13668" spans="8:12" x14ac:dyDescent="0.3">
      <c r="H13668" s="2"/>
      <c r="I13668" s="2"/>
      <c r="J13668" s="2"/>
      <c r="K13668" s="2"/>
      <c r="L13668" s="2"/>
    </row>
    <row r="13669" spans="8:12" x14ac:dyDescent="0.3">
      <c r="H13669" s="2"/>
      <c r="I13669" s="2"/>
      <c r="J13669" s="2"/>
      <c r="K13669" s="2"/>
      <c r="L13669" s="2"/>
    </row>
    <row r="13670" spans="8:12" x14ac:dyDescent="0.3">
      <c r="H13670" s="2"/>
      <c r="I13670" s="2"/>
      <c r="J13670" s="2"/>
      <c r="K13670" s="2"/>
      <c r="L13670" s="2"/>
    </row>
    <row r="13671" spans="8:12" x14ac:dyDescent="0.3">
      <c r="H13671" s="2"/>
      <c r="I13671" s="2"/>
      <c r="J13671" s="2"/>
      <c r="K13671" s="2"/>
      <c r="L13671" s="2"/>
    </row>
    <row r="13672" spans="8:12" x14ac:dyDescent="0.3">
      <c r="H13672" s="2"/>
      <c r="I13672" s="2"/>
      <c r="J13672" s="2"/>
      <c r="K13672" s="2"/>
      <c r="L13672" s="2"/>
    </row>
    <row r="13673" spans="8:12" x14ac:dyDescent="0.3">
      <c r="H13673" s="2"/>
      <c r="I13673" s="2"/>
      <c r="J13673" s="2"/>
      <c r="K13673" s="2"/>
      <c r="L13673" s="2"/>
    </row>
    <row r="13674" spans="8:12" x14ac:dyDescent="0.3">
      <c r="H13674" s="2"/>
      <c r="I13674" s="2"/>
      <c r="J13674" s="2"/>
      <c r="K13674" s="2"/>
      <c r="L13674" s="2"/>
    </row>
    <row r="13675" spans="8:12" x14ac:dyDescent="0.3">
      <c r="H13675" s="2"/>
      <c r="I13675" s="2"/>
      <c r="J13675" s="2"/>
      <c r="K13675" s="2"/>
      <c r="L13675" s="2"/>
    </row>
    <row r="13676" spans="8:12" x14ac:dyDescent="0.3">
      <c r="H13676" s="2"/>
      <c r="I13676" s="2"/>
      <c r="J13676" s="2"/>
      <c r="K13676" s="2"/>
      <c r="L13676" s="2"/>
    </row>
    <row r="13677" spans="8:12" x14ac:dyDescent="0.3">
      <c r="H13677" s="2"/>
      <c r="I13677" s="2"/>
      <c r="J13677" s="2"/>
      <c r="K13677" s="2"/>
      <c r="L13677" s="2"/>
    </row>
    <row r="13678" spans="8:12" x14ac:dyDescent="0.3">
      <c r="H13678" s="2"/>
      <c r="I13678" s="2"/>
      <c r="J13678" s="2"/>
      <c r="K13678" s="2"/>
      <c r="L13678" s="2"/>
    </row>
    <row r="13679" spans="8:12" x14ac:dyDescent="0.3">
      <c r="H13679" s="2"/>
      <c r="I13679" s="2"/>
      <c r="J13679" s="2"/>
      <c r="K13679" s="2"/>
      <c r="L13679" s="2"/>
    </row>
    <row r="13680" spans="8:12" x14ac:dyDescent="0.3">
      <c r="H13680" s="2"/>
      <c r="I13680" s="2"/>
      <c r="J13680" s="2"/>
      <c r="K13680" s="2"/>
      <c r="L13680" s="2"/>
    </row>
    <row r="13681" spans="8:12" x14ac:dyDescent="0.3">
      <c r="H13681" s="2"/>
      <c r="I13681" s="2"/>
      <c r="J13681" s="2"/>
      <c r="K13681" s="2"/>
      <c r="L13681" s="2"/>
    </row>
    <row r="13682" spans="8:12" x14ac:dyDescent="0.3">
      <c r="H13682" s="2"/>
      <c r="I13682" s="2"/>
      <c r="J13682" s="2"/>
      <c r="K13682" s="2"/>
      <c r="L13682" s="2"/>
    </row>
    <row r="13683" spans="8:12" x14ac:dyDescent="0.3">
      <c r="H13683" s="2"/>
      <c r="I13683" s="2"/>
      <c r="J13683" s="2"/>
      <c r="K13683" s="2"/>
      <c r="L13683" s="2"/>
    </row>
    <row r="13684" spans="8:12" x14ac:dyDescent="0.3">
      <c r="H13684" s="2"/>
      <c r="I13684" s="2"/>
      <c r="J13684" s="2"/>
      <c r="K13684" s="2"/>
      <c r="L13684" s="2"/>
    </row>
    <row r="13685" spans="8:12" x14ac:dyDescent="0.3">
      <c r="H13685" s="2"/>
      <c r="I13685" s="2"/>
      <c r="J13685" s="2"/>
      <c r="K13685" s="2"/>
      <c r="L13685" s="2"/>
    </row>
    <row r="13686" spans="8:12" x14ac:dyDescent="0.3">
      <c r="H13686" s="2"/>
      <c r="I13686" s="2"/>
      <c r="J13686" s="2"/>
      <c r="K13686" s="2"/>
      <c r="L13686" s="2"/>
    </row>
    <row r="13687" spans="8:12" x14ac:dyDescent="0.3">
      <c r="H13687" s="2"/>
      <c r="I13687" s="2"/>
      <c r="J13687" s="2"/>
      <c r="K13687" s="2"/>
      <c r="L13687" s="2"/>
    </row>
    <row r="13688" spans="8:12" x14ac:dyDescent="0.3">
      <c r="H13688" s="2"/>
      <c r="I13688" s="2"/>
      <c r="J13688" s="2"/>
      <c r="K13688" s="2"/>
      <c r="L13688" s="2"/>
    </row>
    <row r="13689" spans="8:12" x14ac:dyDescent="0.3">
      <c r="H13689" s="2"/>
      <c r="I13689" s="2"/>
      <c r="J13689" s="2"/>
      <c r="K13689" s="2"/>
      <c r="L13689" s="2"/>
    </row>
    <row r="13690" spans="8:12" x14ac:dyDescent="0.3">
      <c r="H13690" s="2"/>
      <c r="I13690" s="2"/>
      <c r="J13690" s="2"/>
      <c r="K13690" s="2"/>
      <c r="L13690" s="2"/>
    </row>
    <row r="13691" spans="8:12" x14ac:dyDescent="0.3">
      <c r="H13691" s="2"/>
      <c r="I13691" s="2"/>
      <c r="J13691" s="2"/>
      <c r="K13691" s="2"/>
      <c r="L13691" s="2"/>
    </row>
    <row r="13692" spans="8:12" x14ac:dyDescent="0.3">
      <c r="H13692" s="2"/>
      <c r="I13692" s="2"/>
      <c r="J13692" s="2"/>
      <c r="K13692" s="2"/>
      <c r="L13692" s="2"/>
    </row>
    <row r="13693" spans="8:12" x14ac:dyDescent="0.3">
      <c r="H13693" s="2"/>
      <c r="I13693" s="2"/>
      <c r="J13693" s="2"/>
      <c r="K13693" s="2"/>
      <c r="L13693" s="2"/>
    </row>
    <row r="13694" spans="8:12" x14ac:dyDescent="0.3">
      <c r="H13694" s="2"/>
      <c r="I13694" s="2"/>
      <c r="J13694" s="2"/>
      <c r="K13694" s="2"/>
      <c r="L13694" s="2"/>
    </row>
    <row r="13695" spans="8:12" x14ac:dyDescent="0.3">
      <c r="H13695" s="2"/>
      <c r="I13695" s="2"/>
      <c r="J13695" s="2"/>
      <c r="K13695" s="2"/>
      <c r="L13695" s="2"/>
    </row>
    <row r="13696" spans="8:12" x14ac:dyDescent="0.3">
      <c r="H13696" s="2"/>
      <c r="I13696" s="2"/>
      <c r="J13696" s="2"/>
      <c r="K13696" s="2"/>
      <c r="L13696" s="2"/>
    </row>
    <row r="13697" spans="8:12" x14ac:dyDescent="0.3">
      <c r="H13697" s="2"/>
      <c r="I13697" s="2"/>
      <c r="J13697" s="2"/>
      <c r="K13697" s="2"/>
      <c r="L13697" s="2"/>
    </row>
    <row r="13698" spans="8:12" x14ac:dyDescent="0.3">
      <c r="H13698" s="2"/>
      <c r="I13698" s="2"/>
      <c r="J13698" s="2"/>
      <c r="K13698" s="2"/>
      <c r="L13698" s="2"/>
    </row>
    <row r="13699" spans="8:12" x14ac:dyDescent="0.3">
      <c r="H13699" s="2"/>
      <c r="I13699" s="2"/>
      <c r="J13699" s="2"/>
      <c r="K13699" s="2"/>
      <c r="L13699" s="2"/>
    </row>
    <row r="13700" spans="8:12" x14ac:dyDescent="0.3">
      <c r="H13700" s="2"/>
      <c r="I13700" s="2"/>
      <c r="J13700" s="2"/>
      <c r="K13700" s="2"/>
      <c r="L13700" s="2"/>
    </row>
    <row r="13701" spans="8:12" x14ac:dyDescent="0.3">
      <c r="H13701" s="2"/>
      <c r="I13701" s="2"/>
      <c r="J13701" s="2"/>
      <c r="K13701" s="2"/>
      <c r="L13701" s="2"/>
    </row>
    <row r="13702" spans="8:12" x14ac:dyDescent="0.3">
      <c r="H13702" s="2"/>
      <c r="I13702" s="2"/>
      <c r="J13702" s="2"/>
      <c r="K13702" s="2"/>
      <c r="L13702" s="2"/>
    </row>
    <row r="13703" spans="8:12" x14ac:dyDescent="0.3">
      <c r="H13703" s="2"/>
      <c r="I13703" s="2"/>
      <c r="J13703" s="2"/>
      <c r="K13703" s="2"/>
      <c r="L13703" s="2"/>
    </row>
    <row r="13704" spans="8:12" x14ac:dyDescent="0.3">
      <c r="H13704" s="2"/>
      <c r="I13704" s="2"/>
      <c r="J13704" s="2"/>
      <c r="K13704" s="2"/>
      <c r="L13704" s="2"/>
    </row>
    <row r="13705" spans="8:12" x14ac:dyDescent="0.3">
      <c r="H13705" s="2"/>
      <c r="I13705" s="2"/>
      <c r="J13705" s="2"/>
      <c r="K13705" s="2"/>
      <c r="L13705" s="2"/>
    </row>
    <row r="13706" spans="8:12" x14ac:dyDescent="0.3">
      <c r="H13706" s="2"/>
      <c r="I13706" s="2"/>
      <c r="J13706" s="2"/>
      <c r="K13706" s="2"/>
      <c r="L13706" s="2"/>
    </row>
    <row r="13707" spans="8:12" x14ac:dyDescent="0.3">
      <c r="H13707" s="2"/>
      <c r="I13707" s="2"/>
      <c r="J13707" s="2"/>
      <c r="K13707" s="2"/>
      <c r="L13707" s="2"/>
    </row>
    <row r="13708" spans="8:12" x14ac:dyDescent="0.3">
      <c r="H13708" s="2"/>
      <c r="I13708" s="2"/>
      <c r="J13708" s="2"/>
      <c r="K13708" s="2"/>
      <c r="L13708" s="2"/>
    </row>
    <row r="13709" spans="8:12" x14ac:dyDescent="0.3">
      <c r="H13709" s="2"/>
      <c r="I13709" s="2"/>
      <c r="J13709" s="2"/>
      <c r="K13709" s="2"/>
      <c r="L13709" s="2"/>
    </row>
    <row r="13710" spans="8:12" x14ac:dyDescent="0.3">
      <c r="H13710" s="2"/>
      <c r="I13710" s="2"/>
      <c r="J13710" s="2"/>
      <c r="K13710" s="2"/>
      <c r="L13710" s="2"/>
    </row>
    <row r="13711" spans="8:12" x14ac:dyDescent="0.3">
      <c r="H13711" s="2"/>
      <c r="I13711" s="2"/>
      <c r="J13711" s="2"/>
      <c r="K13711" s="2"/>
      <c r="L13711" s="2"/>
    </row>
    <row r="13712" spans="8:12" x14ac:dyDescent="0.3">
      <c r="H13712" s="2"/>
      <c r="I13712" s="2"/>
      <c r="J13712" s="2"/>
      <c r="K13712" s="2"/>
      <c r="L13712" s="2"/>
    </row>
    <row r="13713" spans="8:12" x14ac:dyDescent="0.3">
      <c r="H13713" s="2"/>
      <c r="I13713" s="2"/>
      <c r="J13713" s="2"/>
      <c r="K13713" s="2"/>
      <c r="L13713" s="2"/>
    </row>
    <row r="13714" spans="8:12" x14ac:dyDescent="0.3">
      <c r="H13714" s="2"/>
      <c r="I13714" s="2"/>
      <c r="J13714" s="2"/>
      <c r="K13714" s="2"/>
      <c r="L13714" s="2"/>
    </row>
    <row r="13715" spans="8:12" x14ac:dyDescent="0.3">
      <c r="H13715" s="2"/>
      <c r="I13715" s="2"/>
      <c r="J13715" s="2"/>
      <c r="K13715" s="2"/>
      <c r="L13715" s="2"/>
    </row>
    <row r="13716" spans="8:12" x14ac:dyDescent="0.3">
      <c r="H13716" s="2"/>
      <c r="I13716" s="2"/>
      <c r="J13716" s="2"/>
      <c r="K13716" s="2"/>
      <c r="L13716" s="2"/>
    </row>
    <row r="13717" spans="8:12" x14ac:dyDescent="0.3">
      <c r="H13717" s="2"/>
      <c r="I13717" s="2"/>
      <c r="J13717" s="2"/>
      <c r="K13717" s="2"/>
      <c r="L13717" s="2"/>
    </row>
    <row r="13718" spans="8:12" x14ac:dyDescent="0.3">
      <c r="H13718" s="2"/>
      <c r="I13718" s="2"/>
      <c r="J13718" s="2"/>
      <c r="K13718" s="2"/>
      <c r="L13718" s="2"/>
    </row>
    <row r="13719" spans="8:12" x14ac:dyDescent="0.3">
      <c r="H13719" s="2"/>
      <c r="I13719" s="2"/>
      <c r="J13719" s="2"/>
      <c r="K13719" s="2"/>
      <c r="L13719" s="2"/>
    </row>
    <row r="13720" spans="8:12" x14ac:dyDescent="0.3">
      <c r="H13720" s="2"/>
      <c r="I13720" s="2"/>
      <c r="J13720" s="2"/>
      <c r="K13720" s="2"/>
      <c r="L13720" s="2"/>
    </row>
    <row r="13721" spans="8:12" x14ac:dyDescent="0.3">
      <c r="H13721" s="2"/>
      <c r="I13721" s="2"/>
      <c r="J13721" s="2"/>
      <c r="K13721" s="2"/>
      <c r="L13721" s="2"/>
    </row>
    <row r="13722" spans="8:12" x14ac:dyDescent="0.3">
      <c r="H13722" s="2"/>
      <c r="I13722" s="2"/>
      <c r="J13722" s="2"/>
      <c r="K13722" s="2"/>
      <c r="L13722" s="2"/>
    </row>
    <row r="13723" spans="8:12" x14ac:dyDescent="0.3">
      <c r="H13723" s="2"/>
      <c r="I13723" s="2"/>
      <c r="J13723" s="2"/>
      <c r="K13723" s="2"/>
      <c r="L13723" s="2"/>
    </row>
    <row r="13724" spans="8:12" x14ac:dyDescent="0.3">
      <c r="H13724" s="2"/>
      <c r="I13724" s="2"/>
      <c r="J13724" s="2"/>
      <c r="K13724" s="2"/>
      <c r="L13724" s="2"/>
    </row>
    <row r="13725" spans="8:12" x14ac:dyDescent="0.3">
      <c r="H13725" s="2"/>
      <c r="I13725" s="2"/>
      <c r="J13725" s="2"/>
      <c r="K13725" s="2"/>
      <c r="L13725" s="2"/>
    </row>
    <row r="13726" spans="8:12" x14ac:dyDescent="0.3">
      <c r="H13726" s="2"/>
      <c r="I13726" s="2"/>
      <c r="J13726" s="2"/>
      <c r="K13726" s="2"/>
      <c r="L13726" s="2"/>
    </row>
    <row r="13727" spans="8:12" x14ac:dyDescent="0.3">
      <c r="H13727" s="2"/>
      <c r="I13727" s="2"/>
      <c r="J13727" s="2"/>
      <c r="K13727" s="2"/>
      <c r="L13727" s="2"/>
    </row>
    <row r="13728" spans="8:12" x14ac:dyDescent="0.3">
      <c r="H13728" s="2"/>
      <c r="I13728" s="2"/>
      <c r="J13728" s="2"/>
      <c r="K13728" s="2"/>
      <c r="L13728" s="2"/>
    </row>
    <row r="13729" spans="8:12" x14ac:dyDescent="0.3">
      <c r="H13729" s="2"/>
      <c r="I13729" s="2"/>
      <c r="J13729" s="2"/>
      <c r="K13729" s="2"/>
      <c r="L13729" s="2"/>
    </row>
    <row r="13730" spans="8:12" x14ac:dyDescent="0.3">
      <c r="H13730" s="2"/>
      <c r="I13730" s="2"/>
      <c r="J13730" s="2"/>
      <c r="K13730" s="2"/>
      <c r="L13730" s="2"/>
    </row>
    <row r="13731" spans="8:12" x14ac:dyDescent="0.3">
      <c r="H13731" s="2"/>
      <c r="I13731" s="2"/>
      <c r="J13731" s="2"/>
      <c r="K13731" s="2"/>
      <c r="L13731" s="2"/>
    </row>
    <row r="13732" spans="8:12" x14ac:dyDescent="0.3">
      <c r="H13732" s="2"/>
      <c r="I13732" s="2"/>
      <c r="J13732" s="2"/>
      <c r="K13732" s="2"/>
      <c r="L13732" s="2"/>
    </row>
    <row r="13733" spans="8:12" x14ac:dyDescent="0.3">
      <c r="H13733" s="2"/>
      <c r="I13733" s="2"/>
      <c r="J13733" s="2"/>
      <c r="K13733" s="2"/>
      <c r="L13733" s="2"/>
    </row>
    <row r="13734" spans="8:12" x14ac:dyDescent="0.3">
      <c r="H13734" s="2"/>
      <c r="I13734" s="2"/>
      <c r="J13734" s="2"/>
      <c r="K13734" s="2"/>
      <c r="L13734" s="2"/>
    </row>
    <row r="13735" spans="8:12" x14ac:dyDescent="0.3">
      <c r="H13735" s="2"/>
      <c r="I13735" s="2"/>
      <c r="J13735" s="2"/>
      <c r="K13735" s="2"/>
      <c r="L13735" s="2"/>
    </row>
    <row r="13736" spans="8:12" x14ac:dyDescent="0.3">
      <c r="H13736" s="2"/>
      <c r="I13736" s="2"/>
      <c r="J13736" s="2"/>
      <c r="K13736" s="2"/>
      <c r="L13736" s="2"/>
    </row>
    <row r="13737" spans="8:12" x14ac:dyDescent="0.3">
      <c r="H13737" s="2"/>
      <c r="I13737" s="2"/>
      <c r="J13737" s="2"/>
      <c r="K13737" s="2"/>
      <c r="L13737" s="2"/>
    </row>
    <row r="13738" spans="8:12" x14ac:dyDescent="0.3">
      <c r="H13738" s="2"/>
      <c r="I13738" s="2"/>
      <c r="J13738" s="2"/>
      <c r="K13738" s="2"/>
      <c r="L13738" s="2"/>
    </row>
    <row r="13739" spans="8:12" x14ac:dyDescent="0.3">
      <c r="H13739" s="2"/>
      <c r="I13739" s="2"/>
      <c r="J13739" s="2"/>
      <c r="K13739" s="2"/>
      <c r="L13739" s="2"/>
    </row>
    <row r="13740" spans="8:12" x14ac:dyDescent="0.3">
      <c r="H13740" s="2"/>
      <c r="I13740" s="2"/>
      <c r="J13740" s="2"/>
      <c r="K13740" s="2"/>
      <c r="L13740" s="2"/>
    </row>
    <row r="13741" spans="8:12" x14ac:dyDescent="0.3">
      <c r="H13741" s="2"/>
      <c r="I13741" s="2"/>
      <c r="J13741" s="2"/>
      <c r="K13741" s="2"/>
      <c r="L13741" s="2"/>
    </row>
    <row r="13742" spans="8:12" x14ac:dyDescent="0.3">
      <c r="H13742" s="2"/>
      <c r="I13742" s="2"/>
      <c r="J13742" s="2"/>
      <c r="K13742" s="2"/>
      <c r="L13742" s="2"/>
    </row>
    <row r="13743" spans="8:12" x14ac:dyDescent="0.3">
      <c r="H13743" s="2"/>
      <c r="I13743" s="2"/>
      <c r="J13743" s="2"/>
      <c r="K13743" s="2"/>
      <c r="L13743" s="2"/>
    </row>
    <row r="13744" spans="8:12" x14ac:dyDescent="0.3">
      <c r="H13744" s="2"/>
      <c r="I13744" s="2"/>
      <c r="J13744" s="2"/>
      <c r="K13744" s="2"/>
      <c r="L13744" s="2"/>
    </row>
    <row r="13745" spans="8:12" x14ac:dyDescent="0.3">
      <c r="H13745" s="2"/>
      <c r="I13745" s="2"/>
      <c r="J13745" s="2"/>
      <c r="K13745" s="2"/>
      <c r="L13745" s="2"/>
    </row>
    <row r="13746" spans="8:12" x14ac:dyDescent="0.3">
      <c r="H13746" s="2"/>
      <c r="I13746" s="2"/>
      <c r="J13746" s="2"/>
      <c r="K13746" s="2"/>
      <c r="L13746" s="2"/>
    </row>
    <row r="13747" spans="8:12" x14ac:dyDescent="0.3">
      <c r="H13747" s="2"/>
      <c r="I13747" s="2"/>
      <c r="J13747" s="2"/>
      <c r="K13747" s="2"/>
      <c r="L13747" s="2"/>
    </row>
    <row r="13748" spans="8:12" x14ac:dyDescent="0.3">
      <c r="H13748" s="2"/>
      <c r="I13748" s="2"/>
      <c r="J13748" s="2"/>
      <c r="K13748" s="2"/>
      <c r="L13748" s="2"/>
    </row>
    <row r="13749" spans="8:12" x14ac:dyDescent="0.3">
      <c r="H13749" s="2"/>
      <c r="I13749" s="2"/>
      <c r="J13749" s="2"/>
      <c r="K13749" s="2"/>
      <c r="L13749" s="2"/>
    </row>
    <row r="13750" spans="8:12" x14ac:dyDescent="0.3">
      <c r="H13750" s="2"/>
      <c r="I13750" s="2"/>
      <c r="J13750" s="2"/>
      <c r="K13750" s="2"/>
      <c r="L13750" s="2"/>
    </row>
    <row r="13751" spans="8:12" x14ac:dyDescent="0.3">
      <c r="H13751" s="2"/>
      <c r="I13751" s="2"/>
      <c r="J13751" s="2"/>
      <c r="K13751" s="2"/>
      <c r="L13751" s="2"/>
    </row>
    <row r="13752" spans="8:12" x14ac:dyDescent="0.3">
      <c r="H13752" s="2"/>
      <c r="I13752" s="2"/>
      <c r="J13752" s="2"/>
      <c r="K13752" s="2"/>
      <c r="L13752" s="2"/>
    </row>
    <row r="13753" spans="8:12" x14ac:dyDescent="0.3">
      <c r="H13753" s="2"/>
      <c r="I13753" s="2"/>
      <c r="J13753" s="2"/>
      <c r="K13753" s="2"/>
      <c r="L13753" s="2"/>
    </row>
    <row r="13754" spans="8:12" x14ac:dyDescent="0.3">
      <c r="H13754" s="2"/>
      <c r="I13754" s="2"/>
      <c r="J13754" s="2"/>
      <c r="K13754" s="2"/>
      <c r="L13754" s="2"/>
    </row>
    <row r="13755" spans="8:12" x14ac:dyDescent="0.3">
      <c r="H13755" s="2"/>
      <c r="I13755" s="2"/>
      <c r="J13755" s="2"/>
      <c r="K13755" s="2"/>
      <c r="L13755" s="2"/>
    </row>
    <row r="13756" spans="8:12" x14ac:dyDescent="0.3">
      <c r="H13756" s="2"/>
      <c r="I13756" s="2"/>
      <c r="J13756" s="2"/>
      <c r="K13756" s="2"/>
      <c r="L13756" s="2"/>
    </row>
    <row r="13757" spans="8:12" x14ac:dyDescent="0.3">
      <c r="H13757" s="2"/>
      <c r="I13757" s="2"/>
      <c r="J13757" s="2"/>
      <c r="K13757" s="2"/>
      <c r="L13757" s="2"/>
    </row>
    <row r="13758" spans="8:12" x14ac:dyDescent="0.3">
      <c r="H13758" s="2"/>
      <c r="I13758" s="2"/>
      <c r="J13758" s="2"/>
      <c r="K13758" s="2"/>
      <c r="L13758" s="2"/>
    </row>
    <row r="13759" spans="8:12" x14ac:dyDescent="0.3">
      <c r="H13759" s="2"/>
      <c r="I13759" s="2"/>
      <c r="J13759" s="2"/>
      <c r="K13759" s="2"/>
      <c r="L13759" s="2"/>
    </row>
    <row r="13760" spans="8:12" x14ac:dyDescent="0.3">
      <c r="H13760" s="2"/>
      <c r="I13760" s="2"/>
      <c r="J13760" s="2"/>
      <c r="K13760" s="2"/>
      <c r="L13760" s="2"/>
    </row>
    <row r="13761" spans="8:12" x14ac:dyDescent="0.3">
      <c r="H13761" s="2"/>
      <c r="I13761" s="2"/>
      <c r="J13761" s="2"/>
      <c r="K13761" s="2"/>
      <c r="L13761" s="2"/>
    </row>
    <row r="13762" spans="8:12" x14ac:dyDescent="0.3">
      <c r="H13762" s="2"/>
      <c r="I13762" s="2"/>
      <c r="J13762" s="2"/>
      <c r="K13762" s="2"/>
      <c r="L13762" s="2"/>
    </row>
    <row r="13763" spans="8:12" x14ac:dyDescent="0.3">
      <c r="H13763" s="2"/>
      <c r="I13763" s="2"/>
      <c r="J13763" s="2"/>
      <c r="K13763" s="2"/>
      <c r="L13763" s="2"/>
    </row>
    <row r="13764" spans="8:12" x14ac:dyDescent="0.3">
      <c r="H13764" s="2"/>
      <c r="I13764" s="2"/>
      <c r="J13764" s="2"/>
      <c r="K13764" s="2"/>
      <c r="L13764" s="2"/>
    </row>
    <row r="13765" spans="8:12" x14ac:dyDescent="0.3">
      <c r="H13765" s="2"/>
      <c r="I13765" s="2"/>
      <c r="J13765" s="2"/>
      <c r="K13765" s="2"/>
      <c r="L13765" s="2"/>
    </row>
    <row r="13766" spans="8:12" x14ac:dyDescent="0.3">
      <c r="H13766" s="2"/>
      <c r="I13766" s="2"/>
      <c r="J13766" s="2"/>
      <c r="K13766" s="2"/>
      <c r="L13766" s="2"/>
    </row>
    <row r="13767" spans="8:12" x14ac:dyDescent="0.3">
      <c r="H13767" s="2"/>
      <c r="I13767" s="2"/>
      <c r="J13767" s="2"/>
      <c r="K13767" s="2"/>
      <c r="L13767" s="2"/>
    </row>
    <row r="13768" spans="8:12" x14ac:dyDescent="0.3">
      <c r="H13768" s="2"/>
      <c r="I13768" s="2"/>
      <c r="J13768" s="2"/>
      <c r="K13768" s="2"/>
      <c r="L13768" s="2"/>
    </row>
    <row r="13769" spans="8:12" x14ac:dyDescent="0.3">
      <c r="H13769" s="2"/>
      <c r="I13769" s="2"/>
      <c r="J13769" s="2"/>
      <c r="K13769" s="2"/>
      <c r="L13769" s="2"/>
    </row>
    <row r="13770" spans="8:12" x14ac:dyDescent="0.3">
      <c r="H13770" s="2"/>
      <c r="I13770" s="2"/>
      <c r="J13770" s="2"/>
      <c r="K13770" s="2"/>
      <c r="L13770" s="2"/>
    </row>
    <row r="13771" spans="8:12" x14ac:dyDescent="0.3">
      <c r="H13771" s="2"/>
      <c r="I13771" s="2"/>
      <c r="J13771" s="2"/>
      <c r="K13771" s="2"/>
      <c r="L13771" s="2"/>
    </row>
    <row r="13772" spans="8:12" x14ac:dyDescent="0.3">
      <c r="H13772" s="2"/>
      <c r="I13772" s="2"/>
      <c r="J13772" s="2"/>
      <c r="K13772" s="2"/>
      <c r="L13772" s="2"/>
    </row>
    <row r="13773" spans="8:12" x14ac:dyDescent="0.3">
      <c r="H13773" s="2"/>
      <c r="I13773" s="2"/>
      <c r="J13773" s="2"/>
      <c r="K13773" s="2"/>
      <c r="L13773" s="2"/>
    </row>
    <row r="13774" spans="8:12" x14ac:dyDescent="0.3">
      <c r="H13774" s="2"/>
      <c r="I13774" s="2"/>
      <c r="J13774" s="2"/>
      <c r="K13774" s="2"/>
      <c r="L13774" s="2"/>
    </row>
    <row r="13775" spans="8:12" x14ac:dyDescent="0.3">
      <c r="H13775" s="2"/>
      <c r="I13775" s="2"/>
      <c r="J13775" s="2"/>
      <c r="K13775" s="2"/>
      <c r="L13775" s="2"/>
    </row>
    <row r="13776" spans="8:12" x14ac:dyDescent="0.3">
      <c r="H13776" s="2"/>
      <c r="I13776" s="2"/>
      <c r="J13776" s="2"/>
      <c r="K13776" s="2"/>
      <c r="L13776" s="2"/>
    </row>
    <row r="13777" spans="8:12" x14ac:dyDescent="0.3">
      <c r="H13777" s="2"/>
      <c r="I13777" s="2"/>
      <c r="J13777" s="2"/>
      <c r="K13777" s="2"/>
      <c r="L13777" s="2"/>
    </row>
    <row r="13778" spans="8:12" x14ac:dyDescent="0.3">
      <c r="H13778" s="2"/>
      <c r="I13778" s="2"/>
      <c r="J13778" s="2"/>
      <c r="K13778" s="2"/>
      <c r="L13778" s="2"/>
    </row>
    <row r="13779" spans="8:12" x14ac:dyDescent="0.3">
      <c r="H13779" s="2"/>
      <c r="I13779" s="2"/>
      <c r="J13779" s="2"/>
      <c r="K13779" s="2"/>
      <c r="L13779" s="2"/>
    </row>
    <row r="13780" spans="8:12" x14ac:dyDescent="0.3">
      <c r="H13780" s="2"/>
      <c r="I13780" s="2"/>
      <c r="J13780" s="2"/>
      <c r="K13780" s="2"/>
      <c r="L13780" s="2"/>
    </row>
    <row r="13781" spans="8:12" x14ac:dyDescent="0.3">
      <c r="H13781" s="2"/>
      <c r="I13781" s="2"/>
      <c r="J13781" s="2"/>
      <c r="K13781" s="2"/>
      <c r="L13781" s="2"/>
    </row>
    <row r="13782" spans="8:12" x14ac:dyDescent="0.3">
      <c r="H13782" s="2"/>
      <c r="I13782" s="2"/>
      <c r="J13782" s="2"/>
      <c r="K13782" s="2"/>
      <c r="L13782" s="2"/>
    </row>
    <row r="13783" spans="8:12" x14ac:dyDescent="0.3">
      <c r="H13783" s="2"/>
      <c r="I13783" s="2"/>
      <c r="J13783" s="2"/>
      <c r="K13783" s="2"/>
      <c r="L13783" s="2"/>
    </row>
    <row r="13784" spans="8:12" x14ac:dyDescent="0.3">
      <c r="H13784" s="2"/>
      <c r="I13784" s="2"/>
      <c r="J13784" s="2"/>
      <c r="K13784" s="2"/>
      <c r="L13784" s="2"/>
    </row>
    <row r="13785" spans="8:12" x14ac:dyDescent="0.3">
      <c r="H13785" s="2"/>
      <c r="I13785" s="2"/>
      <c r="J13785" s="2"/>
      <c r="K13785" s="2"/>
      <c r="L13785" s="2"/>
    </row>
    <row r="13786" spans="8:12" x14ac:dyDescent="0.3">
      <c r="H13786" s="2"/>
      <c r="I13786" s="2"/>
      <c r="J13786" s="2"/>
      <c r="K13786" s="2"/>
      <c r="L13786" s="2"/>
    </row>
    <row r="13787" spans="8:12" x14ac:dyDescent="0.3">
      <c r="H13787" s="2"/>
      <c r="I13787" s="2"/>
      <c r="J13787" s="2"/>
      <c r="K13787" s="2"/>
      <c r="L13787" s="2"/>
    </row>
    <row r="13788" spans="8:12" x14ac:dyDescent="0.3">
      <c r="H13788" s="2"/>
      <c r="I13788" s="2"/>
      <c r="J13788" s="2"/>
      <c r="K13788" s="2"/>
      <c r="L13788" s="2"/>
    </row>
    <row r="13789" spans="8:12" x14ac:dyDescent="0.3">
      <c r="H13789" s="2"/>
      <c r="I13789" s="2"/>
      <c r="J13789" s="2"/>
      <c r="K13789" s="2"/>
      <c r="L13789" s="2"/>
    </row>
    <row r="13790" spans="8:12" x14ac:dyDescent="0.3">
      <c r="H13790" s="2"/>
      <c r="I13790" s="2"/>
      <c r="J13790" s="2"/>
      <c r="K13790" s="2"/>
      <c r="L13790" s="2"/>
    </row>
    <row r="13791" spans="8:12" x14ac:dyDescent="0.3">
      <c r="H13791" s="2"/>
      <c r="I13791" s="2"/>
      <c r="J13791" s="2"/>
      <c r="K13791" s="2"/>
      <c r="L13791" s="2"/>
    </row>
    <row r="13792" spans="8:12" x14ac:dyDescent="0.3">
      <c r="H13792" s="2"/>
      <c r="I13792" s="2"/>
      <c r="J13792" s="2"/>
      <c r="K13792" s="2"/>
      <c r="L13792" s="2"/>
    </row>
    <row r="13793" spans="8:12" x14ac:dyDescent="0.3">
      <c r="H13793" s="2"/>
      <c r="I13793" s="2"/>
      <c r="J13793" s="2"/>
      <c r="K13793" s="2"/>
      <c r="L13793" s="2"/>
    </row>
    <row r="13794" spans="8:12" x14ac:dyDescent="0.3">
      <c r="H13794" s="2"/>
      <c r="I13794" s="2"/>
      <c r="J13794" s="2"/>
      <c r="K13794" s="2"/>
      <c r="L13794" s="2"/>
    </row>
    <row r="13795" spans="8:12" x14ac:dyDescent="0.3">
      <c r="H13795" s="2"/>
      <c r="I13795" s="2"/>
      <c r="J13795" s="2"/>
      <c r="K13795" s="2"/>
      <c r="L13795" s="2"/>
    </row>
    <row r="13796" spans="8:12" x14ac:dyDescent="0.3">
      <c r="H13796" s="2"/>
      <c r="I13796" s="2"/>
      <c r="J13796" s="2"/>
      <c r="K13796" s="2"/>
      <c r="L13796" s="2"/>
    </row>
    <row r="13797" spans="8:12" x14ac:dyDescent="0.3">
      <c r="H13797" s="2"/>
      <c r="I13797" s="2"/>
      <c r="J13797" s="2"/>
      <c r="K13797" s="2"/>
      <c r="L13797" s="2"/>
    </row>
    <row r="13798" spans="8:12" x14ac:dyDescent="0.3">
      <c r="H13798" s="2"/>
      <c r="I13798" s="2"/>
      <c r="J13798" s="2"/>
      <c r="K13798" s="2"/>
      <c r="L13798" s="2"/>
    </row>
    <row r="13799" spans="8:12" x14ac:dyDescent="0.3">
      <c r="H13799" s="2"/>
      <c r="I13799" s="2"/>
      <c r="J13799" s="2"/>
      <c r="K13799" s="2"/>
      <c r="L13799" s="2"/>
    </row>
    <row r="13800" spans="8:12" x14ac:dyDescent="0.3">
      <c r="H13800" s="2"/>
      <c r="I13800" s="2"/>
      <c r="J13800" s="2"/>
      <c r="K13800" s="2"/>
      <c r="L13800" s="2"/>
    </row>
    <row r="13801" spans="8:12" x14ac:dyDescent="0.3">
      <c r="H13801" s="2"/>
      <c r="I13801" s="2"/>
      <c r="J13801" s="2"/>
      <c r="K13801" s="2"/>
      <c r="L13801" s="2"/>
    </row>
    <row r="13802" spans="8:12" x14ac:dyDescent="0.3">
      <c r="H13802" s="2"/>
      <c r="I13802" s="2"/>
      <c r="J13802" s="2"/>
      <c r="K13802" s="2"/>
      <c r="L13802" s="2"/>
    </row>
    <row r="13803" spans="8:12" x14ac:dyDescent="0.3">
      <c r="H13803" s="2"/>
      <c r="I13803" s="2"/>
      <c r="J13803" s="2"/>
      <c r="K13803" s="2"/>
      <c r="L13803" s="2"/>
    </row>
    <row r="13804" spans="8:12" x14ac:dyDescent="0.3">
      <c r="H13804" s="2"/>
      <c r="I13804" s="2"/>
      <c r="J13804" s="2"/>
      <c r="K13804" s="2"/>
      <c r="L13804" s="2"/>
    </row>
    <row r="13805" spans="8:12" x14ac:dyDescent="0.3">
      <c r="H13805" s="2"/>
      <c r="I13805" s="2"/>
      <c r="J13805" s="2"/>
      <c r="K13805" s="2"/>
      <c r="L13805" s="2"/>
    </row>
    <row r="13806" spans="8:12" x14ac:dyDescent="0.3">
      <c r="H13806" s="2"/>
      <c r="I13806" s="2"/>
      <c r="J13806" s="2"/>
      <c r="K13806" s="2"/>
      <c r="L13806" s="2"/>
    </row>
    <row r="13807" spans="8:12" x14ac:dyDescent="0.3">
      <c r="H13807" s="2"/>
      <c r="I13807" s="2"/>
      <c r="J13807" s="2"/>
      <c r="K13807" s="2"/>
      <c r="L13807" s="2"/>
    </row>
    <row r="13808" spans="8:12" x14ac:dyDescent="0.3">
      <c r="H13808" s="2"/>
      <c r="I13808" s="2"/>
      <c r="J13808" s="2"/>
      <c r="K13808" s="2"/>
      <c r="L13808" s="2"/>
    </row>
    <row r="13809" spans="8:12" x14ac:dyDescent="0.3">
      <c r="H13809" s="2"/>
      <c r="I13809" s="2"/>
      <c r="J13809" s="2"/>
      <c r="K13809" s="2"/>
      <c r="L13809" s="2"/>
    </row>
    <row r="13810" spans="8:12" x14ac:dyDescent="0.3">
      <c r="H13810" s="2"/>
      <c r="I13810" s="2"/>
      <c r="J13810" s="2"/>
      <c r="K13810" s="2"/>
      <c r="L13810" s="2"/>
    </row>
    <row r="13811" spans="8:12" x14ac:dyDescent="0.3">
      <c r="H13811" s="2"/>
      <c r="I13811" s="2"/>
      <c r="J13811" s="2"/>
      <c r="K13811" s="2"/>
      <c r="L13811" s="2"/>
    </row>
    <row r="13812" spans="8:12" x14ac:dyDescent="0.3">
      <c r="H13812" s="2"/>
      <c r="I13812" s="2"/>
      <c r="J13812" s="2"/>
      <c r="K13812" s="2"/>
      <c r="L13812" s="2"/>
    </row>
    <row r="13813" spans="8:12" x14ac:dyDescent="0.3">
      <c r="H13813" s="2"/>
      <c r="I13813" s="2"/>
      <c r="J13813" s="2"/>
      <c r="K13813" s="2"/>
      <c r="L13813" s="2"/>
    </row>
    <row r="13814" spans="8:12" x14ac:dyDescent="0.3">
      <c r="H13814" s="2"/>
      <c r="I13814" s="2"/>
      <c r="J13814" s="2"/>
      <c r="K13814" s="2"/>
      <c r="L13814" s="2"/>
    </row>
    <row r="13815" spans="8:12" x14ac:dyDescent="0.3">
      <c r="H13815" s="2"/>
      <c r="I13815" s="2"/>
      <c r="J13815" s="2"/>
      <c r="K13815" s="2"/>
      <c r="L13815" s="2"/>
    </row>
    <row r="13816" spans="8:12" x14ac:dyDescent="0.3">
      <c r="H13816" s="2"/>
      <c r="I13816" s="2"/>
      <c r="J13816" s="2"/>
      <c r="K13816" s="2"/>
      <c r="L13816" s="2"/>
    </row>
    <row r="13817" spans="8:12" x14ac:dyDescent="0.3">
      <c r="H13817" s="2"/>
      <c r="I13817" s="2"/>
      <c r="J13817" s="2"/>
      <c r="K13817" s="2"/>
      <c r="L13817" s="2"/>
    </row>
    <row r="13818" spans="8:12" x14ac:dyDescent="0.3">
      <c r="H13818" s="2"/>
      <c r="I13818" s="2"/>
      <c r="J13818" s="2"/>
      <c r="K13818" s="2"/>
      <c r="L13818" s="2"/>
    </row>
    <row r="13819" spans="8:12" x14ac:dyDescent="0.3">
      <c r="H13819" s="2"/>
      <c r="I13819" s="2"/>
      <c r="J13819" s="2"/>
      <c r="K13819" s="2"/>
      <c r="L13819" s="2"/>
    </row>
    <row r="13820" spans="8:12" x14ac:dyDescent="0.3">
      <c r="H13820" s="2"/>
      <c r="I13820" s="2"/>
      <c r="J13820" s="2"/>
      <c r="K13820" s="2"/>
      <c r="L13820" s="2"/>
    </row>
    <row r="13821" spans="8:12" x14ac:dyDescent="0.3">
      <c r="H13821" s="2"/>
      <c r="I13821" s="2"/>
      <c r="J13821" s="2"/>
      <c r="K13821" s="2"/>
      <c r="L13821" s="2"/>
    </row>
    <row r="13822" spans="8:12" x14ac:dyDescent="0.3">
      <c r="H13822" s="2"/>
      <c r="I13822" s="2"/>
      <c r="J13822" s="2"/>
      <c r="K13822" s="2"/>
      <c r="L13822" s="2"/>
    </row>
    <row r="13823" spans="8:12" x14ac:dyDescent="0.3">
      <c r="H13823" s="2"/>
      <c r="I13823" s="2"/>
      <c r="J13823" s="2"/>
      <c r="K13823" s="2"/>
      <c r="L13823" s="2"/>
    </row>
    <row r="13824" spans="8:12" x14ac:dyDescent="0.3">
      <c r="H13824" s="2"/>
      <c r="I13824" s="2"/>
      <c r="J13824" s="2"/>
      <c r="K13824" s="2"/>
      <c r="L13824" s="2"/>
    </row>
    <row r="13825" spans="8:12" x14ac:dyDescent="0.3">
      <c r="H13825" s="2"/>
      <c r="I13825" s="2"/>
      <c r="J13825" s="2"/>
      <c r="K13825" s="2"/>
      <c r="L13825" s="2"/>
    </row>
    <row r="13826" spans="8:12" x14ac:dyDescent="0.3">
      <c r="H13826" s="2"/>
      <c r="I13826" s="2"/>
      <c r="J13826" s="2"/>
      <c r="K13826" s="2"/>
      <c r="L13826" s="2"/>
    </row>
    <row r="13827" spans="8:12" x14ac:dyDescent="0.3">
      <c r="H13827" s="2"/>
      <c r="I13827" s="2"/>
      <c r="J13827" s="2"/>
      <c r="K13827" s="2"/>
      <c r="L13827" s="2"/>
    </row>
    <row r="13828" spans="8:12" x14ac:dyDescent="0.3">
      <c r="H13828" s="2"/>
      <c r="I13828" s="2"/>
      <c r="J13828" s="2"/>
      <c r="K13828" s="2"/>
      <c r="L13828" s="2"/>
    </row>
    <row r="13829" spans="8:12" x14ac:dyDescent="0.3">
      <c r="H13829" s="2"/>
      <c r="I13829" s="2"/>
      <c r="J13829" s="2"/>
      <c r="K13829" s="2"/>
      <c r="L13829" s="2"/>
    </row>
    <row r="13830" spans="8:12" x14ac:dyDescent="0.3">
      <c r="H13830" s="2"/>
      <c r="I13830" s="2"/>
      <c r="J13830" s="2"/>
      <c r="K13830" s="2"/>
      <c r="L13830" s="2"/>
    </row>
    <row r="13831" spans="8:12" x14ac:dyDescent="0.3">
      <c r="H13831" s="2"/>
      <c r="I13831" s="2"/>
      <c r="J13831" s="2"/>
      <c r="K13831" s="2"/>
      <c r="L13831" s="2"/>
    </row>
    <row r="13832" spans="8:12" x14ac:dyDescent="0.3">
      <c r="H13832" s="2"/>
      <c r="I13832" s="2"/>
      <c r="J13832" s="2"/>
      <c r="K13832" s="2"/>
      <c r="L13832" s="2"/>
    </row>
    <row r="13833" spans="8:12" x14ac:dyDescent="0.3">
      <c r="H13833" s="2"/>
      <c r="I13833" s="2"/>
      <c r="J13833" s="2"/>
      <c r="K13833" s="2"/>
      <c r="L13833" s="2"/>
    </row>
    <row r="13834" spans="8:12" x14ac:dyDescent="0.3">
      <c r="H13834" s="2"/>
      <c r="I13834" s="2"/>
      <c r="J13834" s="2"/>
      <c r="K13834" s="2"/>
      <c r="L13834" s="2"/>
    </row>
    <row r="13835" spans="8:12" x14ac:dyDescent="0.3">
      <c r="H13835" s="2"/>
      <c r="I13835" s="2"/>
      <c r="J13835" s="2"/>
      <c r="K13835" s="2"/>
      <c r="L13835" s="2"/>
    </row>
    <row r="13836" spans="8:12" x14ac:dyDescent="0.3">
      <c r="H13836" s="2"/>
      <c r="I13836" s="2"/>
      <c r="J13836" s="2"/>
      <c r="K13836" s="2"/>
      <c r="L13836" s="2"/>
    </row>
    <row r="13837" spans="8:12" x14ac:dyDescent="0.3">
      <c r="H13837" s="2"/>
      <c r="I13837" s="2"/>
      <c r="J13837" s="2"/>
      <c r="K13837" s="2"/>
      <c r="L13837" s="2"/>
    </row>
    <row r="13838" spans="8:12" x14ac:dyDescent="0.3">
      <c r="H13838" s="2"/>
      <c r="I13838" s="2"/>
      <c r="J13838" s="2"/>
      <c r="K13838" s="2"/>
      <c r="L13838" s="2"/>
    </row>
    <row r="13839" spans="8:12" x14ac:dyDescent="0.3">
      <c r="H13839" s="2"/>
      <c r="I13839" s="2"/>
      <c r="J13839" s="2"/>
      <c r="K13839" s="2"/>
      <c r="L13839" s="2"/>
    </row>
    <row r="13840" spans="8:12" x14ac:dyDescent="0.3">
      <c r="H13840" s="2"/>
      <c r="I13840" s="2"/>
      <c r="J13840" s="2"/>
      <c r="K13840" s="2"/>
      <c r="L13840" s="2"/>
    </row>
    <row r="13841" spans="8:12" x14ac:dyDescent="0.3">
      <c r="H13841" s="2"/>
      <c r="I13841" s="2"/>
      <c r="J13841" s="2"/>
      <c r="K13841" s="2"/>
      <c r="L13841" s="2"/>
    </row>
    <row r="13842" spans="8:12" x14ac:dyDescent="0.3">
      <c r="H13842" s="2"/>
      <c r="I13842" s="2"/>
      <c r="J13842" s="2"/>
      <c r="K13842" s="2"/>
      <c r="L13842" s="2"/>
    </row>
    <row r="13843" spans="8:12" x14ac:dyDescent="0.3">
      <c r="H13843" s="2"/>
      <c r="I13843" s="2"/>
      <c r="J13843" s="2"/>
      <c r="K13843" s="2"/>
      <c r="L13843" s="2"/>
    </row>
    <row r="13844" spans="8:12" x14ac:dyDescent="0.3">
      <c r="H13844" s="2"/>
      <c r="I13844" s="2"/>
      <c r="J13844" s="2"/>
      <c r="K13844" s="2"/>
      <c r="L13844" s="2"/>
    </row>
    <row r="13845" spans="8:12" x14ac:dyDescent="0.3">
      <c r="H13845" s="2"/>
      <c r="I13845" s="2"/>
      <c r="J13845" s="2"/>
      <c r="K13845" s="2"/>
      <c r="L13845" s="2"/>
    </row>
    <row r="13846" spans="8:12" x14ac:dyDescent="0.3">
      <c r="H13846" s="2"/>
      <c r="I13846" s="2"/>
      <c r="J13846" s="2"/>
      <c r="K13846" s="2"/>
      <c r="L13846" s="2"/>
    </row>
    <row r="13847" spans="8:12" x14ac:dyDescent="0.3">
      <c r="H13847" s="2"/>
      <c r="I13847" s="2"/>
      <c r="J13847" s="2"/>
      <c r="K13847" s="2"/>
      <c r="L13847" s="2"/>
    </row>
    <row r="13848" spans="8:12" x14ac:dyDescent="0.3">
      <c r="H13848" s="2"/>
      <c r="I13848" s="2"/>
      <c r="J13848" s="2"/>
      <c r="K13848" s="2"/>
      <c r="L13848" s="2"/>
    </row>
    <row r="13849" spans="8:12" x14ac:dyDescent="0.3">
      <c r="H13849" s="2"/>
      <c r="I13849" s="2"/>
      <c r="J13849" s="2"/>
      <c r="K13849" s="2"/>
      <c r="L13849" s="2"/>
    </row>
    <row r="13850" spans="8:12" x14ac:dyDescent="0.3">
      <c r="H13850" s="2"/>
      <c r="I13850" s="2"/>
      <c r="J13850" s="2"/>
      <c r="K13850" s="2"/>
      <c r="L13850" s="2"/>
    </row>
    <row r="13851" spans="8:12" x14ac:dyDescent="0.3">
      <c r="H13851" s="2"/>
      <c r="I13851" s="2"/>
      <c r="J13851" s="2"/>
      <c r="K13851" s="2"/>
      <c r="L13851" s="2"/>
    </row>
    <row r="13852" spans="8:12" x14ac:dyDescent="0.3">
      <c r="H13852" s="2"/>
      <c r="I13852" s="2"/>
      <c r="J13852" s="2"/>
      <c r="K13852" s="2"/>
      <c r="L13852" s="2"/>
    </row>
    <row r="13853" spans="8:12" x14ac:dyDescent="0.3">
      <c r="H13853" s="2"/>
      <c r="I13853" s="2"/>
      <c r="J13853" s="2"/>
      <c r="K13853" s="2"/>
      <c r="L13853" s="2"/>
    </row>
    <row r="13854" spans="8:12" x14ac:dyDescent="0.3">
      <c r="H13854" s="2"/>
      <c r="I13854" s="2"/>
      <c r="J13854" s="2"/>
      <c r="K13854" s="2"/>
      <c r="L13854" s="2"/>
    </row>
    <row r="13855" spans="8:12" x14ac:dyDescent="0.3">
      <c r="H13855" s="2"/>
      <c r="I13855" s="2"/>
      <c r="J13855" s="2"/>
      <c r="K13855" s="2"/>
      <c r="L13855" s="2"/>
    </row>
    <row r="13856" spans="8:12" x14ac:dyDescent="0.3">
      <c r="H13856" s="2"/>
      <c r="I13856" s="2"/>
      <c r="J13856" s="2"/>
      <c r="K13856" s="2"/>
      <c r="L13856" s="2"/>
    </row>
    <row r="13857" spans="8:12" x14ac:dyDescent="0.3">
      <c r="H13857" s="2"/>
      <c r="I13857" s="2"/>
      <c r="J13857" s="2"/>
      <c r="K13857" s="2"/>
      <c r="L13857" s="2"/>
    </row>
    <row r="13858" spans="8:12" x14ac:dyDescent="0.3">
      <c r="H13858" s="2"/>
      <c r="I13858" s="2"/>
      <c r="J13858" s="2"/>
      <c r="K13858" s="2"/>
      <c r="L13858" s="2"/>
    </row>
    <row r="13859" spans="8:12" x14ac:dyDescent="0.3">
      <c r="H13859" s="2"/>
      <c r="I13859" s="2"/>
      <c r="J13859" s="2"/>
      <c r="K13859" s="2"/>
      <c r="L13859" s="2"/>
    </row>
    <row r="13860" spans="8:12" x14ac:dyDescent="0.3">
      <c r="H13860" s="2"/>
      <c r="I13860" s="2"/>
      <c r="J13860" s="2"/>
      <c r="K13860" s="2"/>
      <c r="L13860" s="2"/>
    </row>
    <row r="13861" spans="8:12" x14ac:dyDescent="0.3">
      <c r="H13861" s="2"/>
      <c r="I13861" s="2"/>
      <c r="J13861" s="2"/>
      <c r="K13861" s="2"/>
      <c r="L13861" s="2"/>
    </row>
    <row r="13862" spans="8:12" x14ac:dyDescent="0.3">
      <c r="H13862" s="2"/>
      <c r="I13862" s="2"/>
      <c r="J13862" s="2"/>
      <c r="K13862" s="2"/>
      <c r="L13862" s="2"/>
    </row>
    <row r="13863" spans="8:12" x14ac:dyDescent="0.3">
      <c r="H13863" s="2"/>
      <c r="I13863" s="2"/>
      <c r="J13863" s="2"/>
      <c r="K13863" s="2"/>
      <c r="L13863" s="2"/>
    </row>
    <row r="13864" spans="8:12" x14ac:dyDescent="0.3">
      <c r="H13864" s="2"/>
      <c r="I13864" s="2"/>
      <c r="J13864" s="2"/>
      <c r="K13864" s="2"/>
      <c r="L13864" s="2"/>
    </row>
    <row r="13865" spans="8:12" x14ac:dyDescent="0.3">
      <c r="H13865" s="2"/>
      <c r="I13865" s="2"/>
      <c r="J13865" s="2"/>
      <c r="K13865" s="2"/>
      <c r="L13865" s="2"/>
    </row>
    <row r="13866" spans="8:12" x14ac:dyDescent="0.3">
      <c r="H13866" s="2"/>
      <c r="I13866" s="2"/>
      <c r="J13866" s="2"/>
      <c r="K13866" s="2"/>
      <c r="L13866" s="2"/>
    </row>
    <row r="13867" spans="8:12" x14ac:dyDescent="0.3">
      <c r="H13867" s="2"/>
      <c r="I13867" s="2"/>
      <c r="J13867" s="2"/>
      <c r="K13867" s="2"/>
      <c r="L13867" s="2"/>
    </row>
    <row r="13868" spans="8:12" x14ac:dyDescent="0.3">
      <c r="H13868" s="2"/>
      <c r="I13868" s="2"/>
      <c r="J13868" s="2"/>
      <c r="K13868" s="2"/>
      <c r="L13868" s="2"/>
    </row>
    <row r="13869" spans="8:12" x14ac:dyDescent="0.3">
      <c r="H13869" s="2"/>
      <c r="I13869" s="2"/>
      <c r="J13869" s="2"/>
      <c r="K13869" s="2"/>
      <c r="L13869" s="2"/>
    </row>
    <row r="13870" spans="8:12" x14ac:dyDescent="0.3">
      <c r="H13870" s="2"/>
      <c r="I13870" s="2"/>
      <c r="J13870" s="2"/>
      <c r="K13870" s="2"/>
      <c r="L13870" s="2"/>
    </row>
    <row r="13871" spans="8:12" x14ac:dyDescent="0.3">
      <c r="H13871" s="2"/>
      <c r="I13871" s="2"/>
      <c r="J13871" s="2"/>
      <c r="K13871" s="2"/>
      <c r="L13871" s="2"/>
    </row>
    <row r="13872" spans="8:12" x14ac:dyDescent="0.3">
      <c r="H13872" s="2"/>
      <c r="I13872" s="2"/>
      <c r="J13872" s="2"/>
      <c r="K13872" s="2"/>
      <c r="L13872" s="2"/>
    </row>
    <row r="13873" spans="8:12" x14ac:dyDescent="0.3">
      <c r="H13873" s="2"/>
      <c r="I13873" s="2"/>
      <c r="J13873" s="2"/>
      <c r="K13873" s="2"/>
      <c r="L13873" s="2"/>
    </row>
    <row r="13874" spans="8:12" x14ac:dyDescent="0.3">
      <c r="H13874" s="2"/>
      <c r="I13874" s="2"/>
      <c r="J13874" s="2"/>
      <c r="K13874" s="2"/>
      <c r="L13874" s="2"/>
    </row>
    <row r="13875" spans="8:12" x14ac:dyDescent="0.3">
      <c r="H13875" s="2"/>
      <c r="I13875" s="2"/>
      <c r="J13875" s="2"/>
      <c r="K13875" s="2"/>
      <c r="L13875" s="2"/>
    </row>
    <row r="13876" spans="8:12" x14ac:dyDescent="0.3">
      <c r="H13876" s="2"/>
      <c r="I13876" s="2"/>
      <c r="J13876" s="2"/>
      <c r="K13876" s="2"/>
      <c r="L13876" s="2"/>
    </row>
    <row r="13877" spans="8:12" x14ac:dyDescent="0.3">
      <c r="H13877" s="2"/>
      <c r="I13877" s="2"/>
      <c r="J13877" s="2"/>
      <c r="K13877" s="2"/>
      <c r="L13877" s="2"/>
    </row>
    <row r="13878" spans="8:12" x14ac:dyDescent="0.3">
      <c r="H13878" s="2"/>
      <c r="I13878" s="2"/>
      <c r="J13878" s="2"/>
      <c r="K13878" s="2"/>
      <c r="L13878" s="2"/>
    </row>
    <row r="13879" spans="8:12" x14ac:dyDescent="0.3">
      <c r="H13879" s="2"/>
      <c r="I13879" s="2"/>
      <c r="J13879" s="2"/>
      <c r="K13879" s="2"/>
      <c r="L13879" s="2"/>
    </row>
    <row r="13880" spans="8:12" x14ac:dyDescent="0.3">
      <c r="H13880" s="2"/>
      <c r="I13880" s="2"/>
      <c r="J13880" s="2"/>
      <c r="K13880" s="2"/>
      <c r="L13880" s="2"/>
    </row>
    <row r="13881" spans="8:12" x14ac:dyDescent="0.3">
      <c r="H13881" s="2"/>
      <c r="I13881" s="2"/>
      <c r="J13881" s="2"/>
      <c r="K13881" s="2"/>
      <c r="L13881" s="2"/>
    </row>
    <row r="13882" spans="8:12" x14ac:dyDescent="0.3">
      <c r="H13882" s="2"/>
      <c r="I13882" s="2"/>
      <c r="J13882" s="2"/>
      <c r="K13882" s="2"/>
      <c r="L13882" s="2"/>
    </row>
    <row r="13883" spans="8:12" x14ac:dyDescent="0.3">
      <c r="H13883" s="2"/>
      <c r="I13883" s="2"/>
      <c r="J13883" s="2"/>
      <c r="K13883" s="2"/>
      <c r="L13883" s="2"/>
    </row>
    <row r="13884" spans="8:12" x14ac:dyDescent="0.3">
      <c r="H13884" s="2"/>
      <c r="I13884" s="2"/>
      <c r="J13884" s="2"/>
      <c r="K13884" s="2"/>
      <c r="L13884" s="2"/>
    </row>
    <row r="13885" spans="8:12" x14ac:dyDescent="0.3">
      <c r="H13885" s="2"/>
      <c r="I13885" s="2"/>
      <c r="J13885" s="2"/>
      <c r="K13885" s="2"/>
      <c r="L13885" s="2"/>
    </row>
    <row r="13886" spans="8:12" x14ac:dyDescent="0.3">
      <c r="H13886" s="2"/>
      <c r="I13886" s="2"/>
      <c r="J13886" s="2"/>
      <c r="K13886" s="2"/>
      <c r="L13886" s="2"/>
    </row>
    <row r="13887" spans="8:12" x14ac:dyDescent="0.3">
      <c r="H13887" s="2"/>
      <c r="I13887" s="2"/>
      <c r="J13887" s="2"/>
      <c r="K13887" s="2"/>
      <c r="L13887" s="2"/>
    </row>
    <row r="13888" spans="8:12" x14ac:dyDescent="0.3">
      <c r="H13888" s="2"/>
      <c r="I13888" s="2"/>
      <c r="J13888" s="2"/>
      <c r="K13888" s="2"/>
      <c r="L13888" s="2"/>
    </row>
    <row r="13889" spans="8:12" x14ac:dyDescent="0.3">
      <c r="H13889" s="2"/>
      <c r="I13889" s="2"/>
      <c r="J13889" s="2"/>
      <c r="K13889" s="2"/>
      <c r="L13889" s="2"/>
    </row>
    <row r="13890" spans="8:12" x14ac:dyDescent="0.3">
      <c r="H13890" s="2"/>
      <c r="I13890" s="2"/>
      <c r="J13890" s="2"/>
      <c r="K13890" s="2"/>
      <c r="L13890" s="2"/>
    </row>
    <row r="13891" spans="8:12" x14ac:dyDescent="0.3">
      <c r="H13891" s="2"/>
      <c r="I13891" s="2"/>
      <c r="J13891" s="2"/>
      <c r="K13891" s="2"/>
      <c r="L13891" s="2"/>
    </row>
    <row r="13892" spans="8:12" x14ac:dyDescent="0.3">
      <c r="H13892" s="2"/>
      <c r="I13892" s="2"/>
      <c r="J13892" s="2"/>
      <c r="K13892" s="2"/>
      <c r="L13892" s="2"/>
    </row>
    <row r="13893" spans="8:12" x14ac:dyDescent="0.3">
      <c r="H13893" s="2"/>
      <c r="I13893" s="2"/>
      <c r="J13893" s="2"/>
      <c r="K13893" s="2"/>
      <c r="L13893" s="2"/>
    </row>
    <row r="13894" spans="8:12" x14ac:dyDescent="0.3">
      <c r="H13894" s="2"/>
      <c r="I13894" s="2"/>
      <c r="J13894" s="2"/>
      <c r="K13894" s="2"/>
      <c r="L13894" s="2"/>
    </row>
    <row r="13895" spans="8:12" x14ac:dyDescent="0.3">
      <c r="H13895" s="2"/>
      <c r="I13895" s="2"/>
      <c r="J13895" s="2"/>
      <c r="K13895" s="2"/>
      <c r="L13895" s="2"/>
    </row>
    <row r="13896" spans="8:12" x14ac:dyDescent="0.3">
      <c r="H13896" s="2"/>
      <c r="I13896" s="2"/>
      <c r="J13896" s="2"/>
      <c r="K13896" s="2"/>
      <c r="L13896" s="2"/>
    </row>
    <row r="13897" spans="8:12" x14ac:dyDescent="0.3">
      <c r="H13897" s="2"/>
      <c r="I13897" s="2"/>
      <c r="J13897" s="2"/>
      <c r="K13897" s="2"/>
      <c r="L13897" s="2"/>
    </row>
    <row r="13898" spans="8:12" x14ac:dyDescent="0.3">
      <c r="H13898" s="2"/>
      <c r="I13898" s="2"/>
      <c r="J13898" s="2"/>
      <c r="K13898" s="2"/>
      <c r="L13898" s="2"/>
    </row>
    <row r="13899" spans="8:12" x14ac:dyDescent="0.3">
      <c r="H13899" s="2"/>
      <c r="I13899" s="2"/>
      <c r="J13899" s="2"/>
      <c r="K13899" s="2"/>
      <c r="L13899" s="2"/>
    </row>
    <row r="13900" spans="8:12" x14ac:dyDescent="0.3">
      <c r="H13900" s="2"/>
      <c r="I13900" s="2"/>
      <c r="J13900" s="2"/>
      <c r="K13900" s="2"/>
      <c r="L13900" s="2"/>
    </row>
    <row r="13901" spans="8:12" x14ac:dyDescent="0.3">
      <c r="H13901" s="2"/>
      <c r="I13901" s="2"/>
      <c r="J13901" s="2"/>
      <c r="K13901" s="2"/>
      <c r="L13901" s="2"/>
    </row>
    <row r="13902" spans="8:12" x14ac:dyDescent="0.3">
      <c r="H13902" s="2"/>
      <c r="I13902" s="2"/>
      <c r="J13902" s="2"/>
      <c r="K13902" s="2"/>
      <c r="L13902" s="2"/>
    </row>
    <row r="13903" spans="8:12" x14ac:dyDescent="0.3">
      <c r="H13903" s="2"/>
      <c r="I13903" s="2"/>
      <c r="J13903" s="2"/>
      <c r="K13903" s="2"/>
      <c r="L13903" s="2"/>
    </row>
    <row r="13904" spans="8:12" x14ac:dyDescent="0.3">
      <c r="H13904" s="2"/>
      <c r="I13904" s="2"/>
      <c r="J13904" s="2"/>
      <c r="K13904" s="2"/>
      <c r="L13904" s="2"/>
    </row>
    <row r="13905" spans="8:12" x14ac:dyDescent="0.3">
      <c r="H13905" s="2"/>
      <c r="I13905" s="2"/>
      <c r="J13905" s="2"/>
      <c r="K13905" s="2"/>
      <c r="L13905" s="2"/>
    </row>
    <row r="13906" spans="8:12" x14ac:dyDescent="0.3">
      <c r="H13906" s="2"/>
      <c r="I13906" s="2"/>
      <c r="J13906" s="2"/>
      <c r="K13906" s="2"/>
      <c r="L13906" s="2"/>
    </row>
    <row r="13907" spans="8:12" x14ac:dyDescent="0.3">
      <c r="H13907" s="2"/>
      <c r="I13907" s="2"/>
      <c r="J13907" s="2"/>
      <c r="K13907" s="2"/>
      <c r="L13907" s="2"/>
    </row>
    <row r="13908" spans="8:12" x14ac:dyDescent="0.3">
      <c r="H13908" s="2"/>
      <c r="I13908" s="2"/>
      <c r="J13908" s="2"/>
      <c r="K13908" s="2"/>
      <c r="L13908" s="2"/>
    </row>
    <row r="13909" spans="8:12" x14ac:dyDescent="0.3">
      <c r="H13909" s="2"/>
      <c r="I13909" s="2"/>
      <c r="J13909" s="2"/>
      <c r="K13909" s="2"/>
      <c r="L13909" s="2"/>
    </row>
    <row r="13910" spans="8:12" x14ac:dyDescent="0.3">
      <c r="H13910" s="2"/>
      <c r="I13910" s="2"/>
      <c r="J13910" s="2"/>
      <c r="K13910" s="2"/>
      <c r="L13910" s="2"/>
    </row>
    <row r="13911" spans="8:12" x14ac:dyDescent="0.3">
      <c r="H13911" s="2"/>
      <c r="I13911" s="2"/>
      <c r="J13911" s="2"/>
      <c r="K13911" s="2"/>
      <c r="L13911" s="2"/>
    </row>
    <row r="13912" spans="8:12" x14ac:dyDescent="0.3">
      <c r="H13912" s="2"/>
      <c r="I13912" s="2"/>
      <c r="J13912" s="2"/>
      <c r="K13912" s="2"/>
      <c r="L13912" s="2"/>
    </row>
    <row r="13913" spans="8:12" x14ac:dyDescent="0.3">
      <c r="H13913" s="2"/>
      <c r="I13913" s="2"/>
      <c r="J13913" s="2"/>
      <c r="K13913" s="2"/>
      <c r="L13913" s="2"/>
    </row>
    <row r="13914" spans="8:12" x14ac:dyDescent="0.3">
      <c r="H13914" s="2"/>
      <c r="I13914" s="2"/>
      <c r="J13914" s="2"/>
      <c r="K13914" s="2"/>
      <c r="L13914" s="2"/>
    </row>
    <row r="13915" spans="8:12" x14ac:dyDescent="0.3">
      <c r="H13915" s="2"/>
      <c r="I13915" s="2"/>
      <c r="J13915" s="2"/>
      <c r="K13915" s="2"/>
      <c r="L13915" s="2"/>
    </row>
    <row r="13916" spans="8:12" x14ac:dyDescent="0.3">
      <c r="H13916" s="2"/>
      <c r="I13916" s="2"/>
      <c r="J13916" s="2"/>
      <c r="K13916" s="2"/>
      <c r="L13916" s="2"/>
    </row>
    <row r="13917" spans="8:12" x14ac:dyDescent="0.3">
      <c r="H13917" s="2"/>
      <c r="I13917" s="2"/>
      <c r="J13917" s="2"/>
      <c r="K13917" s="2"/>
      <c r="L13917" s="2"/>
    </row>
    <row r="13918" spans="8:12" x14ac:dyDescent="0.3">
      <c r="H13918" s="2"/>
      <c r="I13918" s="2"/>
      <c r="J13918" s="2"/>
      <c r="K13918" s="2"/>
      <c r="L13918" s="2"/>
    </row>
    <row r="13919" spans="8:12" x14ac:dyDescent="0.3">
      <c r="H13919" s="2"/>
      <c r="I13919" s="2"/>
      <c r="J13919" s="2"/>
      <c r="K13919" s="2"/>
      <c r="L13919" s="2"/>
    </row>
    <row r="13920" spans="8:12" x14ac:dyDescent="0.3">
      <c r="H13920" s="2"/>
      <c r="I13920" s="2"/>
      <c r="J13920" s="2"/>
      <c r="K13920" s="2"/>
      <c r="L13920" s="2"/>
    </row>
    <row r="13921" spans="8:12" x14ac:dyDescent="0.3">
      <c r="H13921" s="2"/>
      <c r="I13921" s="2"/>
      <c r="J13921" s="2"/>
      <c r="K13921" s="2"/>
      <c r="L13921" s="2"/>
    </row>
    <row r="13922" spans="8:12" x14ac:dyDescent="0.3">
      <c r="H13922" s="2"/>
      <c r="I13922" s="2"/>
      <c r="J13922" s="2"/>
      <c r="K13922" s="2"/>
      <c r="L13922" s="2"/>
    </row>
    <row r="13923" spans="8:12" x14ac:dyDescent="0.3">
      <c r="H13923" s="2"/>
      <c r="I13923" s="2"/>
      <c r="J13923" s="2"/>
      <c r="K13923" s="2"/>
      <c r="L13923" s="2"/>
    </row>
    <row r="13924" spans="8:12" x14ac:dyDescent="0.3">
      <c r="H13924" s="2"/>
      <c r="I13924" s="2"/>
      <c r="J13924" s="2"/>
      <c r="K13924" s="2"/>
      <c r="L13924" s="2"/>
    </row>
    <row r="13925" spans="8:12" x14ac:dyDescent="0.3">
      <c r="H13925" s="2"/>
      <c r="I13925" s="2"/>
      <c r="J13925" s="2"/>
      <c r="K13925" s="2"/>
      <c r="L13925" s="2"/>
    </row>
    <row r="13926" spans="8:12" x14ac:dyDescent="0.3">
      <c r="H13926" s="2"/>
      <c r="I13926" s="2"/>
      <c r="J13926" s="2"/>
      <c r="K13926" s="2"/>
      <c r="L13926" s="2"/>
    </row>
    <row r="13927" spans="8:12" x14ac:dyDescent="0.3">
      <c r="H13927" s="2"/>
      <c r="I13927" s="2"/>
      <c r="J13927" s="2"/>
      <c r="K13927" s="2"/>
      <c r="L13927" s="2"/>
    </row>
    <row r="13928" spans="8:12" x14ac:dyDescent="0.3">
      <c r="H13928" s="2"/>
      <c r="I13928" s="2"/>
      <c r="J13928" s="2"/>
      <c r="K13928" s="2"/>
      <c r="L13928" s="2"/>
    </row>
    <row r="13929" spans="8:12" x14ac:dyDescent="0.3">
      <c r="H13929" s="2"/>
      <c r="I13929" s="2"/>
      <c r="J13929" s="2"/>
      <c r="K13929" s="2"/>
      <c r="L13929" s="2"/>
    </row>
    <row r="13930" spans="8:12" x14ac:dyDescent="0.3">
      <c r="H13930" s="2"/>
      <c r="I13930" s="2"/>
      <c r="J13930" s="2"/>
      <c r="K13930" s="2"/>
      <c r="L13930" s="2"/>
    </row>
    <row r="13931" spans="8:12" x14ac:dyDescent="0.3">
      <c r="H13931" s="2"/>
      <c r="I13931" s="2"/>
      <c r="J13931" s="2"/>
      <c r="K13931" s="2"/>
      <c r="L13931" s="2"/>
    </row>
    <row r="13932" spans="8:12" x14ac:dyDescent="0.3">
      <c r="H13932" s="2"/>
      <c r="I13932" s="2"/>
      <c r="J13932" s="2"/>
      <c r="K13932" s="2"/>
      <c r="L13932" s="2"/>
    </row>
    <row r="13933" spans="8:12" x14ac:dyDescent="0.3">
      <c r="H13933" s="2"/>
      <c r="I13933" s="2"/>
      <c r="J13933" s="2"/>
      <c r="K13933" s="2"/>
      <c r="L13933" s="2"/>
    </row>
    <row r="13934" spans="8:12" x14ac:dyDescent="0.3">
      <c r="H13934" s="2"/>
      <c r="I13934" s="2"/>
      <c r="J13934" s="2"/>
      <c r="K13934" s="2"/>
      <c r="L13934" s="2"/>
    </row>
    <row r="13935" spans="8:12" x14ac:dyDescent="0.3">
      <c r="H13935" s="2"/>
      <c r="I13935" s="2"/>
      <c r="J13935" s="2"/>
      <c r="K13935" s="2"/>
      <c r="L13935" s="2"/>
    </row>
    <row r="13936" spans="8:12" x14ac:dyDescent="0.3">
      <c r="H13936" s="2"/>
      <c r="I13936" s="2"/>
      <c r="J13936" s="2"/>
      <c r="K13936" s="2"/>
      <c r="L13936" s="2"/>
    </row>
    <row r="13937" spans="8:12" x14ac:dyDescent="0.3">
      <c r="H13937" s="2"/>
      <c r="I13937" s="2"/>
      <c r="J13937" s="2"/>
      <c r="K13937" s="2"/>
      <c r="L13937" s="2"/>
    </row>
    <row r="13938" spans="8:12" x14ac:dyDescent="0.3">
      <c r="H13938" s="2"/>
      <c r="I13938" s="2"/>
      <c r="J13938" s="2"/>
      <c r="K13938" s="2"/>
      <c r="L13938" s="2"/>
    </row>
    <row r="13939" spans="8:12" x14ac:dyDescent="0.3">
      <c r="H13939" s="2"/>
      <c r="I13939" s="2"/>
      <c r="J13939" s="2"/>
      <c r="K13939" s="2"/>
      <c r="L13939" s="2"/>
    </row>
    <row r="13940" spans="8:12" x14ac:dyDescent="0.3">
      <c r="H13940" s="2"/>
      <c r="I13940" s="2"/>
      <c r="J13940" s="2"/>
      <c r="K13940" s="2"/>
      <c r="L13940" s="2"/>
    </row>
    <row r="13941" spans="8:12" x14ac:dyDescent="0.3">
      <c r="H13941" s="2"/>
      <c r="I13941" s="2"/>
      <c r="J13941" s="2"/>
      <c r="K13941" s="2"/>
      <c r="L13941" s="2"/>
    </row>
    <row r="13942" spans="8:12" x14ac:dyDescent="0.3">
      <c r="H13942" s="2"/>
      <c r="I13942" s="2"/>
      <c r="J13942" s="2"/>
      <c r="K13942" s="2"/>
      <c r="L13942" s="2"/>
    </row>
    <row r="13943" spans="8:12" x14ac:dyDescent="0.3">
      <c r="H13943" s="2"/>
      <c r="I13943" s="2"/>
      <c r="J13943" s="2"/>
      <c r="K13943" s="2"/>
      <c r="L13943" s="2"/>
    </row>
    <row r="13944" spans="8:12" x14ac:dyDescent="0.3">
      <c r="H13944" s="2"/>
      <c r="I13944" s="2"/>
      <c r="J13944" s="2"/>
      <c r="K13944" s="2"/>
      <c r="L13944" s="2"/>
    </row>
    <row r="13945" spans="8:12" x14ac:dyDescent="0.3">
      <c r="H13945" s="2"/>
      <c r="I13945" s="2"/>
      <c r="J13945" s="2"/>
      <c r="K13945" s="2"/>
      <c r="L13945" s="2"/>
    </row>
    <row r="13946" spans="8:12" x14ac:dyDescent="0.3">
      <c r="H13946" s="2"/>
      <c r="I13946" s="2"/>
      <c r="J13946" s="2"/>
      <c r="K13946" s="2"/>
      <c r="L13946" s="2"/>
    </row>
    <row r="13947" spans="8:12" x14ac:dyDescent="0.3">
      <c r="H13947" s="2"/>
      <c r="I13947" s="2"/>
      <c r="J13947" s="2"/>
      <c r="K13947" s="2"/>
      <c r="L13947" s="2"/>
    </row>
    <row r="13948" spans="8:12" x14ac:dyDescent="0.3">
      <c r="H13948" s="2"/>
      <c r="I13948" s="2"/>
      <c r="J13948" s="2"/>
      <c r="K13948" s="2"/>
      <c r="L13948" s="2"/>
    </row>
    <row r="13949" spans="8:12" x14ac:dyDescent="0.3">
      <c r="H13949" s="2"/>
      <c r="I13949" s="2"/>
      <c r="J13949" s="2"/>
      <c r="K13949" s="2"/>
      <c r="L13949" s="2"/>
    </row>
    <row r="13950" spans="8:12" x14ac:dyDescent="0.3">
      <c r="H13950" s="2"/>
      <c r="I13950" s="2"/>
      <c r="J13950" s="2"/>
      <c r="K13950" s="2"/>
      <c r="L13950" s="2"/>
    </row>
    <row r="13951" spans="8:12" x14ac:dyDescent="0.3">
      <c r="H13951" s="2"/>
      <c r="I13951" s="2"/>
      <c r="J13951" s="2"/>
      <c r="K13951" s="2"/>
      <c r="L13951" s="2"/>
    </row>
    <row r="13952" spans="8:12" x14ac:dyDescent="0.3">
      <c r="H13952" s="2"/>
      <c r="I13952" s="2"/>
      <c r="J13952" s="2"/>
      <c r="K13952" s="2"/>
      <c r="L13952" s="2"/>
    </row>
    <row r="13953" spans="8:12" x14ac:dyDescent="0.3">
      <c r="H13953" s="2"/>
      <c r="I13953" s="2"/>
      <c r="J13953" s="2"/>
      <c r="K13953" s="2"/>
      <c r="L13953" s="2"/>
    </row>
    <row r="13954" spans="8:12" x14ac:dyDescent="0.3">
      <c r="H13954" s="2"/>
      <c r="I13954" s="2"/>
      <c r="J13954" s="2"/>
      <c r="K13954" s="2"/>
      <c r="L13954" s="2"/>
    </row>
    <row r="13955" spans="8:12" x14ac:dyDescent="0.3">
      <c r="H13955" s="2"/>
      <c r="I13955" s="2"/>
      <c r="J13955" s="2"/>
      <c r="K13955" s="2"/>
      <c r="L13955" s="2"/>
    </row>
    <row r="13956" spans="8:12" x14ac:dyDescent="0.3">
      <c r="H13956" s="2"/>
      <c r="I13956" s="2"/>
      <c r="J13956" s="2"/>
      <c r="K13956" s="2"/>
      <c r="L13956" s="2"/>
    </row>
    <row r="13957" spans="8:12" x14ac:dyDescent="0.3">
      <c r="H13957" s="2"/>
      <c r="I13957" s="2"/>
      <c r="J13957" s="2"/>
      <c r="K13957" s="2"/>
      <c r="L13957" s="2"/>
    </row>
    <row r="13958" spans="8:12" x14ac:dyDescent="0.3">
      <c r="H13958" s="2"/>
      <c r="I13958" s="2"/>
      <c r="J13958" s="2"/>
      <c r="K13958" s="2"/>
      <c r="L13958" s="2"/>
    </row>
    <row r="13959" spans="8:12" x14ac:dyDescent="0.3">
      <c r="H13959" s="2"/>
      <c r="I13959" s="2"/>
      <c r="J13959" s="2"/>
      <c r="K13959" s="2"/>
      <c r="L13959" s="2"/>
    </row>
    <row r="13960" spans="8:12" x14ac:dyDescent="0.3">
      <c r="H13960" s="2"/>
      <c r="I13960" s="2"/>
      <c r="J13960" s="2"/>
      <c r="K13960" s="2"/>
      <c r="L13960" s="2"/>
    </row>
    <row r="13961" spans="8:12" x14ac:dyDescent="0.3">
      <c r="H13961" s="2"/>
      <c r="I13961" s="2"/>
      <c r="J13961" s="2"/>
      <c r="K13961" s="2"/>
      <c r="L13961" s="2"/>
    </row>
    <row r="13962" spans="8:12" x14ac:dyDescent="0.3">
      <c r="H13962" s="2"/>
      <c r="I13962" s="2"/>
      <c r="J13962" s="2"/>
      <c r="K13962" s="2"/>
      <c r="L13962" s="2"/>
    </row>
    <row r="13963" spans="8:12" x14ac:dyDescent="0.3">
      <c r="H13963" s="2"/>
      <c r="I13963" s="2"/>
      <c r="J13963" s="2"/>
      <c r="K13963" s="2"/>
      <c r="L13963" s="2"/>
    </row>
    <row r="13964" spans="8:12" x14ac:dyDescent="0.3">
      <c r="H13964" s="2"/>
      <c r="I13964" s="2"/>
      <c r="J13964" s="2"/>
      <c r="K13964" s="2"/>
      <c r="L13964" s="2"/>
    </row>
    <row r="13965" spans="8:12" x14ac:dyDescent="0.3">
      <c r="H13965" s="2"/>
      <c r="I13965" s="2"/>
      <c r="J13965" s="2"/>
      <c r="K13965" s="2"/>
      <c r="L13965" s="2"/>
    </row>
    <row r="13966" spans="8:12" x14ac:dyDescent="0.3">
      <c r="H13966" s="2"/>
      <c r="I13966" s="2"/>
      <c r="J13966" s="2"/>
      <c r="K13966" s="2"/>
      <c r="L13966" s="2"/>
    </row>
    <row r="13967" spans="8:12" x14ac:dyDescent="0.3">
      <c r="H13967" s="2"/>
      <c r="I13967" s="2"/>
      <c r="J13967" s="2"/>
      <c r="K13967" s="2"/>
      <c r="L13967" s="2"/>
    </row>
    <row r="13968" spans="8:12" x14ac:dyDescent="0.3">
      <c r="H13968" s="2"/>
      <c r="I13968" s="2"/>
      <c r="J13968" s="2"/>
      <c r="K13968" s="2"/>
      <c r="L13968" s="2"/>
    </row>
    <row r="13969" spans="8:12" x14ac:dyDescent="0.3">
      <c r="H13969" s="2"/>
      <c r="I13969" s="2"/>
      <c r="J13969" s="2"/>
      <c r="K13969" s="2"/>
      <c r="L13969" s="2"/>
    </row>
    <row r="13970" spans="8:12" x14ac:dyDescent="0.3">
      <c r="H13970" s="2"/>
      <c r="I13970" s="2"/>
      <c r="J13970" s="2"/>
      <c r="K13970" s="2"/>
      <c r="L13970" s="2"/>
    </row>
    <row r="13971" spans="8:12" x14ac:dyDescent="0.3">
      <c r="H13971" s="2"/>
      <c r="I13971" s="2"/>
      <c r="J13971" s="2"/>
      <c r="K13971" s="2"/>
      <c r="L13971" s="2"/>
    </row>
    <row r="13972" spans="8:12" x14ac:dyDescent="0.3">
      <c r="H13972" s="2"/>
      <c r="I13972" s="2"/>
      <c r="J13972" s="2"/>
      <c r="K13972" s="2"/>
      <c r="L13972" s="2"/>
    </row>
    <row r="13973" spans="8:12" x14ac:dyDescent="0.3">
      <c r="H13973" s="2"/>
      <c r="I13973" s="2"/>
      <c r="J13973" s="2"/>
      <c r="K13973" s="2"/>
      <c r="L13973" s="2"/>
    </row>
    <row r="13974" spans="8:12" x14ac:dyDescent="0.3">
      <c r="H13974" s="2"/>
      <c r="I13974" s="2"/>
      <c r="J13974" s="2"/>
      <c r="K13974" s="2"/>
      <c r="L13974" s="2"/>
    </row>
    <row r="13975" spans="8:12" x14ac:dyDescent="0.3">
      <c r="H13975" s="2"/>
      <c r="I13975" s="2"/>
      <c r="J13975" s="2"/>
      <c r="K13975" s="2"/>
      <c r="L13975" s="2"/>
    </row>
    <row r="13976" spans="8:12" x14ac:dyDescent="0.3">
      <c r="H13976" s="2"/>
      <c r="I13976" s="2"/>
      <c r="J13976" s="2"/>
      <c r="K13976" s="2"/>
      <c r="L13976" s="2"/>
    </row>
    <row r="13977" spans="8:12" x14ac:dyDescent="0.3">
      <c r="H13977" s="2"/>
      <c r="I13977" s="2"/>
      <c r="J13977" s="2"/>
      <c r="K13977" s="2"/>
      <c r="L13977" s="2"/>
    </row>
    <row r="13978" spans="8:12" x14ac:dyDescent="0.3">
      <c r="H13978" s="2"/>
      <c r="I13978" s="2"/>
      <c r="J13978" s="2"/>
      <c r="K13978" s="2"/>
      <c r="L13978" s="2"/>
    </row>
    <row r="13979" spans="8:12" x14ac:dyDescent="0.3">
      <c r="H13979" s="2"/>
      <c r="I13979" s="2"/>
      <c r="J13979" s="2"/>
      <c r="K13979" s="2"/>
      <c r="L13979" s="2"/>
    </row>
    <row r="13980" spans="8:12" x14ac:dyDescent="0.3">
      <c r="H13980" s="2"/>
      <c r="I13980" s="2"/>
      <c r="J13980" s="2"/>
      <c r="K13980" s="2"/>
      <c r="L13980" s="2"/>
    </row>
    <row r="13981" spans="8:12" x14ac:dyDescent="0.3">
      <c r="H13981" s="2"/>
      <c r="I13981" s="2"/>
      <c r="J13981" s="2"/>
      <c r="K13981" s="2"/>
      <c r="L13981" s="2"/>
    </row>
    <row r="13982" spans="8:12" x14ac:dyDescent="0.3">
      <c r="H13982" s="2"/>
      <c r="I13982" s="2"/>
      <c r="J13982" s="2"/>
      <c r="K13982" s="2"/>
      <c r="L13982" s="2"/>
    </row>
    <row r="13983" spans="8:12" x14ac:dyDescent="0.3">
      <c r="H13983" s="2"/>
      <c r="I13983" s="2"/>
      <c r="J13983" s="2"/>
      <c r="K13983" s="2"/>
      <c r="L13983" s="2"/>
    </row>
    <row r="13984" spans="8:12" x14ac:dyDescent="0.3">
      <c r="H13984" s="2"/>
      <c r="I13984" s="2"/>
      <c r="J13984" s="2"/>
      <c r="K13984" s="2"/>
      <c r="L13984" s="2"/>
    </row>
    <row r="13985" spans="8:12" x14ac:dyDescent="0.3">
      <c r="H13985" s="2"/>
      <c r="I13985" s="2"/>
      <c r="J13985" s="2"/>
      <c r="K13985" s="2"/>
      <c r="L13985" s="2"/>
    </row>
    <row r="13986" spans="8:12" x14ac:dyDescent="0.3">
      <c r="H13986" s="2"/>
      <c r="I13986" s="2"/>
      <c r="J13986" s="2"/>
      <c r="K13986" s="2"/>
      <c r="L13986" s="2"/>
    </row>
    <row r="13987" spans="8:12" x14ac:dyDescent="0.3">
      <c r="H13987" s="2"/>
      <c r="I13987" s="2"/>
      <c r="J13987" s="2"/>
      <c r="K13987" s="2"/>
      <c r="L13987" s="2"/>
    </row>
    <row r="13988" spans="8:12" x14ac:dyDescent="0.3">
      <c r="H13988" s="2"/>
      <c r="I13988" s="2"/>
      <c r="J13988" s="2"/>
      <c r="K13988" s="2"/>
      <c r="L13988" s="2"/>
    </row>
    <row r="13989" spans="8:12" x14ac:dyDescent="0.3">
      <c r="H13989" s="2"/>
      <c r="I13989" s="2"/>
      <c r="J13989" s="2"/>
      <c r="K13989" s="2"/>
      <c r="L13989" s="2"/>
    </row>
    <row r="13990" spans="8:12" x14ac:dyDescent="0.3">
      <c r="H13990" s="2"/>
      <c r="I13990" s="2"/>
      <c r="J13990" s="2"/>
      <c r="K13990" s="2"/>
      <c r="L13990" s="2"/>
    </row>
    <row r="13991" spans="8:12" x14ac:dyDescent="0.3">
      <c r="H13991" s="2"/>
      <c r="I13991" s="2"/>
      <c r="J13991" s="2"/>
      <c r="K13991" s="2"/>
      <c r="L13991" s="2"/>
    </row>
    <row r="13992" spans="8:12" x14ac:dyDescent="0.3">
      <c r="H13992" s="2"/>
      <c r="I13992" s="2"/>
      <c r="J13992" s="2"/>
      <c r="K13992" s="2"/>
      <c r="L13992" s="2"/>
    </row>
    <row r="13993" spans="8:12" x14ac:dyDescent="0.3">
      <c r="H13993" s="2"/>
      <c r="I13993" s="2"/>
      <c r="J13993" s="2"/>
      <c r="K13993" s="2"/>
      <c r="L13993" s="2"/>
    </row>
    <row r="13994" spans="8:12" x14ac:dyDescent="0.3">
      <c r="H13994" s="2"/>
      <c r="I13994" s="2"/>
      <c r="J13994" s="2"/>
      <c r="K13994" s="2"/>
      <c r="L13994" s="2"/>
    </row>
    <row r="13995" spans="8:12" x14ac:dyDescent="0.3">
      <c r="H13995" s="2"/>
      <c r="I13995" s="2"/>
      <c r="J13995" s="2"/>
      <c r="K13995" s="2"/>
      <c r="L13995" s="2"/>
    </row>
    <row r="13996" spans="8:12" x14ac:dyDescent="0.3">
      <c r="H13996" s="2"/>
      <c r="I13996" s="2"/>
      <c r="J13996" s="2"/>
      <c r="K13996" s="2"/>
      <c r="L13996" s="2"/>
    </row>
    <row r="13997" spans="8:12" x14ac:dyDescent="0.3">
      <c r="H13997" s="2"/>
      <c r="I13997" s="2"/>
      <c r="J13997" s="2"/>
      <c r="K13997" s="2"/>
      <c r="L13997" s="2"/>
    </row>
    <row r="13998" spans="8:12" x14ac:dyDescent="0.3">
      <c r="H13998" s="2"/>
      <c r="I13998" s="2"/>
      <c r="J13998" s="2"/>
      <c r="K13998" s="2"/>
      <c r="L13998" s="2"/>
    </row>
    <row r="13999" spans="8:12" x14ac:dyDescent="0.3">
      <c r="H13999" s="2"/>
      <c r="I13999" s="2"/>
      <c r="J13999" s="2"/>
      <c r="K13999" s="2"/>
      <c r="L13999" s="2"/>
    </row>
    <row r="14000" spans="8:12" x14ac:dyDescent="0.3">
      <c r="H14000" s="2"/>
      <c r="I14000" s="2"/>
      <c r="J14000" s="2"/>
      <c r="K14000" s="2"/>
      <c r="L14000" s="2"/>
    </row>
    <row r="14001" spans="8:12" x14ac:dyDescent="0.3">
      <c r="H14001" s="2"/>
      <c r="I14001" s="2"/>
      <c r="J14001" s="2"/>
      <c r="K14001" s="2"/>
      <c r="L14001" s="2"/>
    </row>
    <row r="14002" spans="8:12" x14ac:dyDescent="0.3">
      <c r="H14002" s="2"/>
      <c r="I14002" s="2"/>
      <c r="J14002" s="2"/>
      <c r="K14002" s="2"/>
      <c r="L14002" s="2"/>
    </row>
    <row r="14003" spans="8:12" x14ac:dyDescent="0.3">
      <c r="H14003" s="2"/>
      <c r="I14003" s="2"/>
      <c r="J14003" s="2"/>
      <c r="K14003" s="2"/>
      <c r="L14003" s="2"/>
    </row>
    <row r="14004" spans="8:12" x14ac:dyDescent="0.3">
      <c r="H14004" s="2"/>
      <c r="I14004" s="2"/>
      <c r="J14004" s="2"/>
      <c r="K14004" s="2"/>
      <c r="L14004" s="2"/>
    </row>
    <row r="14005" spans="8:12" x14ac:dyDescent="0.3">
      <c r="H14005" s="2"/>
      <c r="I14005" s="2"/>
      <c r="J14005" s="2"/>
      <c r="K14005" s="2"/>
      <c r="L14005" s="2"/>
    </row>
    <row r="14006" spans="8:12" x14ac:dyDescent="0.3">
      <c r="H14006" s="2"/>
      <c r="I14006" s="2"/>
      <c r="J14006" s="2"/>
      <c r="K14006" s="2"/>
      <c r="L14006" s="2"/>
    </row>
    <row r="14007" spans="8:12" x14ac:dyDescent="0.3">
      <c r="H14007" s="2"/>
      <c r="I14007" s="2"/>
      <c r="J14007" s="2"/>
      <c r="K14007" s="2"/>
      <c r="L14007" s="2"/>
    </row>
    <row r="14008" spans="8:12" x14ac:dyDescent="0.3">
      <c r="H14008" s="2"/>
      <c r="I14008" s="2"/>
      <c r="J14008" s="2"/>
      <c r="K14008" s="2"/>
      <c r="L14008" s="2"/>
    </row>
    <row r="14009" spans="8:12" x14ac:dyDescent="0.3">
      <c r="H14009" s="2"/>
      <c r="I14009" s="2"/>
      <c r="J14009" s="2"/>
      <c r="K14009" s="2"/>
      <c r="L14009" s="2"/>
    </row>
    <row r="14010" spans="8:12" x14ac:dyDescent="0.3">
      <c r="H14010" s="2"/>
      <c r="I14010" s="2"/>
      <c r="J14010" s="2"/>
      <c r="K14010" s="2"/>
      <c r="L14010" s="2"/>
    </row>
    <row r="14011" spans="8:12" x14ac:dyDescent="0.3">
      <c r="H14011" s="2"/>
      <c r="I14011" s="2"/>
      <c r="J14011" s="2"/>
      <c r="K14011" s="2"/>
      <c r="L14011" s="2"/>
    </row>
    <row r="14012" spans="8:12" x14ac:dyDescent="0.3">
      <c r="H14012" s="2"/>
      <c r="I14012" s="2"/>
      <c r="J14012" s="2"/>
      <c r="K14012" s="2"/>
      <c r="L14012" s="2"/>
    </row>
    <row r="14013" spans="8:12" x14ac:dyDescent="0.3">
      <c r="H14013" s="2"/>
      <c r="I14013" s="2"/>
      <c r="J14013" s="2"/>
      <c r="K14013" s="2"/>
      <c r="L14013" s="2"/>
    </row>
    <row r="14014" spans="8:12" x14ac:dyDescent="0.3">
      <c r="H14014" s="2"/>
      <c r="I14014" s="2"/>
      <c r="J14014" s="2"/>
      <c r="K14014" s="2"/>
      <c r="L14014" s="2"/>
    </row>
    <row r="14015" spans="8:12" x14ac:dyDescent="0.3">
      <c r="H14015" s="2"/>
      <c r="I14015" s="2"/>
      <c r="J14015" s="2"/>
      <c r="K14015" s="2"/>
      <c r="L14015" s="2"/>
    </row>
    <row r="14016" spans="8:12" x14ac:dyDescent="0.3">
      <c r="H14016" s="2"/>
      <c r="I14016" s="2"/>
      <c r="J14016" s="2"/>
      <c r="K14016" s="2"/>
      <c r="L14016" s="2"/>
    </row>
    <row r="14017" spans="8:12" x14ac:dyDescent="0.3">
      <c r="H14017" s="2"/>
      <c r="I14017" s="2"/>
      <c r="J14017" s="2"/>
      <c r="K14017" s="2"/>
      <c r="L14017" s="2"/>
    </row>
    <row r="14018" spans="8:12" x14ac:dyDescent="0.3">
      <c r="H14018" s="2"/>
      <c r="I14018" s="2"/>
      <c r="J14018" s="2"/>
      <c r="K14018" s="2"/>
      <c r="L14018" s="2"/>
    </row>
    <row r="14019" spans="8:12" x14ac:dyDescent="0.3">
      <c r="H14019" s="2"/>
      <c r="I14019" s="2"/>
      <c r="J14019" s="2"/>
      <c r="K14019" s="2"/>
      <c r="L14019" s="2"/>
    </row>
    <row r="14020" spans="8:12" x14ac:dyDescent="0.3">
      <c r="H14020" s="2"/>
      <c r="I14020" s="2"/>
      <c r="J14020" s="2"/>
      <c r="K14020" s="2"/>
      <c r="L14020" s="2"/>
    </row>
    <row r="14021" spans="8:12" x14ac:dyDescent="0.3">
      <c r="H14021" s="2"/>
      <c r="I14021" s="2"/>
      <c r="J14021" s="2"/>
      <c r="K14021" s="2"/>
      <c r="L14021" s="2"/>
    </row>
    <row r="14022" spans="8:12" x14ac:dyDescent="0.3">
      <c r="H14022" s="2"/>
      <c r="I14022" s="2"/>
      <c r="J14022" s="2"/>
      <c r="K14022" s="2"/>
      <c r="L14022" s="2"/>
    </row>
    <row r="14023" spans="8:12" x14ac:dyDescent="0.3">
      <c r="H14023" s="2"/>
      <c r="I14023" s="2"/>
      <c r="J14023" s="2"/>
      <c r="K14023" s="2"/>
      <c r="L14023" s="2"/>
    </row>
    <row r="14024" spans="8:12" x14ac:dyDescent="0.3">
      <c r="H14024" s="2"/>
      <c r="I14024" s="2"/>
      <c r="J14024" s="2"/>
      <c r="K14024" s="2"/>
      <c r="L14024" s="2"/>
    </row>
    <row r="14025" spans="8:12" x14ac:dyDescent="0.3">
      <c r="H14025" s="2"/>
      <c r="I14025" s="2"/>
      <c r="J14025" s="2"/>
      <c r="K14025" s="2"/>
      <c r="L14025" s="2"/>
    </row>
    <row r="14026" spans="8:12" x14ac:dyDescent="0.3">
      <c r="H14026" s="2"/>
      <c r="I14026" s="2"/>
      <c r="J14026" s="2"/>
      <c r="K14026" s="2"/>
      <c r="L14026" s="2"/>
    </row>
    <row r="14027" spans="8:12" x14ac:dyDescent="0.3">
      <c r="H14027" s="2"/>
      <c r="I14027" s="2"/>
      <c r="J14027" s="2"/>
      <c r="K14027" s="2"/>
      <c r="L14027" s="2"/>
    </row>
    <row r="14028" spans="8:12" x14ac:dyDescent="0.3">
      <c r="H14028" s="2"/>
      <c r="I14028" s="2"/>
      <c r="J14028" s="2"/>
      <c r="K14028" s="2"/>
      <c r="L14028" s="2"/>
    </row>
    <row r="14029" spans="8:12" x14ac:dyDescent="0.3">
      <c r="H14029" s="2"/>
      <c r="I14029" s="2"/>
      <c r="J14029" s="2"/>
      <c r="K14029" s="2"/>
      <c r="L14029" s="2"/>
    </row>
    <row r="14030" spans="8:12" x14ac:dyDescent="0.3">
      <c r="H14030" s="2"/>
      <c r="I14030" s="2"/>
      <c r="J14030" s="2"/>
      <c r="K14030" s="2"/>
      <c r="L14030" s="2"/>
    </row>
    <row r="14031" spans="8:12" x14ac:dyDescent="0.3">
      <c r="H14031" s="2"/>
      <c r="I14031" s="2"/>
      <c r="J14031" s="2"/>
      <c r="K14031" s="2"/>
      <c r="L14031" s="2"/>
    </row>
    <row r="14032" spans="8:12" x14ac:dyDescent="0.3">
      <c r="H14032" s="2"/>
      <c r="I14032" s="2"/>
      <c r="J14032" s="2"/>
      <c r="K14032" s="2"/>
      <c r="L14032" s="2"/>
    </row>
    <row r="14033" spans="8:12" x14ac:dyDescent="0.3">
      <c r="H14033" s="2"/>
      <c r="I14033" s="2"/>
      <c r="J14033" s="2"/>
      <c r="K14033" s="2"/>
      <c r="L14033" s="2"/>
    </row>
    <row r="14034" spans="8:12" x14ac:dyDescent="0.3">
      <c r="H14034" s="2"/>
      <c r="I14034" s="2"/>
      <c r="J14034" s="2"/>
      <c r="K14034" s="2"/>
      <c r="L14034" s="2"/>
    </row>
    <row r="14035" spans="8:12" x14ac:dyDescent="0.3">
      <c r="H14035" s="2"/>
      <c r="I14035" s="2"/>
      <c r="J14035" s="2"/>
      <c r="K14035" s="2"/>
      <c r="L14035" s="2"/>
    </row>
    <row r="14036" spans="8:12" x14ac:dyDescent="0.3">
      <c r="H14036" s="2"/>
      <c r="I14036" s="2"/>
      <c r="J14036" s="2"/>
      <c r="K14036" s="2"/>
      <c r="L14036" s="2"/>
    </row>
    <row r="14037" spans="8:12" x14ac:dyDescent="0.3">
      <c r="H14037" s="2"/>
      <c r="I14037" s="2"/>
      <c r="J14037" s="2"/>
      <c r="K14037" s="2"/>
      <c r="L14037" s="2"/>
    </row>
    <row r="14038" spans="8:12" x14ac:dyDescent="0.3">
      <c r="H14038" s="2"/>
      <c r="I14038" s="2"/>
      <c r="J14038" s="2"/>
      <c r="K14038" s="2"/>
      <c r="L14038" s="2"/>
    </row>
    <row r="14039" spans="8:12" x14ac:dyDescent="0.3">
      <c r="H14039" s="2"/>
      <c r="I14039" s="2"/>
      <c r="J14039" s="2"/>
      <c r="K14039" s="2"/>
      <c r="L14039" s="2"/>
    </row>
    <row r="14040" spans="8:12" x14ac:dyDescent="0.3">
      <c r="H14040" s="2"/>
      <c r="I14040" s="2"/>
      <c r="J14040" s="2"/>
      <c r="K14040" s="2"/>
      <c r="L14040" s="2"/>
    </row>
    <row r="14041" spans="8:12" x14ac:dyDescent="0.3">
      <c r="H14041" s="2"/>
      <c r="I14041" s="2"/>
      <c r="J14041" s="2"/>
      <c r="K14041" s="2"/>
      <c r="L14041" s="2"/>
    </row>
    <row r="14042" spans="8:12" x14ac:dyDescent="0.3">
      <c r="H14042" s="2"/>
      <c r="I14042" s="2"/>
      <c r="J14042" s="2"/>
      <c r="K14042" s="2"/>
      <c r="L14042" s="2"/>
    </row>
    <row r="14043" spans="8:12" x14ac:dyDescent="0.3">
      <c r="H14043" s="2"/>
      <c r="I14043" s="2"/>
      <c r="J14043" s="2"/>
      <c r="K14043" s="2"/>
      <c r="L14043" s="2"/>
    </row>
    <row r="14044" spans="8:12" x14ac:dyDescent="0.3">
      <c r="H14044" s="2"/>
      <c r="I14044" s="2"/>
      <c r="J14044" s="2"/>
      <c r="K14044" s="2"/>
      <c r="L14044" s="2"/>
    </row>
    <row r="14045" spans="8:12" x14ac:dyDescent="0.3">
      <c r="H14045" s="2"/>
      <c r="I14045" s="2"/>
      <c r="J14045" s="2"/>
      <c r="K14045" s="2"/>
      <c r="L14045" s="2"/>
    </row>
    <row r="14046" spans="8:12" x14ac:dyDescent="0.3">
      <c r="H14046" s="2"/>
      <c r="I14046" s="2"/>
      <c r="J14046" s="2"/>
      <c r="K14046" s="2"/>
      <c r="L14046" s="2"/>
    </row>
    <row r="14047" spans="8:12" x14ac:dyDescent="0.3">
      <c r="H14047" s="2"/>
      <c r="I14047" s="2"/>
      <c r="J14047" s="2"/>
      <c r="K14047" s="2"/>
      <c r="L14047" s="2"/>
    </row>
    <row r="14048" spans="8:12" x14ac:dyDescent="0.3">
      <c r="H14048" s="2"/>
      <c r="I14048" s="2"/>
      <c r="J14048" s="2"/>
      <c r="K14048" s="2"/>
      <c r="L14048" s="2"/>
    </row>
    <row r="14049" spans="8:12" x14ac:dyDescent="0.3">
      <c r="H14049" s="2"/>
      <c r="I14049" s="2"/>
      <c r="J14049" s="2"/>
      <c r="K14049" s="2"/>
      <c r="L14049" s="2"/>
    </row>
    <row r="14050" spans="8:12" x14ac:dyDescent="0.3">
      <c r="H14050" s="2"/>
      <c r="I14050" s="2"/>
      <c r="J14050" s="2"/>
      <c r="K14050" s="2"/>
      <c r="L14050" s="2"/>
    </row>
    <row r="14051" spans="8:12" x14ac:dyDescent="0.3">
      <c r="H14051" s="2"/>
      <c r="I14051" s="2"/>
      <c r="J14051" s="2"/>
      <c r="K14051" s="2"/>
      <c r="L14051" s="2"/>
    </row>
    <row r="14052" spans="8:12" x14ac:dyDescent="0.3">
      <c r="H14052" s="2"/>
      <c r="I14052" s="2"/>
      <c r="J14052" s="2"/>
      <c r="K14052" s="2"/>
      <c r="L14052" s="2"/>
    </row>
    <row r="14053" spans="8:12" x14ac:dyDescent="0.3">
      <c r="H14053" s="2"/>
      <c r="I14053" s="2"/>
      <c r="J14053" s="2"/>
      <c r="K14053" s="2"/>
      <c r="L14053" s="2"/>
    </row>
    <row r="14054" spans="8:12" x14ac:dyDescent="0.3">
      <c r="H14054" s="2"/>
      <c r="I14054" s="2"/>
      <c r="J14054" s="2"/>
      <c r="K14054" s="2"/>
      <c r="L14054" s="2"/>
    </row>
    <row r="14055" spans="8:12" x14ac:dyDescent="0.3">
      <c r="H14055" s="2"/>
      <c r="I14055" s="2"/>
      <c r="J14055" s="2"/>
      <c r="K14055" s="2"/>
      <c r="L14055" s="2"/>
    </row>
    <row r="14056" spans="8:12" x14ac:dyDescent="0.3">
      <c r="H14056" s="2"/>
      <c r="I14056" s="2"/>
      <c r="J14056" s="2"/>
      <c r="K14056" s="2"/>
      <c r="L14056" s="2"/>
    </row>
    <row r="14057" spans="8:12" x14ac:dyDescent="0.3">
      <c r="H14057" s="2"/>
      <c r="I14057" s="2"/>
      <c r="J14057" s="2"/>
      <c r="K14057" s="2"/>
      <c r="L14057" s="2"/>
    </row>
    <row r="14058" spans="8:12" x14ac:dyDescent="0.3">
      <c r="H14058" s="2"/>
      <c r="I14058" s="2"/>
      <c r="J14058" s="2"/>
      <c r="K14058" s="2"/>
      <c r="L14058" s="2"/>
    </row>
    <row r="14059" spans="8:12" x14ac:dyDescent="0.3">
      <c r="H14059" s="2"/>
      <c r="I14059" s="2"/>
      <c r="J14059" s="2"/>
      <c r="K14059" s="2"/>
      <c r="L14059" s="2"/>
    </row>
    <row r="14060" spans="8:12" x14ac:dyDescent="0.3">
      <c r="H14060" s="2"/>
      <c r="I14060" s="2"/>
      <c r="J14060" s="2"/>
      <c r="K14060" s="2"/>
      <c r="L14060" s="2"/>
    </row>
    <row r="14061" spans="8:12" x14ac:dyDescent="0.3">
      <c r="H14061" s="2"/>
      <c r="I14061" s="2"/>
      <c r="J14061" s="2"/>
      <c r="K14061" s="2"/>
      <c r="L14061" s="2"/>
    </row>
    <row r="14062" spans="8:12" x14ac:dyDescent="0.3">
      <c r="H14062" s="2"/>
      <c r="I14062" s="2"/>
      <c r="J14062" s="2"/>
      <c r="K14062" s="2"/>
      <c r="L14062" s="2"/>
    </row>
    <row r="14063" spans="8:12" x14ac:dyDescent="0.3">
      <c r="H14063" s="2"/>
      <c r="I14063" s="2"/>
      <c r="J14063" s="2"/>
      <c r="K14063" s="2"/>
      <c r="L14063" s="2"/>
    </row>
    <row r="14064" spans="8:12" x14ac:dyDescent="0.3">
      <c r="H14064" s="2"/>
      <c r="I14064" s="2"/>
      <c r="J14064" s="2"/>
      <c r="K14064" s="2"/>
      <c r="L14064" s="2"/>
    </row>
    <row r="14065" spans="8:12" x14ac:dyDescent="0.3">
      <c r="H14065" s="2"/>
      <c r="I14065" s="2"/>
      <c r="J14065" s="2"/>
      <c r="K14065" s="2"/>
      <c r="L14065" s="2"/>
    </row>
    <row r="14066" spans="8:12" x14ac:dyDescent="0.3">
      <c r="H14066" s="2"/>
      <c r="I14066" s="2"/>
      <c r="J14066" s="2"/>
      <c r="K14066" s="2"/>
      <c r="L14066" s="2"/>
    </row>
    <row r="14067" spans="8:12" x14ac:dyDescent="0.3">
      <c r="H14067" s="2"/>
      <c r="I14067" s="2"/>
      <c r="J14067" s="2"/>
      <c r="K14067" s="2"/>
      <c r="L14067" s="2"/>
    </row>
    <row r="14068" spans="8:12" x14ac:dyDescent="0.3">
      <c r="H14068" s="2"/>
      <c r="I14068" s="2"/>
      <c r="J14068" s="2"/>
      <c r="K14068" s="2"/>
      <c r="L14068" s="2"/>
    </row>
    <row r="14069" spans="8:12" x14ac:dyDescent="0.3">
      <c r="H14069" s="2"/>
      <c r="I14069" s="2"/>
      <c r="J14069" s="2"/>
      <c r="K14069" s="2"/>
      <c r="L14069" s="2"/>
    </row>
    <row r="14070" spans="8:12" x14ac:dyDescent="0.3">
      <c r="H14070" s="2"/>
      <c r="I14070" s="2"/>
      <c r="J14070" s="2"/>
      <c r="K14070" s="2"/>
      <c r="L14070" s="2"/>
    </row>
    <row r="14071" spans="8:12" x14ac:dyDescent="0.3">
      <c r="H14071" s="2"/>
      <c r="I14071" s="2"/>
      <c r="J14071" s="2"/>
      <c r="K14071" s="2"/>
      <c r="L14071" s="2"/>
    </row>
    <row r="14072" spans="8:12" x14ac:dyDescent="0.3">
      <c r="H14072" s="2"/>
      <c r="I14072" s="2"/>
      <c r="J14072" s="2"/>
      <c r="K14072" s="2"/>
      <c r="L14072" s="2"/>
    </row>
    <row r="14073" spans="8:12" x14ac:dyDescent="0.3">
      <c r="H14073" s="2"/>
      <c r="I14073" s="2"/>
      <c r="J14073" s="2"/>
      <c r="K14073" s="2"/>
      <c r="L14073" s="2"/>
    </row>
    <row r="14074" spans="8:12" x14ac:dyDescent="0.3">
      <c r="H14074" s="2"/>
      <c r="I14074" s="2"/>
      <c r="J14074" s="2"/>
      <c r="K14074" s="2"/>
      <c r="L14074" s="2"/>
    </row>
    <row r="14075" spans="8:12" x14ac:dyDescent="0.3">
      <c r="H14075" s="2"/>
      <c r="I14075" s="2"/>
      <c r="J14075" s="2"/>
      <c r="K14075" s="2"/>
      <c r="L14075" s="2"/>
    </row>
    <row r="14076" spans="8:12" x14ac:dyDescent="0.3">
      <c r="H14076" s="2"/>
      <c r="I14076" s="2"/>
      <c r="J14076" s="2"/>
      <c r="K14076" s="2"/>
      <c r="L14076" s="2"/>
    </row>
    <row r="14077" spans="8:12" x14ac:dyDescent="0.3">
      <c r="H14077" s="2"/>
      <c r="I14077" s="2"/>
      <c r="J14077" s="2"/>
      <c r="K14077" s="2"/>
      <c r="L14077" s="2"/>
    </row>
    <row r="14078" spans="8:12" x14ac:dyDescent="0.3">
      <c r="H14078" s="2"/>
      <c r="I14078" s="2"/>
      <c r="J14078" s="2"/>
      <c r="K14078" s="2"/>
      <c r="L14078" s="2"/>
    </row>
    <row r="14079" spans="8:12" x14ac:dyDescent="0.3">
      <c r="H14079" s="2"/>
      <c r="I14079" s="2"/>
      <c r="J14079" s="2"/>
      <c r="K14079" s="2"/>
      <c r="L14079" s="2"/>
    </row>
    <row r="14080" spans="8:12" x14ac:dyDescent="0.3">
      <c r="H14080" s="2"/>
      <c r="I14080" s="2"/>
      <c r="J14080" s="2"/>
      <c r="K14080" s="2"/>
      <c r="L14080" s="2"/>
    </row>
    <row r="14081" spans="8:12" x14ac:dyDescent="0.3">
      <c r="H14081" s="2"/>
      <c r="I14081" s="2"/>
      <c r="J14081" s="2"/>
      <c r="K14081" s="2"/>
      <c r="L14081" s="2"/>
    </row>
    <row r="14082" spans="8:12" x14ac:dyDescent="0.3">
      <c r="H14082" s="2"/>
      <c r="I14082" s="2"/>
      <c r="J14082" s="2"/>
      <c r="K14082" s="2"/>
      <c r="L14082" s="2"/>
    </row>
    <row r="14083" spans="8:12" x14ac:dyDescent="0.3">
      <c r="H14083" s="2"/>
      <c r="I14083" s="2"/>
      <c r="J14083" s="2"/>
      <c r="K14083" s="2"/>
      <c r="L14083" s="2"/>
    </row>
    <row r="14084" spans="8:12" x14ac:dyDescent="0.3">
      <c r="H14084" s="2"/>
      <c r="I14084" s="2"/>
      <c r="J14084" s="2"/>
      <c r="K14084" s="2"/>
      <c r="L14084" s="2"/>
    </row>
    <row r="14085" spans="8:12" x14ac:dyDescent="0.3">
      <c r="H14085" s="2"/>
      <c r="I14085" s="2"/>
      <c r="J14085" s="2"/>
      <c r="K14085" s="2"/>
      <c r="L14085" s="2"/>
    </row>
    <row r="14086" spans="8:12" x14ac:dyDescent="0.3">
      <c r="H14086" s="2"/>
      <c r="I14086" s="2"/>
      <c r="J14086" s="2"/>
      <c r="K14086" s="2"/>
      <c r="L14086" s="2"/>
    </row>
    <row r="14087" spans="8:12" x14ac:dyDescent="0.3">
      <c r="H14087" s="2"/>
      <c r="I14087" s="2"/>
      <c r="J14087" s="2"/>
      <c r="K14087" s="2"/>
      <c r="L14087" s="2"/>
    </row>
    <row r="14088" spans="8:12" x14ac:dyDescent="0.3">
      <c r="H14088" s="2"/>
      <c r="I14088" s="2"/>
      <c r="J14088" s="2"/>
      <c r="K14088" s="2"/>
      <c r="L14088" s="2"/>
    </row>
    <row r="14089" spans="8:12" x14ac:dyDescent="0.3">
      <c r="H14089" s="2"/>
      <c r="I14089" s="2"/>
      <c r="J14089" s="2"/>
      <c r="K14089" s="2"/>
      <c r="L14089" s="2"/>
    </row>
    <row r="14090" spans="8:12" x14ac:dyDescent="0.3">
      <c r="H14090" s="2"/>
      <c r="I14090" s="2"/>
      <c r="J14090" s="2"/>
      <c r="K14090" s="2"/>
      <c r="L14090" s="2"/>
    </row>
    <row r="14091" spans="8:12" x14ac:dyDescent="0.3">
      <c r="H14091" s="2"/>
      <c r="I14091" s="2"/>
      <c r="J14091" s="2"/>
      <c r="K14091" s="2"/>
      <c r="L14091" s="2"/>
    </row>
    <row r="14092" spans="8:12" x14ac:dyDescent="0.3">
      <c r="H14092" s="2"/>
      <c r="I14092" s="2"/>
      <c r="J14092" s="2"/>
      <c r="K14092" s="2"/>
      <c r="L14092" s="2"/>
    </row>
    <row r="14093" spans="8:12" x14ac:dyDescent="0.3">
      <c r="H14093" s="2"/>
      <c r="I14093" s="2"/>
      <c r="J14093" s="2"/>
      <c r="K14093" s="2"/>
      <c r="L14093" s="2"/>
    </row>
    <row r="14094" spans="8:12" x14ac:dyDescent="0.3">
      <c r="H14094" s="2"/>
      <c r="I14094" s="2"/>
      <c r="J14094" s="2"/>
      <c r="K14094" s="2"/>
      <c r="L14094" s="2"/>
    </row>
    <row r="14095" spans="8:12" x14ac:dyDescent="0.3">
      <c r="H14095" s="2"/>
      <c r="I14095" s="2"/>
      <c r="J14095" s="2"/>
      <c r="K14095" s="2"/>
      <c r="L14095" s="2"/>
    </row>
    <row r="14096" spans="8:12" x14ac:dyDescent="0.3">
      <c r="H14096" s="2"/>
      <c r="I14096" s="2"/>
      <c r="J14096" s="2"/>
      <c r="K14096" s="2"/>
      <c r="L14096" s="2"/>
    </row>
    <row r="14097" spans="8:12" x14ac:dyDescent="0.3">
      <c r="H14097" s="2"/>
      <c r="I14097" s="2"/>
      <c r="J14097" s="2"/>
      <c r="K14097" s="2"/>
      <c r="L14097" s="2"/>
    </row>
    <row r="14098" spans="8:12" x14ac:dyDescent="0.3">
      <c r="H14098" s="2"/>
      <c r="I14098" s="2"/>
      <c r="J14098" s="2"/>
      <c r="K14098" s="2"/>
      <c r="L14098" s="2"/>
    </row>
    <row r="14099" spans="8:12" x14ac:dyDescent="0.3">
      <c r="H14099" s="2"/>
      <c r="I14099" s="2"/>
      <c r="J14099" s="2"/>
      <c r="K14099" s="2"/>
      <c r="L14099" s="2"/>
    </row>
    <row r="14100" spans="8:12" x14ac:dyDescent="0.3">
      <c r="H14100" s="2"/>
      <c r="I14100" s="2"/>
      <c r="J14100" s="2"/>
      <c r="K14100" s="2"/>
      <c r="L14100" s="2"/>
    </row>
    <row r="14101" spans="8:12" x14ac:dyDescent="0.3">
      <c r="H14101" s="2"/>
      <c r="I14101" s="2"/>
      <c r="J14101" s="2"/>
      <c r="K14101" s="2"/>
      <c r="L14101" s="2"/>
    </row>
    <row r="14102" spans="8:12" x14ac:dyDescent="0.3">
      <c r="H14102" s="2"/>
      <c r="I14102" s="2"/>
      <c r="J14102" s="2"/>
      <c r="K14102" s="2"/>
      <c r="L14102" s="2"/>
    </row>
    <row r="14103" spans="8:12" x14ac:dyDescent="0.3">
      <c r="H14103" s="2"/>
      <c r="I14103" s="2"/>
      <c r="J14103" s="2"/>
      <c r="K14103" s="2"/>
      <c r="L14103" s="2"/>
    </row>
    <row r="14104" spans="8:12" x14ac:dyDescent="0.3">
      <c r="H14104" s="2"/>
      <c r="I14104" s="2"/>
      <c r="J14104" s="2"/>
      <c r="K14104" s="2"/>
      <c r="L14104" s="2"/>
    </row>
    <row r="14105" spans="8:12" x14ac:dyDescent="0.3">
      <c r="H14105" s="2"/>
      <c r="I14105" s="2"/>
      <c r="J14105" s="2"/>
      <c r="K14105" s="2"/>
      <c r="L14105" s="2"/>
    </row>
    <row r="14106" spans="8:12" x14ac:dyDescent="0.3">
      <c r="H14106" s="2"/>
      <c r="I14106" s="2"/>
      <c r="J14106" s="2"/>
      <c r="K14106" s="2"/>
      <c r="L14106" s="2"/>
    </row>
    <row r="14107" spans="8:12" x14ac:dyDescent="0.3">
      <c r="H14107" s="2"/>
      <c r="I14107" s="2"/>
      <c r="J14107" s="2"/>
      <c r="K14107" s="2"/>
      <c r="L14107" s="2"/>
    </row>
    <row r="14108" spans="8:12" x14ac:dyDescent="0.3">
      <c r="H14108" s="2"/>
      <c r="I14108" s="2"/>
      <c r="J14108" s="2"/>
      <c r="K14108" s="2"/>
      <c r="L14108" s="2"/>
    </row>
    <row r="14109" spans="8:12" x14ac:dyDescent="0.3">
      <c r="H14109" s="2"/>
      <c r="I14109" s="2"/>
      <c r="J14109" s="2"/>
      <c r="K14109" s="2"/>
      <c r="L14109" s="2"/>
    </row>
    <row r="14110" spans="8:12" x14ac:dyDescent="0.3">
      <c r="H14110" s="2"/>
      <c r="I14110" s="2"/>
      <c r="J14110" s="2"/>
      <c r="K14110" s="2"/>
      <c r="L14110" s="2"/>
    </row>
    <row r="14111" spans="8:12" x14ac:dyDescent="0.3">
      <c r="H14111" s="2"/>
      <c r="I14111" s="2"/>
      <c r="J14111" s="2"/>
      <c r="K14111" s="2"/>
      <c r="L14111" s="2"/>
    </row>
    <row r="14112" spans="8:12" x14ac:dyDescent="0.3">
      <c r="H14112" s="2"/>
      <c r="I14112" s="2"/>
      <c r="J14112" s="2"/>
      <c r="K14112" s="2"/>
      <c r="L14112" s="2"/>
    </row>
    <row r="14113" spans="8:12" x14ac:dyDescent="0.3">
      <c r="H14113" s="2"/>
      <c r="I14113" s="2"/>
      <c r="J14113" s="2"/>
      <c r="K14113" s="2"/>
      <c r="L14113" s="2"/>
    </row>
    <row r="14114" spans="8:12" x14ac:dyDescent="0.3">
      <c r="H14114" s="2"/>
      <c r="I14114" s="2"/>
      <c r="J14114" s="2"/>
      <c r="K14114" s="2"/>
      <c r="L14114" s="2"/>
    </row>
    <row r="14115" spans="8:12" x14ac:dyDescent="0.3">
      <c r="H14115" s="2"/>
      <c r="I14115" s="2"/>
      <c r="J14115" s="2"/>
      <c r="K14115" s="2"/>
      <c r="L14115" s="2"/>
    </row>
    <row r="14116" spans="8:12" x14ac:dyDescent="0.3">
      <c r="H14116" s="2"/>
      <c r="I14116" s="2"/>
      <c r="J14116" s="2"/>
      <c r="K14116" s="2"/>
      <c r="L14116" s="2"/>
    </row>
    <row r="14117" spans="8:12" x14ac:dyDescent="0.3">
      <c r="H14117" s="2"/>
      <c r="I14117" s="2"/>
      <c r="J14117" s="2"/>
      <c r="K14117" s="2"/>
      <c r="L14117" s="2"/>
    </row>
    <row r="14118" spans="8:12" x14ac:dyDescent="0.3">
      <c r="H14118" s="2"/>
      <c r="I14118" s="2"/>
      <c r="J14118" s="2"/>
      <c r="K14118" s="2"/>
      <c r="L14118" s="2"/>
    </row>
    <row r="14119" spans="8:12" x14ac:dyDescent="0.3">
      <c r="H14119" s="2"/>
      <c r="I14119" s="2"/>
      <c r="J14119" s="2"/>
      <c r="K14119" s="2"/>
      <c r="L14119" s="2"/>
    </row>
    <row r="14120" spans="8:12" x14ac:dyDescent="0.3">
      <c r="H14120" s="2"/>
      <c r="I14120" s="2"/>
      <c r="J14120" s="2"/>
      <c r="K14120" s="2"/>
      <c r="L14120" s="2"/>
    </row>
    <row r="14121" spans="8:12" x14ac:dyDescent="0.3">
      <c r="H14121" s="2"/>
      <c r="I14121" s="2"/>
      <c r="J14121" s="2"/>
      <c r="K14121" s="2"/>
      <c r="L14121" s="2"/>
    </row>
    <row r="14122" spans="8:12" x14ac:dyDescent="0.3">
      <c r="H14122" s="2"/>
      <c r="I14122" s="2"/>
      <c r="J14122" s="2"/>
      <c r="K14122" s="2"/>
      <c r="L14122" s="2"/>
    </row>
    <row r="14123" spans="8:12" x14ac:dyDescent="0.3">
      <c r="H14123" s="2"/>
      <c r="I14123" s="2"/>
      <c r="J14123" s="2"/>
      <c r="K14123" s="2"/>
      <c r="L14123" s="2"/>
    </row>
    <row r="14124" spans="8:12" x14ac:dyDescent="0.3">
      <c r="H14124" s="2"/>
      <c r="I14124" s="2"/>
      <c r="J14124" s="2"/>
      <c r="K14124" s="2"/>
      <c r="L14124" s="2"/>
    </row>
    <row r="14125" spans="8:12" x14ac:dyDescent="0.3">
      <c r="H14125" s="2"/>
      <c r="I14125" s="2"/>
      <c r="J14125" s="2"/>
      <c r="K14125" s="2"/>
      <c r="L14125" s="2"/>
    </row>
    <row r="14126" spans="8:12" x14ac:dyDescent="0.3">
      <c r="H14126" s="2"/>
      <c r="I14126" s="2"/>
      <c r="J14126" s="2"/>
      <c r="K14126" s="2"/>
      <c r="L14126" s="2"/>
    </row>
    <row r="14127" spans="8:12" x14ac:dyDescent="0.3">
      <c r="H14127" s="2"/>
      <c r="I14127" s="2"/>
      <c r="J14127" s="2"/>
      <c r="K14127" s="2"/>
      <c r="L14127" s="2"/>
    </row>
    <row r="14128" spans="8:12" x14ac:dyDescent="0.3">
      <c r="H14128" s="2"/>
      <c r="I14128" s="2"/>
      <c r="J14128" s="2"/>
      <c r="K14128" s="2"/>
      <c r="L14128" s="2"/>
    </row>
    <row r="14129" spans="8:12" x14ac:dyDescent="0.3">
      <c r="H14129" s="2"/>
      <c r="I14129" s="2"/>
      <c r="J14129" s="2"/>
      <c r="K14129" s="2"/>
      <c r="L14129" s="2"/>
    </row>
    <row r="14130" spans="8:12" x14ac:dyDescent="0.3">
      <c r="H14130" s="2"/>
      <c r="I14130" s="2"/>
      <c r="J14130" s="2"/>
      <c r="K14130" s="2"/>
      <c r="L14130" s="2"/>
    </row>
    <row r="14131" spans="8:12" x14ac:dyDescent="0.3">
      <c r="H14131" s="2"/>
      <c r="I14131" s="2"/>
      <c r="J14131" s="2"/>
      <c r="K14131" s="2"/>
      <c r="L14131" s="2"/>
    </row>
    <row r="14132" spans="8:12" x14ac:dyDescent="0.3">
      <c r="H14132" s="2"/>
      <c r="I14132" s="2"/>
      <c r="J14132" s="2"/>
      <c r="K14132" s="2"/>
      <c r="L14132" s="2"/>
    </row>
    <row r="14133" spans="8:12" x14ac:dyDescent="0.3">
      <c r="H14133" s="2"/>
      <c r="I14133" s="2"/>
      <c r="J14133" s="2"/>
      <c r="K14133" s="2"/>
      <c r="L14133" s="2"/>
    </row>
    <row r="14134" spans="8:12" x14ac:dyDescent="0.3">
      <c r="H14134" s="2"/>
      <c r="I14134" s="2"/>
      <c r="J14134" s="2"/>
      <c r="K14134" s="2"/>
      <c r="L14134" s="2"/>
    </row>
    <row r="14135" spans="8:12" x14ac:dyDescent="0.3">
      <c r="H14135" s="2"/>
      <c r="I14135" s="2"/>
      <c r="J14135" s="2"/>
      <c r="K14135" s="2"/>
      <c r="L14135" s="2"/>
    </row>
    <row r="14136" spans="8:12" x14ac:dyDescent="0.3">
      <c r="H14136" s="2"/>
      <c r="I14136" s="2"/>
      <c r="J14136" s="2"/>
      <c r="K14136" s="2"/>
      <c r="L14136" s="2"/>
    </row>
    <row r="14137" spans="8:12" x14ac:dyDescent="0.3">
      <c r="H14137" s="2"/>
      <c r="I14137" s="2"/>
      <c r="J14137" s="2"/>
      <c r="K14137" s="2"/>
      <c r="L14137" s="2"/>
    </row>
    <row r="14138" spans="8:12" x14ac:dyDescent="0.3">
      <c r="H14138" s="2"/>
      <c r="I14138" s="2"/>
      <c r="J14138" s="2"/>
      <c r="K14138" s="2"/>
      <c r="L14138" s="2"/>
    </row>
    <row r="14139" spans="8:12" x14ac:dyDescent="0.3">
      <c r="H14139" s="2"/>
      <c r="I14139" s="2"/>
      <c r="J14139" s="2"/>
      <c r="K14139" s="2"/>
      <c r="L14139" s="2"/>
    </row>
    <row r="14140" spans="8:12" x14ac:dyDescent="0.3">
      <c r="H14140" s="2"/>
      <c r="I14140" s="2"/>
      <c r="J14140" s="2"/>
      <c r="K14140" s="2"/>
      <c r="L14140" s="2"/>
    </row>
    <row r="14141" spans="8:12" x14ac:dyDescent="0.3">
      <c r="H14141" s="2"/>
      <c r="I14141" s="2"/>
      <c r="J14141" s="2"/>
      <c r="K14141" s="2"/>
      <c r="L14141" s="2"/>
    </row>
    <row r="14142" spans="8:12" x14ac:dyDescent="0.3">
      <c r="H14142" s="2"/>
      <c r="I14142" s="2"/>
      <c r="J14142" s="2"/>
      <c r="K14142" s="2"/>
      <c r="L14142" s="2"/>
    </row>
    <row r="14143" spans="8:12" x14ac:dyDescent="0.3">
      <c r="H14143" s="2"/>
      <c r="I14143" s="2"/>
      <c r="J14143" s="2"/>
      <c r="K14143" s="2"/>
      <c r="L14143" s="2"/>
    </row>
    <row r="14144" spans="8:12" x14ac:dyDescent="0.3">
      <c r="H14144" s="2"/>
      <c r="I14144" s="2"/>
      <c r="J14144" s="2"/>
      <c r="K14144" s="2"/>
      <c r="L14144" s="2"/>
    </row>
    <row r="14145" spans="8:12" x14ac:dyDescent="0.3">
      <c r="H14145" s="2"/>
      <c r="I14145" s="2"/>
      <c r="J14145" s="2"/>
      <c r="K14145" s="2"/>
      <c r="L14145" s="2"/>
    </row>
    <row r="14146" spans="8:12" x14ac:dyDescent="0.3">
      <c r="H14146" s="2"/>
      <c r="I14146" s="2"/>
      <c r="J14146" s="2"/>
      <c r="K14146" s="2"/>
      <c r="L14146" s="2"/>
    </row>
    <row r="14147" spans="8:12" x14ac:dyDescent="0.3">
      <c r="H14147" s="2"/>
      <c r="I14147" s="2"/>
      <c r="J14147" s="2"/>
      <c r="K14147" s="2"/>
      <c r="L14147" s="2"/>
    </row>
    <row r="14148" spans="8:12" x14ac:dyDescent="0.3">
      <c r="H14148" s="2"/>
      <c r="I14148" s="2"/>
      <c r="J14148" s="2"/>
      <c r="K14148" s="2"/>
      <c r="L14148" s="2"/>
    </row>
    <row r="14149" spans="8:12" x14ac:dyDescent="0.3">
      <c r="H14149" s="2"/>
      <c r="I14149" s="2"/>
      <c r="J14149" s="2"/>
      <c r="K14149" s="2"/>
      <c r="L14149" s="2"/>
    </row>
    <row r="14150" spans="8:12" x14ac:dyDescent="0.3">
      <c r="H14150" s="2"/>
      <c r="I14150" s="2"/>
      <c r="J14150" s="2"/>
      <c r="K14150" s="2"/>
      <c r="L14150" s="2"/>
    </row>
    <row r="14151" spans="8:12" x14ac:dyDescent="0.3">
      <c r="H14151" s="2"/>
      <c r="I14151" s="2"/>
      <c r="J14151" s="2"/>
      <c r="K14151" s="2"/>
      <c r="L14151" s="2"/>
    </row>
    <row r="14152" spans="8:12" x14ac:dyDescent="0.3">
      <c r="H14152" s="2"/>
      <c r="I14152" s="2"/>
      <c r="J14152" s="2"/>
      <c r="K14152" s="2"/>
      <c r="L14152" s="2"/>
    </row>
    <row r="14153" spans="8:12" x14ac:dyDescent="0.3">
      <c r="H14153" s="2"/>
      <c r="I14153" s="2"/>
      <c r="J14153" s="2"/>
      <c r="K14153" s="2"/>
      <c r="L14153" s="2"/>
    </row>
    <row r="14154" spans="8:12" x14ac:dyDescent="0.3">
      <c r="H14154" s="2"/>
      <c r="I14154" s="2"/>
      <c r="J14154" s="2"/>
      <c r="K14154" s="2"/>
      <c r="L14154" s="2"/>
    </row>
    <row r="14155" spans="8:12" x14ac:dyDescent="0.3">
      <c r="H14155" s="2"/>
      <c r="I14155" s="2"/>
      <c r="J14155" s="2"/>
      <c r="K14155" s="2"/>
      <c r="L14155" s="2"/>
    </row>
    <row r="14156" spans="8:12" x14ac:dyDescent="0.3">
      <c r="H14156" s="2"/>
      <c r="I14156" s="2"/>
      <c r="J14156" s="2"/>
      <c r="K14156" s="2"/>
      <c r="L14156" s="2"/>
    </row>
    <row r="14157" spans="8:12" x14ac:dyDescent="0.3">
      <c r="H14157" s="2"/>
      <c r="I14157" s="2"/>
      <c r="J14157" s="2"/>
      <c r="K14157" s="2"/>
      <c r="L14157" s="2"/>
    </row>
    <row r="14158" spans="8:12" x14ac:dyDescent="0.3">
      <c r="H14158" s="2"/>
      <c r="I14158" s="2"/>
      <c r="J14158" s="2"/>
      <c r="K14158" s="2"/>
      <c r="L14158" s="2"/>
    </row>
    <row r="14159" spans="8:12" x14ac:dyDescent="0.3">
      <c r="H14159" s="2"/>
      <c r="I14159" s="2"/>
      <c r="J14159" s="2"/>
      <c r="K14159" s="2"/>
      <c r="L14159" s="2"/>
    </row>
    <row r="14160" spans="8:12" x14ac:dyDescent="0.3">
      <c r="H14160" s="2"/>
      <c r="I14160" s="2"/>
      <c r="J14160" s="2"/>
      <c r="K14160" s="2"/>
      <c r="L14160" s="2"/>
    </row>
    <row r="14161" spans="8:12" x14ac:dyDescent="0.3">
      <c r="H14161" s="2"/>
      <c r="I14161" s="2"/>
      <c r="J14161" s="2"/>
      <c r="K14161" s="2"/>
      <c r="L14161" s="2"/>
    </row>
    <row r="14162" spans="8:12" x14ac:dyDescent="0.3">
      <c r="H14162" s="2"/>
      <c r="I14162" s="2"/>
      <c r="J14162" s="2"/>
      <c r="K14162" s="2"/>
      <c r="L14162" s="2"/>
    </row>
    <row r="14163" spans="8:12" x14ac:dyDescent="0.3">
      <c r="H14163" s="2"/>
      <c r="I14163" s="2"/>
      <c r="J14163" s="2"/>
      <c r="K14163" s="2"/>
      <c r="L14163" s="2"/>
    </row>
    <row r="14164" spans="8:12" x14ac:dyDescent="0.3">
      <c r="H14164" s="2"/>
      <c r="I14164" s="2"/>
      <c r="J14164" s="2"/>
      <c r="K14164" s="2"/>
      <c r="L14164" s="2"/>
    </row>
    <row r="14165" spans="8:12" x14ac:dyDescent="0.3">
      <c r="H14165" s="2"/>
      <c r="I14165" s="2"/>
      <c r="J14165" s="2"/>
      <c r="K14165" s="2"/>
      <c r="L14165" s="2"/>
    </row>
    <row r="14166" spans="8:12" x14ac:dyDescent="0.3">
      <c r="H14166" s="2"/>
      <c r="I14166" s="2"/>
      <c r="J14166" s="2"/>
      <c r="K14166" s="2"/>
      <c r="L14166" s="2"/>
    </row>
    <row r="14167" spans="8:12" x14ac:dyDescent="0.3">
      <c r="H14167" s="2"/>
      <c r="I14167" s="2"/>
      <c r="J14167" s="2"/>
      <c r="K14167" s="2"/>
      <c r="L14167" s="2"/>
    </row>
    <row r="14168" spans="8:12" x14ac:dyDescent="0.3">
      <c r="H14168" s="2"/>
      <c r="I14168" s="2"/>
      <c r="J14168" s="2"/>
      <c r="K14168" s="2"/>
      <c r="L14168" s="2"/>
    </row>
    <row r="14169" spans="8:12" x14ac:dyDescent="0.3">
      <c r="H14169" s="2"/>
      <c r="I14169" s="2"/>
      <c r="J14169" s="2"/>
      <c r="K14169" s="2"/>
      <c r="L14169" s="2"/>
    </row>
    <row r="14170" spans="8:12" x14ac:dyDescent="0.3">
      <c r="H14170" s="2"/>
      <c r="I14170" s="2"/>
      <c r="J14170" s="2"/>
      <c r="K14170" s="2"/>
      <c r="L14170" s="2"/>
    </row>
    <row r="14171" spans="8:12" x14ac:dyDescent="0.3">
      <c r="H14171" s="2"/>
      <c r="I14171" s="2"/>
      <c r="J14171" s="2"/>
      <c r="K14171" s="2"/>
      <c r="L14171" s="2"/>
    </row>
    <row r="14172" spans="8:12" x14ac:dyDescent="0.3">
      <c r="H14172" s="2"/>
      <c r="I14172" s="2"/>
      <c r="J14172" s="2"/>
      <c r="K14172" s="2"/>
      <c r="L14172" s="2"/>
    </row>
    <row r="14173" spans="8:12" x14ac:dyDescent="0.3">
      <c r="H14173" s="2"/>
      <c r="I14173" s="2"/>
      <c r="J14173" s="2"/>
      <c r="K14173" s="2"/>
      <c r="L14173" s="2"/>
    </row>
    <row r="14174" spans="8:12" x14ac:dyDescent="0.3">
      <c r="H14174" s="2"/>
      <c r="I14174" s="2"/>
      <c r="J14174" s="2"/>
      <c r="K14174" s="2"/>
      <c r="L14174" s="2"/>
    </row>
    <row r="14175" spans="8:12" x14ac:dyDescent="0.3">
      <c r="H14175" s="2"/>
      <c r="I14175" s="2"/>
      <c r="J14175" s="2"/>
      <c r="K14175" s="2"/>
      <c r="L14175" s="2"/>
    </row>
    <row r="14176" spans="8:12" x14ac:dyDescent="0.3">
      <c r="H14176" s="2"/>
      <c r="I14176" s="2"/>
      <c r="J14176" s="2"/>
      <c r="K14176" s="2"/>
      <c r="L14176" s="2"/>
    </row>
    <row r="14177" spans="8:12" x14ac:dyDescent="0.3">
      <c r="H14177" s="2"/>
      <c r="I14177" s="2"/>
      <c r="J14177" s="2"/>
      <c r="K14177" s="2"/>
      <c r="L14177" s="2"/>
    </row>
    <row r="14178" spans="8:12" x14ac:dyDescent="0.3">
      <c r="H14178" s="2"/>
      <c r="I14178" s="2"/>
      <c r="J14178" s="2"/>
      <c r="K14178" s="2"/>
      <c r="L14178" s="2"/>
    </row>
    <row r="14179" spans="8:12" x14ac:dyDescent="0.3">
      <c r="H14179" s="2"/>
      <c r="I14179" s="2"/>
      <c r="J14179" s="2"/>
      <c r="K14179" s="2"/>
      <c r="L14179" s="2"/>
    </row>
    <row r="14180" spans="8:12" x14ac:dyDescent="0.3">
      <c r="H14180" s="2"/>
      <c r="I14180" s="2"/>
      <c r="J14180" s="2"/>
      <c r="K14180" s="2"/>
      <c r="L14180" s="2"/>
    </row>
    <row r="14181" spans="8:12" x14ac:dyDescent="0.3">
      <c r="H14181" s="2"/>
      <c r="I14181" s="2"/>
      <c r="J14181" s="2"/>
      <c r="K14181" s="2"/>
      <c r="L14181" s="2"/>
    </row>
    <row r="14182" spans="8:12" x14ac:dyDescent="0.3">
      <c r="H14182" s="2"/>
      <c r="I14182" s="2"/>
      <c r="J14182" s="2"/>
      <c r="K14182" s="2"/>
      <c r="L14182" s="2"/>
    </row>
    <row r="14183" spans="8:12" x14ac:dyDescent="0.3">
      <c r="H14183" s="2"/>
      <c r="I14183" s="2"/>
      <c r="J14183" s="2"/>
      <c r="K14183" s="2"/>
      <c r="L14183" s="2"/>
    </row>
    <row r="14184" spans="8:12" x14ac:dyDescent="0.3">
      <c r="H14184" s="2"/>
      <c r="I14184" s="2"/>
      <c r="J14184" s="2"/>
      <c r="K14184" s="2"/>
      <c r="L14184" s="2"/>
    </row>
    <row r="14185" spans="8:12" x14ac:dyDescent="0.3">
      <c r="H14185" s="2"/>
      <c r="I14185" s="2"/>
      <c r="J14185" s="2"/>
      <c r="K14185" s="2"/>
      <c r="L14185" s="2"/>
    </row>
    <row r="14186" spans="8:12" x14ac:dyDescent="0.3">
      <c r="H14186" s="2"/>
      <c r="I14186" s="2"/>
      <c r="J14186" s="2"/>
      <c r="K14186" s="2"/>
      <c r="L14186" s="2"/>
    </row>
    <row r="14187" spans="8:12" x14ac:dyDescent="0.3">
      <c r="H14187" s="2"/>
      <c r="I14187" s="2"/>
      <c r="J14187" s="2"/>
      <c r="K14187" s="2"/>
      <c r="L14187" s="2"/>
    </row>
    <row r="14188" spans="8:12" x14ac:dyDescent="0.3">
      <c r="H14188" s="2"/>
      <c r="I14188" s="2"/>
      <c r="J14188" s="2"/>
      <c r="K14188" s="2"/>
      <c r="L14188" s="2"/>
    </row>
    <row r="14189" spans="8:12" x14ac:dyDescent="0.3">
      <c r="H14189" s="2"/>
      <c r="I14189" s="2"/>
      <c r="J14189" s="2"/>
      <c r="K14189" s="2"/>
      <c r="L14189" s="2"/>
    </row>
    <row r="14190" spans="8:12" x14ac:dyDescent="0.3">
      <c r="H14190" s="2"/>
      <c r="I14190" s="2"/>
      <c r="J14190" s="2"/>
      <c r="K14190" s="2"/>
      <c r="L14190" s="2"/>
    </row>
    <row r="14191" spans="8:12" x14ac:dyDescent="0.3">
      <c r="H14191" s="2"/>
      <c r="I14191" s="2"/>
      <c r="J14191" s="2"/>
      <c r="K14191" s="2"/>
      <c r="L14191" s="2"/>
    </row>
    <row r="14192" spans="8:12" x14ac:dyDescent="0.3">
      <c r="H14192" s="2"/>
      <c r="I14192" s="2"/>
      <c r="J14192" s="2"/>
      <c r="K14192" s="2"/>
      <c r="L14192" s="2"/>
    </row>
    <row r="14193" spans="8:12" x14ac:dyDescent="0.3">
      <c r="H14193" s="2"/>
      <c r="I14193" s="2"/>
      <c r="J14193" s="2"/>
      <c r="K14193" s="2"/>
      <c r="L14193" s="2"/>
    </row>
    <row r="14194" spans="8:12" x14ac:dyDescent="0.3">
      <c r="H14194" s="2"/>
      <c r="I14194" s="2"/>
      <c r="J14194" s="2"/>
      <c r="K14194" s="2"/>
      <c r="L14194" s="2"/>
    </row>
    <row r="14195" spans="8:12" x14ac:dyDescent="0.3">
      <c r="H14195" s="2"/>
      <c r="I14195" s="2"/>
      <c r="J14195" s="2"/>
      <c r="K14195" s="2"/>
      <c r="L14195" s="2"/>
    </row>
    <row r="14196" spans="8:12" x14ac:dyDescent="0.3">
      <c r="H14196" s="2"/>
      <c r="I14196" s="2"/>
      <c r="J14196" s="2"/>
      <c r="K14196" s="2"/>
      <c r="L14196" s="2"/>
    </row>
    <row r="14197" spans="8:12" x14ac:dyDescent="0.3">
      <c r="H14197" s="2"/>
      <c r="I14197" s="2"/>
      <c r="J14197" s="2"/>
      <c r="K14197" s="2"/>
      <c r="L14197" s="2"/>
    </row>
    <row r="14198" spans="8:12" x14ac:dyDescent="0.3">
      <c r="H14198" s="2"/>
      <c r="I14198" s="2"/>
      <c r="J14198" s="2"/>
      <c r="K14198" s="2"/>
      <c r="L14198" s="2"/>
    </row>
    <row r="14199" spans="8:12" x14ac:dyDescent="0.3">
      <c r="H14199" s="2"/>
      <c r="I14199" s="2"/>
      <c r="J14199" s="2"/>
      <c r="K14199" s="2"/>
      <c r="L14199" s="2"/>
    </row>
    <row r="14200" spans="8:12" x14ac:dyDescent="0.3">
      <c r="H14200" s="2"/>
      <c r="I14200" s="2"/>
      <c r="J14200" s="2"/>
      <c r="K14200" s="2"/>
      <c r="L14200" s="2"/>
    </row>
    <row r="14201" spans="8:12" x14ac:dyDescent="0.3">
      <c r="H14201" s="2"/>
      <c r="I14201" s="2"/>
      <c r="J14201" s="2"/>
      <c r="K14201" s="2"/>
      <c r="L14201" s="2"/>
    </row>
    <row r="14202" spans="8:12" x14ac:dyDescent="0.3">
      <c r="H14202" s="2"/>
      <c r="I14202" s="2"/>
      <c r="J14202" s="2"/>
      <c r="K14202" s="2"/>
      <c r="L14202" s="2"/>
    </row>
    <row r="14203" spans="8:12" x14ac:dyDescent="0.3">
      <c r="H14203" s="2"/>
      <c r="I14203" s="2"/>
      <c r="J14203" s="2"/>
      <c r="K14203" s="2"/>
      <c r="L14203" s="2"/>
    </row>
    <row r="14204" spans="8:12" x14ac:dyDescent="0.3">
      <c r="H14204" s="2"/>
      <c r="I14204" s="2"/>
      <c r="J14204" s="2"/>
      <c r="K14204" s="2"/>
      <c r="L14204" s="2"/>
    </row>
    <row r="14205" spans="8:12" x14ac:dyDescent="0.3">
      <c r="H14205" s="2"/>
      <c r="I14205" s="2"/>
      <c r="J14205" s="2"/>
      <c r="K14205" s="2"/>
      <c r="L14205" s="2"/>
    </row>
    <row r="14206" spans="8:12" x14ac:dyDescent="0.3">
      <c r="H14206" s="2"/>
      <c r="I14206" s="2"/>
      <c r="J14206" s="2"/>
      <c r="K14206" s="2"/>
      <c r="L14206" s="2"/>
    </row>
    <row r="14207" spans="8:12" x14ac:dyDescent="0.3">
      <c r="H14207" s="2"/>
      <c r="I14207" s="2"/>
      <c r="J14207" s="2"/>
      <c r="K14207" s="2"/>
      <c r="L14207" s="2"/>
    </row>
    <row r="14208" spans="8:12" x14ac:dyDescent="0.3">
      <c r="H14208" s="2"/>
      <c r="I14208" s="2"/>
      <c r="J14208" s="2"/>
      <c r="K14208" s="2"/>
      <c r="L14208" s="2"/>
    </row>
    <row r="14209" spans="8:12" x14ac:dyDescent="0.3">
      <c r="H14209" s="2"/>
      <c r="I14209" s="2"/>
      <c r="J14209" s="2"/>
      <c r="K14209" s="2"/>
      <c r="L14209" s="2"/>
    </row>
    <row r="14210" spans="8:12" x14ac:dyDescent="0.3">
      <c r="H14210" s="2"/>
      <c r="I14210" s="2"/>
      <c r="J14210" s="2"/>
      <c r="K14210" s="2"/>
      <c r="L14210" s="2"/>
    </row>
    <row r="14211" spans="8:12" x14ac:dyDescent="0.3">
      <c r="H14211" s="2"/>
      <c r="I14211" s="2"/>
      <c r="J14211" s="2"/>
      <c r="K14211" s="2"/>
      <c r="L14211" s="2"/>
    </row>
    <row r="14212" spans="8:12" x14ac:dyDescent="0.3">
      <c r="H14212" s="2"/>
      <c r="I14212" s="2"/>
      <c r="J14212" s="2"/>
      <c r="K14212" s="2"/>
      <c r="L14212" s="2"/>
    </row>
    <row r="14213" spans="8:12" x14ac:dyDescent="0.3">
      <c r="H14213" s="2"/>
      <c r="I14213" s="2"/>
      <c r="J14213" s="2"/>
      <c r="K14213" s="2"/>
      <c r="L14213" s="2"/>
    </row>
    <row r="14214" spans="8:12" x14ac:dyDescent="0.3">
      <c r="H14214" s="2"/>
      <c r="I14214" s="2"/>
      <c r="J14214" s="2"/>
      <c r="K14214" s="2"/>
      <c r="L14214" s="2"/>
    </row>
    <row r="14215" spans="8:12" x14ac:dyDescent="0.3">
      <c r="H14215" s="2"/>
      <c r="I14215" s="2"/>
      <c r="J14215" s="2"/>
      <c r="K14215" s="2"/>
      <c r="L14215" s="2"/>
    </row>
    <row r="14216" spans="8:12" x14ac:dyDescent="0.3">
      <c r="H14216" s="2"/>
      <c r="I14216" s="2"/>
      <c r="J14216" s="2"/>
      <c r="K14216" s="2"/>
      <c r="L14216" s="2"/>
    </row>
    <row r="14217" spans="8:12" x14ac:dyDescent="0.3">
      <c r="H14217" s="2"/>
      <c r="I14217" s="2"/>
      <c r="J14217" s="2"/>
      <c r="K14217" s="2"/>
      <c r="L14217" s="2"/>
    </row>
    <row r="14218" spans="8:12" x14ac:dyDescent="0.3">
      <c r="H14218" s="2"/>
      <c r="I14218" s="2"/>
      <c r="J14218" s="2"/>
      <c r="K14218" s="2"/>
      <c r="L14218" s="2"/>
    </row>
    <row r="14219" spans="8:12" x14ac:dyDescent="0.3">
      <c r="H14219" s="2"/>
      <c r="I14219" s="2"/>
      <c r="J14219" s="2"/>
      <c r="K14219" s="2"/>
      <c r="L14219" s="2"/>
    </row>
    <row r="14220" spans="8:12" x14ac:dyDescent="0.3">
      <c r="H14220" s="2"/>
      <c r="I14220" s="2"/>
      <c r="J14220" s="2"/>
      <c r="K14220" s="2"/>
      <c r="L14220" s="2"/>
    </row>
    <row r="14221" spans="8:12" x14ac:dyDescent="0.3">
      <c r="H14221" s="2"/>
      <c r="I14221" s="2"/>
      <c r="J14221" s="2"/>
      <c r="K14221" s="2"/>
      <c r="L14221" s="2"/>
    </row>
    <row r="14222" spans="8:12" x14ac:dyDescent="0.3">
      <c r="H14222" s="2"/>
      <c r="I14222" s="2"/>
      <c r="J14222" s="2"/>
      <c r="K14222" s="2"/>
      <c r="L14222" s="2"/>
    </row>
    <row r="14223" spans="8:12" x14ac:dyDescent="0.3">
      <c r="H14223" s="2"/>
      <c r="I14223" s="2"/>
      <c r="J14223" s="2"/>
      <c r="K14223" s="2"/>
      <c r="L14223" s="2"/>
    </row>
    <row r="14224" spans="8:12" x14ac:dyDescent="0.3">
      <c r="H14224" s="2"/>
      <c r="I14224" s="2"/>
      <c r="J14224" s="2"/>
      <c r="K14224" s="2"/>
      <c r="L14224" s="2"/>
    </row>
    <row r="14225" spans="8:12" x14ac:dyDescent="0.3">
      <c r="H14225" s="2"/>
      <c r="I14225" s="2"/>
      <c r="J14225" s="2"/>
      <c r="K14225" s="2"/>
      <c r="L14225" s="2"/>
    </row>
    <row r="14226" spans="8:12" x14ac:dyDescent="0.3">
      <c r="H14226" s="2"/>
      <c r="I14226" s="2"/>
      <c r="J14226" s="2"/>
      <c r="K14226" s="2"/>
      <c r="L14226" s="2"/>
    </row>
    <row r="14227" spans="8:12" x14ac:dyDescent="0.3">
      <c r="H14227" s="2"/>
      <c r="I14227" s="2"/>
      <c r="J14227" s="2"/>
      <c r="K14227" s="2"/>
      <c r="L14227" s="2"/>
    </row>
    <row r="14228" spans="8:12" x14ac:dyDescent="0.3">
      <c r="H14228" s="2"/>
      <c r="I14228" s="2"/>
      <c r="J14228" s="2"/>
      <c r="K14228" s="2"/>
      <c r="L14228" s="2"/>
    </row>
    <row r="14229" spans="8:12" x14ac:dyDescent="0.3">
      <c r="H14229" s="2"/>
      <c r="I14229" s="2"/>
      <c r="J14229" s="2"/>
      <c r="K14229" s="2"/>
      <c r="L14229" s="2"/>
    </row>
    <row r="14230" spans="8:12" x14ac:dyDescent="0.3">
      <c r="H14230" s="2"/>
      <c r="I14230" s="2"/>
      <c r="J14230" s="2"/>
      <c r="K14230" s="2"/>
      <c r="L14230" s="2"/>
    </row>
    <row r="14231" spans="8:12" x14ac:dyDescent="0.3">
      <c r="H14231" s="2"/>
      <c r="I14231" s="2"/>
      <c r="J14231" s="2"/>
      <c r="K14231" s="2"/>
      <c r="L14231" s="2"/>
    </row>
    <row r="14232" spans="8:12" x14ac:dyDescent="0.3">
      <c r="H14232" s="2"/>
      <c r="I14232" s="2"/>
      <c r="J14232" s="2"/>
      <c r="K14232" s="2"/>
      <c r="L14232" s="2"/>
    </row>
    <row r="14233" spans="8:12" x14ac:dyDescent="0.3">
      <c r="H14233" s="2"/>
      <c r="I14233" s="2"/>
      <c r="J14233" s="2"/>
      <c r="K14233" s="2"/>
      <c r="L14233" s="2"/>
    </row>
    <row r="14234" spans="8:12" x14ac:dyDescent="0.3">
      <c r="H14234" s="2"/>
      <c r="I14234" s="2"/>
      <c r="J14234" s="2"/>
      <c r="K14234" s="2"/>
      <c r="L14234" s="2"/>
    </row>
    <row r="14235" spans="8:12" x14ac:dyDescent="0.3">
      <c r="H14235" s="2"/>
      <c r="I14235" s="2"/>
      <c r="J14235" s="2"/>
      <c r="K14235" s="2"/>
      <c r="L14235" s="2"/>
    </row>
    <row r="14236" spans="8:12" x14ac:dyDescent="0.3">
      <c r="H14236" s="2"/>
      <c r="I14236" s="2"/>
      <c r="J14236" s="2"/>
      <c r="K14236" s="2"/>
      <c r="L14236" s="2"/>
    </row>
    <row r="14237" spans="8:12" x14ac:dyDescent="0.3">
      <c r="H14237" s="2"/>
      <c r="I14237" s="2"/>
      <c r="J14237" s="2"/>
      <c r="K14237" s="2"/>
      <c r="L14237" s="2"/>
    </row>
    <row r="14238" spans="8:12" x14ac:dyDescent="0.3">
      <c r="H14238" s="2"/>
      <c r="I14238" s="2"/>
      <c r="J14238" s="2"/>
      <c r="K14238" s="2"/>
      <c r="L14238" s="2"/>
    </row>
    <row r="14239" spans="8:12" x14ac:dyDescent="0.3">
      <c r="H14239" s="2"/>
      <c r="I14239" s="2"/>
      <c r="J14239" s="2"/>
      <c r="K14239" s="2"/>
      <c r="L14239" s="2"/>
    </row>
    <row r="14240" spans="8:12" x14ac:dyDescent="0.3">
      <c r="H14240" s="2"/>
      <c r="I14240" s="2"/>
      <c r="J14240" s="2"/>
      <c r="K14240" s="2"/>
      <c r="L14240" s="2"/>
    </row>
    <row r="14241" spans="8:12" x14ac:dyDescent="0.3">
      <c r="H14241" s="2"/>
      <c r="I14241" s="2"/>
      <c r="J14241" s="2"/>
      <c r="K14241" s="2"/>
      <c r="L14241" s="2"/>
    </row>
    <row r="14242" spans="8:12" x14ac:dyDescent="0.3">
      <c r="H14242" s="2"/>
      <c r="I14242" s="2"/>
      <c r="J14242" s="2"/>
      <c r="K14242" s="2"/>
      <c r="L14242" s="2"/>
    </row>
    <row r="14243" spans="8:12" x14ac:dyDescent="0.3">
      <c r="H14243" s="2"/>
      <c r="I14243" s="2"/>
      <c r="J14243" s="2"/>
      <c r="K14243" s="2"/>
      <c r="L14243" s="2"/>
    </row>
    <row r="14244" spans="8:12" x14ac:dyDescent="0.3">
      <c r="H14244" s="2"/>
      <c r="I14244" s="2"/>
      <c r="J14244" s="2"/>
      <c r="K14244" s="2"/>
      <c r="L14244" s="2"/>
    </row>
    <row r="14245" spans="8:12" x14ac:dyDescent="0.3">
      <c r="H14245" s="2"/>
      <c r="I14245" s="2"/>
      <c r="J14245" s="2"/>
      <c r="K14245" s="2"/>
      <c r="L14245" s="2"/>
    </row>
    <row r="14246" spans="8:12" x14ac:dyDescent="0.3">
      <c r="H14246" s="2"/>
      <c r="I14246" s="2"/>
      <c r="J14246" s="2"/>
      <c r="K14246" s="2"/>
      <c r="L14246" s="2"/>
    </row>
    <row r="14247" spans="8:12" x14ac:dyDescent="0.3">
      <c r="H14247" s="2"/>
      <c r="I14247" s="2"/>
      <c r="J14247" s="2"/>
      <c r="K14247" s="2"/>
      <c r="L14247" s="2"/>
    </row>
    <row r="14248" spans="8:12" x14ac:dyDescent="0.3">
      <c r="H14248" s="2"/>
      <c r="I14248" s="2"/>
      <c r="J14248" s="2"/>
      <c r="K14248" s="2"/>
      <c r="L14248" s="2"/>
    </row>
    <row r="14249" spans="8:12" x14ac:dyDescent="0.3">
      <c r="H14249" s="2"/>
      <c r="I14249" s="2"/>
      <c r="J14249" s="2"/>
      <c r="K14249" s="2"/>
      <c r="L14249" s="2"/>
    </row>
    <row r="14250" spans="8:12" x14ac:dyDescent="0.3">
      <c r="H14250" s="2"/>
      <c r="I14250" s="2"/>
      <c r="J14250" s="2"/>
      <c r="K14250" s="2"/>
      <c r="L14250" s="2"/>
    </row>
    <row r="14251" spans="8:12" x14ac:dyDescent="0.3">
      <c r="H14251" s="2"/>
      <c r="I14251" s="2"/>
      <c r="J14251" s="2"/>
      <c r="K14251" s="2"/>
      <c r="L14251" s="2"/>
    </row>
    <row r="14252" spans="8:12" x14ac:dyDescent="0.3">
      <c r="H14252" s="2"/>
      <c r="I14252" s="2"/>
      <c r="J14252" s="2"/>
      <c r="K14252" s="2"/>
      <c r="L14252" s="2"/>
    </row>
    <row r="14253" spans="8:12" x14ac:dyDescent="0.3">
      <c r="H14253" s="2"/>
      <c r="I14253" s="2"/>
      <c r="J14253" s="2"/>
      <c r="K14253" s="2"/>
      <c r="L14253" s="2"/>
    </row>
    <row r="14254" spans="8:12" x14ac:dyDescent="0.3">
      <c r="H14254" s="2"/>
      <c r="I14254" s="2"/>
      <c r="J14254" s="2"/>
      <c r="K14254" s="2"/>
      <c r="L14254" s="2"/>
    </row>
    <row r="14255" spans="8:12" x14ac:dyDescent="0.3">
      <c r="H14255" s="2"/>
      <c r="I14255" s="2"/>
      <c r="J14255" s="2"/>
      <c r="K14255" s="2"/>
      <c r="L14255" s="2"/>
    </row>
    <row r="14256" spans="8:12" x14ac:dyDescent="0.3">
      <c r="H14256" s="2"/>
      <c r="I14256" s="2"/>
      <c r="J14256" s="2"/>
      <c r="K14256" s="2"/>
      <c r="L14256" s="2"/>
    </row>
    <row r="14257" spans="8:12" x14ac:dyDescent="0.3">
      <c r="H14257" s="2"/>
      <c r="I14257" s="2"/>
      <c r="J14257" s="2"/>
      <c r="K14257" s="2"/>
      <c r="L14257" s="2"/>
    </row>
    <row r="14258" spans="8:12" x14ac:dyDescent="0.3">
      <c r="H14258" s="2"/>
      <c r="I14258" s="2"/>
      <c r="J14258" s="2"/>
      <c r="K14258" s="2"/>
      <c r="L14258" s="2"/>
    </row>
    <row r="14259" spans="8:12" x14ac:dyDescent="0.3">
      <c r="H14259" s="2"/>
      <c r="I14259" s="2"/>
      <c r="J14259" s="2"/>
      <c r="K14259" s="2"/>
      <c r="L14259" s="2"/>
    </row>
    <row r="14260" spans="8:12" x14ac:dyDescent="0.3">
      <c r="H14260" s="2"/>
      <c r="I14260" s="2"/>
      <c r="J14260" s="2"/>
      <c r="K14260" s="2"/>
      <c r="L14260" s="2"/>
    </row>
    <row r="14261" spans="8:12" x14ac:dyDescent="0.3">
      <c r="H14261" s="2"/>
      <c r="I14261" s="2"/>
      <c r="J14261" s="2"/>
      <c r="K14261" s="2"/>
      <c r="L14261" s="2"/>
    </row>
    <row r="14262" spans="8:12" x14ac:dyDescent="0.3">
      <c r="H14262" s="2"/>
      <c r="I14262" s="2"/>
      <c r="J14262" s="2"/>
      <c r="K14262" s="2"/>
      <c r="L14262" s="2"/>
    </row>
    <row r="14263" spans="8:12" x14ac:dyDescent="0.3">
      <c r="H14263" s="2"/>
      <c r="I14263" s="2"/>
      <c r="J14263" s="2"/>
      <c r="K14263" s="2"/>
      <c r="L14263" s="2"/>
    </row>
    <row r="14264" spans="8:12" x14ac:dyDescent="0.3">
      <c r="H14264" s="2"/>
      <c r="I14264" s="2"/>
      <c r="J14264" s="2"/>
      <c r="K14264" s="2"/>
      <c r="L14264" s="2"/>
    </row>
    <row r="14265" spans="8:12" x14ac:dyDescent="0.3">
      <c r="H14265" s="2"/>
      <c r="I14265" s="2"/>
      <c r="J14265" s="2"/>
      <c r="K14265" s="2"/>
      <c r="L14265" s="2"/>
    </row>
    <row r="14266" spans="8:12" x14ac:dyDescent="0.3">
      <c r="H14266" s="2"/>
      <c r="I14266" s="2"/>
      <c r="J14266" s="2"/>
      <c r="K14266" s="2"/>
      <c r="L14266" s="2"/>
    </row>
    <row r="14267" spans="8:12" x14ac:dyDescent="0.3">
      <c r="H14267" s="2"/>
      <c r="I14267" s="2"/>
      <c r="J14267" s="2"/>
      <c r="K14267" s="2"/>
      <c r="L14267" s="2"/>
    </row>
    <row r="14268" spans="8:12" x14ac:dyDescent="0.3">
      <c r="H14268" s="2"/>
      <c r="I14268" s="2"/>
      <c r="J14268" s="2"/>
      <c r="K14268" s="2"/>
      <c r="L14268" s="2"/>
    </row>
    <row r="14269" spans="8:12" x14ac:dyDescent="0.3">
      <c r="H14269" s="2"/>
      <c r="I14269" s="2"/>
      <c r="J14269" s="2"/>
      <c r="K14269" s="2"/>
      <c r="L14269" s="2"/>
    </row>
    <row r="14270" spans="8:12" x14ac:dyDescent="0.3">
      <c r="H14270" s="2"/>
      <c r="I14270" s="2"/>
      <c r="J14270" s="2"/>
      <c r="K14270" s="2"/>
      <c r="L14270" s="2"/>
    </row>
    <row r="14271" spans="8:12" x14ac:dyDescent="0.3">
      <c r="H14271" s="2"/>
      <c r="I14271" s="2"/>
      <c r="J14271" s="2"/>
      <c r="K14271" s="2"/>
      <c r="L14271" s="2"/>
    </row>
    <row r="14272" spans="8:12" x14ac:dyDescent="0.3">
      <c r="H14272" s="2"/>
      <c r="I14272" s="2"/>
      <c r="J14272" s="2"/>
      <c r="K14272" s="2"/>
      <c r="L14272" s="2"/>
    </row>
    <row r="14273" spans="8:12" x14ac:dyDescent="0.3">
      <c r="H14273" s="2"/>
      <c r="I14273" s="2"/>
      <c r="J14273" s="2"/>
      <c r="K14273" s="2"/>
      <c r="L14273" s="2"/>
    </row>
    <row r="14274" spans="8:12" x14ac:dyDescent="0.3">
      <c r="H14274" s="2"/>
      <c r="I14274" s="2"/>
      <c r="J14274" s="2"/>
      <c r="K14274" s="2"/>
      <c r="L14274" s="2"/>
    </row>
    <row r="14275" spans="8:12" x14ac:dyDescent="0.3">
      <c r="H14275" s="2"/>
      <c r="I14275" s="2"/>
      <c r="J14275" s="2"/>
      <c r="K14275" s="2"/>
      <c r="L14275" s="2"/>
    </row>
    <row r="14276" spans="8:12" x14ac:dyDescent="0.3">
      <c r="H14276" s="2"/>
      <c r="I14276" s="2"/>
      <c r="J14276" s="2"/>
      <c r="K14276" s="2"/>
      <c r="L14276" s="2"/>
    </row>
    <row r="14277" spans="8:12" x14ac:dyDescent="0.3">
      <c r="H14277" s="2"/>
      <c r="I14277" s="2"/>
      <c r="J14277" s="2"/>
      <c r="K14277" s="2"/>
      <c r="L14277" s="2"/>
    </row>
    <row r="14278" spans="8:12" x14ac:dyDescent="0.3">
      <c r="H14278" s="2"/>
      <c r="I14278" s="2"/>
      <c r="J14278" s="2"/>
      <c r="K14278" s="2"/>
      <c r="L14278" s="2"/>
    </row>
    <row r="14279" spans="8:12" x14ac:dyDescent="0.3">
      <c r="H14279" s="2"/>
      <c r="I14279" s="2"/>
      <c r="J14279" s="2"/>
      <c r="K14279" s="2"/>
      <c r="L14279" s="2"/>
    </row>
    <row r="14280" spans="8:12" x14ac:dyDescent="0.3">
      <c r="H14280" s="2"/>
      <c r="I14280" s="2"/>
      <c r="J14280" s="2"/>
      <c r="K14280" s="2"/>
      <c r="L14280" s="2"/>
    </row>
    <row r="14281" spans="8:12" x14ac:dyDescent="0.3">
      <c r="H14281" s="2"/>
      <c r="I14281" s="2"/>
      <c r="J14281" s="2"/>
      <c r="K14281" s="2"/>
      <c r="L14281" s="2"/>
    </row>
    <row r="14282" spans="8:12" x14ac:dyDescent="0.3">
      <c r="H14282" s="2"/>
      <c r="I14282" s="2"/>
      <c r="J14282" s="2"/>
      <c r="K14282" s="2"/>
      <c r="L14282" s="2"/>
    </row>
    <row r="14283" spans="8:12" x14ac:dyDescent="0.3">
      <c r="H14283" s="2"/>
      <c r="I14283" s="2"/>
      <c r="J14283" s="2"/>
      <c r="K14283" s="2"/>
      <c r="L14283" s="2"/>
    </row>
    <row r="14284" spans="8:12" x14ac:dyDescent="0.3">
      <c r="H14284" s="2"/>
      <c r="I14284" s="2"/>
      <c r="J14284" s="2"/>
      <c r="K14284" s="2"/>
      <c r="L14284" s="2"/>
    </row>
    <row r="14285" spans="8:12" x14ac:dyDescent="0.3">
      <c r="H14285" s="2"/>
      <c r="I14285" s="2"/>
      <c r="J14285" s="2"/>
      <c r="K14285" s="2"/>
      <c r="L14285" s="2"/>
    </row>
    <row r="14286" spans="8:12" x14ac:dyDescent="0.3">
      <c r="H14286" s="2"/>
      <c r="I14286" s="2"/>
      <c r="J14286" s="2"/>
      <c r="K14286" s="2"/>
      <c r="L14286" s="2"/>
    </row>
    <row r="14287" spans="8:12" x14ac:dyDescent="0.3">
      <c r="H14287" s="2"/>
      <c r="I14287" s="2"/>
      <c r="J14287" s="2"/>
      <c r="K14287" s="2"/>
      <c r="L14287" s="2"/>
    </row>
    <row r="14288" spans="8:12" x14ac:dyDescent="0.3">
      <c r="H14288" s="2"/>
      <c r="I14288" s="2"/>
      <c r="J14288" s="2"/>
      <c r="K14288" s="2"/>
      <c r="L14288" s="2"/>
    </row>
    <row r="14289" spans="8:12" x14ac:dyDescent="0.3">
      <c r="H14289" s="2"/>
      <c r="I14289" s="2"/>
      <c r="J14289" s="2"/>
      <c r="K14289" s="2"/>
      <c r="L14289" s="2"/>
    </row>
    <row r="14290" spans="8:12" x14ac:dyDescent="0.3">
      <c r="H14290" s="2"/>
      <c r="I14290" s="2"/>
      <c r="J14290" s="2"/>
      <c r="K14290" s="2"/>
      <c r="L14290" s="2"/>
    </row>
    <row r="14291" spans="8:12" x14ac:dyDescent="0.3">
      <c r="H14291" s="2"/>
      <c r="I14291" s="2"/>
      <c r="J14291" s="2"/>
      <c r="K14291" s="2"/>
      <c r="L14291" s="2"/>
    </row>
    <row r="14292" spans="8:12" x14ac:dyDescent="0.3">
      <c r="H14292" s="2"/>
      <c r="I14292" s="2"/>
      <c r="J14292" s="2"/>
      <c r="K14292" s="2"/>
      <c r="L14292" s="2"/>
    </row>
    <row r="14293" spans="8:12" x14ac:dyDescent="0.3">
      <c r="H14293" s="2"/>
      <c r="I14293" s="2"/>
      <c r="J14293" s="2"/>
      <c r="K14293" s="2"/>
      <c r="L14293" s="2"/>
    </row>
    <row r="14294" spans="8:12" x14ac:dyDescent="0.3">
      <c r="H14294" s="2"/>
      <c r="I14294" s="2"/>
      <c r="J14294" s="2"/>
      <c r="K14294" s="2"/>
      <c r="L14294" s="2"/>
    </row>
    <row r="14295" spans="8:12" x14ac:dyDescent="0.3">
      <c r="H14295" s="2"/>
      <c r="I14295" s="2"/>
      <c r="J14295" s="2"/>
      <c r="K14295" s="2"/>
      <c r="L14295" s="2"/>
    </row>
    <row r="14296" spans="8:12" x14ac:dyDescent="0.3">
      <c r="H14296" s="2"/>
      <c r="I14296" s="2"/>
      <c r="J14296" s="2"/>
      <c r="K14296" s="2"/>
      <c r="L14296" s="2"/>
    </row>
    <row r="14297" spans="8:12" x14ac:dyDescent="0.3">
      <c r="H14297" s="2"/>
      <c r="I14297" s="2"/>
      <c r="J14297" s="2"/>
      <c r="K14297" s="2"/>
      <c r="L14297" s="2"/>
    </row>
    <row r="14298" spans="8:12" x14ac:dyDescent="0.3">
      <c r="H14298" s="2"/>
      <c r="I14298" s="2"/>
      <c r="J14298" s="2"/>
      <c r="K14298" s="2"/>
      <c r="L14298" s="2"/>
    </row>
    <row r="14299" spans="8:12" x14ac:dyDescent="0.3">
      <c r="H14299" s="2"/>
      <c r="I14299" s="2"/>
      <c r="J14299" s="2"/>
      <c r="K14299" s="2"/>
      <c r="L14299" s="2"/>
    </row>
    <row r="14300" spans="8:12" x14ac:dyDescent="0.3">
      <c r="H14300" s="2"/>
      <c r="I14300" s="2"/>
      <c r="J14300" s="2"/>
      <c r="K14300" s="2"/>
      <c r="L14300" s="2"/>
    </row>
    <row r="14301" spans="8:12" x14ac:dyDescent="0.3">
      <c r="H14301" s="2"/>
      <c r="I14301" s="2"/>
      <c r="J14301" s="2"/>
      <c r="K14301" s="2"/>
      <c r="L14301" s="2"/>
    </row>
    <row r="14302" spans="8:12" x14ac:dyDescent="0.3">
      <c r="H14302" s="2"/>
      <c r="I14302" s="2"/>
      <c r="J14302" s="2"/>
      <c r="K14302" s="2"/>
      <c r="L14302" s="2"/>
    </row>
    <row r="14303" spans="8:12" x14ac:dyDescent="0.3">
      <c r="H14303" s="2"/>
      <c r="I14303" s="2"/>
      <c r="J14303" s="2"/>
      <c r="K14303" s="2"/>
      <c r="L14303" s="2"/>
    </row>
    <row r="14304" spans="8:12" x14ac:dyDescent="0.3">
      <c r="H14304" s="2"/>
      <c r="I14304" s="2"/>
      <c r="J14304" s="2"/>
      <c r="K14304" s="2"/>
      <c r="L14304" s="2"/>
    </row>
    <row r="14305" spans="8:12" x14ac:dyDescent="0.3">
      <c r="H14305" s="2"/>
      <c r="I14305" s="2"/>
      <c r="J14305" s="2"/>
      <c r="K14305" s="2"/>
      <c r="L14305" s="2"/>
    </row>
    <row r="14306" spans="8:12" x14ac:dyDescent="0.3">
      <c r="H14306" s="2"/>
      <c r="I14306" s="2"/>
      <c r="J14306" s="2"/>
      <c r="K14306" s="2"/>
      <c r="L14306" s="2"/>
    </row>
    <row r="14307" spans="8:12" x14ac:dyDescent="0.3">
      <c r="H14307" s="2"/>
      <c r="I14307" s="2"/>
      <c r="J14307" s="2"/>
      <c r="K14307" s="2"/>
      <c r="L14307" s="2"/>
    </row>
    <row r="14308" spans="8:12" x14ac:dyDescent="0.3">
      <c r="H14308" s="2"/>
      <c r="I14308" s="2"/>
      <c r="J14308" s="2"/>
      <c r="K14308" s="2"/>
      <c r="L14308" s="2"/>
    </row>
    <row r="14309" spans="8:12" x14ac:dyDescent="0.3">
      <c r="H14309" s="2"/>
      <c r="I14309" s="2"/>
      <c r="J14309" s="2"/>
      <c r="K14309" s="2"/>
      <c r="L14309" s="2"/>
    </row>
    <row r="14310" spans="8:12" x14ac:dyDescent="0.3">
      <c r="H14310" s="2"/>
      <c r="I14310" s="2"/>
      <c r="J14310" s="2"/>
      <c r="K14310" s="2"/>
      <c r="L14310" s="2"/>
    </row>
    <row r="14311" spans="8:12" x14ac:dyDescent="0.3">
      <c r="H14311" s="2"/>
      <c r="I14311" s="2"/>
      <c r="J14311" s="2"/>
      <c r="K14311" s="2"/>
      <c r="L14311" s="2"/>
    </row>
    <row r="14312" spans="8:12" x14ac:dyDescent="0.3">
      <c r="H14312" s="2"/>
      <c r="I14312" s="2"/>
      <c r="J14312" s="2"/>
      <c r="K14312" s="2"/>
      <c r="L14312" s="2"/>
    </row>
    <row r="14313" spans="8:12" x14ac:dyDescent="0.3">
      <c r="H14313" s="2"/>
      <c r="I14313" s="2"/>
      <c r="J14313" s="2"/>
      <c r="K14313" s="2"/>
      <c r="L14313" s="2"/>
    </row>
    <row r="14314" spans="8:12" x14ac:dyDescent="0.3">
      <c r="H14314" s="2"/>
      <c r="I14314" s="2"/>
      <c r="J14314" s="2"/>
      <c r="K14314" s="2"/>
      <c r="L14314" s="2"/>
    </row>
    <row r="14315" spans="8:12" x14ac:dyDescent="0.3">
      <c r="H14315" s="2"/>
      <c r="I14315" s="2"/>
      <c r="J14315" s="2"/>
      <c r="K14315" s="2"/>
      <c r="L14315" s="2"/>
    </row>
    <row r="14316" spans="8:12" x14ac:dyDescent="0.3">
      <c r="H14316" s="2"/>
      <c r="I14316" s="2"/>
      <c r="J14316" s="2"/>
      <c r="K14316" s="2"/>
      <c r="L14316" s="2"/>
    </row>
    <row r="14317" spans="8:12" x14ac:dyDescent="0.3">
      <c r="H14317" s="2"/>
      <c r="I14317" s="2"/>
      <c r="J14317" s="2"/>
      <c r="K14317" s="2"/>
      <c r="L14317" s="2"/>
    </row>
    <row r="14318" spans="8:12" x14ac:dyDescent="0.3">
      <c r="H14318" s="2"/>
      <c r="I14318" s="2"/>
      <c r="J14318" s="2"/>
      <c r="K14318" s="2"/>
      <c r="L14318" s="2"/>
    </row>
    <row r="14319" spans="8:12" x14ac:dyDescent="0.3">
      <c r="H14319" s="2"/>
      <c r="I14319" s="2"/>
      <c r="J14319" s="2"/>
      <c r="K14319" s="2"/>
      <c r="L14319" s="2"/>
    </row>
    <row r="14320" spans="8:12" x14ac:dyDescent="0.3">
      <c r="H14320" s="2"/>
      <c r="I14320" s="2"/>
      <c r="J14320" s="2"/>
      <c r="K14320" s="2"/>
      <c r="L14320" s="2"/>
    </row>
    <row r="14321" spans="8:12" x14ac:dyDescent="0.3">
      <c r="H14321" s="2"/>
      <c r="I14321" s="2"/>
      <c r="J14321" s="2"/>
      <c r="K14321" s="2"/>
      <c r="L14321" s="2"/>
    </row>
    <row r="14322" spans="8:12" x14ac:dyDescent="0.3">
      <c r="H14322" s="2"/>
      <c r="I14322" s="2"/>
      <c r="J14322" s="2"/>
      <c r="K14322" s="2"/>
      <c r="L14322" s="2"/>
    </row>
    <row r="14323" spans="8:12" x14ac:dyDescent="0.3">
      <c r="H14323" s="2"/>
      <c r="I14323" s="2"/>
      <c r="J14323" s="2"/>
      <c r="K14323" s="2"/>
      <c r="L14323" s="2"/>
    </row>
    <row r="14324" spans="8:12" x14ac:dyDescent="0.3">
      <c r="H14324" s="2"/>
      <c r="I14324" s="2"/>
      <c r="J14324" s="2"/>
      <c r="K14324" s="2"/>
      <c r="L14324" s="2"/>
    </row>
    <row r="14325" spans="8:12" x14ac:dyDescent="0.3">
      <c r="H14325" s="2"/>
      <c r="I14325" s="2"/>
      <c r="J14325" s="2"/>
      <c r="K14325" s="2"/>
      <c r="L14325" s="2"/>
    </row>
    <row r="14326" spans="8:12" x14ac:dyDescent="0.3">
      <c r="H14326" s="2"/>
      <c r="I14326" s="2"/>
      <c r="J14326" s="2"/>
      <c r="K14326" s="2"/>
      <c r="L14326" s="2"/>
    </row>
    <row r="14327" spans="8:12" x14ac:dyDescent="0.3">
      <c r="H14327" s="2"/>
      <c r="I14327" s="2"/>
      <c r="J14327" s="2"/>
      <c r="K14327" s="2"/>
      <c r="L14327" s="2"/>
    </row>
    <row r="14328" spans="8:12" x14ac:dyDescent="0.3">
      <c r="H14328" s="2"/>
      <c r="I14328" s="2"/>
      <c r="J14328" s="2"/>
      <c r="K14328" s="2"/>
      <c r="L14328" s="2"/>
    </row>
    <row r="14329" spans="8:12" x14ac:dyDescent="0.3">
      <c r="H14329" s="2"/>
      <c r="I14329" s="2"/>
      <c r="J14329" s="2"/>
      <c r="K14329" s="2"/>
      <c r="L14329" s="2"/>
    </row>
    <row r="14330" spans="8:12" x14ac:dyDescent="0.3">
      <c r="H14330" s="2"/>
      <c r="I14330" s="2"/>
      <c r="J14330" s="2"/>
      <c r="K14330" s="2"/>
      <c r="L14330" s="2"/>
    </row>
    <row r="14331" spans="8:12" x14ac:dyDescent="0.3">
      <c r="H14331" s="2"/>
      <c r="I14331" s="2"/>
      <c r="J14331" s="2"/>
      <c r="K14331" s="2"/>
      <c r="L14331" s="2"/>
    </row>
    <row r="14332" spans="8:12" x14ac:dyDescent="0.3">
      <c r="H14332" s="2"/>
      <c r="I14332" s="2"/>
      <c r="J14332" s="2"/>
      <c r="K14332" s="2"/>
      <c r="L14332" s="2"/>
    </row>
    <row r="14333" spans="8:12" x14ac:dyDescent="0.3">
      <c r="H14333" s="2"/>
      <c r="I14333" s="2"/>
      <c r="J14333" s="2"/>
      <c r="K14333" s="2"/>
      <c r="L14333" s="2"/>
    </row>
    <row r="14334" spans="8:12" x14ac:dyDescent="0.3">
      <c r="H14334" s="2"/>
      <c r="I14334" s="2"/>
      <c r="J14334" s="2"/>
      <c r="K14334" s="2"/>
      <c r="L14334" s="2"/>
    </row>
    <row r="14335" spans="8:12" x14ac:dyDescent="0.3">
      <c r="H14335" s="2"/>
      <c r="I14335" s="2"/>
      <c r="J14335" s="2"/>
      <c r="K14335" s="2"/>
      <c r="L14335" s="2"/>
    </row>
    <row r="14336" spans="8:12" x14ac:dyDescent="0.3">
      <c r="H14336" s="2"/>
      <c r="I14336" s="2"/>
      <c r="J14336" s="2"/>
      <c r="K14336" s="2"/>
      <c r="L14336" s="2"/>
    </row>
    <row r="14337" spans="8:12" x14ac:dyDescent="0.3">
      <c r="H14337" s="2"/>
      <c r="I14337" s="2"/>
      <c r="J14337" s="2"/>
      <c r="K14337" s="2"/>
      <c r="L14337" s="2"/>
    </row>
    <row r="14338" spans="8:12" x14ac:dyDescent="0.3">
      <c r="H14338" s="2"/>
      <c r="I14338" s="2"/>
      <c r="J14338" s="2"/>
      <c r="K14338" s="2"/>
      <c r="L14338" s="2"/>
    </row>
    <row r="14339" spans="8:12" x14ac:dyDescent="0.3">
      <c r="H14339" s="2"/>
      <c r="I14339" s="2"/>
      <c r="J14339" s="2"/>
      <c r="K14339" s="2"/>
      <c r="L14339" s="2"/>
    </row>
    <row r="14340" spans="8:12" x14ac:dyDescent="0.3">
      <c r="H14340" s="2"/>
      <c r="I14340" s="2"/>
      <c r="J14340" s="2"/>
      <c r="K14340" s="2"/>
      <c r="L14340" s="2"/>
    </row>
    <row r="14341" spans="8:12" x14ac:dyDescent="0.3">
      <c r="H14341" s="2"/>
      <c r="I14341" s="2"/>
      <c r="J14341" s="2"/>
      <c r="K14341" s="2"/>
      <c r="L14341" s="2"/>
    </row>
    <row r="14342" spans="8:12" x14ac:dyDescent="0.3">
      <c r="H14342" s="2"/>
      <c r="I14342" s="2"/>
      <c r="J14342" s="2"/>
      <c r="K14342" s="2"/>
      <c r="L14342" s="2"/>
    </row>
    <row r="14343" spans="8:12" x14ac:dyDescent="0.3">
      <c r="H14343" s="2"/>
      <c r="I14343" s="2"/>
      <c r="J14343" s="2"/>
      <c r="K14343" s="2"/>
      <c r="L14343" s="2"/>
    </row>
    <row r="14344" spans="8:12" x14ac:dyDescent="0.3">
      <c r="H14344" s="2"/>
      <c r="I14344" s="2"/>
      <c r="J14344" s="2"/>
      <c r="K14344" s="2"/>
      <c r="L14344" s="2"/>
    </row>
    <row r="14345" spans="8:12" x14ac:dyDescent="0.3">
      <c r="H14345" s="2"/>
      <c r="I14345" s="2"/>
      <c r="J14345" s="2"/>
      <c r="K14345" s="2"/>
      <c r="L14345" s="2"/>
    </row>
    <row r="14346" spans="8:12" x14ac:dyDescent="0.3">
      <c r="H14346" s="2"/>
      <c r="I14346" s="2"/>
      <c r="J14346" s="2"/>
      <c r="K14346" s="2"/>
      <c r="L14346" s="2"/>
    </row>
    <row r="14347" spans="8:12" x14ac:dyDescent="0.3">
      <c r="H14347" s="2"/>
      <c r="I14347" s="2"/>
      <c r="J14347" s="2"/>
      <c r="K14347" s="2"/>
      <c r="L14347" s="2"/>
    </row>
    <row r="14348" spans="8:12" x14ac:dyDescent="0.3">
      <c r="H14348" s="2"/>
      <c r="I14348" s="2"/>
      <c r="J14348" s="2"/>
      <c r="K14348" s="2"/>
      <c r="L14348" s="2"/>
    </row>
    <row r="14349" spans="8:12" x14ac:dyDescent="0.3">
      <c r="H14349" s="2"/>
      <c r="I14349" s="2"/>
      <c r="J14349" s="2"/>
      <c r="K14349" s="2"/>
      <c r="L14349" s="2"/>
    </row>
    <row r="14350" spans="8:12" x14ac:dyDescent="0.3">
      <c r="H14350" s="2"/>
      <c r="I14350" s="2"/>
      <c r="J14350" s="2"/>
      <c r="K14350" s="2"/>
      <c r="L14350" s="2"/>
    </row>
    <row r="14351" spans="8:12" x14ac:dyDescent="0.3">
      <c r="H14351" s="2"/>
      <c r="I14351" s="2"/>
      <c r="J14351" s="2"/>
      <c r="K14351" s="2"/>
      <c r="L14351" s="2"/>
    </row>
    <row r="14352" spans="8:12" x14ac:dyDescent="0.3">
      <c r="H14352" s="2"/>
      <c r="I14352" s="2"/>
      <c r="J14352" s="2"/>
      <c r="K14352" s="2"/>
      <c r="L14352" s="2"/>
    </row>
    <row r="14353" spans="8:12" x14ac:dyDescent="0.3">
      <c r="H14353" s="2"/>
      <c r="I14353" s="2"/>
      <c r="J14353" s="2"/>
      <c r="K14353" s="2"/>
      <c r="L14353" s="2"/>
    </row>
    <row r="14354" spans="8:12" x14ac:dyDescent="0.3">
      <c r="H14354" s="2"/>
      <c r="I14354" s="2"/>
      <c r="J14354" s="2"/>
      <c r="K14354" s="2"/>
      <c r="L14354" s="2"/>
    </row>
    <row r="14355" spans="8:12" x14ac:dyDescent="0.3">
      <c r="H14355" s="2"/>
      <c r="I14355" s="2"/>
      <c r="J14355" s="2"/>
      <c r="K14355" s="2"/>
      <c r="L14355" s="2"/>
    </row>
    <row r="14356" spans="8:12" x14ac:dyDescent="0.3">
      <c r="H14356" s="2"/>
      <c r="I14356" s="2"/>
      <c r="J14356" s="2"/>
      <c r="K14356" s="2"/>
      <c r="L14356" s="2"/>
    </row>
    <row r="14357" spans="8:12" x14ac:dyDescent="0.3">
      <c r="H14357" s="2"/>
      <c r="I14357" s="2"/>
      <c r="J14357" s="2"/>
      <c r="K14357" s="2"/>
      <c r="L14357" s="2"/>
    </row>
    <row r="14358" spans="8:12" x14ac:dyDescent="0.3">
      <c r="H14358" s="2"/>
      <c r="I14358" s="2"/>
      <c r="J14358" s="2"/>
      <c r="K14358" s="2"/>
      <c r="L14358" s="2"/>
    </row>
    <row r="14359" spans="8:12" x14ac:dyDescent="0.3">
      <c r="H14359" s="2"/>
      <c r="I14359" s="2"/>
      <c r="J14359" s="2"/>
      <c r="K14359" s="2"/>
      <c r="L14359" s="2"/>
    </row>
    <row r="14360" spans="8:12" x14ac:dyDescent="0.3">
      <c r="H14360" s="2"/>
      <c r="I14360" s="2"/>
      <c r="J14360" s="2"/>
      <c r="K14360" s="2"/>
      <c r="L14360" s="2"/>
    </row>
    <row r="14361" spans="8:12" x14ac:dyDescent="0.3">
      <c r="H14361" s="2"/>
      <c r="I14361" s="2"/>
      <c r="J14361" s="2"/>
      <c r="K14361" s="2"/>
      <c r="L14361" s="2"/>
    </row>
    <row r="14362" spans="8:12" x14ac:dyDescent="0.3">
      <c r="H14362" s="2"/>
      <c r="I14362" s="2"/>
      <c r="J14362" s="2"/>
      <c r="K14362" s="2"/>
      <c r="L14362" s="2"/>
    </row>
    <row r="14363" spans="8:12" x14ac:dyDescent="0.3">
      <c r="H14363" s="2"/>
      <c r="I14363" s="2"/>
      <c r="J14363" s="2"/>
      <c r="K14363" s="2"/>
      <c r="L14363" s="2"/>
    </row>
    <row r="14364" spans="8:12" x14ac:dyDescent="0.3">
      <c r="H14364" s="2"/>
      <c r="I14364" s="2"/>
      <c r="J14364" s="2"/>
      <c r="K14364" s="2"/>
      <c r="L14364" s="2"/>
    </row>
    <row r="14365" spans="8:12" x14ac:dyDescent="0.3">
      <c r="H14365" s="2"/>
      <c r="I14365" s="2"/>
      <c r="J14365" s="2"/>
      <c r="K14365" s="2"/>
      <c r="L14365" s="2"/>
    </row>
    <row r="14366" spans="8:12" x14ac:dyDescent="0.3">
      <c r="H14366" s="2"/>
      <c r="I14366" s="2"/>
      <c r="J14366" s="2"/>
      <c r="K14366" s="2"/>
      <c r="L14366" s="2"/>
    </row>
    <row r="14367" spans="8:12" x14ac:dyDescent="0.3">
      <c r="H14367" s="2"/>
      <c r="I14367" s="2"/>
      <c r="J14367" s="2"/>
      <c r="K14367" s="2"/>
      <c r="L14367" s="2"/>
    </row>
    <row r="14368" spans="8:12" x14ac:dyDescent="0.3">
      <c r="H14368" s="2"/>
      <c r="I14368" s="2"/>
      <c r="J14368" s="2"/>
      <c r="K14368" s="2"/>
      <c r="L14368" s="2"/>
    </row>
    <row r="14369" spans="8:12" x14ac:dyDescent="0.3">
      <c r="H14369" s="2"/>
      <c r="I14369" s="2"/>
      <c r="J14369" s="2"/>
      <c r="K14369" s="2"/>
      <c r="L14369" s="2"/>
    </row>
    <row r="14370" spans="8:12" x14ac:dyDescent="0.3">
      <c r="H14370" s="2"/>
      <c r="I14370" s="2"/>
      <c r="J14370" s="2"/>
      <c r="K14370" s="2"/>
      <c r="L14370" s="2"/>
    </row>
    <row r="14371" spans="8:12" x14ac:dyDescent="0.3">
      <c r="H14371" s="2"/>
      <c r="I14371" s="2"/>
      <c r="J14371" s="2"/>
      <c r="K14371" s="2"/>
      <c r="L14371" s="2"/>
    </row>
    <row r="14372" spans="8:12" x14ac:dyDescent="0.3">
      <c r="H14372" s="2"/>
      <c r="I14372" s="2"/>
      <c r="J14372" s="2"/>
      <c r="K14372" s="2"/>
      <c r="L14372" s="2"/>
    </row>
    <row r="14373" spans="8:12" x14ac:dyDescent="0.3">
      <c r="H14373" s="2"/>
      <c r="I14373" s="2"/>
      <c r="J14373" s="2"/>
      <c r="K14373" s="2"/>
      <c r="L14373" s="2"/>
    </row>
    <row r="14374" spans="8:12" x14ac:dyDescent="0.3">
      <c r="H14374" s="2"/>
      <c r="I14374" s="2"/>
      <c r="J14374" s="2"/>
      <c r="K14374" s="2"/>
      <c r="L14374" s="2"/>
    </row>
    <row r="14375" spans="8:12" x14ac:dyDescent="0.3">
      <c r="H14375" s="2"/>
      <c r="I14375" s="2"/>
      <c r="J14375" s="2"/>
      <c r="K14375" s="2"/>
      <c r="L14375" s="2"/>
    </row>
    <row r="14376" spans="8:12" x14ac:dyDescent="0.3">
      <c r="H14376" s="2"/>
      <c r="I14376" s="2"/>
      <c r="J14376" s="2"/>
      <c r="K14376" s="2"/>
      <c r="L14376" s="2"/>
    </row>
    <row r="14377" spans="8:12" x14ac:dyDescent="0.3">
      <c r="H14377" s="2"/>
      <c r="I14377" s="2"/>
      <c r="J14377" s="2"/>
      <c r="K14377" s="2"/>
      <c r="L14377" s="2"/>
    </row>
    <row r="14378" spans="8:12" x14ac:dyDescent="0.3">
      <c r="H14378" s="2"/>
      <c r="I14378" s="2"/>
      <c r="J14378" s="2"/>
      <c r="K14378" s="2"/>
      <c r="L14378" s="2"/>
    </row>
    <row r="14379" spans="8:12" x14ac:dyDescent="0.3">
      <c r="H14379" s="2"/>
      <c r="I14379" s="2"/>
      <c r="J14379" s="2"/>
      <c r="K14379" s="2"/>
      <c r="L14379" s="2"/>
    </row>
    <row r="14380" spans="8:12" x14ac:dyDescent="0.3">
      <c r="H14380" s="2"/>
      <c r="I14380" s="2"/>
      <c r="J14380" s="2"/>
      <c r="K14380" s="2"/>
      <c r="L14380" s="2"/>
    </row>
    <row r="14381" spans="8:12" x14ac:dyDescent="0.3">
      <c r="H14381" s="2"/>
      <c r="I14381" s="2"/>
      <c r="J14381" s="2"/>
      <c r="K14381" s="2"/>
      <c r="L14381" s="2"/>
    </row>
    <row r="14382" spans="8:12" x14ac:dyDescent="0.3">
      <c r="H14382" s="2"/>
      <c r="I14382" s="2"/>
      <c r="J14382" s="2"/>
      <c r="K14382" s="2"/>
      <c r="L14382" s="2"/>
    </row>
    <row r="14383" spans="8:12" x14ac:dyDescent="0.3">
      <c r="H14383" s="2"/>
      <c r="I14383" s="2"/>
      <c r="J14383" s="2"/>
      <c r="K14383" s="2"/>
      <c r="L14383" s="2"/>
    </row>
    <row r="14384" spans="8:12" x14ac:dyDescent="0.3">
      <c r="H14384" s="2"/>
      <c r="I14384" s="2"/>
      <c r="J14384" s="2"/>
      <c r="K14384" s="2"/>
      <c r="L14384" s="2"/>
    </row>
    <row r="14385" spans="8:12" x14ac:dyDescent="0.3">
      <c r="H14385" s="2"/>
      <c r="I14385" s="2"/>
      <c r="J14385" s="2"/>
      <c r="K14385" s="2"/>
      <c r="L14385" s="2"/>
    </row>
    <row r="14386" spans="8:12" x14ac:dyDescent="0.3">
      <c r="H14386" s="2"/>
      <c r="I14386" s="2"/>
      <c r="J14386" s="2"/>
      <c r="K14386" s="2"/>
      <c r="L14386" s="2"/>
    </row>
    <row r="14387" spans="8:12" x14ac:dyDescent="0.3">
      <c r="H14387" s="2"/>
      <c r="I14387" s="2"/>
      <c r="J14387" s="2"/>
      <c r="K14387" s="2"/>
      <c r="L14387" s="2"/>
    </row>
    <row r="14388" spans="8:12" x14ac:dyDescent="0.3">
      <c r="H14388" s="2"/>
      <c r="I14388" s="2"/>
      <c r="J14388" s="2"/>
      <c r="K14388" s="2"/>
      <c r="L14388" s="2"/>
    </row>
    <row r="14389" spans="8:12" x14ac:dyDescent="0.3">
      <c r="H14389" s="2"/>
      <c r="I14389" s="2"/>
      <c r="J14389" s="2"/>
      <c r="K14389" s="2"/>
      <c r="L14389" s="2"/>
    </row>
    <row r="14390" spans="8:12" x14ac:dyDescent="0.3">
      <c r="H14390" s="2"/>
      <c r="I14390" s="2"/>
      <c r="J14390" s="2"/>
      <c r="K14390" s="2"/>
      <c r="L14390" s="2"/>
    </row>
    <row r="14391" spans="8:12" x14ac:dyDescent="0.3">
      <c r="H14391" s="2"/>
      <c r="I14391" s="2"/>
      <c r="J14391" s="2"/>
      <c r="K14391" s="2"/>
      <c r="L14391" s="2"/>
    </row>
    <row r="14392" spans="8:12" x14ac:dyDescent="0.3">
      <c r="H14392" s="2"/>
      <c r="I14392" s="2"/>
      <c r="J14392" s="2"/>
      <c r="K14392" s="2"/>
      <c r="L14392" s="2"/>
    </row>
    <row r="14393" spans="8:12" x14ac:dyDescent="0.3">
      <c r="H14393" s="2"/>
      <c r="I14393" s="2"/>
      <c r="J14393" s="2"/>
      <c r="K14393" s="2"/>
      <c r="L14393" s="2"/>
    </row>
    <row r="14394" spans="8:12" x14ac:dyDescent="0.3">
      <c r="H14394" s="2"/>
      <c r="I14394" s="2"/>
      <c r="J14394" s="2"/>
      <c r="K14394" s="2"/>
      <c r="L14394" s="2"/>
    </row>
    <row r="14395" spans="8:12" x14ac:dyDescent="0.3">
      <c r="H14395" s="2"/>
      <c r="I14395" s="2"/>
      <c r="J14395" s="2"/>
      <c r="K14395" s="2"/>
      <c r="L14395" s="2"/>
    </row>
    <row r="14396" spans="8:12" x14ac:dyDescent="0.3">
      <c r="H14396" s="2"/>
      <c r="I14396" s="2"/>
      <c r="J14396" s="2"/>
      <c r="K14396" s="2"/>
      <c r="L14396" s="2"/>
    </row>
    <row r="14397" spans="8:12" x14ac:dyDescent="0.3">
      <c r="H14397" s="2"/>
      <c r="I14397" s="2"/>
      <c r="J14397" s="2"/>
      <c r="K14397" s="2"/>
      <c r="L14397" s="2"/>
    </row>
    <row r="14398" spans="8:12" x14ac:dyDescent="0.3">
      <c r="H14398" s="2"/>
      <c r="I14398" s="2"/>
      <c r="J14398" s="2"/>
      <c r="K14398" s="2"/>
      <c r="L14398" s="2"/>
    </row>
    <row r="14399" spans="8:12" x14ac:dyDescent="0.3">
      <c r="H14399" s="2"/>
      <c r="I14399" s="2"/>
      <c r="J14399" s="2"/>
      <c r="K14399" s="2"/>
      <c r="L14399" s="2"/>
    </row>
    <row r="14400" spans="8:12" x14ac:dyDescent="0.3">
      <c r="H14400" s="2"/>
      <c r="I14400" s="2"/>
      <c r="J14400" s="2"/>
      <c r="K14400" s="2"/>
      <c r="L14400" s="2"/>
    </row>
    <row r="14401" spans="8:12" x14ac:dyDescent="0.3">
      <c r="H14401" s="2"/>
      <c r="I14401" s="2"/>
      <c r="J14401" s="2"/>
      <c r="K14401" s="2"/>
      <c r="L14401" s="2"/>
    </row>
    <row r="14402" spans="8:12" x14ac:dyDescent="0.3">
      <c r="H14402" s="2"/>
      <c r="I14402" s="2"/>
      <c r="J14402" s="2"/>
      <c r="K14402" s="2"/>
      <c r="L14402" s="2"/>
    </row>
    <row r="14403" spans="8:12" x14ac:dyDescent="0.3">
      <c r="H14403" s="2"/>
      <c r="I14403" s="2"/>
      <c r="J14403" s="2"/>
      <c r="K14403" s="2"/>
      <c r="L14403" s="2"/>
    </row>
    <row r="14404" spans="8:12" x14ac:dyDescent="0.3">
      <c r="H14404" s="2"/>
      <c r="I14404" s="2"/>
      <c r="J14404" s="2"/>
      <c r="K14404" s="2"/>
      <c r="L14404" s="2"/>
    </row>
    <row r="14405" spans="8:12" x14ac:dyDescent="0.3">
      <c r="H14405" s="2"/>
      <c r="I14405" s="2"/>
      <c r="J14405" s="2"/>
      <c r="K14405" s="2"/>
      <c r="L14405" s="2"/>
    </row>
    <row r="14406" spans="8:12" x14ac:dyDescent="0.3">
      <c r="H14406" s="2"/>
      <c r="I14406" s="2"/>
      <c r="J14406" s="2"/>
      <c r="K14406" s="2"/>
      <c r="L14406" s="2"/>
    </row>
    <row r="14407" spans="8:12" x14ac:dyDescent="0.3">
      <c r="H14407" s="2"/>
      <c r="I14407" s="2"/>
      <c r="J14407" s="2"/>
      <c r="K14407" s="2"/>
      <c r="L14407" s="2"/>
    </row>
    <row r="14408" spans="8:12" x14ac:dyDescent="0.3">
      <c r="H14408" s="2"/>
      <c r="I14408" s="2"/>
      <c r="J14408" s="2"/>
      <c r="K14408" s="2"/>
      <c r="L14408" s="2"/>
    </row>
    <row r="14409" spans="8:12" x14ac:dyDescent="0.3">
      <c r="H14409" s="2"/>
      <c r="I14409" s="2"/>
      <c r="J14409" s="2"/>
      <c r="K14409" s="2"/>
      <c r="L14409" s="2"/>
    </row>
    <row r="14410" spans="8:12" x14ac:dyDescent="0.3">
      <c r="H14410" s="2"/>
      <c r="I14410" s="2"/>
      <c r="J14410" s="2"/>
      <c r="K14410" s="2"/>
      <c r="L14410" s="2"/>
    </row>
    <row r="14411" spans="8:12" x14ac:dyDescent="0.3">
      <c r="H14411" s="2"/>
      <c r="I14411" s="2"/>
      <c r="J14411" s="2"/>
      <c r="K14411" s="2"/>
      <c r="L14411" s="2"/>
    </row>
    <row r="14412" spans="8:12" x14ac:dyDescent="0.3">
      <c r="H14412" s="2"/>
      <c r="I14412" s="2"/>
      <c r="J14412" s="2"/>
      <c r="K14412" s="2"/>
      <c r="L14412" s="2"/>
    </row>
    <row r="14413" spans="8:12" x14ac:dyDescent="0.3">
      <c r="H14413" s="2"/>
      <c r="I14413" s="2"/>
      <c r="J14413" s="2"/>
      <c r="K14413" s="2"/>
      <c r="L14413" s="2"/>
    </row>
    <row r="14414" spans="8:12" x14ac:dyDescent="0.3">
      <c r="H14414" s="2"/>
      <c r="I14414" s="2"/>
      <c r="J14414" s="2"/>
      <c r="K14414" s="2"/>
      <c r="L14414" s="2"/>
    </row>
    <row r="14415" spans="8:12" x14ac:dyDescent="0.3">
      <c r="H14415" s="2"/>
      <c r="I14415" s="2"/>
      <c r="J14415" s="2"/>
      <c r="K14415" s="2"/>
      <c r="L14415" s="2"/>
    </row>
    <row r="14416" spans="8:12" x14ac:dyDescent="0.3">
      <c r="H14416" s="2"/>
      <c r="I14416" s="2"/>
      <c r="J14416" s="2"/>
      <c r="K14416" s="2"/>
      <c r="L14416" s="2"/>
    </row>
    <row r="14417" spans="8:12" x14ac:dyDescent="0.3">
      <c r="H14417" s="2"/>
      <c r="I14417" s="2"/>
      <c r="J14417" s="2"/>
      <c r="K14417" s="2"/>
      <c r="L14417" s="2"/>
    </row>
    <row r="14418" spans="8:12" x14ac:dyDescent="0.3">
      <c r="H14418" s="2"/>
      <c r="I14418" s="2"/>
      <c r="J14418" s="2"/>
      <c r="K14418" s="2"/>
      <c r="L14418" s="2"/>
    </row>
    <row r="14419" spans="8:12" x14ac:dyDescent="0.3">
      <c r="H14419" s="2"/>
      <c r="I14419" s="2"/>
      <c r="J14419" s="2"/>
      <c r="K14419" s="2"/>
      <c r="L14419" s="2"/>
    </row>
    <row r="14420" spans="8:12" x14ac:dyDescent="0.3">
      <c r="H14420" s="2"/>
      <c r="I14420" s="2"/>
      <c r="J14420" s="2"/>
      <c r="K14420" s="2"/>
      <c r="L14420" s="2"/>
    </row>
    <row r="14421" spans="8:12" x14ac:dyDescent="0.3">
      <c r="H14421" s="2"/>
      <c r="I14421" s="2"/>
      <c r="J14421" s="2"/>
      <c r="K14421" s="2"/>
      <c r="L14421" s="2"/>
    </row>
    <row r="14422" spans="8:12" x14ac:dyDescent="0.3">
      <c r="H14422" s="2"/>
      <c r="I14422" s="2"/>
      <c r="J14422" s="2"/>
      <c r="K14422" s="2"/>
      <c r="L14422" s="2"/>
    </row>
    <row r="14423" spans="8:12" x14ac:dyDescent="0.3">
      <c r="H14423" s="2"/>
      <c r="I14423" s="2"/>
      <c r="J14423" s="2"/>
      <c r="K14423" s="2"/>
      <c r="L14423" s="2"/>
    </row>
    <row r="14424" spans="8:12" x14ac:dyDescent="0.3">
      <c r="H14424" s="2"/>
      <c r="I14424" s="2"/>
      <c r="J14424" s="2"/>
      <c r="K14424" s="2"/>
      <c r="L14424" s="2"/>
    </row>
    <row r="14425" spans="8:12" x14ac:dyDescent="0.3">
      <c r="H14425" s="2"/>
      <c r="I14425" s="2"/>
      <c r="J14425" s="2"/>
      <c r="K14425" s="2"/>
      <c r="L14425" s="2"/>
    </row>
    <row r="14426" spans="8:12" x14ac:dyDescent="0.3">
      <c r="H14426" s="2"/>
      <c r="I14426" s="2"/>
      <c r="J14426" s="2"/>
      <c r="K14426" s="2"/>
      <c r="L14426" s="2"/>
    </row>
    <row r="14427" spans="8:12" x14ac:dyDescent="0.3">
      <c r="H14427" s="2"/>
      <c r="I14427" s="2"/>
      <c r="J14427" s="2"/>
      <c r="K14427" s="2"/>
      <c r="L14427" s="2"/>
    </row>
    <row r="14428" spans="8:12" x14ac:dyDescent="0.3">
      <c r="H14428" s="2"/>
      <c r="I14428" s="2"/>
      <c r="J14428" s="2"/>
      <c r="K14428" s="2"/>
      <c r="L14428" s="2"/>
    </row>
    <row r="14429" spans="8:12" x14ac:dyDescent="0.3">
      <c r="H14429" s="2"/>
      <c r="I14429" s="2"/>
      <c r="J14429" s="2"/>
      <c r="K14429" s="2"/>
      <c r="L14429" s="2"/>
    </row>
    <row r="14430" spans="8:12" x14ac:dyDescent="0.3">
      <c r="H14430" s="2"/>
      <c r="I14430" s="2"/>
      <c r="J14430" s="2"/>
      <c r="K14430" s="2"/>
      <c r="L14430" s="2"/>
    </row>
    <row r="14431" spans="8:12" x14ac:dyDescent="0.3">
      <c r="H14431" s="2"/>
      <c r="I14431" s="2"/>
      <c r="J14431" s="2"/>
      <c r="K14431" s="2"/>
      <c r="L14431" s="2"/>
    </row>
    <row r="14432" spans="8:12" x14ac:dyDescent="0.3">
      <c r="H14432" s="2"/>
      <c r="I14432" s="2"/>
      <c r="J14432" s="2"/>
      <c r="K14432" s="2"/>
      <c r="L14432" s="2"/>
    </row>
    <row r="14433" spans="8:12" x14ac:dyDescent="0.3">
      <c r="H14433" s="2"/>
      <c r="I14433" s="2"/>
      <c r="J14433" s="2"/>
      <c r="K14433" s="2"/>
      <c r="L14433" s="2"/>
    </row>
    <row r="14434" spans="8:12" x14ac:dyDescent="0.3">
      <c r="H14434" s="2"/>
      <c r="I14434" s="2"/>
      <c r="J14434" s="2"/>
      <c r="K14434" s="2"/>
      <c r="L14434" s="2"/>
    </row>
    <row r="14435" spans="8:12" x14ac:dyDescent="0.3">
      <c r="H14435" s="2"/>
      <c r="I14435" s="2"/>
      <c r="J14435" s="2"/>
      <c r="K14435" s="2"/>
      <c r="L14435" s="2"/>
    </row>
    <row r="14436" spans="8:12" x14ac:dyDescent="0.3">
      <c r="H14436" s="2"/>
      <c r="I14436" s="2"/>
      <c r="J14436" s="2"/>
      <c r="K14436" s="2"/>
      <c r="L14436" s="2"/>
    </row>
    <row r="14437" spans="8:12" x14ac:dyDescent="0.3">
      <c r="H14437" s="2"/>
      <c r="I14437" s="2"/>
      <c r="J14437" s="2"/>
      <c r="K14437" s="2"/>
      <c r="L14437" s="2"/>
    </row>
    <row r="14438" spans="8:12" x14ac:dyDescent="0.3">
      <c r="H14438" s="2"/>
      <c r="I14438" s="2"/>
      <c r="J14438" s="2"/>
      <c r="K14438" s="2"/>
      <c r="L14438" s="2"/>
    </row>
    <row r="14439" spans="8:12" x14ac:dyDescent="0.3">
      <c r="H14439" s="2"/>
      <c r="I14439" s="2"/>
      <c r="J14439" s="2"/>
      <c r="K14439" s="2"/>
      <c r="L14439" s="2"/>
    </row>
    <row r="14440" spans="8:12" x14ac:dyDescent="0.3">
      <c r="H14440" s="2"/>
      <c r="I14440" s="2"/>
      <c r="J14440" s="2"/>
      <c r="K14440" s="2"/>
      <c r="L14440" s="2"/>
    </row>
    <row r="14441" spans="8:12" x14ac:dyDescent="0.3">
      <c r="H14441" s="2"/>
      <c r="I14441" s="2"/>
      <c r="J14441" s="2"/>
      <c r="K14441" s="2"/>
      <c r="L14441" s="2"/>
    </row>
    <row r="14442" spans="8:12" x14ac:dyDescent="0.3">
      <c r="H14442" s="2"/>
      <c r="I14442" s="2"/>
      <c r="J14442" s="2"/>
      <c r="K14442" s="2"/>
      <c r="L14442" s="2"/>
    </row>
    <row r="14443" spans="8:12" x14ac:dyDescent="0.3">
      <c r="H14443" s="2"/>
      <c r="I14443" s="2"/>
      <c r="J14443" s="2"/>
      <c r="K14443" s="2"/>
      <c r="L14443" s="2"/>
    </row>
    <row r="14444" spans="8:12" x14ac:dyDescent="0.3">
      <c r="H14444" s="2"/>
      <c r="I14444" s="2"/>
      <c r="J14444" s="2"/>
      <c r="K14444" s="2"/>
      <c r="L14444" s="2"/>
    </row>
    <row r="14445" spans="8:12" x14ac:dyDescent="0.3">
      <c r="H14445" s="2"/>
      <c r="I14445" s="2"/>
      <c r="J14445" s="2"/>
      <c r="K14445" s="2"/>
      <c r="L14445" s="2"/>
    </row>
    <row r="14446" spans="8:12" x14ac:dyDescent="0.3">
      <c r="H14446" s="2"/>
      <c r="I14446" s="2"/>
      <c r="J14446" s="2"/>
      <c r="K14446" s="2"/>
      <c r="L14446" s="2"/>
    </row>
    <row r="14447" spans="8:12" x14ac:dyDescent="0.3">
      <c r="H14447" s="2"/>
      <c r="I14447" s="2"/>
      <c r="J14447" s="2"/>
      <c r="K14447" s="2"/>
      <c r="L14447" s="2"/>
    </row>
    <row r="14448" spans="8:12" x14ac:dyDescent="0.3">
      <c r="H14448" s="2"/>
      <c r="I14448" s="2"/>
      <c r="J14448" s="2"/>
      <c r="K14448" s="2"/>
      <c r="L14448" s="2"/>
    </row>
    <row r="14449" spans="8:12" x14ac:dyDescent="0.3">
      <c r="H14449" s="2"/>
      <c r="I14449" s="2"/>
      <c r="J14449" s="2"/>
      <c r="K14449" s="2"/>
      <c r="L14449" s="2"/>
    </row>
    <row r="14450" spans="8:12" x14ac:dyDescent="0.3">
      <c r="H14450" s="2"/>
      <c r="I14450" s="2"/>
      <c r="J14450" s="2"/>
      <c r="K14450" s="2"/>
      <c r="L14450" s="2"/>
    </row>
    <row r="14451" spans="8:12" x14ac:dyDescent="0.3">
      <c r="H14451" s="2"/>
      <c r="I14451" s="2"/>
      <c r="J14451" s="2"/>
      <c r="K14451" s="2"/>
      <c r="L14451" s="2"/>
    </row>
    <row r="14452" spans="8:12" x14ac:dyDescent="0.3">
      <c r="H14452" s="2"/>
      <c r="I14452" s="2"/>
      <c r="J14452" s="2"/>
      <c r="K14452" s="2"/>
      <c r="L14452" s="2"/>
    </row>
    <row r="14453" spans="8:12" x14ac:dyDescent="0.3">
      <c r="H14453" s="2"/>
      <c r="I14453" s="2"/>
      <c r="J14453" s="2"/>
      <c r="K14453" s="2"/>
      <c r="L14453" s="2"/>
    </row>
    <row r="14454" spans="8:12" x14ac:dyDescent="0.3">
      <c r="H14454" s="2"/>
      <c r="I14454" s="2"/>
      <c r="J14454" s="2"/>
      <c r="K14454" s="2"/>
      <c r="L14454" s="2"/>
    </row>
    <row r="14455" spans="8:12" x14ac:dyDescent="0.3">
      <c r="H14455" s="2"/>
      <c r="I14455" s="2"/>
      <c r="J14455" s="2"/>
      <c r="K14455" s="2"/>
      <c r="L14455" s="2"/>
    </row>
    <row r="14456" spans="8:12" x14ac:dyDescent="0.3">
      <c r="H14456" s="2"/>
      <c r="I14456" s="2"/>
      <c r="J14456" s="2"/>
      <c r="K14456" s="2"/>
      <c r="L14456" s="2"/>
    </row>
    <row r="14457" spans="8:12" x14ac:dyDescent="0.3">
      <c r="H14457" s="2"/>
      <c r="I14457" s="2"/>
      <c r="J14457" s="2"/>
      <c r="K14457" s="2"/>
      <c r="L14457" s="2"/>
    </row>
    <row r="14458" spans="8:12" x14ac:dyDescent="0.3">
      <c r="H14458" s="2"/>
      <c r="I14458" s="2"/>
      <c r="J14458" s="2"/>
      <c r="K14458" s="2"/>
      <c r="L14458" s="2"/>
    </row>
    <row r="14459" spans="8:12" x14ac:dyDescent="0.3">
      <c r="H14459" s="2"/>
      <c r="I14459" s="2"/>
      <c r="J14459" s="2"/>
      <c r="K14459" s="2"/>
      <c r="L14459" s="2"/>
    </row>
    <row r="14460" spans="8:12" x14ac:dyDescent="0.3">
      <c r="H14460" s="2"/>
      <c r="I14460" s="2"/>
      <c r="J14460" s="2"/>
      <c r="K14460" s="2"/>
      <c r="L14460" s="2"/>
    </row>
    <row r="14461" spans="8:12" x14ac:dyDescent="0.3">
      <c r="H14461" s="2"/>
      <c r="I14461" s="2"/>
      <c r="J14461" s="2"/>
      <c r="K14461" s="2"/>
      <c r="L14461" s="2"/>
    </row>
    <row r="14462" spans="8:12" x14ac:dyDescent="0.3">
      <c r="H14462" s="2"/>
      <c r="I14462" s="2"/>
      <c r="J14462" s="2"/>
      <c r="K14462" s="2"/>
      <c r="L14462" s="2"/>
    </row>
    <row r="14463" spans="8:12" x14ac:dyDescent="0.3">
      <c r="H14463" s="2"/>
      <c r="I14463" s="2"/>
      <c r="J14463" s="2"/>
      <c r="K14463" s="2"/>
      <c r="L14463" s="2"/>
    </row>
    <row r="14464" spans="8:12" x14ac:dyDescent="0.3">
      <c r="H14464" s="2"/>
      <c r="I14464" s="2"/>
      <c r="J14464" s="2"/>
      <c r="K14464" s="2"/>
      <c r="L14464" s="2"/>
    </row>
    <row r="14465" spans="8:12" x14ac:dyDescent="0.3">
      <c r="H14465" s="2"/>
      <c r="I14465" s="2"/>
      <c r="J14465" s="2"/>
      <c r="K14465" s="2"/>
      <c r="L14465" s="2"/>
    </row>
    <row r="14466" spans="8:12" x14ac:dyDescent="0.3">
      <c r="H14466" s="2"/>
      <c r="I14466" s="2"/>
      <c r="J14466" s="2"/>
      <c r="K14466" s="2"/>
      <c r="L14466" s="2"/>
    </row>
    <row r="14467" spans="8:12" x14ac:dyDescent="0.3">
      <c r="H14467" s="2"/>
      <c r="I14467" s="2"/>
      <c r="J14467" s="2"/>
      <c r="K14467" s="2"/>
      <c r="L14467" s="2"/>
    </row>
    <row r="14468" spans="8:12" x14ac:dyDescent="0.3">
      <c r="H14468" s="2"/>
      <c r="I14468" s="2"/>
      <c r="J14468" s="2"/>
      <c r="K14468" s="2"/>
      <c r="L14468" s="2"/>
    </row>
    <row r="14469" spans="8:12" x14ac:dyDescent="0.3">
      <c r="H14469" s="2"/>
      <c r="I14469" s="2"/>
      <c r="J14469" s="2"/>
      <c r="K14469" s="2"/>
      <c r="L14469" s="2"/>
    </row>
    <row r="14470" spans="8:12" x14ac:dyDescent="0.3">
      <c r="H14470" s="2"/>
      <c r="I14470" s="2"/>
      <c r="J14470" s="2"/>
      <c r="K14470" s="2"/>
      <c r="L14470" s="2"/>
    </row>
    <row r="14471" spans="8:12" x14ac:dyDescent="0.3">
      <c r="H14471" s="2"/>
      <c r="I14471" s="2"/>
      <c r="J14471" s="2"/>
      <c r="K14471" s="2"/>
      <c r="L14471" s="2"/>
    </row>
    <row r="14472" spans="8:12" x14ac:dyDescent="0.3">
      <c r="H14472" s="2"/>
      <c r="I14472" s="2"/>
      <c r="J14472" s="2"/>
      <c r="K14472" s="2"/>
      <c r="L14472" s="2"/>
    </row>
    <row r="14473" spans="8:12" x14ac:dyDescent="0.3">
      <c r="H14473" s="2"/>
      <c r="I14473" s="2"/>
      <c r="J14473" s="2"/>
      <c r="K14473" s="2"/>
      <c r="L14473" s="2"/>
    </row>
    <row r="14474" spans="8:12" x14ac:dyDescent="0.3">
      <c r="H14474" s="2"/>
      <c r="I14474" s="2"/>
      <c r="J14474" s="2"/>
      <c r="K14474" s="2"/>
      <c r="L14474" s="2"/>
    </row>
    <row r="14475" spans="8:12" x14ac:dyDescent="0.3">
      <c r="H14475" s="2"/>
      <c r="I14475" s="2"/>
      <c r="J14475" s="2"/>
      <c r="K14475" s="2"/>
      <c r="L14475" s="2"/>
    </row>
    <row r="14476" spans="8:12" x14ac:dyDescent="0.3">
      <c r="H14476" s="2"/>
      <c r="I14476" s="2"/>
      <c r="J14476" s="2"/>
      <c r="K14476" s="2"/>
      <c r="L14476" s="2"/>
    </row>
    <row r="14477" spans="8:12" x14ac:dyDescent="0.3">
      <c r="H14477" s="2"/>
      <c r="I14477" s="2"/>
      <c r="J14477" s="2"/>
      <c r="K14477" s="2"/>
      <c r="L14477" s="2"/>
    </row>
    <row r="14478" spans="8:12" x14ac:dyDescent="0.3">
      <c r="H14478" s="2"/>
      <c r="I14478" s="2"/>
      <c r="J14478" s="2"/>
      <c r="K14478" s="2"/>
      <c r="L14478" s="2"/>
    </row>
    <row r="14479" spans="8:12" x14ac:dyDescent="0.3">
      <c r="H14479" s="2"/>
      <c r="I14479" s="2"/>
      <c r="J14479" s="2"/>
      <c r="K14479" s="2"/>
      <c r="L14479" s="2"/>
    </row>
    <row r="14480" spans="8:12" x14ac:dyDescent="0.3">
      <c r="H14480" s="2"/>
      <c r="I14480" s="2"/>
      <c r="J14480" s="2"/>
      <c r="K14480" s="2"/>
      <c r="L14480" s="2"/>
    </row>
    <row r="14481" spans="8:12" x14ac:dyDescent="0.3">
      <c r="H14481" s="2"/>
      <c r="I14481" s="2"/>
      <c r="J14481" s="2"/>
      <c r="K14481" s="2"/>
      <c r="L14481" s="2"/>
    </row>
    <row r="14482" spans="8:12" x14ac:dyDescent="0.3">
      <c r="H14482" s="2"/>
      <c r="I14482" s="2"/>
      <c r="J14482" s="2"/>
      <c r="K14482" s="2"/>
      <c r="L14482" s="2"/>
    </row>
    <row r="14483" spans="8:12" x14ac:dyDescent="0.3">
      <c r="H14483" s="2"/>
      <c r="I14483" s="2"/>
      <c r="J14483" s="2"/>
      <c r="K14483" s="2"/>
      <c r="L14483" s="2"/>
    </row>
    <row r="14484" spans="8:12" x14ac:dyDescent="0.3">
      <c r="H14484" s="2"/>
      <c r="I14484" s="2"/>
      <c r="J14484" s="2"/>
      <c r="K14484" s="2"/>
      <c r="L14484" s="2"/>
    </row>
    <row r="14485" spans="8:12" x14ac:dyDescent="0.3">
      <c r="H14485" s="2"/>
      <c r="I14485" s="2"/>
      <c r="J14485" s="2"/>
      <c r="K14485" s="2"/>
      <c r="L14485" s="2"/>
    </row>
    <row r="14486" spans="8:12" x14ac:dyDescent="0.3">
      <c r="H14486" s="2"/>
      <c r="I14486" s="2"/>
      <c r="J14486" s="2"/>
      <c r="K14486" s="2"/>
      <c r="L14486" s="2"/>
    </row>
    <row r="14487" spans="8:12" x14ac:dyDescent="0.3">
      <c r="H14487" s="2"/>
      <c r="I14487" s="2"/>
      <c r="J14487" s="2"/>
      <c r="K14487" s="2"/>
      <c r="L14487" s="2"/>
    </row>
    <row r="14488" spans="8:12" x14ac:dyDescent="0.3">
      <c r="H14488" s="2"/>
      <c r="I14488" s="2"/>
      <c r="J14488" s="2"/>
      <c r="K14488" s="2"/>
      <c r="L14488" s="2"/>
    </row>
    <row r="14489" spans="8:12" x14ac:dyDescent="0.3">
      <c r="H14489" s="2"/>
      <c r="I14489" s="2"/>
      <c r="J14489" s="2"/>
      <c r="K14489" s="2"/>
      <c r="L14489" s="2"/>
    </row>
    <row r="14490" spans="8:12" x14ac:dyDescent="0.3">
      <c r="H14490" s="2"/>
      <c r="I14490" s="2"/>
      <c r="J14490" s="2"/>
      <c r="K14490" s="2"/>
      <c r="L14490" s="2"/>
    </row>
    <row r="14491" spans="8:12" x14ac:dyDescent="0.3">
      <c r="H14491" s="2"/>
      <c r="I14491" s="2"/>
      <c r="J14491" s="2"/>
      <c r="K14491" s="2"/>
      <c r="L14491" s="2"/>
    </row>
    <row r="14492" spans="8:12" x14ac:dyDescent="0.3">
      <c r="H14492" s="2"/>
      <c r="I14492" s="2"/>
      <c r="J14492" s="2"/>
      <c r="K14492" s="2"/>
      <c r="L14492" s="2"/>
    </row>
    <row r="14493" spans="8:12" x14ac:dyDescent="0.3">
      <c r="H14493" s="2"/>
      <c r="I14493" s="2"/>
      <c r="J14493" s="2"/>
      <c r="K14493" s="2"/>
      <c r="L14493" s="2"/>
    </row>
    <row r="14494" spans="8:12" x14ac:dyDescent="0.3">
      <c r="H14494" s="2"/>
      <c r="I14494" s="2"/>
      <c r="J14494" s="2"/>
      <c r="K14494" s="2"/>
      <c r="L14494" s="2"/>
    </row>
    <row r="14495" spans="8:12" x14ac:dyDescent="0.3">
      <c r="H14495" s="2"/>
      <c r="I14495" s="2"/>
      <c r="J14495" s="2"/>
      <c r="K14495" s="2"/>
      <c r="L14495" s="2"/>
    </row>
    <row r="14496" spans="8:12" x14ac:dyDescent="0.3">
      <c r="H14496" s="2"/>
      <c r="I14496" s="2"/>
      <c r="J14496" s="2"/>
      <c r="K14496" s="2"/>
      <c r="L14496" s="2"/>
    </row>
    <row r="14497" spans="8:12" x14ac:dyDescent="0.3">
      <c r="H14497" s="2"/>
      <c r="I14497" s="2"/>
      <c r="J14497" s="2"/>
      <c r="K14497" s="2"/>
      <c r="L14497" s="2"/>
    </row>
    <row r="14498" spans="8:12" x14ac:dyDescent="0.3">
      <c r="H14498" s="2"/>
      <c r="I14498" s="2"/>
      <c r="J14498" s="2"/>
      <c r="K14498" s="2"/>
      <c r="L14498" s="2"/>
    </row>
    <row r="14499" spans="8:12" x14ac:dyDescent="0.3">
      <c r="H14499" s="2"/>
      <c r="I14499" s="2"/>
      <c r="J14499" s="2"/>
      <c r="K14499" s="2"/>
      <c r="L14499" s="2"/>
    </row>
    <row r="14500" spans="8:12" x14ac:dyDescent="0.3">
      <c r="H14500" s="2"/>
      <c r="I14500" s="2"/>
      <c r="J14500" s="2"/>
      <c r="K14500" s="2"/>
      <c r="L14500" s="2"/>
    </row>
    <row r="14501" spans="8:12" x14ac:dyDescent="0.3">
      <c r="H14501" s="2"/>
      <c r="I14501" s="2"/>
      <c r="J14501" s="2"/>
      <c r="K14501" s="2"/>
      <c r="L14501" s="2"/>
    </row>
    <row r="14502" spans="8:12" x14ac:dyDescent="0.3">
      <c r="H14502" s="2"/>
      <c r="I14502" s="2"/>
      <c r="J14502" s="2"/>
      <c r="K14502" s="2"/>
      <c r="L14502" s="2"/>
    </row>
    <row r="14503" spans="8:12" x14ac:dyDescent="0.3">
      <c r="H14503" s="2"/>
      <c r="I14503" s="2"/>
      <c r="J14503" s="2"/>
      <c r="K14503" s="2"/>
      <c r="L14503" s="2"/>
    </row>
    <row r="14504" spans="8:12" x14ac:dyDescent="0.3">
      <c r="H14504" s="2"/>
      <c r="I14504" s="2"/>
      <c r="J14504" s="2"/>
      <c r="K14504" s="2"/>
      <c r="L14504" s="2"/>
    </row>
    <row r="14505" spans="8:12" x14ac:dyDescent="0.3">
      <c r="H14505" s="2"/>
      <c r="I14505" s="2"/>
      <c r="J14505" s="2"/>
      <c r="K14505" s="2"/>
      <c r="L14505" s="2"/>
    </row>
    <row r="14506" spans="8:12" x14ac:dyDescent="0.3">
      <c r="H14506" s="2"/>
      <c r="I14506" s="2"/>
      <c r="J14506" s="2"/>
      <c r="K14506" s="2"/>
      <c r="L14506" s="2"/>
    </row>
    <row r="14507" spans="8:12" x14ac:dyDescent="0.3">
      <c r="H14507" s="2"/>
      <c r="I14507" s="2"/>
      <c r="J14507" s="2"/>
      <c r="K14507" s="2"/>
      <c r="L14507" s="2"/>
    </row>
    <row r="14508" spans="8:12" x14ac:dyDescent="0.3">
      <c r="H14508" s="2"/>
      <c r="I14508" s="2"/>
      <c r="J14508" s="2"/>
      <c r="K14508" s="2"/>
      <c r="L14508" s="2"/>
    </row>
    <row r="14509" spans="8:12" x14ac:dyDescent="0.3">
      <c r="H14509" s="2"/>
      <c r="I14509" s="2"/>
      <c r="J14509" s="2"/>
      <c r="K14509" s="2"/>
      <c r="L14509" s="2"/>
    </row>
    <row r="14510" spans="8:12" x14ac:dyDescent="0.3">
      <c r="H14510" s="2"/>
      <c r="I14510" s="2"/>
      <c r="J14510" s="2"/>
      <c r="K14510" s="2"/>
      <c r="L14510" s="2"/>
    </row>
    <row r="14511" spans="8:12" x14ac:dyDescent="0.3">
      <c r="H14511" s="2"/>
      <c r="I14511" s="2"/>
      <c r="J14511" s="2"/>
      <c r="K14511" s="2"/>
      <c r="L14511" s="2"/>
    </row>
    <row r="14512" spans="8:12" x14ac:dyDescent="0.3">
      <c r="H14512" s="2"/>
      <c r="I14512" s="2"/>
      <c r="J14512" s="2"/>
      <c r="K14512" s="2"/>
      <c r="L14512" s="2"/>
    </row>
    <row r="14513" spans="8:12" x14ac:dyDescent="0.3">
      <c r="H14513" s="2"/>
      <c r="I14513" s="2"/>
      <c r="J14513" s="2"/>
      <c r="K14513" s="2"/>
      <c r="L14513" s="2"/>
    </row>
    <row r="14514" spans="8:12" x14ac:dyDescent="0.3">
      <c r="H14514" s="2"/>
      <c r="I14514" s="2"/>
      <c r="J14514" s="2"/>
      <c r="K14514" s="2"/>
      <c r="L14514" s="2"/>
    </row>
    <row r="14515" spans="8:12" x14ac:dyDescent="0.3">
      <c r="H14515" s="2"/>
      <c r="I14515" s="2"/>
      <c r="J14515" s="2"/>
      <c r="K14515" s="2"/>
      <c r="L14515" s="2"/>
    </row>
    <row r="14516" spans="8:12" x14ac:dyDescent="0.3">
      <c r="H14516" s="2"/>
      <c r="I14516" s="2"/>
      <c r="J14516" s="2"/>
      <c r="K14516" s="2"/>
      <c r="L14516" s="2"/>
    </row>
    <row r="14517" spans="8:12" x14ac:dyDescent="0.3">
      <c r="H14517" s="2"/>
      <c r="I14517" s="2"/>
      <c r="J14517" s="2"/>
      <c r="K14517" s="2"/>
      <c r="L14517" s="2"/>
    </row>
    <row r="14518" spans="8:12" x14ac:dyDescent="0.3">
      <c r="H14518" s="2"/>
      <c r="I14518" s="2"/>
      <c r="J14518" s="2"/>
      <c r="K14518" s="2"/>
      <c r="L14518" s="2"/>
    </row>
    <row r="14519" spans="8:12" x14ac:dyDescent="0.3">
      <c r="H14519" s="2"/>
      <c r="I14519" s="2"/>
      <c r="J14519" s="2"/>
      <c r="K14519" s="2"/>
      <c r="L14519" s="2"/>
    </row>
    <row r="14520" spans="8:12" x14ac:dyDescent="0.3">
      <c r="H14520" s="2"/>
      <c r="I14520" s="2"/>
      <c r="J14520" s="2"/>
      <c r="K14520" s="2"/>
      <c r="L14520" s="2"/>
    </row>
    <row r="14521" spans="8:12" x14ac:dyDescent="0.3">
      <c r="H14521" s="2"/>
      <c r="I14521" s="2"/>
      <c r="J14521" s="2"/>
      <c r="K14521" s="2"/>
      <c r="L14521" s="2"/>
    </row>
    <row r="14522" spans="8:12" x14ac:dyDescent="0.3">
      <c r="H14522" s="2"/>
      <c r="I14522" s="2"/>
      <c r="J14522" s="2"/>
      <c r="K14522" s="2"/>
      <c r="L14522" s="2"/>
    </row>
    <row r="14523" spans="8:12" x14ac:dyDescent="0.3">
      <c r="H14523" s="2"/>
      <c r="I14523" s="2"/>
      <c r="J14523" s="2"/>
      <c r="K14523" s="2"/>
      <c r="L14523" s="2"/>
    </row>
    <row r="14524" spans="8:12" x14ac:dyDescent="0.3">
      <c r="H14524" s="2"/>
      <c r="I14524" s="2"/>
      <c r="J14524" s="2"/>
      <c r="K14524" s="2"/>
      <c r="L14524" s="2"/>
    </row>
    <row r="14525" spans="8:12" x14ac:dyDescent="0.3">
      <c r="H14525" s="2"/>
      <c r="I14525" s="2"/>
      <c r="J14525" s="2"/>
      <c r="K14525" s="2"/>
      <c r="L14525" s="2"/>
    </row>
    <row r="14526" spans="8:12" x14ac:dyDescent="0.3">
      <c r="H14526" s="2"/>
      <c r="I14526" s="2"/>
      <c r="J14526" s="2"/>
      <c r="K14526" s="2"/>
      <c r="L14526" s="2"/>
    </row>
    <row r="14527" spans="8:12" x14ac:dyDescent="0.3">
      <c r="H14527" s="2"/>
      <c r="I14527" s="2"/>
      <c r="J14527" s="2"/>
      <c r="K14527" s="2"/>
      <c r="L14527" s="2"/>
    </row>
    <row r="14528" spans="8:12" x14ac:dyDescent="0.3">
      <c r="H14528" s="2"/>
      <c r="I14528" s="2"/>
      <c r="J14528" s="2"/>
      <c r="K14528" s="2"/>
      <c r="L14528" s="2"/>
    </row>
    <row r="14529" spans="8:12" x14ac:dyDescent="0.3">
      <c r="H14529" s="2"/>
      <c r="I14529" s="2"/>
      <c r="J14529" s="2"/>
      <c r="K14529" s="2"/>
      <c r="L14529" s="2"/>
    </row>
    <row r="14530" spans="8:12" x14ac:dyDescent="0.3">
      <c r="H14530" s="2"/>
      <c r="I14530" s="2"/>
      <c r="J14530" s="2"/>
      <c r="K14530" s="2"/>
      <c r="L14530" s="2"/>
    </row>
    <row r="14531" spans="8:12" x14ac:dyDescent="0.3">
      <c r="H14531" s="2"/>
      <c r="I14531" s="2"/>
      <c r="J14531" s="2"/>
      <c r="K14531" s="2"/>
      <c r="L14531" s="2"/>
    </row>
    <row r="14532" spans="8:12" x14ac:dyDescent="0.3">
      <c r="H14532" s="2"/>
      <c r="I14532" s="2"/>
      <c r="J14532" s="2"/>
      <c r="K14532" s="2"/>
      <c r="L14532" s="2"/>
    </row>
    <row r="14533" spans="8:12" x14ac:dyDescent="0.3">
      <c r="H14533" s="2"/>
      <c r="I14533" s="2"/>
      <c r="J14533" s="2"/>
      <c r="K14533" s="2"/>
      <c r="L14533" s="2"/>
    </row>
    <row r="14534" spans="8:12" x14ac:dyDescent="0.3">
      <c r="H14534" s="2"/>
      <c r="I14534" s="2"/>
      <c r="J14534" s="2"/>
      <c r="K14534" s="2"/>
      <c r="L14534" s="2"/>
    </row>
    <row r="14535" spans="8:12" x14ac:dyDescent="0.3">
      <c r="H14535" s="2"/>
      <c r="I14535" s="2"/>
      <c r="J14535" s="2"/>
      <c r="K14535" s="2"/>
      <c r="L14535" s="2"/>
    </row>
    <row r="14536" spans="8:12" x14ac:dyDescent="0.3">
      <c r="H14536" s="2"/>
      <c r="I14536" s="2"/>
      <c r="J14536" s="2"/>
      <c r="K14536" s="2"/>
      <c r="L14536" s="2"/>
    </row>
    <row r="14537" spans="8:12" x14ac:dyDescent="0.3">
      <c r="H14537" s="2"/>
      <c r="I14537" s="2"/>
      <c r="J14537" s="2"/>
      <c r="K14537" s="2"/>
      <c r="L14537" s="2"/>
    </row>
    <row r="14538" spans="8:12" x14ac:dyDescent="0.3">
      <c r="H14538" s="2"/>
      <c r="I14538" s="2"/>
      <c r="J14538" s="2"/>
      <c r="K14538" s="2"/>
      <c r="L14538" s="2"/>
    </row>
    <row r="14539" spans="8:12" x14ac:dyDescent="0.3">
      <c r="H14539" s="2"/>
      <c r="I14539" s="2"/>
      <c r="J14539" s="2"/>
      <c r="K14539" s="2"/>
      <c r="L14539" s="2"/>
    </row>
    <row r="14540" spans="8:12" x14ac:dyDescent="0.3">
      <c r="H14540" s="2"/>
      <c r="I14540" s="2"/>
      <c r="J14540" s="2"/>
      <c r="K14540" s="2"/>
      <c r="L14540" s="2"/>
    </row>
    <row r="14541" spans="8:12" x14ac:dyDescent="0.3">
      <c r="H14541" s="2"/>
      <c r="I14541" s="2"/>
      <c r="J14541" s="2"/>
      <c r="K14541" s="2"/>
      <c r="L14541" s="2"/>
    </row>
    <row r="14542" spans="8:12" x14ac:dyDescent="0.3">
      <c r="H14542" s="2"/>
      <c r="I14542" s="2"/>
      <c r="J14542" s="2"/>
      <c r="K14542" s="2"/>
      <c r="L14542" s="2"/>
    </row>
    <row r="14543" spans="8:12" x14ac:dyDescent="0.3">
      <c r="H14543" s="2"/>
      <c r="I14543" s="2"/>
      <c r="J14543" s="2"/>
      <c r="K14543" s="2"/>
      <c r="L14543" s="2"/>
    </row>
    <row r="14544" spans="8:12" x14ac:dyDescent="0.3">
      <c r="H14544" s="2"/>
      <c r="I14544" s="2"/>
      <c r="J14544" s="2"/>
      <c r="K14544" s="2"/>
      <c r="L14544" s="2"/>
    </row>
    <row r="14545" spans="8:12" x14ac:dyDescent="0.3">
      <c r="H14545" s="2"/>
      <c r="I14545" s="2"/>
      <c r="J14545" s="2"/>
      <c r="K14545" s="2"/>
      <c r="L14545" s="2"/>
    </row>
    <row r="14546" spans="8:12" x14ac:dyDescent="0.3">
      <c r="H14546" s="2"/>
      <c r="I14546" s="2"/>
      <c r="J14546" s="2"/>
      <c r="K14546" s="2"/>
      <c r="L14546" s="2"/>
    </row>
    <row r="14547" spans="8:12" x14ac:dyDescent="0.3">
      <c r="H14547" s="2"/>
      <c r="I14547" s="2"/>
      <c r="J14547" s="2"/>
      <c r="K14547" s="2"/>
      <c r="L14547" s="2"/>
    </row>
    <row r="14548" spans="8:12" x14ac:dyDescent="0.3">
      <c r="H14548" s="2"/>
      <c r="I14548" s="2"/>
      <c r="J14548" s="2"/>
      <c r="K14548" s="2"/>
      <c r="L14548" s="2"/>
    </row>
    <row r="14549" spans="8:12" x14ac:dyDescent="0.3">
      <c r="H14549" s="2"/>
      <c r="I14549" s="2"/>
      <c r="J14549" s="2"/>
      <c r="K14549" s="2"/>
      <c r="L14549" s="2"/>
    </row>
    <row r="14550" spans="8:12" x14ac:dyDescent="0.3">
      <c r="H14550" s="2"/>
      <c r="I14550" s="2"/>
      <c r="J14550" s="2"/>
      <c r="K14550" s="2"/>
      <c r="L14550" s="2"/>
    </row>
    <row r="14551" spans="8:12" x14ac:dyDescent="0.3">
      <c r="H14551" s="2"/>
      <c r="I14551" s="2"/>
      <c r="J14551" s="2"/>
      <c r="K14551" s="2"/>
      <c r="L14551" s="2"/>
    </row>
    <row r="14552" spans="8:12" x14ac:dyDescent="0.3">
      <c r="H14552" s="2"/>
      <c r="I14552" s="2"/>
      <c r="J14552" s="2"/>
      <c r="K14552" s="2"/>
      <c r="L14552" s="2"/>
    </row>
    <row r="14553" spans="8:12" x14ac:dyDescent="0.3">
      <c r="H14553" s="2"/>
      <c r="I14553" s="2"/>
      <c r="J14553" s="2"/>
      <c r="K14553" s="2"/>
      <c r="L14553" s="2"/>
    </row>
    <row r="14554" spans="8:12" x14ac:dyDescent="0.3">
      <c r="H14554" s="2"/>
      <c r="I14554" s="2"/>
      <c r="J14554" s="2"/>
      <c r="K14554" s="2"/>
      <c r="L14554" s="2"/>
    </row>
    <row r="14555" spans="8:12" x14ac:dyDescent="0.3">
      <c r="H14555" s="2"/>
      <c r="I14555" s="2"/>
      <c r="J14555" s="2"/>
      <c r="K14555" s="2"/>
      <c r="L14555" s="2"/>
    </row>
    <row r="14556" spans="8:12" x14ac:dyDescent="0.3">
      <c r="H14556" s="2"/>
      <c r="I14556" s="2"/>
      <c r="J14556" s="2"/>
      <c r="K14556" s="2"/>
      <c r="L14556" s="2"/>
    </row>
    <row r="14557" spans="8:12" x14ac:dyDescent="0.3">
      <c r="H14557" s="2"/>
      <c r="I14557" s="2"/>
      <c r="J14557" s="2"/>
      <c r="K14557" s="2"/>
      <c r="L14557" s="2"/>
    </row>
    <row r="14558" spans="8:12" x14ac:dyDescent="0.3">
      <c r="H14558" s="2"/>
      <c r="I14558" s="2"/>
      <c r="J14558" s="2"/>
      <c r="K14558" s="2"/>
      <c r="L14558" s="2"/>
    </row>
    <row r="14559" spans="8:12" x14ac:dyDescent="0.3">
      <c r="H14559" s="2"/>
      <c r="I14559" s="2"/>
      <c r="J14559" s="2"/>
      <c r="K14559" s="2"/>
      <c r="L14559" s="2"/>
    </row>
    <row r="14560" spans="8:12" x14ac:dyDescent="0.3">
      <c r="H14560" s="2"/>
      <c r="I14560" s="2"/>
      <c r="J14560" s="2"/>
      <c r="K14560" s="2"/>
      <c r="L14560" s="2"/>
    </row>
    <row r="14561" spans="8:12" x14ac:dyDescent="0.3">
      <c r="H14561" s="2"/>
      <c r="I14561" s="2"/>
      <c r="J14561" s="2"/>
      <c r="K14561" s="2"/>
      <c r="L14561" s="2"/>
    </row>
    <row r="14562" spans="8:12" x14ac:dyDescent="0.3">
      <c r="H14562" s="2"/>
      <c r="I14562" s="2"/>
      <c r="J14562" s="2"/>
      <c r="K14562" s="2"/>
      <c r="L14562" s="2"/>
    </row>
    <row r="14563" spans="8:12" x14ac:dyDescent="0.3">
      <c r="H14563" s="2"/>
      <c r="I14563" s="2"/>
      <c r="J14563" s="2"/>
      <c r="K14563" s="2"/>
      <c r="L14563" s="2"/>
    </row>
    <row r="14564" spans="8:12" x14ac:dyDescent="0.3">
      <c r="H14564" s="2"/>
      <c r="I14564" s="2"/>
      <c r="J14564" s="2"/>
      <c r="K14564" s="2"/>
      <c r="L14564" s="2"/>
    </row>
    <row r="14565" spans="8:12" x14ac:dyDescent="0.3">
      <c r="H14565" s="2"/>
      <c r="I14565" s="2"/>
      <c r="J14565" s="2"/>
      <c r="K14565" s="2"/>
      <c r="L14565" s="2"/>
    </row>
    <row r="14566" spans="8:12" x14ac:dyDescent="0.3">
      <c r="H14566" s="2"/>
      <c r="I14566" s="2"/>
      <c r="J14566" s="2"/>
      <c r="K14566" s="2"/>
      <c r="L14566" s="2"/>
    </row>
    <row r="14567" spans="8:12" x14ac:dyDescent="0.3">
      <c r="H14567" s="2"/>
      <c r="I14567" s="2"/>
      <c r="J14567" s="2"/>
      <c r="K14567" s="2"/>
      <c r="L14567" s="2"/>
    </row>
    <row r="14568" spans="8:12" x14ac:dyDescent="0.3">
      <c r="H14568" s="2"/>
      <c r="I14568" s="2"/>
      <c r="J14568" s="2"/>
      <c r="K14568" s="2"/>
      <c r="L14568" s="2"/>
    </row>
    <row r="14569" spans="8:12" x14ac:dyDescent="0.3">
      <c r="H14569" s="2"/>
      <c r="I14569" s="2"/>
      <c r="J14569" s="2"/>
      <c r="K14569" s="2"/>
      <c r="L14569" s="2"/>
    </row>
    <row r="14570" spans="8:12" x14ac:dyDescent="0.3">
      <c r="H14570" s="2"/>
      <c r="I14570" s="2"/>
      <c r="J14570" s="2"/>
      <c r="K14570" s="2"/>
      <c r="L14570" s="2"/>
    </row>
    <row r="14571" spans="8:12" x14ac:dyDescent="0.3">
      <c r="H14571" s="2"/>
      <c r="I14571" s="2"/>
      <c r="J14571" s="2"/>
      <c r="K14571" s="2"/>
      <c r="L14571" s="2"/>
    </row>
    <row r="14572" spans="8:12" x14ac:dyDescent="0.3">
      <c r="H14572" s="2"/>
      <c r="I14572" s="2"/>
      <c r="J14572" s="2"/>
      <c r="K14572" s="2"/>
      <c r="L14572" s="2"/>
    </row>
    <row r="14573" spans="8:12" x14ac:dyDescent="0.3">
      <c r="H14573" s="2"/>
      <c r="I14573" s="2"/>
      <c r="J14573" s="2"/>
      <c r="K14573" s="2"/>
      <c r="L14573" s="2"/>
    </row>
    <row r="14574" spans="8:12" x14ac:dyDescent="0.3">
      <c r="H14574" s="2"/>
      <c r="I14574" s="2"/>
      <c r="J14574" s="2"/>
      <c r="K14574" s="2"/>
      <c r="L14574" s="2"/>
    </row>
    <row r="14575" spans="8:12" x14ac:dyDescent="0.3">
      <c r="H14575" s="2"/>
      <c r="I14575" s="2"/>
      <c r="J14575" s="2"/>
      <c r="K14575" s="2"/>
      <c r="L14575" s="2"/>
    </row>
    <row r="14576" spans="8:12" x14ac:dyDescent="0.3">
      <c r="H14576" s="2"/>
      <c r="I14576" s="2"/>
      <c r="J14576" s="2"/>
      <c r="K14576" s="2"/>
      <c r="L14576" s="2"/>
    </row>
    <row r="14577" spans="8:12" x14ac:dyDescent="0.3">
      <c r="H14577" s="2"/>
      <c r="I14577" s="2"/>
      <c r="J14577" s="2"/>
      <c r="K14577" s="2"/>
      <c r="L14577" s="2"/>
    </row>
    <row r="14578" spans="8:12" x14ac:dyDescent="0.3">
      <c r="H14578" s="2"/>
      <c r="I14578" s="2"/>
      <c r="J14578" s="2"/>
      <c r="K14578" s="2"/>
      <c r="L14578" s="2"/>
    </row>
    <row r="14579" spans="8:12" x14ac:dyDescent="0.3">
      <c r="H14579" s="2"/>
      <c r="I14579" s="2"/>
      <c r="J14579" s="2"/>
      <c r="K14579" s="2"/>
      <c r="L14579" s="2"/>
    </row>
    <row r="14580" spans="8:12" x14ac:dyDescent="0.3">
      <c r="H14580" s="2"/>
      <c r="I14580" s="2"/>
      <c r="J14580" s="2"/>
      <c r="K14580" s="2"/>
      <c r="L14580" s="2"/>
    </row>
    <row r="14581" spans="8:12" x14ac:dyDescent="0.3">
      <c r="H14581" s="2"/>
      <c r="I14581" s="2"/>
      <c r="J14581" s="2"/>
      <c r="K14581" s="2"/>
      <c r="L14581" s="2"/>
    </row>
    <row r="14582" spans="8:12" x14ac:dyDescent="0.3">
      <c r="H14582" s="2"/>
      <c r="I14582" s="2"/>
      <c r="J14582" s="2"/>
      <c r="K14582" s="2"/>
      <c r="L14582" s="2"/>
    </row>
    <row r="14583" spans="8:12" x14ac:dyDescent="0.3">
      <c r="H14583" s="2"/>
      <c r="I14583" s="2"/>
      <c r="J14583" s="2"/>
      <c r="K14583" s="2"/>
      <c r="L14583" s="2"/>
    </row>
    <row r="14584" spans="8:12" x14ac:dyDescent="0.3">
      <c r="H14584" s="2"/>
      <c r="I14584" s="2"/>
      <c r="J14584" s="2"/>
      <c r="K14584" s="2"/>
      <c r="L14584" s="2"/>
    </row>
    <row r="14585" spans="8:12" x14ac:dyDescent="0.3">
      <c r="H14585" s="2"/>
      <c r="I14585" s="2"/>
      <c r="J14585" s="2"/>
      <c r="K14585" s="2"/>
      <c r="L14585" s="2"/>
    </row>
    <row r="14586" spans="8:12" x14ac:dyDescent="0.3">
      <c r="H14586" s="2"/>
      <c r="I14586" s="2"/>
      <c r="J14586" s="2"/>
      <c r="K14586" s="2"/>
      <c r="L14586" s="2"/>
    </row>
    <row r="14587" spans="8:12" x14ac:dyDescent="0.3">
      <c r="H14587" s="2"/>
      <c r="I14587" s="2"/>
      <c r="J14587" s="2"/>
      <c r="K14587" s="2"/>
      <c r="L14587" s="2"/>
    </row>
    <row r="14588" spans="8:12" x14ac:dyDescent="0.3">
      <c r="H14588" s="2"/>
      <c r="I14588" s="2"/>
      <c r="J14588" s="2"/>
      <c r="K14588" s="2"/>
      <c r="L14588" s="2"/>
    </row>
    <row r="14589" spans="8:12" x14ac:dyDescent="0.3">
      <c r="H14589" s="2"/>
      <c r="I14589" s="2"/>
      <c r="J14589" s="2"/>
      <c r="K14589" s="2"/>
      <c r="L14589" s="2"/>
    </row>
    <row r="14590" spans="8:12" x14ac:dyDescent="0.3">
      <c r="H14590" s="2"/>
      <c r="I14590" s="2"/>
      <c r="J14590" s="2"/>
      <c r="K14590" s="2"/>
      <c r="L14590" s="2"/>
    </row>
    <row r="14591" spans="8:12" x14ac:dyDescent="0.3">
      <c r="H14591" s="2"/>
      <c r="I14591" s="2"/>
      <c r="J14591" s="2"/>
      <c r="K14591" s="2"/>
      <c r="L14591" s="2"/>
    </row>
    <row r="14592" spans="8:12" x14ac:dyDescent="0.3">
      <c r="H14592" s="2"/>
      <c r="I14592" s="2"/>
      <c r="J14592" s="2"/>
      <c r="K14592" s="2"/>
      <c r="L14592" s="2"/>
    </row>
    <row r="14593" spans="8:12" x14ac:dyDescent="0.3">
      <c r="H14593" s="2"/>
      <c r="I14593" s="2"/>
      <c r="J14593" s="2"/>
      <c r="K14593" s="2"/>
      <c r="L14593" s="2"/>
    </row>
    <row r="14594" spans="8:12" x14ac:dyDescent="0.3">
      <c r="H14594" s="2"/>
      <c r="I14594" s="2"/>
      <c r="J14594" s="2"/>
      <c r="K14594" s="2"/>
      <c r="L14594" s="2"/>
    </row>
    <row r="14595" spans="8:12" x14ac:dyDescent="0.3">
      <c r="H14595" s="2"/>
      <c r="I14595" s="2"/>
      <c r="J14595" s="2"/>
      <c r="K14595" s="2"/>
      <c r="L14595" s="2"/>
    </row>
    <row r="14596" spans="8:12" x14ac:dyDescent="0.3">
      <c r="H14596" s="2"/>
      <c r="I14596" s="2"/>
      <c r="J14596" s="2"/>
      <c r="K14596" s="2"/>
      <c r="L14596" s="2"/>
    </row>
    <row r="14597" spans="8:12" x14ac:dyDescent="0.3">
      <c r="H14597" s="2"/>
      <c r="I14597" s="2"/>
      <c r="J14597" s="2"/>
      <c r="K14597" s="2"/>
      <c r="L14597" s="2"/>
    </row>
    <row r="14598" spans="8:12" x14ac:dyDescent="0.3">
      <c r="H14598" s="2"/>
      <c r="I14598" s="2"/>
      <c r="J14598" s="2"/>
      <c r="K14598" s="2"/>
      <c r="L14598" s="2"/>
    </row>
    <row r="14599" spans="8:12" x14ac:dyDescent="0.3">
      <c r="H14599" s="2"/>
      <c r="I14599" s="2"/>
      <c r="J14599" s="2"/>
      <c r="K14599" s="2"/>
      <c r="L14599" s="2"/>
    </row>
    <row r="14600" spans="8:12" x14ac:dyDescent="0.3">
      <c r="H14600" s="2"/>
      <c r="I14600" s="2"/>
      <c r="J14600" s="2"/>
      <c r="K14600" s="2"/>
      <c r="L14600" s="2"/>
    </row>
    <row r="14601" spans="8:12" x14ac:dyDescent="0.3">
      <c r="H14601" s="2"/>
      <c r="I14601" s="2"/>
      <c r="J14601" s="2"/>
      <c r="K14601" s="2"/>
      <c r="L14601" s="2"/>
    </row>
    <row r="14602" spans="8:12" x14ac:dyDescent="0.3">
      <c r="H14602" s="2"/>
      <c r="I14602" s="2"/>
      <c r="J14602" s="2"/>
      <c r="K14602" s="2"/>
      <c r="L14602" s="2"/>
    </row>
    <row r="14603" spans="8:12" x14ac:dyDescent="0.3">
      <c r="H14603" s="2"/>
      <c r="I14603" s="2"/>
      <c r="J14603" s="2"/>
      <c r="K14603" s="2"/>
      <c r="L14603" s="2"/>
    </row>
    <row r="14604" spans="8:12" x14ac:dyDescent="0.3">
      <c r="H14604" s="2"/>
      <c r="I14604" s="2"/>
      <c r="J14604" s="2"/>
      <c r="K14604" s="2"/>
      <c r="L14604" s="2"/>
    </row>
    <row r="14605" spans="8:12" x14ac:dyDescent="0.3">
      <c r="H14605" s="2"/>
      <c r="I14605" s="2"/>
      <c r="J14605" s="2"/>
      <c r="K14605" s="2"/>
      <c r="L14605" s="2"/>
    </row>
    <row r="14606" spans="8:12" x14ac:dyDescent="0.3">
      <c r="H14606" s="2"/>
      <c r="I14606" s="2"/>
      <c r="J14606" s="2"/>
      <c r="K14606" s="2"/>
      <c r="L14606" s="2"/>
    </row>
    <row r="14607" spans="8:12" x14ac:dyDescent="0.3">
      <c r="H14607" s="2"/>
      <c r="I14607" s="2"/>
      <c r="J14607" s="2"/>
      <c r="K14607" s="2"/>
      <c r="L14607" s="2"/>
    </row>
    <row r="14608" spans="8:12" x14ac:dyDescent="0.3">
      <c r="H14608" s="2"/>
      <c r="I14608" s="2"/>
      <c r="J14608" s="2"/>
      <c r="K14608" s="2"/>
      <c r="L14608" s="2"/>
    </row>
    <row r="14609" spans="8:12" x14ac:dyDescent="0.3">
      <c r="H14609" s="2"/>
      <c r="I14609" s="2"/>
      <c r="J14609" s="2"/>
      <c r="K14609" s="2"/>
      <c r="L14609" s="2"/>
    </row>
    <row r="14610" spans="8:12" x14ac:dyDescent="0.3">
      <c r="H14610" s="2"/>
      <c r="I14610" s="2"/>
      <c r="J14610" s="2"/>
      <c r="K14610" s="2"/>
      <c r="L14610" s="2"/>
    </row>
    <row r="14611" spans="8:12" x14ac:dyDescent="0.3">
      <c r="H14611" s="2"/>
      <c r="I14611" s="2"/>
      <c r="J14611" s="2"/>
      <c r="K14611" s="2"/>
      <c r="L14611" s="2"/>
    </row>
    <row r="14612" spans="8:12" x14ac:dyDescent="0.3">
      <c r="H14612" s="2"/>
      <c r="I14612" s="2"/>
      <c r="J14612" s="2"/>
      <c r="K14612" s="2"/>
      <c r="L14612" s="2"/>
    </row>
    <row r="14613" spans="8:12" x14ac:dyDescent="0.3">
      <c r="H14613" s="2"/>
      <c r="I14613" s="2"/>
      <c r="J14613" s="2"/>
      <c r="K14613" s="2"/>
      <c r="L14613" s="2"/>
    </row>
    <row r="14614" spans="8:12" x14ac:dyDescent="0.3">
      <c r="H14614" s="2"/>
      <c r="I14614" s="2"/>
      <c r="J14614" s="2"/>
      <c r="K14614" s="2"/>
      <c r="L14614" s="2"/>
    </row>
    <row r="14615" spans="8:12" x14ac:dyDescent="0.3">
      <c r="H14615" s="2"/>
      <c r="I14615" s="2"/>
      <c r="J14615" s="2"/>
      <c r="K14615" s="2"/>
      <c r="L14615" s="2"/>
    </row>
    <row r="14616" spans="8:12" x14ac:dyDescent="0.3">
      <c r="H14616" s="2"/>
      <c r="I14616" s="2"/>
      <c r="J14616" s="2"/>
      <c r="K14616" s="2"/>
      <c r="L14616" s="2"/>
    </row>
    <row r="14617" spans="8:12" x14ac:dyDescent="0.3">
      <c r="H14617" s="2"/>
      <c r="I14617" s="2"/>
      <c r="J14617" s="2"/>
      <c r="K14617" s="2"/>
      <c r="L14617" s="2"/>
    </row>
    <row r="14618" spans="8:12" x14ac:dyDescent="0.3">
      <c r="H14618" s="2"/>
      <c r="I14618" s="2"/>
      <c r="J14618" s="2"/>
      <c r="K14618" s="2"/>
      <c r="L14618" s="2"/>
    </row>
    <row r="14619" spans="8:12" x14ac:dyDescent="0.3">
      <c r="H14619" s="2"/>
      <c r="I14619" s="2"/>
      <c r="J14619" s="2"/>
      <c r="K14619" s="2"/>
      <c r="L14619" s="2"/>
    </row>
    <row r="14620" spans="8:12" x14ac:dyDescent="0.3">
      <c r="H14620" s="2"/>
      <c r="I14620" s="2"/>
      <c r="J14620" s="2"/>
      <c r="K14620" s="2"/>
      <c r="L14620" s="2"/>
    </row>
    <row r="14621" spans="8:12" x14ac:dyDescent="0.3">
      <c r="H14621" s="2"/>
      <c r="I14621" s="2"/>
      <c r="J14621" s="2"/>
      <c r="K14621" s="2"/>
      <c r="L14621" s="2"/>
    </row>
    <row r="14622" spans="8:12" x14ac:dyDescent="0.3">
      <c r="H14622" s="2"/>
      <c r="I14622" s="2"/>
      <c r="J14622" s="2"/>
      <c r="K14622" s="2"/>
      <c r="L14622" s="2"/>
    </row>
    <row r="14623" spans="8:12" x14ac:dyDescent="0.3">
      <c r="H14623" s="2"/>
      <c r="I14623" s="2"/>
      <c r="J14623" s="2"/>
      <c r="K14623" s="2"/>
      <c r="L14623" s="2"/>
    </row>
    <row r="14624" spans="8:12" x14ac:dyDescent="0.3">
      <c r="H14624" s="2"/>
      <c r="I14624" s="2"/>
      <c r="J14624" s="2"/>
      <c r="K14624" s="2"/>
      <c r="L14624" s="2"/>
    </row>
    <row r="14625" spans="8:12" x14ac:dyDescent="0.3">
      <c r="H14625" s="2"/>
      <c r="I14625" s="2"/>
      <c r="J14625" s="2"/>
      <c r="K14625" s="2"/>
      <c r="L14625" s="2"/>
    </row>
    <row r="14626" spans="8:12" x14ac:dyDescent="0.3">
      <c r="H14626" s="2"/>
      <c r="I14626" s="2"/>
      <c r="J14626" s="2"/>
      <c r="K14626" s="2"/>
      <c r="L14626" s="2"/>
    </row>
    <row r="14627" spans="8:12" x14ac:dyDescent="0.3">
      <c r="H14627" s="2"/>
      <c r="I14627" s="2"/>
      <c r="J14627" s="2"/>
      <c r="K14627" s="2"/>
      <c r="L14627" s="2"/>
    </row>
    <row r="14628" spans="8:12" x14ac:dyDescent="0.3">
      <c r="H14628" s="2"/>
      <c r="I14628" s="2"/>
      <c r="J14628" s="2"/>
      <c r="K14628" s="2"/>
      <c r="L14628" s="2"/>
    </row>
    <row r="14629" spans="8:12" x14ac:dyDescent="0.3">
      <c r="H14629" s="2"/>
      <c r="I14629" s="2"/>
      <c r="J14629" s="2"/>
      <c r="K14629" s="2"/>
      <c r="L14629" s="2"/>
    </row>
    <row r="14630" spans="8:12" x14ac:dyDescent="0.3">
      <c r="H14630" s="2"/>
      <c r="I14630" s="2"/>
      <c r="J14630" s="2"/>
      <c r="K14630" s="2"/>
      <c r="L14630" s="2"/>
    </row>
    <row r="14631" spans="8:12" x14ac:dyDescent="0.3">
      <c r="H14631" s="2"/>
      <c r="I14631" s="2"/>
      <c r="J14631" s="2"/>
      <c r="K14631" s="2"/>
      <c r="L14631" s="2"/>
    </row>
    <row r="14632" spans="8:12" x14ac:dyDescent="0.3">
      <c r="H14632" s="2"/>
      <c r="I14632" s="2"/>
      <c r="J14632" s="2"/>
      <c r="K14632" s="2"/>
      <c r="L14632" s="2"/>
    </row>
    <row r="14633" spans="8:12" x14ac:dyDescent="0.3">
      <c r="H14633" s="2"/>
      <c r="I14633" s="2"/>
      <c r="J14633" s="2"/>
      <c r="K14633" s="2"/>
      <c r="L14633" s="2"/>
    </row>
    <row r="14634" spans="8:12" x14ac:dyDescent="0.3">
      <c r="H14634" s="2"/>
      <c r="I14634" s="2"/>
      <c r="J14634" s="2"/>
      <c r="K14634" s="2"/>
      <c r="L14634" s="2"/>
    </row>
    <row r="14635" spans="8:12" x14ac:dyDescent="0.3">
      <c r="H14635" s="2"/>
      <c r="I14635" s="2"/>
      <c r="J14635" s="2"/>
      <c r="K14635" s="2"/>
      <c r="L14635" s="2"/>
    </row>
    <row r="14636" spans="8:12" x14ac:dyDescent="0.3">
      <c r="H14636" s="2"/>
      <c r="I14636" s="2"/>
      <c r="J14636" s="2"/>
      <c r="K14636" s="2"/>
      <c r="L14636" s="2"/>
    </row>
    <row r="14637" spans="8:12" x14ac:dyDescent="0.3">
      <c r="H14637" s="2"/>
      <c r="I14637" s="2"/>
      <c r="J14637" s="2"/>
      <c r="K14637" s="2"/>
      <c r="L14637" s="2"/>
    </row>
    <row r="14638" spans="8:12" x14ac:dyDescent="0.3">
      <c r="H14638" s="2"/>
      <c r="I14638" s="2"/>
      <c r="J14638" s="2"/>
      <c r="K14638" s="2"/>
      <c r="L14638" s="2"/>
    </row>
    <row r="14639" spans="8:12" x14ac:dyDescent="0.3">
      <c r="H14639" s="2"/>
      <c r="I14639" s="2"/>
      <c r="J14639" s="2"/>
      <c r="K14639" s="2"/>
      <c r="L14639" s="2"/>
    </row>
    <row r="14640" spans="8:12" x14ac:dyDescent="0.3">
      <c r="H14640" s="2"/>
      <c r="I14640" s="2"/>
      <c r="J14640" s="2"/>
      <c r="K14640" s="2"/>
      <c r="L14640" s="2"/>
    </row>
    <row r="14641" spans="8:12" x14ac:dyDescent="0.3">
      <c r="H14641" s="2"/>
      <c r="I14641" s="2"/>
      <c r="J14641" s="2"/>
      <c r="K14641" s="2"/>
      <c r="L14641" s="2"/>
    </row>
    <row r="14642" spans="8:12" x14ac:dyDescent="0.3">
      <c r="H14642" s="2"/>
      <c r="I14642" s="2"/>
      <c r="J14642" s="2"/>
      <c r="K14642" s="2"/>
      <c r="L14642" s="2"/>
    </row>
    <row r="14643" spans="8:12" x14ac:dyDescent="0.3">
      <c r="H14643" s="2"/>
      <c r="I14643" s="2"/>
      <c r="J14643" s="2"/>
      <c r="K14643" s="2"/>
      <c r="L14643" s="2"/>
    </row>
    <row r="14644" spans="8:12" x14ac:dyDescent="0.3">
      <c r="H14644" s="2"/>
      <c r="I14644" s="2"/>
      <c r="J14644" s="2"/>
      <c r="K14644" s="2"/>
      <c r="L14644" s="2"/>
    </row>
    <row r="14645" spans="8:12" x14ac:dyDescent="0.3">
      <c r="H14645" s="2"/>
      <c r="I14645" s="2"/>
      <c r="J14645" s="2"/>
      <c r="K14645" s="2"/>
      <c r="L14645" s="2"/>
    </row>
    <row r="14646" spans="8:12" x14ac:dyDescent="0.3">
      <c r="H14646" s="2"/>
      <c r="I14646" s="2"/>
      <c r="J14646" s="2"/>
      <c r="K14646" s="2"/>
      <c r="L14646" s="2"/>
    </row>
    <row r="14647" spans="8:12" x14ac:dyDescent="0.3">
      <c r="H14647" s="2"/>
      <c r="I14647" s="2"/>
      <c r="J14647" s="2"/>
      <c r="K14647" s="2"/>
      <c r="L14647" s="2"/>
    </row>
    <row r="14648" spans="8:12" x14ac:dyDescent="0.3">
      <c r="H14648" s="2"/>
      <c r="I14648" s="2"/>
      <c r="J14648" s="2"/>
      <c r="K14648" s="2"/>
      <c r="L14648" s="2"/>
    </row>
    <row r="14649" spans="8:12" x14ac:dyDescent="0.3">
      <c r="H14649" s="2"/>
      <c r="I14649" s="2"/>
      <c r="J14649" s="2"/>
      <c r="K14649" s="2"/>
      <c r="L14649" s="2"/>
    </row>
    <row r="14650" spans="8:12" x14ac:dyDescent="0.3">
      <c r="H14650" s="2"/>
      <c r="I14650" s="2"/>
      <c r="J14650" s="2"/>
      <c r="K14650" s="2"/>
      <c r="L14650" s="2"/>
    </row>
    <row r="14651" spans="8:12" x14ac:dyDescent="0.3">
      <c r="H14651" s="2"/>
      <c r="I14651" s="2"/>
      <c r="J14651" s="2"/>
      <c r="K14651" s="2"/>
      <c r="L14651" s="2"/>
    </row>
    <row r="14652" spans="8:12" x14ac:dyDescent="0.3">
      <c r="H14652" s="2"/>
      <c r="I14652" s="2"/>
      <c r="J14652" s="2"/>
      <c r="K14652" s="2"/>
      <c r="L14652" s="2"/>
    </row>
    <row r="14653" spans="8:12" x14ac:dyDescent="0.3">
      <c r="H14653" s="2"/>
      <c r="I14653" s="2"/>
      <c r="J14653" s="2"/>
      <c r="K14653" s="2"/>
      <c r="L14653" s="2"/>
    </row>
    <row r="14654" spans="8:12" x14ac:dyDescent="0.3">
      <c r="H14654" s="2"/>
      <c r="I14654" s="2"/>
      <c r="J14654" s="2"/>
      <c r="K14654" s="2"/>
      <c r="L14654" s="2"/>
    </row>
    <row r="14655" spans="8:12" x14ac:dyDescent="0.3">
      <c r="H14655" s="2"/>
      <c r="I14655" s="2"/>
      <c r="J14655" s="2"/>
      <c r="K14655" s="2"/>
      <c r="L14655" s="2"/>
    </row>
    <row r="14656" spans="8:12" x14ac:dyDescent="0.3">
      <c r="H14656" s="2"/>
      <c r="I14656" s="2"/>
      <c r="J14656" s="2"/>
      <c r="K14656" s="2"/>
      <c r="L14656" s="2"/>
    </row>
    <row r="14657" spans="8:12" x14ac:dyDescent="0.3">
      <c r="H14657" s="2"/>
      <c r="I14657" s="2"/>
      <c r="J14657" s="2"/>
      <c r="K14657" s="2"/>
      <c r="L14657" s="2"/>
    </row>
    <row r="14658" spans="8:12" x14ac:dyDescent="0.3">
      <c r="H14658" s="2"/>
      <c r="I14658" s="2"/>
      <c r="J14658" s="2"/>
      <c r="K14658" s="2"/>
      <c r="L14658" s="2"/>
    </row>
    <row r="14659" spans="8:12" x14ac:dyDescent="0.3">
      <c r="H14659" s="2"/>
      <c r="I14659" s="2"/>
      <c r="J14659" s="2"/>
      <c r="K14659" s="2"/>
      <c r="L14659" s="2"/>
    </row>
    <row r="14660" spans="8:12" x14ac:dyDescent="0.3">
      <c r="H14660" s="2"/>
      <c r="I14660" s="2"/>
      <c r="J14660" s="2"/>
      <c r="K14660" s="2"/>
      <c r="L14660" s="2"/>
    </row>
    <row r="14661" spans="8:12" x14ac:dyDescent="0.3">
      <c r="H14661" s="2"/>
      <c r="I14661" s="2"/>
      <c r="J14661" s="2"/>
      <c r="K14661" s="2"/>
      <c r="L14661" s="2"/>
    </row>
    <row r="14662" spans="8:12" x14ac:dyDescent="0.3">
      <c r="H14662" s="2"/>
      <c r="I14662" s="2"/>
      <c r="J14662" s="2"/>
      <c r="K14662" s="2"/>
      <c r="L14662" s="2"/>
    </row>
    <row r="14663" spans="8:12" x14ac:dyDescent="0.3">
      <c r="H14663" s="2"/>
      <c r="I14663" s="2"/>
      <c r="J14663" s="2"/>
      <c r="K14663" s="2"/>
      <c r="L14663" s="2"/>
    </row>
    <row r="14664" spans="8:12" x14ac:dyDescent="0.3">
      <c r="H14664" s="2"/>
      <c r="I14664" s="2"/>
      <c r="J14664" s="2"/>
      <c r="K14664" s="2"/>
      <c r="L14664" s="2"/>
    </row>
    <row r="14665" spans="8:12" x14ac:dyDescent="0.3">
      <c r="H14665" s="2"/>
      <c r="I14665" s="2"/>
      <c r="J14665" s="2"/>
      <c r="K14665" s="2"/>
      <c r="L14665" s="2"/>
    </row>
    <row r="14666" spans="8:12" x14ac:dyDescent="0.3">
      <c r="H14666" s="2"/>
      <c r="I14666" s="2"/>
      <c r="J14666" s="2"/>
      <c r="K14666" s="2"/>
      <c r="L14666" s="2"/>
    </row>
    <row r="14667" spans="8:12" x14ac:dyDescent="0.3">
      <c r="H14667" s="2"/>
      <c r="I14667" s="2"/>
      <c r="J14667" s="2"/>
      <c r="K14667" s="2"/>
      <c r="L14667" s="2"/>
    </row>
    <row r="14668" spans="8:12" x14ac:dyDescent="0.3">
      <c r="H14668" s="2"/>
      <c r="I14668" s="2"/>
      <c r="J14668" s="2"/>
      <c r="K14668" s="2"/>
      <c r="L14668" s="2"/>
    </row>
    <row r="14669" spans="8:12" x14ac:dyDescent="0.3">
      <c r="H14669" s="2"/>
      <c r="I14669" s="2"/>
      <c r="J14669" s="2"/>
      <c r="K14669" s="2"/>
      <c r="L14669" s="2"/>
    </row>
    <row r="14670" spans="8:12" x14ac:dyDescent="0.3">
      <c r="H14670" s="2"/>
      <c r="I14670" s="2"/>
      <c r="J14670" s="2"/>
      <c r="K14670" s="2"/>
      <c r="L14670" s="2"/>
    </row>
    <row r="14671" spans="8:12" x14ac:dyDescent="0.3">
      <c r="H14671" s="2"/>
      <c r="I14671" s="2"/>
      <c r="J14671" s="2"/>
      <c r="K14671" s="2"/>
      <c r="L14671" s="2"/>
    </row>
    <row r="14672" spans="8:12" x14ac:dyDescent="0.3">
      <c r="H14672" s="2"/>
      <c r="I14672" s="2"/>
      <c r="J14672" s="2"/>
      <c r="K14672" s="2"/>
      <c r="L14672" s="2"/>
    </row>
    <row r="14673" spans="8:12" x14ac:dyDescent="0.3">
      <c r="H14673" s="2"/>
      <c r="I14673" s="2"/>
      <c r="J14673" s="2"/>
      <c r="K14673" s="2"/>
      <c r="L14673" s="2"/>
    </row>
    <row r="14674" spans="8:12" x14ac:dyDescent="0.3">
      <c r="H14674" s="2"/>
      <c r="I14674" s="2"/>
      <c r="J14674" s="2"/>
      <c r="K14674" s="2"/>
      <c r="L14674" s="2"/>
    </row>
    <row r="14675" spans="8:12" x14ac:dyDescent="0.3">
      <c r="H14675" s="2"/>
      <c r="I14675" s="2"/>
      <c r="J14675" s="2"/>
      <c r="K14675" s="2"/>
      <c r="L14675" s="2"/>
    </row>
    <row r="14676" spans="8:12" x14ac:dyDescent="0.3">
      <c r="H14676" s="2"/>
      <c r="I14676" s="2"/>
      <c r="J14676" s="2"/>
      <c r="K14676" s="2"/>
      <c r="L14676" s="2"/>
    </row>
    <row r="14677" spans="8:12" x14ac:dyDescent="0.3">
      <c r="H14677" s="2"/>
      <c r="I14677" s="2"/>
      <c r="J14677" s="2"/>
      <c r="K14677" s="2"/>
      <c r="L14677" s="2"/>
    </row>
    <row r="14678" spans="8:12" x14ac:dyDescent="0.3">
      <c r="H14678" s="2"/>
      <c r="I14678" s="2"/>
      <c r="J14678" s="2"/>
      <c r="K14678" s="2"/>
      <c r="L14678" s="2"/>
    </row>
    <row r="14679" spans="8:12" x14ac:dyDescent="0.3">
      <c r="H14679" s="2"/>
      <c r="I14679" s="2"/>
      <c r="J14679" s="2"/>
      <c r="K14679" s="2"/>
      <c r="L14679" s="2"/>
    </row>
    <row r="14680" spans="8:12" x14ac:dyDescent="0.3">
      <c r="H14680" s="2"/>
      <c r="I14680" s="2"/>
      <c r="J14680" s="2"/>
      <c r="K14680" s="2"/>
      <c r="L14680" s="2"/>
    </row>
    <row r="14681" spans="8:12" x14ac:dyDescent="0.3">
      <c r="H14681" s="2"/>
      <c r="I14681" s="2"/>
      <c r="J14681" s="2"/>
      <c r="K14681" s="2"/>
      <c r="L14681" s="2"/>
    </row>
    <row r="14682" spans="8:12" x14ac:dyDescent="0.3">
      <c r="H14682" s="2"/>
      <c r="I14682" s="2"/>
      <c r="J14682" s="2"/>
      <c r="K14682" s="2"/>
      <c r="L14682" s="2"/>
    </row>
    <row r="14683" spans="8:12" x14ac:dyDescent="0.3">
      <c r="H14683" s="2"/>
      <c r="I14683" s="2"/>
      <c r="J14683" s="2"/>
      <c r="K14683" s="2"/>
      <c r="L14683" s="2"/>
    </row>
    <row r="14684" spans="8:12" x14ac:dyDescent="0.3">
      <c r="H14684" s="2"/>
      <c r="I14684" s="2"/>
      <c r="J14684" s="2"/>
      <c r="K14684" s="2"/>
      <c r="L14684" s="2"/>
    </row>
    <row r="14685" spans="8:12" x14ac:dyDescent="0.3">
      <c r="H14685" s="2"/>
      <c r="I14685" s="2"/>
      <c r="J14685" s="2"/>
      <c r="K14685" s="2"/>
      <c r="L14685" s="2"/>
    </row>
    <row r="14686" spans="8:12" x14ac:dyDescent="0.3">
      <c r="H14686" s="2"/>
      <c r="I14686" s="2"/>
      <c r="J14686" s="2"/>
      <c r="K14686" s="2"/>
      <c r="L14686" s="2"/>
    </row>
    <row r="14687" spans="8:12" x14ac:dyDescent="0.3">
      <c r="H14687" s="2"/>
      <c r="I14687" s="2"/>
      <c r="J14687" s="2"/>
      <c r="K14687" s="2"/>
      <c r="L14687" s="2"/>
    </row>
    <row r="14688" spans="8:12" x14ac:dyDescent="0.3">
      <c r="H14688" s="2"/>
      <c r="I14688" s="2"/>
      <c r="J14688" s="2"/>
      <c r="K14688" s="2"/>
      <c r="L14688" s="2"/>
    </row>
    <row r="14689" spans="8:12" x14ac:dyDescent="0.3">
      <c r="H14689" s="2"/>
      <c r="I14689" s="2"/>
      <c r="J14689" s="2"/>
      <c r="K14689" s="2"/>
      <c r="L14689" s="2"/>
    </row>
    <row r="14690" spans="8:12" x14ac:dyDescent="0.3">
      <c r="H14690" s="2"/>
      <c r="I14690" s="2"/>
      <c r="J14690" s="2"/>
      <c r="K14690" s="2"/>
      <c r="L14690" s="2"/>
    </row>
    <row r="14691" spans="8:12" x14ac:dyDescent="0.3">
      <c r="H14691" s="2"/>
      <c r="I14691" s="2"/>
      <c r="J14691" s="2"/>
      <c r="K14691" s="2"/>
      <c r="L14691" s="2"/>
    </row>
    <row r="14692" spans="8:12" x14ac:dyDescent="0.3">
      <c r="H14692" s="2"/>
      <c r="I14692" s="2"/>
      <c r="J14692" s="2"/>
      <c r="K14692" s="2"/>
      <c r="L14692" s="2"/>
    </row>
    <row r="14693" spans="8:12" x14ac:dyDescent="0.3">
      <c r="H14693" s="2"/>
      <c r="I14693" s="2"/>
      <c r="J14693" s="2"/>
      <c r="K14693" s="2"/>
      <c r="L14693" s="2"/>
    </row>
    <row r="14694" spans="8:12" x14ac:dyDescent="0.3">
      <c r="H14694" s="2"/>
      <c r="I14694" s="2"/>
      <c r="J14694" s="2"/>
      <c r="K14694" s="2"/>
      <c r="L14694" s="2"/>
    </row>
    <row r="14695" spans="8:12" x14ac:dyDescent="0.3">
      <c r="H14695" s="2"/>
      <c r="I14695" s="2"/>
      <c r="J14695" s="2"/>
      <c r="K14695" s="2"/>
      <c r="L14695" s="2"/>
    </row>
    <row r="14696" spans="8:12" x14ac:dyDescent="0.3">
      <c r="H14696" s="2"/>
      <c r="I14696" s="2"/>
      <c r="J14696" s="2"/>
      <c r="K14696" s="2"/>
      <c r="L14696" s="2"/>
    </row>
    <row r="14697" spans="8:12" x14ac:dyDescent="0.3">
      <c r="H14697" s="2"/>
      <c r="I14697" s="2"/>
      <c r="J14697" s="2"/>
      <c r="K14697" s="2"/>
      <c r="L14697" s="2"/>
    </row>
    <row r="14698" spans="8:12" x14ac:dyDescent="0.3">
      <c r="H14698" s="2"/>
      <c r="I14698" s="2"/>
      <c r="J14698" s="2"/>
      <c r="K14698" s="2"/>
      <c r="L14698" s="2"/>
    </row>
    <row r="14699" spans="8:12" x14ac:dyDescent="0.3">
      <c r="H14699" s="2"/>
      <c r="I14699" s="2"/>
      <c r="J14699" s="2"/>
      <c r="K14699" s="2"/>
      <c r="L14699" s="2"/>
    </row>
    <row r="14700" spans="8:12" x14ac:dyDescent="0.3">
      <c r="H14700" s="2"/>
      <c r="I14700" s="2"/>
      <c r="J14700" s="2"/>
      <c r="K14700" s="2"/>
      <c r="L14700" s="2"/>
    </row>
    <row r="14701" spans="8:12" x14ac:dyDescent="0.3">
      <c r="H14701" s="2"/>
      <c r="I14701" s="2"/>
      <c r="J14701" s="2"/>
      <c r="K14701" s="2"/>
      <c r="L14701" s="2"/>
    </row>
    <row r="14702" spans="8:12" x14ac:dyDescent="0.3">
      <c r="H14702" s="2"/>
      <c r="I14702" s="2"/>
      <c r="J14702" s="2"/>
      <c r="K14702" s="2"/>
      <c r="L14702" s="2"/>
    </row>
    <row r="14703" spans="8:12" x14ac:dyDescent="0.3">
      <c r="H14703" s="2"/>
      <c r="I14703" s="2"/>
      <c r="J14703" s="2"/>
      <c r="K14703" s="2"/>
      <c r="L14703" s="2"/>
    </row>
    <row r="14704" spans="8:12" x14ac:dyDescent="0.3">
      <c r="H14704" s="2"/>
      <c r="I14704" s="2"/>
      <c r="J14704" s="2"/>
      <c r="K14704" s="2"/>
      <c r="L14704" s="2"/>
    </row>
    <row r="14705" spans="8:12" x14ac:dyDescent="0.3">
      <c r="H14705" s="2"/>
      <c r="I14705" s="2"/>
      <c r="J14705" s="2"/>
      <c r="K14705" s="2"/>
      <c r="L14705" s="2"/>
    </row>
    <row r="14706" spans="8:12" x14ac:dyDescent="0.3">
      <c r="H14706" s="2"/>
      <c r="I14706" s="2"/>
      <c r="J14706" s="2"/>
      <c r="K14706" s="2"/>
      <c r="L14706" s="2"/>
    </row>
    <row r="14707" spans="8:12" x14ac:dyDescent="0.3">
      <c r="H14707" s="2"/>
      <c r="I14707" s="2"/>
      <c r="J14707" s="2"/>
      <c r="K14707" s="2"/>
      <c r="L14707" s="2"/>
    </row>
    <row r="14708" spans="8:12" x14ac:dyDescent="0.3">
      <c r="H14708" s="2"/>
      <c r="I14708" s="2"/>
      <c r="J14708" s="2"/>
      <c r="K14708" s="2"/>
      <c r="L14708" s="2"/>
    </row>
    <row r="14709" spans="8:12" x14ac:dyDescent="0.3">
      <c r="H14709" s="2"/>
      <c r="I14709" s="2"/>
      <c r="J14709" s="2"/>
      <c r="K14709" s="2"/>
      <c r="L14709" s="2"/>
    </row>
    <row r="14710" spans="8:12" x14ac:dyDescent="0.3">
      <c r="H14710" s="2"/>
      <c r="I14710" s="2"/>
      <c r="J14710" s="2"/>
      <c r="K14710" s="2"/>
      <c r="L14710" s="2"/>
    </row>
    <row r="14711" spans="8:12" x14ac:dyDescent="0.3">
      <c r="H14711" s="2"/>
      <c r="I14711" s="2"/>
      <c r="J14711" s="2"/>
      <c r="K14711" s="2"/>
      <c r="L14711" s="2"/>
    </row>
    <row r="14712" spans="8:12" x14ac:dyDescent="0.3">
      <c r="H14712" s="2"/>
      <c r="I14712" s="2"/>
      <c r="J14712" s="2"/>
      <c r="K14712" s="2"/>
      <c r="L14712" s="2"/>
    </row>
    <row r="14713" spans="8:12" x14ac:dyDescent="0.3">
      <c r="H14713" s="2"/>
      <c r="I14713" s="2"/>
      <c r="J14713" s="2"/>
      <c r="K14713" s="2"/>
      <c r="L14713" s="2"/>
    </row>
    <row r="14714" spans="8:12" x14ac:dyDescent="0.3">
      <c r="H14714" s="2"/>
      <c r="I14714" s="2"/>
      <c r="J14714" s="2"/>
      <c r="K14714" s="2"/>
      <c r="L14714" s="2"/>
    </row>
    <row r="14715" spans="8:12" x14ac:dyDescent="0.3">
      <c r="H14715" s="2"/>
      <c r="I14715" s="2"/>
      <c r="J14715" s="2"/>
      <c r="K14715" s="2"/>
      <c r="L14715" s="2"/>
    </row>
    <row r="14716" spans="8:12" x14ac:dyDescent="0.3">
      <c r="H14716" s="2"/>
      <c r="I14716" s="2"/>
      <c r="J14716" s="2"/>
      <c r="K14716" s="2"/>
      <c r="L14716" s="2"/>
    </row>
    <row r="14717" spans="8:12" x14ac:dyDescent="0.3">
      <c r="H14717" s="2"/>
      <c r="I14717" s="2"/>
      <c r="J14717" s="2"/>
      <c r="K14717" s="2"/>
      <c r="L14717" s="2"/>
    </row>
    <row r="14718" spans="8:12" x14ac:dyDescent="0.3">
      <c r="H14718" s="2"/>
      <c r="I14718" s="2"/>
      <c r="J14718" s="2"/>
      <c r="K14718" s="2"/>
      <c r="L14718" s="2"/>
    </row>
    <row r="14719" spans="8:12" x14ac:dyDescent="0.3">
      <c r="H14719" s="2"/>
      <c r="I14719" s="2"/>
      <c r="J14719" s="2"/>
      <c r="K14719" s="2"/>
      <c r="L14719" s="2"/>
    </row>
    <row r="14720" spans="8:12" x14ac:dyDescent="0.3">
      <c r="H14720" s="2"/>
      <c r="I14720" s="2"/>
      <c r="J14720" s="2"/>
      <c r="K14720" s="2"/>
      <c r="L14720" s="2"/>
    </row>
    <row r="14721" spans="8:12" x14ac:dyDescent="0.3">
      <c r="H14721" s="2"/>
      <c r="I14721" s="2"/>
      <c r="J14721" s="2"/>
      <c r="K14721" s="2"/>
      <c r="L14721" s="2"/>
    </row>
    <row r="14722" spans="8:12" x14ac:dyDescent="0.3">
      <c r="H14722" s="2"/>
      <c r="I14722" s="2"/>
      <c r="J14722" s="2"/>
      <c r="K14722" s="2"/>
      <c r="L14722" s="2"/>
    </row>
    <row r="14723" spans="8:12" x14ac:dyDescent="0.3">
      <c r="H14723" s="2"/>
      <c r="I14723" s="2"/>
      <c r="J14723" s="2"/>
      <c r="K14723" s="2"/>
      <c r="L14723" s="2"/>
    </row>
    <row r="14724" spans="8:12" x14ac:dyDescent="0.3">
      <c r="H14724" s="2"/>
      <c r="I14724" s="2"/>
      <c r="J14724" s="2"/>
      <c r="K14724" s="2"/>
      <c r="L14724" s="2"/>
    </row>
    <row r="14725" spans="8:12" x14ac:dyDescent="0.3">
      <c r="H14725" s="2"/>
      <c r="I14725" s="2"/>
      <c r="J14725" s="2"/>
      <c r="K14725" s="2"/>
      <c r="L14725" s="2"/>
    </row>
    <row r="14726" spans="8:12" x14ac:dyDescent="0.3">
      <c r="H14726" s="2"/>
      <c r="I14726" s="2"/>
      <c r="J14726" s="2"/>
      <c r="K14726" s="2"/>
      <c r="L14726" s="2"/>
    </row>
    <row r="14727" spans="8:12" x14ac:dyDescent="0.3">
      <c r="H14727" s="2"/>
      <c r="I14727" s="2"/>
      <c r="J14727" s="2"/>
      <c r="K14727" s="2"/>
      <c r="L14727" s="2"/>
    </row>
    <row r="14728" spans="8:12" x14ac:dyDescent="0.3">
      <c r="H14728" s="2"/>
      <c r="I14728" s="2"/>
      <c r="J14728" s="2"/>
      <c r="K14728" s="2"/>
      <c r="L14728" s="2"/>
    </row>
    <row r="14729" spans="8:12" x14ac:dyDescent="0.3">
      <c r="H14729" s="2"/>
      <c r="I14729" s="2"/>
      <c r="J14729" s="2"/>
      <c r="K14729" s="2"/>
      <c r="L14729" s="2"/>
    </row>
    <row r="14730" spans="8:12" x14ac:dyDescent="0.3">
      <c r="H14730" s="2"/>
      <c r="I14730" s="2"/>
      <c r="J14730" s="2"/>
      <c r="K14730" s="2"/>
      <c r="L14730" s="2"/>
    </row>
    <row r="14731" spans="8:12" x14ac:dyDescent="0.3">
      <c r="H14731" s="2"/>
      <c r="I14731" s="2"/>
      <c r="J14731" s="2"/>
      <c r="K14731" s="2"/>
      <c r="L14731" s="2"/>
    </row>
    <row r="14732" spans="8:12" x14ac:dyDescent="0.3">
      <c r="H14732" s="2"/>
      <c r="I14732" s="2"/>
      <c r="J14732" s="2"/>
      <c r="K14732" s="2"/>
      <c r="L14732" s="2"/>
    </row>
    <row r="14733" spans="8:12" x14ac:dyDescent="0.3">
      <c r="H14733" s="2"/>
      <c r="I14733" s="2"/>
      <c r="J14733" s="2"/>
      <c r="K14733" s="2"/>
      <c r="L14733" s="2"/>
    </row>
    <row r="14734" spans="8:12" x14ac:dyDescent="0.3">
      <c r="H14734" s="2"/>
      <c r="I14734" s="2"/>
      <c r="J14734" s="2"/>
      <c r="K14734" s="2"/>
      <c r="L14734" s="2"/>
    </row>
    <row r="14735" spans="8:12" x14ac:dyDescent="0.3">
      <c r="H14735" s="2"/>
      <c r="I14735" s="2"/>
      <c r="J14735" s="2"/>
      <c r="K14735" s="2"/>
      <c r="L14735" s="2"/>
    </row>
    <row r="14736" spans="8:12" x14ac:dyDescent="0.3">
      <c r="H14736" s="2"/>
      <c r="I14736" s="2"/>
      <c r="J14736" s="2"/>
      <c r="K14736" s="2"/>
      <c r="L14736" s="2"/>
    </row>
    <row r="14737" spans="8:12" x14ac:dyDescent="0.3">
      <c r="H14737" s="2"/>
      <c r="I14737" s="2"/>
      <c r="J14737" s="2"/>
      <c r="K14737" s="2"/>
      <c r="L14737" s="2"/>
    </row>
    <row r="14738" spans="8:12" x14ac:dyDescent="0.3">
      <c r="H14738" s="2"/>
      <c r="I14738" s="2"/>
      <c r="J14738" s="2"/>
      <c r="K14738" s="2"/>
      <c r="L14738" s="2"/>
    </row>
    <row r="14739" spans="8:12" x14ac:dyDescent="0.3">
      <c r="H14739" s="2"/>
      <c r="I14739" s="2"/>
      <c r="J14739" s="2"/>
      <c r="K14739" s="2"/>
      <c r="L14739" s="2"/>
    </row>
    <row r="14740" spans="8:12" x14ac:dyDescent="0.3">
      <c r="H14740" s="2"/>
      <c r="I14740" s="2"/>
      <c r="J14740" s="2"/>
      <c r="K14740" s="2"/>
      <c r="L14740" s="2"/>
    </row>
    <row r="14741" spans="8:12" x14ac:dyDescent="0.3">
      <c r="H14741" s="2"/>
      <c r="I14741" s="2"/>
      <c r="J14741" s="2"/>
      <c r="K14741" s="2"/>
      <c r="L14741" s="2"/>
    </row>
    <row r="14742" spans="8:12" x14ac:dyDescent="0.3">
      <c r="H14742" s="2"/>
      <c r="I14742" s="2"/>
      <c r="J14742" s="2"/>
      <c r="K14742" s="2"/>
      <c r="L14742" s="2"/>
    </row>
    <row r="14743" spans="8:12" x14ac:dyDescent="0.3">
      <c r="H14743" s="2"/>
      <c r="I14743" s="2"/>
      <c r="J14743" s="2"/>
      <c r="K14743" s="2"/>
      <c r="L14743" s="2"/>
    </row>
    <row r="14744" spans="8:12" x14ac:dyDescent="0.3">
      <c r="H14744" s="2"/>
      <c r="I14744" s="2"/>
      <c r="J14744" s="2"/>
      <c r="K14744" s="2"/>
      <c r="L14744" s="2"/>
    </row>
    <row r="14745" spans="8:12" x14ac:dyDescent="0.3">
      <c r="H14745" s="2"/>
      <c r="I14745" s="2"/>
      <c r="J14745" s="2"/>
      <c r="K14745" s="2"/>
      <c r="L14745" s="2"/>
    </row>
    <row r="14746" spans="8:12" x14ac:dyDescent="0.3">
      <c r="H14746" s="2"/>
      <c r="I14746" s="2"/>
      <c r="J14746" s="2"/>
      <c r="K14746" s="2"/>
      <c r="L14746" s="2"/>
    </row>
    <row r="14747" spans="8:12" x14ac:dyDescent="0.3">
      <c r="H14747" s="2"/>
      <c r="I14747" s="2"/>
      <c r="J14747" s="2"/>
      <c r="K14747" s="2"/>
      <c r="L14747" s="2"/>
    </row>
    <row r="14748" spans="8:12" x14ac:dyDescent="0.3">
      <c r="H14748" s="2"/>
      <c r="I14748" s="2"/>
      <c r="J14748" s="2"/>
      <c r="K14748" s="2"/>
      <c r="L14748" s="2"/>
    </row>
    <row r="14749" spans="8:12" x14ac:dyDescent="0.3">
      <c r="H14749" s="2"/>
      <c r="I14749" s="2"/>
      <c r="J14749" s="2"/>
      <c r="K14749" s="2"/>
      <c r="L14749" s="2"/>
    </row>
    <row r="14750" spans="8:12" x14ac:dyDescent="0.3">
      <c r="H14750" s="2"/>
      <c r="I14750" s="2"/>
      <c r="J14750" s="2"/>
      <c r="K14750" s="2"/>
      <c r="L14750" s="2"/>
    </row>
    <row r="14751" spans="8:12" x14ac:dyDescent="0.3">
      <c r="H14751" s="2"/>
      <c r="I14751" s="2"/>
      <c r="J14751" s="2"/>
      <c r="K14751" s="2"/>
      <c r="L14751" s="2"/>
    </row>
    <row r="14752" spans="8:12" x14ac:dyDescent="0.3">
      <c r="H14752" s="2"/>
      <c r="I14752" s="2"/>
      <c r="J14752" s="2"/>
      <c r="K14752" s="2"/>
      <c r="L14752" s="2"/>
    </row>
    <row r="14753" spans="8:12" x14ac:dyDescent="0.3">
      <c r="H14753" s="2"/>
      <c r="I14753" s="2"/>
      <c r="J14753" s="2"/>
      <c r="K14753" s="2"/>
      <c r="L14753" s="2"/>
    </row>
    <row r="14754" spans="8:12" x14ac:dyDescent="0.3">
      <c r="H14754" s="2"/>
      <c r="I14754" s="2"/>
      <c r="J14754" s="2"/>
      <c r="K14754" s="2"/>
      <c r="L14754" s="2"/>
    </row>
    <row r="14755" spans="8:12" x14ac:dyDescent="0.3">
      <c r="H14755" s="2"/>
      <c r="I14755" s="2"/>
      <c r="J14755" s="2"/>
      <c r="K14755" s="2"/>
      <c r="L14755" s="2"/>
    </row>
    <row r="14756" spans="8:12" x14ac:dyDescent="0.3">
      <c r="H14756" s="2"/>
      <c r="I14756" s="2"/>
      <c r="J14756" s="2"/>
      <c r="K14756" s="2"/>
      <c r="L14756" s="2"/>
    </row>
    <row r="14757" spans="8:12" x14ac:dyDescent="0.3">
      <c r="H14757" s="2"/>
      <c r="I14757" s="2"/>
      <c r="J14757" s="2"/>
      <c r="K14757" s="2"/>
      <c r="L14757" s="2"/>
    </row>
    <row r="14758" spans="8:12" x14ac:dyDescent="0.3">
      <c r="H14758" s="2"/>
      <c r="I14758" s="2"/>
      <c r="J14758" s="2"/>
      <c r="K14758" s="2"/>
      <c r="L14758" s="2"/>
    </row>
    <row r="14759" spans="8:12" x14ac:dyDescent="0.3">
      <c r="H14759" s="2"/>
      <c r="I14759" s="2"/>
      <c r="J14759" s="2"/>
      <c r="K14759" s="2"/>
      <c r="L14759" s="2"/>
    </row>
    <row r="14760" spans="8:12" x14ac:dyDescent="0.3">
      <c r="H14760" s="2"/>
      <c r="I14760" s="2"/>
      <c r="J14760" s="2"/>
      <c r="K14760" s="2"/>
      <c r="L14760" s="2"/>
    </row>
    <row r="14761" spans="8:12" x14ac:dyDescent="0.3">
      <c r="H14761" s="2"/>
      <c r="I14761" s="2"/>
      <c r="J14761" s="2"/>
      <c r="K14761" s="2"/>
      <c r="L14761" s="2"/>
    </row>
    <row r="14762" spans="8:12" x14ac:dyDescent="0.3">
      <c r="H14762" s="2"/>
      <c r="I14762" s="2"/>
      <c r="J14762" s="2"/>
      <c r="K14762" s="2"/>
      <c r="L14762" s="2"/>
    </row>
    <row r="14763" spans="8:12" x14ac:dyDescent="0.3">
      <c r="H14763" s="2"/>
      <c r="I14763" s="2"/>
      <c r="J14763" s="2"/>
      <c r="K14763" s="2"/>
      <c r="L14763" s="2"/>
    </row>
    <row r="14764" spans="8:12" x14ac:dyDescent="0.3">
      <c r="H14764" s="2"/>
      <c r="I14764" s="2"/>
      <c r="J14764" s="2"/>
      <c r="K14764" s="2"/>
      <c r="L14764" s="2"/>
    </row>
    <row r="14765" spans="8:12" x14ac:dyDescent="0.3">
      <c r="H14765" s="2"/>
      <c r="I14765" s="2"/>
      <c r="J14765" s="2"/>
      <c r="K14765" s="2"/>
      <c r="L14765" s="2"/>
    </row>
    <row r="14766" spans="8:12" x14ac:dyDescent="0.3">
      <c r="H14766" s="2"/>
      <c r="I14766" s="2"/>
      <c r="J14766" s="2"/>
      <c r="K14766" s="2"/>
      <c r="L14766" s="2"/>
    </row>
    <row r="14767" spans="8:12" x14ac:dyDescent="0.3">
      <c r="H14767" s="2"/>
      <c r="I14767" s="2"/>
      <c r="J14767" s="2"/>
      <c r="K14767" s="2"/>
      <c r="L14767" s="2"/>
    </row>
    <row r="14768" spans="8:12" x14ac:dyDescent="0.3">
      <c r="H14768" s="2"/>
      <c r="I14768" s="2"/>
      <c r="J14768" s="2"/>
      <c r="K14768" s="2"/>
      <c r="L14768" s="2"/>
    </row>
    <row r="14769" spans="8:12" x14ac:dyDescent="0.3">
      <c r="H14769" s="2"/>
      <c r="I14769" s="2"/>
      <c r="J14769" s="2"/>
      <c r="K14769" s="2"/>
      <c r="L14769" s="2"/>
    </row>
    <row r="14770" spans="8:12" x14ac:dyDescent="0.3">
      <c r="H14770" s="2"/>
      <c r="I14770" s="2"/>
      <c r="J14770" s="2"/>
      <c r="K14770" s="2"/>
      <c r="L14770" s="2"/>
    </row>
    <row r="14771" spans="8:12" x14ac:dyDescent="0.3">
      <c r="H14771" s="2"/>
      <c r="I14771" s="2"/>
      <c r="J14771" s="2"/>
      <c r="K14771" s="2"/>
      <c r="L14771" s="2"/>
    </row>
    <row r="14772" spans="8:12" x14ac:dyDescent="0.3">
      <c r="H14772" s="2"/>
      <c r="I14772" s="2"/>
      <c r="J14772" s="2"/>
      <c r="K14772" s="2"/>
      <c r="L14772" s="2"/>
    </row>
    <row r="14773" spans="8:12" x14ac:dyDescent="0.3">
      <c r="H14773" s="2"/>
      <c r="I14773" s="2"/>
      <c r="J14773" s="2"/>
      <c r="K14773" s="2"/>
      <c r="L14773" s="2"/>
    </row>
    <row r="14774" spans="8:12" x14ac:dyDescent="0.3">
      <c r="H14774" s="2"/>
      <c r="I14774" s="2"/>
      <c r="J14774" s="2"/>
      <c r="K14774" s="2"/>
      <c r="L14774" s="2"/>
    </row>
    <row r="14775" spans="8:12" x14ac:dyDescent="0.3">
      <c r="H14775" s="2"/>
      <c r="I14775" s="2"/>
      <c r="J14775" s="2"/>
      <c r="K14775" s="2"/>
      <c r="L14775" s="2"/>
    </row>
    <row r="14776" spans="8:12" x14ac:dyDescent="0.3">
      <c r="H14776" s="2"/>
      <c r="I14776" s="2"/>
      <c r="J14776" s="2"/>
      <c r="K14776" s="2"/>
      <c r="L14776" s="2"/>
    </row>
    <row r="14777" spans="8:12" x14ac:dyDescent="0.3">
      <c r="H14777" s="2"/>
      <c r="I14777" s="2"/>
      <c r="J14777" s="2"/>
      <c r="K14777" s="2"/>
      <c r="L14777" s="2"/>
    </row>
    <row r="14778" spans="8:12" x14ac:dyDescent="0.3">
      <c r="H14778" s="2"/>
      <c r="I14778" s="2"/>
      <c r="J14778" s="2"/>
      <c r="K14778" s="2"/>
      <c r="L14778" s="2"/>
    </row>
    <row r="14779" spans="8:12" x14ac:dyDescent="0.3">
      <c r="H14779" s="2"/>
      <c r="I14779" s="2"/>
      <c r="J14779" s="2"/>
      <c r="K14779" s="2"/>
      <c r="L14779" s="2"/>
    </row>
    <row r="14780" spans="8:12" x14ac:dyDescent="0.3">
      <c r="H14780" s="2"/>
      <c r="I14780" s="2"/>
      <c r="J14780" s="2"/>
      <c r="K14780" s="2"/>
      <c r="L14780" s="2"/>
    </row>
    <row r="14781" spans="8:12" x14ac:dyDescent="0.3">
      <c r="H14781" s="2"/>
      <c r="I14781" s="2"/>
      <c r="J14781" s="2"/>
      <c r="K14781" s="2"/>
      <c r="L14781" s="2"/>
    </row>
    <row r="14782" spans="8:12" x14ac:dyDescent="0.3">
      <c r="H14782" s="2"/>
      <c r="I14782" s="2"/>
      <c r="J14782" s="2"/>
      <c r="K14782" s="2"/>
      <c r="L14782" s="2"/>
    </row>
    <row r="14783" spans="8:12" x14ac:dyDescent="0.3">
      <c r="H14783" s="2"/>
      <c r="I14783" s="2"/>
      <c r="J14783" s="2"/>
      <c r="K14783" s="2"/>
      <c r="L14783" s="2"/>
    </row>
    <row r="14784" spans="8:12" x14ac:dyDescent="0.3">
      <c r="H14784" s="2"/>
      <c r="I14784" s="2"/>
      <c r="J14784" s="2"/>
      <c r="K14784" s="2"/>
      <c r="L14784" s="2"/>
    </row>
    <row r="14785" spans="8:12" x14ac:dyDescent="0.3">
      <c r="H14785" s="2"/>
      <c r="I14785" s="2"/>
      <c r="J14785" s="2"/>
      <c r="K14785" s="2"/>
      <c r="L14785" s="2"/>
    </row>
    <row r="14786" spans="8:12" x14ac:dyDescent="0.3">
      <c r="H14786" s="2"/>
      <c r="I14786" s="2"/>
      <c r="J14786" s="2"/>
      <c r="K14786" s="2"/>
      <c r="L14786" s="2"/>
    </row>
    <row r="14787" spans="8:12" x14ac:dyDescent="0.3">
      <c r="H14787" s="2"/>
      <c r="I14787" s="2"/>
      <c r="J14787" s="2"/>
      <c r="K14787" s="2"/>
      <c r="L14787" s="2"/>
    </row>
    <row r="14788" spans="8:12" x14ac:dyDescent="0.3">
      <c r="H14788" s="2"/>
      <c r="I14788" s="2"/>
      <c r="J14788" s="2"/>
      <c r="K14788" s="2"/>
      <c r="L14788" s="2"/>
    </row>
    <row r="14789" spans="8:12" x14ac:dyDescent="0.3">
      <c r="H14789" s="2"/>
      <c r="I14789" s="2"/>
      <c r="J14789" s="2"/>
      <c r="K14789" s="2"/>
      <c r="L14789" s="2"/>
    </row>
    <row r="14790" spans="8:12" x14ac:dyDescent="0.3">
      <c r="H14790" s="2"/>
      <c r="I14790" s="2"/>
      <c r="J14790" s="2"/>
      <c r="K14790" s="2"/>
      <c r="L14790" s="2"/>
    </row>
    <row r="14791" spans="8:12" x14ac:dyDescent="0.3">
      <c r="H14791" s="2"/>
      <c r="I14791" s="2"/>
      <c r="J14791" s="2"/>
      <c r="K14791" s="2"/>
      <c r="L14791" s="2"/>
    </row>
    <row r="14792" spans="8:12" x14ac:dyDescent="0.3">
      <c r="H14792" s="2"/>
      <c r="I14792" s="2"/>
      <c r="J14792" s="2"/>
      <c r="K14792" s="2"/>
      <c r="L14792" s="2"/>
    </row>
    <row r="14793" spans="8:12" x14ac:dyDescent="0.3">
      <c r="H14793" s="2"/>
      <c r="I14793" s="2"/>
      <c r="J14793" s="2"/>
      <c r="K14793" s="2"/>
      <c r="L14793" s="2"/>
    </row>
    <row r="14794" spans="8:12" x14ac:dyDescent="0.3">
      <c r="H14794" s="2"/>
      <c r="I14794" s="2"/>
      <c r="J14794" s="2"/>
      <c r="K14794" s="2"/>
      <c r="L14794" s="2"/>
    </row>
    <row r="14795" spans="8:12" x14ac:dyDescent="0.3">
      <c r="H14795" s="2"/>
      <c r="I14795" s="2"/>
      <c r="J14795" s="2"/>
      <c r="K14795" s="2"/>
      <c r="L14795" s="2"/>
    </row>
    <row r="14796" spans="8:12" x14ac:dyDescent="0.3">
      <c r="H14796" s="2"/>
      <c r="I14796" s="2"/>
      <c r="J14796" s="2"/>
      <c r="K14796" s="2"/>
      <c r="L14796" s="2"/>
    </row>
    <row r="14797" spans="8:12" x14ac:dyDescent="0.3">
      <c r="H14797" s="2"/>
      <c r="I14797" s="2"/>
      <c r="J14797" s="2"/>
      <c r="K14797" s="2"/>
      <c r="L14797" s="2"/>
    </row>
    <row r="14798" spans="8:12" x14ac:dyDescent="0.3">
      <c r="H14798" s="2"/>
      <c r="I14798" s="2"/>
      <c r="J14798" s="2"/>
      <c r="K14798" s="2"/>
      <c r="L14798" s="2"/>
    </row>
    <row r="14799" spans="8:12" x14ac:dyDescent="0.3">
      <c r="H14799" s="2"/>
      <c r="I14799" s="2"/>
      <c r="J14799" s="2"/>
      <c r="K14799" s="2"/>
      <c r="L14799" s="2"/>
    </row>
    <row r="14800" spans="8:12" x14ac:dyDescent="0.3">
      <c r="H14800" s="2"/>
      <c r="I14800" s="2"/>
      <c r="J14800" s="2"/>
      <c r="K14800" s="2"/>
      <c r="L14800" s="2"/>
    </row>
    <row r="14801" spans="8:12" x14ac:dyDescent="0.3">
      <c r="H14801" s="2"/>
      <c r="I14801" s="2"/>
      <c r="J14801" s="2"/>
      <c r="K14801" s="2"/>
      <c r="L14801" s="2"/>
    </row>
    <row r="14802" spans="8:12" x14ac:dyDescent="0.3">
      <c r="H14802" s="2"/>
      <c r="I14802" s="2"/>
      <c r="J14802" s="2"/>
      <c r="K14802" s="2"/>
      <c r="L14802" s="2"/>
    </row>
    <row r="14803" spans="8:12" x14ac:dyDescent="0.3">
      <c r="H14803" s="2"/>
      <c r="I14803" s="2"/>
      <c r="J14803" s="2"/>
      <c r="K14803" s="2"/>
      <c r="L14803" s="2"/>
    </row>
    <row r="14804" spans="8:12" x14ac:dyDescent="0.3">
      <c r="H14804" s="2"/>
      <c r="I14804" s="2"/>
      <c r="J14804" s="2"/>
      <c r="K14804" s="2"/>
      <c r="L14804" s="2"/>
    </row>
    <row r="14805" spans="8:12" x14ac:dyDescent="0.3">
      <c r="H14805" s="2"/>
      <c r="I14805" s="2"/>
      <c r="J14805" s="2"/>
      <c r="K14805" s="2"/>
      <c r="L14805" s="2"/>
    </row>
    <row r="14806" spans="8:12" x14ac:dyDescent="0.3">
      <c r="H14806" s="2"/>
      <c r="I14806" s="2"/>
      <c r="J14806" s="2"/>
      <c r="K14806" s="2"/>
      <c r="L14806" s="2"/>
    </row>
    <row r="14807" spans="8:12" x14ac:dyDescent="0.3">
      <c r="H14807" s="2"/>
      <c r="I14807" s="2"/>
      <c r="J14807" s="2"/>
      <c r="K14807" s="2"/>
      <c r="L14807" s="2"/>
    </row>
    <row r="14808" spans="8:12" x14ac:dyDescent="0.3">
      <c r="H14808" s="2"/>
      <c r="I14808" s="2"/>
      <c r="J14808" s="2"/>
      <c r="K14808" s="2"/>
      <c r="L14808" s="2"/>
    </row>
    <row r="14809" spans="8:12" x14ac:dyDescent="0.3">
      <c r="H14809" s="2"/>
      <c r="I14809" s="2"/>
      <c r="J14809" s="2"/>
      <c r="K14809" s="2"/>
      <c r="L14809" s="2"/>
    </row>
    <row r="14810" spans="8:12" x14ac:dyDescent="0.3">
      <c r="H14810" s="2"/>
      <c r="I14810" s="2"/>
      <c r="J14810" s="2"/>
      <c r="K14810" s="2"/>
      <c r="L14810" s="2"/>
    </row>
    <row r="14811" spans="8:12" x14ac:dyDescent="0.3">
      <c r="H14811" s="2"/>
      <c r="I14811" s="2"/>
      <c r="J14811" s="2"/>
      <c r="K14811" s="2"/>
      <c r="L14811" s="2"/>
    </row>
    <row r="14812" spans="8:12" x14ac:dyDescent="0.3">
      <c r="H14812" s="2"/>
      <c r="I14812" s="2"/>
      <c r="J14812" s="2"/>
      <c r="K14812" s="2"/>
      <c r="L14812" s="2"/>
    </row>
    <row r="14813" spans="8:12" x14ac:dyDescent="0.3">
      <c r="H14813" s="2"/>
      <c r="I14813" s="2"/>
      <c r="J14813" s="2"/>
      <c r="K14813" s="2"/>
      <c r="L14813" s="2"/>
    </row>
    <row r="14814" spans="8:12" x14ac:dyDescent="0.3">
      <c r="H14814" s="2"/>
      <c r="I14814" s="2"/>
      <c r="J14814" s="2"/>
      <c r="K14814" s="2"/>
      <c r="L14814" s="2"/>
    </row>
    <row r="14815" spans="8:12" x14ac:dyDescent="0.3">
      <c r="H14815" s="2"/>
      <c r="I14815" s="2"/>
      <c r="J14815" s="2"/>
      <c r="K14815" s="2"/>
      <c r="L14815" s="2"/>
    </row>
    <row r="14816" spans="8:12" x14ac:dyDescent="0.3">
      <c r="H14816" s="2"/>
      <c r="I14816" s="2"/>
      <c r="J14816" s="2"/>
      <c r="K14816" s="2"/>
      <c r="L14816" s="2"/>
    </row>
    <row r="14817" spans="8:12" x14ac:dyDescent="0.3">
      <c r="H14817" s="2"/>
      <c r="I14817" s="2"/>
      <c r="J14817" s="2"/>
      <c r="K14817" s="2"/>
      <c r="L14817" s="2"/>
    </row>
    <row r="14818" spans="8:12" x14ac:dyDescent="0.3">
      <c r="H14818" s="2"/>
      <c r="I14818" s="2"/>
      <c r="J14818" s="2"/>
      <c r="K14818" s="2"/>
      <c r="L14818" s="2"/>
    </row>
    <row r="14819" spans="8:12" x14ac:dyDescent="0.3">
      <c r="H14819" s="2"/>
      <c r="I14819" s="2"/>
      <c r="J14819" s="2"/>
      <c r="K14819" s="2"/>
      <c r="L14819" s="2"/>
    </row>
    <row r="14820" spans="8:12" x14ac:dyDescent="0.3">
      <c r="H14820" s="2"/>
      <c r="I14820" s="2"/>
      <c r="J14820" s="2"/>
      <c r="K14820" s="2"/>
      <c r="L14820" s="2"/>
    </row>
    <row r="14821" spans="8:12" x14ac:dyDescent="0.3">
      <c r="H14821" s="2"/>
      <c r="I14821" s="2"/>
      <c r="J14821" s="2"/>
      <c r="K14821" s="2"/>
      <c r="L14821" s="2"/>
    </row>
    <row r="14822" spans="8:12" x14ac:dyDescent="0.3">
      <c r="H14822" s="2"/>
      <c r="I14822" s="2"/>
      <c r="J14822" s="2"/>
      <c r="K14822" s="2"/>
      <c r="L14822" s="2"/>
    </row>
    <row r="14823" spans="8:12" x14ac:dyDescent="0.3">
      <c r="H14823" s="2"/>
      <c r="I14823" s="2"/>
      <c r="J14823" s="2"/>
      <c r="K14823" s="2"/>
      <c r="L14823" s="2"/>
    </row>
    <row r="14824" spans="8:12" x14ac:dyDescent="0.3">
      <c r="H14824" s="2"/>
      <c r="I14824" s="2"/>
      <c r="J14824" s="2"/>
      <c r="K14824" s="2"/>
      <c r="L14824" s="2"/>
    </row>
    <row r="14825" spans="8:12" x14ac:dyDescent="0.3">
      <c r="H14825" s="2"/>
      <c r="I14825" s="2"/>
      <c r="J14825" s="2"/>
      <c r="K14825" s="2"/>
      <c r="L14825" s="2"/>
    </row>
    <row r="14826" spans="8:12" x14ac:dyDescent="0.3">
      <c r="H14826" s="2"/>
      <c r="I14826" s="2"/>
      <c r="J14826" s="2"/>
      <c r="K14826" s="2"/>
      <c r="L14826" s="2"/>
    </row>
    <row r="14827" spans="8:12" x14ac:dyDescent="0.3">
      <c r="H14827" s="2"/>
      <c r="I14827" s="2"/>
      <c r="J14827" s="2"/>
      <c r="K14827" s="2"/>
      <c r="L14827" s="2"/>
    </row>
    <row r="14828" spans="8:12" x14ac:dyDescent="0.3">
      <c r="H14828" s="2"/>
      <c r="I14828" s="2"/>
      <c r="J14828" s="2"/>
      <c r="K14828" s="2"/>
      <c r="L14828" s="2"/>
    </row>
    <row r="14829" spans="8:12" x14ac:dyDescent="0.3">
      <c r="H14829" s="2"/>
      <c r="I14829" s="2"/>
      <c r="J14829" s="2"/>
      <c r="K14829" s="2"/>
      <c r="L14829" s="2"/>
    </row>
    <row r="14830" spans="8:12" x14ac:dyDescent="0.3">
      <c r="H14830" s="2"/>
      <c r="I14830" s="2"/>
      <c r="J14830" s="2"/>
      <c r="K14830" s="2"/>
      <c r="L14830" s="2"/>
    </row>
    <row r="14831" spans="8:12" x14ac:dyDescent="0.3">
      <c r="H14831" s="2"/>
      <c r="I14831" s="2"/>
      <c r="J14831" s="2"/>
      <c r="K14831" s="2"/>
      <c r="L14831" s="2"/>
    </row>
    <row r="14832" spans="8:12" x14ac:dyDescent="0.3">
      <c r="H14832" s="2"/>
      <c r="I14832" s="2"/>
      <c r="J14832" s="2"/>
      <c r="K14832" s="2"/>
      <c r="L14832" s="2"/>
    </row>
    <row r="14833" spans="8:12" x14ac:dyDescent="0.3">
      <c r="H14833" s="2"/>
      <c r="I14833" s="2"/>
      <c r="J14833" s="2"/>
      <c r="K14833" s="2"/>
      <c r="L14833" s="2"/>
    </row>
    <row r="14834" spans="8:12" x14ac:dyDescent="0.3">
      <c r="H14834" s="2"/>
      <c r="I14834" s="2"/>
      <c r="J14834" s="2"/>
      <c r="K14834" s="2"/>
      <c r="L14834" s="2"/>
    </row>
    <row r="14835" spans="8:12" x14ac:dyDescent="0.3">
      <c r="H14835" s="2"/>
      <c r="I14835" s="2"/>
      <c r="J14835" s="2"/>
      <c r="K14835" s="2"/>
      <c r="L14835" s="2"/>
    </row>
    <row r="14836" spans="8:12" x14ac:dyDescent="0.3">
      <c r="H14836" s="2"/>
      <c r="I14836" s="2"/>
      <c r="J14836" s="2"/>
      <c r="K14836" s="2"/>
      <c r="L14836" s="2"/>
    </row>
    <row r="14837" spans="8:12" x14ac:dyDescent="0.3">
      <c r="H14837" s="2"/>
      <c r="I14837" s="2"/>
      <c r="J14837" s="2"/>
      <c r="K14837" s="2"/>
      <c r="L14837" s="2"/>
    </row>
    <row r="14838" spans="8:12" x14ac:dyDescent="0.3">
      <c r="H14838" s="2"/>
      <c r="I14838" s="2"/>
      <c r="J14838" s="2"/>
      <c r="K14838" s="2"/>
      <c r="L14838" s="2"/>
    </row>
    <row r="14839" spans="8:12" x14ac:dyDescent="0.3">
      <c r="H14839" s="2"/>
      <c r="I14839" s="2"/>
      <c r="J14839" s="2"/>
      <c r="K14839" s="2"/>
      <c r="L14839" s="2"/>
    </row>
    <row r="14840" spans="8:12" x14ac:dyDescent="0.3">
      <c r="H14840" s="2"/>
      <c r="I14840" s="2"/>
      <c r="J14840" s="2"/>
      <c r="K14840" s="2"/>
      <c r="L14840" s="2"/>
    </row>
    <row r="14841" spans="8:12" x14ac:dyDescent="0.3">
      <c r="H14841" s="2"/>
      <c r="I14841" s="2"/>
      <c r="J14841" s="2"/>
      <c r="K14841" s="2"/>
      <c r="L14841" s="2"/>
    </row>
    <row r="14842" spans="8:12" x14ac:dyDescent="0.3">
      <c r="H14842" s="2"/>
      <c r="I14842" s="2"/>
      <c r="J14842" s="2"/>
      <c r="K14842" s="2"/>
      <c r="L14842" s="2"/>
    </row>
    <row r="14843" spans="8:12" x14ac:dyDescent="0.3">
      <c r="H14843" s="2"/>
      <c r="I14843" s="2"/>
      <c r="J14843" s="2"/>
      <c r="K14843" s="2"/>
      <c r="L14843" s="2"/>
    </row>
    <row r="14844" spans="8:12" x14ac:dyDescent="0.3">
      <c r="H14844" s="2"/>
      <c r="I14844" s="2"/>
      <c r="J14844" s="2"/>
      <c r="K14844" s="2"/>
      <c r="L14844" s="2"/>
    </row>
    <row r="14845" spans="8:12" x14ac:dyDescent="0.3">
      <c r="H14845" s="2"/>
      <c r="I14845" s="2"/>
      <c r="J14845" s="2"/>
      <c r="K14845" s="2"/>
      <c r="L14845" s="2"/>
    </row>
    <row r="14846" spans="8:12" x14ac:dyDescent="0.3">
      <c r="H14846" s="2"/>
      <c r="I14846" s="2"/>
      <c r="J14846" s="2"/>
      <c r="K14846" s="2"/>
      <c r="L14846" s="2"/>
    </row>
    <row r="14847" spans="8:12" x14ac:dyDescent="0.3">
      <c r="H14847" s="2"/>
      <c r="I14847" s="2"/>
      <c r="J14847" s="2"/>
      <c r="K14847" s="2"/>
      <c r="L14847" s="2"/>
    </row>
    <row r="14848" spans="8:12" x14ac:dyDescent="0.3">
      <c r="H14848" s="2"/>
      <c r="I14848" s="2"/>
      <c r="J14848" s="2"/>
      <c r="K14848" s="2"/>
      <c r="L14848" s="2"/>
    </row>
    <row r="14849" spans="8:12" x14ac:dyDescent="0.3">
      <c r="H14849" s="2"/>
      <c r="I14849" s="2"/>
      <c r="J14849" s="2"/>
      <c r="K14849" s="2"/>
      <c r="L14849" s="2"/>
    </row>
    <row r="14850" spans="8:12" x14ac:dyDescent="0.3">
      <c r="H14850" s="2"/>
      <c r="I14850" s="2"/>
      <c r="J14850" s="2"/>
      <c r="K14850" s="2"/>
      <c r="L14850" s="2"/>
    </row>
    <row r="14851" spans="8:12" x14ac:dyDescent="0.3">
      <c r="H14851" s="2"/>
      <c r="I14851" s="2"/>
      <c r="J14851" s="2"/>
      <c r="K14851" s="2"/>
      <c r="L14851" s="2"/>
    </row>
    <row r="14852" spans="8:12" x14ac:dyDescent="0.3">
      <c r="H14852" s="2"/>
      <c r="I14852" s="2"/>
      <c r="J14852" s="2"/>
      <c r="K14852" s="2"/>
      <c r="L14852" s="2"/>
    </row>
    <row r="14853" spans="8:12" x14ac:dyDescent="0.3">
      <c r="H14853" s="2"/>
      <c r="I14853" s="2"/>
      <c r="J14853" s="2"/>
      <c r="K14853" s="2"/>
      <c r="L14853" s="2"/>
    </row>
    <row r="14854" spans="8:12" x14ac:dyDescent="0.3">
      <c r="H14854" s="2"/>
      <c r="I14854" s="2"/>
      <c r="J14854" s="2"/>
      <c r="K14854" s="2"/>
      <c r="L14854" s="2"/>
    </row>
    <row r="14855" spans="8:12" x14ac:dyDescent="0.3">
      <c r="H14855" s="2"/>
      <c r="I14855" s="2"/>
      <c r="J14855" s="2"/>
      <c r="K14855" s="2"/>
      <c r="L14855" s="2"/>
    </row>
    <row r="14856" spans="8:12" x14ac:dyDescent="0.3">
      <c r="H14856" s="2"/>
      <c r="I14856" s="2"/>
      <c r="J14856" s="2"/>
      <c r="K14856" s="2"/>
      <c r="L14856" s="2"/>
    </row>
    <row r="14857" spans="8:12" x14ac:dyDescent="0.3">
      <c r="H14857" s="2"/>
      <c r="I14857" s="2"/>
      <c r="J14857" s="2"/>
      <c r="K14857" s="2"/>
      <c r="L14857" s="2"/>
    </row>
    <row r="14858" spans="8:12" x14ac:dyDescent="0.3">
      <c r="H14858" s="2"/>
      <c r="I14858" s="2"/>
      <c r="J14858" s="2"/>
      <c r="K14858" s="2"/>
      <c r="L14858" s="2"/>
    </row>
    <row r="14859" spans="8:12" x14ac:dyDescent="0.3">
      <c r="H14859" s="2"/>
      <c r="I14859" s="2"/>
      <c r="J14859" s="2"/>
      <c r="K14859" s="2"/>
      <c r="L14859" s="2"/>
    </row>
    <row r="14860" spans="8:12" x14ac:dyDescent="0.3">
      <c r="H14860" s="2"/>
      <c r="I14860" s="2"/>
      <c r="J14860" s="2"/>
      <c r="K14860" s="2"/>
      <c r="L14860" s="2"/>
    </row>
    <row r="14861" spans="8:12" x14ac:dyDescent="0.3">
      <c r="H14861" s="2"/>
      <c r="I14861" s="2"/>
      <c r="J14861" s="2"/>
      <c r="K14861" s="2"/>
      <c r="L14861" s="2"/>
    </row>
    <row r="14862" spans="8:12" x14ac:dyDescent="0.3">
      <c r="H14862" s="2"/>
      <c r="I14862" s="2"/>
      <c r="J14862" s="2"/>
      <c r="K14862" s="2"/>
      <c r="L14862" s="2"/>
    </row>
    <row r="14863" spans="8:12" x14ac:dyDescent="0.3">
      <c r="H14863" s="2"/>
      <c r="I14863" s="2"/>
      <c r="J14863" s="2"/>
      <c r="K14863" s="2"/>
      <c r="L14863" s="2"/>
    </row>
    <row r="14864" spans="8:12" x14ac:dyDescent="0.3">
      <c r="H14864" s="2"/>
      <c r="I14864" s="2"/>
      <c r="J14864" s="2"/>
      <c r="K14864" s="2"/>
      <c r="L14864" s="2"/>
    </row>
    <row r="14865" spans="8:12" x14ac:dyDescent="0.3">
      <c r="H14865" s="2"/>
      <c r="I14865" s="2"/>
      <c r="J14865" s="2"/>
      <c r="K14865" s="2"/>
      <c r="L14865" s="2"/>
    </row>
    <row r="14866" spans="8:12" x14ac:dyDescent="0.3">
      <c r="H14866" s="2"/>
      <c r="I14866" s="2"/>
      <c r="J14866" s="2"/>
      <c r="K14866" s="2"/>
      <c r="L14866" s="2"/>
    </row>
    <row r="14867" spans="8:12" x14ac:dyDescent="0.3">
      <c r="H14867" s="2"/>
      <c r="I14867" s="2"/>
      <c r="J14867" s="2"/>
      <c r="K14867" s="2"/>
      <c r="L14867" s="2"/>
    </row>
    <row r="14868" spans="8:12" x14ac:dyDescent="0.3">
      <c r="H14868" s="2"/>
      <c r="I14868" s="2"/>
      <c r="J14868" s="2"/>
      <c r="K14868" s="2"/>
      <c r="L14868" s="2"/>
    </row>
    <row r="14869" spans="8:12" x14ac:dyDescent="0.3">
      <c r="H14869" s="2"/>
      <c r="I14869" s="2"/>
      <c r="J14869" s="2"/>
      <c r="K14869" s="2"/>
      <c r="L14869" s="2"/>
    </row>
    <row r="14870" spans="8:12" x14ac:dyDescent="0.3">
      <c r="H14870" s="2"/>
      <c r="I14870" s="2"/>
      <c r="J14870" s="2"/>
      <c r="K14870" s="2"/>
      <c r="L14870" s="2"/>
    </row>
    <row r="14871" spans="8:12" x14ac:dyDescent="0.3">
      <c r="H14871" s="2"/>
      <c r="I14871" s="2"/>
      <c r="J14871" s="2"/>
      <c r="K14871" s="2"/>
      <c r="L14871" s="2"/>
    </row>
    <row r="14872" spans="8:12" x14ac:dyDescent="0.3">
      <c r="H14872" s="2"/>
      <c r="I14872" s="2"/>
      <c r="J14872" s="2"/>
      <c r="K14872" s="2"/>
      <c r="L14872" s="2"/>
    </row>
    <row r="14873" spans="8:12" x14ac:dyDescent="0.3">
      <c r="H14873" s="2"/>
      <c r="I14873" s="2"/>
      <c r="J14873" s="2"/>
      <c r="K14873" s="2"/>
      <c r="L14873" s="2"/>
    </row>
    <row r="14874" spans="8:12" x14ac:dyDescent="0.3">
      <c r="H14874" s="2"/>
      <c r="I14874" s="2"/>
      <c r="J14874" s="2"/>
      <c r="K14874" s="2"/>
      <c r="L14874" s="2"/>
    </row>
    <row r="14875" spans="8:12" x14ac:dyDescent="0.3">
      <c r="H14875" s="2"/>
      <c r="I14875" s="2"/>
      <c r="J14875" s="2"/>
      <c r="K14875" s="2"/>
      <c r="L14875" s="2"/>
    </row>
    <row r="14876" spans="8:12" x14ac:dyDescent="0.3">
      <c r="H14876" s="2"/>
      <c r="I14876" s="2"/>
      <c r="J14876" s="2"/>
      <c r="K14876" s="2"/>
      <c r="L14876" s="2"/>
    </row>
    <row r="14877" spans="8:12" x14ac:dyDescent="0.3">
      <c r="H14877" s="2"/>
      <c r="I14877" s="2"/>
      <c r="J14877" s="2"/>
      <c r="K14877" s="2"/>
      <c r="L14877" s="2"/>
    </row>
    <row r="14878" spans="8:12" x14ac:dyDescent="0.3">
      <c r="H14878" s="2"/>
      <c r="I14878" s="2"/>
      <c r="J14878" s="2"/>
      <c r="K14878" s="2"/>
      <c r="L14878" s="2"/>
    </row>
    <row r="14879" spans="8:12" x14ac:dyDescent="0.3">
      <c r="H14879" s="2"/>
      <c r="I14879" s="2"/>
      <c r="J14879" s="2"/>
      <c r="K14879" s="2"/>
      <c r="L14879" s="2"/>
    </row>
    <row r="14880" spans="8:12" x14ac:dyDescent="0.3">
      <c r="H14880" s="2"/>
      <c r="I14880" s="2"/>
      <c r="J14880" s="2"/>
      <c r="K14880" s="2"/>
      <c r="L14880" s="2"/>
    </row>
    <row r="14881" spans="8:12" x14ac:dyDescent="0.3">
      <c r="H14881" s="2"/>
      <c r="I14881" s="2"/>
      <c r="J14881" s="2"/>
      <c r="K14881" s="2"/>
      <c r="L14881" s="2"/>
    </row>
    <row r="14882" spans="8:12" x14ac:dyDescent="0.3">
      <c r="H14882" s="2"/>
      <c r="I14882" s="2"/>
      <c r="J14882" s="2"/>
      <c r="K14882" s="2"/>
      <c r="L14882" s="2"/>
    </row>
    <row r="14883" spans="8:12" x14ac:dyDescent="0.3">
      <c r="H14883" s="2"/>
      <c r="I14883" s="2"/>
      <c r="J14883" s="2"/>
      <c r="K14883" s="2"/>
      <c r="L14883" s="2"/>
    </row>
    <row r="14884" spans="8:12" x14ac:dyDescent="0.3">
      <c r="H14884" s="2"/>
      <c r="I14884" s="2"/>
      <c r="J14884" s="2"/>
      <c r="K14884" s="2"/>
      <c r="L14884" s="2"/>
    </row>
    <row r="14885" spans="8:12" x14ac:dyDescent="0.3">
      <c r="H14885" s="2"/>
      <c r="I14885" s="2"/>
      <c r="J14885" s="2"/>
      <c r="K14885" s="2"/>
      <c r="L14885" s="2"/>
    </row>
    <row r="14886" spans="8:12" x14ac:dyDescent="0.3">
      <c r="H14886" s="2"/>
      <c r="I14886" s="2"/>
      <c r="J14886" s="2"/>
      <c r="K14886" s="2"/>
      <c r="L14886" s="2"/>
    </row>
    <row r="14887" spans="8:12" x14ac:dyDescent="0.3">
      <c r="H14887" s="2"/>
      <c r="I14887" s="2"/>
      <c r="J14887" s="2"/>
      <c r="K14887" s="2"/>
      <c r="L14887" s="2"/>
    </row>
    <row r="14888" spans="8:12" x14ac:dyDescent="0.3">
      <c r="H14888" s="2"/>
      <c r="I14888" s="2"/>
      <c r="J14888" s="2"/>
      <c r="K14888" s="2"/>
      <c r="L14888" s="2"/>
    </row>
    <row r="14889" spans="8:12" x14ac:dyDescent="0.3">
      <c r="H14889" s="2"/>
      <c r="I14889" s="2"/>
      <c r="J14889" s="2"/>
      <c r="K14889" s="2"/>
      <c r="L14889" s="2"/>
    </row>
    <row r="14890" spans="8:12" x14ac:dyDescent="0.3">
      <c r="H14890" s="2"/>
      <c r="I14890" s="2"/>
      <c r="J14890" s="2"/>
      <c r="K14890" s="2"/>
      <c r="L14890" s="2"/>
    </row>
    <row r="14891" spans="8:12" x14ac:dyDescent="0.3">
      <c r="H14891" s="2"/>
      <c r="I14891" s="2"/>
      <c r="J14891" s="2"/>
      <c r="K14891" s="2"/>
      <c r="L14891" s="2"/>
    </row>
    <row r="14892" spans="8:12" x14ac:dyDescent="0.3">
      <c r="H14892" s="2"/>
      <c r="I14892" s="2"/>
      <c r="J14892" s="2"/>
      <c r="K14892" s="2"/>
      <c r="L14892" s="2"/>
    </row>
    <row r="14893" spans="8:12" x14ac:dyDescent="0.3">
      <c r="H14893" s="2"/>
      <c r="I14893" s="2"/>
      <c r="J14893" s="2"/>
      <c r="K14893" s="2"/>
      <c r="L14893" s="2"/>
    </row>
    <row r="14894" spans="8:12" x14ac:dyDescent="0.3">
      <c r="H14894" s="2"/>
      <c r="I14894" s="2"/>
      <c r="J14894" s="2"/>
      <c r="K14894" s="2"/>
      <c r="L14894" s="2"/>
    </row>
    <row r="14895" spans="8:12" x14ac:dyDescent="0.3">
      <c r="H14895" s="2"/>
      <c r="I14895" s="2"/>
      <c r="J14895" s="2"/>
      <c r="K14895" s="2"/>
      <c r="L14895" s="2"/>
    </row>
    <row r="14896" spans="8:12" x14ac:dyDescent="0.3">
      <c r="H14896" s="2"/>
      <c r="I14896" s="2"/>
      <c r="J14896" s="2"/>
      <c r="K14896" s="2"/>
      <c r="L14896" s="2"/>
    </row>
    <row r="14897" spans="8:12" x14ac:dyDescent="0.3">
      <c r="H14897" s="2"/>
      <c r="I14897" s="2"/>
      <c r="J14897" s="2"/>
      <c r="K14897" s="2"/>
      <c r="L14897" s="2"/>
    </row>
    <row r="14898" spans="8:12" x14ac:dyDescent="0.3">
      <c r="H14898" s="2"/>
      <c r="I14898" s="2"/>
      <c r="J14898" s="2"/>
      <c r="K14898" s="2"/>
      <c r="L14898" s="2"/>
    </row>
    <row r="14899" spans="8:12" x14ac:dyDescent="0.3">
      <c r="H14899" s="2"/>
      <c r="I14899" s="2"/>
      <c r="J14899" s="2"/>
      <c r="K14899" s="2"/>
      <c r="L14899" s="2"/>
    </row>
    <row r="14900" spans="8:12" x14ac:dyDescent="0.3">
      <c r="H14900" s="2"/>
      <c r="I14900" s="2"/>
      <c r="J14900" s="2"/>
      <c r="K14900" s="2"/>
      <c r="L14900" s="2"/>
    </row>
    <row r="14901" spans="8:12" x14ac:dyDescent="0.3">
      <c r="H14901" s="2"/>
      <c r="I14901" s="2"/>
      <c r="J14901" s="2"/>
      <c r="K14901" s="2"/>
      <c r="L14901" s="2"/>
    </row>
    <row r="14902" spans="8:12" x14ac:dyDescent="0.3">
      <c r="H14902" s="2"/>
      <c r="I14902" s="2"/>
      <c r="J14902" s="2"/>
      <c r="K14902" s="2"/>
      <c r="L14902" s="2"/>
    </row>
    <row r="14903" spans="8:12" x14ac:dyDescent="0.3">
      <c r="H14903" s="2"/>
      <c r="I14903" s="2"/>
      <c r="J14903" s="2"/>
      <c r="K14903" s="2"/>
      <c r="L14903" s="2"/>
    </row>
    <row r="14904" spans="8:12" x14ac:dyDescent="0.3">
      <c r="H14904" s="2"/>
      <c r="I14904" s="2"/>
      <c r="J14904" s="2"/>
      <c r="K14904" s="2"/>
      <c r="L14904" s="2"/>
    </row>
    <row r="14905" spans="8:12" x14ac:dyDescent="0.3">
      <c r="H14905" s="2"/>
      <c r="I14905" s="2"/>
      <c r="J14905" s="2"/>
      <c r="K14905" s="2"/>
      <c r="L14905" s="2"/>
    </row>
    <row r="14906" spans="8:12" x14ac:dyDescent="0.3">
      <c r="H14906" s="2"/>
      <c r="I14906" s="2"/>
      <c r="J14906" s="2"/>
      <c r="K14906" s="2"/>
      <c r="L14906" s="2"/>
    </row>
    <row r="14907" spans="8:12" x14ac:dyDescent="0.3">
      <c r="H14907" s="2"/>
      <c r="I14907" s="2"/>
      <c r="J14907" s="2"/>
      <c r="K14907" s="2"/>
      <c r="L14907" s="2"/>
    </row>
    <row r="14908" spans="8:12" x14ac:dyDescent="0.3">
      <c r="H14908" s="2"/>
      <c r="I14908" s="2"/>
      <c r="J14908" s="2"/>
      <c r="K14908" s="2"/>
      <c r="L14908" s="2"/>
    </row>
    <row r="14909" spans="8:12" x14ac:dyDescent="0.3">
      <c r="H14909" s="2"/>
      <c r="I14909" s="2"/>
      <c r="J14909" s="2"/>
      <c r="K14909" s="2"/>
      <c r="L14909" s="2"/>
    </row>
    <row r="14910" spans="8:12" x14ac:dyDescent="0.3">
      <c r="H14910" s="2"/>
      <c r="I14910" s="2"/>
      <c r="J14910" s="2"/>
      <c r="K14910" s="2"/>
      <c r="L14910" s="2"/>
    </row>
    <row r="14911" spans="8:12" x14ac:dyDescent="0.3">
      <c r="H14911" s="2"/>
      <c r="I14911" s="2"/>
      <c r="J14911" s="2"/>
      <c r="K14911" s="2"/>
      <c r="L14911" s="2"/>
    </row>
    <row r="14912" spans="8:12" x14ac:dyDescent="0.3">
      <c r="H14912" s="2"/>
      <c r="I14912" s="2"/>
      <c r="J14912" s="2"/>
      <c r="K14912" s="2"/>
      <c r="L14912" s="2"/>
    </row>
    <row r="14913" spans="8:12" x14ac:dyDescent="0.3">
      <c r="H14913" s="2"/>
      <c r="I14913" s="2"/>
      <c r="J14913" s="2"/>
      <c r="K14913" s="2"/>
      <c r="L14913" s="2"/>
    </row>
    <row r="14914" spans="8:12" x14ac:dyDescent="0.3">
      <c r="H14914" s="2"/>
      <c r="I14914" s="2"/>
      <c r="J14914" s="2"/>
      <c r="K14914" s="2"/>
      <c r="L14914" s="2"/>
    </row>
    <row r="14915" spans="8:12" x14ac:dyDescent="0.3">
      <c r="H14915" s="2"/>
      <c r="I14915" s="2"/>
      <c r="J14915" s="2"/>
      <c r="K14915" s="2"/>
      <c r="L14915" s="2"/>
    </row>
    <row r="14916" spans="8:12" x14ac:dyDescent="0.3">
      <c r="H14916" s="2"/>
      <c r="I14916" s="2"/>
      <c r="J14916" s="2"/>
      <c r="K14916" s="2"/>
      <c r="L14916" s="2"/>
    </row>
    <row r="14917" spans="8:12" x14ac:dyDescent="0.3">
      <c r="H14917" s="2"/>
      <c r="I14917" s="2"/>
      <c r="J14917" s="2"/>
      <c r="K14917" s="2"/>
      <c r="L14917" s="2"/>
    </row>
    <row r="14918" spans="8:12" x14ac:dyDescent="0.3">
      <c r="H14918" s="2"/>
      <c r="I14918" s="2"/>
      <c r="J14918" s="2"/>
      <c r="K14918" s="2"/>
      <c r="L14918" s="2"/>
    </row>
    <row r="14919" spans="8:12" x14ac:dyDescent="0.3">
      <c r="H14919" s="2"/>
      <c r="I14919" s="2"/>
      <c r="J14919" s="2"/>
      <c r="K14919" s="2"/>
      <c r="L14919" s="2"/>
    </row>
    <row r="14920" spans="8:12" x14ac:dyDescent="0.3">
      <c r="H14920" s="2"/>
      <c r="I14920" s="2"/>
      <c r="J14920" s="2"/>
      <c r="K14920" s="2"/>
      <c r="L14920" s="2"/>
    </row>
    <row r="14921" spans="8:12" x14ac:dyDescent="0.3">
      <c r="H14921" s="2"/>
      <c r="I14921" s="2"/>
      <c r="J14921" s="2"/>
      <c r="K14921" s="2"/>
      <c r="L14921" s="2"/>
    </row>
    <row r="14922" spans="8:12" x14ac:dyDescent="0.3">
      <c r="H14922" s="2"/>
      <c r="I14922" s="2"/>
      <c r="J14922" s="2"/>
      <c r="K14922" s="2"/>
      <c r="L14922" s="2"/>
    </row>
    <row r="14923" spans="8:12" x14ac:dyDescent="0.3">
      <c r="H14923" s="2"/>
      <c r="I14923" s="2"/>
      <c r="J14923" s="2"/>
      <c r="K14923" s="2"/>
      <c r="L14923" s="2"/>
    </row>
    <row r="14924" spans="8:12" x14ac:dyDescent="0.3">
      <c r="H14924" s="2"/>
      <c r="I14924" s="2"/>
      <c r="J14924" s="2"/>
      <c r="K14924" s="2"/>
      <c r="L14924" s="2"/>
    </row>
    <row r="14925" spans="8:12" x14ac:dyDescent="0.3">
      <c r="H14925" s="2"/>
      <c r="I14925" s="2"/>
      <c r="J14925" s="2"/>
      <c r="K14925" s="2"/>
      <c r="L14925" s="2"/>
    </row>
    <row r="14926" spans="8:12" x14ac:dyDescent="0.3">
      <c r="H14926" s="2"/>
      <c r="I14926" s="2"/>
      <c r="J14926" s="2"/>
      <c r="K14926" s="2"/>
      <c r="L14926" s="2"/>
    </row>
    <row r="14927" spans="8:12" x14ac:dyDescent="0.3">
      <c r="H14927" s="2"/>
      <c r="I14927" s="2"/>
      <c r="J14927" s="2"/>
      <c r="K14927" s="2"/>
      <c r="L14927" s="2"/>
    </row>
    <row r="14928" spans="8:12" x14ac:dyDescent="0.3">
      <c r="H14928" s="2"/>
      <c r="I14928" s="2"/>
      <c r="J14928" s="2"/>
      <c r="K14928" s="2"/>
      <c r="L14928" s="2"/>
    </row>
    <row r="14929" spans="8:12" x14ac:dyDescent="0.3">
      <c r="H14929" s="2"/>
      <c r="I14929" s="2"/>
      <c r="J14929" s="2"/>
      <c r="K14929" s="2"/>
      <c r="L14929" s="2"/>
    </row>
    <row r="14930" spans="8:12" x14ac:dyDescent="0.3">
      <c r="H14930" s="2"/>
      <c r="I14930" s="2"/>
      <c r="J14930" s="2"/>
      <c r="K14930" s="2"/>
      <c r="L14930" s="2"/>
    </row>
    <row r="14931" spans="8:12" x14ac:dyDescent="0.3">
      <c r="H14931" s="2"/>
      <c r="I14931" s="2"/>
      <c r="J14931" s="2"/>
      <c r="K14931" s="2"/>
      <c r="L14931" s="2"/>
    </row>
    <row r="14932" spans="8:12" x14ac:dyDescent="0.3">
      <c r="H14932" s="2"/>
      <c r="I14932" s="2"/>
      <c r="J14932" s="2"/>
      <c r="K14932" s="2"/>
      <c r="L14932" s="2"/>
    </row>
    <row r="14933" spans="8:12" x14ac:dyDescent="0.3">
      <c r="H14933" s="2"/>
      <c r="I14933" s="2"/>
      <c r="J14933" s="2"/>
      <c r="K14933" s="2"/>
      <c r="L14933" s="2"/>
    </row>
    <row r="14934" spans="8:12" x14ac:dyDescent="0.3">
      <c r="H14934" s="2"/>
      <c r="I14934" s="2"/>
      <c r="J14934" s="2"/>
      <c r="K14934" s="2"/>
      <c r="L14934" s="2"/>
    </row>
    <row r="14935" spans="8:12" x14ac:dyDescent="0.3">
      <c r="H14935" s="2"/>
      <c r="I14935" s="2"/>
      <c r="J14935" s="2"/>
      <c r="K14935" s="2"/>
      <c r="L14935" s="2"/>
    </row>
    <row r="14936" spans="8:12" x14ac:dyDescent="0.3">
      <c r="H14936" s="2"/>
      <c r="I14936" s="2"/>
      <c r="J14936" s="2"/>
      <c r="K14936" s="2"/>
      <c r="L14936" s="2"/>
    </row>
    <row r="14937" spans="8:12" x14ac:dyDescent="0.3">
      <c r="H14937" s="2"/>
      <c r="I14937" s="2"/>
      <c r="J14937" s="2"/>
      <c r="K14937" s="2"/>
      <c r="L14937" s="2"/>
    </row>
    <row r="14938" spans="8:12" x14ac:dyDescent="0.3">
      <c r="H14938" s="2"/>
      <c r="I14938" s="2"/>
      <c r="J14938" s="2"/>
      <c r="K14938" s="2"/>
      <c r="L14938" s="2"/>
    </row>
    <row r="14939" spans="8:12" x14ac:dyDescent="0.3">
      <c r="H14939" s="2"/>
      <c r="I14939" s="2"/>
      <c r="J14939" s="2"/>
      <c r="K14939" s="2"/>
      <c r="L14939" s="2"/>
    </row>
    <row r="14940" spans="8:12" x14ac:dyDescent="0.3">
      <c r="H14940" s="2"/>
      <c r="I14940" s="2"/>
      <c r="J14940" s="2"/>
      <c r="K14940" s="2"/>
      <c r="L14940" s="2"/>
    </row>
    <row r="14941" spans="8:12" x14ac:dyDescent="0.3">
      <c r="H14941" s="2"/>
      <c r="I14941" s="2"/>
      <c r="J14941" s="2"/>
      <c r="K14941" s="2"/>
      <c r="L14941" s="2"/>
    </row>
    <row r="14942" spans="8:12" x14ac:dyDescent="0.3">
      <c r="H14942" s="2"/>
      <c r="I14942" s="2"/>
      <c r="J14942" s="2"/>
      <c r="K14942" s="2"/>
      <c r="L14942" s="2"/>
    </row>
    <row r="14943" spans="8:12" x14ac:dyDescent="0.3">
      <c r="H14943" s="2"/>
      <c r="I14943" s="2"/>
      <c r="J14943" s="2"/>
      <c r="K14943" s="2"/>
      <c r="L14943" s="2"/>
    </row>
    <row r="14944" spans="8:12" x14ac:dyDescent="0.3">
      <c r="H14944" s="2"/>
      <c r="I14944" s="2"/>
      <c r="J14944" s="2"/>
      <c r="K14944" s="2"/>
      <c r="L14944" s="2"/>
    </row>
    <row r="14945" spans="8:12" x14ac:dyDescent="0.3">
      <c r="H14945" s="2"/>
      <c r="I14945" s="2"/>
      <c r="J14945" s="2"/>
      <c r="K14945" s="2"/>
      <c r="L14945" s="2"/>
    </row>
    <row r="14946" spans="8:12" x14ac:dyDescent="0.3">
      <c r="H14946" s="2"/>
      <c r="I14946" s="2"/>
      <c r="J14946" s="2"/>
      <c r="K14946" s="2"/>
      <c r="L14946" s="2"/>
    </row>
    <row r="14947" spans="8:12" x14ac:dyDescent="0.3">
      <c r="H14947" s="2"/>
      <c r="I14947" s="2"/>
      <c r="J14947" s="2"/>
      <c r="K14947" s="2"/>
      <c r="L14947" s="2"/>
    </row>
    <row r="14948" spans="8:12" x14ac:dyDescent="0.3">
      <c r="H14948" s="2"/>
      <c r="I14948" s="2"/>
      <c r="J14948" s="2"/>
      <c r="K14948" s="2"/>
      <c r="L14948" s="2"/>
    </row>
    <row r="14949" spans="8:12" x14ac:dyDescent="0.3">
      <c r="H14949" s="2"/>
      <c r="I14949" s="2"/>
      <c r="J14949" s="2"/>
      <c r="K14949" s="2"/>
      <c r="L14949" s="2"/>
    </row>
    <row r="14950" spans="8:12" x14ac:dyDescent="0.3">
      <c r="H14950" s="2"/>
      <c r="I14950" s="2"/>
      <c r="J14950" s="2"/>
      <c r="K14950" s="2"/>
      <c r="L14950" s="2"/>
    </row>
    <row r="14951" spans="8:12" x14ac:dyDescent="0.3">
      <c r="H14951" s="2"/>
      <c r="I14951" s="2"/>
      <c r="J14951" s="2"/>
      <c r="K14951" s="2"/>
      <c r="L14951" s="2"/>
    </row>
    <row r="14952" spans="8:12" x14ac:dyDescent="0.3">
      <c r="H14952" s="2"/>
      <c r="I14952" s="2"/>
      <c r="J14952" s="2"/>
      <c r="K14952" s="2"/>
      <c r="L14952" s="2"/>
    </row>
    <row r="14953" spans="8:12" x14ac:dyDescent="0.3">
      <c r="H14953" s="2"/>
      <c r="I14953" s="2"/>
      <c r="J14953" s="2"/>
      <c r="K14953" s="2"/>
      <c r="L14953" s="2"/>
    </row>
    <row r="14954" spans="8:12" x14ac:dyDescent="0.3">
      <c r="H14954" s="2"/>
      <c r="I14954" s="2"/>
      <c r="J14954" s="2"/>
      <c r="K14954" s="2"/>
      <c r="L14954" s="2"/>
    </row>
    <row r="14955" spans="8:12" x14ac:dyDescent="0.3">
      <c r="H14955" s="2"/>
      <c r="I14955" s="2"/>
      <c r="J14955" s="2"/>
      <c r="K14955" s="2"/>
      <c r="L14955" s="2"/>
    </row>
    <row r="14956" spans="8:12" x14ac:dyDescent="0.3">
      <c r="H14956" s="2"/>
      <c r="I14956" s="2"/>
      <c r="J14956" s="2"/>
      <c r="K14956" s="2"/>
      <c r="L14956" s="2"/>
    </row>
    <row r="14957" spans="8:12" x14ac:dyDescent="0.3">
      <c r="H14957" s="2"/>
      <c r="I14957" s="2"/>
      <c r="J14957" s="2"/>
      <c r="K14957" s="2"/>
      <c r="L14957" s="2"/>
    </row>
    <row r="14958" spans="8:12" x14ac:dyDescent="0.3">
      <c r="H14958" s="2"/>
      <c r="I14958" s="2"/>
      <c r="J14958" s="2"/>
      <c r="K14958" s="2"/>
      <c r="L14958" s="2"/>
    </row>
    <row r="14959" spans="8:12" x14ac:dyDescent="0.3">
      <c r="H14959" s="2"/>
      <c r="I14959" s="2"/>
      <c r="J14959" s="2"/>
      <c r="K14959" s="2"/>
      <c r="L14959" s="2"/>
    </row>
    <row r="14960" spans="8:12" x14ac:dyDescent="0.3">
      <c r="H14960" s="2"/>
      <c r="I14960" s="2"/>
      <c r="J14960" s="2"/>
      <c r="K14960" s="2"/>
      <c r="L14960" s="2"/>
    </row>
    <row r="14961" spans="8:12" x14ac:dyDescent="0.3">
      <c r="H14961" s="2"/>
      <c r="I14961" s="2"/>
      <c r="J14961" s="2"/>
      <c r="K14961" s="2"/>
      <c r="L14961" s="2"/>
    </row>
    <row r="14962" spans="8:12" x14ac:dyDescent="0.3">
      <c r="H14962" s="2"/>
      <c r="I14962" s="2"/>
      <c r="J14962" s="2"/>
      <c r="K14962" s="2"/>
      <c r="L14962" s="2"/>
    </row>
    <row r="14963" spans="8:12" x14ac:dyDescent="0.3">
      <c r="H14963" s="2"/>
      <c r="I14963" s="2"/>
      <c r="J14963" s="2"/>
      <c r="K14963" s="2"/>
      <c r="L14963" s="2"/>
    </row>
    <row r="14964" spans="8:12" x14ac:dyDescent="0.3">
      <c r="H14964" s="2"/>
      <c r="I14964" s="2"/>
      <c r="J14964" s="2"/>
      <c r="K14964" s="2"/>
      <c r="L14964" s="2"/>
    </row>
    <row r="14965" spans="8:12" x14ac:dyDescent="0.3">
      <c r="H14965" s="2"/>
      <c r="I14965" s="2"/>
      <c r="J14965" s="2"/>
      <c r="K14965" s="2"/>
      <c r="L14965" s="2"/>
    </row>
    <row r="14966" spans="8:12" x14ac:dyDescent="0.3">
      <c r="H14966" s="2"/>
      <c r="I14966" s="2"/>
      <c r="J14966" s="2"/>
      <c r="K14966" s="2"/>
      <c r="L14966" s="2"/>
    </row>
    <row r="14967" spans="8:12" x14ac:dyDescent="0.3">
      <c r="H14967" s="2"/>
      <c r="I14967" s="2"/>
      <c r="J14967" s="2"/>
      <c r="K14967" s="2"/>
      <c r="L14967" s="2"/>
    </row>
    <row r="14968" spans="8:12" x14ac:dyDescent="0.3">
      <c r="H14968" s="2"/>
      <c r="I14968" s="2"/>
      <c r="J14968" s="2"/>
      <c r="K14968" s="2"/>
      <c r="L14968" s="2"/>
    </row>
    <row r="14969" spans="8:12" x14ac:dyDescent="0.3">
      <c r="H14969" s="2"/>
      <c r="I14969" s="2"/>
      <c r="J14969" s="2"/>
      <c r="K14969" s="2"/>
      <c r="L14969" s="2"/>
    </row>
    <row r="14970" spans="8:12" x14ac:dyDescent="0.3">
      <c r="H14970" s="2"/>
      <c r="I14970" s="2"/>
      <c r="J14970" s="2"/>
      <c r="K14970" s="2"/>
      <c r="L14970" s="2"/>
    </row>
    <row r="14971" spans="8:12" x14ac:dyDescent="0.3">
      <c r="H14971" s="2"/>
      <c r="I14971" s="2"/>
      <c r="J14971" s="2"/>
      <c r="K14971" s="2"/>
      <c r="L14971" s="2"/>
    </row>
    <row r="14972" spans="8:12" x14ac:dyDescent="0.3">
      <c r="H14972" s="2"/>
      <c r="I14972" s="2"/>
      <c r="J14972" s="2"/>
      <c r="K14972" s="2"/>
      <c r="L14972" s="2"/>
    </row>
    <row r="14973" spans="8:12" x14ac:dyDescent="0.3">
      <c r="H14973" s="2"/>
      <c r="I14973" s="2"/>
      <c r="J14973" s="2"/>
      <c r="K14973" s="2"/>
      <c r="L14973" s="2"/>
    </row>
    <row r="14974" spans="8:12" x14ac:dyDescent="0.3">
      <c r="H14974" s="2"/>
      <c r="I14974" s="2"/>
      <c r="J14974" s="2"/>
      <c r="K14974" s="2"/>
      <c r="L14974" s="2"/>
    </row>
    <row r="14975" spans="8:12" x14ac:dyDescent="0.3">
      <c r="H14975" s="2"/>
      <c r="I14975" s="2"/>
      <c r="J14975" s="2"/>
      <c r="K14975" s="2"/>
      <c r="L14975" s="2"/>
    </row>
    <row r="14976" spans="8:12" x14ac:dyDescent="0.3">
      <c r="H14976" s="2"/>
      <c r="I14976" s="2"/>
      <c r="J14976" s="2"/>
      <c r="K14976" s="2"/>
      <c r="L14976" s="2"/>
    </row>
    <row r="14977" spans="8:12" x14ac:dyDescent="0.3">
      <c r="H14977" s="2"/>
      <c r="I14977" s="2"/>
      <c r="J14977" s="2"/>
      <c r="K14977" s="2"/>
      <c r="L14977" s="2"/>
    </row>
    <row r="14978" spans="8:12" x14ac:dyDescent="0.3">
      <c r="H14978" s="2"/>
      <c r="I14978" s="2"/>
      <c r="J14978" s="2"/>
      <c r="K14978" s="2"/>
      <c r="L14978" s="2"/>
    </row>
    <row r="14979" spans="8:12" x14ac:dyDescent="0.3">
      <c r="H14979" s="2"/>
      <c r="I14979" s="2"/>
      <c r="J14979" s="2"/>
      <c r="K14979" s="2"/>
      <c r="L14979" s="2"/>
    </row>
    <row r="14980" spans="8:12" x14ac:dyDescent="0.3">
      <c r="H14980" s="2"/>
      <c r="I14980" s="2"/>
      <c r="J14980" s="2"/>
      <c r="K14980" s="2"/>
      <c r="L14980" s="2"/>
    </row>
    <row r="14981" spans="8:12" x14ac:dyDescent="0.3">
      <c r="H14981" s="2"/>
      <c r="I14981" s="2"/>
      <c r="J14981" s="2"/>
      <c r="K14981" s="2"/>
      <c r="L14981" s="2"/>
    </row>
    <row r="14982" spans="8:12" x14ac:dyDescent="0.3">
      <c r="H14982" s="2"/>
      <c r="I14982" s="2"/>
      <c r="J14982" s="2"/>
      <c r="K14982" s="2"/>
      <c r="L14982" s="2"/>
    </row>
    <row r="14983" spans="8:12" x14ac:dyDescent="0.3">
      <c r="H14983" s="2"/>
      <c r="I14983" s="2"/>
      <c r="J14983" s="2"/>
      <c r="K14983" s="2"/>
      <c r="L14983" s="2"/>
    </row>
    <row r="14984" spans="8:12" x14ac:dyDescent="0.3">
      <c r="H14984" s="2"/>
      <c r="I14984" s="2"/>
      <c r="J14984" s="2"/>
      <c r="K14984" s="2"/>
      <c r="L14984" s="2"/>
    </row>
    <row r="14985" spans="8:12" x14ac:dyDescent="0.3">
      <c r="H14985" s="2"/>
      <c r="I14985" s="2"/>
      <c r="J14985" s="2"/>
      <c r="K14985" s="2"/>
      <c r="L14985" s="2"/>
    </row>
    <row r="14986" spans="8:12" x14ac:dyDescent="0.3">
      <c r="H14986" s="2"/>
      <c r="I14986" s="2"/>
      <c r="J14986" s="2"/>
      <c r="K14986" s="2"/>
      <c r="L14986" s="2"/>
    </row>
    <row r="14987" spans="8:12" x14ac:dyDescent="0.3">
      <c r="H14987" s="2"/>
      <c r="I14987" s="2"/>
      <c r="J14987" s="2"/>
      <c r="K14987" s="2"/>
      <c r="L14987" s="2"/>
    </row>
    <row r="14988" spans="8:12" x14ac:dyDescent="0.3">
      <c r="H14988" s="2"/>
      <c r="I14988" s="2"/>
      <c r="J14988" s="2"/>
      <c r="K14988" s="2"/>
      <c r="L14988" s="2"/>
    </row>
    <row r="14989" spans="8:12" x14ac:dyDescent="0.3">
      <c r="H14989" s="2"/>
      <c r="I14989" s="2"/>
      <c r="J14989" s="2"/>
      <c r="K14989" s="2"/>
      <c r="L14989" s="2"/>
    </row>
    <row r="14990" spans="8:12" x14ac:dyDescent="0.3">
      <c r="H14990" s="2"/>
      <c r="I14990" s="2"/>
      <c r="J14990" s="2"/>
      <c r="K14990" s="2"/>
      <c r="L14990" s="2"/>
    </row>
    <row r="14991" spans="8:12" x14ac:dyDescent="0.3">
      <c r="H14991" s="2"/>
      <c r="I14991" s="2"/>
      <c r="J14991" s="2"/>
      <c r="K14991" s="2"/>
      <c r="L14991" s="2"/>
    </row>
    <row r="14992" spans="8:12" x14ac:dyDescent="0.3">
      <c r="H14992" s="2"/>
      <c r="I14992" s="2"/>
      <c r="J14992" s="2"/>
      <c r="K14992" s="2"/>
      <c r="L14992" s="2"/>
    </row>
    <row r="14993" spans="8:12" x14ac:dyDescent="0.3">
      <c r="H14993" s="2"/>
      <c r="I14993" s="2"/>
      <c r="J14993" s="2"/>
      <c r="K14993" s="2"/>
      <c r="L14993" s="2"/>
    </row>
    <row r="14994" spans="8:12" x14ac:dyDescent="0.3">
      <c r="H14994" s="2"/>
      <c r="I14994" s="2"/>
      <c r="J14994" s="2"/>
      <c r="K14994" s="2"/>
      <c r="L14994" s="2"/>
    </row>
    <row r="14995" spans="8:12" x14ac:dyDescent="0.3">
      <c r="H14995" s="2"/>
      <c r="I14995" s="2"/>
      <c r="J14995" s="2"/>
      <c r="K14995" s="2"/>
      <c r="L14995" s="2"/>
    </row>
    <row r="14996" spans="8:12" x14ac:dyDescent="0.3">
      <c r="H14996" s="2"/>
      <c r="I14996" s="2"/>
      <c r="J14996" s="2"/>
      <c r="K14996" s="2"/>
      <c r="L14996" s="2"/>
    </row>
    <row r="14997" spans="8:12" x14ac:dyDescent="0.3">
      <c r="H14997" s="2"/>
      <c r="I14997" s="2"/>
      <c r="J14997" s="2"/>
      <c r="K14997" s="2"/>
      <c r="L14997" s="2"/>
    </row>
    <row r="14998" spans="8:12" x14ac:dyDescent="0.3">
      <c r="H14998" s="2"/>
      <c r="I14998" s="2"/>
      <c r="J14998" s="2"/>
      <c r="K14998" s="2"/>
      <c r="L14998" s="2"/>
    </row>
    <row r="14999" spans="8:12" x14ac:dyDescent="0.3">
      <c r="H14999" s="2"/>
      <c r="I14999" s="2"/>
      <c r="J14999" s="2"/>
      <c r="K14999" s="2"/>
      <c r="L14999" s="2"/>
    </row>
    <row r="15000" spans="8:12" x14ac:dyDescent="0.3">
      <c r="H15000" s="2"/>
      <c r="I15000" s="2"/>
      <c r="J15000" s="2"/>
      <c r="K15000" s="2"/>
      <c r="L15000" s="2"/>
    </row>
    <row r="15001" spans="8:12" x14ac:dyDescent="0.3">
      <c r="H15001" s="2"/>
      <c r="I15001" s="2"/>
      <c r="J15001" s="2"/>
      <c r="K15001" s="2"/>
      <c r="L15001" s="2"/>
    </row>
    <row r="15002" spans="8:12" x14ac:dyDescent="0.3">
      <c r="H15002" s="2"/>
      <c r="I15002" s="2"/>
      <c r="J15002" s="2"/>
      <c r="K15002" s="2"/>
      <c r="L15002" s="2"/>
    </row>
    <row r="15003" spans="8:12" x14ac:dyDescent="0.3">
      <c r="H15003" s="2"/>
      <c r="I15003" s="2"/>
      <c r="J15003" s="2"/>
      <c r="K15003" s="2"/>
      <c r="L15003" s="2"/>
    </row>
    <row r="15004" spans="8:12" x14ac:dyDescent="0.3">
      <c r="H15004" s="2"/>
      <c r="I15004" s="2"/>
      <c r="J15004" s="2"/>
      <c r="K15004" s="2"/>
      <c r="L15004" s="2"/>
    </row>
    <row r="15005" spans="8:12" x14ac:dyDescent="0.3">
      <c r="H15005" s="2"/>
      <c r="I15005" s="2"/>
      <c r="J15005" s="2"/>
      <c r="K15005" s="2"/>
      <c r="L15005" s="2"/>
    </row>
    <row r="15006" spans="8:12" x14ac:dyDescent="0.3">
      <c r="H15006" s="2"/>
      <c r="I15006" s="2"/>
      <c r="J15006" s="2"/>
      <c r="K15006" s="2"/>
      <c r="L15006" s="2"/>
    </row>
    <row r="15007" spans="8:12" x14ac:dyDescent="0.3">
      <c r="H15007" s="2"/>
      <c r="I15007" s="2"/>
      <c r="J15007" s="2"/>
      <c r="K15007" s="2"/>
      <c r="L15007" s="2"/>
    </row>
    <row r="15008" spans="8:12" x14ac:dyDescent="0.3">
      <c r="H15008" s="2"/>
      <c r="I15008" s="2"/>
      <c r="J15008" s="2"/>
      <c r="K15008" s="2"/>
      <c r="L15008" s="2"/>
    </row>
    <row r="15009" spans="8:12" x14ac:dyDescent="0.3">
      <c r="H15009" s="2"/>
      <c r="I15009" s="2"/>
      <c r="J15009" s="2"/>
      <c r="K15009" s="2"/>
      <c r="L15009" s="2"/>
    </row>
    <row r="15010" spans="8:12" x14ac:dyDescent="0.3">
      <c r="H15010" s="2"/>
      <c r="I15010" s="2"/>
      <c r="J15010" s="2"/>
      <c r="K15010" s="2"/>
      <c r="L15010" s="2"/>
    </row>
    <row r="15011" spans="8:12" x14ac:dyDescent="0.3">
      <c r="H15011" s="2"/>
      <c r="I15011" s="2"/>
      <c r="J15011" s="2"/>
      <c r="K15011" s="2"/>
      <c r="L15011" s="2"/>
    </row>
    <row r="15012" spans="8:12" x14ac:dyDescent="0.3">
      <c r="H15012" s="2"/>
      <c r="I15012" s="2"/>
      <c r="J15012" s="2"/>
      <c r="K15012" s="2"/>
      <c r="L15012" s="2"/>
    </row>
    <row r="15013" spans="8:12" x14ac:dyDescent="0.3">
      <c r="H15013" s="2"/>
      <c r="I15013" s="2"/>
      <c r="J15013" s="2"/>
      <c r="K15013" s="2"/>
      <c r="L15013" s="2"/>
    </row>
    <row r="15014" spans="8:12" x14ac:dyDescent="0.3">
      <c r="H15014" s="2"/>
      <c r="I15014" s="2"/>
      <c r="J15014" s="2"/>
      <c r="K15014" s="2"/>
      <c r="L15014" s="2"/>
    </row>
    <row r="15015" spans="8:12" x14ac:dyDescent="0.3">
      <c r="H15015" s="2"/>
      <c r="I15015" s="2"/>
      <c r="J15015" s="2"/>
      <c r="K15015" s="2"/>
      <c r="L15015" s="2"/>
    </row>
    <row r="15016" spans="8:12" x14ac:dyDescent="0.3">
      <c r="H15016" s="2"/>
      <c r="I15016" s="2"/>
      <c r="J15016" s="2"/>
      <c r="K15016" s="2"/>
      <c r="L15016" s="2"/>
    </row>
    <row r="15017" spans="8:12" x14ac:dyDescent="0.3">
      <c r="H15017" s="2"/>
      <c r="I15017" s="2"/>
      <c r="J15017" s="2"/>
      <c r="K15017" s="2"/>
      <c r="L15017" s="2"/>
    </row>
    <row r="15018" spans="8:12" x14ac:dyDescent="0.3">
      <c r="H15018" s="2"/>
      <c r="I15018" s="2"/>
      <c r="J15018" s="2"/>
      <c r="K15018" s="2"/>
      <c r="L15018" s="2"/>
    </row>
    <row r="15019" spans="8:12" x14ac:dyDescent="0.3">
      <c r="H15019" s="2"/>
      <c r="I15019" s="2"/>
      <c r="J15019" s="2"/>
      <c r="K15019" s="2"/>
      <c r="L15019" s="2"/>
    </row>
    <row r="15020" spans="8:12" x14ac:dyDescent="0.3">
      <c r="H15020" s="2"/>
      <c r="I15020" s="2"/>
      <c r="J15020" s="2"/>
      <c r="K15020" s="2"/>
      <c r="L15020" s="2"/>
    </row>
    <row r="15021" spans="8:12" x14ac:dyDescent="0.3">
      <c r="H15021" s="2"/>
      <c r="I15021" s="2"/>
      <c r="J15021" s="2"/>
      <c r="K15021" s="2"/>
      <c r="L15021" s="2"/>
    </row>
    <row r="15022" spans="8:12" x14ac:dyDescent="0.3">
      <c r="H15022" s="2"/>
      <c r="I15022" s="2"/>
      <c r="J15022" s="2"/>
      <c r="K15022" s="2"/>
      <c r="L15022" s="2"/>
    </row>
    <row r="15023" spans="8:12" x14ac:dyDescent="0.3">
      <c r="H15023" s="2"/>
      <c r="I15023" s="2"/>
      <c r="J15023" s="2"/>
      <c r="K15023" s="2"/>
      <c r="L15023" s="2"/>
    </row>
    <row r="15024" spans="8:12" x14ac:dyDescent="0.3">
      <c r="H15024" s="2"/>
      <c r="I15024" s="2"/>
      <c r="J15024" s="2"/>
      <c r="K15024" s="2"/>
      <c r="L15024" s="2"/>
    </row>
    <row r="15025" spans="8:12" x14ac:dyDescent="0.3">
      <c r="H15025" s="2"/>
      <c r="I15025" s="2"/>
      <c r="J15025" s="2"/>
      <c r="K15025" s="2"/>
      <c r="L15025" s="2"/>
    </row>
    <row r="15026" spans="8:12" x14ac:dyDescent="0.3">
      <c r="H15026" s="2"/>
      <c r="I15026" s="2"/>
      <c r="J15026" s="2"/>
      <c r="K15026" s="2"/>
      <c r="L15026" s="2"/>
    </row>
    <row r="15027" spans="8:12" x14ac:dyDescent="0.3">
      <c r="H15027" s="2"/>
      <c r="I15027" s="2"/>
      <c r="J15027" s="2"/>
      <c r="K15027" s="2"/>
      <c r="L15027" s="2"/>
    </row>
    <row r="15028" spans="8:12" x14ac:dyDescent="0.3">
      <c r="H15028" s="2"/>
      <c r="I15028" s="2"/>
      <c r="J15028" s="2"/>
      <c r="K15028" s="2"/>
      <c r="L15028" s="2"/>
    </row>
    <row r="15029" spans="8:12" x14ac:dyDescent="0.3">
      <c r="H15029" s="2"/>
      <c r="I15029" s="2"/>
      <c r="J15029" s="2"/>
      <c r="K15029" s="2"/>
      <c r="L15029" s="2"/>
    </row>
    <row r="15030" spans="8:12" x14ac:dyDescent="0.3">
      <c r="H15030" s="2"/>
      <c r="I15030" s="2"/>
      <c r="J15030" s="2"/>
      <c r="K15030" s="2"/>
      <c r="L15030" s="2"/>
    </row>
    <row r="15031" spans="8:12" x14ac:dyDescent="0.3">
      <c r="H15031" s="2"/>
      <c r="I15031" s="2"/>
      <c r="J15031" s="2"/>
      <c r="K15031" s="2"/>
      <c r="L15031" s="2"/>
    </row>
    <row r="15032" spans="8:12" x14ac:dyDescent="0.3">
      <c r="H15032" s="2"/>
      <c r="I15032" s="2"/>
      <c r="J15032" s="2"/>
      <c r="K15032" s="2"/>
      <c r="L15032" s="2"/>
    </row>
    <row r="15033" spans="8:12" x14ac:dyDescent="0.3">
      <c r="H15033" s="2"/>
      <c r="I15033" s="2"/>
      <c r="J15033" s="2"/>
      <c r="K15033" s="2"/>
      <c r="L15033" s="2"/>
    </row>
    <row r="15034" spans="8:12" x14ac:dyDescent="0.3">
      <c r="H15034" s="2"/>
      <c r="I15034" s="2"/>
      <c r="J15034" s="2"/>
      <c r="K15034" s="2"/>
      <c r="L15034" s="2"/>
    </row>
    <row r="15035" spans="8:12" x14ac:dyDescent="0.3">
      <c r="H15035" s="2"/>
      <c r="I15035" s="2"/>
      <c r="J15035" s="2"/>
      <c r="K15035" s="2"/>
      <c r="L15035" s="2"/>
    </row>
    <row r="15036" spans="8:12" x14ac:dyDescent="0.3">
      <c r="H15036" s="2"/>
      <c r="I15036" s="2"/>
      <c r="J15036" s="2"/>
      <c r="K15036" s="2"/>
      <c r="L15036" s="2"/>
    </row>
    <row r="15037" spans="8:12" x14ac:dyDescent="0.3">
      <c r="H15037" s="2"/>
      <c r="I15037" s="2"/>
      <c r="J15037" s="2"/>
      <c r="K15037" s="2"/>
      <c r="L15037" s="2"/>
    </row>
    <row r="15038" spans="8:12" x14ac:dyDescent="0.3">
      <c r="H15038" s="2"/>
      <c r="I15038" s="2"/>
      <c r="J15038" s="2"/>
      <c r="K15038" s="2"/>
      <c r="L15038" s="2"/>
    </row>
    <row r="15039" spans="8:12" x14ac:dyDescent="0.3">
      <c r="H15039" s="2"/>
      <c r="I15039" s="2"/>
      <c r="J15039" s="2"/>
      <c r="K15039" s="2"/>
      <c r="L15039" s="2"/>
    </row>
    <row r="15040" spans="8:12" x14ac:dyDescent="0.3">
      <c r="H15040" s="2"/>
      <c r="I15040" s="2"/>
      <c r="J15040" s="2"/>
      <c r="K15040" s="2"/>
      <c r="L15040" s="2"/>
    </row>
    <row r="15041" spans="8:12" x14ac:dyDescent="0.3">
      <c r="H15041" s="2"/>
      <c r="I15041" s="2"/>
      <c r="J15041" s="2"/>
      <c r="K15041" s="2"/>
      <c r="L15041" s="2"/>
    </row>
    <row r="15042" spans="8:12" x14ac:dyDescent="0.3">
      <c r="H15042" s="2"/>
      <c r="I15042" s="2"/>
      <c r="J15042" s="2"/>
      <c r="K15042" s="2"/>
      <c r="L15042" s="2"/>
    </row>
    <row r="15043" spans="8:12" x14ac:dyDescent="0.3">
      <c r="H15043" s="2"/>
      <c r="I15043" s="2"/>
      <c r="J15043" s="2"/>
      <c r="K15043" s="2"/>
      <c r="L15043" s="2"/>
    </row>
    <row r="15044" spans="8:12" x14ac:dyDescent="0.3">
      <c r="H15044" s="2"/>
      <c r="I15044" s="2"/>
      <c r="J15044" s="2"/>
      <c r="K15044" s="2"/>
      <c r="L15044" s="2"/>
    </row>
    <row r="15045" spans="8:12" x14ac:dyDescent="0.3">
      <c r="H15045" s="2"/>
      <c r="I15045" s="2"/>
      <c r="J15045" s="2"/>
      <c r="K15045" s="2"/>
      <c r="L15045" s="2"/>
    </row>
    <row r="15046" spans="8:12" x14ac:dyDescent="0.3">
      <c r="H15046" s="2"/>
      <c r="I15046" s="2"/>
      <c r="J15046" s="2"/>
      <c r="K15046" s="2"/>
      <c r="L15046" s="2"/>
    </row>
    <row r="15047" spans="8:12" x14ac:dyDescent="0.3">
      <c r="H15047" s="2"/>
      <c r="I15047" s="2"/>
      <c r="J15047" s="2"/>
      <c r="K15047" s="2"/>
      <c r="L15047" s="2"/>
    </row>
    <row r="15048" spans="8:12" x14ac:dyDescent="0.3">
      <c r="H15048" s="2"/>
      <c r="I15048" s="2"/>
      <c r="J15048" s="2"/>
      <c r="K15048" s="2"/>
      <c r="L15048" s="2"/>
    </row>
    <row r="15049" spans="8:12" x14ac:dyDescent="0.3">
      <c r="H15049" s="2"/>
      <c r="I15049" s="2"/>
      <c r="J15049" s="2"/>
      <c r="K15049" s="2"/>
      <c r="L15049" s="2"/>
    </row>
    <row r="15050" spans="8:12" x14ac:dyDescent="0.3">
      <c r="H15050" s="2"/>
      <c r="I15050" s="2"/>
      <c r="J15050" s="2"/>
      <c r="K15050" s="2"/>
      <c r="L15050" s="2"/>
    </row>
    <row r="15051" spans="8:12" x14ac:dyDescent="0.3">
      <c r="H15051" s="2"/>
      <c r="I15051" s="2"/>
      <c r="J15051" s="2"/>
      <c r="K15051" s="2"/>
      <c r="L15051" s="2"/>
    </row>
    <row r="15052" spans="8:12" x14ac:dyDescent="0.3">
      <c r="H15052" s="2"/>
      <c r="I15052" s="2"/>
      <c r="J15052" s="2"/>
      <c r="K15052" s="2"/>
      <c r="L15052" s="2"/>
    </row>
    <row r="15053" spans="8:12" x14ac:dyDescent="0.3">
      <c r="H15053" s="2"/>
      <c r="I15053" s="2"/>
      <c r="J15053" s="2"/>
      <c r="K15053" s="2"/>
      <c r="L15053" s="2"/>
    </row>
    <row r="15054" spans="8:12" x14ac:dyDescent="0.3">
      <c r="H15054" s="2"/>
      <c r="I15054" s="2"/>
      <c r="J15054" s="2"/>
      <c r="K15054" s="2"/>
      <c r="L15054" s="2"/>
    </row>
    <row r="15055" spans="8:12" x14ac:dyDescent="0.3">
      <c r="H15055" s="2"/>
      <c r="I15055" s="2"/>
      <c r="J15055" s="2"/>
      <c r="K15055" s="2"/>
      <c r="L15055" s="2"/>
    </row>
    <row r="15056" spans="8:12" x14ac:dyDescent="0.3">
      <c r="H15056" s="2"/>
      <c r="I15056" s="2"/>
      <c r="J15056" s="2"/>
      <c r="K15056" s="2"/>
      <c r="L15056" s="2"/>
    </row>
    <row r="15057" spans="8:12" x14ac:dyDescent="0.3">
      <c r="H15057" s="2"/>
      <c r="I15057" s="2"/>
      <c r="J15057" s="2"/>
      <c r="K15057" s="2"/>
      <c r="L15057" s="2"/>
    </row>
    <row r="15058" spans="8:12" x14ac:dyDescent="0.3">
      <c r="H15058" s="2"/>
      <c r="I15058" s="2"/>
      <c r="J15058" s="2"/>
      <c r="K15058" s="2"/>
      <c r="L15058" s="2"/>
    </row>
    <row r="15059" spans="8:12" x14ac:dyDescent="0.3">
      <c r="H15059" s="2"/>
      <c r="I15059" s="2"/>
      <c r="J15059" s="2"/>
      <c r="K15059" s="2"/>
      <c r="L15059" s="2"/>
    </row>
    <row r="15060" spans="8:12" x14ac:dyDescent="0.3">
      <c r="H15060" s="2"/>
      <c r="I15060" s="2"/>
      <c r="J15060" s="2"/>
      <c r="K15060" s="2"/>
      <c r="L15060" s="2"/>
    </row>
    <row r="15061" spans="8:12" x14ac:dyDescent="0.3">
      <c r="H15061" s="2"/>
      <c r="I15061" s="2"/>
      <c r="J15061" s="2"/>
      <c r="K15061" s="2"/>
      <c r="L15061" s="2"/>
    </row>
    <row r="15062" spans="8:12" x14ac:dyDescent="0.3">
      <c r="H15062" s="2"/>
      <c r="I15062" s="2"/>
      <c r="J15062" s="2"/>
      <c r="K15062" s="2"/>
      <c r="L15062" s="2"/>
    </row>
    <row r="15063" spans="8:12" x14ac:dyDescent="0.3">
      <c r="H15063" s="2"/>
      <c r="I15063" s="2"/>
      <c r="J15063" s="2"/>
      <c r="K15063" s="2"/>
      <c r="L15063" s="2"/>
    </row>
    <row r="15064" spans="8:12" x14ac:dyDescent="0.3">
      <c r="H15064" s="2"/>
      <c r="I15064" s="2"/>
      <c r="J15064" s="2"/>
      <c r="K15064" s="2"/>
      <c r="L15064" s="2"/>
    </row>
    <row r="15065" spans="8:12" x14ac:dyDescent="0.3">
      <c r="H15065" s="2"/>
      <c r="I15065" s="2"/>
      <c r="J15065" s="2"/>
      <c r="K15065" s="2"/>
      <c r="L15065" s="2"/>
    </row>
    <row r="15066" spans="8:12" x14ac:dyDescent="0.3">
      <c r="H15066" s="2"/>
      <c r="I15066" s="2"/>
      <c r="J15066" s="2"/>
      <c r="K15066" s="2"/>
      <c r="L15066" s="2"/>
    </row>
    <row r="15067" spans="8:12" x14ac:dyDescent="0.3">
      <c r="H15067" s="2"/>
      <c r="I15067" s="2"/>
      <c r="J15067" s="2"/>
      <c r="K15067" s="2"/>
      <c r="L15067" s="2"/>
    </row>
    <row r="15068" spans="8:12" x14ac:dyDescent="0.3">
      <c r="H15068" s="2"/>
      <c r="I15068" s="2"/>
      <c r="J15068" s="2"/>
      <c r="K15068" s="2"/>
      <c r="L15068" s="2"/>
    </row>
    <row r="15069" spans="8:12" x14ac:dyDescent="0.3">
      <c r="H15069" s="2"/>
      <c r="I15069" s="2"/>
      <c r="J15069" s="2"/>
      <c r="K15069" s="2"/>
      <c r="L15069" s="2"/>
    </row>
    <row r="15070" spans="8:12" x14ac:dyDescent="0.3">
      <c r="H15070" s="2"/>
      <c r="I15070" s="2"/>
      <c r="J15070" s="2"/>
      <c r="K15070" s="2"/>
      <c r="L15070" s="2"/>
    </row>
    <row r="15071" spans="8:12" x14ac:dyDescent="0.3">
      <c r="H15071" s="2"/>
      <c r="I15071" s="2"/>
      <c r="J15071" s="2"/>
      <c r="K15071" s="2"/>
      <c r="L15071" s="2"/>
    </row>
    <row r="15072" spans="8:12" x14ac:dyDescent="0.3">
      <c r="H15072" s="2"/>
      <c r="I15072" s="2"/>
      <c r="J15072" s="2"/>
      <c r="K15072" s="2"/>
      <c r="L15072" s="2"/>
    </row>
    <row r="15073" spans="8:12" x14ac:dyDescent="0.3">
      <c r="H15073" s="2"/>
      <c r="I15073" s="2"/>
      <c r="J15073" s="2"/>
      <c r="K15073" s="2"/>
      <c r="L15073" s="2"/>
    </row>
    <row r="15074" spans="8:12" x14ac:dyDescent="0.3">
      <c r="H15074" s="2"/>
      <c r="I15074" s="2"/>
      <c r="J15074" s="2"/>
      <c r="K15074" s="2"/>
      <c r="L15074" s="2"/>
    </row>
    <row r="15075" spans="8:12" x14ac:dyDescent="0.3">
      <c r="H15075" s="2"/>
      <c r="I15075" s="2"/>
      <c r="J15075" s="2"/>
      <c r="K15075" s="2"/>
      <c r="L15075" s="2"/>
    </row>
    <row r="15076" spans="8:12" x14ac:dyDescent="0.3">
      <c r="H15076" s="2"/>
      <c r="I15076" s="2"/>
      <c r="J15076" s="2"/>
      <c r="K15076" s="2"/>
      <c r="L15076" s="2"/>
    </row>
    <row r="15077" spans="8:12" x14ac:dyDescent="0.3">
      <c r="H15077" s="2"/>
      <c r="I15077" s="2"/>
      <c r="J15077" s="2"/>
      <c r="K15077" s="2"/>
      <c r="L15077" s="2"/>
    </row>
    <row r="15078" spans="8:12" x14ac:dyDescent="0.3">
      <c r="H15078" s="2"/>
      <c r="I15078" s="2"/>
      <c r="J15078" s="2"/>
      <c r="K15078" s="2"/>
      <c r="L15078" s="2"/>
    </row>
    <row r="15079" spans="8:12" x14ac:dyDescent="0.3">
      <c r="H15079" s="2"/>
      <c r="I15079" s="2"/>
      <c r="J15079" s="2"/>
      <c r="K15079" s="2"/>
      <c r="L15079" s="2"/>
    </row>
    <row r="15080" spans="8:12" x14ac:dyDescent="0.3">
      <c r="H15080" s="2"/>
      <c r="I15080" s="2"/>
      <c r="J15080" s="2"/>
      <c r="K15080" s="2"/>
      <c r="L15080" s="2"/>
    </row>
    <row r="15081" spans="8:12" x14ac:dyDescent="0.3">
      <c r="H15081" s="2"/>
      <c r="I15081" s="2"/>
      <c r="J15081" s="2"/>
      <c r="K15081" s="2"/>
      <c r="L15081" s="2"/>
    </row>
    <row r="15082" spans="8:12" x14ac:dyDescent="0.3">
      <c r="H15082" s="2"/>
      <c r="I15082" s="2"/>
      <c r="J15082" s="2"/>
      <c r="K15082" s="2"/>
      <c r="L15082" s="2"/>
    </row>
    <row r="15083" spans="8:12" x14ac:dyDescent="0.3">
      <c r="H15083" s="2"/>
      <c r="I15083" s="2"/>
      <c r="J15083" s="2"/>
      <c r="K15083" s="2"/>
      <c r="L15083" s="2"/>
    </row>
    <row r="15084" spans="8:12" x14ac:dyDescent="0.3">
      <c r="H15084" s="2"/>
      <c r="I15084" s="2"/>
      <c r="J15084" s="2"/>
      <c r="K15084" s="2"/>
      <c r="L15084" s="2"/>
    </row>
    <row r="15085" spans="8:12" x14ac:dyDescent="0.3">
      <c r="H15085" s="2"/>
      <c r="I15085" s="2"/>
      <c r="J15085" s="2"/>
      <c r="K15085" s="2"/>
      <c r="L15085" s="2"/>
    </row>
    <row r="15086" spans="8:12" x14ac:dyDescent="0.3">
      <c r="H15086" s="2"/>
      <c r="I15086" s="2"/>
      <c r="J15086" s="2"/>
      <c r="K15086" s="2"/>
      <c r="L15086" s="2"/>
    </row>
    <row r="15087" spans="8:12" x14ac:dyDescent="0.3">
      <c r="H15087" s="2"/>
      <c r="I15087" s="2"/>
      <c r="J15087" s="2"/>
      <c r="K15087" s="2"/>
      <c r="L15087" s="2"/>
    </row>
    <row r="15088" spans="8:12" x14ac:dyDescent="0.3">
      <c r="H15088" s="2"/>
      <c r="I15088" s="2"/>
      <c r="J15088" s="2"/>
      <c r="K15088" s="2"/>
      <c r="L15088" s="2"/>
    </row>
    <row r="15089" spans="8:12" x14ac:dyDescent="0.3">
      <c r="H15089" s="2"/>
      <c r="I15089" s="2"/>
      <c r="J15089" s="2"/>
      <c r="K15089" s="2"/>
      <c r="L15089" s="2"/>
    </row>
    <row r="15090" spans="8:12" x14ac:dyDescent="0.3">
      <c r="H15090" s="2"/>
      <c r="I15090" s="2"/>
      <c r="J15090" s="2"/>
      <c r="K15090" s="2"/>
      <c r="L15090" s="2"/>
    </row>
    <row r="15091" spans="8:12" x14ac:dyDescent="0.3">
      <c r="H15091" s="2"/>
      <c r="I15091" s="2"/>
      <c r="J15091" s="2"/>
      <c r="K15091" s="2"/>
      <c r="L15091" s="2"/>
    </row>
    <row r="15092" spans="8:12" x14ac:dyDescent="0.3">
      <c r="H15092" s="2"/>
      <c r="I15092" s="2"/>
      <c r="J15092" s="2"/>
      <c r="K15092" s="2"/>
      <c r="L15092" s="2"/>
    </row>
    <row r="15093" spans="8:12" x14ac:dyDescent="0.3">
      <c r="H15093" s="2"/>
      <c r="I15093" s="2"/>
      <c r="J15093" s="2"/>
      <c r="K15093" s="2"/>
      <c r="L15093" s="2"/>
    </row>
    <row r="15094" spans="8:12" x14ac:dyDescent="0.3">
      <c r="H15094" s="2"/>
      <c r="I15094" s="2"/>
      <c r="J15094" s="2"/>
      <c r="K15094" s="2"/>
      <c r="L15094" s="2"/>
    </row>
    <row r="15095" spans="8:12" x14ac:dyDescent="0.3">
      <c r="H15095" s="2"/>
      <c r="I15095" s="2"/>
      <c r="J15095" s="2"/>
      <c r="K15095" s="2"/>
      <c r="L15095" s="2"/>
    </row>
    <row r="15096" spans="8:12" x14ac:dyDescent="0.3">
      <c r="H15096" s="2"/>
      <c r="I15096" s="2"/>
      <c r="J15096" s="2"/>
      <c r="K15096" s="2"/>
      <c r="L15096" s="2"/>
    </row>
    <row r="15097" spans="8:12" x14ac:dyDescent="0.3">
      <c r="H15097" s="2"/>
      <c r="I15097" s="2"/>
      <c r="J15097" s="2"/>
      <c r="K15097" s="2"/>
      <c r="L15097" s="2"/>
    </row>
    <row r="15098" spans="8:12" x14ac:dyDescent="0.3">
      <c r="H15098" s="2"/>
      <c r="I15098" s="2"/>
      <c r="J15098" s="2"/>
      <c r="K15098" s="2"/>
      <c r="L15098" s="2"/>
    </row>
    <row r="15099" spans="8:12" x14ac:dyDescent="0.3">
      <c r="H15099" s="2"/>
      <c r="I15099" s="2"/>
      <c r="J15099" s="2"/>
      <c r="K15099" s="2"/>
      <c r="L15099" s="2"/>
    </row>
    <row r="15100" spans="8:12" x14ac:dyDescent="0.3">
      <c r="H15100" s="2"/>
      <c r="I15100" s="2"/>
      <c r="J15100" s="2"/>
      <c r="K15100" s="2"/>
      <c r="L15100" s="2"/>
    </row>
    <row r="15101" spans="8:12" x14ac:dyDescent="0.3">
      <c r="H15101" s="2"/>
      <c r="I15101" s="2"/>
      <c r="J15101" s="2"/>
      <c r="K15101" s="2"/>
      <c r="L15101" s="2"/>
    </row>
    <row r="15102" spans="8:12" x14ac:dyDescent="0.3">
      <c r="H15102" s="2"/>
      <c r="I15102" s="2"/>
      <c r="J15102" s="2"/>
      <c r="K15102" s="2"/>
      <c r="L15102" s="2"/>
    </row>
    <row r="15103" spans="8:12" x14ac:dyDescent="0.3">
      <c r="H15103" s="2"/>
      <c r="I15103" s="2"/>
      <c r="J15103" s="2"/>
      <c r="K15103" s="2"/>
      <c r="L15103" s="2"/>
    </row>
    <row r="15104" spans="8:12" x14ac:dyDescent="0.3">
      <c r="H15104" s="2"/>
      <c r="I15104" s="2"/>
      <c r="J15104" s="2"/>
      <c r="K15104" s="2"/>
      <c r="L15104" s="2"/>
    </row>
    <row r="15105" spans="8:12" x14ac:dyDescent="0.3">
      <c r="H15105" s="2"/>
      <c r="I15105" s="2"/>
      <c r="J15105" s="2"/>
      <c r="K15105" s="2"/>
      <c r="L15105" s="2"/>
    </row>
    <row r="15106" spans="8:12" x14ac:dyDescent="0.3">
      <c r="H15106" s="2"/>
      <c r="I15106" s="2"/>
      <c r="J15106" s="2"/>
      <c r="K15106" s="2"/>
      <c r="L15106" s="2"/>
    </row>
    <row r="15107" spans="8:12" x14ac:dyDescent="0.3">
      <c r="H15107" s="2"/>
      <c r="I15107" s="2"/>
      <c r="J15107" s="2"/>
      <c r="K15107" s="2"/>
      <c r="L15107" s="2"/>
    </row>
    <row r="15108" spans="8:12" x14ac:dyDescent="0.3">
      <c r="H15108" s="2"/>
      <c r="I15108" s="2"/>
      <c r="J15108" s="2"/>
      <c r="K15108" s="2"/>
      <c r="L15108" s="2"/>
    </row>
    <row r="15109" spans="8:12" x14ac:dyDescent="0.3">
      <c r="H15109" s="2"/>
      <c r="I15109" s="2"/>
      <c r="J15109" s="2"/>
      <c r="K15109" s="2"/>
      <c r="L15109" s="2"/>
    </row>
    <row r="15110" spans="8:12" x14ac:dyDescent="0.3">
      <c r="H15110" s="2"/>
      <c r="I15110" s="2"/>
      <c r="J15110" s="2"/>
      <c r="K15110" s="2"/>
      <c r="L15110" s="2"/>
    </row>
    <row r="15111" spans="8:12" x14ac:dyDescent="0.3">
      <c r="H15111" s="2"/>
      <c r="I15111" s="2"/>
      <c r="J15111" s="2"/>
      <c r="K15111" s="2"/>
      <c r="L15111" s="2"/>
    </row>
    <row r="15112" spans="8:12" x14ac:dyDescent="0.3">
      <c r="H15112" s="2"/>
      <c r="I15112" s="2"/>
      <c r="J15112" s="2"/>
      <c r="K15112" s="2"/>
      <c r="L15112" s="2"/>
    </row>
    <row r="15113" spans="8:12" x14ac:dyDescent="0.3">
      <c r="H15113" s="2"/>
      <c r="I15113" s="2"/>
      <c r="J15113" s="2"/>
      <c r="K15113" s="2"/>
      <c r="L15113" s="2"/>
    </row>
    <row r="15114" spans="8:12" x14ac:dyDescent="0.3">
      <c r="H15114" s="2"/>
      <c r="I15114" s="2"/>
      <c r="J15114" s="2"/>
      <c r="K15114" s="2"/>
      <c r="L15114" s="2"/>
    </row>
    <row r="15115" spans="8:12" x14ac:dyDescent="0.3">
      <c r="H15115" s="2"/>
      <c r="I15115" s="2"/>
      <c r="J15115" s="2"/>
      <c r="K15115" s="2"/>
      <c r="L15115" s="2"/>
    </row>
    <row r="15116" spans="8:12" x14ac:dyDescent="0.3">
      <c r="H15116" s="2"/>
      <c r="I15116" s="2"/>
      <c r="J15116" s="2"/>
      <c r="K15116" s="2"/>
      <c r="L15116" s="2"/>
    </row>
    <row r="15117" spans="8:12" x14ac:dyDescent="0.3">
      <c r="H15117" s="2"/>
      <c r="I15117" s="2"/>
      <c r="J15117" s="2"/>
      <c r="K15117" s="2"/>
      <c r="L15117" s="2"/>
    </row>
    <row r="15118" spans="8:12" x14ac:dyDescent="0.3">
      <c r="H15118" s="2"/>
      <c r="I15118" s="2"/>
      <c r="J15118" s="2"/>
      <c r="K15118" s="2"/>
      <c r="L15118" s="2"/>
    </row>
    <row r="15119" spans="8:12" x14ac:dyDescent="0.3">
      <c r="H15119" s="2"/>
      <c r="I15119" s="2"/>
      <c r="J15119" s="2"/>
      <c r="K15119" s="2"/>
      <c r="L15119" s="2"/>
    </row>
    <row r="15120" spans="8:12" x14ac:dyDescent="0.3">
      <c r="H15120" s="2"/>
      <c r="I15120" s="2"/>
      <c r="J15120" s="2"/>
      <c r="K15120" s="2"/>
      <c r="L15120" s="2"/>
    </row>
    <row r="15121" spans="8:12" x14ac:dyDescent="0.3">
      <c r="H15121" s="2"/>
      <c r="I15121" s="2"/>
      <c r="J15121" s="2"/>
      <c r="K15121" s="2"/>
      <c r="L15121" s="2"/>
    </row>
    <row r="15122" spans="8:12" x14ac:dyDescent="0.3">
      <c r="H15122" s="2"/>
      <c r="I15122" s="2"/>
      <c r="J15122" s="2"/>
      <c r="K15122" s="2"/>
      <c r="L15122" s="2"/>
    </row>
    <row r="15123" spans="8:12" x14ac:dyDescent="0.3">
      <c r="H15123" s="2"/>
      <c r="I15123" s="2"/>
      <c r="J15123" s="2"/>
      <c r="K15123" s="2"/>
      <c r="L15123" s="2"/>
    </row>
    <row r="15124" spans="8:12" x14ac:dyDescent="0.3">
      <c r="H15124" s="2"/>
      <c r="I15124" s="2"/>
      <c r="J15124" s="2"/>
      <c r="K15124" s="2"/>
      <c r="L15124" s="2"/>
    </row>
    <row r="15125" spans="8:12" x14ac:dyDescent="0.3">
      <c r="H15125" s="2"/>
      <c r="I15125" s="2"/>
      <c r="J15125" s="2"/>
      <c r="K15125" s="2"/>
      <c r="L15125" s="2"/>
    </row>
    <row r="15126" spans="8:12" x14ac:dyDescent="0.3">
      <c r="H15126" s="2"/>
      <c r="I15126" s="2"/>
      <c r="J15126" s="2"/>
      <c r="K15126" s="2"/>
      <c r="L15126" s="2"/>
    </row>
    <row r="15127" spans="8:12" x14ac:dyDescent="0.3">
      <c r="H15127" s="2"/>
      <c r="I15127" s="2"/>
      <c r="J15127" s="2"/>
      <c r="K15127" s="2"/>
      <c r="L15127" s="2"/>
    </row>
    <row r="15128" spans="8:12" x14ac:dyDescent="0.3">
      <c r="H15128" s="2"/>
      <c r="I15128" s="2"/>
      <c r="J15128" s="2"/>
      <c r="K15128" s="2"/>
      <c r="L15128" s="2"/>
    </row>
    <row r="15129" spans="8:12" x14ac:dyDescent="0.3">
      <c r="H15129" s="2"/>
      <c r="I15129" s="2"/>
      <c r="J15129" s="2"/>
      <c r="K15129" s="2"/>
      <c r="L15129" s="2"/>
    </row>
    <row r="15130" spans="8:12" x14ac:dyDescent="0.3">
      <c r="H15130" s="2"/>
      <c r="I15130" s="2"/>
      <c r="J15130" s="2"/>
      <c r="K15130" s="2"/>
      <c r="L15130" s="2"/>
    </row>
    <row r="15131" spans="8:12" x14ac:dyDescent="0.3">
      <c r="H15131" s="2"/>
      <c r="I15131" s="2"/>
      <c r="J15131" s="2"/>
      <c r="K15131" s="2"/>
      <c r="L15131" s="2"/>
    </row>
    <row r="15132" spans="8:12" x14ac:dyDescent="0.3">
      <c r="H15132" s="2"/>
      <c r="I15132" s="2"/>
      <c r="J15132" s="2"/>
      <c r="K15132" s="2"/>
      <c r="L15132" s="2"/>
    </row>
    <row r="15133" spans="8:12" x14ac:dyDescent="0.3">
      <c r="H15133" s="2"/>
      <c r="I15133" s="2"/>
      <c r="J15133" s="2"/>
      <c r="K15133" s="2"/>
      <c r="L15133" s="2"/>
    </row>
    <row r="15134" spans="8:12" x14ac:dyDescent="0.3">
      <c r="H15134" s="2"/>
      <c r="I15134" s="2"/>
      <c r="J15134" s="2"/>
      <c r="K15134" s="2"/>
      <c r="L15134" s="2"/>
    </row>
    <row r="15135" spans="8:12" x14ac:dyDescent="0.3">
      <c r="H15135" s="2"/>
      <c r="I15135" s="2"/>
      <c r="J15135" s="2"/>
      <c r="K15135" s="2"/>
      <c r="L15135" s="2"/>
    </row>
    <row r="15136" spans="8:12" x14ac:dyDescent="0.3">
      <c r="H15136" s="2"/>
      <c r="I15136" s="2"/>
      <c r="J15136" s="2"/>
      <c r="K15136" s="2"/>
      <c r="L15136" s="2"/>
    </row>
    <row r="15137" spans="8:12" x14ac:dyDescent="0.3">
      <c r="H15137" s="2"/>
      <c r="I15137" s="2"/>
      <c r="J15137" s="2"/>
      <c r="K15137" s="2"/>
      <c r="L15137" s="2"/>
    </row>
    <row r="15138" spans="8:12" x14ac:dyDescent="0.3">
      <c r="H15138" s="2"/>
      <c r="I15138" s="2"/>
      <c r="J15138" s="2"/>
      <c r="K15138" s="2"/>
      <c r="L15138" s="2"/>
    </row>
    <row r="15139" spans="8:12" x14ac:dyDescent="0.3">
      <c r="H15139" s="2"/>
      <c r="I15139" s="2"/>
      <c r="J15139" s="2"/>
      <c r="K15139" s="2"/>
      <c r="L15139" s="2"/>
    </row>
    <row r="15140" spans="8:12" x14ac:dyDescent="0.3">
      <c r="H15140" s="2"/>
      <c r="I15140" s="2"/>
      <c r="J15140" s="2"/>
      <c r="K15140" s="2"/>
      <c r="L15140" s="2"/>
    </row>
    <row r="15141" spans="8:12" x14ac:dyDescent="0.3">
      <c r="H15141" s="2"/>
      <c r="I15141" s="2"/>
      <c r="J15141" s="2"/>
      <c r="K15141" s="2"/>
      <c r="L15141" s="2"/>
    </row>
    <row r="15142" spans="8:12" x14ac:dyDescent="0.3">
      <c r="H15142" s="2"/>
      <c r="I15142" s="2"/>
      <c r="J15142" s="2"/>
      <c r="K15142" s="2"/>
      <c r="L15142" s="2"/>
    </row>
    <row r="15143" spans="8:12" x14ac:dyDescent="0.3">
      <c r="H15143" s="2"/>
      <c r="I15143" s="2"/>
      <c r="J15143" s="2"/>
      <c r="K15143" s="2"/>
      <c r="L15143" s="2"/>
    </row>
    <row r="15144" spans="8:12" x14ac:dyDescent="0.3">
      <c r="H15144" s="2"/>
      <c r="I15144" s="2"/>
      <c r="J15144" s="2"/>
      <c r="K15144" s="2"/>
      <c r="L15144" s="2"/>
    </row>
    <row r="15145" spans="8:12" x14ac:dyDescent="0.3">
      <c r="H15145" s="2"/>
      <c r="I15145" s="2"/>
      <c r="J15145" s="2"/>
      <c r="K15145" s="2"/>
      <c r="L15145" s="2"/>
    </row>
    <row r="15146" spans="8:12" x14ac:dyDescent="0.3">
      <c r="H15146" s="2"/>
      <c r="I15146" s="2"/>
      <c r="J15146" s="2"/>
      <c r="K15146" s="2"/>
      <c r="L15146" s="2"/>
    </row>
    <row r="15147" spans="8:12" x14ac:dyDescent="0.3">
      <c r="H15147" s="2"/>
      <c r="I15147" s="2"/>
      <c r="J15147" s="2"/>
      <c r="K15147" s="2"/>
      <c r="L15147" s="2"/>
    </row>
    <row r="15148" spans="8:12" x14ac:dyDescent="0.3">
      <c r="H15148" s="2"/>
      <c r="I15148" s="2"/>
      <c r="J15148" s="2"/>
      <c r="K15148" s="2"/>
      <c r="L15148" s="2"/>
    </row>
    <row r="15149" spans="8:12" x14ac:dyDescent="0.3">
      <c r="H15149" s="2"/>
      <c r="I15149" s="2"/>
      <c r="J15149" s="2"/>
      <c r="K15149" s="2"/>
      <c r="L15149" s="2"/>
    </row>
    <row r="15150" spans="8:12" x14ac:dyDescent="0.3">
      <c r="H15150" s="2"/>
      <c r="I15150" s="2"/>
      <c r="J15150" s="2"/>
      <c r="K15150" s="2"/>
      <c r="L15150" s="2"/>
    </row>
    <row r="15151" spans="8:12" x14ac:dyDescent="0.3">
      <c r="H15151" s="2"/>
      <c r="I15151" s="2"/>
      <c r="J15151" s="2"/>
      <c r="K15151" s="2"/>
      <c r="L15151" s="2"/>
    </row>
    <row r="15152" spans="8:12" x14ac:dyDescent="0.3">
      <c r="H15152" s="2"/>
      <c r="I15152" s="2"/>
      <c r="J15152" s="2"/>
      <c r="K15152" s="2"/>
      <c r="L15152" s="2"/>
    </row>
    <row r="15153" spans="8:12" x14ac:dyDescent="0.3">
      <c r="H15153" s="2"/>
      <c r="I15153" s="2"/>
      <c r="J15153" s="2"/>
      <c r="K15153" s="2"/>
      <c r="L15153" s="2"/>
    </row>
    <row r="15154" spans="8:12" x14ac:dyDescent="0.3">
      <c r="H15154" s="2"/>
      <c r="I15154" s="2"/>
      <c r="J15154" s="2"/>
      <c r="K15154" s="2"/>
      <c r="L15154" s="2"/>
    </row>
    <row r="15155" spans="8:12" x14ac:dyDescent="0.3">
      <c r="H15155" s="2"/>
      <c r="I15155" s="2"/>
      <c r="J15155" s="2"/>
      <c r="K15155" s="2"/>
      <c r="L15155" s="2"/>
    </row>
    <row r="15156" spans="8:12" x14ac:dyDescent="0.3">
      <c r="H15156" s="2"/>
      <c r="I15156" s="2"/>
      <c r="J15156" s="2"/>
      <c r="K15156" s="2"/>
      <c r="L15156" s="2"/>
    </row>
    <row r="15157" spans="8:12" x14ac:dyDescent="0.3">
      <c r="H15157" s="2"/>
      <c r="I15157" s="2"/>
      <c r="J15157" s="2"/>
      <c r="K15157" s="2"/>
      <c r="L15157" s="2"/>
    </row>
    <row r="15158" spans="8:12" x14ac:dyDescent="0.3">
      <c r="H15158" s="2"/>
      <c r="I15158" s="2"/>
      <c r="J15158" s="2"/>
      <c r="K15158" s="2"/>
      <c r="L15158" s="2"/>
    </row>
    <row r="15159" spans="8:12" x14ac:dyDescent="0.3">
      <c r="H15159" s="2"/>
      <c r="I15159" s="2"/>
      <c r="J15159" s="2"/>
      <c r="K15159" s="2"/>
      <c r="L15159" s="2"/>
    </row>
    <row r="15160" spans="8:12" x14ac:dyDescent="0.3">
      <c r="H15160" s="2"/>
      <c r="I15160" s="2"/>
      <c r="J15160" s="2"/>
      <c r="K15160" s="2"/>
      <c r="L15160" s="2"/>
    </row>
    <row r="15161" spans="8:12" x14ac:dyDescent="0.3">
      <c r="H15161" s="2"/>
      <c r="I15161" s="2"/>
      <c r="J15161" s="2"/>
      <c r="K15161" s="2"/>
      <c r="L15161" s="2"/>
    </row>
    <row r="15162" spans="8:12" x14ac:dyDescent="0.3">
      <c r="H15162" s="2"/>
      <c r="I15162" s="2"/>
      <c r="J15162" s="2"/>
      <c r="K15162" s="2"/>
      <c r="L15162" s="2"/>
    </row>
    <row r="15163" spans="8:12" x14ac:dyDescent="0.3">
      <c r="H15163" s="2"/>
      <c r="I15163" s="2"/>
      <c r="J15163" s="2"/>
      <c r="K15163" s="2"/>
      <c r="L15163" s="2"/>
    </row>
    <row r="15164" spans="8:12" x14ac:dyDescent="0.3">
      <c r="H15164" s="2"/>
      <c r="I15164" s="2"/>
      <c r="J15164" s="2"/>
      <c r="K15164" s="2"/>
      <c r="L15164" s="2"/>
    </row>
    <row r="15165" spans="8:12" x14ac:dyDescent="0.3">
      <c r="H15165" s="2"/>
      <c r="I15165" s="2"/>
      <c r="J15165" s="2"/>
      <c r="K15165" s="2"/>
      <c r="L15165" s="2"/>
    </row>
    <row r="15166" spans="8:12" x14ac:dyDescent="0.3">
      <c r="H15166" s="2"/>
      <c r="I15166" s="2"/>
      <c r="J15166" s="2"/>
      <c r="K15166" s="2"/>
      <c r="L15166" s="2"/>
    </row>
    <row r="15167" spans="8:12" x14ac:dyDescent="0.3">
      <c r="H15167" s="2"/>
      <c r="I15167" s="2"/>
      <c r="J15167" s="2"/>
      <c r="K15167" s="2"/>
      <c r="L15167" s="2"/>
    </row>
    <row r="15168" spans="8:12" x14ac:dyDescent="0.3">
      <c r="H15168" s="2"/>
      <c r="I15168" s="2"/>
      <c r="J15168" s="2"/>
      <c r="K15168" s="2"/>
      <c r="L15168" s="2"/>
    </row>
    <row r="15169" spans="8:12" x14ac:dyDescent="0.3">
      <c r="H15169" s="2"/>
      <c r="I15169" s="2"/>
      <c r="J15169" s="2"/>
      <c r="K15169" s="2"/>
      <c r="L15169" s="2"/>
    </row>
    <row r="15170" spans="8:12" x14ac:dyDescent="0.3">
      <c r="H15170" s="2"/>
      <c r="I15170" s="2"/>
      <c r="J15170" s="2"/>
      <c r="K15170" s="2"/>
      <c r="L15170" s="2"/>
    </row>
    <row r="15171" spans="8:12" x14ac:dyDescent="0.3">
      <c r="H15171" s="2"/>
      <c r="I15171" s="2"/>
      <c r="J15171" s="2"/>
      <c r="K15171" s="2"/>
      <c r="L15171" s="2"/>
    </row>
    <row r="15172" spans="8:12" x14ac:dyDescent="0.3">
      <c r="H15172" s="2"/>
      <c r="I15172" s="2"/>
      <c r="J15172" s="2"/>
      <c r="K15172" s="2"/>
      <c r="L15172" s="2"/>
    </row>
    <row r="15173" spans="8:12" x14ac:dyDescent="0.3">
      <c r="H15173" s="2"/>
      <c r="I15173" s="2"/>
      <c r="J15173" s="2"/>
      <c r="K15173" s="2"/>
      <c r="L15173" s="2"/>
    </row>
    <row r="15174" spans="8:12" x14ac:dyDescent="0.3">
      <c r="H15174" s="2"/>
      <c r="I15174" s="2"/>
      <c r="J15174" s="2"/>
      <c r="K15174" s="2"/>
      <c r="L15174" s="2"/>
    </row>
    <row r="15175" spans="8:12" x14ac:dyDescent="0.3">
      <c r="H15175" s="2"/>
      <c r="I15175" s="2"/>
      <c r="J15175" s="2"/>
      <c r="K15175" s="2"/>
      <c r="L15175" s="2"/>
    </row>
    <row r="15176" spans="8:12" x14ac:dyDescent="0.3">
      <c r="H15176" s="2"/>
      <c r="I15176" s="2"/>
      <c r="J15176" s="2"/>
      <c r="K15176" s="2"/>
      <c r="L15176" s="2"/>
    </row>
    <row r="15177" spans="8:12" x14ac:dyDescent="0.3">
      <c r="H15177" s="2"/>
      <c r="I15177" s="2"/>
      <c r="J15177" s="2"/>
      <c r="K15177" s="2"/>
      <c r="L15177" s="2"/>
    </row>
    <row r="15178" spans="8:12" x14ac:dyDescent="0.3">
      <c r="H15178" s="2"/>
      <c r="I15178" s="2"/>
      <c r="J15178" s="2"/>
      <c r="K15178" s="2"/>
      <c r="L15178" s="2"/>
    </row>
    <row r="15179" spans="8:12" x14ac:dyDescent="0.3">
      <c r="H15179" s="2"/>
      <c r="I15179" s="2"/>
      <c r="J15179" s="2"/>
      <c r="K15179" s="2"/>
      <c r="L15179" s="2"/>
    </row>
    <row r="15180" spans="8:12" x14ac:dyDescent="0.3">
      <c r="H15180" s="2"/>
      <c r="I15180" s="2"/>
      <c r="J15180" s="2"/>
      <c r="K15180" s="2"/>
      <c r="L15180" s="2"/>
    </row>
    <row r="15181" spans="8:12" x14ac:dyDescent="0.3">
      <c r="H15181" s="2"/>
      <c r="I15181" s="2"/>
      <c r="J15181" s="2"/>
      <c r="K15181" s="2"/>
      <c r="L15181" s="2"/>
    </row>
    <row r="15182" spans="8:12" x14ac:dyDescent="0.3">
      <c r="H15182" s="2"/>
      <c r="I15182" s="2"/>
      <c r="J15182" s="2"/>
      <c r="K15182" s="2"/>
      <c r="L15182" s="2"/>
    </row>
    <row r="15183" spans="8:12" x14ac:dyDescent="0.3">
      <c r="H15183" s="2"/>
      <c r="I15183" s="2"/>
      <c r="J15183" s="2"/>
      <c r="K15183" s="2"/>
      <c r="L15183" s="2"/>
    </row>
    <row r="15184" spans="8:12" x14ac:dyDescent="0.3">
      <c r="H15184" s="2"/>
      <c r="I15184" s="2"/>
      <c r="J15184" s="2"/>
      <c r="K15184" s="2"/>
      <c r="L15184" s="2"/>
    </row>
    <row r="15185" spans="8:12" x14ac:dyDescent="0.3">
      <c r="H15185" s="2"/>
      <c r="I15185" s="2"/>
      <c r="J15185" s="2"/>
      <c r="K15185" s="2"/>
      <c r="L15185" s="2"/>
    </row>
    <row r="15186" spans="8:12" x14ac:dyDescent="0.3">
      <c r="H15186" s="2"/>
      <c r="I15186" s="2"/>
      <c r="J15186" s="2"/>
      <c r="K15186" s="2"/>
      <c r="L15186" s="2"/>
    </row>
    <row r="15187" spans="8:12" x14ac:dyDescent="0.3">
      <c r="H15187" s="2"/>
      <c r="I15187" s="2"/>
      <c r="J15187" s="2"/>
      <c r="K15187" s="2"/>
      <c r="L15187" s="2"/>
    </row>
    <row r="15188" spans="8:12" x14ac:dyDescent="0.3">
      <c r="H15188" s="2"/>
      <c r="I15188" s="2"/>
      <c r="J15188" s="2"/>
      <c r="K15188" s="2"/>
      <c r="L15188" s="2"/>
    </row>
    <row r="15189" spans="8:12" x14ac:dyDescent="0.3">
      <c r="H15189" s="2"/>
      <c r="I15189" s="2"/>
      <c r="J15189" s="2"/>
      <c r="K15189" s="2"/>
      <c r="L15189" s="2"/>
    </row>
    <row r="15190" spans="8:12" x14ac:dyDescent="0.3">
      <c r="H15190" s="2"/>
      <c r="I15190" s="2"/>
      <c r="J15190" s="2"/>
      <c r="K15190" s="2"/>
      <c r="L15190" s="2"/>
    </row>
    <row r="15191" spans="8:12" x14ac:dyDescent="0.3">
      <c r="H15191" s="2"/>
      <c r="I15191" s="2"/>
      <c r="J15191" s="2"/>
      <c r="K15191" s="2"/>
      <c r="L15191" s="2"/>
    </row>
    <row r="15192" spans="8:12" x14ac:dyDescent="0.3">
      <c r="H15192" s="2"/>
      <c r="I15192" s="2"/>
      <c r="J15192" s="2"/>
      <c r="K15192" s="2"/>
      <c r="L15192" s="2"/>
    </row>
    <row r="15193" spans="8:12" x14ac:dyDescent="0.3">
      <c r="H15193" s="2"/>
      <c r="I15193" s="2"/>
      <c r="J15193" s="2"/>
      <c r="K15193" s="2"/>
      <c r="L15193" s="2"/>
    </row>
    <row r="15194" spans="8:12" x14ac:dyDescent="0.3">
      <c r="H15194" s="2"/>
      <c r="I15194" s="2"/>
      <c r="J15194" s="2"/>
      <c r="K15194" s="2"/>
      <c r="L15194" s="2"/>
    </row>
    <row r="15195" spans="8:12" x14ac:dyDescent="0.3">
      <c r="H15195" s="2"/>
      <c r="I15195" s="2"/>
      <c r="J15195" s="2"/>
      <c r="K15195" s="2"/>
      <c r="L15195" s="2"/>
    </row>
    <row r="15196" spans="8:12" x14ac:dyDescent="0.3">
      <c r="H15196" s="2"/>
      <c r="I15196" s="2"/>
      <c r="J15196" s="2"/>
      <c r="K15196" s="2"/>
      <c r="L15196" s="2"/>
    </row>
    <row r="15197" spans="8:12" x14ac:dyDescent="0.3">
      <c r="H15197" s="2"/>
      <c r="I15197" s="2"/>
      <c r="J15197" s="2"/>
      <c r="K15197" s="2"/>
      <c r="L15197" s="2"/>
    </row>
    <row r="15198" spans="8:12" x14ac:dyDescent="0.3">
      <c r="H15198" s="2"/>
      <c r="I15198" s="2"/>
      <c r="J15198" s="2"/>
      <c r="K15198" s="2"/>
      <c r="L15198" s="2"/>
    </row>
    <row r="15199" spans="8:12" x14ac:dyDescent="0.3">
      <c r="H15199" s="2"/>
      <c r="I15199" s="2"/>
      <c r="J15199" s="2"/>
      <c r="K15199" s="2"/>
      <c r="L15199" s="2"/>
    </row>
    <row r="15200" spans="8:12" x14ac:dyDescent="0.3">
      <c r="H15200" s="2"/>
      <c r="I15200" s="2"/>
      <c r="J15200" s="2"/>
      <c r="K15200" s="2"/>
      <c r="L15200" s="2"/>
    </row>
    <row r="15201" spans="8:12" x14ac:dyDescent="0.3">
      <c r="H15201" s="2"/>
      <c r="I15201" s="2"/>
      <c r="J15201" s="2"/>
      <c r="K15201" s="2"/>
      <c r="L15201" s="2"/>
    </row>
    <row r="15202" spans="8:12" x14ac:dyDescent="0.3">
      <c r="H15202" s="2"/>
      <c r="I15202" s="2"/>
      <c r="J15202" s="2"/>
      <c r="K15202" s="2"/>
      <c r="L15202" s="2"/>
    </row>
    <row r="15203" spans="8:12" x14ac:dyDescent="0.3">
      <c r="H15203" s="2"/>
      <c r="I15203" s="2"/>
      <c r="J15203" s="2"/>
      <c r="K15203" s="2"/>
      <c r="L15203" s="2"/>
    </row>
    <row r="15204" spans="8:12" x14ac:dyDescent="0.3">
      <c r="H15204" s="2"/>
      <c r="I15204" s="2"/>
      <c r="J15204" s="2"/>
      <c r="K15204" s="2"/>
      <c r="L15204" s="2"/>
    </row>
    <row r="15205" spans="8:12" x14ac:dyDescent="0.3">
      <c r="H15205" s="2"/>
      <c r="I15205" s="2"/>
      <c r="J15205" s="2"/>
      <c r="K15205" s="2"/>
      <c r="L15205" s="2"/>
    </row>
    <row r="15206" spans="8:12" x14ac:dyDescent="0.3">
      <c r="H15206" s="2"/>
      <c r="I15206" s="2"/>
      <c r="J15206" s="2"/>
      <c r="K15206" s="2"/>
      <c r="L15206" s="2"/>
    </row>
    <row r="15207" spans="8:12" x14ac:dyDescent="0.3">
      <c r="H15207" s="2"/>
      <c r="I15207" s="2"/>
      <c r="J15207" s="2"/>
      <c r="K15207" s="2"/>
      <c r="L15207" s="2"/>
    </row>
    <row r="15208" spans="8:12" x14ac:dyDescent="0.3">
      <c r="H15208" s="2"/>
      <c r="I15208" s="2"/>
      <c r="J15208" s="2"/>
      <c r="K15208" s="2"/>
      <c r="L15208" s="2"/>
    </row>
    <row r="15209" spans="8:12" x14ac:dyDescent="0.3">
      <c r="H15209" s="2"/>
      <c r="I15209" s="2"/>
      <c r="J15209" s="2"/>
      <c r="K15209" s="2"/>
      <c r="L15209" s="2"/>
    </row>
    <row r="15210" spans="8:12" x14ac:dyDescent="0.3">
      <c r="H15210" s="2"/>
      <c r="I15210" s="2"/>
      <c r="J15210" s="2"/>
      <c r="K15210" s="2"/>
      <c r="L15210" s="2"/>
    </row>
    <row r="15211" spans="8:12" x14ac:dyDescent="0.3">
      <c r="H15211" s="2"/>
      <c r="I15211" s="2"/>
      <c r="J15211" s="2"/>
      <c r="K15211" s="2"/>
      <c r="L15211" s="2"/>
    </row>
    <row r="15212" spans="8:12" x14ac:dyDescent="0.3">
      <c r="H15212" s="2"/>
      <c r="I15212" s="2"/>
      <c r="J15212" s="2"/>
      <c r="K15212" s="2"/>
      <c r="L15212" s="2"/>
    </row>
    <row r="15213" spans="8:12" x14ac:dyDescent="0.3">
      <c r="H15213" s="2"/>
      <c r="I15213" s="2"/>
      <c r="J15213" s="2"/>
      <c r="K15213" s="2"/>
      <c r="L15213" s="2"/>
    </row>
    <row r="15214" spans="8:12" x14ac:dyDescent="0.3">
      <c r="H15214" s="2"/>
      <c r="I15214" s="2"/>
      <c r="J15214" s="2"/>
      <c r="K15214" s="2"/>
      <c r="L15214" s="2"/>
    </row>
    <row r="15215" spans="8:12" x14ac:dyDescent="0.3">
      <c r="H15215" s="2"/>
      <c r="I15215" s="2"/>
      <c r="J15215" s="2"/>
      <c r="K15215" s="2"/>
      <c r="L15215" s="2"/>
    </row>
    <row r="15216" spans="8:12" x14ac:dyDescent="0.3">
      <c r="H15216" s="2"/>
      <c r="I15216" s="2"/>
      <c r="J15216" s="2"/>
      <c r="K15216" s="2"/>
      <c r="L15216" s="2"/>
    </row>
    <row r="15217" spans="8:12" x14ac:dyDescent="0.3">
      <c r="H15217" s="2"/>
      <c r="I15217" s="2"/>
      <c r="J15217" s="2"/>
      <c r="K15217" s="2"/>
      <c r="L15217" s="2"/>
    </row>
    <row r="15218" spans="8:12" x14ac:dyDescent="0.3">
      <c r="H15218" s="2"/>
      <c r="I15218" s="2"/>
      <c r="J15218" s="2"/>
      <c r="K15218" s="2"/>
      <c r="L15218" s="2"/>
    </row>
    <row r="15219" spans="8:12" x14ac:dyDescent="0.3">
      <c r="H15219" s="2"/>
      <c r="I15219" s="2"/>
      <c r="J15219" s="2"/>
      <c r="K15219" s="2"/>
      <c r="L15219" s="2"/>
    </row>
    <row r="15220" spans="8:12" x14ac:dyDescent="0.3">
      <c r="H15220" s="2"/>
      <c r="I15220" s="2"/>
      <c r="J15220" s="2"/>
      <c r="K15220" s="2"/>
      <c r="L15220" s="2"/>
    </row>
    <row r="15221" spans="8:12" x14ac:dyDescent="0.3">
      <c r="H15221" s="2"/>
      <c r="I15221" s="2"/>
      <c r="J15221" s="2"/>
      <c r="K15221" s="2"/>
      <c r="L15221" s="2"/>
    </row>
    <row r="15222" spans="8:12" x14ac:dyDescent="0.3">
      <c r="H15222" s="2"/>
      <c r="I15222" s="2"/>
      <c r="J15222" s="2"/>
      <c r="K15222" s="2"/>
      <c r="L15222" s="2"/>
    </row>
    <row r="15223" spans="8:12" x14ac:dyDescent="0.3">
      <c r="H15223" s="2"/>
      <c r="I15223" s="2"/>
      <c r="J15223" s="2"/>
      <c r="K15223" s="2"/>
      <c r="L15223" s="2"/>
    </row>
    <row r="15224" spans="8:12" x14ac:dyDescent="0.3">
      <c r="H15224" s="2"/>
      <c r="I15224" s="2"/>
      <c r="J15224" s="2"/>
      <c r="K15224" s="2"/>
      <c r="L15224" s="2"/>
    </row>
    <row r="15225" spans="8:12" x14ac:dyDescent="0.3">
      <c r="H15225" s="2"/>
      <c r="I15225" s="2"/>
      <c r="J15225" s="2"/>
      <c r="K15225" s="2"/>
      <c r="L15225" s="2"/>
    </row>
    <row r="15226" spans="8:12" x14ac:dyDescent="0.3">
      <c r="H15226" s="2"/>
      <c r="I15226" s="2"/>
      <c r="J15226" s="2"/>
      <c r="K15226" s="2"/>
      <c r="L15226" s="2"/>
    </row>
    <row r="15227" spans="8:12" x14ac:dyDescent="0.3">
      <c r="H15227" s="2"/>
      <c r="I15227" s="2"/>
      <c r="J15227" s="2"/>
      <c r="K15227" s="2"/>
      <c r="L15227" s="2"/>
    </row>
    <row r="15228" spans="8:12" x14ac:dyDescent="0.3">
      <c r="H15228" s="2"/>
      <c r="I15228" s="2"/>
      <c r="J15228" s="2"/>
      <c r="K15228" s="2"/>
      <c r="L15228" s="2"/>
    </row>
    <row r="15229" spans="8:12" x14ac:dyDescent="0.3">
      <c r="H15229" s="2"/>
      <c r="I15229" s="2"/>
      <c r="J15229" s="2"/>
      <c r="K15229" s="2"/>
      <c r="L15229" s="2"/>
    </row>
    <row r="15230" spans="8:12" x14ac:dyDescent="0.3">
      <c r="H15230" s="2"/>
      <c r="I15230" s="2"/>
      <c r="J15230" s="2"/>
      <c r="K15230" s="2"/>
      <c r="L15230" s="2"/>
    </row>
    <row r="15231" spans="8:12" x14ac:dyDescent="0.3">
      <c r="H15231" s="2"/>
      <c r="I15231" s="2"/>
      <c r="J15231" s="2"/>
      <c r="K15231" s="2"/>
      <c r="L15231" s="2"/>
    </row>
    <row r="15232" spans="8:12" x14ac:dyDescent="0.3">
      <c r="H15232" s="2"/>
      <c r="I15232" s="2"/>
      <c r="J15232" s="2"/>
      <c r="K15232" s="2"/>
      <c r="L15232" s="2"/>
    </row>
    <row r="15233" spans="8:12" x14ac:dyDescent="0.3">
      <c r="H15233" s="2"/>
      <c r="I15233" s="2"/>
      <c r="J15233" s="2"/>
      <c r="K15233" s="2"/>
      <c r="L15233" s="2"/>
    </row>
    <row r="15234" spans="8:12" x14ac:dyDescent="0.3">
      <c r="H15234" s="2"/>
      <c r="I15234" s="2"/>
      <c r="J15234" s="2"/>
      <c r="K15234" s="2"/>
      <c r="L15234" s="2"/>
    </row>
    <row r="15235" spans="8:12" x14ac:dyDescent="0.3">
      <c r="H15235" s="2"/>
      <c r="I15235" s="2"/>
      <c r="J15235" s="2"/>
      <c r="K15235" s="2"/>
      <c r="L15235" s="2"/>
    </row>
    <row r="15236" spans="8:12" x14ac:dyDescent="0.3">
      <c r="H15236" s="2"/>
      <c r="I15236" s="2"/>
      <c r="J15236" s="2"/>
      <c r="K15236" s="2"/>
      <c r="L15236" s="2"/>
    </row>
    <row r="15237" spans="8:12" x14ac:dyDescent="0.3">
      <c r="H15237" s="2"/>
      <c r="I15237" s="2"/>
      <c r="J15237" s="2"/>
      <c r="K15237" s="2"/>
      <c r="L15237" s="2"/>
    </row>
    <row r="15238" spans="8:12" x14ac:dyDescent="0.3">
      <c r="H15238" s="2"/>
      <c r="I15238" s="2"/>
      <c r="J15238" s="2"/>
      <c r="K15238" s="2"/>
      <c r="L15238" s="2"/>
    </row>
    <row r="15239" spans="8:12" x14ac:dyDescent="0.3">
      <c r="H15239" s="2"/>
      <c r="I15239" s="2"/>
      <c r="J15239" s="2"/>
      <c r="K15239" s="2"/>
      <c r="L15239" s="2"/>
    </row>
    <row r="15240" spans="8:12" x14ac:dyDescent="0.3">
      <c r="H15240" s="2"/>
      <c r="I15240" s="2"/>
      <c r="J15240" s="2"/>
      <c r="K15240" s="2"/>
      <c r="L15240" s="2"/>
    </row>
    <row r="15241" spans="8:12" x14ac:dyDescent="0.3">
      <c r="H15241" s="2"/>
      <c r="I15241" s="2"/>
      <c r="J15241" s="2"/>
      <c r="K15241" s="2"/>
      <c r="L15241" s="2"/>
    </row>
    <row r="15242" spans="8:12" x14ac:dyDescent="0.3">
      <c r="H15242" s="2"/>
      <c r="I15242" s="2"/>
      <c r="J15242" s="2"/>
      <c r="K15242" s="2"/>
      <c r="L15242" s="2"/>
    </row>
    <row r="15243" spans="8:12" x14ac:dyDescent="0.3">
      <c r="H15243" s="2"/>
      <c r="I15243" s="2"/>
      <c r="J15243" s="2"/>
      <c r="K15243" s="2"/>
      <c r="L15243" s="2"/>
    </row>
    <row r="15244" spans="8:12" x14ac:dyDescent="0.3">
      <c r="H15244" s="2"/>
      <c r="I15244" s="2"/>
      <c r="J15244" s="2"/>
      <c r="K15244" s="2"/>
      <c r="L15244" s="2"/>
    </row>
    <row r="15245" spans="8:12" x14ac:dyDescent="0.3">
      <c r="H15245" s="2"/>
      <c r="I15245" s="2"/>
      <c r="J15245" s="2"/>
      <c r="K15245" s="2"/>
      <c r="L15245" s="2"/>
    </row>
    <row r="15246" spans="8:12" x14ac:dyDescent="0.3">
      <c r="H15246" s="2"/>
      <c r="I15246" s="2"/>
      <c r="J15246" s="2"/>
      <c r="K15246" s="2"/>
      <c r="L15246" s="2"/>
    </row>
    <row r="15247" spans="8:12" x14ac:dyDescent="0.3">
      <c r="H15247" s="2"/>
      <c r="I15247" s="2"/>
      <c r="J15247" s="2"/>
      <c r="K15247" s="2"/>
      <c r="L15247" s="2"/>
    </row>
    <row r="15248" spans="8:12" x14ac:dyDescent="0.3">
      <c r="H15248" s="2"/>
      <c r="I15248" s="2"/>
      <c r="J15248" s="2"/>
      <c r="K15248" s="2"/>
      <c r="L15248" s="2"/>
    </row>
    <row r="15249" spans="8:12" x14ac:dyDescent="0.3">
      <c r="H15249" s="2"/>
      <c r="I15249" s="2"/>
      <c r="J15249" s="2"/>
      <c r="K15249" s="2"/>
      <c r="L15249" s="2"/>
    </row>
    <row r="15250" spans="8:12" x14ac:dyDescent="0.3">
      <c r="H15250" s="2"/>
      <c r="I15250" s="2"/>
      <c r="J15250" s="2"/>
      <c r="K15250" s="2"/>
      <c r="L15250" s="2"/>
    </row>
    <row r="15251" spans="8:12" x14ac:dyDescent="0.3">
      <c r="H15251" s="2"/>
      <c r="I15251" s="2"/>
      <c r="J15251" s="2"/>
      <c r="K15251" s="2"/>
      <c r="L15251" s="2"/>
    </row>
    <row r="15252" spans="8:12" x14ac:dyDescent="0.3">
      <c r="H15252" s="2"/>
      <c r="I15252" s="2"/>
      <c r="J15252" s="2"/>
      <c r="K15252" s="2"/>
      <c r="L15252" s="2"/>
    </row>
    <row r="15253" spans="8:12" x14ac:dyDescent="0.3">
      <c r="H15253" s="2"/>
      <c r="I15253" s="2"/>
      <c r="J15253" s="2"/>
      <c r="K15253" s="2"/>
      <c r="L15253" s="2"/>
    </row>
    <row r="15254" spans="8:12" x14ac:dyDescent="0.3">
      <c r="H15254" s="2"/>
      <c r="I15254" s="2"/>
      <c r="J15254" s="2"/>
      <c r="K15254" s="2"/>
      <c r="L15254" s="2"/>
    </row>
    <row r="15255" spans="8:12" x14ac:dyDescent="0.3">
      <c r="H15255" s="2"/>
      <c r="I15255" s="2"/>
      <c r="J15255" s="2"/>
      <c r="K15255" s="2"/>
      <c r="L15255" s="2"/>
    </row>
    <row r="15256" spans="8:12" x14ac:dyDescent="0.3">
      <c r="H15256" s="2"/>
      <c r="I15256" s="2"/>
      <c r="J15256" s="2"/>
      <c r="K15256" s="2"/>
      <c r="L15256" s="2"/>
    </row>
    <row r="15257" spans="8:12" x14ac:dyDescent="0.3">
      <c r="H15257" s="2"/>
      <c r="I15257" s="2"/>
      <c r="J15257" s="2"/>
      <c r="K15257" s="2"/>
      <c r="L15257" s="2"/>
    </row>
    <row r="15258" spans="8:12" x14ac:dyDescent="0.3">
      <c r="H15258" s="2"/>
      <c r="I15258" s="2"/>
      <c r="J15258" s="2"/>
      <c r="K15258" s="2"/>
      <c r="L15258" s="2"/>
    </row>
    <row r="15259" spans="8:12" x14ac:dyDescent="0.3">
      <c r="H15259" s="2"/>
      <c r="I15259" s="2"/>
      <c r="J15259" s="2"/>
      <c r="K15259" s="2"/>
      <c r="L15259" s="2"/>
    </row>
    <row r="15260" spans="8:12" x14ac:dyDescent="0.3">
      <c r="H15260" s="2"/>
      <c r="I15260" s="2"/>
      <c r="J15260" s="2"/>
      <c r="K15260" s="2"/>
      <c r="L15260" s="2"/>
    </row>
    <row r="15261" spans="8:12" x14ac:dyDescent="0.3">
      <c r="H15261" s="2"/>
      <c r="I15261" s="2"/>
      <c r="J15261" s="2"/>
      <c r="K15261" s="2"/>
      <c r="L15261" s="2"/>
    </row>
    <row r="15262" spans="8:12" x14ac:dyDescent="0.3">
      <c r="H15262" s="2"/>
      <c r="I15262" s="2"/>
      <c r="J15262" s="2"/>
      <c r="K15262" s="2"/>
      <c r="L15262" s="2"/>
    </row>
    <row r="15263" spans="8:12" x14ac:dyDescent="0.3">
      <c r="H15263" s="2"/>
      <c r="I15263" s="2"/>
      <c r="J15263" s="2"/>
      <c r="K15263" s="2"/>
      <c r="L15263" s="2"/>
    </row>
    <row r="15264" spans="8:12" x14ac:dyDescent="0.3">
      <c r="H15264" s="2"/>
      <c r="I15264" s="2"/>
      <c r="J15264" s="2"/>
      <c r="K15264" s="2"/>
      <c r="L15264" s="2"/>
    </row>
    <row r="15265" spans="8:12" x14ac:dyDescent="0.3">
      <c r="H15265" s="2"/>
      <c r="I15265" s="2"/>
      <c r="J15265" s="2"/>
      <c r="K15265" s="2"/>
      <c r="L15265" s="2"/>
    </row>
    <row r="15266" spans="8:12" x14ac:dyDescent="0.3">
      <c r="H15266" s="2"/>
      <c r="I15266" s="2"/>
      <c r="J15266" s="2"/>
      <c r="K15266" s="2"/>
      <c r="L15266" s="2"/>
    </row>
    <row r="15267" spans="8:12" x14ac:dyDescent="0.3">
      <c r="H15267" s="2"/>
      <c r="I15267" s="2"/>
      <c r="J15267" s="2"/>
      <c r="K15267" s="2"/>
      <c r="L15267" s="2"/>
    </row>
    <row r="15268" spans="8:12" x14ac:dyDescent="0.3">
      <c r="H15268" s="2"/>
      <c r="I15268" s="2"/>
      <c r="J15268" s="2"/>
      <c r="K15268" s="2"/>
      <c r="L15268" s="2"/>
    </row>
    <row r="15269" spans="8:12" x14ac:dyDescent="0.3">
      <c r="H15269" s="2"/>
      <c r="I15269" s="2"/>
      <c r="J15269" s="2"/>
      <c r="K15269" s="2"/>
      <c r="L15269" s="2"/>
    </row>
    <row r="15270" spans="8:12" x14ac:dyDescent="0.3">
      <c r="H15270" s="2"/>
      <c r="I15270" s="2"/>
      <c r="J15270" s="2"/>
      <c r="K15270" s="2"/>
      <c r="L15270" s="2"/>
    </row>
    <row r="15271" spans="8:12" x14ac:dyDescent="0.3">
      <c r="H15271" s="2"/>
      <c r="I15271" s="2"/>
      <c r="J15271" s="2"/>
      <c r="K15271" s="2"/>
      <c r="L15271" s="2"/>
    </row>
    <row r="15272" spans="8:12" x14ac:dyDescent="0.3">
      <c r="H15272" s="2"/>
      <c r="I15272" s="2"/>
      <c r="J15272" s="2"/>
      <c r="K15272" s="2"/>
      <c r="L15272" s="2"/>
    </row>
    <row r="15273" spans="8:12" x14ac:dyDescent="0.3">
      <c r="H15273" s="2"/>
      <c r="I15273" s="2"/>
      <c r="J15273" s="2"/>
      <c r="K15273" s="2"/>
      <c r="L15273" s="2"/>
    </row>
    <row r="15274" spans="8:12" x14ac:dyDescent="0.3">
      <c r="H15274" s="2"/>
      <c r="I15274" s="2"/>
      <c r="J15274" s="2"/>
      <c r="K15274" s="2"/>
      <c r="L15274" s="2"/>
    </row>
    <row r="15275" spans="8:12" x14ac:dyDescent="0.3">
      <c r="H15275" s="2"/>
      <c r="I15275" s="2"/>
      <c r="J15275" s="2"/>
      <c r="K15275" s="2"/>
      <c r="L15275" s="2"/>
    </row>
    <row r="15276" spans="8:12" x14ac:dyDescent="0.3">
      <c r="H15276" s="2"/>
      <c r="I15276" s="2"/>
      <c r="J15276" s="2"/>
      <c r="K15276" s="2"/>
      <c r="L15276" s="2"/>
    </row>
    <row r="15277" spans="8:12" x14ac:dyDescent="0.3">
      <c r="H15277" s="2"/>
      <c r="I15277" s="2"/>
      <c r="J15277" s="2"/>
      <c r="K15277" s="2"/>
      <c r="L15277" s="2"/>
    </row>
    <row r="15278" spans="8:12" x14ac:dyDescent="0.3">
      <c r="H15278" s="2"/>
      <c r="I15278" s="2"/>
      <c r="J15278" s="2"/>
      <c r="K15278" s="2"/>
      <c r="L15278" s="2"/>
    </row>
    <row r="15279" spans="8:12" x14ac:dyDescent="0.3">
      <c r="H15279" s="2"/>
      <c r="I15279" s="2"/>
      <c r="J15279" s="2"/>
      <c r="K15279" s="2"/>
      <c r="L15279" s="2"/>
    </row>
    <row r="15280" spans="8:12" x14ac:dyDescent="0.3">
      <c r="H15280" s="2"/>
      <c r="I15280" s="2"/>
      <c r="J15280" s="2"/>
      <c r="K15280" s="2"/>
      <c r="L15280" s="2"/>
    </row>
    <row r="15281" spans="8:12" x14ac:dyDescent="0.3">
      <c r="H15281" s="2"/>
      <c r="I15281" s="2"/>
      <c r="J15281" s="2"/>
      <c r="K15281" s="2"/>
      <c r="L15281" s="2"/>
    </row>
    <row r="15282" spans="8:12" x14ac:dyDescent="0.3">
      <c r="H15282" s="2"/>
      <c r="I15282" s="2"/>
      <c r="J15282" s="2"/>
      <c r="K15282" s="2"/>
      <c r="L15282" s="2"/>
    </row>
    <row r="15283" spans="8:12" x14ac:dyDescent="0.3">
      <c r="H15283" s="2"/>
      <c r="I15283" s="2"/>
      <c r="J15283" s="2"/>
      <c r="K15283" s="2"/>
      <c r="L15283" s="2"/>
    </row>
    <row r="15284" spans="8:12" x14ac:dyDescent="0.3">
      <c r="H15284" s="2"/>
      <c r="I15284" s="2"/>
      <c r="J15284" s="2"/>
      <c r="K15284" s="2"/>
      <c r="L15284" s="2"/>
    </row>
    <row r="15285" spans="8:12" x14ac:dyDescent="0.3">
      <c r="H15285" s="2"/>
      <c r="I15285" s="2"/>
      <c r="J15285" s="2"/>
      <c r="K15285" s="2"/>
      <c r="L15285" s="2"/>
    </row>
    <row r="15286" spans="8:12" x14ac:dyDescent="0.3">
      <c r="H15286" s="2"/>
      <c r="I15286" s="2"/>
      <c r="J15286" s="2"/>
      <c r="K15286" s="2"/>
      <c r="L15286" s="2"/>
    </row>
    <row r="15287" spans="8:12" x14ac:dyDescent="0.3">
      <c r="H15287" s="2"/>
      <c r="I15287" s="2"/>
      <c r="J15287" s="2"/>
      <c r="K15287" s="2"/>
      <c r="L15287" s="2"/>
    </row>
    <row r="15288" spans="8:12" x14ac:dyDescent="0.3">
      <c r="H15288" s="2"/>
      <c r="I15288" s="2"/>
      <c r="J15288" s="2"/>
      <c r="K15288" s="2"/>
      <c r="L15288" s="2"/>
    </row>
    <row r="15289" spans="8:12" x14ac:dyDescent="0.3">
      <c r="H15289" s="2"/>
      <c r="I15289" s="2"/>
      <c r="J15289" s="2"/>
      <c r="K15289" s="2"/>
      <c r="L15289" s="2"/>
    </row>
    <row r="15290" spans="8:12" x14ac:dyDescent="0.3">
      <c r="H15290" s="2"/>
      <c r="I15290" s="2"/>
      <c r="J15290" s="2"/>
      <c r="K15290" s="2"/>
      <c r="L15290" s="2"/>
    </row>
    <row r="15291" spans="8:12" x14ac:dyDescent="0.3">
      <c r="H15291" s="2"/>
      <c r="I15291" s="2"/>
      <c r="J15291" s="2"/>
      <c r="K15291" s="2"/>
      <c r="L15291" s="2"/>
    </row>
    <row r="15292" spans="8:12" x14ac:dyDescent="0.3">
      <c r="H15292" s="2"/>
      <c r="I15292" s="2"/>
      <c r="J15292" s="2"/>
      <c r="K15292" s="2"/>
      <c r="L15292" s="2"/>
    </row>
    <row r="15293" spans="8:12" x14ac:dyDescent="0.3">
      <c r="H15293" s="2"/>
      <c r="I15293" s="2"/>
      <c r="J15293" s="2"/>
      <c r="K15293" s="2"/>
      <c r="L15293" s="2"/>
    </row>
    <row r="15294" spans="8:12" x14ac:dyDescent="0.3">
      <c r="H15294" s="2"/>
      <c r="I15294" s="2"/>
      <c r="J15294" s="2"/>
      <c r="K15294" s="2"/>
      <c r="L15294" s="2"/>
    </row>
    <row r="15295" spans="8:12" x14ac:dyDescent="0.3">
      <c r="H15295" s="2"/>
      <c r="I15295" s="2"/>
      <c r="J15295" s="2"/>
      <c r="K15295" s="2"/>
      <c r="L15295" s="2"/>
    </row>
    <row r="15296" spans="8:12" x14ac:dyDescent="0.3">
      <c r="H15296" s="2"/>
      <c r="I15296" s="2"/>
      <c r="J15296" s="2"/>
      <c r="K15296" s="2"/>
      <c r="L15296" s="2"/>
    </row>
    <row r="15297" spans="8:12" x14ac:dyDescent="0.3">
      <c r="H15297" s="2"/>
      <c r="I15297" s="2"/>
      <c r="J15297" s="2"/>
      <c r="K15297" s="2"/>
      <c r="L15297" s="2"/>
    </row>
    <row r="15298" spans="8:12" x14ac:dyDescent="0.3">
      <c r="H15298" s="2"/>
      <c r="I15298" s="2"/>
      <c r="J15298" s="2"/>
      <c r="K15298" s="2"/>
      <c r="L15298" s="2"/>
    </row>
    <row r="15299" spans="8:12" x14ac:dyDescent="0.3">
      <c r="H15299" s="2"/>
      <c r="I15299" s="2"/>
      <c r="J15299" s="2"/>
      <c r="K15299" s="2"/>
      <c r="L15299" s="2"/>
    </row>
    <row r="15300" spans="8:12" x14ac:dyDescent="0.3">
      <c r="H15300" s="2"/>
      <c r="I15300" s="2"/>
      <c r="J15300" s="2"/>
      <c r="K15300" s="2"/>
      <c r="L15300" s="2"/>
    </row>
    <row r="15301" spans="8:12" x14ac:dyDescent="0.3">
      <c r="H15301" s="2"/>
      <c r="I15301" s="2"/>
      <c r="J15301" s="2"/>
      <c r="K15301" s="2"/>
      <c r="L15301" s="2"/>
    </row>
    <row r="15302" spans="8:12" x14ac:dyDescent="0.3">
      <c r="H15302" s="2"/>
      <c r="I15302" s="2"/>
      <c r="J15302" s="2"/>
      <c r="K15302" s="2"/>
      <c r="L15302" s="2"/>
    </row>
    <row r="15303" spans="8:12" x14ac:dyDescent="0.3">
      <c r="H15303" s="2"/>
      <c r="I15303" s="2"/>
      <c r="J15303" s="2"/>
      <c r="K15303" s="2"/>
      <c r="L15303" s="2"/>
    </row>
    <row r="15304" spans="8:12" x14ac:dyDescent="0.3">
      <c r="H15304" s="2"/>
      <c r="I15304" s="2"/>
      <c r="J15304" s="2"/>
      <c r="K15304" s="2"/>
      <c r="L15304" s="2"/>
    </row>
    <row r="15305" spans="8:12" x14ac:dyDescent="0.3">
      <c r="H15305" s="2"/>
      <c r="I15305" s="2"/>
      <c r="J15305" s="2"/>
      <c r="K15305" s="2"/>
      <c r="L15305" s="2"/>
    </row>
    <row r="15306" spans="8:12" x14ac:dyDescent="0.3">
      <c r="H15306" s="2"/>
      <c r="I15306" s="2"/>
      <c r="J15306" s="2"/>
      <c r="K15306" s="2"/>
      <c r="L15306" s="2"/>
    </row>
    <row r="15307" spans="8:12" x14ac:dyDescent="0.3">
      <c r="H15307" s="2"/>
      <c r="I15307" s="2"/>
      <c r="J15307" s="2"/>
      <c r="K15307" s="2"/>
      <c r="L15307" s="2"/>
    </row>
    <row r="15308" spans="8:12" x14ac:dyDescent="0.3">
      <c r="H15308" s="2"/>
      <c r="I15308" s="2"/>
      <c r="J15308" s="2"/>
      <c r="K15308" s="2"/>
      <c r="L15308" s="2"/>
    </row>
    <row r="15309" spans="8:12" x14ac:dyDescent="0.3">
      <c r="H15309" s="2"/>
      <c r="I15309" s="2"/>
      <c r="J15309" s="2"/>
      <c r="K15309" s="2"/>
      <c r="L15309" s="2"/>
    </row>
    <row r="15310" spans="8:12" x14ac:dyDescent="0.3">
      <c r="H15310" s="2"/>
      <c r="I15310" s="2"/>
      <c r="J15310" s="2"/>
      <c r="K15310" s="2"/>
      <c r="L15310" s="2"/>
    </row>
    <row r="15311" spans="8:12" x14ac:dyDescent="0.3">
      <c r="H15311" s="2"/>
      <c r="I15311" s="2"/>
      <c r="J15311" s="2"/>
      <c r="K15311" s="2"/>
      <c r="L15311" s="2"/>
    </row>
    <row r="15312" spans="8:12" x14ac:dyDescent="0.3">
      <c r="H15312" s="2"/>
      <c r="I15312" s="2"/>
      <c r="J15312" s="2"/>
      <c r="K15312" s="2"/>
      <c r="L15312" s="2"/>
    </row>
    <row r="15313" spans="8:12" x14ac:dyDescent="0.3">
      <c r="H15313" s="2"/>
      <c r="I15313" s="2"/>
      <c r="J15313" s="2"/>
      <c r="K15313" s="2"/>
      <c r="L15313" s="2"/>
    </row>
    <row r="15314" spans="8:12" x14ac:dyDescent="0.3">
      <c r="H15314" s="2"/>
      <c r="I15314" s="2"/>
      <c r="J15314" s="2"/>
      <c r="K15314" s="2"/>
      <c r="L15314" s="2"/>
    </row>
    <row r="15315" spans="8:12" x14ac:dyDescent="0.3">
      <c r="H15315" s="2"/>
      <c r="I15315" s="2"/>
      <c r="J15315" s="2"/>
      <c r="K15315" s="2"/>
      <c r="L15315" s="2"/>
    </row>
    <row r="15316" spans="8:12" x14ac:dyDescent="0.3">
      <c r="H15316" s="2"/>
      <c r="I15316" s="2"/>
      <c r="J15316" s="2"/>
      <c r="K15316" s="2"/>
      <c r="L15316" s="2"/>
    </row>
    <row r="15317" spans="8:12" x14ac:dyDescent="0.3">
      <c r="H15317" s="2"/>
      <c r="I15317" s="2"/>
      <c r="J15317" s="2"/>
      <c r="K15317" s="2"/>
      <c r="L15317" s="2"/>
    </row>
    <row r="15318" spans="8:12" x14ac:dyDescent="0.3">
      <c r="H15318" s="2"/>
      <c r="I15318" s="2"/>
      <c r="J15318" s="2"/>
      <c r="K15318" s="2"/>
      <c r="L15318" s="2"/>
    </row>
    <row r="15319" spans="8:12" x14ac:dyDescent="0.3">
      <c r="H15319" s="2"/>
      <c r="I15319" s="2"/>
      <c r="J15319" s="2"/>
      <c r="K15319" s="2"/>
      <c r="L15319" s="2"/>
    </row>
    <row r="15320" spans="8:12" x14ac:dyDescent="0.3">
      <c r="H15320" s="2"/>
      <c r="I15320" s="2"/>
      <c r="J15320" s="2"/>
      <c r="K15320" s="2"/>
      <c r="L15320" s="2"/>
    </row>
    <row r="15321" spans="8:12" x14ac:dyDescent="0.3">
      <c r="H15321" s="2"/>
      <c r="I15321" s="2"/>
      <c r="J15321" s="2"/>
      <c r="K15321" s="2"/>
      <c r="L15321" s="2"/>
    </row>
    <row r="15322" spans="8:12" x14ac:dyDescent="0.3">
      <c r="H15322" s="2"/>
      <c r="I15322" s="2"/>
      <c r="J15322" s="2"/>
      <c r="K15322" s="2"/>
      <c r="L15322" s="2"/>
    </row>
    <row r="15323" spans="8:12" x14ac:dyDescent="0.3">
      <c r="H15323" s="2"/>
      <c r="I15323" s="2"/>
      <c r="J15323" s="2"/>
      <c r="K15323" s="2"/>
      <c r="L15323" s="2"/>
    </row>
    <row r="15324" spans="8:12" x14ac:dyDescent="0.3">
      <c r="H15324" s="2"/>
      <c r="I15324" s="2"/>
      <c r="J15324" s="2"/>
      <c r="K15324" s="2"/>
      <c r="L15324" s="2"/>
    </row>
    <row r="15325" spans="8:12" x14ac:dyDescent="0.3">
      <c r="H15325" s="2"/>
      <c r="I15325" s="2"/>
      <c r="J15325" s="2"/>
      <c r="K15325" s="2"/>
      <c r="L15325" s="2"/>
    </row>
    <row r="15326" spans="8:12" x14ac:dyDescent="0.3">
      <c r="H15326" s="2"/>
      <c r="I15326" s="2"/>
      <c r="J15326" s="2"/>
      <c r="K15326" s="2"/>
      <c r="L15326" s="2"/>
    </row>
    <row r="15327" spans="8:12" x14ac:dyDescent="0.3">
      <c r="H15327" s="2"/>
      <c r="I15327" s="2"/>
      <c r="J15327" s="2"/>
      <c r="K15327" s="2"/>
      <c r="L15327" s="2"/>
    </row>
    <row r="15328" spans="8:12" x14ac:dyDescent="0.3">
      <c r="H15328" s="2"/>
      <c r="I15328" s="2"/>
      <c r="J15328" s="2"/>
      <c r="K15328" s="2"/>
      <c r="L15328" s="2"/>
    </row>
    <row r="15329" spans="8:12" x14ac:dyDescent="0.3">
      <c r="H15329" s="2"/>
      <c r="I15329" s="2"/>
      <c r="J15329" s="2"/>
      <c r="K15329" s="2"/>
      <c r="L15329" s="2"/>
    </row>
    <row r="15330" spans="8:12" x14ac:dyDescent="0.3">
      <c r="H15330" s="2"/>
      <c r="I15330" s="2"/>
      <c r="J15330" s="2"/>
      <c r="K15330" s="2"/>
      <c r="L15330" s="2"/>
    </row>
    <row r="15331" spans="8:12" x14ac:dyDescent="0.3">
      <c r="H15331" s="2"/>
      <c r="I15331" s="2"/>
      <c r="J15331" s="2"/>
      <c r="K15331" s="2"/>
      <c r="L15331" s="2"/>
    </row>
    <row r="15332" spans="8:12" x14ac:dyDescent="0.3">
      <c r="H15332" s="2"/>
      <c r="I15332" s="2"/>
      <c r="J15332" s="2"/>
      <c r="K15332" s="2"/>
      <c r="L15332" s="2"/>
    </row>
    <row r="15333" spans="8:12" x14ac:dyDescent="0.3">
      <c r="H15333" s="2"/>
      <c r="I15333" s="2"/>
      <c r="J15333" s="2"/>
      <c r="K15333" s="2"/>
      <c r="L15333" s="2"/>
    </row>
    <row r="15334" spans="8:12" x14ac:dyDescent="0.3">
      <c r="H15334" s="2"/>
      <c r="I15334" s="2"/>
      <c r="J15334" s="2"/>
      <c r="K15334" s="2"/>
      <c r="L15334" s="2"/>
    </row>
    <row r="15335" spans="8:12" x14ac:dyDescent="0.3">
      <c r="H15335" s="2"/>
      <c r="I15335" s="2"/>
      <c r="J15335" s="2"/>
      <c r="K15335" s="2"/>
      <c r="L15335" s="2"/>
    </row>
    <row r="15336" spans="8:12" x14ac:dyDescent="0.3">
      <c r="H15336" s="2"/>
      <c r="I15336" s="2"/>
      <c r="J15336" s="2"/>
      <c r="K15336" s="2"/>
      <c r="L15336" s="2"/>
    </row>
    <row r="15337" spans="8:12" x14ac:dyDescent="0.3">
      <c r="H15337" s="2"/>
      <c r="I15337" s="2"/>
      <c r="J15337" s="2"/>
      <c r="K15337" s="2"/>
      <c r="L15337" s="2"/>
    </row>
    <row r="15338" spans="8:12" x14ac:dyDescent="0.3">
      <c r="H15338" s="2"/>
      <c r="I15338" s="2"/>
      <c r="J15338" s="2"/>
      <c r="K15338" s="2"/>
      <c r="L15338" s="2"/>
    </row>
    <row r="15339" spans="8:12" x14ac:dyDescent="0.3">
      <c r="H15339" s="2"/>
      <c r="I15339" s="2"/>
      <c r="J15339" s="2"/>
      <c r="K15339" s="2"/>
      <c r="L15339" s="2"/>
    </row>
    <row r="15340" spans="8:12" x14ac:dyDescent="0.3">
      <c r="H15340" s="2"/>
      <c r="I15340" s="2"/>
      <c r="J15340" s="2"/>
      <c r="K15340" s="2"/>
      <c r="L15340" s="2"/>
    </row>
    <row r="15341" spans="8:12" x14ac:dyDescent="0.3">
      <c r="H15341" s="2"/>
      <c r="I15341" s="2"/>
      <c r="J15341" s="2"/>
      <c r="K15341" s="2"/>
      <c r="L15341" s="2"/>
    </row>
    <row r="15342" spans="8:12" x14ac:dyDescent="0.3">
      <c r="H15342" s="2"/>
      <c r="I15342" s="2"/>
      <c r="J15342" s="2"/>
      <c r="K15342" s="2"/>
      <c r="L15342" s="2"/>
    </row>
    <row r="15343" spans="8:12" x14ac:dyDescent="0.3">
      <c r="H15343" s="2"/>
      <c r="I15343" s="2"/>
      <c r="J15343" s="2"/>
      <c r="K15343" s="2"/>
      <c r="L15343" s="2"/>
    </row>
    <row r="15344" spans="8:12" x14ac:dyDescent="0.3">
      <c r="H15344" s="2"/>
      <c r="I15344" s="2"/>
      <c r="J15344" s="2"/>
      <c r="K15344" s="2"/>
      <c r="L15344" s="2"/>
    </row>
    <row r="15345" spans="8:12" x14ac:dyDescent="0.3">
      <c r="H15345" s="2"/>
      <c r="I15345" s="2"/>
      <c r="J15345" s="2"/>
      <c r="K15345" s="2"/>
      <c r="L15345" s="2"/>
    </row>
    <row r="15346" spans="8:12" x14ac:dyDescent="0.3">
      <c r="H15346" s="2"/>
      <c r="I15346" s="2"/>
      <c r="J15346" s="2"/>
      <c r="K15346" s="2"/>
      <c r="L15346" s="2"/>
    </row>
    <row r="15347" spans="8:12" x14ac:dyDescent="0.3">
      <c r="H15347" s="2"/>
      <c r="I15347" s="2"/>
      <c r="J15347" s="2"/>
      <c r="K15347" s="2"/>
      <c r="L15347" s="2"/>
    </row>
    <row r="15348" spans="8:12" x14ac:dyDescent="0.3">
      <c r="H15348" s="2"/>
      <c r="I15348" s="2"/>
      <c r="J15348" s="2"/>
      <c r="K15348" s="2"/>
      <c r="L15348" s="2"/>
    </row>
    <row r="15349" spans="8:12" x14ac:dyDescent="0.3">
      <c r="H15349" s="2"/>
      <c r="I15349" s="2"/>
      <c r="J15349" s="2"/>
      <c r="K15349" s="2"/>
      <c r="L15349" s="2"/>
    </row>
    <row r="15350" spans="8:12" x14ac:dyDescent="0.3">
      <c r="H15350" s="2"/>
      <c r="I15350" s="2"/>
      <c r="J15350" s="2"/>
      <c r="K15350" s="2"/>
      <c r="L15350" s="2"/>
    </row>
    <row r="15351" spans="8:12" x14ac:dyDescent="0.3">
      <c r="H15351" s="2"/>
      <c r="I15351" s="2"/>
      <c r="J15351" s="2"/>
      <c r="K15351" s="2"/>
      <c r="L15351" s="2"/>
    </row>
    <row r="15352" spans="8:12" x14ac:dyDescent="0.3">
      <c r="H15352" s="2"/>
      <c r="I15352" s="2"/>
      <c r="J15352" s="2"/>
      <c r="K15352" s="2"/>
      <c r="L15352" s="2"/>
    </row>
    <row r="15353" spans="8:12" x14ac:dyDescent="0.3">
      <c r="H15353" s="2"/>
      <c r="I15353" s="2"/>
      <c r="J15353" s="2"/>
      <c r="K15353" s="2"/>
      <c r="L15353" s="2"/>
    </row>
    <row r="15354" spans="8:12" x14ac:dyDescent="0.3">
      <c r="H15354" s="2"/>
      <c r="I15354" s="2"/>
      <c r="J15354" s="2"/>
      <c r="K15354" s="2"/>
      <c r="L15354" s="2"/>
    </row>
    <row r="15355" spans="8:12" x14ac:dyDescent="0.3">
      <c r="H15355" s="2"/>
      <c r="I15355" s="2"/>
      <c r="J15355" s="2"/>
      <c r="K15355" s="2"/>
      <c r="L15355" s="2"/>
    </row>
    <row r="15356" spans="8:12" x14ac:dyDescent="0.3">
      <c r="H15356" s="2"/>
      <c r="I15356" s="2"/>
      <c r="J15356" s="2"/>
      <c r="K15356" s="2"/>
      <c r="L15356" s="2"/>
    </row>
    <row r="15357" spans="8:12" x14ac:dyDescent="0.3">
      <c r="H15357" s="2"/>
      <c r="I15357" s="2"/>
      <c r="J15357" s="2"/>
      <c r="K15357" s="2"/>
      <c r="L15357" s="2"/>
    </row>
    <row r="15358" spans="8:12" x14ac:dyDescent="0.3">
      <c r="H15358" s="2"/>
      <c r="I15358" s="2"/>
      <c r="J15358" s="2"/>
      <c r="K15358" s="2"/>
      <c r="L15358" s="2"/>
    </row>
    <row r="15359" spans="8:12" x14ac:dyDescent="0.3">
      <c r="H15359" s="2"/>
      <c r="I15359" s="2"/>
      <c r="J15359" s="2"/>
      <c r="K15359" s="2"/>
      <c r="L15359" s="2"/>
    </row>
    <row r="15360" spans="8:12" x14ac:dyDescent="0.3">
      <c r="H15360" s="2"/>
      <c r="I15360" s="2"/>
      <c r="J15360" s="2"/>
      <c r="K15360" s="2"/>
      <c r="L15360" s="2"/>
    </row>
    <row r="15361" spans="8:12" x14ac:dyDescent="0.3">
      <c r="H15361" s="2"/>
      <c r="I15361" s="2"/>
      <c r="J15361" s="2"/>
      <c r="K15361" s="2"/>
      <c r="L15361" s="2"/>
    </row>
    <row r="15362" spans="8:12" x14ac:dyDescent="0.3">
      <c r="H15362" s="2"/>
      <c r="I15362" s="2"/>
      <c r="J15362" s="2"/>
      <c r="K15362" s="2"/>
      <c r="L15362" s="2"/>
    </row>
    <row r="15363" spans="8:12" x14ac:dyDescent="0.3">
      <c r="H15363" s="2"/>
      <c r="I15363" s="2"/>
      <c r="J15363" s="2"/>
      <c r="K15363" s="2"/>
      <c r="L15363" s="2"/>
    </row>
    <row r="15364" spans="8:12" x14ac:dyDescent="0.3">
      <c r="H15364" s="2"/>
      <c r="I15364" s="2"/>
      <c r="J15364" s="2"/>
      <c r="K15364" s="2"/>
      <c r="L15364" s="2"/>
    </row>
    <row r="15365" spans="8:12" x14ac:dyDescent="0.3">
      <c r="H15365" s="2"/>
      <c r="I15365" s="2"/>
      <c r="J15365" s="2"/>
      <c r="K15365" s="2"/>
      <c r="L15365" s="2"/>
    </row>
    <row r="15366" spans="8:12" x14ac:dyDescent="0.3">
      <c r="H15366" s="2"/>
      <c r="I15366" s="2"/>
      <c r="J15366" s="2"/>
      <c r="K15366" s="2"/>
      <c r="L15366" s="2"/>
    </row>
    <row r="15367" spans="8:12" x14ac:dyDescent="0.3">
      <c r="H15367" s="2"/>
      <c r="I15367" s="2"/>
      <c r="J15367" s="2"/>
      <c r="K15367" s="2"/>
      <c r="L15367" s="2"/>
    </row>
    <row r="15368" spans="8:12" x14ac:dyDescent="0.3">
      <c r="H15368" s="2"/>
      <c r="I15368" s="2"/>
      <c r="J15368" s="2"/>
      <c r="K15368" s="2"/>
      <c r="L15368" s="2"/>
    </row>
    <row r="15369" spans="8:12" x14ac:dyDescent="0.3">
      <c r="H15369" s="2"/>
      <c r="I15369" s="2"/>
      <c r="J15369" s="2"/>
      <c r="K15369" s="2"/>
      <c r="L15369" s="2"/>
    </row>
    <row r="15370" spans="8:12" x14ac:dyDescent="0.3">
      <c r="H15370" s="2"/>
      <c r="I15370" s="2"/>
      <c r="J15370" s="2"/>
      <c r="K15370" s="2"/>
      <c r="L15370" s="2"/>
    </row>
    <row r="15371" spans="8:12" x14ac:dyDescent="0.3">
      <c r="H15371" s="2"/>
      <c r="I15371" s="2"/>
      <c r="J15371" s="2"/>
      <c r="K15371" s="2"/>
      <c r="L15371" s="2"/>
    </row>
    <row r="15372" spans="8:12" x14ac:dyDescent="0.3">
      <c r="H15372" s="2"/>
      <c r="I15372" s="2"/>
      <c r="J15372" s="2"/>
      <c r="K15372" s="2"/>
      <c r="L15372" s="2"/>
    </row>
    <row r="15373" spans="8:12" x14ac:dyDescent="0.3">
      <c r="H15373" s="2"/>
      <c r="I15373" s="2"/>
      <c r="J15373" s="2"/>
      <c r="K15373" s="2"/>
      <c r="L15373" s="2"/>
    </row>
    <row r="15374" spans="8:12" x14ac:dyDescent="0.3">
      <c r="H15374" s="2"/>
      <c r="I15374" s="2"/>
      <c r="J15374" s="2"/>
      <c r="K15374" s="2"/>
      <c r="L15374" s="2"/>
    </row>
    <row r="15375" spans="8:12" x14ac:dyDescent="0.3">
      <c r="H15375" s="2"/>
      <c r="I15375" s="2"/>
      <c r="J15375" s="2"/>
      <c r="K15375" s="2"/>
      <c r="L15375" s="2"/>
    </row>
    <row r="15376" spans="8:12" x14ac:dyDescent="0.3">
      <c r="H15376" s="2"/>
      <c r="I15376" s="2"/>
      <c r="J15376" s="2"/>
      <c r="K15376" s="2"/>
      <c r="L15376" s="2"/>
    </row>
    <row r="15377" spans="8:12" x14ac:dyDescent="0.3">
      <c r="H15377" s="2"/>
      <c r="I15377" s="2"/>
      <c r="J15377" s="2"/>
      <c r="K15377" s="2"/>
      <c r="L15377" s="2"/>
    </row>
    <row r="15378" spans="8:12" x14ac:dyDescent="0.3">
      <c r="H15378" s="2"/>
      <c r="I15378" s="2"/>
      <c r="J15378" s="2"/>
      <c r="K15378" s="2"/>
      <c r="L15378" s="2"/>
    </row>
    <row r="15379" spans="8:12" x14ac:dyDescent="0.3">
      <c r="H15379" s="2"/>
      <c r="I15379" s="2"/>
      <c r="J15379" s="2"/>
      <c r="K15379" s="2"/>
      <c r="L15379" s="2"/>
    </row>
    <row r="15380" spans="8:12" x14ac:dyDescent="0.3">
      <c r="H15380" s="2"/>
      <c r="I15380" s="2"/>
      <c r="J15380" s="2"/>
      <c r="K15380" s="2"/>
      <c r="L15380" s="2"/>
    </row>
    <row r="15381" spans="8:12" x14ac:dyDescent="0.3">
      <c r="H15381" s="2"/>
      <c r="I15381" s="2"/>
      <c r="J15381" s="2"/>
      <c r="K15381" s="2"/>
      <c r="L15381" s="2"/>
    </row>
    <row r="15382" spans="8:12" x14ac:dyDescent="0.3">
      <c r="H15382" s="2"/>
      <c r="I15382" s="2"/>
      <c r="J15382" s="2"/>
      <c r="K15382" s="2"/>
      <c r="L15382" s="2"/>
    </row>
    <row r="15383" spans="8:12" x14ac:dyDescent="0.3">
      <c r="H15383" s="2"/>
      <c r="I15383" s="2"/>
      <c r="J15383" s="2"/>
      <c r="K15383" s="2"/>
      <c r="L15383" s="2"/>
    </row>
    <row r="15384" spans="8:12" x14ac:dyDescent="0.3">
      <c r="H15384" s="2"/>
      <c r="I15384" s="2"/>
      <c r="J15384" s="2"/>
      <c r="K15384" s="2"/>
      <c r="L15384" s="2"/>
    </row>
    <row r="15385" spans="8:12" x14ac:dyDescent="0.3">
      <c r="H15385" s="2"/>
      <c r="I15385" s="2"/>
      <c r="J15385" s="2"/>
      <c r="K15385" s="2"/>
      <c r="L15385" s="2"/>
    </row>
    <row r="15386" spans="8:12" x14ac:dyDescent="0.3">
      <c r="H15386" s="2"/>
      <c r="I15386" s="2"/>
      <c r="J15386" s="2"/>
      <c r="K15386" s="2"/>
      <c r="L15386" s="2"/>
    </row>
    <row r="15387" spans="8:12" x14ac:dyDescent="0.3">
      <c r="H15387" s="2"/>
      <c r="I15387" s="2"/>
      <c r="J15387" s="2"/>
      <c r="K15387" s="2"/>
      <c r="L15387" s="2"/>
    </row>
    <row r="15388" spans="8:12" x14ac:dyDescent="0.3">
      <c r="H15388" s="2"/>
      <c r="I15388" s="2"/>
      <c r="J15388" s="2"/>
      <c r="K15388" s="2"/>
      <c r="L15388" s="2"/>
    </row>
    <row r="15389" spans="8:12" x14ac:dyDescent="0.3">
      <c r="H15389" s="2"/>
      <c r="I15389" s="2"/>
      <c r="J15389" s="2"/>
      <c r="K15389" s="2"/>
      <c r="L15389" s="2"/>
    </row>
    <row r="15390" spans="8:12" x14ac:dyDescent="0.3">
      <c r="H15390" s="2"/>
      <c r="I15390" s="2"/>
      <c r="J15390" s="2"/>
      <c r="K15390" s="2"/>
      <c r="L15390" s="2"/>
    </row>
    <row r="15391" spans="8:12" x14ac:dyDescent="0.3">
      <c r="H15391" s="2"/>
      <c r="I15391" s="2"/>
      <c r="J15391" s="2"/>
      <c r="K15391" s="2"/>
      <c r="L15391" s="2"/>
    </row>
    <row r="15392" spans="8:12" x14ac:dyDescent="0.3">
      <c r="H15392" s="2"/>
      <c r="I15392" s="2"/>
      <c r="J15392" s="2"/>
      <c r="K15392" s="2"/>
      <c r="L15392" s="2"/>
    </row>
    <row r="15393" spans="8:12" x14ac:dyDescent="0.3">
      <c r="H15393" s="2"/>
      <c r="I15393" s="2"/>
      <c r="J15393" s="2"/>
      <c r="K15393" s="2"/>
      <c r="L15393" s="2"/>
    </row>
    <row r="15394" spans="8:12" x14ac:dyDescent="0.3">
      <c r="H15394" s="2"/>
      <c r="I15394" s="2"/>
      <c r="J15394" s="2"/>
      <c r="K15394" s="2"/>
      <c r="L15394" s="2"/>
    </row>
    <row r="15395" spans="8:12" x14ac:dyDescent="0.3">
      <c r="H15395" s="2"/>
      <c r="I15395" s="2"/>
      <c r="J15395" s="2"/>
      <c r="K15395" s="2"/>
      <c r="L15395" s="2"/>
    </row>
    <row r="15396" spans="8:12" x14ac:dyDescent="0.3">
      <c r="H15396" s="2"/>
      <c r="I15396" s="2"/>
      <c r="J15396" s="2"/>
      <c r="K15396" s="2"/>
      <c r="L15396" s="2"/>
    </row>
    <row r="15397" spans="8:12" x14ac:dyDescent="0.3">
      <c r="H15397" s="2"/>
      <c r="I15397" s="2"/>
      <c r="J15397" s="2"/>
      <c r="K15397" s="2"/>
      <c r="L15397" s="2"/>
    </row>
    <row r="15398" spans="8:12" x14ac:dyDescent="0.3">
      <c r="H15398" s="2"/>
      <c r="I15398" s="2"/>
      <c r="J15398" s="2"/>
      <c r="K15398" s="2"/>
      <c r="L15398" s="2"/>
    </row>
    <row r="15399" spans="8:12" x14ac:dyDescent="0.3">
      <c r="H15399" s="2"/>
      <c r="I15399" s="2"/>
      <c r="J15399" s="2"/>
      <c r="K15399" s="2"/>
      <c r="L15399" s="2"/>
    </row>
    <row r="15400" spans="8:12" x14ac:dyDescent="0.3">
      <c r="H15400" s="2"/>
      <c r="I15400" s="2"/>
      <c r="J15400" s="2"/>
      <c r="K15400" s="2"/>
      <c r="L15400" s="2"/>
    </row>
    <row r="15401" spans="8:12" x14ac:dyDescent="0.3">
      <c r="H15401" s="2"/>
      <c r="I15401" s="2"/>
      <c r="J15401" s="2"/>
      <c r="K15401" s="2"/>
      <c r="L15401" s="2"/>
    </row>
    <row r="15402" spans="8:12" x14ac:dyDescent="0.3">
      <c r="H15402" s="2"/>
      <c r="I15402" s="2"/>
      <c r="J15402" s="2"/>
      <c r="K15402" s="2"/>
      <c r="L15402" s="2"/>
    </row>
    <row r="15403" spans="8:12" x14ac:dyDescent="0.3">
      <c r="H15403" s="2"/>
      <c r="I15403" s="2"/>
      <c r="J15403" s="2"/>
      <c r="K15403" s="2"/>
      <c r="L15403" s="2"/>
    </row>
    <row r="15404" spans="8:12" x14ac:dyDescent="0.3">
      <c r="H15404" s="2"/>
      <c r="I15404" s="2"/>
      <c r="J15404" s="2"/>
      <c r="K15404" s="2"/>
      <c r="L15404" s="2"/>
    </row>
    <row r="15405" spans="8:12" x14ac:dyDescent="0.3">
      <c r="H15405" s="2"/>
      <c r="I15405" s="2"/>
      <c r="J15405" s="2"/>
      <c r="K15405" s="2"/>
      <c r="L15405" s="2"/>
    </row>
    <row r="15406" spans="8:12" x14ac:dyDescent="0.3">
      <c r="H15406" s="2"/>
      <c r="I15406" s="2"/>
      <c r="J15406" s="2"/>
      <c r="K15406" s="2"/>
      <c r="L15406" s="2"/>
    </row>
    <row r="15407" spans="8:12" x14ac:dyDescent="0.3">
      <c r="H15407" s="2"/>
      <c r="I15407" s="2"/>
      <c r="J15407" s="2"/>
      <c r="K15407" s="2"/>
      <c r="L15407" s="2"/>
    </row>
    <row r="15408" spans="8:12" x14ac:dyDescent="0.3">
      <c r="H15408" s="2"/>
      <c r="I15408" s="2"/>
      <c r="J15408" s="2"/>
      <c r="K15408" s="2"/>
      <c r="L15408" s="2"/>
    </row>
    <row r="15409" spans="8:12" x14ac:dyDescent="0.3">
      <c r="H15409" s="2"/>
      <c r="I15409" s="2"/>
      <c r="J15409" s="2"/>
      <c r="K15409" s="2"/>
      <c r="L15409" s="2"/>
    </row>
    <row r="15410" spans="8:12" x14ac:dyDescent="0.3">
      <c r="H15410" s="2"/>
      <c r="I15410" s="2"/>
      <c r="J15410" s="2"/>
      <c r="K15410" s="2"/>
      <c r="L15410" s="2"/>
    </row>
    <row r="15411" spans="8:12" x14ac:dyDescent="0.3">
      <c r="H15411" s="2"/>
      <c r="I15411" s="2"/>
      <c r="J15411" s="2"/>
      <c r="K15411" s="2"/>
      <c r="L15411" s="2"/>
    </row>
    <row r="15412" spans="8:12" x14ac:dyDescent="0.3">
      <c r="H15412" s="2"/>
      <c r="I15412" s="2"/>
      <c r="J15412" s="2"/>
      <c r="K15412" s="2"/>
      <c r="L15412" s="2"/>
    </row>
    <row r="15413" spans="8:12" x14ac:dyDescent="0.3">
      <c r="H15413" s="2"/>
      <c r="I15413" s="2"/>
      <c r="J15413" s="2"/>
      <c r="K15413" s="2"/>
      <c r="L15413" s="2"/>
    </row>
    <row r="15414" spans="8:12" x14ac:dyDescent="0.3">
      <c r="H15414" s="2"/>
      <c r="I15414" s="2"/>
      <c r="J15414" s="2"/>
      <c r="K15414" s="2"/>
      <c r="L15414" s="2"/>
    </row>
    <row r="15415" spans="8:12" x14ac:dyDescent="0.3">
      <c r="H15415" s="2"/>
      <c r="I15415" s="2"/>
      <c r="J15415" s="2"/>
      <c r="K15415" s="2"/>
      <c r="L15415" s="2"/>
    </row>
    <row r="15416" spans="8:12" x14ac:dyDescent="0.3">
      <c r="H15416" s="2"/>
      <c r="I15416" s="2"/>
      <c r="J15416" s="2"/>
      <c r="K15416" s="2"/>
      <c r="L15416" s="2"/>
    </row>
    <row r="15417" spans="8:12" x14ac:dyDescent="0.3">
      <c r="H15417" s="2"/>
      <c r="I15417" s="2"/>
      <c r="J15417" s="2"/>
      <c r="K15417" s="2"/>
      <c r="L15417" s="2"/>
    </row>
    <row r="15418" spans="8:12" x14ac:dyDescent="0.3">
      <c r="H15418" s="2"/>
      <c r="I15418" s="2"/>
      <c r="J15418" s="2"/>
      <c r="K15418" s="2"/>
      <c r="L15418" s="2"/>
    </row>
    <row r="15419" spans="8:12" x14ac:dyDescent="0.3">
      <c r="H15419" s="2"/>
      <c r="I15419" s="2"/>
      <c r="J15419" s="2"/>
      <c r="K15419" s="2"/>
      <c r="L15419" s="2"/>
    </row>
    <row r="15420" spans="8:12" x14ac:dyDescent="0.3">
      <c r="H15420" s="2"/>
      <c r="I15420" s="2"/>
      <c r="J15420" s="2"/>
      <c r="K15420" s="2"/>
      <c r="L15420" s="2"/>
    </row>
    <row r="15421" spans="8:12" x14ac:dyDescent="0.3">
      <c r="H15421" s="2"/>
      <c r="I15421" s="2"/>
      <c r="J15421" s="2"/>
      <c r="K15421" s="2"/>
      <c r="L15421" s="2"/>
    </row>
    <row r="15422" spans="8:12" x14ac:dyDescent="0.3">
      <c r="H15422" s="2"/>
      <c r="I15422" s="2"/>
      <c r="J15422" s="2"/>
      <c r="K15422" s="2"/>
      <c r="L15422" s="2"/>
    </row>
    <row r="15423" spans="8:12" x14ac:dyDescent="0.3">
      <c r="H15423" s="2"/>
      <c r="I15423" s="2"/>
      <c r="J15423" s="2"/>
      <c r="K15423" s="2"/>
      <c r="L15423" s="2"/>
    </row>
    <row r="15424" spans="8:12" x14ac:dyDescent="0.3">
      <c r="H15424" s="2"/>
      <c r="I15424" s="2"/>
      <c r="J15424" s="2"/>
      <c r="K15424" s="2"/>
      <c r="L15424" s="2"/>
    </row>
    <row r="15425" spans="8:12" x14ac:dyDescent="0.3">
      <c r="H15425" s="2"/>
      <c r="I15425" s="2"/>
      <c r="J15425" s="2"/>
      <c r="K15425" s="2"/>
      <c r="L15425" s="2"/>
    </row>
    <row r="15426" spans="8:12" x14ac:dyDescent="0.3">
      <c r="H15426" s="2"/>
      <c r="I15426" s="2"/>
      <c r="J15426" s="2"/>
      <c r="K15426" s="2"/>
      <c r="L15426" s="2"/>
    </row>
    <row r="15427" spans="8:12" x14ac:dyDescent="0.3">
      <c r="H15427" s="2"/>
      <c r="I15427" s="2"/>
      <c r="J15427" s="2"/>
      <c r="K15427" s="2"/>
      <c r="L15427" s="2"/>
    </row>
    <row r="15428" spans="8:12" x14ac:dyDescent="0.3">
      <c r="H15428" s="2"/>
      <c r="I15428" s="2"/>
      <c r="J15428" s="2"/>
      <c r="K15428" s="2"/>
      <c r="L15428" s="2"/>
    </row>
    <row r="15429" spans="8:12" x14ac:dyDescent="0.3">
      <c r="H15429" s="2"/>
      <c r="I15429" s="2"/>
      <c r="J15429" s="2"/>
      <c r="K15429" s="2"/>
      <c r="L15429" s="2"/>
    </row>
    <row r="15430" spans="8:12" x14ac:dyDescent="0.3">
      <c r="H15430" s="2"/>
      <c r="I15430" s="2"/>
      <c r="J15430" s="2"/>
      <c r="K15430" s="2"/>
      <c r="L15430" s="2"/>
    </row>
    <row r="15431" spans="8:12" x14ac:dyDescent="0.3">
      <c r="H15431" s="2"/>
      <c r="I15431" s="2"/>
      <c r="J15431" s="2"/>
      <c r="K15431" s="2"/>
      <c r="L15431" s="2"/>
    </row>
    <row r="15432" spans="8:12" x14ac:dyDescent="0.3">
      <c r="H15432" s="2"/>
      <c r="I15432" s="2"/>
      <c r="J15432" s="2"/>
      <c r="K15432" s="2"/>
      <c r="L15432" s="2"/>
    </row>
    <row r="15433" spans="8:12" x14ac:dyDescent="0.3">
      <c r="H15433" s="2"/>
      <c r="I15433" s="2"/>
      <c r="J15433" s="2"/>
      <c r="K15433" s="2"/>
      <c r="L15433" s="2"/>
    </row>
    <row r="15434" spans="8:12" x14ac:dyDescent="0.3">
      <c r="H15434" s="2"/>
      <c r="I15434" s="2"/>
      <c r="J15434" s="2"/>
      <c r="K15434" s="2"/>
      <c r="L15434" s="2"/>
    </row>
    <row r="15435" spans="8:12" x14ac:dyDescent="0.3">
      <c r="H15435" s="2"/>
      <c r="I15435" s="2"/>
      <c r="J15435" s="2"/>
      <c r="K15435" s="2"/>
      <c r="L15435" s="2"/>
    </row>
    <row r="15436" spans="8:12" x14ac:dyDescent="0.3">
      <c r="H15436" s="2"/>
      <c r="I15436" s="2"/>
      <c r="J15436" s="2"/>
      <c r="K15436" s="2"/>
      <c r="L15436" s="2"/>
    </row>
    <row r="15437" spans="8:12" x14ac:dyDescent="0.3">
      <c r="H15437" s="2"/>
      <c r="I15437" s="2"/>
      <c r="J15437" s="2"/>
      <c r="K15437" s="2"/>
      <c r="L15437" s="2"/>
    </row>
    <row r="15438" spans="8:12" x14ac:dyDescent="0.3">
      <c r="H15438" s="2"/>
      <c r="I15438" s="2"/>
      <c r="J15438" s="2"/>
      <c r="K15438" s="2"/>
      <c r="L15438" s="2"/>
    </row>
    <row r="15439" spans="8:12" x14ac:dyDescent="0.3">
      <c r="H15439" s="2"/>
      <c r="I15439" s="2"/>
      <c r="J15439" s="2"/>
      <c r="K15439" s="2"/>
      <c r="L15439" s="2"/>
    </row>
    <row r="15440" spans="8:12" x14ac:dyDescent="0.3">
      <c r="H15440" s="2"/>
      <c r="I15440" s="2"/>
      <c r="J15440" s="2"/>
      <c r="K15440" s="2"/>
      <c r="L15440" s="2"/>
    </row>
    <row r="15441" spans="8:12" x14ac:dyDescent="0.3">
      <c r="H15441" s="2"/>
      <c r="I15441" s="2"/>
      <c r="J15441" s="2"/>
      <c r="K15441" s="2"/>
      <c r="L15441" s="2"/>
    </row>
    <row r="15442" spans="8:12" x14ac:dyDescent="0.3">
      <c r="H15442" s="2"/>
      <c r="I15442" s="2"/>
      <c r="J15442" s="2"/>
      <c r="K15442" s="2"/>
      <c r="L15442" s="2"/>
    </row>
    <row r="15443" spans="8:12" x14ac:dyDescent="0.3">
      <c r="H15443" s="2"/>
      <c r="I15443" s="2"/>
      <c r="J15443" s="2"/>
      <c r="K15443" s="2"/>
      <c r="L15443" s="2"/>
    </row>
    <row r="15444" spans="8:12" x14ac:dyDescent="0.3">
      <c r="H15444" s="2"/>
      <c r="I15444" s="2"/>
      <c r="J15444" s="2"/>
      <c r="K15444" s="2"/>
      <c r="L15444" s="2"/>
    </row>
    <row r="15445" spans="8:12" x14ac:dyDescent="0.3">
      <c r="H15445" s="2"/>
      <c r="I15445" s="2"/>
      <c r="J15445" s="2"/>
      <c r="K15445" s="2"/>
      <c r="L15445" s="2"/>
    </row>
    <row r="15446" spans="8:12" x14ac:dyDescent="0.3">
      <c r="H15446" s="2"/>
      <c r="I15446" s="2"/>
      <c r="J15446" s="2"/>
      <c r="K15446" s="2"/>
      <c r="L15446" s="2"/>
    </row>
    <row r="15447" spans="8:12" x14ac:dyDescent="0.3">
      <c r="H15447" s="2"/>
      <c r="I15447" s="2"/>
      <c r="J15447" s="2"/>
      <c r="K15447" s="2"/>
      <c r="L15447" s="2"/>
    </row>
    <row r="15448" spans="8:12" x14ac:dyDescent="0.3">
      <c r="H15448" s="2"/>
      <c r="I15448" s="2"/>
      <c r="J15448" s="2"/>
      <c r="K15448" s="2"/>
      <c r="L15448" s="2"/>
    </row>
    <row r="15449" spans="8:12" x14ac:dyDescent="0.3">
      <c r="H15449" s="2"/>
      <c r="I15449" s="2"/>
      <c r="J15449" s="2"/>
      <c r="K15449" s="2"/>
      <c r="L15449" s="2"/>
    </row>
    <row r="15450" spans="8:12" x14ac:dyDescent="0.3">
      <c r="H15450" s="2"/>
      <c r="I15450" s="2"/>
      <c r="J15450" s="2"/>
      <c r="K15450" s="2"/>
      <c r="L15450" s="2"/>
    </row>
    <row r="15451" spans="8:12" x14ac:dyDescent="0.3">
      <c r="H15451" s="2"/>
      <c r="I15451" s="2"/>
      <c r="J15451" s="2"/>
      <c r="K15451" s="2"/>
      <c r="L15451" s="2"/>
    </row>
    <row r="15452" spans="8:12" x14ac:dyDescent="0.3">
      <c r="H15452" s="2"/>
      <c r="I15452" s="2"/>
      <c r="J15452" s="2"/>
      <c r="K15452" s="2"/>
      <c r="L15452" s="2"/>
    </row>
    <row r="15453" spans="8:12" x14ac:dyDescent="0.3">
      <c r="H15453" s="2"/>
      <c r="I15453" s="2"/>
      <c r="J15453" s="2"/>
      <c r="K15453" s="2"/>
      <c r="L15453" s="2"/>
    </row>
    <row r="15454" spans="8:12" x14ac:dyDescent="0.3">
      <c r="H15454" s="2"/>
      <c r="I15454" s="2"/>
      <c r="J15454" s="2"/>
      <c r="K15454" s="2"/>
      <c r="L15454" s="2"/>
    </row>
    <row r="15455" spans="8:12" x14ac:dyDescent="0.3">
      <c r="H15455" s="2"/>
      <c r="I15455" s="2"/>
      <c r="J15455" s="2"/>
      <c r="K15455" s="2"/>
      <c r="L15455" s="2"/>
    </row>
    <row r="15456" spans="8:12" x14ac:dyDescent="0.3">
      <c r="H15456" s="2"/>
      <c r="I15456" s="2"/>
      <c r="J15456" s="2"/>
      <c r="K15456" s="2"/>
      <c r="L15456" s="2"/>
    </row>
    <row r="15457" spans="8:12" x14ac:dyDescent="0.3">
      <c r="H15457" s="2"/>
      <c r="I15457" s="2"/>
      <c r="J15457" s="2"/>
      <c r="K15457" s="2"/>
      <c r="L15457" s="2"/>
    </row>
    <row r="15458" spans="8:12" x14ac:dyDescent="0.3">
      <c r="H15458" s="2"/>
      <c r="I15458" s="2"/>
      <c r="J15458" s="2"/>
      <c r="K15458" s="2"/>
      <c r="L15458" s="2"/>
    </row>
    <row r="15459" spans="8:12" x14ac:dyDescent="0.3">
      <c r="H15459" s="2"/>
      <c r="I15459" s="2"/>
      <c r="J15459" s="2"/>
      <c r="K15459" s="2"/>
      <c r="L15459" s="2"/>
    </row>
    <row r="15460" spans="8:12" x14ac:dyDescent="0.3">
      <c r="H15460" s="2"/>
      <c r="I15460" s="2"/>
      <c r="J15460" s="2"/>
      <c r="K15460" s="2"/>
      <c r="L15460" s="2"/>
    </row>
    <row r="15461" spans="8:12" x14ac:dyDescent="0.3">
      <c r="H15461" s="2"/>
      <c r="I15461" s="2"/>
      <c r="J15461" s="2"/>
      <c r="K15461" s="2"/>
      <c r="L15461" s="2"/>
    </row>
    <row r="15462" spans="8:12" x14ac:dyDescent="0.3">
      <c r="H15462" s="2"/>
      <c r="I15462" s="2"/>
      <c r="J15462" s="2"/>
      <c r="K15462" s="2"/>
      <c r="L15462" s="2"/>
    </row>
    <row r="15463" spans="8:12" x14ac:dyDescent="0.3">
      <c r="H15463" s="2"/>
      <c r="I15463" s="2"/>
      <c r="J15463" s="2"/>
      <c r="K15463" s="2"/>
      <c r="L15463" s="2"/>
    </row>
    <row r="15464" spans="8:12" x14ac:dyDescent="0.3">
      <c r="H15464" s="2"/>
      <c r="I15464" s="2"/>
      <c r="J15464" s="2"/>
      <c r="K15464" s="2"/>
      <c r="L15464" s="2"/>
    </row>
    <row r="15465" spans="8:12" x14ac:dyDescent="0.3">
      <c r="H15465" s="2"/>
      <c r="I15465" s="2"/>
      <c r="J15465" s="2"/>
      <c r="K15465" s="2"/>
      <c r="L15465" s="2"/>
    </row>
    <row r="15466" spans="8:12" x14ac:dyDescent="0.3">
      <c r="H15466" s="2"/>
      <c r="I15466" s="2"/>
      <c r="J15466" s="2"/>
      <c r="K15466" s="2"/>
      <c r="L15466" s="2"/>
    </row>
    <row r="15467" spans="8:12" x14ac:dyDescent="0.3">
      <c r="H15467" s="2"/>
      <c r="I15467" s="2"/>
      <c r="J15467" s="2"/>
      <c r="K15467" s="2"/>
      <c r="L15467" s="2"/>
    </row>
    <row r="15468" spans="8:12" x14ac:dyDescent="0.3">
      <c r="H15468" s="2"/>
      <c r="I15468" s="2"/>
      <c r="J15468" s="2"/>
      <c r="K15468" s="2"/>
      <c r="L15468" s="2"/>
    </row>
    <row r="15469" spans="8:12" x14ac:dyDescent="0.3">
      <c r="H15469" s="2"/>
      <c r="I15469" s="2"/>
      <c r="J15469" s="2"/>
      <c r="K15469" s="2"/>
      <c r="L15469" s="2"/>
    </row>
    <row r="15470" spans="8:12" x14ac:dyDescent="0.3">
      <c r="H15470" s="2"/>
      <c r="I15470" s="2"/>
      <c r="J15470" s="2"/>
      <c r="K15470" s="2"/>
      <c r="L15470" s="2"/>
    </row>
    <row r="15471" spans="8:12" x14ac:dyDescent="0.3">
      <c r="H15471" s="2"/>
      <c r="I15471" s="2"/>
      <c r="J15471" s="2"/>
      <c r="K15471" s="2"/>
      <c r="L15471" s="2"/>
    </row>
    <row r="15472" spans="8:12" x14ac:dyDescent="0.3">
      <c r="H15472" s="2"/>
      <c r="I15472" s="2"/>
      <c r="J15472" s="2"/>
      <c r="K15472" s="2"/>
      <c r="L15472" s="2"/>
    </row>
    <row r="15473" spans="8:12" x14ac:dyDescent="0.3">
      <c r="H15473" s="2"/>
      <c r="I15473" s="2"/>
      <c r="J15473" s="2"/>
      <c r="K15473" s="2"/>
      <c r="L15473" s="2"/>
    </row>
    <row r="15474" spans="8:12" x14ac:dyDescent="0.3">
      <c r="H15474" s="2"/>
      <c r="I15474" s="2"/>
      <c r="J15474" s="2"/>
      <c r="K15474" s="2"/>
      <c r="L15474" s="2"/>
    </row>
    <row r="15475" spans="8:12" x14ac:dyDescent="0.3">
      <c r="H15475" s="2"/>
      <c r="I15475" s="2"/>
      <c r="J15475" s="2"/>
      <c r="K15475" s="2"/>
      <c r="L15475" s="2"/>
    </row>
    <row r="15476" spans="8:12" x14ac:dyDescent="0.3">
      <c r="H15476" s="2"/>
      <c r="I15476" s="2"/>
      <c r="J15476" s="2"/>
      <c r="K15476" s="2"/>
      <c r="L15476" s="2"/>
    </row>
    <row r="15477" spans="8:12" x14ac:dyDescent="0.3">
      <c r="H15477" s="2"/>
      <c r="I15477" s="2"/>
      <c r="J15477" s="2"/>
      <c r="K15477" s="2"/>
      <c r="L15477" s="2"/>
    </row>
    <row r="15478" spans="8:12" x14ac:dyDescent="0.3">
      <c r="H15478" s="2"/>
      <c r="I15478" s="2"/>
      <c r="J15478" s="2"/>
      <c r="K15478" s="2"/>
      <c r="L15478" s="2"/>
    </row>
    <row r="15479" spans="8:12" x14ac:dyDescent="0.3">
      <c r="H15479" s="2"/>
      <c r="I15479" s="2"/>
      <c r="J15479" s="2"/>
      <c r="K15479" s="2"/>
      <c r="L15479" s="2"/>
    </row>
    <row r="15480" spans="8:12" x14ac:dyDescent="0.3">
      <c r="H15480" s="2"/>
      <c r="I15480" s="2"/>
      <c r="J15480" s="2"/>
      <c r="K15480" s="2"/>
      <c r="L15480" s="2"/>
    </row>
    <row r="15481" spans="8:12" x14ac:dyDescent="0.3">
      <c r="H15481" s="2"/>
      <c r="I15481" s="2"/>
      <c r="J15481" s="2"/>
      <c r="K15481" s="2"/>
      <c r="L15481" s="2"/>
    </row>
    <row r="15482" spans="8:12" x14ac:dyDescent="0.3">
      <c r="H15482" s="2"/>
      <c r="I15482" s="2"/>
      <c r="J15482" s="2"/>
      <c r="K15482" s="2"/>
      <c r="L15482" s="2"/>
    </row>
    <row r="15483" spans="8:12" x14ac:dyDescent="0.3">
      <c r="H15483" s="2"/>
      <c r="I15483" s="2"/>
      <c r="J15483" s="2"/>
      <c r="K15483" s="2"/>
      <c r="L15483" s="2"/>
    </row>
    <row r="15484" spans="8:12" x14ac:dyDescent="0.3">
      <c r="H15484" s="2"/>
      <c r="I15484" s="2"/>
      <c r="J15484" s="2"/>
      <c r="K15484" s="2"/>
      <c r="L15484" s="2"/>
    </row>
    <row r="15485" spans="8:12" x14ac:dyDescent="0.3">
      <c r="H15485" s="2"/>
      <c r="I15485" s="2"/>
      <c r="J15485" s="2"/>
      <c r="K15485" s="2"/>
      <c r="L15485" s="2"/>
    </row>
    <row r="15486" spans="8:12" x14ac:dyDescent="0.3">
      <c r="H15486" s="2"/>
      <c r="I15486" s="2"/>
      <c r="J15486" s="2"/>
      <c r="K15486" s="2"/>
      <c r="L15486" s="2"/>
    </row>
    <row r="15487" spans="8:12" x14ac:dyDescent="0.3">
      <c r="H15487" s="2"/>
      <c r="I15487" s="2"/>
      <c r="J15487" s="2"/>
      <c r="K15487" s="2"/>
      <c r="L15487" s="2"/>
    </row>
    <row r="15488" spans="8:12" x14ac:dyDescent="0.3">
      <c r="H15488" s="2"/>
      <c r="I15488" s="2"/>
      <c r="J15488" s="2"/>
      <c r="K15488" s="2"/>
      <c r="L15488" s="2"/>
    </row>
    <row r="15489" spans="8:12" x14ac:dyDescent="0.3">
      <c r="H15489" s="2"/>
      <c r="I15489" s="2"/>
      <c r="J15489" s="2"/>
      <c r="K15489" s="2"/>
      <c r="L15489" s="2"/>
    </row>
    <row r="15490" spans="8:12" x14ac:dyDescent="0.3">
      <c r="H15490" s="2"/>
      <c r="I15490" s="2"/>
      <c r="J15490" s="2"/>
      <c r="K15490" s="2"/>
      <c r="L15490" s="2"/>
    </row>
    <row r="15491" spans="8:12" x14ac:dyDescent="0.3">
      <c r="H15491" s="2"/>
      <c r="I15491" s="2"/>
      <c r="J15491" s="2"/>
      <c r="K15491" s="2"/>
      <c r="L15491" s="2"/>
    </row>
    <row r="15492" spans="8:12" x14ac:dyDescent="0.3">
      <c r="H15492" s="2"/>
      <c r="I15492" s="2"/>
      <c r="J15492" s="2"/>
      <c r="K15492" s="2"/>
      <c r="L15492" s="2"/>
    </row>
    <row r="15493" spans="8:12" x14ac:dyDescent="0.3">
      <c r="H15493" s="2"/>
      <c r="I15493" s="2"/>
      <c r="J15493" s="2"/>
      <c r="K15493" s="2"/>
      <c r="L15493" s="2"/>
    </row>
    <row r="15494" spans="8:12" x14ac:dyDescent="0.3">
      <c r="H15494" s="2"/>
      <c r="I15494" s="2"/>
      <c r="J15494" s="2"/>
      <c r="K15494" s="2"/>
      <c r="L15494" s="2"/>
    </row>
    <row r="15495" spans="8:12" x14ac:dyDescent="0.3">
      <c r="H15495" s="2"/>
      <c r="I15495" s="2"/>
      <c r="J15495" s="2"/>
      <c r="K15495" s="2"/>
      <c r="L15495" s="2"/>
    </row>
    <row r="15496" spans="8:12" x14ac:dyDescent="0.3">
      <c r="H15496" s="2"/>
      <c r="I15496" s="2"/>
      <c r="J15496" s="2"/>
      <c r="K15496" s="2"/>
      <c r="L15496" s="2"/>
    </row>
    <row r="15497" spans="8:12" x14ac:dyDescent="0.3">
      <c r="H15497" s="2"/>
      <c r="I15497" s="2"/>
      <c r="J15497" s="2"/>
      <c r="K15497" s="2"/>
      <c r="L15497" s="2"/>
    </row>
    <row r="15498" spans="8:12" x14ac:dyDescent="0.3">
      <c r="H15498" s="2"/>
      <c r="I15498" s="2"/>
      <c r="J15498" s="2"/>
      <c r="K15498" s="2"/>
      <c r="L15498" s="2"/>
    </row>
    <row r="15499" spans="8:12" x14ac:dyDescent="0.3">
      <c r="H15499" s="2"/>
      <c r="I15499" s="2"/>
      <c r="J15499" s="2"/>
      <c r="K15499" s="2"/>
      <c r="L15499" s="2"/>
    </row>
    <row r="15500" spans="8:12" x14ac:dyDescent="0.3">
      <c r="H15500" s="2"/>
      <c r="I15500" s="2"/>
      <c r="J15500" s="2"/>
      <c r="K15500" s="2"/>
      <c r="L15500" s="2"/>
    </row>
    <row r="15501" spans="8:12" x14ac:dyDescent="0.3">
      <c r="H15501" s="2"/>
      <c r="I15501" s="2"/>
      <c r="J15501" s="2"/>
      <c r="K15501" s="2"/>
      <c r="L15501" s="2"/>
    </row>
    <row r="15502" spans="8:12" x14ac:dyDescent="0.3">
      <c r="H15502" s="2"/>
      <c r="I15502" s="2"/>
      <c r="J15502" s="2"/>
      <c r="K15502" s="2"/>
      <c r="L15502" s="2"/>
    </row>
    <row r="15503" spans="8:12" x14ac:dyDescent="0.3">
      <c r="H15503" s="2"/>
      <c r="I15503" s="2"/>
      <c r="J15503" s="2"/>
      <c r="K15503" s="2"/>
      <c r="L15503" s="2"/>
    </row>
    <row r="15504" spans="8:12" x14ac:dyDescent="0.3">
      <c r="H15504" s="2"/>
      <c r="I15504" s="2"/>
      <c r="J15504" s="2"/>
      <c r="K15504" s="2"/>
      <c r="L15504" s="2"/>
    </row>
    <row r="15505" spans="8:12" x14ac:dyDescent="0.3">
      <c r="H15505" s="2"/>
      <c r="I15505" s="2"/>
      <c r="J15505" s="2"/>
      <c r="K15505" s="2"/>
      <c r="L15505" s="2"/>
    </row>
    <row r="15506" spans="8:12" x14ac:dyDescent="0.3">
      <c r="H15506" s="2"/>
      <c r="I15506" s="2"/>
      <c r="J15506" s="2"/>
      <c r="K15506" s="2"/>
      <c r="L15506" s="2"/>
    </row>
    <row r="15507" spans="8:12" x14ac:dyDescent="0.3">
      <c r="H15507" s="2"/>
      <c r="I15507" s="2"/>
      <c r="J15507" s="2"/>
      <c r="K15507" s="2"/>
      <c r="L15507" s="2"/>
    </row>
    <row r="15508" spans="8:12" x14ac:dyDescent="0.3">
      <c r="H15508" s="2"/>
      <c r="I15508" s="2"/>
      <c r="J15508" s="2"/>
      <c r="K15508" s="2"/>
      <c r="L15508" s="2"/>
    </row>
    <row r="15509" spans="8:12" x14ac:dyDescent="0.3">
      <c r="H15509" s="2"/>
      <c r="I15509" s="2"/>
      <c r="J15509" s="2"/>
      <c r="K15509" s="2"/>
      <c r="L15509" s="2"/>
    </row>
    <row r="15510" spans="8:12" x14ac:dyDescent="0.3">
      <c r="H15510" s="2"/>
      <c r="I15510" s="2"/>
      <c r="J15510" s="2"/>
      <c r="K15510" s="2"/>
      <c r="L15510" s="2"/>
    </row>
    <row r="15511" spans="8:12" x14ac:dyDescent="0.3">
      <c r="H15511" s="2"/>
      <c r="I15511" s="2"/>
      <c r="J15511" s="2"/>
      <c r="K15511" s="2"/>
      <c r="L15511" s="2"/>
    </row>
    <row r="15512" spans="8:12" x14ac:dyDescent="0.3">
      <c r="H15512" s="2"/>
      <c r="I15512" s="2"/>
      <c r="J15512" s="2"/>
      <c r="K15512" s="2"/>
      <c r="L15512" s="2"/>
    </row>
    <row r="15513" spans="8:12" x14ac:dyDescent="0.3">
      <c r="H15513" s="2"/>
      <c r="I15513" s="2"/>
      <c r="J15513" s="2"/>
      <c r="K15513" s="2"/>
      <c r="L15513" s="2"/>
    </row>
    <row r="15514" spans="8:12" x14ac:dyDescent="0.3">
      <c r="H15514" s="2"/>
      <c r="I15514" s="2"/>
      <c r="J15514" s="2"/>
      <c r="K15514" s="2"/>
      <c r="L15514" s="2"/>
    </row>
    <row r="15515" spans="8:12" x14ac:dyDescent="0.3">
      <c r="H15515" s="2"/>
      <c r="I15515" s="2"/>
      <c r="J15515" s="2"/>
      <c r="K15515" s="2"/>
      <c r="L15515" s="2"/>
    </row>
    <row r="15516" spans="8:12" x14ac:dyDescent="0.3">
      <c r="H15516" s="2"/>
      <c r="I15516" s="2"/>
      <c r="J15516" s="2"/>
      <c r="K15516" s="2"/>
      <c r="L15516" s="2"/>
    </row>
    <row r="15517" spans="8:12" x14ac:dyDescent="0.3">
      <c r="H15517" s="2"/>
      <c r="I15517" s="2"/>
      <c r="J15517" s="2"/>
      <c r="K15517" s="2"/>
      <c r="L15517" s="2"/>
    </row>
    <row r="15518" spans="8:12" x14ac:dyDescent="0.3">
      <c r="H15518" s="2"/>
      <c r="I15518" s="2"/>
      <c r="J15518" s="2"/>
      <c r="K15518" s="2"/>
      <c r="L15518" s="2"/>
    </row>
    <row r="15519" spans="8:12" x14ac:dyDescent="0.3">
      <c r="H15519" s="2"/>
      <c r="I15519" s="2"/>
      <c r="J15519" s="2"/>
      <c r="K15519" s="2"/>
      <c r="L15519" s="2"/>
    </row>
    <row r="15520" spans="8:12" x14ac:dyDescent="0.3">
      <c r="H15520" s="2"/>
      <c r="I15520" s="2"/>
      <c r="J15520" s="2"/>
      <c r="K15520" s="2"/>
      <c r="L15520" s="2"/>
    </row>
    <row r="15521" spans="8:12" x14ac:dyDescent="0.3">
      <c r="H15521" s="2"/>
      <c r="I15521" s="2"/>
      <c r="J15521" s="2"/>
      <c r="K15521" s="2"/>
      <c r="L15521" s="2"/>
    </row>
    <row r="15522" spans="8:12" x14ac:dyDescent="0.3">
      <c r="H15522" s="2"/>
      <c r="I15522" s="2"/>
      <c r="J15522" s="2"/>
      <c r="K15522" s="2"/>
      <c r="L15522" s="2"/>
    </row>
    <row r="15523" spans="8:12" x14ac:dyDescent="0.3">
      <c r="H15523" s="2"/>
      <c r="I15523" s="2"/>
      <c r="J15523" s="2"/>
      <c r="K15523" s="2"/>
      <c r="L15523" s="2"/>
    </row>
    <row r="15524" spans="8:12" x14ac:dyDescent="0.3">
      <c r="H15524" s="2"/>
      <c r="I15524" s="2"/>
      <c r="J15524" s="2"/>
      <c r="K15524" s="2"/>
      <c r="L15524" s="2"/>
    </row>
    <row r="15525" spans="8:12" x14ac:dyDescent="0.3">
      <c r="H15525" s="2"/>
      <c r="I15525" s="2"/>
      <c r="J15525" s="2"/>
      <c r="K15525" s="2"/>
      <c r="L15525" s="2"/>
    </row>
    <row r="15526" spans="8:12" x14ac:dyDescent="0.3">
      <c r="H15526" s="2"/>
      <c r="I15526" s="2"/>
      <c r="J15526" s="2"/>
      <c r="K15526" s="2"/>
      <c r="L15526" s="2"/>
    </row>
    <row r="15527" spans="8:12" x14ac:dyDescent="0.3">
      <c r="H15527" s="2"/>
      <c r="I15527" s="2"/>
      <c r="J15527" s="2"/>
      <c r="K15527" s="2"/>
      <c r="L15527" s="2"/>
    </row>
    <row r="15528" spans="8:12" x14ac:dyDescent="0.3">
      <c r="H15528" s="2"/>
      <c r="I15528" s="2"/>
      <c r="J15528" s="2"/>
      <c r="K15528" s="2"/>
      <c r="L15528" s="2"/>
    </row>
    <row r="15529" spans="8:12" x14ac:dyDescent="0.3">
      <c r="H15529" s="2"/>
      <c r="I15529" s="2"/>
      <c r="J15529" s="2"/>
      <c r="K15529" s="2"/>
      <c r="L15529" s="2"/>
    </row>
    <row r="15530" spans="8:12" x14ac:dyDescent="0.3">
      <c r="H15530" s="2"/>
      <c r="I15530" s="2"/>
      <c r="J15530" s="2"/>
      <c r="K15530" s="2"/>
      <c r="L15530" s="2"/>
    </row>
    <row r="15531" spans="8:12" x14ac:dyDescent="0.3">
      <c r="H15531" s="2"/>
      <c r="I15531" s="2"/>
      <c r="J15531" s="2"/>
      <c r="K15531" s="2"/>
      <c r="L15531" s="2"/>
    </row>
    <row r="15532" spans="8:12" x14ac:dyDescent="0.3">
      <c r="H15532" s="2"/>
      <c r="I15532" s="2"/>
      <c r="J15532" s="2"/>
      <c r="K15532" s="2"/>
      <c r="L15532" s="2"/>
    </row>
    <row r="15533" spans="8:12" x14ac:dyDescent="0.3">
      <c r="H15533" s="2"/>
      <c r="I15533" s="2"/>
      <c r="J15533" s="2"/>
      <c r="K15533" s="2"/>
      <c r="L15533" s="2"/>
    </row>
    <row r="15534" spans="8:12" x14ac:dyDescent="0.3">
      <c r="H15534" s="2"/>
      <c r="I15534" s="2"/>
      <c r="J15534" s="2"/>
      <c r="K15534" s="2"/>
      <c r="L15534" s="2"/>
    </row>
    <row r="15535" spans="8:12" x14ac:dyDescent="0.3">
      <c r="H15535" s="2"/>
      <c r="I15535" s="2"/>
      <c r="J15535" s="2"/>
      <c r="K15535" s="2"/>
      <c r="L15535" s="2"/>
    </row>
    <row r="15536" spans="8:12" x14ac:dyDescent="0.3">
      <c r="H15536" s="2"/>
      <c r="I15536" s="2"/>
      <c r="J15536" s="2"/>
      <c r="K15536" s="2"/>
      <c r="L15536" s="2"/>
    </row>
    <row r="15537" spans="8:12" x14ac:dyDescent="0.3">
      <c r="H15537" s="3"/>
      <c r="I15537" s="3"/>
      <c r="J15537" s="3"/>
      <c r="K15537" s="3"/>
      <c r="L15537" s="3"/>
    </row>
    <row r="15538" spans="8:12" x14ac:dyDescent="0.3">
      <c r="H15538" s="3"/>
      <c r="I15538" s="3"/>
      <c r="J15538" s="3"/>
      <c r="K15538" s="3"/>
      <c r="L15538" s="3"/>
    </row>
    <row r="15539" spans="8:12" x14ac:dyDescent="0.3">
      <c r="H15539" s="3"/>
      <c r="I15539" s="3"/>
      <c r="J15539" s="3"/>
      <c r="K15539" s="3"/>
      <c r="L15539" s="3"/>
    </row>
    <row r="15540" spans="8:12" x14ac:dyDescent="0.3">
      <c r="H15540" s="3"/>
      <c r="I15540" s="3"/>
      <c r="J15540" s="3"/>
      <c r="K15540" s="3"/>
      <c r="L15540" s="3"/>
    </row>
    <row r="15541" spans="8:12" x14ac:dyDescent="0.3">
      <c r="H15541" s="3"/>
      <c r="I15541" s="3"/>
      <c r="J15541" s="3"/>
      <c r="K15541" s="3"/>
      <c r="L15541" s="3"/>
    </row>
    <row r="15542" spans="8:12" x14ac:dyDescent="0.3">
      <c r="H15542" s="3"/>
      <c r="I15542" s="3"/>
      <c r="J15542" s="3"/>
      <c r="K15542" s="3"/>
      <c r="L15542" s="3"/>
    </row>
    <row r="15543" spans="8:12" x14ac:dyDescent="0.3">
      <c r="H15543" s="3"/>
      <c r="I15543" s="3"/>
      <c r="J15543" s="3"/>
      <c r="K15543" s="3"/>
      <c r="L15543" s="3"/>
    </row>
    <row r="15544" spans="8:12" x14ac:dyDescent="0.3">
      <c r="H15544" s="3"/>
      <c r="I15544" s="3"/>
      <c r="J15544" s="3"/>
      <c r="K15544" s="3"/>
      <c r="L15544" s="3"/>
    </row>
    <row r="15545" spans="8:12" x14ac:dyDescent="0.3">
      <c r="H15545" s="3"/>
      <c r="I15545" s="3"/>
      <c r="J15545" s="3"/>
      <c r="K15545" s="3"/>
      <c r="L15545" s="3"/>
    </row>
    <row r="15546" spans="8:12" x14ac:dyDescent="0.3">
      <c r="H15546" s="3"/>
      <c r="I15546" s="3"/>
      <c r="J15546" s="3"/>
      <c r="K15546" s="3"/>
      <c r="L15546" s="3"/>
    </row>
    <row r="15547" spans="8:12" x14ac:dyDescent="0.3">
      <c r="H15547" s="3"/>
      <c r="I15547" s="3"/>
      <c r="J15547" s="3"/>
      <c r="K15547" s="3"/>
      <c r="L15547" s="3"/>
    </row>
    <row r="15548" spans="8:12" x14ac:dyDescent="0.3">
      <c r="H15548" s="3"/>
      <c r="I15548" s="3"/>
      <c r="J15548" s="3"/>
      <c r="K15548" s="3"/>
      <c r="L15548" s="3"/>
    </row>
    <row r="15549" spans="8:12" x14ac:dyDescent="0.3">
      <c r="H15549" s="3"/>
      <c r="I15549" s="3"/>
      <c r="J15549" s="3"/>
      <c r="K15549" s="3"/>
      <c r="L15549" s="3"/>
    </row>
    <row r="15550" spans="8:12" x14ac:dyDescent="0.3">
      <c r="H15550" s="3"/>
      <c r="I15550" s="3"/>
      <c r="J15550" s="3"/>
      <c r="K15550" s="3"/>
      <c r="L15550" s="3"/>
    </row>
    <row r="15551" spans="8:12" x14ac:dyDescent="0.3">
      <c r="H15551" s="3"/>
      <c r="I15551" s="3"/>
      <c r="J15551" s="3"/>
      <c r="K15551" s="3"/>
      <c r="L15551" s="3"/>
    </row>
    <row r="15552" spans="8:12" x14ac:dyDescent="0.3">
      <c r="H15552" s="3"/>
      <c r="I15552" s="3"/>
      <c r="J15552" s="3"/>
      <c r="K15552" s="3"/>
      <c r="L15552" s="3"/>
    </row>
    <row r="15553" spans="8:12" x14ac:dyDescent="0.3">
      <c r="H15553" s="3"/>
      <c r="I15553" s="3"/>
      <c r="J15553" s="3"/>
      <c r="K15553" s="3"/>
      <c r="L15553" s="3"/>
    </row>
    <row r="15554" spans="8:12" x14ac:dyDescent="0.3">
      <c r="H15554" s="3"/>
      <c r="I15554" s="3"/>
      <c r="J15554" s="3"/>
      <c r="K15554" s="3"/>
      <c r="L15554" s="3"/>
    </row>
    <row r="15555" spans="8:12" x14ac:dyDescent="0.3">
      <c r="H15555" s="3"/>
      <c r="I15555" s="3"/>
      <c r="J15555" s="3"/>
      <c r="K15555" s="3"/>
      <c r="L15555" s="3"/>
    </row>
    <row r="15556" spans="8:12" x14ac:dyDescent="0.3">
      <c r="H15556" s="3"/>
      <c r="I15556" s="3"/>
      <c r="J15556" s="3"/>
      <c r="K15556" s="3"/>
      <c r="L15556" s="3"/>
    </row>
    <row r="15557" spans="8:12" x14ac:dyDescent="0.3">
      <c r="H15557" s="3"/>
      <c r="I15557" s="3"/>
      <c r="J15557" s="3"/>
      <c r="K15557" s="3"/>
      <c r="L15557" s="3"/>
    </row>
    <row r="15558" spans="8:12" x14ac:dyDescent="0.3">
      <c r="H15558" s="3"/>
      <c r="I15558" s="3"/>
      <c r="J15558" s="3"/>
      <c r="K15558" s="3"/>
      <c r="L15558" s="3"/>
    </row>
    <row r="15559" spans="8:12" x14ac:dyDescent="0.3">
      <c r="H15559" s="3"/>
      <c r="I15559" s="3"/>
      <c r="J15559" s="3"/>
      <c r="K15559" s="3"/>
      <c r="L15559" s="3"/>
    </row>
    <row r="15560" spans="8:12" x14ac:dyDescent="0.3">
      <c r="H15560" s="3"/>
      <c r="I15560" s="3"/>
      <c r="J15560" s="3"/>
      <c r="K15560" s="3"/>
      <c r="L15560" s="3"/>
    </row>
    <row r="15561" spans="8:12" x14ac:dyDescent="0.3">
      <c r="H15561" s="3"/>
      <c r="I15561" s="3"/>
      <c r="J15561" s="3"/>
      <c r="K15561" s="3"/>
      <c r="L15561" s="3"/>
    </row>
    <row r="15562" spans="8:12" x14ac:dyDescent="0.3">
      <c r="H15562" s="3"/>
      <c r="I15562" s="3"/>
      <c r="J15562" s="3"/>
      <c r="K15562" s="3"/>
      <c r="L15562" s="3"/>
    </row>
    <row r="15563" spans="8:12" x14ac:dyDescent="0.3">
      <c r="H15563" s="3"/>
      <c r="I15563" s="3"/>
      <c r="J15563" s="3"/>
      <c r="K15563" s="3"/>
      <c r="L15563" s="3"/>
    </row>
    <row r="15564" spans="8:12" x14ac:dyDescent="0.3">
      <c r="H15564" s="3"/>
      <c r="I15564" s="3"/>
      <c r="J15564" s="3"/>
      <c r="K15564" s="3"/>
      <c r="L15564" s="3"/>
    </row>
    <row r="15565" spans="8:12" x14ac:dyDescent="0.3">
      <c r="H15565" s="3"/>
      <c r="I15565" s="3"/>
      <c r="J15565" s="3"/>
      <c r="K15565" s="3"/>
      <c r="L15565" s="3"/>
    </row>
    <row r="15566" spans="8:12" x14ac:dyDescent="0.3">
      <c r="H15566" s="3"/>
      <c r="I15566" s="3"/>
      <c r="J15566" s="3"/>
      <c r="K15566" s="3"/>
      <c r="L15566" s="3"/>
    </row>
    <row r="15567" spans="8:12" x14ac:dyDescent="0.3">
      <c r="H15567" s="3"/>
      <c r="I15567" s="3"/>
      <c r="J15567" s="3"/>
      <c r="K15567" s="3"/>
      <c r="L15567" s="3"/>
    </row>
    <row r="15568" spans="8:12" x14ac:dyDescent="0.3">
      <c r="H15568" s="3"/>
      <c r="I15568" s="3"/>
      <c r="J15568" s="3"/>
      <c r="K15568" s="3"/>
      <c r="L15568" s="3"/>
    </row>
    <row r="15569" spans="8:12" x14ac:dyDescent="0.3">
      <c r="H15569" s="3"/>
      <c r="I15569" s="3"/>
      <c r="J15569" s="3"/>
      <c r="K15569" s="3"/>
      <c r="L15569" s="3"/>
    </row>
    <row r="15570" spans="8:12" x14ac:dyDescent="0.3">
      <c r="H15570" s="3"/>
      <c r="I15570" s="3"/>
      <c r="J15570" s="3"/>
      <c r="K15570" s="3"/>
      <c r="L15570" s="3"/>
    </row>
    <row r="15571" spans="8:12" x14ac:dyDescent="0.3">
      <c r="H15571" s="3"/>
      <c r="I15571" s="3"/>
      <c r="J15571" s="3"/>
      <c r="K15571" s="3"/>
      <c r="L15571" s="3"/>
    </row>
    <row r="15572" spans="8:12" x14ac:dyDescent="0.3">
      <c r="H15572" s="3"/>
      <c r="I15572" s="3"/>
      <c r="J15572" s="3"/>
      <c r="K15572" s="3"/>
      <c r="L15572" s="3"/>
    </row>
    <row r="15573" spans="8:12" x14ac:dyDescent="0.3">
      <c r="H15573" s="3"/>
      <c r="I15573" s="3"/>
      <c r="J15573" s="3"/>
      <c r="K15573" s="3"/>
      <c r="L15573" s="3"/>
    </row>
    <row r="15574" spans="8:12" x14ac:dyDescent="0.3">
      <c r="H15574" s="3"/>
      <c r="I15574" s="3"/>
      <c r="J15574" s="3"/>
      <c r="K15574" s="3"/>
      <c r="L15574" s="3"/>
    </row>
    <row r="15575" spans="8:12" x14ac:dyDescent="0.3">
      <c r="H15575" s="3"/>
      <c r="I15575" s="3"/>
      <c r="J15575" s="3"/>
      <c r="K15575" s="3"/>
      <c r="L15575" s="3"/>
    </row>
    <row r="15576" spans="8:12" x14ac:dyDescent="0.3">
      <c r="H15576" s="3"/>
      <c r="I15576" s="3"/>
      <c r="J15576" s="3"/>
      <c r="K15576" s="3"/>
      <c r="L15576" s="3"/>
    </row>
    <row r="15577" spans="8:12" x14ac:dyDescent="0.3">
      <c r="H15577" s="3"/>
      <c r="I15577" s="3"/>
      <c r="J15577" s="3"/>
      <c r="K15577" s="3"/>
      <c r="L15577" s="3"/>
    </row>
    <row r="15578" spans="8:12" x14ac:dyDescent="0.3">
      <c r="H15578" s="3"/>
      <c r="I15578" s="3"/>
      <c r="J15578" s="3"/>
      <c r="K15578" s="3"/>
      <c r="L15578" s="3"/>
    </row>
    <row r="15579" spans="8:12" x14ac:dyDescent="0.3">
      <c r="H15579" s="3"/>
      <c r="I15579" s="3"/>
      <c r="J15579" s="3"/>
      <c r="K15579" s="3"/>
      <c r="L15579" s="3"/>
    </row>
    <row r="15580" spans="8:12" x14ac:dyDescent="0.3">
      <c r="H15580" s="3"/>
      <c r="I15580" s="3"/>
      <c r="J15580" s="3"/>
      <c r="K15580" s="3"/>
      <c r="L15580" s="3"/>
    </row>
    <row r="15581" spans="8:12" x14ac:dyDescent="0.3">
      <c r="H15581" s="3"/>
      <c r="I15581" s="3"/>
      <c r="J15581" s="3"/>
      <c r="K15581" s="3"/>
      <c r="L15581" s="3"/>
    </row>
    <row r="15582" spans="8:12" x14ac:dyDescent="0.3">
      <c r="H15582" s="3"/>
      <c r="I15582" s="3"/>
      <c r="J15582" s="3"/>
      <c r="K15582" s="3"/>
      <c r="L15582" s="3"/>
    </row>
    <row r="15583" spans="8:12" x14ac:dyDescent="0.3">
      <c r="H15583" s="3"/>
      <c r="I15583" s="3"/>
      <c r="J15583" s="3"/>
      <c r="K15583" s="3"/>
      <c r="L15583" s="3"/>
    </row>
    <row r="15584" spans="8:12" x14ac:dyDescent="0.3">
      <c r="H15584" s="3"/>
      <c r="I15584" s="3"/>
      <c r="J15584" s="3"/>
      <c r="K15584" s="3"/>
      <c r="L15584" s="3"/>
    </row>
    <row r="15585" spans="8:12" x14ac:dyDescent="0.3">
      <c r="H15585" s="3"/>
      <c r="I15585" s="3"/>
      <c r="J15585" s="3"/>
      <c r="K15585" s="3"/>
      <c r="L15585" s="3"/>
    </row>
    <row r="15586" spans="8:12" x14ac:dyDescent="0.3">
      <c r="H15586" s="3"/>
      <c r="I15586" s="3"/>
      <c r="J15586" s="3"/>
      <c r="K15586" s="3"/>
      <c r="L15586" s="3"/>
    </row>
    <row r="15587" spans="8:12" x14ac:dyDescent="0.3">
      <c r="H15587" s="3"/>
      <c r="I15587" s="3"/>
      <c r="J15587" s="3"/>
      <c r="K15587" s="3"/>
      <c r="L15587" s="3"/>
    </row>
    <row r="15588" spans="8:12" x14ac:dyDescent="0.3">
      <c r="H15588" s="3"/>
      <c r="I15588" s="3"/>
      <c r="J15588" s="3"/>
      <c r="K15588" s="3"/>
      <c r="L15588" s="3"/>
    </row>
    <row r="15589" spans="8:12" x14ac:dyDescent="0.3">
      <c r="H15589" s="3"/>
      <c r="I15589" s="3"/>
      <c r="J15589" s="3"/>
      <c r="K15589" s="3"/>
      <c r="L15589" s="3"/>
    </row>
    <row r="15590" spans="8:12" x14ac:dyDescent="0.3">
      <c r="H15590" s="3"/>
      <c r="I15590" s="3"/>
      <c r="J15590" s="3"/>
      <c r="K15590" s="3"/>
      <c r="L15590" s="3"/>
    </row>
    <row r="15591" spans="8:12" x14ac:dyDescent="0.3">
      <c r="H15591" s="3"/>
      <c r="I15591" s="3"/>
      <c r="J15591" s="3"/>
      <c r="K15591" s="3"/>
      <c r="L15591" s="3"/>
    </row>
    <row r="15592" spans="8:12" x14ac:dyDescent="0.3">
      <c r="H15592" s="3"/>
      <c r="I15592" s="3"/>
      <c r="J15592" s="3"/>
      <c r="K15592" s="3"/>
      <c r="L15592" s="3"/>
    </row>
    <row r="15593" spans="8:12" x14ac:dyDescent="0.3">
      <c r="H15593" s="2"/>
      <c r="I15593" s="2"/>
      <c r="J15593" s="2"/>
      <c r="K15593" s="2"/>
      <c r="L15593" s="2"/>
    </row>
    <row r="15594" spans="8:12" x14ac:dyDescent="0.3">
      <c r="H15594" s="2"/>
      <c r="I15594" s="2"/>
      <c r="J15594" s="2"/>
      <c r="K15594" s="2"/>
      <c r="L15594" s="2"/>
    </row>
    <row r="15595" spans="8:12" x14ac:dyDescent="0.3">
      <c r="H15595" s="2"/>
      <c r="I15595" s="2"/>
      <c r="J15595" s="2"/>
      <c r="K15595" s="2"/>
      <c r="L15595" s="2"/>
    </row>
    <row r="15596" spans="8:12" x14ac:dyDescent="0.3">
      <c r="H15596" s="2"/>
      <c r="I15596" s="2"/>
      <c r="J15596" s="2"/>
      <c r="K15596" s="2"/>
      <c r="L15596" s="2"/>
    </row>
    <row r="15597" spans="8:12" x14ac:dyDescent="0.3">
      <c r="H15597" s="2"/>
      <c r="I15597" s="2"/>
      <c r="J15597" s="2"/>
      <c r="K15597" s="2"/>
      <c r="L15597" s="2"/>
    </row>
    <row r="15598" spans="8:12" x14ac:dyDescent="0.3">
      <c r="H15598" s="2"/>
      <c r="I15598" s="2"/>
      <c r="J15598" s="2"/>
      <c r="K15598" s="2"/>
      <c r="L15598" s="2"/>
    </row>
    <row r="15599" spans="8:12" x14ac:dyDescent="0.3">
      <c r="H15599" s="2"/>
      <c r="I15599" s="2"/>
      <c r="J15599" s="2"/>
      <c r="K15599" s="2"/>
      <c r="L15599" s="2"/>
    </row>
    <row r="15600" spans="8:12" x14ac:dyDescent="0.3">
      <c r="H15600" s="2"/>
      <c r="I15600" s="2"/>
      <c r="J15600" s="2"/>
      <c r="K15600" s="2"/>
      <c r="L15600" s="2"/>
    </row>
    <row r="15601" spans="8:12" x14ac:dyDescent="0.3">
      <c r="H15601" s="2"/>
      <c r="I15601" s="2"/>
      <c r="J15601" s="2"/>
      <c r="K15601" s="2"/>
      <c r="L15601" s="2"/>
    </row>
    <row r="15602" spans="8:12" x14ac:dyDescent="0.3">
      <c r="H15602" s="2"/>
      <c r="I15602" s="2"/>
      <c r="J15602" s="2"/>
      <c r="K15602" s="2"/>
      <c r="L15602" s="2"/>
    </row>
    <row r="15603" spans="8:12" x14ac:dyDescent="0.3">
      <c r="H15603" s="2"/>
      <c r="I15603" s="2"/>
      <c r="J15603" s="2"/>
      <c r="K15603" s="2"/>
      <c r="L15603" s="2"/>
    </row>
    <row r="15604" spans="8:12" x14ac:dyDescent="0.3">
      <c r="H15604" s="2"/>
      <c r="I15604" s="2"/>
      <c r="J15604" s="2"/>
      <c r="K15604" s="2"/>
      <c r="L15604" s="2"/>
    </row>
    <row r="15605" spans="8:12" x14ac:dyDescent="0.3">
      <c r="H15605" s="2"/>
      <c r="I15605" s="2"/>
      <c r="J15605" s="2"/>
      <c r="K15605" s="2"/>
      <c r="L15605" s="2"/>
    </row>
    <row r="15606" spans="8:12" x14ac:dyDescent="0.3">
      <c r="H15606" s="2"/>
      <c r="I15606" s="2"/>
      <c r="J15606" s="2"/>
      <c r="K15606" s="2"/>
      <c r="L15606" s="2"/>
    </row>
    <row r="15607" spans="8:12" x14ac:dyDescent="0.3">
      <c r="H15607" s="2"/>
      <c r="I15607" s="2"/>
      <c r="J15607" s="2"/>
      <c r="K15607" s="2"/>
      <c r="L15607" s="2"/>
    </row>
    <row r="15608" spans="8:12" x14ac:dyDescent="0.3">
      <c r="H15608" s="2"/>
      <c r="I15608" s="2"/>
      <c r="J15608" s="2"/>
      <c r="K15608" s="2"/>
      <c r="L15608" s="2"/>
    </row>
    <row r="15609" spans="8:12" x14ac:dyDescent="0.3">
      <c r="H15609" s="2"/>
      <c r="I15609" s="2"/>
      <c r="J15609" s="2"/>
      <c r="K15609" s="2"/>
      <c r="L15609" s="2"/>
    </row>
    <row r="15610" spans="8:12" x14ac:dyDescent="0.3">
      <c r="H15610" s="2"/>
      <c r="I15610" s="2"/>
      <c r="J15610" s="2"/>
      <c r="K15610" s="2"/>
      <c r="L15610" s="2"/>
    </row>
    <row r="15611" spans="8:12" x14ac:dyDescent="0.3">
      <c r="H15611" s="2"/>
      <c r="I15611" s="2"/>
      <c r="J15611" s="2"/>
      <c r="K15611" s="2"/>
      <c r="L15611" s="2"/>
    </row>
    <row r="15612" spans="8:12" x14ac:dyDescent="0.3">
      <c r="H15612" s="2"/>
      <c r="I15612" s="2"/>
      <c r="J15612" s="2"/>
      <c r="K15612" s="2"/>
      <c r="L15612" s="2"/>
    </row>
    <row r="15613" spans="8:12" x14ac:dyDescent="0.3">
      <c r="H15613" s="2"/>
      <c r="I15613" s="2"/>
      <c r="J15613" s="2"/>
      <c r="K15613" s="2"/>
      <c r="L15613" s="2"/>
    </row>
    <row r="15614" spans="8:12" x14ac:dyDescent="0.3">
      <c r="H15614" s="2"/>
      <c r="I15614" s="2"/>
      <c r="J15614" s="2"/>
      <c r="K15614" s="2"/>
      <c r="L15614" s="2"/>
    </row>
    <row r="15615" spans="8:12" x14ac:dyDescent="0.3">
      <c r="H15615" s="2"/>
      <c r="I15615" s="2"/>
      <c r="J15615" s="2"/>
      <c r="K15615" s="2"/>
      <c r="L15615" s="2"/>
    </row>
    <row r="15616" spans="8:12" x14ac:dyDescent="0.3">
      <c r="H15616" s="2"/>
      <c r="I15616" s="2"/>
      <c r="J15616" s="2"/>
      <c r="K15616" s="2"/>
      <c r="L15616" s="2"/>
    </row>
    <row r="15617" spans="8:12" x14ac:dyDescent="0.3">
      <c r="H15617" s="2"/>
      <c r="I15617" s="2"/>
      <c r="J15617" s="2"/>
      <c r="K15617" s="2"/>
      <c r="L15617" s="2"/>
    </row>
    <row r="15618" spans="8:12" x14ac:dyDescent="0.3">
      <c r="H15618" s="2"/>
      <c r="I15618" s="2"/>
      <c r="J15618" s="2"/>
      <c r="K15618" s="2"/>
      <c r="L15618" s="2"/>
    </row>
    <row r="15619" spans="8:12" x14ac:dyDescent="0.3">
      <c r="H15619" s="2"/>
      <c r="I15619" s="2"/>
      <c r="J15619" s="2"/>
      <c r="K15619" s="2"/>
      <c r="L15619" s="2"/>
    </row>
    <row r="15620" spans="8:12" x14ac:dyDescent="0.3">
      <c r="H15620" s="2"/>
      <c r="I15620" s="2"/>
      <c r="J15620" s="2"/>
      <c r="K15620" s="2"/>
      <c r="L15620" s="2"/>
    </row>
    <row r="15621" spans="8:12" x14ac:dyDescent="0.3">
      <c r="H15621" s="2"/>
      <c r="I15621" s="2"/>
      <c r="J15621" s="2"/>
      <c r="K15621" s="2"/>
      <c r="L15621" s="2"/>
    </row>
    <row r="15622" spans="8:12" x14ac:dyDescent="0.3">
      <c r="H15622" s="2"/>
      <c r="I15622" s="2"/>
      <c r="J15622" s="2"/>
      <c r="K15622" s="2"/>
      <c r="L15622" s="2"/>
    </row>
    <row r="15623" spans="8:12" x14ac:dyDescent="0.3">
      <c r="H15623" s="2"/>
      <c r="I15623" s="2"/>
      <c r="J15623" s="2"/>
      <c r="K15623" s="2"/>
      <c r="L15623" s="2"/>
    </row>
    <row r="15624" spans="8:12" x14ac:dyDescent="0.3">
      <c r="H15624" s="2"/>
      <c r="I15624" s="2"/>
      <c r="J15624" s="2"/>
      <c r="K15624" s="2"/>
      <c r="L15624" s="2"/>
    </row>
    <row r="15625" spans="8:12" x14ac:dyDescent="0.3">
      <c r="H15625" s="2"/>
      <c r="I15625" s="2"/>
      <c r="J15625" s="2"/>
      <c r="K15625" s="2"/>
      <c r="L15625" s="2"/>
    </row>
    <row r="15626" spans="8:12" x14ac:dyDescent="0.3">
      <c r="H15626" s="2"/>
      <c r="I15626" s="2"/>
      <c r="J15626" s="2"/>
      <c r="K15626" s="2"/>
      <c r="L15626" s="2"/>
    </row>
    <row r="15627" spans="8:12" x14ac:dyDescent="0.3">
      <c r="H15627" s="2"/>
      <c r="I15627" s="2"/>
      <c r="J15627" s="2"/>
      <c r="K15627" s="2"/>
      <c r="L15627" s="2"/>
    </row>
    <row r="15628" spans="8:12" x14ac:dyDescent="0.3">
      <c r="H15628" s="2"/>
      <c r="I15628" s="2"/>
      <c r="J15628" s="2"/>
      <c r="K15628" s="2"/>
      <c r="L15628" s="2"/>
    </row>
    <row r="15629" spans="8:12" x14ac:dyDescent="0.3">
      <c r="H15629" s="2"/>
      <c r="I15629" s="2"/>
      <c r="J15629" s="2"/>
      <c r="K15629" s="2"/>
      <c r="L15629" s="2"/>
    </row>
    <row r="15630" spans="8:12" x14ac:dyDescent="0.3">
      <c r="H15630" s="2"/>
      <c r="I15630" s="2"/>
      <c r="J15630" s="2"/>
      <c r="K15630" s="2"/>
      <c r="L15630" s="2"/>
    </row>
    <row r="15631" spans="8:12" x14ac:dyDescent="0.3">
      <c r="H15631" s="2"/>
      <c r="I15631" s="2"/>
      <c r="J15631" s="2"/>
      <c r="K15631" s="2"/>
      <c r="L15631" s="2"/>
    </row>
    <row r="15632" spans="8:12" x14ac:dyDescent="0.3">
      <c r="H15632" s="2"/>
      <c r="I15632" s="2"/>
      <c r="J15632" s="2"/>
      <c r="K15632" s="2"/>
      <c r="L15632" s="2"/>
    </row>
    <row r="15633" spans="8:12" x14ac:dyDescent="0.3">
      <c r="H15633" s="2"/>
      <c r="I15633" s="2"/>
      <c r="J15633" s="2"/>
      <c r="K15633" s="2"/>
      <c r="L15633" s="2"/>
    </row>
    <row r="15634" spans="8:12" x14ac:dyDescent="0.3">
      <c r="H15634" s="2"/>
      <c r="I15634" s="2"/>
      <c r="J15634" s="2"/>
      <c r="K15634" s="2"/>
      <c r="L15634" s="2"/>
    </row>
    <row r="15635" spans="8:12" x14ac:dyDescent="0.3">
      <c r="H15635" s="2"/>
      <c r="I15635" s="2"/>
      <c r="J15635" s="2"/>
      <c r="K15635" s="2"/>
      <c r="L15635" s="2"/>
    </row>
    <row r="15636" spans="8:12" x14ac:dyDescent="0.3">
      <c r="H15636" s="2"/>
      <c r="I15636" s="2"/>
      <c r="J15636" s="2"/>
      <c r="K15636" s="2"/>
      <c r="L15636" s="2"/>
    </row>
    <row r="15637" spans="8:12" x14ac:dyDescent="0.3">
      <c r="H15637" s="2"/>
      <c r="I15637" s="2"/>
      <c r="J15637" s="2"/>
      <c r="K15637" s="2"/>
      <c r="L15637" s="2"/>
    </row>
    <row r="15638" spans="8:12" x14ac:dyDescent="0.3">
      <c r="H15638" s="2"/>
      <c r="I15638" s="2"/>
      <c r="J15638" s="2"/>
      <c r="K15638" s="2"/>
      <c r="L15638" s="2"/>
    </row>
    <row r="15639" spans="8:12" x14ac:dyDescent="0.3">
      <c r="H15639" s="2"/>
      <c r="I15639" s="2"/>
      <c r="J15639" s="2"/>
      <c r="K15639" s="2"/>
      <c r="L15639" s="2"/>
    </row>
    <row r="15640" spans="8:12" x14ac:dyDescent="0.3">
      <c r="H15640" s="2"/>
      <c r="I15640" s="2"/>
      <c r="J15640" s="2"/>
      <c r="K15640" s="2"/>
      <c r="L15640" s="2"/>
    </row>
    <row r="15641" spans="8:12" x14ac:dyDescent="0.3">
      <c r="H15641" s="2"/>
      <c r="I15641" s="2"/>
      <c r="J15641" s="2"/>
      <c r="K15641" s="2"/>
      <c r="L15641" s="2"/>
    </row>
    <row r="15642" spans="8:12" x14ac:dyDescent="0.3">
      <c r="H15642" s="2"/>
      <c r="I15642" s="2"/>
      <c r="J15642" s="2"/>
      <c r="K15642" s="2"/>
      <c r="L15642" s="2"/>
    </row>
    <row r="15643" spans="8:12" x14ac:dyDescent="0.3">
      <c r="H15643" s="2"/>
      <c r="I15643" s="2"/>
      <c r="J15643" s="2"/>
      <c r="K15643" s="2"/>
      <c r="L15643" s="2"/>
    </row>
    <row r="15644" spans="8:12" x14ac:dyDescent="0.3">
      <c r="H15644" s="2"/>
      <c r="I15644" s="2"/>
      <c r="J15644" s="2"/>
      <c r="K15644" s="2"/>
      <c r="L15644" s="2"/>
    </row>
    <row r="15645" spans="8:12" x14ac:dyDescent="0.3">
      <c r="H15645" s="2"/>
      <c r="I15645" s="2"/>
      <c r="J15645" s="2"/>
      <c r="K15645" s="2"/>
      <c r="L15645" s="2"/>
    </row>
    <row r="15646" spans="8:12" x14ac:dyDescent="0.3">
      <c r="H15646" s="2"/>
      <c r="I15646" s="2"/>
      <c r="J15646" s="2"/>
      <c r="K15646" s="2"/>
      <c r="L15646" s="2"/>
    </row>
    <row r="15647" spans="8:12" x14ac:dyDescent="0.3">
      <c r="H15647" s="2"/>
      <c r="I15647" s="2"/>
      <c r="J15647" s="2"/>
      <c r="K15647" s="2"/>
      <c r="L15647" s="2"/>
    </row>
    <row r="15648" spans="8:12" x14ac:dyDescent="0.3">
      <c r="H15648" s="2"/>
      <c r="I15648" s="2"/>
      <c r="J15648" s="2"/>
      <c r="K15648" s="2"/>
      <c r="L15648" s="2"/>
    </row>
    <row r="15649" spans="8:12" x14ac:dyDescent="0.3">
      <c r="H15649" s="2"/>
      <c r="I15649" s="2"/>
      <c r="J15649" s="2"/>
      <c r="K15649" s="2"/>
      <c r="L15649" s="2"/>
    </row>
    <row r="15650" spans="8:12" x14ac:dyDescent="0.3">
      <c r="H15650" s="2"/>
      <c r="I15650" s="2"/>
      <c r="J15650" s="2"/>
      <c r="K15650" s="2"/>
      <c r="L15650" s="2"/>
    </row>
    <row r="15651" spans="8:12" x14ac:dyDescent="0.3">
      <c r="H15651" s="2"/>
      <c r="I15651" s="2"/>
      <c r="J15651" s="2"/>
      <c r="K15651" s="2"/>
      <c r="L15651" s="2"/>
    </row>
    <row r="15652" spans="8:12" x14ac:dyDescent="0.3">
      <c r="H15652" s="2"/>
      <c r="I15652" s="2"/>
      <c r="J15652" s="2"/>
      <c r="K15652" s="2"/>
      <c r="L15652" s="2"/>
    </row>
    <row r="15653" spans="8:12" x14ac:dyDescent="0.3">
      <c r="H15653" s="2"/>
      <c r="I15653" s="2"/>
      <c r="J15653" s="2"/>
      <c r="K15653" s="2"/>
      <c r="L15653" s="2"/>
    </row>
    <row r="15654" spans="8:12" x14ac:dyDescent="0.3">
      <c r="H15654" s="2"/>
      <c r="I15654" s="2"/>
      <c r="J15654" s="2"/>
      <c r="K15654" s="2"/>
      <c r="L15654" s="2"/>
    </row>
    <row r="15655" spans="8:12" x14ac:dyDescent="0.3">
      <c r="H15655" s="2"/>
      <c r="I15655" s="2"/>
      <c r="J15655" s="2"/>
      <c r="K15655" s="2"/>
      <c r="L15655" s="2"/>
    </row>
    <row r="15656" spans="8:12" x14ac:dyDescent="0.3">
      <c r="H15656" s="2"/>
      <c r="I15656" s="2"/>
      <c r="J15656" s="2"/>
      <c r="K15656" s="2"/>
      <c r="L15656" s="2"/>
    </row>
    <row r="15657" spans="8:12" x14ac:dyDescent="0.3">
      <c r="H15657" s="2"/>
      <c r="I15657" s="2"/>
      <c r="J15657" s="2"/>
      <c r="K15657" s="2"/>
      <c r="L15657" s="2"/>
    </row>
    <row r="15658" spans="8:12" x14ac:dyDescent="0.3">
      <c r="H15658" s="2"/>
      <c r="I15658" s="2"/>
      <c r="J15658" s="2"/>
      <c r="K15658" s="2"/>
      <c r="L15658" s="2"/>
    </row>
    <row r="15659" spans="8:12" x14ac:dyDescent="0.3">
      <c r="H15659" s="2"/>
      <c r="I15659" s="2"/>
      <c r="J15659" s="2"/>
      <c r="K15659" s="2"/>
      <c r="L15659" s="2"/>
    </row>
    <row r="15660" spans="8:12" x14ac:dyDescent="0.3">
      <c r="H15660" s="2"/>
      <c r="I15660" s="2"/>
      <c r="J15660" s="2"/>
      <c r="K15660" s="2"/>
      <c r="L15660" s="2"/>
    </row>
    <row r="15661" spans="8:12" x14ac:dyDescent="0.3">
      <c r="H15661" s="2"/>
      <c r="I15661" s="2"/>
      <c r="J15661" s="2"/>
      <c r="K15661" s="2"/>
      <c r="L15661" s="2"/>
    </row>
    <row r="15662" spans="8:12" x14ac:dyDescent="0.3">
      <c r="H15662" s="2"/>
      <c r="I15662" s="2"/>
      <c r="J15662" s="2"/>
      <c r="K15662" s="2"/>
      <c r="L15662" s="2"/>
    </row>
    <row r="15663" spans="8:12" x14ac:dyDescent="0.3">
      <c r="H15663" s="2"/>
      <c r="I15663" s="2"/>
      <c r="J15663" s="2"/>
      <c r="K15663" s="2"/>
      <c r="L15663" s="2"/>
    </row>
    <row r="15664" spans="8:12" x14ac:dyDescent="0.3">
      <c r="H15664" s="2"/>
      <c r="I15664" s="2"/>
      <c r="J15664" s="2"/>
      <c r="K15664" s="2"/>
      <c r="L15664" s="2"/>
    </row>
    <row r="15665" spans="8:12" x14ac:dyDescent="0.3">
      <c r="H15665" s="2"/>
      <c r="I15665" s="2"/>
      <c r="J15665" s="2"/>
      <c r="K15665" s="2"/>
      <c r="L15665" s="2"/>
    </row>
    <row r="15666" spans="8:12" x14ac:dyDescent="0.3">
      <c r="H15666" s="2"/>
      <c r="I15666" s="2"/>
      <c r="J15666" s="2"/>
      <c r="K15666" s="2"/>
      <c r="L15666" s="2"/>
    </row>
    <row r="15667" spans="8:12" x14ac:dyDescent="0.3">
      <c r="H15667" s="2"/>
      <c r="I15667" s="2"/>
      <c r="J15667" s="2"/>
      <c r="K15667" s="2"/>
      <c r="L15667" s="2"/>
    </row>
    <row r="15668" spans="8:12" x14ac:dyDescent="0.3">
      <c r="H15668" s="2"/>
      <c r="I15668" s="2"/>
      <c r="J15668" s="2"/>
      <c r="K15668" s="2"/>
      <c r="L15668" s="2"/>
    </row>
    <row r="15669" spans="8:12" x14ac:dyDescent="0.3">
      <c r="H15669" s="2"/>
      <c r="I15669" s="2"/>
      <c r="J15669" s="2"/>
      <c r="K15669" s="2"/>
      <c r="L15669" s="2"/>
    </row>
    <row r="15670" spans="8:12" x14ac:dyDescent="0.3">
      <c r="H15670" s="2"/>
      <c r="I15670" s="2"/>
      <c r="J15670" s="2"/>
      <c r="K15670" s="2"/>
      <c r="L15670" s="2"/>
    </row>
    <row r="15671" spans="8:12" x14ac:dyDescent="0.3">
      <c r="H15671" s="2"/>
      <c r="I15671" s="2"/>
      <c r="J15671" s="2"/>
      <c r="K15671" s="2"/>
      <c r="L15671" s="2"/>
    </row>
    <row r="15672" spans="8:12" x14ac:dyDescent="0.3">
      <c r="H15672" s="2"/>
      <c r="I15672" s="2"/>
      <c r="J15672" s="2"/>
      <c r="K15672" s="2"/>
      <c r="L15672" s="2"/>
    </row>
    <row r="15673" spans="8:12" x14ac:dyDescent="0.3">
      <c r="H15673" s="2"/>
      <c r="I15673" s="2"/>
      <c r="J15673" s="2"/>
      <c r="K15673" s="2"/>
      <c r="L15673" s="2"/>
    </row>
    <row r="15674" spans="8:12" x14ac:dyDescent="0.3">
      <c r="H15674" s="2"/>
      <c r="I15674" s="2"/>
      <c r="J15674" s="2"/>
      <c r="K15674" s="2"/>
      <c r="L15674" s="2"/>
    </row>
    <row r="15675" spans="8:12" x14ac:dyDescent="0.3">
      <c r="H15675" s="2"/>
      <c r="I15675" s="2"/>
      <c r="J15675" s="2"/>
      <c r="K15675" s="2"/>
      <c r="L15675" s="2"/>
    </row>
    <row r="15676" spans="8:12" x14ac:dyDescent="0.3">
      <c r="H15676" s="2"/>
      <c r="I15676" s="2"/>
      <c r="J15676" s="2"/>
      <c r="K15676" s="2"/>
      <c r="L15676" s="2"/>
    </row>
    <row r="15677" spans="8:12" x14ac:dyDescent="0.3">
      <c r="H15677" s="2"/>
      <c r="I15677" s="2"/>
      <c r="J15677" s="2"/>
      <c r="K15677" s="2"/>
      <c r="L15677" s="2"/>
    </row>
    <row r="15678" spans="8:12" x14ac:dyDescent="0.3">
      <c r="H15678" s="2"/>
      <c r="I15678" s="2"/>
      <c r="J15678" s="2"/>
      <c r="K15678" s="2"/>
      <c r="L15678" s="2"/>
    </row>
    <row r="15679" spans="8:12" x14ac:dyDescent="0.3">
      <c r="H15679" s="2"/>
      <c r="I15679" s="2"/>
      <c r="J15679" s="2"/>
      <c r="K15679" s="2"/>
      <c r="L15679" s="2"/>
    </row>
    <row r="15680" spans="8:12" x14ac:dyDescent="0.3">
      <c r="H15680" s="2"/>
      <c r="I15680" s="2"/>
      <c r="J15680" s="2"/>
      <c r="K15680" s="2"/>
      <c r="L15680" s="2"/>
    </row>
    <row r="15681" spans="8:12" x14ac:dyDescent="0.3">
      <c r="H15681" s="2"/>
      <c r="I15681" s="2"/>
      <c r="J15681" s="2"/>
      <c r="K15681" s="2"/>
      <c r="L15681" s="2"/>
    </row>
    <row r="15682" spans="8:12" x14ac:dyDescent="0.3">
      <c r="H15682" s="2"/>
      <c r="I15682" s="2"/>
      <c r="J15682" s="2"/>
      <c r="K15682" s="2"/>
      <c r="L15682" s="2"/>
    </row>
    <row r="15683" spans="8:12" x14ac:dyDescent="0.3">
      <c r="H15683" s="2"/>
      <c r="I15683" s="2"/>
      <c r="J15683" s="2"/>
      <c r="K15683" s="2"/>
      <c r="L15683" s="2"/>
    </row>
    <row r="15684" spans="8:12" x14ac:dyDescent="0.3">
      <c r="H15684" s="2"/>
      <c r="I15684" s="2"/>
      <c r="J15684" s="2"/>
      <c r="K15684" s="2"/>
      <c r="L15684" s="2"/>
    </row>
    <row r="15685" spans="8:12" x14ac:dyDescent="0.3">
      <c r="H15685" s="2"/>
      <c r="I15685" s="2"/>
      <c r="J15685" s="2"/>
      <c r="K15685" s="2"/>
      <c r="L15685" s="2"/>
    </row>
    <row r="15686" spans="8:12" x14ac:dyDescent="0.3">
      <c r="H15686" s="2"/>
      <c r="I15686" s="2"/>
      <c r="J15686" s="2"/>
      <c r="K15686" s="2"/>
      <c r="L15686" s="2"/>
    </row>
    <row r="15687" spans="8:12" x14ac:dyDescent="0.3">
      <c r="H15687" s="2"/>
      <c r="I15687" s="2"/>
      <c r="J15687" s="2"/>
      <c r="K15687" s="2"/>
      <c r="L15687" s="2"/>
    </row>
    <row r="15688" spans="8:12" x14ac:dyDescent="0.3">
      <c r="H15688" s="2"/>
      <c r="I15688" s="2"/>
      <c r="J15688" s="2"/>
      <c r="K15688" s="2"/>
      <c r="L15688" s="2"/>
    </row>
    <row r="15689" spans="8:12" x14ac:dyDescent="0.3">
      <c r="H15689" s="2"/>
      <c r="I15689" s="2"/>
      <c r="J15689" s="2"/>
      <c r="K15689" s="2"/>
      <c r="L15689" s="2"/>
    </row>
    <row r="15690" spans="8:12" x14ac:dyDescent="0.3">
      <c r="H15690" s="2"/>
      <c r="I15690" s="2"/>
      <c r="J15690" s="2"/>
      <c r="K15690" s="2"/>
      <c r="L15690" s="2"/>
    </row>
    <row r="15691" spans="8:12" x14ac:dyDescent="0.3">
      <c r="H15691" s="2"/>
      <c r="I15691" s="2"/>
      <c r="J15691" s="2"/>
      <c r="K15691" s="2"/>
      <c r="L15691" s="2"/>
    </row>
    <row r="15692" spans="8:12" x14ac:dyDescent="0.3">
      <c r="H15692" s="2"/>
      <c r="I15692" s="2"/>
      <c r="J15692" s="2"/>
      <c r="K15692" s="2"/>
      <c r="L15692" s="2"/>
    </row>
    <row r="15693" spans="8:12" x14ac:dyDescent="0.3">
      <c r="H15693" s="2"/>
      <c r="I15693" s="2"/>
      <c r="J15693" s="2"/>
      <c r="K15693" s="2"/>
      <c r="L15693" s="2"/>
    </row>
    <row r="15694" spans="8:12" x14ac:dyDescent="0.3">
      <c r="H15694" s="2"/>
      <c r="I15694" s="2"/>
      <c r="J15694" s="2"/>
      <c r="K15694" s="2"/>
      <c r="L15694" s="2"/>
    </row>
    <row r="15695" spans="8:12" x14ac:dyDescent="0.3">
      <c r="H15695" s="2"/>
      <c r="I15695" s="2"/>
      <c r="J15695" s="2"/>
      <c r="K15695" s="2"/>
      <c r="L15695" s="2"/>
    </row>
    <row r="15696" spans="8:12" x14ac:dyDescent="0.3">
      <c r="H15696" s="2"/>
      <c r="I15696" s="2"/>
      <c r="J15696" s="2"/>
      <c r="K15696" s="2"/>
      <c r="L15696" s="2"/>
    </row>
    <row r="15697" spans="8:12" x14ac:dyDescent="0.3">
      <c r="H15697" s="2"/>
      <c r="I15697" s="2"/>
      <c r="J15697" s="2"/>
      <c r="K15697" s="2"/>
      <c r="L15697" s="2"/>
    </row>
    <row r="15698" spans="8:12" x14ac:dyDescent="0.3">
      <c r="H15698" s="2"/>
      <c r="I15698" s="2"/>
      <c r="J15698" s="2"/>
      <c r="K15698" s="2"/>
      <c r="L15698" s="2"/>
    </row>
    <row r="15699" spans="8:12" x14ac:dyDescent="0.3">
      <c r="H15699" s="2"/>
      <c r="I15699" s="2"/>
      <c r="J15699" s="2"/>
      <c r="K15699" s="2"/>
      <c r="L15699" s="2"/>
    </row>
    <row r="15700" spans="8:12" x14ac:dyDescent="0.3">
      <c r="H15700" s="2"/>
      <c r="I15700" s="2"/>
      <c r="J15700" s="2"/>
      <c r="K15700" s="2"/>
      <c r="L15700" s="2"/>
    </row>
    <row r="15701" spans="8:12" x14ac:dyDescent="0.3">
      <c r="H15701" s="2"/>
      <c r="I15701" s="2"/>
      <c r="J15701" s="2"/>
      <c r="K15701" s="2"/>
      <c r="L15701" s="2"/>
    </row>
    <row r="15702" spans="8:12" x14ac:dyDescent="0.3">
      <c r="H15702" s="2"/>
      <c r="I15702" s="2"/>
      <c r="J15702" s="2"/>
      <c r="K15702" s="2"/>
      <c r="L15702" s="2"/>
    </row>
    <row r="15703" spans="8:12" x14ac:dyDescent="0.3">
      <c r="H15703" s="2"/>
      <c r="I15703" s="2"/>
      <c r="J15703" s="2"/>
      <c r="K15703" s="2"/>
      <c r="L15703" s="2"/>
    </row>
    <row r="15704" spans="8:12" x14ac:dyDescent="0.3">
      <c r="H15704" s="2"/>
      <c r="I15704" s="2"/>
      <c r="J15704" s="2"/>
      <c r="K15704" s="2"/>
      <c r="L15704" s="2"/>
    </row>
    <row r="15705" spans="8:12" x14ac:dyDescent="0.3">
      <c r="H15705" s="2"/>
      <c r="I15705" s="2"/>
      <c r="J15705" s="2"/>
      <c r="K15705" s="2"/>
      <c r="L15705" s="2"/>
    </row>
    <row r="15706" spans="8:12" x14ac:dyDescent="0.3">
      <c r="H15706" s="2"/>
      <c r="I15706" s="2"/>
      <c r="J15706" s="2"/>
      <c r="K15706" s="2"/>
      <c r="L15706" s="2"/>
    </row>
    <row r="15707" spans="8:12" x14ac:dyDescent="0.3">
      <c r="H15707" s="2"/>
      <c r="I15707" s="2"/>
      <c r="J15707" s="2"/>
      <c r="K15707" s="2"/>
      <c r="L15707" s="2"/>
    </row>
    <row r="15708" spans="8:12" x14ac:dyDescent="0.3">
      <c r="H15708" s="2"/>
      <c r="I15708" s="2"/>
      <c r="J15708" s="2"/>
      <c r="K15708" s="2"/>
      <c r="L15708" s="2"/>
    </row>
    <row r="15709" spans="8:12" x14ac:dyDescent="0.3">
      <c r="H15709" s="2"/>
      <c r="I15709" s="2"/>
      <c r="J15709" s="2"/>
      <c r="K15709" s="2"/>
      <c r="L15709" s="2"/>
    </row>
    <row r="15710" spans="8:12" x14ac:dyDescent="0.3">
      <c r="H15710" s="2"/>
      <c r="I15710" s="2"/>
      <c r="J15710" s="2"/>
      <c r="K15710" s="2"/>
      <c r="L15710" s="2"/>
    </row>
    <row r="15711" spans="8:12" x14ac:dyDescent="0.3">
      <c r="H15711" s="2"/>
      <c r="I15711" s="2"/>
      <c r="J15711" s="2"/>
      <c r="K15711" s="2"/>
      <c r="L15711" s="2"/>
    </row>
    <row r="15712" spans="8:12" x14ac:dyDescent="0.3">
      <c r="H15712" s="2"/>
      <c r="I15712" s="2"/>
      <c r="J15712" s="2"/>
      <c r="K15712" s="2"/>
      <c r="L15712" s="2"/>
    </row>
    <row r="15713" spans="8:12" x14ac:dyDescent="0.3">
      <c r="H15713" s="2"/>
      <c r="I15713" s="2"/>
      <c r="J15713" s="2"/>
      <c r="K15713" s="2"/>
      <c r="L15713" s="2"/>
    </row>
    <row r="15714" spans="8:12" x14ac:dyDescent="0.3">
      <c r="H15714" s="2"/>
      <c r="I15714" s="2"/>
      <c r="J15714" s="2"/>
      <c r="K15714" s="2"/>
      <c r="L15714" s="2"/>
    </row>
    <row r="15715" spans="8:12" x14ac:dyDescent="0.3">
      <c r="H15715" s="2"/>
      <c r="I15715" s="2"/>
      <c r="J15715" s="2"/>
      <c r="K15715" s="2"/>
      <c r="L15715" s="2"/>
    </row>
    <row r="15716" spans="8:12" x14ac:dyDescent="0.3">
      <c r="H15716" s="2"/>
      <c r="I15716" s="2"/>
      <c r="J15716" s="2"/>
      <c r="K15716" s="2"/>
      <c r="L15716" s="2"/>
    </row>
    <row r="15717" spans="8:12" x14ac:dyDescent="0.3">
      <c r="H15717" s="2"/>
      <c r="I15717" s="2"/>
      <c r="J15717" s="2"/>
      <c r="K15717" s="2"/>
      <c r="L15717" s="2"/>
    </row>
    <row r="15718" spans="8:12" x14ac:dyDescent="0.3">
      <c r="H15718" s="2"/>
      <c r="I15718" s="2"/>
      <c r="J15718" s="2"/>
      <c r="K15718" s="2"/>
      <c r="L15718" s="2"/>
    </row>
    <row r="15719" spans="8:12" x14ac:dyDescent="0.3">
      <c r="H15719" s="2"/>
      <c r="I15719" s="2"/>
      <c r="J15719" s="2"/>
      <c r="K15719" s="2"/>
      <c r="L15719" s="2"/>
    </row>
    <row r="15720" spans="8:12" x14ac:dyDescent="0.3">
      <c r="H15720" s="2"/>
      <c r="I15720" s="2"/>
      <c r="J15720" s="2"/>
      <c r="K15720" s="2"/>
      <c r="L15720" s="2"/>
    </row>
    <row r="15721" spans="8:12" x14ac:dyDescent="0.3">
      <c r="H15721" s="2"/>
      <c r="I15721" s="2"/>
      <c r="J15721" s="2"/>
      <c r="K15721" s="2"/>
      <c r="L15721" s="2"/>
    </row>
    <row r="15722" spans="8:12" x14ac:dyDescent="0.3">
      <c r="H15722" s="2"/>
      <c r="I15722" s="2"/>
      <c r="J15722" s="2"/>
      <c r="K15722" s="2"/>
      <c r="L15722" s="2"/>
    </row>
    <row r="15723" spans="8:12" x14ac:dyDescent="0.3">
      <c r="H15723" s="2"/>
      <c r="I15723" s="2"/>
      <c r="J15723" s="2"/>
      <c r="K15723" s="2"/>
      <c r="L15723" s="2"/>
    </row>
    <row r="15724" spans="8:12" x14ac:dyDescent="0.3">
      <c r="H15724" s="2"/>
      <c r="I15724" s="2"/>
      <c r="J15724" s="2"/>
      <c r="K15724" s="2"/>
      <c r="L15724" s="2"/>
    </row>
    <row r="15725" spans="8:12" x14ac:dyDescent="0.3">
      <c r="H15725" s="2"/>
      <c r="I15725" s="2"/>
      <c r="J15725" s="2"/>
      <c r="K15725" s="2"/>
      <c r="L15725" s="2"/>
    </row>
    <row r="15726" spans="8:12" x14ac:dyDescent="0.3">
      <c r="H15726" s="2"/>
      <c r="I15726" s="2"/>
      <c r="J15726" s="2"/>
      <c r="K15726" s="2"/>
      <c r="L15726" s="2"/>
    </row>
    <row r="15727" spans="8:12" x14ac:dyDescent="0.3">
      <c r="H15727" s="2"/>
      <c r="I15727" s="2"/>
      <c r="J15727" s="2"/>
      <c r="K15727" s="2"/>
      <c r="L15727" s="2"/>
    </row>
    <row r="15728" spans="8:12" x14ac:dyDescent="0.3">
      <c r="H15728" s="2"/>
      <c r="I15728" s="2"/>
      <c r="J15728" s="2"/>
      <c r="K15728" s="2"/>
      <c r="L15728" s="2"/>
    </row>
    <row r="15729" spans="8:12" x14ac:dyDescent="0.3">
      <c r="H15729" s="2"/>
      <c r="I15729" s="2"/>
      <c r="J15729" s="2"/>
      <c r="K15729" s="2"/>
      <c r="L15729" s="2"/>
    </row>
    <row r="15730" spans="8:12" x14ac:dyDescent="0.3">
      <c r="H15730" s="2"/>
      <c r="I15730" s="2"/>
      <c r="J15730" s="2"/>
      <c r="K15730" s="2"/>
      <c r="L15730" s="2"/>
    </row>
    <row r="15731" spans="8:12" x14ac:dyDescent="0.3">
      <c r="H15731" s="2"/>
      <c r="I15731" s="2"/>
      <c r="J15731" s="2"/>
      <c r="K15731" s="2"/>
      <c r="L15731" s="2"/>
    </row>
    <row r="15732" spans="8:12" x14ac:dyDescent="0.3">
      <c r="H15732" s="2"/>
      <c r="I15732" s="2"/>
      <c r="J15732" s="2"/>
      <c r="K15732" s="2"/>
      <c r="L15732" s="2"/>
    </row>
    <row r="15733" spans="8:12" x14ac:dyDescent="0.3">
      <c r="H15733" s="2"/>
      <c r="I15733" s="2"/>
      <c r="J15733" s="2"/>
      <c r="K15733" s="2"/>
      <c r="L15733" s="2"/>
    </row>
    <row r="15734" spans="8:12" x14ac:dyDescent="0.3">
      <c r="H15734" s="2"/>
      <c r="I15734" s="2"/>
      <c r="J15734" s="2"/>
      <c r="K15734" s="2"/>
      <c r="L15734" s="2"/>
    </row>
    <row r="15735" spans="8:12" x14ac:dyDescent="0.3">
      <c r="H15735" s="2"/>
      <c r="I15735" s="2"/>
      <c r="J15735" s="2"/>
      <c r="K15735" s="2"/>
      <c r="L15735" s="2"/>
    </row>
    <row r="15736" spans="8:12" x14ac:dyDescent="0.3">
      <c r="H15736" s="2"/>
      <c r="I15736" s="2"/>
      <c r="J15736" s="2"/>
      <c r="K15736" s="2"/>
      <c r="L15736" s="2"/>
    </row>
    <row r="15737" spans="8:12" x14ac:dyDescent="0.3">
      <c r="H15737" s="2"/>
      <c r="I15737" s="2"/>
      <c r="J15737" s="2"/>
      <c r="K15737" s="2"/>
      <c r="L15737" s="2"/>
    </row>
    <row r="15738" spans="8:12" x14ac:dyDescent="0.3">
      <c r="H15738" s="2"/>
      <c r="I15738" s="2"/>
      <c r="J15738" s="2"/>
      <c r="K15738" s="2"/>
      <c r="L15738" s="2"/>
    </row>
    <row r="15739" spans="8:12" x14ac:dyDescent="0.3">
      <c r="H15739" s="2"/>
      <c r="I15739" s="2"/>
      <c r="J15739" s="2"/>
      <c r="K15739" s="2"/>
      <c r="L15739" s="2"/>
    </row>
    <row r="15740" spans="8:12" x14ac:dyDescent="0.3">
      <c r="H15740" s="2"/>
      <c r="I15740" s="2"/>
      <c r="J15740" s="2"/>
      <c r="K15740" s="2"/>
      <c r="L15740" s="2"/>
    </row>
    <row r="15741" spans="8:12" x14ac:dyDescent="0.3">
      <c r="H15741" s="2"/>
      <c r="I15741" s="2"/>
      <c r="J15741" s="2"/>
      <c r="K15741" s="2"/>
      <c r="L15741" s="2"/>
    </row>
    <row r="15742" spans="8:12" x14ac:dyDescent="0.3">
      <c r="H15742" s="2"/>
      <c r="I15742" s="2"/>
      <c r="J15742" s="2"/>
      <c r="K15742" s="2"/>
      <c r="L15742" s="2"/>
    </row>
    <row r="15743" spans="8:12" x14ac:dyDescent="0.3">
      <c r="H15743" s="2"/>
      <c r="I15743" s="2"/>
      <c r="J15743" s="2"/>
      <c r="K15743" s="2"/>
      <c r="L15743" s="2"/>
    </row>
    <row r="15744" spans="8:12" x14ac:dyDescent="0.3">
      <c r="H15744" s="2"/>
      <c r="I15744" s="2"/>
      <c r="J15744" s="2"/>
      <c r="K15744" s="2"/>
      <c r="L15744" s="2"/>
    </row>
    <row r="15745" spans="8:12" x14ac:dyDescent="0.3">
      <c r="H15745" s="2"/>
      <c r="I15745" s="2"/>
      <c r="J15745" s="2"/>
      <c r="K15745" s="2"/>
      <c r="L15745" s="2"/>
    </row>
    <row r="15746" spans="8:12" x14ac:dyDescent="0.3">
      <c r="H15746" s="2"/>
      <c r="I15746" s="2"/>
      <c r="J15746" s="2"/>
      <c r="K15746" s="2"/>
      <c r="L15746" s="2"/>
    </row>
    <row r="15747" spans="8:12" x14ac:dyDescent="0.3">
      <c r="H15747" s="2"/>
      <c r="I15747" s="2"/>
      <c r="J15747" s="2"/>
      <c r="K15747" s="2"/>
      <c r="L15747" s="2"/>
    </row>
    <row r="15748" spans="8:12" x14ac:dyDescent="0.3">
      <c r="H15748" s="2"/>
      <c r="I15748" s="2"/>
      <c r="J15748" s="2"/>
      <c r="K15748" s="2"/>
      <c r="L15748" s="2"/>
    </row>
    <row r="15749" spans="8:12" x14ac:dyDescent="0.3">
      <c r="H15749" s="2"/>
      <c r="I15749" s="2"/>
      <c r="J15749" s="2"/>
      <c r="K15749" s="2"/>
      <c r="L15749" s="2"/>
    </row>
    <row r="15750" spans="8:12" x14ac:dyDescent="0.3">
      <c r="H15750" s="2"/>
      <c r="I15750" s="2"/>
      <c r="J15750" s="2"/>
      <c r="K15750" s="2"/>
      <c r="L15750" s="2"/>
    </row>
    <row r="15751" spans="8:12" x14ac:dyDescent="0.3">
      <c r="H15751" s="2"/>
      <c r="I15751" s="2"/>
      <c r="J15751" s="2"/>
      <c r="K15751" s="2"/>
      <c r="L15751" s="2"/>
    </row>
    <row r="15752" spans="8:12" x14ac:dyDescent="0.3">
      <c r="H15752" s="2"/>
      <c r="I15752" s="2"/>
      <c r="J15752" s="2"/>
      <c r="K15752" s="2"/>
      <c r="L15752" s="2"/>
    </row>
    <row r="15753" spans="8:12" x14ac:dyDescent="0.3">
      <c r="H15753" s="2"/>
      <c r="I15753" s="2"/>
      <c r="J15753" s="2"/>
      <c r="K15753" s="2"/>
      <c r="L15753" s="2"/>
    </row>
    <row r="15754" spans="8:12" x14ac:dyDescent="0.3">
      <c r="H15754" s="2"/>
      <c r="I15754" s="2"/>
      <c r="J15754" s="2"/>
      <c r="K15754" s="2"/>
      <c r="L15754" s="2"/>
    </row>
    <row r="15755" spans="8:12" x14ac:dyDescent="0.3">
      <c r="H15755" s="2"/>
      <c r="I15755" s="2"/>
      <c r="J15755" s="2"/>
      <c r="K15755" s="2"/>
      <c r="L15755" s="2"/>
    </row>
    <row r="15756" spans="8:12" x14ac:dyDescent="0.3">
      <c r="H15756" s="2"/>
      <c r="I15756" s="2"/>
      <c r="J15756" s="2"/>
      <c r="K15756" s="2"/>
      <c r="L15756" s="2"/>
    </row>
    <row r="15757" spans="8:12" x14ac:dyDescent="0.3">
      <c r="H15757" s="2"/>
      <c r="I15757" s="2"/>
      <c r="J15757" s="2"/>
      <c r="K15757" s="2"/>
      <c r="L15757" s="2"/>
    </row>
    <row r="15758" spans="8:12" x14ac:dyDescent="0.3">
      <c r="H15758" s="2"/>
      <c r="I15758" s="2"/>
      <c r="J15758" s="2"/>
      <c r="K15758" s="2"/>
      <c r="L15758" s="2"/>
    </row>
    <row r="15759" spans="8:12" x14ac:dyDescent="0.3">
      <c r="H15759" s="2"/>
      <c r="I15759" s="2"/>
      <c r="J15759" s="2"/>
      <c r="K15759" s="2"/>
      <c r="L15759" s="2"/>
    </row>
    <row r="15760" spans="8:12" x14ac:dyDescent="0.3">
      <c r="H15760" s="2"/>
      <c r="I15760" s="2"/>
      <c r="J15760" s="2"/>
      <c r="K15760" s="2"/>
      <c r="L15760" s="2"/>
    </row>
    <row r="15761" spans="8:12" x14ac:dyDescent="0.3">
      <c r="H15761" s="2"/>
      <c r="I15761" s="2"/>
      <c r="J15761" s="2"/>
      <c r="K15761" s="2"/>
      <c r="L15761" s="2"/>
    </row>
    <row r="15762" spans="8:12" x14ac:dyDescent="0.3">
      <c r="H15762" s="2"/>
      <c r="I15762" s="2"/>
      <c r="J15762" s="2"/>
      <c r="K15762" s="2"/>
      <c r="L15762" s="2"/>
    </row>
    <row r="15763" spans="8:12" x14ac:dyDescent="0.3">
      <c r="H15763" s="2"/>
      <c r="I15763" s="2"/>
      <c r="J15763" s="2"/>
      <c r="K15763" s="2"/>
      <c r="L15763" s="2"/>
    </row>
    <row r="15764" spans="8:12" x14ac:dyDescent="0.3">
      <c r="H15764" s="2"/>
      <c r="I15764" s="2"/>
      <c r="J15764" s="2"/>
      <c r="K15764" s="2"/>
      <c r="L15764" s="2"/>
    </row>
    <row r="15765" spans="8:12" x14ac:dyDescent="0.3">
      <c r="H15765" s="2"/>
      <c r="I15765" s="2"/>
      <c r="J15765" s="2"/>
      <c r="K15765" s="2"/>
      <c r="L15765" s="2"/>
    </row>
    <row r="15766" spans="8:12" x14ac:dyDescent="0.3">
      <c r="H15766" s="2"/>
      <c r="I15766" s="2"/>
      <c r="J15766" s="2"/>
      <c r="K15766" s="2"/>
      <c r="L15766" s="2"/>
    </row>
    <row r="15767" spans="8:12" x14ac:dyDescent="0.3">
      <c r="H15767" s="2"/>
      <c r="I15767" s="2"/>
      <c r="J15767" s="2"/>
      <c r="K15767" s="2"/>
      <c r="L15767" s="2"/>
    </row>
    <row r="15768" spans="8:12" x14ac:dyDescent="0.3">
      <c r="H15768" s="2"/>
      <c r="I15768" s="2"/>
      <c r="J15768" s="2"/>
      <c r="K15768" s="2"/>
      <c r="L15768" s="2"/>
    </row>
    <row r="15769" spans="8:12" x14ac:dyDescent="0.3">
      <c r="H15769" s="2"/>
      <c r="I15769" s="2"/>
      <c r="J15769" s="2"/>
      <c r="K15769" s="2"/>
      <c r="L15769" s="2"/>
    </row>
    <row r="15770" spans="8:12" x14ac:dyDescent="0.3">
      <c r="H15770" s="2"/>
      <c r="I15770" s="2"/>
      <c r="J15770" s="2"/>
      <c r="K15770" s="2"/>
      <c r="L15770" s="2"/>
    </row>
    <row r="15771" spans="8:12" x14ac:dyDescent="0.3">
      <c r="H15771" s="2"/>
      <c r="I15771" s="2"/>
      <c r="J15771" s="2"/>
      <c r="K15771" s="2"/>
      <c r="L15771" s="2"/>
    </row>
    <row r="15772" spans="8:12" x14ac:dyDescent="0.3">
      <c r="H15772" s="2"/>
      <c r="I15772" s="2"/>
      <c r="J15772" s="2"/>
      <c r="K15772" s="2"/>
      <c r="L15772" s="2"/>
    </row>
    <row r="15773" spans="8:12" x14ac:dyDescent="0.3">
      <c r="H15773" s="2"/>
      <c r="I15773" s="2"/>
      <c r="J15773" s="2"/>
      <c r="K15773" s="2"/>
      <c r="L15773" s="2"/>
    </row>
    <row r="15774" spans="8:12" x14ac:dyDescent="0.3">
      <c r="H15774" s="2"/>
      <c r="I15774" s="2"/>
      <c r="J15774" s="2"/>
      <c r="K15774" s="2"/>
      <c r="L15774" s="2"/>
    </row>
    <row r="15775" spans="8:12" x14ac:dyDescent="0.3">
      <c r="H15775" s="2"/>
      <c r="I15775" s="2"/>
      <c r="J15775" s="2"/>
      <c r="K15775" s="2"/>
      <c r="L15775" s="2"/>
    </row>
    <row r="15776" spans="8:12" x14ac:dyDescent="0.3">
      <c r="H15776" s="2"/>
      <c r="I15776" s="2"/>
      <c r="J15776" s="2"/>
      <c r="K15776" s="2"/>
      <c r="L15776" s="2"/>
    </row>
    <row r="15777" spans="8:12" x14ac:dyDescent="0.3">
      <c r="H15777" s="2"/>
      <c r="I15777" s="2"/>
      <c r="J15777" s="2"/>
      <c r="K15777" s="2"/>
      <c r="L15777" s="2"/>
    </row>
    <row r="15778" spans="8:12" x14ac:dyDescent="0.3">
      <c r="H15778" s="2"/>
      <c r="I15778" s="2"/>
      <c r="J15778" s="2"/>
      <c r="K15778" s="2"/>
      <c r="L15778" s="2"/>
    </row>
    <row r="15779" spans="8:12" x14ac:dyDescent="0.3">
      <c r="H15779" s="2"/>
      <c r="I15779" s="2"/>
      <c r="J15779" s="2"/>
      <c r="K15779" s="2"/>
      <c r="L15779" s="2"/>
    </row>
    <row r="15780" spans="8:12" x14ac:dyDescent="0.3">
      <c r="H15780" s="2"/>
      <c r="I15780" s="2"/>
      <c r="J15780" s="2"/>
      <c r="K15780" s="2"/>
      <c r="L15780" s="2"/>
    </row>
    <row r="15781" spans="8:12" x14ac:dyDescent="0.3">
      <c r="H15781" s="2"/>
      <c r="I15781" s="2"/>
      <c r="J15781" s="2"/>
      <c r="K15781" s="2"/>
      <c r="L15781" s="2"/>
    </row>
    <row r="15782" spans="8:12" x14ac:dyDescent="0.3">
      <c r="H15782" s="2"/>
      <c r="I15782" s="2"/>
      <c r="J15782" s="2"/>
      <c r="K15782" s="2"/>
      <c r="L15782" s="2"/>
    </row>
    <row r="15783" spans="8:12" x14ac:dyDescent="0.3">
      <c r="H15783" s="2"/>
      <c r="I15783" s="2"/>
      <c r="J15783" s="2"/>
      <c r="K15783" s="2"/>
      <c r="L15783" s="2"/>
    </row>
    <row r="15784" spans="8:12" x14ac:dyDescent="0.3">
      <c r="H15784" s="2"/>
      <c r="I15784" s="2"/>
      <c r="J15784" s="2"/>
      <c r="K15784" s="2"/>
      <c r="L15784" s="2"/>
    </row>
    <row r="15785" spans="8:12" x14ac:dyDescent="0.3">
      <c r="H15785" s="2"/>
      <c r="I15785" s="2"/>
      <c r="J15785" s="2"/>
      <c r="K15785" s="2"/>
      <c r="L15785" s="2"/>
    </row>
    <row r="15786" spans="8:12" x14ac:dyDescent="0.3">
      <c r="H15786" s="2"/>
      <c r="I15786" s="2"/>
      <c r="J15786" s="2"/>
      <c r="K15786" s="2"/>
      <c r="L15786" s="2"/>
    </row>
    <row r="15787" spans="8:12" x14ac:dyDescent="0.3">
      <c r="H15787" s="2"/>
      <c r="I15787" s="2"/>
      <c r="J15787" s="2"/>
      <c r="K15787" s="2"/>
      <c r="L15787" s="2"/>
    </row>
    <row r="15788" spans="8:12" x14ac:dyDescent="0.3">
      <c r="H15788" s="2"/>
      <c r="I15788" s="2"/>
      <c r="J15788" s="2"/>
      <c r="K15788" s="2"/>
      <c r="L15788" s="2"/>
    </row>
    <row r="15789" spans="8:12" x14ac:dyDescent="0.3">
      <c r="H15789" s="2"/>
      <c r="I15789" s="2"/>
      <c r="J15789" s="2"/>
      <c r="K15789" s="2"/>
      <c r="L15789" s="2"/>
    </row>
    <row r="15790" spans="8:12" x14ac:dyDescent="0.3">
      <c r="H15790" s="2"/>
      <c r="I15790" s="2"/>
      <c r="J15790" s="2"/>
      <c r="K15790" s="2"/>
      <c r="L15790" s="2"/>
    </row>
    <row r="15791" spans="8:12" x14ac:dyDescent="0.3">
      <c r="H15791" s="2"/>
      <c r="I15791" s="2"/>
      <c r="J15791" s="2"/>
      <c r="K15791" s="2"/>
      <c r="L15791" s="2"/>
    </row>
    <row r="15792" spans="8:12" x14ac:dyDescent="0.3">
      <c r="H15792" s="2"/>
      <c r="I15792" s="2"/>
      <c r="J15792" s="2"/>
      <c r="K15792" s="2"/>
      <c r="L15792" s="2"/>
    </row>
    <row r="15793" spans="8:12" x14ac:dyDescent="0.3">
      <c r="H15793" s="2"/>
      <c r="I15793" s="2"/>
      <c r="J15793" s="2"/>
      <c r="K15793" s="2"/>
      <c r="L15793" s="2"/>
    </row>
    <row r="15794" spans="8:12" x14ac:dyDescent="0.3">
      <c r="H15794" s="2"/>
      <c r="I15794" s="2"/>
      <c r="J15794" s="2"/>
      <c r="K15794" s="2"/>
      <c r="L15794" s="2"/>
    </row>
    <row r="15795" spans="8:12" x14ac:dyDescent="0.3">
      <c r="H15795" s="2"/>
      <c r="I15795" s="2"/>
      <c r="J15795" s="2"/>
      <c r="K15795" s="2"/>
      <c r="L15795" s="2"/>
    </row>
    <row r="15796" spans="8:12" x14ac:dyDescent="0.3">
      <c r="H15796" s="2"/>
      <c r="I15796" s="2"/>
      <c r="J15796" s="2"/>
      <c r="K15796" s="2"/>
      <c r="L15796" s="2"/>
    </row>
    <row r="15797" spans="8:12" x14ac:dyDescent="0.3">
      <c r="H15797" s="2"/>
      <c r="I15797" s="2"/>
      <c r="J15797" s="2"/>
      <c r="K15797" s="2"/>
      <c r="L15797" s="2"/>
    </row>
    <row r="15798" spans="8:12" x14ac:dyDescent="0.3">
      <c r="H15798" s="2"/>
      <c r="I15798" s="2"/>
      <c r="J15798" s="2"/>
      <c r="K15798" s="2"/>
      <c r="L15798" s="2"/>
    </row>
    <row r="15799" spans="8:12" x14ac:dyDescent="0.3">
      <c r="H15799" s="2"/>
      <c r="I15799" s="2"/>
      <c r="J15799" s="2"/>
      <c r="K15799" s="2"/>
      <c r="L15799" s="2"/>
    </row>
    <row r="15800" spans="8:12" x14ac:dyDescent="0.3">
      <c r="H15800" s="2"/>
      <c r="I15800" s="2"/>
      <c r="J15800" s="2"/>
      <c r="K15800" s="2"/>
      <c r="L15800" s="2"/>
    </row>
    <row r="15801" spans="8:12" x14ac:dyDescent="0.3">
      <c r="H15801" s="2"/>
      <c r="I15801" s="2"/>
      <c r="J15801" s="2"/>
      <c r="K15801" s="2"/>
      <c r="L15801" s="2"/>
    </row>
    <row r="15802" spans="8:12" x14ac:dyDescent="0.3">
      <c r="H15802" s="2"/>
      <c r="I15802" s="2"/>
      <c r="J15802" s="2"/>
      <c r="K15802" s="2"/>
      <c r="L15802" s="2"/>
    </row>
    <row r="15803" spans="8:12" x14ac:dyDescent="0.3">
      <c r="H15803" s="2"/>
      <c r="I15803" s="2"/>
      <c r="J15803" s="2"/>
      <c r="K15803" s="2"/>
      <c r="L15803" s="2"/>
    </row>
    <row r="15804" spans="8:12" x14ac:dyDescent="0.3">
      <c r="H15804" s="2"/>
      <c r="I15804" s="2"/>
      <c r="J15804" s="2"/>
      <c r="K15804" s="2"/>
      <c r="L15804" s="2"/>
    </row>
    <row r="15805" spans="8:12" x14ac:dyDescent="0.3">
      <c r="H15805" s="2"/>
      <c r="I15805" s="2"/>
      <c r="J15805" s="2"/>
      <c r="K15805" s="2"/>
      <c r="L15805" s="2"/>
    </row>
    <row r="15806" spans="8:12" x14ac:dyDescent="0.3">
      <c r="H15806" s="2"/>
      <c r="I15806" s="2"/>
      <c r="J15806" s="2"/>
      <c r="K15806" s="2"/>
      <c r="L15806" s="2"/>
    </row>
    <row r="15807" spans="8:12" x14ac:dyDescent="0.3">
      <c r="H15807" s="2"/>
      <c r="I15807" s="2"/>
      <c r="J15807" s="2"/>
      <c r="K15807" s="2"/>
      <c r="L15807" s="2"/>
    </row>
    <row r="15808" spans="8:12" x14ac:dyDescent="0.3">
      <c r="H15808" s="2"/>
      <c r="I15808" s="2"/>
      <c r="J15808" s="2"/>
      <c r="K15808" s="2"/>
      <c r="L15808" s="2"/>
    </row>
    <row r="15809" spans="8:12" x14ac:dyDescent="0.3">
      <c r="H15809" s="2"/>
      <c r="I15809" s="2"/>
      <c r="J15809" s="2"/>
      <c r="K15809" s="2"/>
      <c r="L15809" s="2"/>
    </row>
    <row r="15810" spans="8:12" x14ac:dyDescent="0.3">
      <c r="H15810" s="2"/>
      <c r="I15810" s="2"/>
      <c r="J15810" s="2"/>
      <c r="K15810" s="2"/>
      <c r="L15810" s="2"/>
    </row>
    <row r="15811" spans="8:12" x14ac:dyDescent="0.3">
      <c r="H15811" s="2"/>
      <c r="I15811" s="2"/>
      <c r="J15811" s="2"/>
      <c r="K15811" s="2"/>
      <c r="L15811" s="2"/>
    </row>
    <row r="15812" spans="8:12" x14ac:dyDescent="0.3">
      <c r="H15812" s="2"/>
      <c r="I15812" s="2"/>
      <c r="J15812" s="2"/>
      <c r="K15812" s="2"/>
      <c r="L15812" s="2"/>
    </row>
    <row r="15813" spans="8:12" x14ac:dyDescent="0.3">
      <c r="H15813" s="2"/>
      <c r="I15813" s="2"/>
      <c r="J15813" s="2"/>
      <c r="K15813" s="2"/>
      <c r="L15813" s="2"/>
    </row>
    <row r="15814" spans="8:12" x14ac:dyDescent="0.3">
      <c r="H15814" s="2"/>
      <c r="I15814" s="2"/>
      <c r="J15814" s="2"/>
      <c r="K15814" s="2"/>
      <c r="L15814" s="2"/>
    </row>
    <row r="15815" spans="8:12" x14ac:dyDescent="0.3">
      <c r="H15815" s="2"/>
      <c r="I15815" s="2"/>
      <c r="J15815" s="2"/>
      <c r="K15815" s="2"/>
      <c r="L15815" s="2"/>
    </row>
    <row r="15816" spans="8:12" x14ac:dyDescent="0.3">
      <c r="H15816" s="2"/>
      <c r="I15816" s="2"/>
      <c r="J15816" s="2"/>
      <c r="K15816" s="2"/>
      <c r="L15816" s="2"/>
    </row>
    <row r="15817" spans="8:12" x14ac:dyDescent="0.3">
      <c r="H15817" s="2"/>
      <c r="I15817" s="2"/>
      <c r="J15817" s="2"/>
      <c r="K15817" s="2"/>
      <c r="L15817" s="2"/>
    </row>
    <row r="15818" spans="8:12" x14ac:dyDescent="0.3">
      <c r="H15818" s="2"/>
      <c r="I15818" s="2"/>
      <c r="J15818" s="2"/>
      <c r="K15818" s="2"/>
      <c r="L15818" s="2"/>
    </row>
    <row r="15819" spans="8:12" x14ac:dyDescent="0.3">
      <c r="H15819" s="2"/>
      <c r="I15819" s="2"/>
      <c r="J15819" s="2"/>
      <c r="K15819" s="2"/>
      <c r="L15819" s="2"/>
    </row>
    <row r="15820" spans="8:12" x14ac:dyDescent="0.3">
      <c r="H15820" s="2"/>
      <c r="I15820" s="2"/>
      <c r="J15820" s="2"/>
      <c r="K15820" s="2"/>
      <c r="L15820" s="2"/>
    </row>
    <row r="15821" spans="8:12" x14ac:dyDescent="0.3">
      <c r="H15821" s="2"/>
      <c r="I15821" s="2"/>
      <c r="J15821" s="2"/>
      <c r="K15821" s="2"/>
      <c r="L15821" s="2"/>
    </row>
    <row r="15822" spans="8:12" x14ac:dyDescent="0.3">
      <c r="H15822" s="2"/>
      <c r="I15822" s="2"/>
      <c r="J15822" s="2"/>
      <c r="K15822" s="2"/>
      <c r="L15822" s="2"/>
    </row>
    <row r="15823" spans="8:12" x14ac:dyDescent="0.3">
      <c r="H15823" s="2"/>
      <c r="I15823" s="2"/>
      <c r="J15823" s="2"/>
      <c r="K15823" s="2"/>
      <c r="L15823" s="2"/>
    </row>
    <row r="15824" spans="8:12" x14ac:dyDescent="0.3">
      <c r="H15824" s="2"/>
      <c r="I15824" s="2"/>
      <c r="J15824" s="2"/>
      <c r="K15824" s="2"/>
      <c r="L15824" s="2"/>
    </row>
    <row r="15825" spans="8:12" x14ac:dyDescent="0.3">
      <c r="H15825" s="2"/>
      <c r="I15825" s="2"/>
      <c r="J15825" s="2"/>
      <c r="K15825" s="2"/>
      <c r="L15825" s="2"/>
    </row>
    <row r="15826" spans="8:12" x14ac:dyDescent="0.3">
      <c r="H15826" s="2"/>
      <c r="I15826" s="2"/>
      <c r="J15826" s="2"/>
      <c r="K15826" s="2"/>
      <c r="L15826" s="2"/>
    </row>
    <row r="15827" spans="8:12" x14ac:dyDescent="0.3">
      <c r="H15827" s="2"/>
      <c r="I15827" s="2"/>
      <c r="J15827" s="2"/>
      <c r="K15827" s="2"/>
      <c r="L15827" s="2"/>
    </row>
    <row r="15828" spans="8:12" x14ac:dyDescent="0.3">
      <c r="H15828" s="2"/>
      <c r="I15828" s="2"/>
      <c r="J15828" s="2"/>
      <c r="K15828" s="2"/>
      <c r="L15828" s="2"/>
    </row>
    <row r="15829" spans="8:12" x14ac:dyDescent="0.3">
      <c r="H15829" s="2"/>
      <c r="I15829" s="2"/>
      <c r="J15829" s="2"/>
      <c r="K15829" s="2"/>
      <c r="L15829" s="2"/>
    </row>
    <row r="15830" spans="8:12" x14ac:dyDescent="0.3">
      <c r="H15830" s="2"/>
      <c r="I15830" s="2"/>
      <c r="J15830" s="2"/>
      <c r="K15830" s="2"/>
      <c r="L15830" s="2"/>
    </row>
    <row r="15831" spans="8:12" x14ac:dyDescent="0.3">
      <c r="H15831" s="2"/>
      <c r="I15831" s="2"/>
      <c r="J15831" s="2"/>
      <c r="K15831" s="2"/>
      <c r="L15831" s="2"/>
    </row>
    <row r="15832" spans="8:12" x14ac:dyDescent="0.3">
      <c r="H15832" s="2"/>
      <c r="I15832" s="2"/>
      <c r="J15832" s="2"/>
      <c r="K15832" s="2"/>
      <c r="L15832" s="2"/>
    </row>
    <row r="15833" spans="8:12" x14ac:dyDescent="0.3">
      <c r="H15833" s="2"/>
      <c r="I15833" s="2"/>
      <c r="J15833" s="2"/>
      <c r="K15833" s="2"/>
      <c r="L15833" s="2"/>
    </row>
    <row r="15834" spans="8:12" x14ac:dyDescent="0.3">
      <c r="H15834" s="2"/>
      <c r="I15834" s="2"/>
      <c r="J15834" s="2"/>
      <c r="K15834" s="2"/>
      <c r="L15834" s="2"/>
    </row>
    <row r="15835" spans="8:12" x14ac:dyDescent="0.3">
      <c r="H15835" s="2"/>
      <c r="I15835" s="2"/>
      <c r="J15835" s="2"/>
      <c r="K15835" s="2"/>
      <c r="L15835" s="2"/>
    </row>
    <row r="15836" spans="8:12" x14ac:dyDescent="0.3">
      <c r="H15836" s="2"/>
      <c r="I15836" s="2"/>
      <c r="J15836" s="2"/>
      <c r="K15836" s="2"/>
      <c r="L15836" s="2"/>
    </row>
    <row r="15837" spans="8:12" x14ac:dyDescent="0.3">
      <c r="H15837" s="2"/>
      <c r="I15837" s="2"/>
      <c r="J15837" s="2"/>
      <c r="K15837" s="2"/>
      <c r="L15837" s="2"/>
    </row>
    <row r="15838" spans="8:12" x14ac:dyDescent="0.3">
      <c r="H15838" s="2"/>
      <c r="I15838" s="2"/>
      <c r="J15838" s="2"/>
      <c r="K15838" s="2"/>
      <c r="L15838" s="2"/>
    </row>
    <row r="15839" spans="8:12" x14ac:dyDescent="0.3">
      <c r="H15839" s="2"/>
      <c r="I15839" s="2"/>
      <c r="J15839" s="2"/>
      <c r="K15839" s="2"/>
      <c r="L15839" s="2"/>
    </row>
    <row r="15840" spans="8:12" x14ac:dyDescent="0.3">
      <c r="H15840" s="2"/>
      <c r="I15840" s="2"/>
      <c r="J15840" s="2"/>
      <c r="K15840" s="2"/>
      <c r="L15840" s="2"/>
    </row>
    <row r="15841" spans="8:12" x14ac:dyDescent="0.3">
      <c r="H15841" s="2"/>
      <c r="I15841" s="2"/>
      <c r="J15841" s="2"/>
      <c r="K15841" s="2"/>
      <c r="L15841" s="2"/>
    </row>
    <row r="15842" spans="8:12" x14ac:dyDescent="0.3">
      <c r="H15842" s="2"/>
      <c r="I15842" s="2"/>
      <c r="J15842" s="2"/>
      <c r="K15842" s="2"/>
      <c r="L15842" s="2"/>
    </row>
    <row r="15843" spans="8:12" x14ac:dyDescent="0.3">
      <c r="H15843" s="2"/>
      <c r="I15843" s="2"/>
      <c r="J15843" s="2"/>
      <c r="K15843" s="2"/>
      <c r="L15843" s="2"/>
    </row>
    <row r="15844" spans="8:12" x14ac:dyDescent="0.3">
      <c r="H15844" s="2"/>
      <c r="I15844" s="2"/>
      <c r="J15844" s="2"/>
      <c r="K15844" s="2"/>
      <c r="L15844" s="2"/>
    </row>
    <row r="15845" spans="8:12" x14ac:dyDescent="0.3">
      <c r="H15845" s="2"/>
      <c r="I15845" s="2"/>
      <c r="J15845" s="2"/>
      <c r="K15845" s="2"/>
      <c r="L15845" s="2"/>
    </row>
    <row r="15846" spans="8:12" x14ac:dyDescent="0.3">
      <c r="H15846" s="2"/>
      <c r="I15846" s="2"/>
      <c r="J15846" s="2"/>
      <c r="K15846" s="2"/>
      <c r="L15846" s="2"/>
    </row>
    <row r="15847" spans="8:12" x14ac:dyDescent="0.3">
      <c r="H15847" s="2"/>
      <c r="I15847" s="2"/>
      <c r="J15847" s="2"/>
      <c r="K15847" s="2"/>
      <c r="L15847" s="2"/>
    </row>
    <row r="15848" spans="8:12" x14ac:dyDescent="0.3">
      <c r="H15848" s="2"/>
      <c r="I15848" s="2"/>
      <c r="J15848" s="2"/>
      <c r="K15848" s="2"/>
      <c r="L15848" s="2"/>
    </row>
    <row r="15849" spans="8:12" x14ac:dyDescent="0.3">
      <c r="H15849" s="2"/>
      <c r="I15849" s="2"/>
      <c r="J15849" s="2"/>
      <c r="K15849" s="2"/>
      <c r="L15849" s="2"/>
    </row>
    <row r="15850" spans="8:12" x14ac:dyDescent="0.3">
      <c r="H15850" s="2"/>
      <c r="I15850" s="2"/>
      <c r="J15850" s="2"/>
      <c r="K15850" s="2"/>
      <c r="L15850" s="2"/>
    </row>
    <row r="15851" spans="8:12" x14ac:dyDescent="0.3">
      <c r="H15851" s="2"/>
      <c r="I15851" s="2"/>
      <c r="J15851" s="2"/>
      <c r="K15851" s="2"/>
      <c r="L15851" s="2"/>
    </row>
    <row r="15852" spans="8:12" x14ac:dyDescent="0.3">
      <c r="H15852" s="2"/>
      <c r="I15852" s="2"/>
      <c r="J15852" s="2"/>
      <c r="K15852" s="2"/>
      <c r="L15852" s="2"/>
    </row>
    <row r="15853" spans="8:12" x14ac:dyDescent="0.3">
      <c r="H15853" s="2"/>
      <c r="I15853" s="2"/>
      <c r="J15853" s="2"/>
      <c r="K15853" s="2"/>
      <c r="L15853" s="2"/>
    </row>
    <row r="15854" spans="8:12" x14ac:dyDescent="0.3">
      <c r="H15854" s="2"/>
      <c r="I15854" s="2"/>
      <c r="J15854" s="2"/>
      <c r="K15854" s="2"/>
      <c r="L15854" s="2"/>
    </row>
    <row r="15855" spans="8:12" x14ac:dyDescent="0.3">
      <c r="H15855" s="2"/>
      <c r="I15855" s="2"/>
      <c r="J15855" s="2"/>
      <c r="K15855" s="2"/>
      <c r="L15855" s="2"/>
    </row>
    <row r="15856" spans="8:12" x14ac:dyDescent="0.3">
      <c r="H15856" s="2"/>
      <c r="I15856" s="2"/>
      <c r="J15856" s="2"/>
      <c r="K15856" s="2"/>
      <c r="L15856" s="2"/>
    </row>
    <row r="15857" spans="8:12" x14ac:dyDescent="0.3">
      <c r="H15857" s="2"/>
      <c r="I15857" s="2"/>
      <c r="J15857" s="2"/>
      <c r="K15857" s="2"/>
      <c r="L15857" s="2"/>
    </row>
    <row r="15858" spans="8:12" x14ac:dyDescent="0.3">
      <c r="H15858" s="2"/>
      <c r="I15858" s="2"/>
      <c r="J15858" s="2"/>
      <c r="K15858" s="2"/>
      <c r="L15858" s="2"/>
    </row>
    <row r="15859" spans="8:12" x14ac:dyDescent="0.3">
      <c r="H15859" s="2"/>
      <c r="I15859" s="2"/>
      <c r="J15859" s="2"/>
      <c r="K15859" s="2"/>
      <c r="L15859" s="2"/>
    </row>
    <row r="15860" spans="8:12" x14ac:dyDescent="0.3">
      <c r="H15860" s="2"/>
      <c r="I15860" s="2"/>
      <c r="J15860" s="2"/>
      <c r="K15860" s="2"/>
      <c r="L15860" s="2"/>
    </row>
    <row r="15861" spans="8:12" x14ac:dyDescent="0.3">
      <c r="H15861" s="2"/>
      <c r="I15861" s="2"/>
      <c r="J15861" s="2"/>
      <c r="K15861" s="2"/>
      <c r="L15861" s="2"/>
    </row>
    <row r="15862" spans="8:12" x14ac:dyDescent="0.3">
      <c r="H15862" s="2"/>
      <c r="I15862" s="2"/>
      <c r="J15862" s="2"/>
      <c r="K15862" s="2"/>
      <c r="L15862" s="2"/>
    </row>
    <row r="15863" spans="8:12" x14ac:dyDescent="0.3">
      <c r="H15863" s="2"/>
      <c r="I15863" s="2"/>
      <c r="J15863" s="2"/>
      <c r="K15863" s="2"/>
      <c r="L15863" s="2"/>
    </row>
    <row r="15864" spans="8:12" x14ac:dyDescent="0.3">
      <c r="H15864" s="2"/>
      <c r="I15864" s="2"/>
      <c r="J15864" s="2"/>
      <c r="K15864" s="2"/>
      <c r="L15864" s="2"/>
    </row>
    <row r="15865" spans="8:12" x14ac:dyDescent="0.3">
      <c r="H15865" s="2"/>
      <c r="I15865" s="2"/>
      <c r="J15865" s="2"/>
      <c r="K15865" s="2"/>
      <c r="L15865" s="2"/>
    </row>
    <row r="15866" spans="8:12" x14ac:dyDescent="0.3">
      <c r="H15866" s="2"/>
      <c r="I15866" s="2"/>
      <c r="J15866" s="2"/>
      <c r="K15866" s="2"/>
      <c r="L15866" s="2"/>
    </row>
    <row r="15867" spans="8:12" x14ac:dyDescent="0.3">
      <c r="H15867" s="2"/>
      <c r="I15867" s="2"/>
      <c r="J15867" s="2"/>
      <c r="K15867" s="2"/>
      <c r="L15867" s="2"/>
    </row>
    <row r="15868" spans="8:12" x14ac:dyDescent="0.3">
      <c r="H15868" s="2"/>
      <c r="I15868" s="2"/>
      <c r="J15868" s="2"/>
      <c r="K15868" s="2"/>
      <c r="L15868" s="2"/>
    </row>
    <row r="15869" spans="8:12" x14ac:dyDescent="0.3">
      <c r="H15869" s="2"/>
      <c r="I15869" s="2"/>
      <c r="J15869" s="2"/>
      <c r="K15869" s="2"/>
      <c r="L15869" s="2"/>
    </row>
    <row r="15870" spans="8:12" x14ac:dyDescent="0.3">
      <c r="H15870" s="2"/>
      <c r="I15870" s="2"/>
      <c r="J15870" s="2"/>
      <c r="K15870" s="2"/>
      <c r="L15870" s="2"/>
    </row>
    <row r="15871" spans="8:12" x14ac:dyDescent="0.3">
      <c r="H15871" s="2"/>
      <c r="I15871" s="2"/>
      <c r="J15871" s="2"/>
      <c r="K15871" s="2"/>
      <c r="L15871" s="2"/>
    </row>
    <row r="15872" spans="8:12" x14ac:dyDescent="0.3">
      <c r="H15872" s="2"/>
      <c r="I15872" s="2"/>
      <c r="J15872" s="2"/>
      <c r="K15872" s="2"/>
      <c r="L15872" s="2"/>
    </row>
    <row r="15873" spans="8:12" x14ac:dyDescent="0.3">
      <c r="H15873" s="2"/>
      <c r="I15873" s="2"/>
      <c r="J15873" s="2"/>
      <c r="K15873" s="2"/>
      <c r="L15873" s="2"/>
    </row>
    <row r="15874" spans="8:12" x14ac:dyDescent="0.3">
      <c r="H15874" s="2"/>
      <c r="I15874" s="2"/>
      <c r="J15874" s="2"/>
      <c r="K15874" s="2"/>
      <c r="L15874" s="2"/>
    </row>
    <row r="15875" spans="8:12" x14ac:dyDescent="0.3">
      <c r="H15875" s="2"/>
      <c r="I15875" s="2"/>
      <c r="J15875" s="2"/>
      <c r="K15875" s="2"/>
      <c r="L15875" s="2"/>
    </row>
    <row r="15876" spans="8:12" x14ac:dyDescent="0.3">
      <c r="H15876" s="2"/>
      <c r="I15876" s="2"/>
      <c r="J15876" s="2"/>
      <c r="K15876" s="2"/>
      <c r="L15876" s="2"/>
    </row>
    <row r="15877" spans="8:12" x14ac:dyDescent="0.3">
      <c r="H15877" s="2"/>
      <c r="I15877" s="2"/>
      <c r="J15877" s="2"/>
      <c r="K15877" s="2"/>
      <c r="L15877" s="2"/>
    </row>
    <row r="15878" spans="8:12" x14ac:dyDescent="0.3">
      <c r="H15878" s="2"/>
      <c r="I15878" s="2"/>
      <c r="J15878" s="2"/>
      <c r="K15878" s="2"/>
      <c r="L15878" s="2"/>
    </row>
    <row r="15879" spans="8:12" x14ac:dyDescent="0.3">
      <c r="H15879" s="2"/>
      <c r="I15879" s="2"/>
      <c r="J15879" s="2"/>
      <c r="K15879" s="2"/>
      <c r="L15879" s="2"/>
    </row>
    <row r="15880" spans="8:12" x14ac:dyDescent="0.3">
      <c r="H15880" s="2"/>
      <c r="I15880" s="2"/>
      <c r="J15880" s="2"/>
      <c r="K15880" s="2"/>
      <c r="L15880" s="2"/>
    </row>
    <row r="15881" spans="8:12" x14ac:dyDescent="0.3">
      <c r="H15881" s="2"/>
      <c r="I15881" s="2"/>
      <c r="J15881" s="2"/>
      <c r="K15881" s="2"/>
      <c r="L15881" s="2"/>
    </row>
    <row r="15882" spans="8:12" x14ac:dyDescent="0.3">
      <c r="H15882" s="2"/>
      <c r="I15882" s="2"/>
      <c r="J15882" s="2"/>
      <c r="K15882" s="2"/>
      <c r="L15882" s="2"/>
    </row>
    <row r="15883" spans="8:12" x14ac:dyDescent="0.3">
      <c r="H15883" s="2"/>
      <c r="I15883" s="2"/>
      <c r="J15883" s="2"/>
      <c r="K15883" s="2"/>
      <c r="L15883" s="2"/>
    </row>
    <row r="15884" spans="8:12" x14ac:dyDescent="0.3">
      <c r="H15884" s="2"/>
      <c r="I15884" s="2"/>
      <c r="J15884" s="2"/>
      <c r="K15884" s="2"/>
      <c r="L15884" s="2"/>
    </row>
    <row r="15955" spans="8:12" x14ac:dyDescent="0.3">
      <c r="H15955" s="2"/>
      <c r="I15955" s="2"/>
      <c r="J15955" s="2"/>
      <c r="K15955" s="2"/>
      <c r="L15955" s="2"/>
    </row>
    <row r="15956" spans="8:12" x14ac:dyDescent="0.3">
      <c r="H15956" s="2"/>
      <c r="I15956" s="2"/>
      <c r="J15956" s="2"/>
      <c r="K15956" s="2"/>
      <c r="L15956" s="2"/>
    </row>
    <row r="15957" spans="8:12" x14ac:dyDescent="0.3">
      <c r="H15957" s="2"/>
      <c r="I15957" s="2"/>
      <c r="J15957" s="2"/>
      <c r="K15957" s="2"/>
      <c r="L15957" s="2"/>
    </row>
    <row r="15958" spans="8:12" x14ac:dyDescent="0.3">
      <c r="H15958" s="2"/>
      <c r="I15958" s="2"/>
      <c r="J15958" s="2"/>
      <c r="K15958" s="2"/>
      <c r="L15958" s="2"/>
    </row>
    <row r="15959" spans="8:12" x14ac:dyDescent="0.3">
      <c r="H15959" s="2"/>
      <c r="I15959" s="2"/>
      <c r="J15959" s="2"/>
      <c r="K15959" s="2"/>
      <c r="L15959" s="2"/>
    </row>
    <row r="15960" spans="8:12" x14ac:dyDescent="0.3">
      <c r="H15960" s="2"/>
      <c r="I15960" s="2"/>
      <c r="J15960" s="2"/>
      <c r="K15960" s="2"/>
      <c r="L15960" s="2"/>
    </row>
    <row r="15961" spans="8:12" x14ac:dyDescent="0.3">
      <c r="H15961" s="2"/>
      <c r="I15961" s="2"/>
      <c r="J15961" s="2"/>
      <c r="K15961" s="2"/>
      <c r="L15961" s="2"/>
    </row>
    <row r="15962" spans="8:12" x14ac:dyDescent="0.3">
      <c r="H15962" s="2"/>
      <c r="I15962" s="2"/>
      <c r="J15962" s="2"/>
      <c r="K15962" s="2"/>
      <c r="L15962" s="2"/>
    </row>
    <row r="15963" spans="8:12" x14ac:dyDescent="0.3">
      <c r="H15963" s="2"/>
      <c r="I15963" s="2"/>
      <c r="J15963" s="2"/>
      <c r="K15963" s="2"/>
      <c r="L15963" s="2"/>
    </row>
    <row r="15964" spans="8:12" x14ac:dyDescent="0.3">
      <c r="H15964" s="2"/>
      <c r="I15964" s="2"/>
      <c r="J15964" s="2"/>
      <c r="K15964" s="2"/>
      <c r="L15964" s="2"/>
    </row>
    <row r="15965" spans="8:12" x14ac:dyDescent="0.3">
      <c r="H15965" s="2"/>
      <c r="I15965" s="2"/>
      <c r="J15965" s="2"/>
      <c r="K15965" s="2"/>
      <c r="L15965" s="2"/>
    </row>
    <row r="15966" spans="8:12" x14ac:dyDescent="0.3">
      <c r="H15966" s="2"/>
      <c r="I15966" s="2"/>
      <c r="J15966" s="2"/>
      <c r="K15966" s="2"/>
      <c r="L15966" s="2"/>
    </row>
    <row r="15967" spans="8:12" x14ac:dyDescent="0.3">
      <c r="H15967" s="2"/>
      <c r="I15967" s="2"/>
      <c r="J15967" s="2"/>
      <c r="K15967" s="2"/>
      <c r="L15967" s="2"/>
    </row>
    <row r="15968" spans="8:12" x14ac:dyDescent="0.3">
      <c r="H15968" s="2"/>
      <c r="I15968" s="2"/>
      <c r="J15968" s="2"/>
      <c r="K15968" s="2"/>
      <c r="L15968" s="2"/>
    </row>
    <row r="15969" spans="8:12" x14ac:dyDescent="0.3">
      <c r="H15969" s="2"/>
      <c r="I15969" s="2"/>
      <c r="J15969" s="2"/>
      <c r="K15969" s="2"/>
      <c r="L15969" s="2"/>
    </row>
    <row r="15970" spans="8:12" x14ac:dyDescent="0.3">
      <c r="H15970" s="2"/>
      <c r="I15970" s="2"/>
      <c r="J15970" s="2"/>
      <c r="K15970" s="2"/>
      <c r="L15970" s="2"/>
    </row>
    <row r="15971" spans="8:12" x14ac:dyDescent="0.3">
      <c r="H15971" s="2"/>
      <c r="I15971" s="2"/>
      <c r="J15971" s="2"/>
      <c r="K15971" s="2"/>
      <c r="L15971" s="2"/>
    </row>
    <row r="15972" spans="8:12" x14ac:dyDescent="0.3">
      <c r="H15972" s="2"/>
      <c r="I15972" s="2"/>
      <c r="J15972" s="2"/>
      <c r="K15972" s="2"/>
      <c r="L15972" s="2"/>
    </row>
    <row r="15973" spans="8:12" x14ac:dyDescent="0.3">
      <c r="H15973" s="2"/>
      <c r="I15973" s="2"/>
      <c r="J15973" s="2"/>
      <c r="K15973" s="2"/>
      <c r="L15973" s="2"/>
    </row>
    <row r="15974" spans="8:12" x14ac:dyDescent="0.3">
      <c r="H15974" s="2"/>
      <c r="I15974" s="2"/>
      <c r="J15974" s="2"/>
      <c r="K15974" s="2"/>
      <c r="L15974" s="2"/>
    </row>
    <row r="15975" spans="8:12" x14ac:dyDescent="0.3">
      <c r="H15975" s="2"/>
      <c r="I15975" s="2"/>
      <c r="J15975" s="2"/>
      <c r="K15975" s="2"/>
      <c r="L15975" s="2"/>
    </row>
    <row r="15976" spans="8:12" x14ac:dyDescent="0.3">
      <c r="H15976" s="2"/>
      <c r="I15976" s="2"/>
      <c r="J15976" s="2"/>
      <c r="K15976" s="2"/>
      <c r="L15976" s="2"/>
    </row>
    <row r="15977" spans="8:12" x14ac:dyDescent="0.3">
      <c r="H15977" s="2"/>
      <c r="I15977" s="2"/>
      <c r="J15977" s="2"/>
      <c r="K15977" s="2"/>
      <c r="L15977" s="2"/>
    </row>
    <row r="15978" spans="8:12" x14ac:dyDescent="0.3">
      <c r="H15978" s="2"/>
      <c r="I15978" s="2"/>
      <c r="J15978" s="2"/>
      <c r="K15978" s="2"/>
      <c r="L15978" s="2"/>
    </row>
    <row r="15979" spans="8:12" x14ac:dyDescent="0.3">
      <c r="H15979" s="2"/>
      <c r="I15979" s="2"/>
      <c r="J15979" s="2"/>
      <c r="K15979" s="2"/>
      <c r="L15979" s="2"/>
    </row>
    <row r="15980" spans="8:12" x14ac:dyDescent="0.3">
      <c r="H15980" s="2"/>
      <c r="I15980" s="2"/>
      <c r="J15980" s="2"/>
      <c r="K15980" s="2"/>
      <c r="L15980" s="2"/>
    </row>
    <row r="15981" spans="8:12" x14ac:dyDescent="0.3">
      <c r="H15981" s="2"/>
      <c r="I15981" s="2"/>
      <c r="J15981" s="2"/>
      <c r="K15981" s="2"/>
      <c r="L15981" s="2"/>
    </row>
    <row r="15982" spans="8:12" x14ac:dyDescent="0.3">
      <c r="H15982" s="2"/>
      <c r="I15982" s="2"/>
      <c r="J15982" s="2"/>
      <c r="K15982" s="2"/>
      <c r="L15982" s="2"/>
    </row>
    <row r="15983" spans="8:12" x14ac:dyDescent="0.3">
      <c r="H15983" s="2"/>
      <c r="I15983" s="2"/>
      <c r="J15983" s="2"/>
      <c r="K15983" s="2"/>
      <c r="L15983" s="2"/>
    </row>
    <row r="15984" spans="8:12" x14ac:dyDescent="0.3">
      <c r="H15984" s="2"/>
      <c r="I15984" s="2"/>
      <c r="J15984" s="2"/>
      <c r="K15984" s="2"/>
      <c r="L15984" s="2"/>
    </row>
    <row r="15985" spans="8:12" x14ac:dyDescent="0.3">
      <c r="H15985" s="2"/>
      <c r="I15985" s="2"/>
      <c r="J15985" s="2"/>
      <c r="K15985" s="2"/>
      <c r="L15985" s="2"/>
    </row>
    <row r="15986" spans="8:12" x14ac:dyDescent="0.3">
      <c r="H15986" s="2"/>
      <c r="I15986" s="2"/>
      <c r="J15986" s="2"/>
      <c r="K15986" s="2"/>
      <c r="L15986" s="2"/>
    </row>
    <row r="15987" spans="8:12" x14ac:dyDescent="0.3">
      <c r="H15987" s="2"/>
      <c r="I15987" s="2"/>
      <c r="J15987" s="2"/>
      <c r="K15987" s="2"/>
      <c r="L15987" s="2"/>
    </row>
    <row r="15988" spans="8:12" x14ac:dyDescent="0.3">
      <c r="H15988" s="2"/>
      <c r="I15988" s="2"/>
      <c r="J15988" s="2"/>
      <c r="K15988" s="2"/>
      <c r="L15988" s="2"/>
    </row>
    <row r="15989" spans="8:12" x14ac:dyDescent="0.3">
      <c r="H15989" s="2"/>
      <c r="I15989" s="2"/>
      <c r="J15989" s="2"/>
      <c r="K15989" s="2"/>
      <c r="L15989" s="2"/>
    </row>
    <row r="15990" spans="8:12" x14ac:dyDescent="0.3">
      <c r="H15990" s="2"/>
      <c r="I15990" s="2"/>
      <c r="J15990" s="2"/>
      <c r="K15990" s="2"/>
      <c r="L15990" s="2"/>
    </row>
    <row r="15991" spans="8:12" x14ac:dyDescent="0.3">
      <c r="H15991" s="2"/>
      <c r="I15991" s="2"/>
      <c r="J15991" s="2"/>
      <c r="K15991" s="2"/>
      <c r="L15991" s="2"/>
    </row>
    <row r="15992" spans="8:12" x14ac:dyDescent="0.3">
      <c r="H15992" s="2"/>
      <c r="I15992" s="2"/>
      <c r="J15992" s="2"/>
      <c r="K15992" s="2"/>
      <c r="L15992" s="2"/>
    </row>
    <row r="15993" spans="8:12" x14ac:dyDescent="0.3">
      <c r="H15993" s="2"/>
      <c r="I15993" s="2"/>
      <c r="J15993" s="2"/>
      <c r="K15993" s="2"/>
      <c r="L15993" s="2"/>
    </row>
    <row r="15994" spans="8:12" x14ac:dyDescent="0.3">
      <c r="H15994" s="2"/>
      <c r="I15994" s="2"/>
      <c r="J15994" s="2"/>
      <c r="K15994" s="2"/>
      <c r="L15994" s="2"/>
    </row>
    <row r="15995" spans="8:12" x14ac:dyDescent="0.3">
      <c r="H15995" s="2"/>
      <c r="I15995" s="2"/>
      <c r="J15995" s="2"/>
      <c r="K15995" s="2"/>
      <c r="L15995" s="2"/>
    </row>
    <row r="15996" spans="8:12" x14ac:dyDescent="0.3">
      <c r="H15996" s="2"/>
      <c r="I15996" s="2"/>
      <c r="J15996" s="2"/>
      <c r="K15996" s="2"/>
      <c r="L15996" s="2"/>
    </row>
    <row r="15997" spans="8:12" x14ac:dyDescent="0.3">
      <c r="H15997" s="2"/>
      <c r="I15997" s="2"/>
      <c r="J15997" s="2"/>
      <c r="K15997" s="2"/>
      <c r="L15997" s="2"/>
    </row>
    <row r="15998" spans="8:12" x14ac:dyDescent="0.3">
      <c r="H15998" s="2"/>
      <c r="I15998" s="2"/>
      <c r="J15998" s="2"/>
      <c r="K15998" s="2"/>
      <c r="L15998" s="2"/>
    </row>
    <row r="15999" spans="8:12" x14ac:dyDescent="0.3">
      <c r="H15999" s="2"/>
      <c r="I15999" s="2"/>
      <c r="J15999" s="2"/>
      <c r="K15999" s="2"/>
      <c r="L15999" s="2"/>
    </row>
    <row r="16000" spans="8:12" x14ac:dyDescent="0.3">
      <c r="H16000" s="2"/>
      <c r="I16000" s="2"/>
      <c r="J16000" s="2"/>
      <c r="K16000" s="2"/>
      <c r="L16000" s="2"/>
    </row>
    <row r="16001" spans="8:12" x14ac:dyDescent="0.3">
      <c r="H16001" s="2"/>
      <c r="I16001" s="2"/>
      <c r="J16001" s="2"/>
      <c r="K16001" s="2"/>
      <c r="L16001" s="2"/>
    </row>
    <row r="16002" spans="8:12" x14ac:dyDescent="0.3">
      <c r="H16002" s="2"/>
      <c r="I16002" s="2"/>
      <c r="J16002" s="2"/>
      <c r="K16002" s="2"/>
      <c r="L16002" s="2"/>
    </row>
    <row r="16003" spans="8:12" x14ac:dyDescent="0.3">
      <c r="H16003" s="2"/>
      <c r="I16003" s="2"/>
      <c r="J16003" s="2"/>
      <c r="K16003" s="2"/>
      <c r="L16003" s="2"/>
    </row>
    <row r="16004" spans="8:12" x14ac:dyDescent="0.3">
      <c r="H16004" s="2"/>
      <c r="I16004" s="2"/>
      <c r="J16004" s="2"/>
      <c r="K16004" s="2"/>
      <c r="L16004" s="2"/>
    </row>
    <row r="16005" spans="8:12" x14ac:dyDescent="0.3">
      <c r="H16005" s="2"/>
      <c r="I16005" s="2"/>
      <c r="J16005" s="2"/>
      <c r="K16005" s="2"/>
      <c r="L16005" s="2"/>
    </row>
    <row r="16006" spans="8:12" x14ac:dyDescent="0.3">
      <c r="H16006" s="2"/>
      <c r="I16006" s="2"/>
      <c r="J16006" s="2"/>
      <c r="K16006" s="2"/>
      <c r="L16006" s="2"/>
    </row>
    <row r="16007" spans="8:12" x14ac:dyDescent="0.3">
      <c r="H16007" s="2"/>
      <c r="I16007" s="2"/>
      <c r="J16007" s="2"/>
      <c r="K16007" s="2"/>
      <c r="L16007" s="2"/>
    </row>
    <row r="16008" spans="8:12" x14ac:dyDescent="0.3">
      <c r="H16008" s="2"/>
      <c r="I16008" s="2"/>
      <c r="J16008" s="2"/>
      <c r="K16008" s="2"/>
      <c r="L16008" s="2"/>
    </row>
    <row r="16009" spans="8:12" x14ac:dyDescent="0.3">
      <c r="H16009" s="2"/>
      <c r="I16009" s="2"/>
      <c r="J16009" s="2"/>
      <c r="K16009" s="2"/>
      <c r="L16009" s="2"/>
    </row>
    <row r="16010" spans="8:12" x14ac:dyDescent="0.3">
      <c r="H16010" s="2"/>
      <c r="I16010" s="2"/>
      <c r="J16010" s="2"/>
      <c r="K16010" s="2"/>
      <c r="L16010" s="2"/>
    </row>
    <row r="16011" spans="8:12" x14ac:dyDescent="0.3">
      <c r="H16011" s="2"/>
      <c r="I16011" s="2"/>
      <c r="J16011" s="2"/>
      <c r="K16011" s="2"/>
      <c r="L16011" s="2"/>
    </row>
    <row r="16012" spans="8:12" x14ac:dyDescent="0.3">
      <c r="H16012" s="2"/>
      <c r="I16012" s="2"/>
      <c r="J16012" s="2"/>
      <c r="K16012" s="2"/>
      <c r="L16012" s="2"/>
    </row>
    <row r="16013" spans="8:12" x14ac:dyDescent="0.3">
      <c r="H16013" s="2"/>
      <c r="I16013" s="2"/>
      <c r="J16013" s="2"/>
      <c r="K16013" s="2"/>
      <c r="L16013" s="2"/>
    </row>
    <row r="16014" spans="8:12" x14ac:dyDescent="0.3">
      <c r="H16014" s="2"/>
      <c r="I16014" s="2"/>
      <c r="J16014" s="2"/>
      <c r="K16014" s="2"/>
      <c r="L16014" s="2"/>
    </row>
    <row r="16015" spans="8:12" x14ac:dyDescent="0.3">
      <c r="H16015" s="2"/>
      <c r="I16015" s="2"/>
      <c r="J16015" s="2"/>
      <c r="K16015" s="2"/>
      <c r="L16015" s="2"/>
    </row>
    <row r="16016" spans="8:12" x14ac:dyDescent="0.3">
      <c r="H16016" s="2"/>
      <c r="I16016" s="2"/>
      <c r="J16016" s="2"/>
      <c r="K16016" s="2"/>
      <c r="L16016" s="2"/>
    </row>
    <row r="16017" spans="8:12" x14ac:dyDescent="0.3">
      <c r="H16017" s="2"/>
      <c r="I16017" s="2"/>
      <c r="J16017" s="2"/>
      <c r="K16017" s="2"/>
      <c r="L16017" s="2"/>
    </row>
    <row r="16018" spans="8:12" x14ac:dyDescent="0.3">
      <c r="H16018" s="2"/>
      <c r="I16018" s="2"/>
      <c r="J16018" s="2"/>
      <c r="K16018" s="2"/>
      <c r="L16018" s="2"/>
    </row>
    <row r="16019" spans="8:12" x14ac:dyDescent="0.3">
      <c r="H16019" s="2"/>
      <c r="I16019" s="2"/>
      <c r="J16019" s="2"/>
      <c r="K16019" s="2"/>
      <c r="L16019" s="2"/>
    </row>
    <row r="16020" spans="8:12" x14ac:dyDescent="0.3">
      <c r="H16020" s="2"/>
      <c r="I16020" s="2"/>
      <c r="J16020" s="2"/>
      <c r="K16020" s="2"/>
      <c r="L16020" s="2"/>
    </row>
    <row r="16021" spans="8:12" x14ac:dyDescent="0.3">
      <c r="H16021" s="2"/>
      <c r="I16021" s="2"/>
      <c r="J16021" s="2"/>
      <c r="K16021" s="2"/>
      <c r="L16021" s="2"/>
    </row>
    <row r="16022" spans="8:12" x14ac:dyDescent="0.3">
      <c r="H16022" s="2"/>
      <c r="I16022" s="2"/>
      <c r="J16022" s="2"/>
      <c r="K16022" s="2"/>
      <c r="L16022" s="2"/>
    </row>
    <row r="16023" spans="8:12" x14ac:dyDescent="0.3">
      <c r="H16023" s="2"/>
      <c r="I16023" s="2"/>
      <c r="J16023" s="2"/>
      <c r="K16023" s="2"/>
      <c r="L16023" s="2"/>
    </row>
    <row r="16024" spans="8:12" x14ac:dyDescent="0.3">
      <c r="H16024" s="2"/>
      <c r="I16024" s="2"/>
      <c r="J16024" s="2"/>
      <c r="K16024" s="2"/>
      <c r="L16024" s="2"/>
    </row>
    <row r="16025" spans="8:12" x14ac:dyDescent="0.3">
      <c r="H16025" s="2"/>
      <c r="I16025" s="2"/>
      <c r="J16025" s="2"/>
      <c r="K16025" s="2"/>
      <c r="L16025" s="2"/>
    </row>
    <row r="16026" spans="8:12" x14ac:dyDescent="0.3">
      <c r="H16026" s="2"/>
      <c r="I16026" s="2"/>
      <c r="J16026" s="2"/>
      <c r="K16026" s="2"/>
      <c r="L16026" s="2"/>
    </row>
    <row r="16027" spans="8:12" x14ac:dyDescent="0.3">
      <c r="H16027" s="2"/>
      <c r="I16027" s="2"/>
      <c r="J16027" s="2"/>
      <c r="K16027" s="2"/>
      <c r="L16027" s="2"/>
    </row>
    <row r="16028" spans="8:12" x14ac:dyDescent="0.3">
      <c r="H16028" s="2"/>
      <c r="I16028" s="2"/>
      <c r="J16028" s="2"/>
      <c r="K16028" s="2"/>
      <c r="L16028" s="2"/>
    </row>
    <row r="16029" spans="8:12" x14ac:dyDescent="0.3">
      <c r="H16029" s="2"/>
      <c r="I16029" s="2"/>
      <c r="J16029" s="2"/>
      <c r="K16029" s="2"/>
      <c r="L16029" s="2"/>
    </row>
    <row r="16030" spans="8:12" x14ac:dyDescent="0.3">
      <c r="H16030" s="2"/>
      <c r="I16030" s="2"/>
      <c r="J16030" s="2"/>
      <c r="K16030" s="2"/>
      <c r="L16030" s="2"/>
    </row>
    <row r="16031" spans="8:12" x14ac:dyDescent="0.3">
      <c r="H16031" s="2"/>
      <c r="I16031" s="2"/>
      <c r="J16031" s="2"/>
      <c r="K16031" s="2"/>
      <c r="L16031" s="2"/>
    </row>
    <row r="16032" spans="8:12" x14ac:dyDescent="0.3">
      <c r="H16032" s="2"/>
      <c r="I16032" s="2"/>
      <c r="J16032" s="2"/>
      <c r="K16032" s="2"/>
      <c r="L16032" s="2"/>
    </row>
    <row r="16033" spans="8:12" x14ac:dyDescent="0.3">
      <c r="H16033" s="2"/>
      <c r="I16033" s="2"/>
      <c r="J16033" s="2"/>
      <c r="K16033" s="2"/>
      <c r="L16033" s="2"/>
    </row>
    <row r="16034" spans="8:12" x14ac:dyDescent="0.3">
      <c r="H16034" s="2"/>
      <c r="I16034" s="2"/>
      <c r="J16034" s="2"/>
      <c r="K16034" s="2"/>
      <c r="L16034" s="2"/>
    </row>
    <row r="16035" spans="8:12" x14ac:dyDescent="0.3">
      <c r="H16035" s="2"/>
      <c r="I16035" s="2"/>
      <c r="J16035" s="2"/>
      <c r="K16035" s="2"/>
      <c r="L16035" s="2"/>
    </row>
    <row r="16036" spans="8:12" x14ac:dyDescent="0.3">
      <c r="H16036" s="2"/>
      <c r="I16036" s="2"/>
      <c r="J16036" s="2"/>
      <c r="K16036" s="2"/>
      <c r="L16036" s="2"/>
    </row>
    <row r="16037" spans="8:12" x14ac:dyDescent="0.3">
      <c r="H16037" s="2"/>
      <c r="I16037" s="2"/>
      <c r="J16037" s="2"/>
      <c r="K16037" s="2"/>
      <c r="L16037" s="2"/>
    </row>
    <row r="16038" spans="8:12" x14ac:dyDescent="0.3">
      <c r="H16038" s="2"/>
      <c r="I16038" s="2"/>
      <c r="J16038" s="2"/>
      <c r="K16038" s="2"/>
      <c r="L16038" s="2"/>
    </row>
    <row r="16039" spans="8:12" x14ac:dyDescent="0.3">
      <c r="H16039" s="2"/>
      <c r="I16039" s="2"/>
      <c r="J16039" s="2"/>
      <c r="K16039" s="2"/>
      <c r="L16039" s="2"/>
    </row>
    <row r="16040" spans="8:12" x14ac:dyDescent="0.3">
      <c r="H16040" s="2"/>
      <c r="I16040" s="2"/>
      <c r="J16040" s="2"/>
      <c r="K16040" s="2"/>
      <c r="L16040" s="2"/>
    </row>
    <row r="16041" spans="8:12" x14ac:dyDescent="0.3">
      <c r="H16041" s="2"/>
      <c r="I16041" s="2"/>
      <c r="J16041" s="2"/>
      <c r="K16041" s="2"/>
      <c r="L16041" s="2"/>
    </row>
    <row r="16042" spans="8:12" x14ac:dyDescent="0.3">
      <c r="H16042" s="2"/>
      <c r="I16042" s="2"/>
      <c r="J16042" s="2"/>
      <c r="K16042" s="2"/>
      <c r="L16042" s="2"/>
    </row>
    <row r="16043" spans="8:12" x14ac:dyDescent="0.3">
      <c r="H16043" s="2"/>
      <c r="I16043" s="2"/>
      <c r="J16043" s="2"/>
      <c r="K16043" s="2"/>
      <c r="L16043" s="2"/>
    </row>
    <row r="16044" spans="8:12" x14ac:dyDescent="0.3">
      <c r="H16044" s="2"/>
      <c r="I16044" s="2"/>
      <c r="J16044" s="2"/>
      <c r="K16044" s="2"/>
      <c r="L16044" s="2"/>
    </row>
    <row r="16045" spans="8:12" x14ac:dyDescent="0.3">
      <c r="H16045" s="2"/>
      <c r="I16045" s="2"/>
      <c r="J16045" s="2"/>
      <c r="K16045" s="2"/>
      <c r="L16045" s="2"/>
    </row>
    <row r="16046" spans="8:12" x14ac:dyDescent="0.3">
      <c r="H16046" s="2"/>
      <c r="I16046" s="2"/>
      <c r="J16046" s="2"/>
      <c r="K16046" s="2"/>
      <c r="L16046" s="2"/>
    </row>
    <row r="16047" spans="8:12" x14ac:dyDescent="0.3">
      <c r="H16047" s="2"/>
      <c r="I16047" s="2"/>
      <c r="J16047" s="2"/>
      <c r="K16047" s="2"/>
      <c r="L16047" s="2"/>
    </row>
    <row r="16048" spans="8:12" x14ac:dyDescent="0.3">
      <c r="H16048" s="2"/>
      <c r="I16048" s="2"/>
      <c r="J16048" s="2"/>
      <c r="K16048" s="2"/>
      <c r="L16048" s="2"/>
    </row>
    <row r="16049" spans="8:12" x14ac:dyDescent="0.3">
      <c r="H16049" s="2"/>
      <c r="I16049" s="2"/>
      <c r="J16049" s="2"/>
      <c r="K16049" s="2"/>
      <c r="L16049" s="2"/>
    </row>
    <row r="16050" spans="8:12" x14ac:dyDescent="0.3">
      <c r="H16050" s="2"/>
      <c r="I16050" s="2"/>
      <c r="J16050" s="2"/>
      <c r="K16050" s="2"/>
      <c r="L16050" s="2"/>
    </row>
    <row r="16051" spans="8:12" x14ac:dyDescent="0.3">
      <c r="H16051" s="2"/>
      <c r="I16051" s="2"/>
      <c r="J16051" s="2"/>
      <c r="K16051" s="2"/>
      <c r="L16051" s="2"/>
    </row>
    <row r="16052" spans="8:12" x14ac:dyDescent="0.3">
      <c r="H16052" s="2"/>
      <c r="I16052" s="2"/>
      <c r="J16052" s="2"/>
      <c r="K16052" s="2"/>
      <c r="L16052" s="2"/>
    </row>
    <row r="16053" spans="8:12" x14ac:dyDescent="0.3">
      <c r="H16053" s="2"/>
      <c r="I16053" s="2"/>
      <c r="J16053" s="2"/>
      <c r="K16053" s="2"/>
      <c r="L16053" s="2"/>
    </row>
    <row r="16054" spans="8:12" x14ac:dyDescent="0.3">
      <c r="H16054" s="2"/>
      <c r="I16054" s="2"/>
      <c r="J16054" s="2"/>
      <c r="K16054" s="2"/>
      <c r="L16054" s="2"/>
    </row>
    <row r="16055" spans="8:12" x14ac:dyDescent="0.3">
      <c r="H16055" s="2"/>
      <c r="I16055" s="2"/>
      <c r="J16055" s="2"/>
      <c r="K16055" s="2"/>
      <c r="L16055" s="2"/>
    </row>
    <row r="16056" spans="8:12" x14ac:dyDescent="0.3">
      <c r="H16056" s="2"/>
      <c r="I16056" s="2"/>
      <c r="J16056" s="2"/>
      <c r="K16056" s="2"/>
      <c r="L16056" s="2"/>
    </row>
    <row r="16057" spans="8:12" x14ac:dyDescent="0.3">
      <c r="H16057" s="2"/>
      <c r="I16057" s="2"/>
      <c r="J16057" s="2"/>
      <c r="K16057" s="2"/>
      <c r="L16057" s="2"/>
    </row>
    <row r="16058" spans="8:12" x14ac:dyDescent="0.3">
      <c r="H16058" s="2"/>
      <c r="I16058" s="2"/>
      <c r="J16058" s="2"/>
      <c r="K16058" s="2"/>
      <c r="L16058" s="2"/>
    </row>
    <row r="16059" spans="8:12" x14ac:dyDescent="0.3">
      <c r="H16059" s="2"/>
      <c r="I16059" s="2"/>
      <c r="J16059" s="2"/>
      <c r="K16059" s="2"/>
      <c r="L16059" s="2"/>
    </row>
    <row r="16060" spans="8:12" x14ac:dyDescent="0.3">
      <c r="H16060" s="2"/>
      <c r="I16060" s="2"/>
      <c r="J16060" s="2"/>
      <c r="K16060" s="2"/>
      <c r="L16060" s="2"/>
    </row>
    <row r="16061" spans="8:12" x14ac:dyDescent="0.3">
      <c r="H16061" s="2"/>
      <c r="I16061" s="2"/>
      <c r="J16061" s="2"/>
      <c r="K16061" s="2"/>
      <c r="L16061" s="2"/>
    </row>
    <row r="16062" spans="8:12" x14ac:dyDescent="0.3">
      <c r="H16062" s="2"/>
      <c r="I16062" s="2"/>
      <c r="J16062" s="2"/>
      <c r="K16062" s="2"/>
      <c r="L16062" s="2"/>
    </row>
    <row r="16063" spans="8:12" x14ac:dyDescent="0.3">
      <c r="H16063" s="2"/>
      <c r="I16063" s="2"/>
      <c r="J16063" s="2"/>
      <c r="K16063" s="2"/>
      <c r="L16063" s="2"/>
    </row>
    <row r="16064" spans="8:12" x14ac:dyDescent="0.3">
      <c r="H16064" s="2"/>
      <c r="I16064" s="2"/>
      <c r="J16064" s="2"/>
      <c r="K16064" s="2"/>
      <c r="L16064" s="2"/>
    </row>
    <row r="16065" spans="8:12" x14ac:dyDescent="0.3">
      <c r="H16065" s="2"/>
      <c r="I16065" s="2"/>
      <c r="J16065" s="2"/>
      <c r="K16065" s="2"/>
      <c r="L16065" s="2"/>
    </row>
    <row r="16066" spans="8:12" x14ac:dyDescent="0.3">
      <c r="H16066" s="2"/>
      <c r="I16066" s="2"/>
      <c r="J16066" s="2"/>
      <c r="K16066" s="2"/>
      <c r="L16066" s="2"/>
    </row>
    <row r="16067" spans="8:12" x14ac:dyDescent="0.3">
      <c r="H16067" s="2"/>
      <c r="I16067" s="2"/>
      <c r="J16067" s="2"/>
      <c r="K16067" s="2"/>
      <c r="L16067" s="2"/>
    </row>
    <row r="16068" spans="8:12" x14ac:dyDescent="0.3">
      <c r="H16068" s="2"/>
      <c r="I16068" s="2"/>
      <c r="J16068" s="2"/>
      <c r="K16068" s="2"/>
      <c r="L16068" s="2"/>
    </row>
    <row r="16069" spans="8:12" x14ac:dyDescent="0.3">
      <c r="H16069" s="2"/>
      <c r="I16069" s="2"/>
      <c r="J16069" s="2"/>
      <c r="K16069" s="2"/>
      <c r="L16069" s="2"/>
    </row>
    <row r="16070" spans="8:12" x14ac:dyDescent="0.3">
      <c r="H16070" s="2"/>
      <c r="I16070" s="2"/>
      <c r="J16070" s="2"/>
      <c r="K16070" s="2"/>
      <c r="L16070" s="2"/>
    </row>
    <row r="16071" spans="8:12" x14ac:dyDescent="0.3">
      <c r="H16071" s="2"/>
      <c r="I16071" s="2"/>
      <c r="J16071" s="2"/>
      <c r="K16071" s="2"/>
      <c r="L16071" s="2"/>
    </row>
    <row r="16072" spans="8:12" x14ac:dyDescent="0.3">
      <c r="H16072" s="2"/>
      <c r="I16072" s="2"/>
      <c r="J16072" s="2"/>
      <c r="K16072" s="2"/>
      <c r="L16072" s="2"/>
    </row>
    <row r="16073" spans="8:12" x14ac:dyDescent="0.3">
      <c r="H16073" s="2"/>
      <c r="I16073" s="2"/>
      <c r="J16073" s="2"/>
      <c r="K16073" s="2"/>
      <c r="L16073" s="2"/>
    </row>
    <row r="16074" spans="8:12" x14ac:dyDescent="0.3">
      <c r="H16074" s="2"/>
      <c r="I16074" s="2"/>
      <c r="J16074" s="2"/>
      <c r="K16074" s="2"/>
      <c r="L16074" s="2"/>
    </row>
    <row r="16075" spans="8:12" x14ac:dyDescent="0.3">
      <c r="H16075" s="2"/>
      <c r="I16075" s="2"/>
      <c r="J16075" s="2"/>
      <c r="K16075" s="2"/>
      <c r="L16075" s="2"/>
    </row>
    <row r="16076" spans="8:12" x14ac:dyDescent="0.3">
      <c r="H16076" s="2"/>
      <c r="I16076" s="2"/>
      <c r="J16076" s="2"/>
      <c r="K16076" s="2"/>
      <c r="L16076" s="2"/>
    </row>
    <row r="16077" spans="8:12" x14ac:dyDescent="0.3">
      <c r="H16077" s="2"/>
      <c r="I16077" s="2"/>
      <c r="J16077" s="2"/>
      <c r="K16077" s="2"/>
      <c r="L16077" s="2"/>
    </row>
    <row r="16078" spans="8:12" x14ac:dyDescent="0.3">
      <c r="H16078" s="2"/>
      <c r="I16078" s="2"/>
      <c r="J16078" s="2"/>
      <c r="K16078" s="2"/>
      <c r="L16078" s="2"/>
    </row>
    <row r="16079" spans="8:12" x14ac:dyDescent="0.3">
      <c r="H16079" s="2"/>
      <c r="I16079" s="2"/>
      <c r="J16079" s="2"/>
      <c r="K16079" s="2"/>
      <c r="L16079" s="2"/>
    </row>
    <row r="16080" spans="8:12" x14ac:dyDescent="0.3">
      <c r="H16080" s="2"/>
      <c r="I16080" s="2"/>
      <c r="J16080" s="2"/>
      <c r="K16080" s="2"/>
      <c r="L16080" s="2"/>
    </row>
    <row r="16081" spans="8:12" x14ac:dyDescent="0.3">
      <c r="H16081" s="2"/>
      <c r="I16081" s="2"/>
      <c r="J16081" s="2"/>
      <c r="K16081" s="2"/>
      <c r="L16081" s="2"/>
    </row>
    <row r="16082" spans="8:12" x14ac:dyDescent="0.3">
      <c r="H16082" s="2"/>
      <c r="I16082" s="2"/>
      <c r="J16082" s="2"/>
      <c r="K16082" s="2"/>
      <c r="L16082" s="2"/>
    </row>
    <row r="16083" spans="8:12" x14ac:dyDescent="0.3">
      <c r="H16083" s="2"/>
      <c r="I16083" s="2"/>
      <c r="J16083" s="2"/>
      <c r="K16083" s="2"/>
      <c r="L16083" s="2"/>
    </row>
    <row r="16084" spans="8:12" x14ac:dyDescent="0.3">
      <c r="H16084" s="2"/>
      <c r="I16084" s="2"/>
      <c r="J16084" s="2"/>
      <c r="K16084" s="2"/>
      <c r="L16084" s="2"/>
    </row>
    <row r="16085" spans="8:12" x14ac:dyDescent="0.3">
      <c r="H16085" s="2"/>
      <c r="I16085" s="2"/>
      <c r="J16085" s="2"/>
      <c r="K16085" s="2"/>
      <c r="L16085" s="2"/>
    </row>
    <row r="16086" spans="8:12" x14ac:dyDescent="0.3">
      <c r="H16086" s="2"/>
      <c r="I16086" s="2"/>
      <c r="J16086" s="2"/>
      <c r="K16086" s="2"/>
      <c r="L16086" s="2"/>
    </row>
    <row r="16087" spans="8:12" x14ac:dyDescent="0.3">
      <c r="H16087" s="2"/>
      <c r="I16087" s="2"/>
      <c r="J16087" s="2"/>
      <c r="K16087" s="2"/>
      <c r="L16087" s="2"/>
    </row>
    <row r="16088" spans="8:12" x14ac:dyDescent="0.3">
      <c r="H16088" s="2"/>
      <c r="I16088" s="2"/>
      <c r="J16088" s="2"/>
      <c r="K16088" s="2"/>
      <c r="L16088" s="2"/>
    </row>
    <row r="16089" spans="8:12" x14ac:dyDescent="0.3">
      <c r="H16089" s="2"/>
      <c r="I16089" s="2"/>
      <c r="J16089" s="2"/>
      <c r="K16089" s="2"/>
      <c r="L16089" s="2"/>
    </row>
    <row r="16090" spans="8:12" x14ac:dyDescent="0.3">
      <c r="H16090" s="2"/>
      <c r="I16090" s="2"/>
      <c r="J16090" s="2"/>
      <c r="K16090" s="2"/>
      <c r="L16090" s="2"/>
    </row>
    <row r="16091" spans="8:12" x14ac:dyDescent="0.3">
      <c r="H16091" s="2"/>
      <c r="I16091" s="2"/>
      <c r="J16091" s="2"/>
      <c r="K16091" s="2"/>
      <c r="L16091" s="2"/>
    </row>
    <row r="16092" spans="8:12" x14ac:dyDescent="0.3">
      <c r="H16092" s="2"/>
      <c r="I16092" s="2"/>
      <c r="J16092" s="2"/>
      <c r="K16092" s="2"/>
      <c r="L16092" s="2"/>
    </row>
    <row r="16093" spans="8:12" x14ac:dyDescent="0.3">
      <c r="H16093" s="2"/>
      <c r="I16093" s="2"/>
      <c r="J16093" s="2"/>
      <c r="K16093" s="2"/>
      <c r="L16093" s="2"/>
    </row>
    <row r="16094" spans="8:12" x14ac:dyDescent="0.3">
      <c r="H16094" s="2"/>
      <c r="I16094" s="2"/>
      <c r="J16094" s="2"/>
      <c r="K16094" s="2"/>
      <c r="L16094" s="2"/>
    </row>
    <row r="16095" spans="8:12" x14ac:dyDescent="0.3">
      <c r="H16095" s="2"/>
      <c r="I16095" s="2"/>
      <c r="J16095" s="2"/>
      <c r="K16095" s="2"/>
      <c r="L16095" s="2"/>
    </row>
    <row r="16096" spans="8:12" x14ac:dyDescent="0.3">
      <c r="H16096" s="2"/>
      <c r="I16096" s="2"/>
      <c r="J16096" s="2"/>
      <c r="K16096" s="2"/>
      <c r="L16096" s="2"/>
    </row>
    <row r="16097" spans="8:12" x14ac:dyDescent="0.3">
      <c r="H16097" s="2"/>
      <c r="I16097" s="2"/>
      <c r="J16097" s="2"/>
      <c r="K16097" s="2"/>
      <c r="L16097" s="2"/>
    </row>
    <row r="16098" spans="8:12" x14ac:dyDescent="0.3">
      <c r="H16098" s="2"/>
      <c r="I16098" s="2"/>
      <c r="J16098" s="2"/>
      <c r="K16098" s="2"/>
      <c r="L16098" s="2"/>
    </row>
    <row r="16099" spans="8:12" x14ac:dyDescent="0.3">
      <c r="H16099" s="2"/>
      <c r="I16099" s="2"/>
      <c r="J16099" s="2"/>
      <c r="K16099" s="2"/>
      <c r="L16099" s="2"/>
    </row>
    <row r="16100" spans="8:12" x14ac:dyDescent="0.3">
      <c r="H16100" s="2"/>
      <c r="I16100" s="2"/>
      <c r="J16100" s="2"/>
      <c r="K16100" s="2"/>
      <c r="L16100" s="2"/>
    </row>
    <row r="16101" spans="8:12" x14ac:dyDescent="0.3">
      <c r="H16101" s="2"/>
      <c r="I16101" s="2"/>
      <c r="J16101" s="2"/>
      <c r="K16101" s="2"/>
      <c r="L16101" s="2"/>
    </row>
    <row r="16102" spans="8:12" x14ac:dyDescent="0.3">
      <c r="H16102" s="2"/>
      <c r="I16102" s="2"/>
      <c r="J16102" s="2"/>
      <c r="K16102" s="2"/>
      <c r="L16102" s="2"/>
    </row>
    <row r="16103" spans="8:12" x14ac:dyDescent="0.3">
      <c r="H16103" s="2"/>
      <c r="I16103" s="2"/>
      <c r="J16103" s="2"/>
      <c r="K16103" s="2"/>
      <c r="L16103" s="2"/>
    </row>
    <row r="16104" spans="8:12" x14ac:dyDescent="0.3">
      <c r="H16104" s="2"/>
      <c r="I16104" s="2"/>
      <c r="J16104" s="2"/>
      <c r="K16104" s="2"/>
      <c r="L16104" s="2"/>
    </row>
    <row r="16105" spans="8:12" x14ac:dyDescent="0.3">
      <c r="H16105" s="2"/>
      <c r="I16105" s="2"/>
      <c r="J16105" s="2"/>
      <c r="K16105" s="2"/>
      <c r="L16105" s="2"/>
    </row>
    <row r="16106" spans="8:12" x14ac:dyDescent="0.3">
      <c r="H16106" s="2"/>
      <c r="I16106" s="2"/>
      <c r="J16106" s="2"/>
      <c r="K16106" s="2"/>
      <c r="L16106" s="2"/>
    </row>
    <row r="16107" spans="8:12" x14ac:dyDescent="0.3">
      <c r="H16107" s="2"/>
      <c r="I16107" s="2"/>
      <c r="J16107" s="2"/>
      <c r="K16107" s="2"/>
      <c r="L16107" s="2"/>
    </row>
    <row r="16108" spans="8:12" x14ac:dyDescent="0.3">
      <c r="H16108" s="2"/>
      <c r="I16108" s="2"/>
      <c r="J16108" s="2"/>
      <c r="K16108" s="2"/>
      <c r="L16108" s="2"/>
    </row>
    <row r="16109" spans="8:12" x14ac:dyDescent="0.3">
      <c r="H16109" s="2"/>
      <c r="I16109" s="2"/>
      <c r="J16109" s="2"/>
      <c r="K16109" s="2"/>
      <c r="L16109" s="2"/>
    </row>
    <row r="16110" spans="8:12" x14ac:dyDescent="0.3">
      <c r="H16110" s="2"/>
      <c r="I16110" s="2"/>
      <c r="J16110" s="2"/>
      <c r="K16110" s="2"/>
      <c r="L16110" s="2"/>
    </row>
    <row r="16111" spans="8:12" x14ac:dyDescent="0.3">
      <c r="H16111" s="2"/>
      <c r="I16111" s="2"/>
      <c r="J16111" s="2"/>
      <c r="K16111" s="2"/>
      <c r="L16111" s="2"/>
    </row>
    <row r="16112" spans="8:12" x14ac:dyDescent="0.3">
      <c r="H16112" s="2"/>
      <c r="I16112" s="2"/>
      <c r="J16112" s="2"/>
      <c r="K16112" s="2"/>
      <c r="L16112" s="2"/>
    </row>
    <row r="16113" spans="8:12" x14ac:dyDescent="0.3">
      <c r="H16113" s="2"/>
      <c r="I16113" s="2"/>
      <c r="J16113" s="2"/>
      <c r="K16113" s="2"/>
      <c r="L16113" s="2"/>
    </row>
    <row r="16114" spans="8:12" x14ac:dyDescent="0.3">
      <c r="H16114" s="2"/>
      <c r="I16114" s="2"/>
      <c r="J16114" s="2"/>
      <c r="K16114" s="2"/>
      <c r="L16114" s="2"/>
    </row>
    <row r="16115" spans="8:12" x14ac:dyDescent="0.3">
      <c r="H16115" s="2"/>
      <c r="I16115" s="2"/>
      <c r="J16115" s="2"/>
      <c r="K16115" s="2"/>
      <c r="L16115" s="2"/>
    </row>
    <row r="16116" spans="8:12" x14ac:dyDescent="0.3">
      <c r="H16116" s="2"/>
      <c r="I16116" s="2"/>
      <c r="J16116" s="2"/>
      <c r="K16116" s="2"/>
      <c r="L16116" s="2"/>
    </row>
    <row r="16117" spans="8:12" x14ac:dyDescent="0.3">
      <c r="H16117" s="2"/>
      <c r="I16117" s="2"/>
      <c r="J16117" s="2"/>
      <c r="K16117" s="2"/>
      <c r="L16117" s="2"/>
    </row>
    <row r="16118" spans="8:12" x14ac:dyDescent="0.3">
      <c r="H16118" s="2"/>
      <c r="I16118" s="2"/>
      <c r="J16118" s="2"/>
      <c r="K16118" s="2"/>
      <c r="L16118" s="2"/>
    </row>
    <row r="16119" spans="8:12" x14ac:dyDescent="0.3">
      <c r="H16119" s="2"/>
      <c r="I16119" s="2"/>
      <c r="J16119" s="2"/>
      <c r="K16119" s="2"/>
      <c r="L16119" s="2"/>
    </row>
    <row r="16120" spans="8:12" x14ac:dyDescent="0.3">
      <c r="H16120" s="2"/>
      <c r="I16120" s="2"/>
      <c r="J16120" s="2"/>
      <c r="K16120" s="2"/>
      <c r="L16120" s="2"/>
    </row>
    <row r="16121" spans="8:12" x14ac:dyDescent="0.3">
      <c r="H16121" s="2"/>
      <c r="I16121" s="2"/>
      <c r="J16121" s="2"/>
      <c r="K16121" s="2"/>
      <c r="L16121" s="2"/>
    </row>
    <row r="16122" spans="8:12" x14ac:dyDescent="0.3">
      <c r="H16122" s="2"/>
      <c r="I16122" s="2"/>
      <c r="J16122" s="2"/>
      <c r="K16122" s="2"/>
      <c r="L16122" s="2"/>
    </row>
    <row r="16123" spans="8:12" x14ac:dyDescent="0.3">
      <c r="H16123" s="2"/>
      <c r="I16123" s="2"/>
      <c r="J16123" s="2"/>
      <c r="K16123" s="2"/>
      <c r="L16123" s="2"/>
    </row>
    <row r="16124" spans="8:12" x14ac:dyDescent="0.3">
      <c r="H16124" s="2"/>
      <c r="I16124" s="2"/>
      <c r="J16124" s="2"/>
      <c r="K16124" s="2"/>
      <c r="L16124" s="2"/>
    </row>
    <row r="16125" spans="8:12" x14ac:dyDescent="0.3">
      <c r="H16125" s="2"/>
      <c r="I16125" s="2"/>
      <c r="J16125" s="2"/>
      <c r="K16125" s="2"/>
      <c r="L16125" s="2"/>
    </row>
    <row r="16126" spans="8:12" x14ac:dyDescent="0.3">
      <c r="H16126" s="2"/>
      <c r="I16126" s="2"/>
      <c r="J16126" s="2"/>
      <c r="K16126" s="2"/>
      <c r="L16126" s="2"/>
    </row>
    <row r="16127" spans="8:12" x14ac:dyDescent="0.3">
      <c r="H16127" s="2"/>
      <c r="I16127" s="2"/>
      <c r="J16127" s="2"/>
      <c r="K16127" s="2"/>
      <c r="L16127" s="2"/>
    </row>
    <row r="16128" spans="8:12" x14ac:dyDescent="0.3">
      <c r="H16128" s="2"/>
      <c r="I16128" s="2"/>
      <c r="J16128" s="2"/>
      <c r="K16128" s="2"/>
      <c r="L16128" s="2"/>
    </row>
    <row r="16129" spans="8:12" x14ac:dyDescent="0.3">
      <c r="H16129" s="2"/>
      <c r="I16129" s="2"/>
      <c r="J16129" s="2"/>
      <c r="K16129" s="2"/>
      <c r="L16129" s="2"/>
    </row>
    <row r="16130" spans="8:12" x14ac:dyDescent="0.3">
      <c r="H16130" s="2"/>
      <c r="I16130" s="2"/>
      <c r="J16130" s="2"/>
      <c r="K16130" s="2"/>
      <c r="L16130" s="2"/>
    </row>
    <row r="16131" spans="8:12" x14ac:dyDescent="0.3">
      <c r="H16131" s="2"/>
      <c r="I16131" s="2"/>
      <c r="J16131" s="2"/>
      <c r="K16131" s="2"/>
      <c r="L16131" s="2"/>
    </row>
    <row r="16132" spans="8:12" x14ac:dyDescent="0.3">
      <c r="H16132" s="2"/>
      <c r="I16132" s="2"/>
      <c r="J16132" s="2"/>
      <c r="K16132" s="2"/>
      <c r="L16132" s="2"/>
    </row>
    <row r="16133" spans="8:12" x14ac:dyDescent="0.3">
      <c r="H16133" s="2"/>
      <c r="I16133" s="2"/>
      <c r="J16133" s="2"/>
      <c r="K16133" s="2"/>
      <c r="L16133" s="2"/>
    </row>
    <row r="16134" spans="8:12" x14ac:dyDescent="0.3">
      <c r="H16134" s="2"/>
      <c r="I16134" s="2"/>
      <c r="J16134" s="2"/>
      <c r="K16134" s="2"/>
      <c r="L16134" s="2"/>
    </row>
    <row r="16135" spans="8:12" x14ac:dyDescent="0.3">
      <c r="H16135" s="2"/>
      <c r="I16135" s="2"/>
      <c r="J16135" s="2"/>
      <c r="K16135" s="2"/>
      <c r="L16135" s="2"/>
    </row>
    <row r="16136" spans="8:12" x14ac:dyDescent="0.3">
      <c r="H16136" s="2"/>
      <c r="I16136" s="2"/>
      <c r="J16136" s="2"/>
      <c r="K16136" s="2"/>
      <c r="L16136" s="2"/>
    </row>
    <row r="16137" spans="8:12" x14ac:dyDescent="0.3">
      <c r="H16137" s="2"/>
      <c r="I16137" s="2"/>
      <c r="J16137" s="2"/>
      <c r="K16137" s="2"/>
      <c r="L16137" s="2"/>
    </row>
    <row r="16138" spans="8:12" x14ac:dyDescent="0.3">
      <c r="H16138" s="2"/>
      <c r="I16138" s="2"/>
      <c r="J16138" s="2"/>
      <c r="K16138" s="2"/>
      <c r="L16138" s="2"/>
    </row>
    <row r="16139" spans="8:12" x14ac:dyDescent="0.3">
      <c r="H16139" s="2"/>
      <c r="I16139" s="2"/>
      <c r="J16139" s="2"/>
      <c r="K16139" s="2"/>
      <c r="L16139" s="2"/>
    </row>
    <row r="16140" spans="8:12" x14ac:dyDescent="0.3">
      <c r="H16140" s="2"/>
      <c r="I16140" s="2"/>
      <c r="J16140" s="2"/>
      <c r="K16140" s="2"/>
      <c r="L16140" s="2"/>
    </row>
    <row r="16141" spans="8:12" x14ac:dyDescent="0.3">
      <c r="H16141" s="2"/>
      <c r="I16141" s="2"/>
      <c r="J16141" s="2"/>
      <c r="K16141" s="2"/>
      <c r="L16141" s="2"/>
    </row>
    <row r="16142" spans="8:12" x14ac:dyDescent="0.3">
      <c r="H16142" s="2"/>
      <c r="I16142" s="2"/>
      <c r="J16142" s="2"/>
      <c r="K16142" s="2"/>
      <c r="L16142" s="2"/>
    </row>
    <row r="16143" spans="8:12" x14ac:dyDescent="0.3">
      <c r="H16143" s="2"/>
      <c r="I16143" s="2"/>
      <c r="J16143" s="2"/>
      <c r="K16143" s="2"/>
      <c r="L16143" s="2"/>
    </row>
    <row r="16144" spans="8:12" x14ac:dyDescent="0.3">
      <c r="H16144" s="2"/>
      <c r="I16144" s="2"/>
      <c r="J16144" s="2"/>
      <c r="K16144" s="2"/>
      <c r="L16144" s="2"/>
    </row>
    <row r="16145" spans="8:12" x14ac:dyDescent="0.3">
      <c r="H16145" s="2"/>
      <c r="I16145" s="2"/>
      <c r="J16145" s="2"/>
      <c r="K16145" s="2"/>
      <c r="L16145" s="2"/>
    </row>
    <row r="16146" spans="8:12" x14ac:dyDescent="0.3">
      <c r="H16146" s="2"/>
      <c r="I16146" s="2"/>
      <c r="J16146" s="2"/>
      <c r="K16146" s="2"/>
      <c r="L16146" s="2"/>
    </row>
    <row r="16147" spans="8:12" x14ac:dyDescent="0.3">
      <c r="H16147" s="2"/>
      <c r="I16147" s="2"/>
      <c r="J16147" s="2"/>
      <c r="K16147" s="2"/>
      <c r="L16147" s="2"/>
    </row>
    <row r="16148" spans="8:12" x14ac:dyDescent="0.3">
      <c r="H16148" s="2"/>
      <c r="I16148" s="2"/>
      <c r="J16148" s="2"/>
      <c r="K16148" s="2"/>
      <c r="L16148" s="2"/>
    </row>
    <row r="16149" spans="8:12" x14ac:dyDescent="0.3">
      <c r="H16149" s="2"/>
      <c r="I16149" s="2"/>
      <c r="J16149" s="2"/>
      <c r="K16149" s="2"/>
      <c r="L16149" s="2"/>
    </row>
    <row r="16150" spans="8:12" x14ac:dyDescent="0.3">
      <c r="H16150" s="2"/>
      <c r="I16150" s="2"/>
      <c r="J16150" s="2"/>
      <c r="K16150" s="2"/>
      <c r="L16150" s="2"/>
    </row>
    <row r="16151" spans="8:12" x14ac:dyDescent="0.3">
      <c r="H16151" s="2"/>
      <c r="I16151" s="2"/>
      <c r="J16151" s="2"/>
      <c r="K16151" s="2"/>
      <c r="L16151" s="2"/>
    </row>
    <row r="16152" spans="8:12" x14ac:dyDescent="0.3">
      <c r="H16152" s="2"/>
      <c r="I16152" s="2"/>
      <c r="J16152" s="2"/>
      <c r="K16152" s="2"/>
      <c r="L16152" s="2"/>
    </row>
    <row r="16153" spans="8:12" x14ac:dyDescent="0.3">
      <c r="H16153" s="2"/>
      <c r="I16153" s="2"/>
      <c r="J16153" s="2"/>
      <c r="K16153" s="2"/>
      <c r="L16153" s="2"/>
    </row>
    <row r="16154" spans="8:12" x14ac:dyDescent="0.3">
      <c r="H16154" s="2"/>
      <c r="I16154" s="2"/>
      <c r="J16154" s="2"/>
      <c r="K16154" s="2"/>
      <c r="L16154" s="2"/>
    </row>
    <row r="16155" spans="8:12" x14ac:dyDescent="0.3">
      <c r="H16155" s="2"/>
      <c r="I16155" s="2"/>
      <c r="J16155" s="2"/>
      <c r="K16155" s="2"/>
      <c r="L16155" s="2"/>
    </row>
    <row r="16156" spans="8:12" x14ac:dyDescent="0.3">
      <c r="H16156" s="2"/>
      <c r="I16156" s="2"/>
      <c r="J16156" s="2"/>
      <c r="K16156" s="2"/>
      <c r="L16156" s="2"/>
    </row>
    <row r="16157" spans="8:12" x14ac:dyDescent="0.3">
      <c r="H16157" s="2"/>
      <c r="I16157" s="2"/>
      <c r="J16157" s="2"/>
      <c r="K16157" s="2"/>
      <c r="L16157" s="2"/>
    </row>
    <row r="16158" spans="8:12" x14ac:dyDescent="0.3">
      <c r="H16158" s="2"/>
      <c r="I16158" s="2"/>
      <c r="J16158" s="2"/>
      <c r="K16158" s="2"/>
      <c r="L16158" s="2"/>
    </row>
    <row r="16159" spans="8:12" x14ac:dyDescent="0.3">
      <c r="H16159" s="2"/>
      <c r="I16159" s="2"/>
      <c r="J16159" s="2"/>
      <c r="K16159" s="2"/>
      <c r="L16159" s="2"/>
    </row>
    <row r="16160" spans="8:12" x14ac:dyDescent="0.3">
      <c r="H16160" s="2"/>
      <c r="I16160" s="2"/>
      <c r="J16160" s="2"/>
      <c r="K16160" s="2"/>
      <c r="L16160" s="2"/>
    </row>
    <row r="16161" spans="8:12" x14ac:dyDescent="0.3">
      <c r="H16161" s="2"/>
      <c r="I16161" s="2"/>
      <c r="J16161" s="2"/>
      <c r="K16161" s="2"/>
      <c r="L16161" s="2"/>
    </row>
    <row r="16162" spans="8:12" x14ac:dyDescent="0.3">
      <c r="H16162" s="2"/>
      <c r="I16162" s="2"/>
      <c r="J16162" s="2"/>
      <c r="K16162" s="2"/>
      <c r="L16162" s="2"/>
    </row>
    <row r="16163" spans="8:12" x14ac:dyDescent="0.3">
      <c r="H16163" s="2"/>
      <c r="I16163" s="2"/>
      <c r="J16163" s="2"/>
      <c r="K16163" s="2"/>
      <c r="L16163" s="2"/>
    </row>
    <row r="16164" spans="8:12" x14ac:dyDescent="0.3">
      <c r="H16164" s="2"/>
      <c r="I16164" s="2"/>
      <c r="J16164" s="2"/>
      <c r="K16164" s="2"/>
      <c r="L16164" s="2"/>
    </row>
    <row r="16165" spans="8:12" x14ac:dyDescent="0.3">
      <c r="H16165" s="2"/>
      <c r="I16165" s="2"/>
      <c r="J16165" s="2"/>
      <c r="K16165" s="2"/>
      <c r="L16165" s="2"/>
    </row>
    <row r="16166" spans="8:12" x14ac:dyDescent="0.3">
      <c r="H16166" s="2"/>
      <c r="I16166" s="2"/>
      <c r="J16166" s="2"/>
      <c r="K16166" s="2"/>
      <c r="L16166" s="2"/>
    </row>
    <row r="16167" spans="8:12" x14ac:dyDescent="0.3">
      <c r="H16167" s="2"/>
      <c r="I16167" s="2"/>
      <c r="J16167" s="2"/>
      <c r="K16167" s="2"/>
      <c r="L16167" s="2"/>
    </row>
    <row r="16168" spans="8:12" x14ac:dyDescent="0.3">
      <c r="H16168" s="2"/>
      <c r="I16168" s="2"/>
      <c r="J16168" s="2"/>
      <c r="K16168" s="2"/>
      <c r="L16168" s="2"/>
    </row>
    <row r="16169" spans="8:12" x14ac:dyDescent="0.3">
      <c r="H16169" s="2"/>
      <c r="I16169" s="2"/>
      <c r="J16169" s="2"/>
      <c r="K16169" s="2"/>
      <c r="L16169" s="2"/>
    </row>
    <row r="16170" spans="8:12" x14ac:dyDescent="0.3">
      <c r="H16170" s="2"/>
      <c r="I16170" s="2"/>
      <c r="J16170" s="2"/>
      <c r="K16170" s="2"/>
      <c r="L16170" s="2"/>
    </row>
    <row r="16171" spans="8:12" x14ac:dyDescent="0.3">
      <c r="H16171" s="2"/>
      <c r="I16171" s="2"/>
      <c r="J16171" s="2"/>
      <c r="K16171" s="2"/>
      <c r="L16171" s="2"/>
    </row>
    <row r="16172" spans="8:12" x14ac:dyDescent="0.3">
      <c r="H16172" s="2"/>
      <c r="I16172" s="2"/>
      <c r="J16172" s="2"/>
      <c r="K16172" s="2"/>
      <c r="L16172" s="2"/>
    </row>
    <row r="16173" spans="8:12" x14ac:dyDescent="0.3">
      <c r="H16173" s="2"/>
      <c r="I16173" s="2"/>
      <c r="J16173" s="2"/>
      <c r="K16173" s="2"/>
      <c r="L16173" s="2"/>
    </row>
    <row r="16174" spans="8:12" x14ac:dyDescent="0.3">
      <c r="H16174" s="2"/>
      <c r="I16174" s="2"/>
      <c r="J16174" s="2"/>
      <c r="K16174" s="2"/>
      <c r="L16174" s="2"/>
    </row>
    <row r="16175" spans="8:12" x14ac:dyDescent="0.3">
      <c r="H16175" s="2"/>
      <c r="I16175" s="2"/>
      <c r="J16175" s="2"/>
      <c r="K16175" s="2"/>
      <c r="L16175" s="2"/>
    </row>
    <row r="16176" spans="8:12" x14ac:dyDescent="0.3">
      <c r="H16176" s="2"/>
      <c r="I16176" s="2"/>
      <c r="J16176" s="2"/>
      <c r="K16176" s="2"/>
      <c r="L16176" s="2"/>
    </row>
    <row r="16177" spans="8:12" x14ac:dyDescent="0.3">
      <c r="H16177" s="2"/>
      <c r="I16177" s="2"/>
      <c r="J16177" s="2"/>
      <c r="K16177" s="2"/>
      <c r="L16177" s="2"/>
    </row>
    <row r="16178" spans="8:12" x14ac:dyDescent="0.3">
      <c r="H16178" s="2"/>
      <c r="I16178" s="2"/>
      <c r="J16178" s="2"/>
      <c r="K16178" s="2"/>
      <c r="L16178" s="2"/>
    </row>
    <row r="16179" spans="8:12" x14ac:dyDescent="0.3">
      <c r="H16179" s="2"/>
      <c r="I16179" s="2"/>
      <c r="J16179" s="2"/>
      <c r="K16179" s="2"/>
      <c r="L16179" s="2"/>
    </row>
    <row r="16180" spans="8:12" x14ac:dyDescent="0.3">
      <c r="H16180" s="2"/>
      <c r="I16180" s="2"/>
      <c r="J16180" s="2"/>
      <c r="K16180" s="2"/>
      <c r="L16180" s="2"/>
    </row>
    <row r="16181" spans="8:12" x14ac:dyDescent="0.3">
      <c r="H16181" s="2"/>
      <c r="I16181" s="2"/>
      <c r="J16181" s="2"/>
      <c r="K16181" s="2"/>
      <c r="L16181" s="2"/>
    </row>
    <row r="16182" spans="8:12" x14ac:dyDescent="0.3">
      <c r="H16182" s="2"/>
      <c r="I16182" s="2"/>
      <c r="J16182" s="2"/>
      <c r="K16182" s="2"/>
      <c r="L16182" s="2"/>
    </row>
    <row r="16183" spans="8:12" x14ac:dyDescent="0.3">
      <c r="H16183" s="2"/>
      <c r="I16183" s="2"/>
      <c r="J16183" s="2"/>
      <c r="K16183" s="2"/>
      <c r="L16183" s="2"/>
    </row>
    <row r="16184" spans="8:12" x14ac:dyDescent="0.3">
      <c r="H16184" s="2"/>
      <c r="I16184" s="2"/>
      <c r="J16184" s="2"/>
      <c r="K16184" s="2"/>
      <c r="L16184" s="2"/>
    </row>
    <row r="16185" spans="8:12" x14ac:dyDescent="0.3">
      <c r="H16185" s="2"/>
      <c r="I16185" s="2"/>
      <c r="J16185" s="2"/>
      <c r="K16185" s="2"/>
      <c r="L16185" s="2"/>
    </row>
    <row r="16186" spans="8:12" x14ac:dyDescent="0.3">
      <c r="H16186" s="2"/>
      <c r="I16186" s="2"/>
      <c r="J16186" s="2"/>
      <c r="K16186" s="2"/>
      <c r="L16186" s="2"/>
    </row>
    <row r="16187" spans="8:12" x14ac:dyDescent="0.3">
      <c r="H16187" s="2"/>
      <c r="I16187" s="2"/>
      <c r="J16187" s="2"/>
      <c r="K16187" s="2"/>
      <c r="L16187" s="2"/>
    </row>
    <row r="16188" spans="8:12" x14ac:dyDescent="0.3">
      <c r="H16188" s="2"/>
      <c r="I16188" s="2"/>
      <c r="J16188" s="2"/>
      <c r="K16188" s="2"/>
      <c r="L16188" s="2"/>
    </row>
    <row r="16189" spans="8:12" x14ac:dyDescent="0.3">
      <c r="H16189" s="2"/>
      <c r="I16189" s="2"/>
      <c r="J16189" s="2"/>
      <c r="K16189" s="2"/>
      <c r="L16189" s="2"/>
    </row>
    <row r="16190" spans="8:12" x14ac:dyDescent="0.3">
      <c r="H16190" s="2"/>
      <c r="I16190" s="2"/>
      <c r="J16190" s="2"/>
      <c r="K16190" s="2"/>
      <c r="L16190" s="2"/>
    </row>
    <row r="16191" spans="8:12" x14ac:dyDescent="0.3">
      <c r="H16191" s="2"/>
      <c r="I16191" s="2"/>
      <c r="J16191" s="2"/>
      <c r="K16191" s="2"/>
      <c r="L16191" s="2"/>
    </row>
    <row r="16192" spans="8:12" x14ac:dyDescent="0.3">
      <c r="H16192" s="2"/>
      <c r="I16192" s="2"/>
      <c r="J16192" s="2"/>
      <c r="K16192" s="2"/>
      <c r="L16192" s="2"/>
    </row>
    <row r="16193" spans="8:12" x14ac:dyDescent="0.3">
      <c r="H16193" s="2"/>
      <c r="I16193" s="2"/>
      <c r="J16193" s="2"/>
      <c r="K16193" s="2"/>
      <c r="L16193" s="2"/>
    </row>
    <row r="16194" spans="8:12" x14ac:dyDescent="0.3">
      <c r="H16194" s="2"/>
      <c r="I16194" s="2"/>
      <c r="J16194" s="2"/>
      <c r="K16194" s="2"/>
      <c r="L16194" s="2"/>
    </row>
    <row r="16195" spans="8:12" x14ac:dyDescent="0.3">
      <c r="H16195" s="2"/>
      <c r="I16195" s="2"/>
      <c r="J16195" s="2"/>
      <c r="K16195" s="2"/>
      <c r="L16195" s="2"/>
    </row>
    <row r="16196" spans="8:12" x14ac:dyDescent="0.3">
      <c r="H16196" s="2"/>
      <c r="I16196" s="2"/>
      <c r="J16196" s="2"/>
      <c r="K16196" s="2"/>
      <c r="L16196" s="2"/>
    </row>
    <row r="16197" spans="8:12" x14ac:dyDescent="0.3">
      <c r="H16197" s="2"/>
      <c r="I16197" s="2"/>
      <c r="J16197" s="2"/>
      <c r="K16197" s="2"/>
      <c r="L16197" s="2"/>
    </row>
    <row r="16198" spans="8:12" x14ac:dyDescent="0.3">
      <c r="H16198" s="2"/>
      <c r="I16198" s="2"/>
      <c r="J16198" s="2"/>
      <c r="K16198" s="2"/>
      <c r="L16198" s="2"/>
    </row>
    <row r="16199" spans="8:12" x14ac:dyDescent="0.3">
      <c r="H16199" s="2"/>
      <c r="I16199" s="2"/>
      <c r="J16199" s="2"/>
      <c r="K16199" s="2"/>
      <c r="L16199" s="2"/>
    </row>
    <row r="16200" spans="8:12" x14ac:dyDescent="0.3">
      <c r="H16200" s="2"/>
      <c r="I16200" s="2"/>
      <c r="J16200" s="2"/>
      <c r="K16200" s="2"/>
      <c r="L16200" s="2"/>
    </row>
    <row r="16201" spans="8:12" x14ac:dyDescent="0.3">
      <c r="H16201" s="2"/>
      <c r="I16201" s="2"/>
      <c r="J16201" s="2"/>
      <c r="K16201" s="2"/>
      <c r="L16201" s="2"/>
    </row>
    <row r="16202" spans="8:12" x14ac:dyDescent="0.3">
      <c r="H16202" s="2"/>
      <c r="I16202" s="2"/>
      <c r="J16202" s="2"/>
      <c r="K16202" s="2"/>
      <c r="L16202" s="2"/>
    </row>
    <row r="16203" spans="8:12" x14ac:dyDescent="0.3">
      <c r="H16203" s="2"/>
      <c r="I16203" s="2"/>
      <c r="J16203" s="2"/>
      <c r="K16203" s="2"/>
      <c r="L16203" s="2"/>
    </row>
    <row r="16204" spans="8:12" x14ac:dyDescent="0.3">
      <c r="H16204" s="2"/>
      <c r="I16204" s="2"/>
      <c r="J16204" s="2"/>
      <c r="K16204" s="2"/>
      <c r="L16204" s="2"/>
    </row>
    <row r="16205" spans="8:12" x14ac:dyDescent="0.3">
      <c r="H16205" s="2"/>
      <c r="I16205" s="2"/>
      <c r="J16205" s="2"/>
      <c r="K16205" s="2"/>
      <c r="L16205" s="2"/>
    </row>
    <row r="16206" spans="8:12" x14ac:dyDescent="0.3">
      <c r="H16206" s="2"/>
      <c r="I16206" s="2"/>
      <c r="J16206" s="2"/>
      <c r="K16206" s="2"/>
      <c r="L16206" s="2"/>
    </row>
    <row r="16207" spans="8:12" x14ac:dyDescent="0.3">
      <c r="H16207" s="2"/>
      <c r="I16207" s="2"/>
      <c r="J16207" s="2"/>
      <c r="K16207" s="2"/>
      <c r="L16207" s="2"/>
    </row>
    <row r="16208" spans="8:12" x14ac:dyDescent="0.3">
      <c r="H16208" s="2"/>
      <c r="I16208" s="2"/>
      <c r="J16208" s="2"/>
      <c r="K16208" s="2"/>
      <c r="L16208" s="2"/>
    </row>
    <row r="16209" spans="8:12" x14ac:dyDescent="0.3">
      <c r="H16209" s="2"/>
      <c r="I16209" s="2"/>
      <c r="J16209" s="2"/>
      <c r="K16209" s="2"/>
      <c r="L16209" s="2"/>
    </row>
    <row r="16210" spans="8:12" x14ac:dyDescent="0.3">
      <c r="H16210" s="2"/>
      <c r="I16210" s="2"/>
      <c r="J16210" s="2"/>
      <c r="K16210" s="2"/>
      <c r="L16210" s="2"/>
    </row>
    <row r="16211" spans="8:12" x14ac:dyDescent="0.3">
      <c r="H16211" s="2"/>
      <c r="I16211" s="2"/>
      <c r="J16211" s="2"/>
      <c r="K16211" s="2"/>
      <c r="L16211" s="2"/>
    </row>
    <row r="16212" spans="8:12" x14ac:dyDescent="0.3">
      <c r="H16212" s="2"/>
      <c r="I16212" s="2"/>
      <c r="J16212" s="2"/>
      <c r="K16212" s="2"/>
      <c r="L16212" s="2"/>
    </row>
    <row r="16213" spans="8:12" x14ac:dyDescent="0.3">
      <c r="H16213" s="2"/>
      <c r="I16213" s="2"/>
      <c r="J16213" s="2"/>
      <c r="K16213" s="2"/>
      <c r="L16213" s="2"/>
    </row>
    <row r="16214" spans="8:12" x14ac:dyDescent="0.3">
      <c r="H16214" s="2"/>
      <c r="I16214" s="2"/>
      <c r="J16214" s="2"/>
      <c r="K16214" s="2"/>
      <c r="L16214" s="2"/>
    </row>
    <row r="16215" spans="8:12" x14ac:dyDescent="0.3">
      <c r="H16215" s="2"/>
      <c r="I16215" s="2"/>
      <c r="J16215" s="2"/>
      <c r="K16215" s="2"/>
      <c r="L16215" s="2"/>
    </row>
    <row r="16216" spans="8:12" x14ac:dyDescent="0.3">
      <c r="H16216" s="2"/>
      <c r="I16216" s="2"/>
      <c r="J16216" s="2"/>
      <c r="K16216" s="2"/>
      <c r="L16216" s="2"/>
    </row>
    <row r="16217" spans="8:12" x14ac:dyDescent="0.3">
      <c r="H16217" s="2"/>
      <c r="I16217" s="2"/>
      <c r="J16217" s="2"/>
      <c r="K16217" s="2"/>
      <c r="L16217" s="2"/>
    </row>
    <row r="16218" spans="8:12" x14ac:dyDescent="0.3">
      <c r="H16218" s="2"/>
      <c r="I16218" s="2"/>
      <c r="J16218" s="2"/>
      <c r="K16218" s="2"/>
      <c r="L16218" s="2"/>
    </row>
    <row r="16219" spans="8:12" x14ac:dyDescent="0.3">
      <c r="H16219" s="2"/>
      <c r="I16219" s="2"/>
      <c r="J16219" s="2"/>
      <c r="K16219" s="2"/>
      <c r="L16219" s="2"/>
    </row>
    <row r="16220" spans="8:12" x14ac:dyDescent="0.3">
      <c r="H16220" s="2"/>
      <c r="I16220" s="2"/>
      <c r="J16220" s="2"/>
      <c r="K16220" s="2"/>
      <c r="L16220" s="2"/>
    </row>
    <row r="16221" spans="8:12" x14ac:dyDescent="0.3">
      <c r="H16221" s="2"/>
      <c r="I16221" s="2"/>
      <c r="J16221" s="2"/>
      <c r="K16221" s="2"/>
      <c r="L16221" s="2"/>
    </row>
    <row r="16222" spans="8:12" x14ac:dyDescent="0.3">
      <c r="H16222" s="2"/>
      <c r="I16222" s="2"/>
      <c r="J16222" s="2"/>
      <c r="K16222" s="2"/>
      <c r="L16222" s="2"/>
    </row>
    <row r="16223" spans="8:12" x14ac:dyDescent="0.3">
      <c r="H16223" s="2"/>
      <c r="I16223" s="2"/>
      <c r="J16223" s="2"/>
      <c r="K16223" s="2"/>
      <c r="L16223" s="2"/>
    </row>
    <row r="16224" spans="8:12" x14ac:dyDescent="0.3">
      <c r="H16224" s="2"/>
      <c r="I16224" s="2"/>
      <c r="J16224" s="2"/>
      <c r="K16224" s="2"/>
      <c r="L16224" s="2"/>
    </row>
    <row r="16225" spans="8:12" x14ac:dyDescent="0.3">
      <c r="H16225" s="2"/>
      <c r="I16225" s="2"/>
      <c r="J16225" s="2"/>
      <c r="K16225" s="2"/>
      <c r="L16225" s="2"/>
    </row>
    <row r="16226" spans="8:12" x14ac:dyDescent="0.3">
      <c r="H16226" s="2"/>
      <c r="I16226" s="2"/>
      <c r="J16226" s="2"/>
      <c r="K16226" s="2"/>
      <c r="L16226" s="2"/>
    </row>
    <row r="16227" spans="8:12" x14ac:dyDescent="0.3">
      <c r="H16227" s="2"/>
      <c r="I16227" s="2"/>
      <c r="J16227" s="2"/>
      <c r="K16227" s="2"/>
      <c r="L16227" s="2"/>
    </row>
    <row r="16228" spans="8:12" x14ac:dyDescent="0.3">
      <c r="H16228" s="2"/>
      <c r="I16228" s="2"/>
      <c r="J16228" s="2"/>
      <c r="K16228" s="2"/>
      <c r="L16228" s="2"/>
    </row>
    <row r="16229" spans="8:12" x14ac:dyDescent="0.3">
      <c r="H16229" s="2"/>
      <c r="I16229" s="2"/>
      <c r="J16229" s="2"/>
      <c r="K16229" s="2"/>
      <c r="L16229" s="2"/>
    </row>
    <row r="16230" spans="8:12" x14ac:dyDescent="0.3">
      <c r="H16230" s="2"/>
      <c r="I16230" s="2"/>
      <c r="J16230" s="2"/>
      <c r="K16230" s="2"/>
      <c r="L16230" s="2"/>
    </row>
    <row r="16231" spans="8:12" x14ac:dyDescent="0.3">
      <c r="H16231" s="2"/>
      <c r="I16231" s="2"/>
      <c r="J16231" s="2"/>
      <c r="K16231" s="2"/>
      <c r="L16231" s="2"/>
    </row>
    <row r="16232" spans="8:12" x14ac:dyDescent="0.3">
      <c r="H16232" s="2"/>
      <c r="I16232" s="2"/>
      <c r="J16232" s="2"/>
      <c r="K16232" s="2"/>
      <c r="L16232" s="2"/>
    </row>
    <row r="16233" spans="8:12" x14ac:dyDescent="0.3">
      <c r="H16233" s="2"/>
      <c r="I16233" s="2"/>
      <c r="J16233" s="2"/>
      <c r="K16233" s="2"/>
      <c r="L16233" s="2"/>
    </row>
    <row r="16234" spans="8:12" x14ac:dyDescent="0.3">
      <c r="H16234" s="2"/>
      <c r="I16234" s="2"/>
      <c r="J16234" s="2"/>
      <c r="K16234" s="2"/>
      <c r="L16234" s="2"/>
    </row>
    <row r="16235" spans="8:12" x14ac:dyDescent="0.3">
      <c r="H16235" s="2"/>
      <c r="I16235" s="2"/>
      <c r="J16235" s="2"/>
      <c r="K16235" s="2"/>
      <c r="L16235" s="2"/>
    </row>
    <row r="16236" spans="8:12" x14ac:dyDescent="0.3">
      <c r="H16236" s="2"/>
      <c r="I16236" s="2"/>
      <c r="J16236" s="2"/>
      <c r="K16236" s="2"/>
      <c r="L16236" s="2"/>
    </row>
    <row r="16237" spans="8:12" x14ac:dyDescent="0.3">
      <c r="H16237" s="2"/>
      <c r="I16237" s="2"/>
      <c r="J16237" s="2"/>
      <c r="K16237" s="2"/>
      <c r="L16237" s="2"/>
    </row>
    <row r="16238" spans="8:12" x14ac:dyDescent="0.3">
      <c r="H16238" s="2"/>
      <c r="I16238" s="2"/>
      <c r="J16238" s="2"/>
      <c r="K16238" s="2"/>
      <c r="L16238" s="2"/>
    </row>
    <row r="16239" spans="8:12" x14ac:dyDescent="0.3">
      <c r="H16239" s="2"/>
      <c r="I16239" s="2"/>
      <c r="J16239" s="2"/>
      <c r="K16239" s="2"/>
      <c r="L16239" s="2"/>
    </row>
    <row r="16240" spans="8:12" x14ac:dyDescent="0.3">
      <c r="H16240" s="2"/>
      <c r="I16240" s="2"/>
      <c r="J16240" s="2"/>
      <c r="K16240" s="2"/>
      <c r="L16240" s="2"/>
    </row>
    <row r="16241" spans="8:12" x14ac:dyDescent="0.3">
      <c r="H16241" s="2"/>
      <c r="I16241" s="2"/>
      <c r="J16241" s="2"/>
      <c r="K16241" s="2"/>
      <c r="L16241" s="2"/>
    </row>
    <row r="16242" spans="8:12" x14ac:dyDescent="0.3">
      <c r="H16242" s="2"/>
      <c r="I16242" s="2"/>
      <c r="J16242" s="2"/>
      <c r="K16242" s="2"/>
      <c r="L16242" s="2"/>
    </row>
    <row r="16243" spans="8:12" x14ac:dyDescent="0.3">
      <c r="H16243" s="2"/>
      <c r="I16243" s="2"/>
      <c r="J16243" s="2"/>
      <c r="K16243" s="2"/>
      <c r="L16243" s="2"/>
    </row>
    <row r="16244" spans="8:12" x14ac:dyDescent="0.3">
      <c r="H16244" s="2"/>
      <c r="I16244" s="2"/>
      <c r="J16244" s="2"/>
      <c r="K16244" s="2"/>
      <c r="L16244" s="2"/>
    </row>
    <row r="16245" spans="8:12" x14ac:dyDescent="0.3">
      <c r="H16245" s="2"/>
      <c r="I16245" s="2"/>
      <c r="J16245" s="2"/>
      <c r="K16245" s="2"/>
      <c r="L16245" s="2"/>
    </row>
    <row r="16246" spans="8:12" x14ac:dyDescent="0.3">
      <c r="H16246" s="2"/>
      <c r="I16246" s="2"/>
      <c r="J16246" s="2"/>
      <c r="K16246" s="2"/>
      <c r="L16246" s="2"/>
    </row>
    <row r="16247" spans="8:12" x14ac:dyDescent="0.3">
      <c r="H16247" s="2"/>
      <c r="I16247" s="2"/>
      <c r="J16247" s="2"/>
      <c r="K16247" s="2"/>
      <c r="L16247" s="2"/>
    </row>
    <row r="16248" spans="8:12" x14ac:dyDescent="0.3">
      <c r="H16248" s="2"/>
      <c r="I16248" s="2"/>
      <c r="J16248" s="2"/>
      <c r="K16248" s="2"/>
      <c r="L16248" s="2"/>
    </row>
    <row r="16249" spans="8:12" x14ac:dyDescent="0.3">
      <c r="H16249" s="2"/>
      <c r="I16249" s="2"/>
      <c r="J16249" s="2"/>
      <c r="K16249" s="2"/>
      <c r="L16249" s="2"/>
    </row>
    <row r="16250" spans="8:12" x14ac:dyDescent="0.3">
      <c r="H16250" s="2"/>
      <c r="I16250" s="2"/>
      <c r="J16250" s="2"/>
      <c r="K16250" s="2"/>
      <c r="L16250" s="2"/>
    </row>
    <row r="16251" spans="8:12" x14ac:dyDescent="0.3">
      <c r="H16251" s="2"/>
      <c r="I16251" s="2"/>
      <c r="J16251" s="2"/>
      <c r="K16251" s="2"/>
      <c r="L16251" s="2"/>
    </row>
    <row r="16252" spans="8:12" x14ac:dyDescent="0.3">
      <c r="H16252" s="2"/>
      <c r="I16252" s="2"/>
      <c r="J16252" s="2"/>
      <c r="K16252" s="2"/>
      <c r="L16252" s="2"/>
    </row>
    <row r="16253" spans="8:12" x14ac:dyDescent="0.3">
      <c r="H16253" s="2"/>
      <c r="I16253" s="2"/>
      <c r="J16253" s="2"/>
      <c r="K16253" s="2"/>
      <c r="L16253" s="2"/>
    </row>
    <row r="16254" spans="8:12" x14ac:dyDescent="0.3">
      <c r="H16254" s="2"/>
      <c r="I16254" s="2"/>
      <c r="J16254" s="2"/>
      <c r="K16254" s="2"/>
      <c r="L16254" s="2"/>
    </row>
    <row r="16255" spans="8:12" x14ac:dyDescent="0.3">
      <c r="H16255" s="2"/>
      <c r="I16255" s="2"/>
      <c r="J16255" s="2"/>
      <c r="K16255" s="2"/>
      <c r="L16255" s="2"/>
    </row>
    <row r="16256" spans="8:12" x14ac:dyDescent="0.3">
      <c r="H16256" s="2"/>
      <c r="I16256" s="2"/>
      <c r="J16256" s="2"/>
      <c r="K16256" s="2"/>
      <c r="L16256" s="2"/>
    </row>
    <row r="16257" spans="8:12" x14ac:dyDescent="0.3">
      <c r="H16257" s="2"/>
      <c r="I16257" s="2"/>
      <c r="J16257" s="2"/>
      <c r="K16257" s="2"/>
      <c r="L16257" s="2"/>
    </row>
    <row r="16258" spans="8:12" x14ac:dyDescent="0.3">
      <c r="H16258" s="2"/>
      <c r="I16258" s="2"/>
      <c r="J16258" s="2"/>
      <c r="K16258" s="2"/>
      <c r="L16258" s="2"/>
    </row>
    <row r="16259" spans="8:12" x14ac:dyDescent="0.3">
      <c r="H16259" s="2"/>
      <c r="I16259" s="2"/>
      <c r="J16259" s="2"/>
      <c r="K16259" s="2"/>
      <c r="L16259" s="2"/>
    </row>
    <row r="16260" spans="8:12" x14ac:dyDescent="0.3">
      <c r="H16260" s="2"/>
      <c r="I16260" s="2"/>
      <c r="J16260" s="2"/>
      <c r="K16260" s="2"/>
      <c r="L16260" s="2"/>
    </row>
    <row r="16261" spans="8:12" x14ac:dyDescent="0.3">
      <c r="H16261" s="2"/>
      <c r="I16261" s="2"/>
      <c r="J16261" s="2"/>
      <c r="K16261" s="2"/>
      <c r="L16261" s="2"/>
    </row>
    <row r="16262" spans="8:12" x14ac:dyDescent="0.3">
      <c r="H16262" s="2"/>
      <c r="I16262" s="2"/>
      <c r="J16262" s="2"/>
      <c r="K16262" s="2"/>
      <c r="L16262" s="2"/>
    </row>
    <row r="16263" spans="8:12" x14ac:dyDescent="0.3">
      <c r="H16263" s="2"/>
      <c r="I16263" s="2"/>
      <c r="J16263" s="2"/>
      <c r="K16263" s="2"/>
      <c r="L16263" s="2"/>
    </row>
    <row r="16264" spans="8:12" x14ac:dyDescent="0.3">
      <c r="H16264" s="2"/>
      <c r="I16264" s="2"/>
      <c r="J16264" s="2"/>
      <c r="K16264" s="2"/>
      <c r="L16264" s="2"/>
    </row>
    <row r="16265" spans="8:12" x14ac:dyDescent="0.3">
      <c r="H16265" s="2"/>
      <c r="I16265" s="2"/>
      <c r="J16265" s="2"/>
      <c r="K16265" s="2"/>
      <c r="L16265" s="2"/>
    </row>
    <row r="16266" spans="8:12" x14ac:dyDescent="0.3">
      <c r="H16266" s="2"/>
      <c r="I16266" s="2"/>
      <c r="J16266" s="2"/>
      <c r="K16266" s="2"/>
      <c r="L16266" s="2"/>
    </row>
    <row r="16267" spans="8:12" x14ac:dyDescent="0.3">
      <c r="H16267" s="2"/>
      <c r="I16267" s="2"/>
      <c r="J16267" s="2"/>
      <c r="K16267" s="2"/>
      <c r="L16267" s="2"/>
    </row>
    <row r="16268" spans="8:12" x14ac:dyDescent="0.3">
      <c r="H16268" s="2"/>
      <c r="I16268" s="2"/>
      <c r="J16268" s="2"/>
      <c r="K16268" s="2"/>
      <c r="L16268" s="2"/>
    </row>
    <row r="16269" spans="8:12" x14ac:dyDescent="0.3">
      <c r="H16269" s="2"/>
      <c r="I16269" s="2"/>
      <c r="J16269" s="2"/>
      <c r="K16269" s="2"/>
      <c r="L16269" s="2"/>
    </row>
    <row r="16270" spans="8:12" x14ac:dyDescent="0.3">
      <c r="H16270" s="2"/>
      <c r="I16270" s="2"/>
      <c r="J16270" s="2"/>
      <c r="K16270" s="2"/>
      <c r="L16270" s="2"/>
    </row>
    <row r="16271" spans="8:12" x14ac:dyDescent="0.3">
      <c r="H16271" s="2"/>
      <c r="I16271" s="2"/>
      <c r="J16271" s="2"/>
      <c r="K16271" s="2"/>
      <c r="L16271" s="2"/>
    </row>
    <row r="16272" spans="8:12" x14ac:dyDescent="0.3">
      <c r="H16272" s="2"/>
      <c r="I16272" s="2"/>
      <c r="J16272" s="2"/>
      <c r="K16272" s="2"/>
      <c r="L16272" s="2"/>
    </row>
    <row r="16273" spans="8:12" x14ac:dyDescent="0.3">
      <c r="H16273" s="2"/>
      <c r="I16273" s="2"/>
      <c r="J16273" s="2"/>
      <c r="K16273" s="2"/>
      <c r="L16273" s="2"/>
    </row>
    <row r="16274" spans="8:12" x14ac:dyDescent="0.3">
      <c r="H16274" s="2"/>
      <c r="I16274" s="2"/>
      <c r="J16274" s="2"/>
      <c r="K16274" s="2"/>
      <c r="L16274" s="2"/>
    </row>
    <row r="16275" spans="8:12" x14ac:dyDescent="0.3">
      <c r="H16275" s="2"/>
      <c r="I16275" s="2"/>
      <c r="J16275" s="2"/>
      <c r="K16275" s="2"/>
      <c r="L16275" s="2"/>
    </row>
    <row r="16276" spans="8:12" x14ac:dyDescent="0.3">
      <c r="H16276" s="2"/>
      <c r="I16276" s="2"/>
      <c r="J16276" s="2"/>
      <c r="K16276" s="2"/>
      <c r="L16276" s="2"/>
    </row>
    <row r="16277" spans="8:12" x14ac:dyDescent="0.3">
      <c r="H16277" s="2"/>
      <c r="I16277" s="2"/>
      <c r="J16277" s="2"/>
      <c r="K16277" s="2"/>
      <c r="L16277" s="2"/>
    </row>
    <row r="16278" spans="8:12" x14ac:dyDescent="0.3">
      <c r="H16278" s="2"/>
      <c r="I16278" s="2"/>
      <c r="J16278" s="2"/>
      <c r="K16278" s="2"/>
      <c r="L16278" s="2"/>
    </row>
    <row r="16279" spans="8:12" x14ac:dyDescent="0.3">
      <c r="H16279" s="2"/>
      <c r="I16279" s="2"/>
      <c r="J16279" s="2"/>
      <c r="K16279" s="2"/>
      <c r="L16279" s="2"/>
    </row>
    <row r="16280" spans="8:12" x14ac:dyDescent="0.3">
      <c r="H16280" s="2"/>
      <c r="I16280" s="2"/>
      <c r="J16280" s="2"/>
      <c r="K16280" s="2"/>
      <c r="L16280" s="2"/>
    </row>
    <row r="16281" spans="8:12" x14ac:dyDescent="0.3">
      <c r="H16281" s="2"/>
      <c r="I16281" s="2"/>
      <c r="J16281" s="2"/>
      <c r="K16281" s="2"/>
      <c r="L16281" s="2"/>
    </row>
    <row r="16282" spans="8:12" x14ac:dyDescent="0.3">
      <c r="H16282" s="2"/>
      <c r="I16282" s="2"/>
      <c r="J16282" s="2"/>
      <c r="K16282" s="2"/>
      <c r="L16282" s="2"/>
    </row>
    <row r="16283" spans="8:12" x14ac:dyDescent="0.3">
      <c r="H16283" s="2"/>
      <c r="I16283" s="2"/>
      <c r="J16283" s="2"/>
      <c r="K16283" s="2"/>
      <c r="L16283" s="2"/>
    </row>
    <row r="16284" spans="8:12" x14ac:dyDescent="0.3">
      <c r="H16284" s="2"/>
      <c r="I16284" s="2"/>
      <c r="J16284" s="2"/>
      <c r="K16284" s="2"/>
      <c r="L16284" s="2"/>
    </row>
    <row r="16285" spans="8:12" x14ac:dyDescent="0.3">
      <c r="H16285" s="2"/>
      <c r="I16285" s="2"/>
      <c r="J16285" s="2"/>
      <c r="K16285" s="2"/>
      <c r="L16285" s="2"/>
    </row>
    <row r="16286" spans="8:12" x14ac:dyDescent="0.3">
      <c r="H16286" s="2"/>
      <c r="I16286" s="2"/>
      <c r="J16286" s="2"/>
      <c r="K16286" s="2"/>
      <c r="L16286" s="2"/>
    </row>
    <row r="16287" spans="8:12" x14ac:dyDescent="0.3">
      <c r="H16287" s="2"/>
      <c r="I16287" s="2"/>
      <c r="J16287" s="2"/>
      <c r="K16287" s="2"/>
      <c r="L16287" s="2"/>
    </row>
    <row r="16288" spans="8:12" x14ac:dyDescent="0.3">
      <c r="H16288" s="2"/>
      <c r="I16288" s="2"/>
      <c r="J16288" s="2"/>
      <c r="K16288" s="2"/>
      <c r="L16288" s="2"/>
    </row>
    <row r="16289" spans="8:12" x14ac:dyDescent="0.3">
      <c r="H16289" s="2"/>
      <c r="I16289" s="2"/>
      <c r="J16289" s="2"/>
      <c r="K16289" s="2"/>
      <c r="L16289" s="2"/>
    </row>
    <row r="16290" spans="8:12" x14ac:dyDescent="0.3">
      <c r="H16290" s="2"/>
      <c r="I16290" s="2"/>
      <c r="J16290" s="2"/>
      <c r="K16290" s="2"/>
      <c r="L16290" s="2"/>
    </row>
    <row r="16291" spans="8:12" x14ac:dyDescent="0.3">
      <c r="H16291" s="2"/>
      <c r="I16291" s="2"/>
      <c r="J16291" s="2"/>
      <c r="K16291" s="2"/>
      <c r="L16291" s="2"/>
    </row>
    <row r="16292" spans="8:12" x14ac:dyDescent="0.3">
      <c r="H16292" s="2"/>
      <c r="I16292" s="2"/>
      <c r="J16292" s="2"/>
      <c r="K16292" s="2"/>
      <c r="L16292" s="2"/>
    </row>
    <row r="16293" spans="8:12" x14ac:dyDescent="0.3">
      <c r="H16293" s="2"/>
      <c r="I16293" s="2"/>
      <c r="J16293" s="2"/>
      <c r="K16293" s="2"/>
      <c r="L16293" s="2"/>
    </row>
    <row r="16294" spans="8:12" x14ac:dyDescent="0.3">
      <c r="H16294" s="2"/>
      <c r="I16294" s="2"/>
      <c r="J16294" s="2"/>
      <c r="K16294" s="2"/>
      <c r="L16294" s="2"/>
    </row>
    <row r="16295" spans="8:12" x14ac:dyDescent="0.3">
      <c r="H16295" s="2"/>
      <c r="I16295" s="2"/>
      <c r="J16295" s="2"/>
      <c r="K16295" s="2"/>
      <c r="L16295" s="2"/>
    </row>
    <row r="16296" spans="8:12" x14ac:dyDescent="0.3">
      <c r="H16296" s="2"/>
      <c r="I16296" s="2"/>
      <c r="J16296" s="2"/>
      <c r="K16296" s="2"/>
      <c r="L16296" s="2"/>
    </row>
    <row r="16297" spans="8:12" x14ac:dyDescent="0.3">
      <c r="H16297" s="2"/>
      <c r="I16297" s="2"/>
      <c r="J16297" s="2"/>
      <c r="K16297" s="2"/>
      <c r="L16297" s="2"/>
    </row>
    <row r="16298" spans="8:12" x14ac:dyDescent="0.3">
      <c r="H16298" s="2"/>
      <c r="I16298" s="2"/>
      <c r="J16298" s="2"/>
      <c r="K16298" s="2"/>
      <c r="L16298" s="2"/>
    </row>
    <row r="16299" spans="8:12" x14ac:dyDescent="0.3">
      <c r="H16299" s="2"/>
      <c r="I16299" s="2"/>
      <c r="J16299" s="2"/>
      <c r="K16299" s="2"/>
      <c r="L16299" s="2"/>
    </row>
    <row r="16300" spans="8:12" x14ac:dyDescent="0.3">
      <c r="H16300" s="2"/>
      <c r="I16300" s="2"/>
      <c r="J16300" s="2"/>
      <c r="K16300" s="2"/>
      <c r="L16300" s="2"/>
    </row>
    <row r="16301" spans="8:12" x14ac:dyDescent="0.3">
      <c r="H16301" s="2"/>
      <c r="I16301" s="2"/>
      <c r="J16301" s="2"/>
      <c r="K16301" s="2"/>
      <c r="L16301" s="2"/>
    </row>
    <row r="16302" spans="8:12" x14ac:dyDescent="0.3">
      <c r="H16302" s="2"/>
      <c r="I16302" s="2"/>
      <c r="J16302" s="2"/>
      <c r="K16302" s="2"/>
      <c r="L16302" s="2"/>
    </row>
    <row r="16303" spans="8:12" x14ac:dyDescent="0.3">
      <c r="H16303" s="2"/>
      <c r="I16303" s="2"/>
      <c r="J16303" s="2"/>
      <c r="K16303" s="2"/>
      <c r="L16303" s="2"/>
    </row>
    <row r="16304" spans="8:12" x14ac:dyDescent="0.3">
      <c r="H16304" s="2"/>
      <c r="I16304" s="2"/>
      <c r="J16304" s="2"/>
      <c r="K16304" s="2"/>
      <c r="L16304" s="2"/>
    </row>
    <row r="16305" spans="8:12" x14ac:dyDescent="0.3">
      <c r="H16305" s="2"/>
      <c r="I16305" s="2"/>
      <c r="J16305" s="2"/>
      <c r="K16305" s="2"/>
      <c r="L16305" s="2"/>
    </row>
    <row r="16306" spans="8:12" x14ac:dyDescent="0.3">
      <c r="H16306" s="2"/>
      <c r="I16306" s="2"/>
      <c r="J16306" s="2"/>
      <c r="K16306" s="2"/>
      <c r="L16306" s="2"/>
    </row>
    <row r="16307" spans="8:12" x14ac:dyDescent="0.3">
      <c r="H16307" s="2"/>
      <c r="I16307" s="2"/>
      <c r="J16307" s="2"/>
      <c r="K16307" s="2"/>
      <c r="L16307" s="2"/>
    </row>
    <row r="16308" spans="8:12" x14ac:dyDescent="0.3">
      <c r="H16308" s="2"/>
      <c r="I16308" s="2"/>
      <c r="J16308" s="2"/>
      <c r="K16308" s="2"/>
      <c r="L16308" s="2"/>
    </row>
    <row r="16309" spans="8:12" x14ac:dyDescent="0.3">
      <c r="H16309" s="2"/>
      <c r="I16309" s="2"/>
      <c r="J16309" s="2"/>
      <c r="K16309" s="2"/>
      <c r="L16309" s="2"/>
    </row>
    <row r="16310" spans="8:12" x14ac:dyDescent="0.3">
      <c r="H16310" s="2"/>
      <c r="I16310" s="2"/>
      <c r="J16310" s="2"/>
      <c r="K16310" s="2"/>
      <c r="L16310" s="2"/>
    </row>
    <row r="16311" spans="8:12" x14ac:dyDescent="0.3">
      <c r="H16311" s="2"/>
      <c r="I16311" s="2"/>
      <c r="J16311" s="2"/>
      <c r="K16311" s="2"/>
      <c r="L16311" s="2"/>
    </row>
    <row r="16312" spans="8:12" x14ac:dyDescent="0.3">
      <c r="H16312" s="2"/>
      <c r="I16312" s="2"/>
      <c r="J16312" s="2"/>
      <c r="K16312" s="2"/>
      <c r="L16312" s="2"/>
    </row>
    <row r="16313" spans="8:12" x14ac:dyDescent="0.3">
      <c r="H16313" s="2"/>
      <c r="I16313" s="2"/>
      <c r="J16313" s="2"/>
      <c r="K16313" s="2"/>
      <c r="L16313" s="2"/>
    </row>
    <row r="16314" spans="8:12" x14ac:dyDescent="0.3">
      <c r="H16314" s="2"/>
      <c r="I16314" s="2"/>
      <c r="J16314" s="2"/>
      <c r="K16314" s="2"/>
      <c r="L16314" s="2"/>
    </row>
    <row r="16315" spans="8:12" x14ac:dyDescent="0.3">
      <c r="H16315" s="2"/>
      <c r="I16315" s="2"/>
      <c r="J16315" s="2"/>
      <c r="K16315" s="2"/>
      <c r="L16315" s="2"/>
    </row>
    <row r="16316" spans="8:12" x14ac:dyDescent="0.3">
      <c r="H16316" s="2"/>
      <c r="I16316" s="2"/>
      <c r="J16316" s="2"/>
      <c r="K16316" s="2"/>
      <c r="L16316" s="2"/>
    </row>
    <row r="16317" spans="8:12" x14ac:dyDescent="0.3">
      <c r="H16317" s="2"/>
      <c r="I16317" s="2"/>
      <c r="J16317" s="2"/>
      <c r="K16317" s="2"/>
      <c r="L16317" s="2"/>
    </row>
    <row r="16318" spans="8:12" x14ac:dyDescent="0.3">
      <c r="H16318" s="2"/>
      <c r="I16318" s="2"/>
      <c r="J16318" s="2"/>
      <c r="K16318" s="2"/>
      <c r="L16318" s="2"/>
    </row>
    <row r="16319" spans="8:12" x14ac:dyDescent="0.3">
      <c r="H16319" s="2"/>
      <c r="I16319" s="2"/>
      <c r="J16319" s="2"/>
      <c r="K16319" s="2"/>
      <c r="L16319" s="2"/>
    </row>
    <row r="16320" spans="8:12" x14ac:dyDescent="0.3">
      <c r="H16320" s="2"/>
      <c r="I16320" s="2"/>
      <c r="J16320" s="2"/>
      <c r="K16320" s="2"/>
      <c r="L16320" s="2"/>
    </row>
    <row r="16321" spans="8:12" x14ac:dyDescent="0.3">
      <c r="H16321" s="2"/>
      <c r="I16321" s="2"/>
      <c r="J16321" s="2"/>
      <c r="K16321" s="2"/>
      <c r="L16321" s="2"/>
    </row>
    <row r="16322" spans="8:12" x14ac:dyDescent="0.3">
      <c r="H16322" s="2"/>
      <c r="I16322" s="2"/>
      <c r="J16322" s="2"/>
      <c r="K16322" s="2"/>
      <c r="L16322" s="2"/>
    </row>
    <row r="16323" spans="8:12" x14ac:dyDescent="0.3">
      <c r="H16323" s="2"/>
      <c r="I16323" s="2"/>
      <c r="J16323" s="2"/>
      <c r="K16323" s="2"/>
      <c r="L16323" s="2"/>
    </row>
    <row r="16324" spans="8:12" x14ac:dyDescent="0.3">
      <c r="H16324" s="2"/>
      <c r="I16324" s="2"/>
      <c r="J16324" s="2"/>
      <c r="K16324" s="2"/>
      <c r="L16324" s="2"/>
    </row>
    <row r="16325" spans="8:12" x14ac:dyDescent="0.3">
      <c r="H16325" s="2"/>
      <c r="I16325" s="2"/>
      <c r="J16325" s="2"/>
      <c r="K16325" s="2"/>
      <c r="L16325" s="2"/>
    </row>
    <row r="16326" spans="8:12" x14ac:dyDescent="0.3">
      <c r="H16326" s="2"/>
      <c r="I16326" s="2"/>
      <c r="J16326" s="2"/>
      <c r="K16326" s="2"/>
      <c r="L16326" s="2"/>
    </row>
    <row r="16327" spans="8:12" x14ac:dyDescent="0.3">
      <c r="H16327" s="2"/>
      <c r="I16327" s="2"/>
      <c r="J16327" s="2"/>
      <c r="K16327" s="2"/>
      <c r="L16327" s="2"/>
    </row>
    <row r="16328" spans="8:12" x14ac:dyDescent="0.3">
      <c r="H16328" s="2"/>
      <c r="I16328" s="2"/>
      <c r="J16328" s="2"/>
      <c r="K16328" s="2"/>
      <c r="L16328" s="2"/>
    </row>
    <row r="16329" spans="8:12" x14ac:dyDescent="0.3">
      <c r="H16329" s="2"/>
      <c r="I16329" s="2"/>
      <c r="J16329" s="2"/>
      <c r="K16329" s="2"/>
      <c r="L16329" s="2"/>
    </row>
    <row r="16330" spans="8:12" x14ac:dyDescent="0.3">
      <c r="H16330" s="2"/>
      <c r="I16330" s="2"/>
      <c r="J16330" s="2"/>
      <c r="K16330" s="2"/>
      <c r="L16330" s="2"/>
    </row>
    <row r="16331" spans="8:12" x14ac:dyDescent="0.3">
      <c r="H16331" s="2"/>
      <c r="I16331" s="2"/>
      <c r="J16331" s="2"/>
      <c r="K16331" s="2"/>
      <c r="L16331" s="2"/>
    </row>
    <row r="16332" spans="8:12" x14ac:dyDescent="0.3">
      <c r="H16332" s="2"/>
      <c r="I16332" s="2"/>
      <c r="J16332" s="2"/>
      <c r="K16332" s="2"/>
      <c r="L16332" s="2"/>
    </row>
    <row r="16333" spans="8:12" x14ac:dyDescent="0.3">
      <c r="H16333" s="2"/>
      <c r="I16333" s="2"/>
      <c r="J16333" s="2"/>
      <c r="K16333" s="2"/>
      <c r="L16333" s="2"/>
    </row>
    <row r="16334" spans="8:12" x14ac:dyDescent="0.3">
      <c r="H16334" s="2"/>
      <c r="I16334" s="2"/>
      <c r="J16334" s="2"/>
      <c r="K16334" s="2"/>
      <c r="L16334" s="2"/>
    </row>
    <row r="16335" spans="8:12" x14ac:dyDescent="0.3">
      <c r="H16335" s="2"/>
      <c r="I16335" s="2"/>
      <c r="J16335" s="2"/>
      <c r="K16335" s="2"/>
      <c r="L16335" s="2"/>
    </row>
    <row r="16336" spans="8:12" x14ac:dyDescent="0.3">
      <c r="H16336" s="2"/>
      <c r="I16336" s="2"/>
      <c r="J16336" s="2"/>
      <c r="K16336" s="2"/>
      <c r="L16336" s="2"/>
    </row>
    <row r="16337" spans="8:12" x14ac:dyDescent="0.3">
      <c r="H16337" s="2"/>
      <c r="I16337" s="2"/>
      <c r="J16337" s="2"/>
      <c r="K16337" s="2"/>
      <c r="L16337" s="2"/>
    </row>
    <row r="16338" spans="8:12" x14ac:dyDescent="0.3">
      <c r="H16338" s="2"/>
      <c r="I16338" s="2"/>
      <c r="J16338" s="2"/>
      <c r="K16338" s="2"/>
      <c r="L16338" s="2"/>
    </row>
    <row r="16339" spans="8:12" x14ac:dyDescent="0.3">
      <c r="H16339" s="2"/>
      <c r="I16339" s="2"/>
      <c r="J16339" s="2"/>
      <c r="K16339" s="2"/>
      <c r="L16339" s="2"/>
    </row>
    <row r="16340" spans="8:12" x14ac:dyDescent="0.3">
      <c r="H16340" s="2"/>
      <c r="I16340" s="2"/>
      <c r="J16340" s="2"/>
      <c r="K16340" s="2"/>
      <c r="L16340" s="2"/>
    </row>
    <row r="16341" spans="8:12" x14ac:dyDescent="0.3">
      <c r="H16341" s="2"/>
      <c r="I16341" s="2"/>
      <c r="J16341" s="2"/>
      <c r="K16341" s="2"/>
      <c r="L16341" s="2"/>
    </row>
    <row r="16342" spans="8:12" x14ac:dyDescent="0.3">
      <c r="H16342" s="2"/>
      <c r="I16342" s="2"/>
      <c r="J16342" s="2"/>
      <c r="K16342" s="2"/>
      <c r="L16342" s="2"/>
    </row>
    <row r="16343" spans="8:12" x14ac:dyDescent="0.3">
      <c r="H16343" s="2"/>
      <c r="I16343" s="2"/>
      <c r="J16343" s="2"/>
      <c r="K16343" s="2"/>
      <c r="L16343" s="2"/>
    </row>
    <row r="16344" spans="8:12" x14ac:dyDescent="0.3">
      <c r="H16344" s="2"/>
      <c r="I16344" s="2"/>
      <c r="J16344" s="2"/>
      <c r="K16344" s="2"/>
      <c r="L16344" s="2"/>
    </row>
    <row r="16345" spans="8:12" x14ac:dyDescent="0.3">
      <c r="H16345" s="2"/>
      <c r="I16345" s="2"/>
      <c r="J16345" s="2"/>
      <c r="K16345" s="2"/>
      <c r="L16345" s="2"/>
    </row>
    <row r="16346" spans="8:12" x14ac:dyDescent="0.3">
      <c r="H16346" s="2"/>
      <c r="I16346" s="2"/>
      <c r="J16346" s="2"/>
      <c r="K16346" s="2"/>
      <c r="L16346" s="2"/>
    </row>
    <row r="16347" spans="8:12" x14ac:dyDescent="0.3">
      <c r="H16347" s="2"/>
      <c r="I16347" s="2"/>
      <c r="J16347" s="2"/>
      <c r="K16347" s="2"/>
      <c r="L16347" s="2"/>
    </row>
    <row r="16348" spans="8:12" x14ac:dyDescent="0.3">
      <c r="H16348" s="2"/>
      <c r="I16348" s="2"/>
      <c r="J16348" s="2"/>
      <c r="K16348" s="2"/>
      <c r="L16348" s="2"/>
    </row>
    <row r="16349" spans="8:12" x14ac:dyDescent="0.3">
      <c r="H16349" s="2"/>
      <c r="I16349" s="2"/>
      <c r="J16349" s="2"/>
      <c r="K16349" s="2"/>
      <c r="L16349" s="2"/>
    </row>
    <row r="16350" spans="8:12" x14ac:dyDescent="0.3">
      <c r="H16350" s="2"/>
      <c r="I16350" s="2"/>
      <c r="J16350" s="2"/>
      <c r="K16350" s="2"/>
      <c r="L16350" s="2"/>
    </row>
    <row r="16351" spans="8:12" x14ac:dyDescent="0.3">
      <c r="H16351" s="2"/>
      <c r="I16351" s="2"/>
      <c r="J16351" s="2"/>
      <c r="K16351" s="2"/>
      <c r="L16351" s="2"/>
    </row>
    <row r="16352" spans="8:12" x14ac:dyDescent="0.3">
      <c r="H16352" s="2"/>
      <c r="I16352" s="2"/>
      <c r="J16352" s="2"/>
      <c r="K16352" s="2"/>
      <c r="L16352" s="2"/>
    </row>
    <row r="16353" spans="8:12" x14ac:dyDescent="0.3">
      <c r="H16353" s="2"/>
      <c r="I16353" s="2"/>
      <c r="J16353" s="2"/>
      <c r="K16353" s="2"/>
      <c r="L16353" s="2"/>
    </row>
    <row r="16354" spans="8:12" x14ac:dyDescent="0.3">
      <c r="H16354" s="2"/>
      <c r="I16354" s="2"/>
      <c r="J16354" s="2"/>
      <c r="K16354" s="2"/>
      <c r="L16354" s="2"/>
    </row>
    <row r="16355" spans="8:12" x14ac:dyDescent="0.3">
      <c r="H16355" s="2"/>
      <c r="I16355" s="2"/>
      <c r="J16355" s="2"/>
      <c r="K16355" s="2"/>
      <c r="L16355" s="2"/>
    </row>
    <row r="16356" spans="8:12" x14ac:dyDescent="0.3">
      <c r="H16356" s="2"/>
      <c r="I16356" s="2"/>
      <c r="J16356" s="2"/>
      <c r="K16356" s="2"/>
      <c r="L16356" s="2"/>
    </row>
    <row r="16357" spans="8:12" x14ac:dyDescent="0.3">
      <c r="H16357" s="2"/>
      <c r="I16357" s="2"/>
      <c r="J16357" s="2"/>
      <c r="K16357" s="2"/>
      <c r="L16357" s="2"/>
    </row>
    <row r="16358" spans="8:12" x14ac:dyDescent="0.3">
      <c r="H16358" s="2"/>
      <c r="I16358" s="2"/>
      <c r="J16358" s="2"/>
      <c r="K16358" s="2"/>
      <c r="L16358" s="2"/>
    </row>
    <row r="16359" spans="8:12" x14ac:dyDescent="0.3">
      <c r="H16359" s="2"/>
      <c r="I16359" s="2"/>
      <c r="J16359" s="2"/>
      <c r="K16359" s="2"/>
      <c r="L16359" s="2"/>
    </row>
    <row r="16360" spans="8:12" x14ac:dyDescent="0.3">
      <c r="H16360" s="2"/>
      <c r="I16360" s="2"/>
      <c r="J16360" s="2"/>
      <c r="K16360" s="2"/>
      <c r="L16360" s="2"/>
    </row>
    <row r="16361" spans="8:12" x14ac:dyDescent="0.3">
      <c r="H16361" s="2"/>
      <c r="I16361" s="2"/>
      <c r="J16361" s="2"/>
      <c r="K16361" s="2"/>
      <c r="L16361" s="2"/>
    </row>
    <row r="16362" spans="8:12" x14ac:dyDescent="0.3">
      <c r="H16362" s="2"/>
      <c r="I16362" s="2"/>
      <c r="J16362" s="2"/>
      <c r="K16362" s="2"/>
      <c r="L16362" s="2"/>
    </row>
    <row r="16363" spans="8:12" x14ac:dyDescent="0.3">
      <c r="H16363" s="2"/>
      <c r="I16363" s="2"/>
      <c r="J16363" s="2"/>
      <c r="K16363" s="2"/>
      <c r="L16363" s="2"/>
    </row>
    <row r="16364" spans="8:12" x14ac:dyDescent="0.3">
      <c r="H16364" s="2"/>
      <c r="I16364" s="2"/>
      <c r="J16364" s="2"/>
      <c r="K16364" s="2"/>
      <c r="L16364" s="2"/>
    </row>
    <row r="16365" spans="8:12" x14ac:dyDescent="0.3">
      <c r="H16365" s="2"/>
      <c r="I16365" s="2"/>
      <c r="J16365" s="2"/>
      <c r="K16365" s="2"/>
      <c r="L16365" s="2"/>
    </row>
    <row r="16366" spans="8:12" x14ac:dyDescent="0.3">
      <c r="H16366" s="2"/>
      <c r="I16366" s="2"/>
      <c r="J16366" s="2"/>
      <c r="K16366" s="2"/>
      <c r="L16366" s="2"/>
    </row>
    <row r="16367" spans="8:12" x14ac:dyDescent="0.3">
      <c r="H16367" s="2"/>
      <c r="I16367" s="2"/>
      <c r="J16367" s="2"/>
      <c r="K16367" s="2"/>
      <c r="L16367" s="2"/>
    </row>
    <row r="16368" spans="8:12" x14ac:dyDescent="0.3">
      <c r="H16368" s="2"/>
      <c r="I16368" s="2"/>
      <c r="J16368" s="2"/>
      <c r="K16368" s="2"/>
      <c r="L16368" s="2"/>
    </row>
    <row r="16369" spans="8:12" x14ac:dyDescent="0.3">
      <c r="H16369" s="2"/>
      <c r="I16369" s="2"/>
      <c r="J16369" s="2"/>
      <c r="K16369" s="2"/>
      <c r="L16369" s="2"/>
    </row>
    <row r="16370" spans="8:12" x14ac:dyDescent="0.3">
      <c r="H16370" s="2"/>
      <c r="I16370" s="2"/>
      <c r="J16370" s="2"/>
      <c r="K16370" s="2"/>
      <c r="L16370" s="2"/>
    </row>
    <row r="16371" spans="8:12" x14ac:dyDescent="0.3">
      <c r="H16371" s="2"/>
      <c r="I16371" s="2"/>
      <c r="J16371" s="2"/>
      <c r="K16371" s="2"/>
      <c r="L16371" s="2"/>
    </row>
    <row r="16372" spans="8:12" x14ac:dyDescent="0.3">
      <c r="H16372" s="2"/>
      <c r="I16372" s="2"/>
      <c r="J16372" s="2"/>
      <c r="K16372" s="2"/>
      <c r="L16372" s="2"/>
    </row>
    <row r="16373" spans="8:12" x14ac:dyDescent="0.3">
      <c r="H16373" s="2"/>
      <c r="I16373" s="2"/>
      <c r="J16373" s="2"/>
      <c r="K16373" s="2"/>
      <c r="L16373" s="2"/>
    </row>
    <row r="16374" spans="8:12" x14ac:dyDescent="0.3">
      <c r="H16374" s="2"/>
      <c r="I16374" s="2"/>
      <c r="J16374" s="2"/>
      <c r="K16374" s="2"/>
      <c r="L16374" s="2"/>
    </row>
    <row r="16375" spans="8:12" x14ac:dyDescent="0.3">
      <c r="H16375" s="2"/>
      <c r="I16375" s="2"/>
      <c r="J16375" s="2"/>
      <c r="K16375" s="2"/>
      <c r="L16375" s="2"/>
    </row>
    <row r="16376" spans="8:12" x14ac:dyDescent="0.3">
      <c r="H16376" s="2"/>
      <c r="I16376" s="2"/>
      <c r="J16376" s="2"/>
      <c r="K16376" s="2"/>
      <c r="L16376" s="2"/>
    </row>
    <row r="16377" spans="8:12" x14ac:dyDescent="0.3">
      <c r="H16377" s="2"/>
      <c r="I16377" s="2"/>
      <c r="J16377" s="2"/>
      <c r="K16377" s="2"/>
      <c r="L16377" s="2"/>
    </row>
    <row r="16378" spans="8:12" x14ac:dyDescent="0.3">
      <c r="H16378" s="2"/>
      <c r="I16378" s="2"/>
      <c r="J16378" s="2"/>
      <c r="K16378" s="2"/>
      <c r="L16378" s="2"/>
    </row>
    <row r="16379" spans="8:12" x14ac:dyDescent="0.3">
      <c r="H16379" s="2"/>
      <c r="I16379" s="2"/>
      <c r="J16379" s="2"/>
      <c r="K16379" s="2"/>
      <c r="L16379" s="2"/>
    </row>
    <row r="16380" spans="8:12" x14ac:dyDescent="0.3">
      <c r="H16380" s="2"/>
      <c r="I16380" s="2"/>
      <c r="J16380" s="2"/>
      <c r="K16380" s="2"/>
      <c r="L16380" s="2"/>
    </row>
    <row r="16381" spans="8:12" x14ac:dyDescent="0.3">
      <c r="H16381" s="2"/>
      <c r="I16381" s="2"/>
      <c r="J16381" s="2"/>
      <c r="K16381" s="2"/>
      <c r="L16381" s="2"/>
    </row>
    <row r="16382" spans="8:12" x14ac:dyDescent="0.3">
      <c r="H16382" s="2"/>
      <c r="I16382" s="2"/>
      <c r="J16382" s="2"/>
      <c r="K16382" s="2"/>
      <c r="L16382" s="2"/>
    </row>
    <row r="16383" spans="8:12" x14ac:dyDescent="0.3">
      <c r="H16383" s="2"/>
      <c r="I16383" s="2"/>
      <c r="J16383" s="2"/>
      <c r="K16383" s="2"/>
      <c r="L16383" s="2"/>
    </row>
    <row r="16384" spans="8:12" x14ac:dyDescent="0.3">
      <c r="H16384" s="2"/>
      <c r="I16384" s="2"/>
      <c r="J16384" s="2"/>
      <c r="K16384" s="2"/>
      <c r="L16384" s="2"/>
    </row>
    <row r="16385" spans="8:12" x14ac:dyDescent="0.3">
      <c r="H16385" s="2"/>
      <c r="I16385" s="2"/>
      <c r="J16385" s="2"/>
      <c r="K16385" s="2"/>
      <c r="L16385" s="2"/>
    </row>
    <row r="16386" spans="8:12" x14ac:dyDescent="0.3">
      <c r="H16386" s="2"/>
      <c r="I16386" s="2"/>
      <c r="J16386" s="2"/>
      <c r="K16386" s="2"/>
      <c r="L16386" s="2"/>
    </row>
    <row r="16387" spans="8:12" x14ac:dyDescent="0.3">
      <c r="H16387" s="2"/>
      <c r="I16387" s="2"/>
      <c r="J16387" s="2"/>
      <c r="K16387" s="2"/>
      <c r="L16387" s="2"/>
    </row>
    <row r="16388" spans="8:12" x14ac:dyDescent="0.3">
      <c r="H16388" s="2"/>
      <c r="I16388" s="2"/>
      <c r="J16388" s="2"/>
      <c r="K16388" s="2"/>
      <c r="L16388" s="2"/>
    </row>
    <row r="16389" spans="8:12" x14ac:dyDescent="0.3">
      <c r="H16389" s="2"/>
      <c r="I16389" s="2"/>
      <c r="J16389" s="2"/>
      <c r="K16389" s="2"/>
      <c r="L16389" s="2"/>
    </row>
    <row r="16390" spans="8:12" x14ac:dyDescent="0.3">
      <c r="H16390" s="2"/>
      <c r="I16390" s="2"/>
      <c r="J16390" s="2"/>
      <c r="K16390" s="2"/>
      <c r="L16390" s="2"/>
    </row>
    <row r="16391" spans="8:12" x14ac:dyDescent="0.3">
      <c r="H16391" s="2"/>
      <c r="I16391" s="2"/>
      <c r="J16391" s="2"/>
      <c r="K16391" s="2"/>
      <c r="L16391" s="2"/>
    </row>
    <row r="16392" spans="8:12" x14ac:dyDescent="0.3">
      <c r="H16392" s="2"/>
      <c r="I16392" s="2"/>
      <c r="J16392" s="2"/>
      <c r="K16392" s="2"/>
      <c r="L16392" s="2"/>
    </row>
    <row r="16393" spans="8:12" x14ac:dyDescent="0.3">
      <c r="H16393" s="2"/>
      <c r="I16393" s="2"/>
      <c r="J16393" s="2"/>
      <c r="K16393" s="2"/>
      <c r="L16393" s="2"/>
    </row>
    <row r="16394" spans="8:12" x14ac:dyDescent="0.3">
      <c r="H16394" s="2"/>
      <c r="I16394" s="2"/>
      <c r="J16394" s="2"/>
      <c r="K16394" s="2"/>
      <c r="L16394" s="2"/>
    </row>
    <row r="16395" spans="8:12" x14ac:dyDescent="0.3">
      <c r="H16395" s="2"/>
      <c r="I16395" s="2"/>
      <c r="J16395" s="2"/>
      <c r="K16395" s="2"/>
      <c r="L16395" s="2"/>
    </row>
    <row r="16396" spans="8:12" x14ac:dyDescent="0.3">
      <c r="H16396" s="2"/>
      <c r="I16396" s="2"/>
      <c r="J16396" s="2"/>
      <c r="K16396" s="2"/>
      <c r="L16396" s="2"/>
    </row>
    <row r="16397" spans="8:12" x14ac:dyDescent="0.3">
      <c r="H16397" s="2"/>
      <c r="I16397" s="2"/>
      <c r="J16397" s="2"/>
      <c r="K16397" s="2"/>
      <c r="L16397" s="2"/>
    </row>
    <row r="16398" spans="8:12" x14ac:dyDescent="0.3">
      <c r="H16398" s="2"/>
      <c r="I16398" s="2"/>
      <c r="J16398" s="2"/>
      <c r="K16398" s="2"/>
      <c r="L16398" s="2"/>
    </row>
    <row r="16399" spans="8:12" x14ac:dyDescent="0.3">
      <c r="H16399" s="2"/>
      <c r="I16399" s="2"/>
      <c r="J16399" s="2"/>
      <c r="K16399" s="2"/>
      <c r="L16399" s="2"/>
    </row>
    <row r="16400" spans="8:12" x14ac:dyDescent="0.3">
      <c r="H16400" s="2"/>
      <c r="I16400" s="2"/>
      <c r="J16400" s="2"/>
      <c r="K16400" s="2"/>
      <c r="L16400" s="2"/>
    </row>
    <row r="16401" spans="8:12" x14ac:dyDescent="0.3">
      <c r="H16401" s="2"/>
      <c r="I16401" s="2"/>
      <c r="J16401" s="2"/>
      <c r="K16401" s="2"/>
      <c r="L16401" s="2"/>
    </row>
    <row r="16402" spans="8:12" x14ac:dyDescent="0.3">
      <c r="H16402" s="2"/>
      <c r="I16402" s="2"/>
      <c r="J16402" s="2"/>
      <c r="K16402" s="2"/>
      <c r="L16402" s="2"/>
    </row>
    <row r="16403" spans="8:12" x14ac:dyDescent="0.3">
      <c r="H16403" s="2"/>
      <c r="I16403" s="2"/>
      <c r="J16403" s="2"/>
      <c r="K16403" s="2"/>
      <c r="L16403" s="2"/>
    </row>
    <row r="16404" spans="8:12" x14ac:dyDescent="0.3">
      <c r="H16404" s="2"/>
      <c r="I16404" s="2"/>
      <c r="J16404" s="2"/>
      <c r="K16404" s="2"/>
      <c r="L16404" s="2"/>
    </row>
    <row r="16405" spans="8:12" x14ac:dyDescent="0.3">
      <c r="H16405" s="2"/>
      <c r="I16405" s="2"/>
      <c r="J16405" s="2"/>
      <c r="K16405" s="2"/>
      <c r="L16405" s="2"/>
    </row>
    <row r="16406" spans="8:12" x14ac:dyDescent="0.3">
      <c r="H16406" s="2"/>
      <c r="I16406" s="2"/>
      <c r="J16406" s="2"/>
      <c r="K16406" s="2"/>
      <c r="L16406" s="2"/>
    </row>
    <row r="16407" spans="8:12" x14ac:dyDescent="0.3">
      <c r="H16407" s="2"/>
      <c r="I16407" s="2"/>
      <c r="J16407" s="2"/>
      <c r="K16407" s="2"/>
      <c r="L16407" s="2"/>
    </row>
    <row r="16408" spans="8:12" x14ac:dyDescent="0.3">
      <c r="H16408" s="2"/>
      <c r="I16408" s="2"/>
      <c r="J16408" s="2"/>
      <c r="K16408" s="2"/>
      <c r="L16408" s="2"/>
    </row>
    <row r="16409" spans="8:12" x14ac:dyDescent="0.3">
      <c r="H16409" s="2"/>
      <c r="I16409" s="2"/>
      <c r="J16409" s="2"/>
      <c r="K16409" s="2"/>
      <c r="L16409" s="2"/>
    </row>
    <row r="16410" spans="8:12" x14ac:dyDescent="0.3">
      <c r="H16410" s="2"/>
      <c r="I16410" s="2"/>
      <c r="J16410" s="2"/>
      <c r="K16410" s="2"/>
      <c r="L16410" s="2"/>
    </row>
    <row r="16411" spans="8:12" x14ac:dyDescent="0.3">
      <c r="H16411" s="2"/>
      <c r="I16411" s="2"/>
      <c r="J16411" s="2"/>
      <c r="K16411" s="2"/>
      <c r="L16411" s="2"/>
    </row>
    <row r="16412" spans="8:12" x14ac:dyDescent="0.3">
      <c r="H16412" s="2"/>
      <c r="I16412" s="2"/>
      <c r="J16412" s="2"/>
      <c r="K16412" s="2"/>
      <c r="L16412" s="2"/>
    </row>
    <row r="16413" spans="8:12" x14ac:dyDescent="0.3">
      <c r="H16413" s="2"/>
      <c r="I16413" s="2"/>
      <c r="J16413" s="2"/>
      <c r="K16413" s="2"/>
      <c r="L16413" s="2"/>
    </row>
    <row r="16414" spans="8:12" x14ac:dyDescent="0.3">
      <c r="H16414" s="2"/>
      <c r="I16414" s="2"/>
      <c r="J16414" s="2"/>
      <c r="K16414" s="2"/>
      <c r="L16414" s="2"/>
    </row>
    <row r="16415" spans="8:12" x14ac:dyDescent="0.3">
      <c r="H16415" s="2"/>
      <c r="I16415" s="2"/>
      <c r="J16415" s="2"/>
      <c r="K16415" s="2"/>
      <c r="L16415" s="2"/>
    </row>
    <row r="16416" spans="8:12" x14ac:dyDescent="0.3">
      <c r="H16416" s="2"/>
      <c r="I16416" s="2"/>
      <c r="J16416" s="2"/>
      <c r="K16416" s="2"/>
      <c r="L16416" s="2"/>
    </row>
    <row r="16417" spans="8:12" x14ac:dyDescent="0.3">
      <c r="H16417" s="2"/>
      <c r="I16417" s="2"/>
      <c r="J16417" s="2"/>
      <c r="K16417" s="2"/>
      <c r="L16417" s="2"/>
    </row>
    <row r="16418" spans="8:12" x14ac:dyDescent="0.3">
      <c r="H16418" s="2"/>
      <c r="I16418" s="2"/>
      <c r="J16418" s="2"/>
      <c r="K16418" s="2"/>
      <c r="L16418" s="2"/>
    </row>
    <row r="16419" spans="8:12" x14ac:dyDescent="0.3">
      <c r="H16419" s="2"/>
      <c r="I16419" s="2"/>
      <c r="J16419" s="2"/>
      <c r="K16419" s="2"/>
      <c r="L16419" s="2"/>
    </row>
    <row r="16420" spans="8:12" x14ac:dyDescent="0.3">
      <c r="H16420" s="2"/>
      <c r="I16420" s="2"/>
      <c r="J16420" s="2"/>
      <c r="K16420" s="2"/>
      <c r="L16420" s="2"/>
    </row>
    <row r="16421" spans="8:12" x14ac:dyDescent="0.3">
      <c r="H16421" s="2"/>
      <c r="I16421" s="2"/>
      <c r="J16421" s="2"/>
      <c r="K16421" s="2"/>
      <c r="L16421" s="2"/>
    </row>
    <row r="16422" spans="8:12" x14ac:dyDescent="0.3">
      <c r="H16422" s="2"/>
      <c r="I16422" s="2"/>
      <c r="J16422" s="2"/>
      <c r="K16422" s="2"/>
      <c r="L16422" s="2"/>
    </row>
    <row r="16423" spans="8:12" x14ac:dyDescent="0.3">
      <c r="H16423" s="2"/>
      <c r="I16423" s="2"/>
      <c r="J16423" s="2"/>
      <c r="K16423" s="2"/>
      <c r="L16423" s="2"/>
    </row>
    <row r="16424" spans="8:12" x14ac:dyDescent="0.3">
      <c r="H16424" s="2"/>
      <c r="I16424" s="2"/>
      <c r="J16424" s="2"/>
      <c r="K16424" s="2"/>
      <c r="L16424" s="2"/>
    </row>
    <row r="16425" spans="8:12" x14ac:dyDescent="0.3">
      <c r="H16425" s="2"/>
      <c r="I16425" s="2"/>
      <c r="J16425" s="2"/>
      <c r="K16425" s="2"/>
      <c r="L16425" s="2"/>
    </row>
    <row r="16426" spans="8:12" x14ac:dyDescent="0.3">
      <c r="H16426" s="2"/>
      <c r="I16426" s="2"/>
      <c r="J16426" s="2"/>
      <c r="K16426" s="2"/>
      <c r="L16426" s="2"/>
    </row>
    <row r="16427" spans="8:12" x14ac:dyDescent="0.3">
      <c r="H16427" s="2"/>
      <c r="I16427" s="2"/>
      <c r="J16427" s="2"/>
      <c r="K16427" s="2"/>
      <c r="L16427" s="2"/>
    </row>
    <row r="16428" spans="8:12" x14ac:dyDescent="0.3">
      <c r="H16428" s="2"/>
      <c r="I16428" s="2"/>
      <c r="J16428" s="2"/>
      <c r="K16428" s="2"/>
      <c r="L16428" s="2"/>
    </row>
    <row r="16429" spans="8:12" x14ac:dyDescent="0.3">
      <c r="H16429" s="2"/>
      <c r="I16429" s="2"/>
      <c r="J16429" s="2"/>
      <c r="K16429" s="2"/>
      <c r="L16429" s="2"/>
    </row>
    <row r="16430" spans="8:12" x14ac:dyDescent="0.3">
      <c r="H16430" s="2"/>
      <c r="I16430" s="2"/>
      <c r="J16430" s="2"/>
      <c r="K16430" s="2"/>
      <c r="L16430" s="2"/>
    </row>
    <row r="16431" spans="8:12" x14ac:dyDescent="0.3">
      <c r="H16431" s="2"/>
      <c r="I16431" s="2"/>
      <c r="J16431" s="2"/>
      <c r="K16431" s="2"/>
      <c r="L16431" s="2"/>
    </row>
    <row r="16432" spans="8:12" x14ac:dyDescent="0.3">
      <c r="H16432" s="2"/>
      <c r="I16432" s="2"/>
      <c r="J16432" s="2"/>
      <c r="K16432" s="2"/>
      <c r="L16432" s="2"/>
    </row>
    <row r="16433" spans="8:12" x14ac:dyDescent="0.3">
      <c r="H16433" s="2"/>
      <c r="I16433" s="2"/>
      <c r="J16433" s="2"/>
      <c r="K16433" s="2"/>
      <c r="L16433" s="2"/>
    </row>
    <row r="16434" spans="8:12" x14ac:dyDescent="0.3">
      <c r="H16434" s="2"/>
      <c r="I16434" s="2"/>
      <c r="J16434" s="2"/>
      <c r="K16434" s="2"/>
      <c r="L16434" s="2"/>
    </row>
    <row r="16435" spans="8:12" x14ac:dyDescent="0.3">
      <c r="H16435" s="2"/>
      <c r="I16435" s="2"/>
      <c r="J16435" s="2"/>
      <c r="K16435" s="2"/>
      <c r="L16435" s="2"/>
    </row>
    <row r="16436" spans="8:12" x14ac:dyDescent="0.3">
      <c r="H16436" s="2"/>
      <c r="I16436" s="2"/>
      <c r="J16436" s="2"/>
      <c r="K16436" s="2"/>
      <c r="L16436" s="2"/>
    </row>
    <row r="16437" spans="8:12" x14ac:dyDescent="0.3">
      <c r="H16437" s="2"/>
      <c r="I16437" s="2"/>
      <c r="J16437" s="2"/>
      <c r="K16437" s="2"/>
      <c r="L16437" s="2"/>
    </row>
    <row r="16438" spans="8:12" x14ac:dyDescent="0.3">
      <c r="H16438" s="2"/>
      <c r="I16438" s="2"/>
      <c r="J16438" s="2"/>
      <c r="K16438" s="2"/>
      <c r="L16438" s="2"/>
    </row>
    <row r="16439" spans="8:12" x14ac:dyDescent="0.3">
      <c r="H16439" s="2"/>
      <c r="I16439" s="2"/>
      <c r="J16439" s="2"/>
      <c r="K16439" s="2"/>
      <c r="L16439" s="2"/>
    </row>
    <row r="16440" spans="8:12" x14ac:dyDescent="0.3">
      <c r="H16440" s="2"/>
      <c r="I16440" s="2"/>
      <c r="J16440" s="2"/>
      <c r="K16440" s="2"/>
      <c r="L16440" s="2"/>
    </row>
    <row r="16441" spans="8:12" x14ac:dyDescent="0.3">
      <c r="H16441" s="2"/>
      <c r="I16441" s="2"/>
      <c r="J16441" s="2"/>
      <c r="K16441" s="2"/>
      <c r="L16441" s="2"/>
    </row>
    <row r="16442" spans="8:12" x14ac:dyDescent="0.3">
      <c r="H16442" s="2"/>
      <c r="I16442" s="2"/>
      <c r="J16442" s="2"/>
      <c r="K16442" s="2"/>
      <c r="L16442" s="2"/>
    </row>
    <row r="16443" spans="8:12" x14ac:dyDescent="0.3">
      <c r="H16443" s="2"/>
      <c r="I16443" s="2"/>
      <c r="J16443" s="2"/>
      <c r="K16443" s="2"/>
      <c r="L16443" s="2"/>
    </row>
    <row r="16444" spans="8:12" x14ac:dyDescent="0.3">
      <c r="H16444" s="2"/>
      <c r="I16444" s="2"/>
      <c r="J16444" s="2"/>
      <c r="K16444" s="2"/>
      <c r="L16444" s="2"/>
    </row>
    <row r="16445" spans="8:12" x14ac:dyDescent="0.3">
      <c r="H16445" s="2"/>
      <c r="I16445" s="2"/>
      <c r="J16445" s="2"/>
      <c r="K16445" s="2"/>
      <c r="L16445" s="2"/>
    </row>
    <row r="16446" spans="8:12" x14ac:dyDescent="0.3">
      <c r="H16446" s="2"/>
      <c r="I16446" s="2"/>
      <c r="J16446" s="2"/>
      <c r="K16446" s="2"/>
      <c r="L16446" s="2"/>
    </row>
    <row r="16447" spans="8:12" x14ac:dyDescent="0.3">
      <c r="H16447" s="2"/>
      <c r="I16447" s="2"/>
      <c r="J16447" s="2"/>
      <c r="K16447" s="2"/>
      <c r="L16447" s="2"/>
    </row>
    <row r="16448" spans="8:12" x14ac:dyDescent="0.3">
      <c r="H16448" s="2"/>
      <c r="I16448" s="2"/>
      <c r="J16448" s="2"/>
      <c r="K16448" s="2"/>
      <c r="L16448" s="2"/>
    </row>
    <row r="16449" spans="8:12" x14ac:dyDescent="0.3">
      <c r="H16449" s="2"/>
      <c r="I16449" s="2"/>
      <c r="J16449" s="2"/>
      <c r="K16449" s="2"/>
      <c r="L16449" s="2"/>
    </row>
    <row r="16450" spans="8:12" x14ac:dyDescent="0.3">
      <c r="H16450" s="2"/>
      <c r="I16450" s="2"/>
      <c r="J16450" s="2"/>
      <c r="K16450" s="2"/>
      <c r="L16450" s="2"/>
    </row>
    <row r="16451" spans="8:12" x14ac:dyDescent="0.3">
      <c r="H16451" s="2"/>
      <c r="I16451" s="2"/>
      <c r="J16451" s="2"/>
      <c r="K16451" s="2"/>
      <c r="L16451" s="2"/>
    </row>
    <row r="16452" spans="8:12" x14ac:dyDescent="0.3">
      <c r="H16452" s="2"/>
      <c r="I16452" s="2"/>
      <c r="J16452" s="2"/>
      <c r="K16452" s="2"/>
      <c r="L16452" s="2"/>
    </row>
    <row r="16453" spans="8:12" x14ac:dyDescent="0.3">
      <c r="H16453" s="2"/>
      <c r="I16453" s="2"/>
      <c r="J16453" s="2"/>
      <c r="K16453" s="2"/>
      <c r="L16453" s="2"/>
    </row>
    <row r="16454" spans="8:12" x14ac:dyDescent="0.3">
      <c r="H16454" s="2"/>
      <c r="I16454" s="2"/>
      <c r="J16454" s="2"/>
      <c r="K16454" s="2"/>
      <c r="L16454" s="2"/>
    </row>
    <row r="16455" spans="8:12" x14ac:dyDescent="0.3">
      <c r="H16455" s="2"/>
      <c r="I16455" s="2"/>
      <c r="J16455" s="2"/>
      <c r="K16455" s="2"/>
      <c r="L16455" s="2"/>
    </row>
    <row r="16456" spans="8:12" x14ac:dyDescent="0.3">
      <c r="H16456" s="2"/>
      <c r="I16456" s="2"/>
      <c r="J16456" s="2"/>
      <c r="K16456" s="2"/>
      <c r="L16456" s="2"/>
    </row>
    <row r="16457" spans="8:12" x14ac:dyDescent="0.3">
      <c r="H16457" s="2"/>
      <c r="I16457" s="2"/>
      <c r="J16457" s="2"/>
      <c r="K16457" s="2"/>
      <c r="L16457" s="2"/>
    </row>
    <row r="16458" spans="8:12" x14ac:dyDescent="0.3">
      <c r="H16458" s="2"/>
      <c r="I16458" s="2"/>
      <c r="J16458" s="2"/>
      <c r="K16458" s="2"/>
      <c r="L16458" s="2"/>
    </row>
    <row r="16459" spans="8:12" x14ac:dyDescent="0.3">
      <c r="H16459" s="2"/>
      <c r="I16459" s="2"/>
      <c r="J16459" s="2"/>
      <c r="K16459" s="2"/>
      <c r="L16459" s="2"/>
    </row>
    <row r="16460" spans="8:12" x14ac:dyDescent="0.3">
      <c r="H16460" s="2"/>
      <c r="I16460" s="2"/>
      <c r="J16460" s="2"/>
      <c r="K16460" s="2"/>
      <c r="L16460" s="2"/>
    </row>
    <row r="16461" spans="8:12" x14ac:dyDescent="0.3">
      <c r="H16461" s="2"/>
      <c r="I16461" s="2"/>
      <c r="J16461" s="2"/>
      <c r="K16461" s="2"/>
      <c r="L16461" s="2"/>
    </row>
    <row r="16462" spans="8:12" x14ac:dyDescent="0.3">
      <c r="H16462" s="2"/>
      <c r="I16462" s="2"/>
      <c r="J16462" s="2"/>
      <c r="K16462" s="2"/>
      <c r="L16462" s="2"/>
    </row>
    <row r="16463" spans="8:12" x14ac:dyDescent="0.3">
      <c r="H16463" s="2"/>
      <c r="I16463" s="2"/>
      <c r="J16463" s="2"/>
      <c r="K16463" s="2"/>
      <c r="L16463" s="2"/>
    </row>
    <row r="16464" spans="8:12" x14ac:dyDescent="0.3">
      <c r="H16464" s="2"/>
      <c r="I16464" s="2"/>
      <c r="J16464" s="2"/>
      <c r="K16464" s="2"/>
      <c r="L16464" s="2"/>
    </row>
    <row r="16465" spans="8:12" x14ac:dyDescent="0.3">
      <c r="H16465" s="2"/>
      <c r="I16465" s="2"/>
      <c r="J16465" s="2"/>
      <c r="K16465" s="2"/>
      <c r="L16465" s="2"/>
    </row>
    <row r="16466" spans="8:12" x14ac:dyDescent="0.3">
      <c r="H16466" s="2"/>
      <c r="I16466" s="2"/>
      <c r="J16466" s="2"/>
      <c r="K16466" s="2"/>
      <c r="L16466" s="2"/>
    </row>
    <row r="16467" spans="8:12" x14ac:dyDescent="0.3">
      <c r="H16467" s="2"/>
      <c r="I16467" s="2"/>
      <c r="J16467" s="2"/>
      <c r="K16467" s="2"/>
      <c r="L16467" s="2"/>
    </row>
    <row r="16468" spans="8:12" x14ac:dyDescent="0.3">
      <c r="H16468" s="2"/>
      <c r="I16468" s="2"/>
      <c r="J16468" s="2"/>
      <c r="K16468" s="2"/>
      <c r="L16468" s="2"/>
    </row>
    <row r="16469" spans="8:12" x14ac:dyDescent="0.3">
      <c r="H16469" s="2"/>
      <c r="I16469" s="2"/>
      <c r="J16469" s="2"/>
      <c r="K16469" s="2"/>
      <c r="L16469" s="2"/>
    </row>
    <row r="16470" spans="8:12" x14ac:dyDescent="0.3">
      <c r="H16470" s="2"/>
      <c r="I16470" s="2"/>
      <c r="J16470" s="2"/>
      <c r="K16470" s="2"/>
      <c r="L16470" s="2"/>
    </row>
    <row r="16471" spans="8:12" x14ac:dyDescent="0.3">
      <c r="H16471" s="2"/>
      <c r="I16471" s="2"/>
      <c r="J16471" s="2"/>
      <c r="K16471" s="2"/>
      <c r="L16471" s="2"/>
    </row>
    <row r="16472" spans="8:12" x14ac:dyDescent="0.3">
      <c r="H16472" s="2"/>
      <c r="I16472" s="2"/>
      <c r="J16472" s="2"/>
      <c r="K16472" s="2"/>
      <c r="L16472" s="2"/>
    </row>
    <row r="16473" spans="8:12" x14ac:dyDescent="0.3">
      <c r="H16473" s="2"/>
      <c r="I16473" s="2"/>
      <c r="J16473" s="2"/>
      <c r="K16473" s="2"/>
      <c r="L16473" s="2"/>
    </row>
    <row r="16474" spans="8:12" x14ac:dyDescent="0.3">
      <c r="H16474" s="2"/>
      <c r="I16474" s="2"/>
      <c r="J16474" s="2"/>
      <c r="K16474" s="2"/>
      <c r="L16474" s="2"/>
    </row>
    <row r="16475" spans="8:12" x14ac:dyDescent="0.3">
      <c r="H16475" s="2"/>
      <c r="I16475" s="2"/>
      <c r="J16475" s="2"/>
      <c r="K16475" s="2"/>
      <c r="L16475" s="2"/>
    </row>
    <row r="16476" spans="8:12" x14ac:dyDescent="0.3">
      <c r="H16476" s="2"/>
      <c r="I16476" s="2"/>
      <c r="J16476" s="2"/>
      <c r="K16476" s="2"/>
      <c r="L16476" s="2"/>
    </row>
    <row r="16477" spans="8:12" x14ac:dyDescent="0.3">
      <c r="H16477" s="2"/>
      <c r="I16477" s="2"/>
      <c r="J16477" s="2"/>
      <c r="K16477" s="2"/>
      <c r="L16477" s="2"/>
    </row>
    <row r="16478" spans="8:12" x14ac:dyDescent="0.3">
      <c r="H16478" s="2"/>
      <c r="I16478" s="2"/>
      <c r="J16478" s="2"/>
      <c r="K16478" s="2"/>
      <c r="L16478" s="2"/>
    </row>
    <row r="16479" spans="8:12" x14ac:dyDescent="0.3">
      <c r="H16479" s="2"/>
      <c r="I16479" s="2"/>
      <c r="J16479" s="2"/>
      <c r="K16479" s="2"/>
      <c r="L16479" s="2"/>
    </row>
    <row r="16480" spans="8:12" x14ac:dyDescent="0.3">
      <c r="H16480" s="2"/>
      <c r="I16480" s="2"/>
      <c r="J16480" s="2"/>
      <c r="K16480" s="2"/>
      <c r="L16480" s="2"/>
    </row>
    <row r="16481" spans="8:12" x14ac:dyDescent="0.3">
      <c r="H16481" s="2"/>
      <c r="I16481" s="2"/>
      <c r="J16481" s="2"/>
      <c r="K16481" s="2"/>
      <c r="L16481" s="2"/>
    </row>
    <row r="16482" spans="8:12" x14ac:dyDescent="0.3">
      <c r="H16482" s="2"/>
      <c r="I16482" s="2"/>
      <c r="J16482" s="2"/>
      <c r="K16482" s="2"/>
      <c r="L16482" s="2"/>
    </row>
    <row r="16483" spans="8:12" x14ac:dyDescent="0.3">
      <c r="H16483" s="2"/>
      <c r="I16483" s="2"/>
      <c r="J16483" s="2"/>
      <c r="K16483" s="2"/>
      <c r="L16483" s="2"/>
    </row>
    <row r="16484" spans="8:12" x14ac:dyDescent="0.3">
      <c r="H16484" s="2"/>
      <c r="I16484" s="2"/>
      <c r="J16484" s="2"/>
      <c r="K16484" s="2"/>
      <c r="L16484" s="2"/>
    </row>
    <row r="16485" spans="8:12" x14ac:dyDescent="0.3">
      <c r="H16485" s="2"/>
      <c r="I16485" s="2"/>
      <c r="J16485" s="2"/>
      <c r="K16485" s="2"/>
      <c r="L16485" s="2"/>
    </row>
    <row r="16486" spans="8:12" x14ac:dyDescent="0.3">
      <c r="H16486" s="2"/>
      <c r="I16486" s="2"/>
      <c r="J16486" s="2"/>
      <c r="K16486" s="2"/>
      <c r="L16486" s="2"/>
    </row>
    <row r="16487" spans="8:12" x14ac:dyDescent="0.3">
      <c r="H16487" s="2"/>
      <c r="I16487" s="2"/>
      <c r="J16487" s="2"/>
      <c r="K16487" s="2"/>
      <c r="L16487" s="2"/>
    </row>
    <row r="16488" spans="8:12" x14ac:dyDescent="0.3">
      <c r="H16488" s="2"/>
      <c r="I16488" s="2"/>
      <c r="J16488" s="2"/>
      <c r="K16488" s="2"/>
      <c r="L16488" s="2"/>
    </row>
    <row r="16489" spans="8:12" x14ac:dyDescent="0.3">
      <c r="H16489" s="2"/>
      <c r="I16489" s="2"/>
      <c r="J16489" s="2"/>
      <c r="K16489" s="2"/>
      <c r="L16489" s="2"/>
    </row>
    <row r="16490" spans="8:12" x14ac:dyDescent="0.3">
      <c r="H16490" s="2"/>
      <c r="I16490" s="2"/>
      <c r="J16490" s="2"/>
      <c r="K16490" s="2"/>
      <c r="L16490" s="2"/>
    </row>
    <row r="16491" spans="8:12" x14ac:dyDescent="0.3">
      <c r="H16491" s="2"/>
      <c r="I16491" s="2"/>
      <c r="J16491" s="2"/>
      <c r="K16491" s="2"/>
      <c r="L16491" s="2"/>
    </row>
    <row r="16492" spans="8:12" x14ac:dyDescent="0.3">
      <c r="H16492" s="2"/>
      <c r="I16492" s="2"/>
      <c r="J16492" s="2"/>
      <c r="K16492" s="2"/>
      <c r="L16492" s="2"/>
    </row>
    <row r="16493" spans="8:12" x14ac:dyDescent="0.3">
      <c r="H16493" s="2"/>
      <c r="I16493" s="2"/>
      <c r="J16493" s="2"/>
      <c r="K16493" s="2"/>
      <c r="L16493" s="2"/>
    </row>
    <row r="16494" spans="8:12" x14ac:dyDescent="0.3">
      <c r="H16494" s="2"/>
      <c r="I16494" s="2"/>
      <c r="J16494" s="2"/>
      <c r="K16494" s="2"/>
      <c r="L16494" s="2"/>
    </row>
    <row r="16495" spans="8:12" x14ac:dyDescent="0.3">
      <c r="H16495" s="2"/>
      <c r="I16495" s="2"/>
      <c r="J16495" s="2"/>
      <c r="K16495" s="2"/>
      <c r="L16495" s="2"/>
    </row>
    <row r="16496" spans="8:12" x14ac:dyDescent="0.3">
      <c r="H16496" s="2"/>
      <c r="I16496" s="2"/>
      <c r="J16496" s="2"/>
      <c r="K16496" s="2"/>
      <c r="L16496" s="2"/>
    </row>
    <row r="16497" spans="8:12" x14ac:dyDescent="0.3">
      <c r="H16497" s="2"/>
      <c r="I16497" s="2"/>
      <c r="J16497" s="2"/>
      <c r="K16497" s="2"/>
      <c r="L16497" s="2"/>
    </row>
    <row r="16498" spans="8:12" x14ac:dyDescent="0.3">
      <c r="H16498" s="2"/>
      <c r="I16498" s="2"/>
      <c r="J16498" s="2"/>
      <c r="K16498" s="2"/>
      <c r="L16498" s="2"/>
    </row>
    <row r="16499" spans="8:12" x14ac:dyDescent="0.3">
      <c r="H16499" s="2"/>
      <c r="I16499" s="2"/>
      <c r="J16499" s="2"/>
      <c r="K16499" s="2"/>
      <c r="L16499" s="2"/>
    </row>
    <row r="16500" spans="8:12" x14ac:dyDescent="0.3">
      <c r="H16500" s="2"/>
      <c r="I16500" s="2"/>
      <c r="J16500" s="2"/>
      <c r="K16500" s="2"/>
      <c r="L16500" s="2"/>
    </row>
    <row r="16501" spans="8:12" x14ac:dyDescent="0.3">
      <c r="H16501" s="2"/>
      <c r="I16501" s="2"/>
      <c r="J16501" s="2"/>
      <c r="K16501" s="2"/>
      <c r="L16501" s="2"/>
    </row>
    <row r="16502" spans="8:12" x14ac:dyDescent="0.3">
      <c r="H16502" s="2"/>
      <c r="I16502" s="2"/>
      <c r="J16502" s="2"/>
      <c r="K16502" s="2"/>
      <c r="L16502" s="2"/>
    </row>
    <row r="16503" spans="8:12" x14ac:dyDescent="0.3">
      <c r="H16503" s="2"/>
      <c r="I16503" s="2"/>
      <c r="J16503" s="2"/>
      <c r="K16503" s="2"/>
      <c r="L16503" s="2"/>
    </row>
    <row r="16504" spans="8:12" x14ac:dyDescent="0.3">
      <c r="H16504" s="2"/>
      <c r="I16504" s="2"/>
      <c r="J16504" s="2"/>
      <c r="K16504" s="2"/>
      <c r="L16504" s="2"/>
    </row>
    <row r="16505" spans="8:12" x14ac:dyDescent="0.3">
      <c r="H16505" s="2"/>
      <c r="I16505" s="2"/>
      <c r="J16505" s="2"/>
      <c r="K16505" s="2"/>
      <c r="L16505" s="2"/>
    </row>
    <row r="16506" spans="8:12" x14ac:dyDescent="0.3">
      <c r="H16506" s="2"/>
      <c r="I16506" s="2"/>
      <c r="J16506" s="2"/>
      <c r="K16506" s="2"/>
      <c r="L16506" s="2"/>
    </row>
    <row r="16507" spans="8:12" x14ac:dyDescent="0.3">
      <c r="H16507" s="2"/>
      <c r="I16507" s="2"/>
      <c r="J16507" s="2"/>
      <c r="K16507" s="2"/>
      <c r="L16507" s="2"/>
    </row>
    <row r="16508" spans="8:12" x14ac:dyDescent="0.3">
      <c r="H16508" s="2"/>
      <c r="I16508" s="2"/>
      <c r="J16508" s="2"/>
      <c r="K16508" s="2"/>
      <c r="L16508" s="2"/>
    </row>
    <row r="16509" spans="8:12" x14ac:dyDescent="0.3">
      <c r="H16509" s="2"/>
      <c r="I16509" s="2"/>
      <c r="J16509" s="2"/>
      <c r="K16509" s="2"/>
      <c r="L16509" s="2"/>
    </row>
    <row r="16510" spans="8:12" x14ac:dyDescent="0.3">
      <c r="H16510" s="2"/>
      <c r="I16510" s="2"/>
      <c r="J16510" s="2"/>
      <c r="K16510" s="2"/>
      <c r="L16510" s="2"/>
    </row>
    <row r="16511" spans="8:12" x14ac:dyDescent="0.3">
      <c r="H16511" s="2"/>
      <c r="I16511" s="2"/>
      <c r="J16511" s="2"/>
      <c r="K16511" s="2"/>
      <c r="L16511" s="2"/>
    </row>
    <row r="16512" spans="8:12" x14ac:dyDescent="0.3">
      <c r="H16512" s="2"/>
      <c r="I16512" s="2"/>
      <c r="J16512" s="2"/>
      <c r="K16512" s="2"/>
      <c r="L16512" s="2"/>
    </row>
    <row r="16513" spans="8:12" x14ac:dyDescent="0.3">
      <c r="H16513" s="2"/>
      <c r="I16513" s="2"/>
      <c r="J16513" s="2"/>
      <c r="K16513" s="2"/>
      <c r="L16513" s="2"/>
    </row>
    <row r="16514" spans="8:12" x14ac:dyDescent="0.3">
      <c r="H16514" s="2"/>
      <c r="I16514" s="2"/>
      <c r="J16514" s="2"/>
      <c r="K16514" s="2"/>
      <c r="L16514" s="2"/>
    </row>
    <row r="16515" spans="8:12" x14ac:dyDescent="0.3">
      <c r="H16515" s="2"/>
      <c r="I16515" s="2"/>
      <c r="J16515" s="2"/>
      <c r="K16515" s="2"/>
      <c r="L16515" s="2"/>
    </row>
    <row r="16516" spans="8:12" x14ac:dyDescent="0.3">
      <c r="H16516" s="2"/>
      <c r="I16516" s="2"/>
      <c r="J16516" s="2"/>
      <c r="K16516" s="2"/>
      <c r="L16516" s="2"/>
    </row>
    <row r="16517" spans="8:12" x14ac:dyDescent="0.3">
      <c r="H16517" s="2"/>
      <c r="I16517" s="2"/>
      <c r="J16517" s="2"/>
      <c r="K16517" s="2"/>
      <c r="L16517" s="2"/>
    </row>
    <row r="16518" spans="8:12" x14ac:dyDescent="0.3">
      <c r="H16518" s="2"/>
      <c r="I16518" s="2"/>
      <c r="J16518" s="2"/>
      <c r="K16518" s="2"/>
      <c r="L16518" s="2"/>
    </row>
    <row r="16519" spans="8:12" x14ac:dyDescent="0.3">
      <c r="H16519" s="2"/>
      <c r="I16519" s="2"/>
      <c r="J16519" s="2"/>
      <c r="K16519" s="2"/>
      <c r="L16519" s="2"/>
    </row>
    <row r="16520" spans="8:12" x14ac:dyDescent="0.3">
      <c r="H16520" s="2"/>
      <c r="I16520" s="2"/>
      <c r="J16520" s="2"/>
      <c r="K16520" s="2"/>
      <c r="L16520" s="2"/>
    </row>
    <row r="16521" spans="8:12" x14ac:dyDescent="0.3">
      <c r="H16521" s="2"/>
      <c r="I16521" s="2"/>
      <c r="J16521" s="2"/>
      <c r="K16521" s="2"/>
      <c r="L16521" s="2"/>
    </row>
    <row r="16522" spans="8:12" x14ac:dyDescent="0.3">
      <c r="H16522" s="2"/>
      <c r="I16522" s="2"/>
      <c r="J16522" s="2"/>
      <c r="K16522" s="2"/>
      <c r="L16522" s="2"/>
    </row>
    <row r="16523" spans="8:12" x14ac:dyDescent="0.3">
      <c r="H16523" s="2"/>
      <c r="I16523" s="2"/>
      <c r="J16523" s="2"/>
      <c r="K16523" s="2"/>
      <c r="L16523" s="2"/>
    </row>
    <row r="16524" spans="8:12" x14ac:dyDescent="0.3">
      <c r="H16524" s="2"/>
      <c r="I16524" s="2"/>
      <c r="J16524" s="2"/>
      <c r="K16524" s="2"/>
      <c r="L16524" s="2"/>
    </row>
    <row r="16525" spans="8:12" x14ac:dyDescent="0.3">
      <c r="H16525" s="2"/>
      <c r="I16525" s="2"/>
      <c r="J16525" s="2"/>
      <c r="K16525" s="2"/>
      <c r="L16525" s="2"/>
    </row>
    <row r="16526" spans="8:12" x14ac:dyDescent="0.3">
      <c r="H16526" s="2"/>
      <c r="I16526" s="2"/>
      <c r="J16526" s="2"/>
      <c r="K16526" s="2"/>
      <c r="L16526" s="2"/>
    </row>
    <row r="16527" spans="8:12" x14ac:dyDescent="0.3">
      <c r="H16527" s="2"/>
      <c r="I16527" s="2"/>
      <c r="J16527" s="2"/>
      <c r="K16527" s="2"/>
      <c r="L16527" s="2"/>
    </row>
    <row r="16528" spans="8:12" x14ac:dyDescent="0.3">
      <c r="H16528" s="2"/>
      <c r="I16528" s="2"/>
      <c r="J16528" s="2"/>
      <c r="K16528" s="2"/>
      <c r="L16528" s="2"/>
    </row>
    <row r="16529" spans="8:12" x14ac:dyDescent="0.3">
      <c r="H16529" s="2"/>
      <c r="I16529" s="2"/>
      <c r="J16529" s="2"/>
      <c r="K16529" s="2"/>
      <c r="L16529" s="2"/>
    </row>
    <row r="16530" spans="8:12" x14ac:dyDescent="0.3">
      <c r="H16530" s="2"/>
      <c r="I16530" s="2"/>
      <c r="J16530" s="2"/>
      <c r="K16530" s="2"/>
      <c r="L16530" s="2"/>
    </row>
    <row r="16531" spans="8:12" x14ac:dyDescent="0.3">
      <c r="H16531" s="2"/>
      <c r="I16531" s="2"/>
      <c r="J16531" s="2"/>
      <c r="K16531" s="2"/>
      <c r="L16531" s="2"/>
    </row>
    <row r="16532" spans="8:12" x14ac:dyDescent="0.3">
      <c r="H16532" s="2"/>
      <c r="I16532" s="2"/>
      <c r="J16532" s="2"/>
      <c r="K16532" s="2"/>
      <c r="L16532" s="2"/>
    </row>
    <row r="16533" spans="8:12" x14ac:dyDescent="0.3">
      <c r="H16533" s="2"/>
      <c r="I16533" s="2"/>
      <c r="J16533" s="2"/>
      <c r="K16533" s="2"/>
      <c r="L16533" s="2"/>
    </row>
    <row r="16534" spans="8:12" x14ac:dyDescent="0.3">
      <c r="H16534" s="2"/>
      <c r="I16534" s="2"/>
      <c r="J16534" s="2"/>
      <c r="K16534" s="2"/>
      <c r="L16534" s="2"/>
    </row>
    <row r="16535" spans="8:12" x14ac:dyDescent="0.3">
      <c r="H16535" s="2"/>
      <c r="I16535" s="2"/>
      <c r="J16535" s="2"/>
      <c r="K16535" s="2"/>
      <c r="L16535" s="2"/>
    </row>
    <row r="16536" spans="8:12" x14ac:dyDescent="0.3">
      <c r="H16536" s="2"/>
      <c r="I16536" s="2"/>
      <c r="J16536" s="2"/>
      <c r="K16536" s="2"/>
      <c r="L16536" s="2"/>
    </row>
    <row r="16537" spans="8:12" x14ac:dyDescent="0.3">
      <c r="H16537" s="2"/>
      <c r="I16537" s="2"/>
      <c r="J16537" s="2"/>
      <c r="K16537" s="2"/>
      <c r="L16537" s="2"/>
    </row>
    <row r="16538" spans="8:12" x14ac:dyDescent="0.3">
      <c r="H16538" s="2"/>
      <c r="I16538" s="2"/>
      <c r="J16538" s="2"/>
      <c r="K16538" s="2"/>
      <c r="L16538" s="2"/>
    </row>
    <row r="16539" spans="8:12" x14ac:dyDescent="0.3">
      <c r="H16539" s="2"/>
      <c r="I16539" s="2"/>
      <c r="J16539" s="2"/>
      <c r="K16539" s="2"/>
      <c r="L16539" s="2"/>
    </row>
    <row r="16540" spans="8:12" x14ac:dyDescent="0.3">
      <c r="H16540" s="2"/>
      <c r="I16540" s="2"/>
      <c r="J16540" s="2"/>
      <c r="K16540" s="2"/>
      <c r="L16540" s="2"/>
    </row>
    <row r="16541" spans="8:12" x14ac:dyDescent="0.3">
      <c r="H16541" s="2"/>
      <c r="I16541" s="2"/>
      <c r="J16541" s="2"/>
      <c r="K16541" s="2"/>
      <c r="L16541" s="2"/>
    </row>
    <row r="16542" spans="8:12" x14ac:dyDescent="0.3">
      <c r="H16542" s="2"/>
      <c r="I16542" s="2"/>
      <c r="J16542" s="2"/>
      <c r="K16542" s="2"/>
      <c r="L16542" s="2"/>
    </row>
    <row r="16543" spans="8:12" x14ac:dyDescent="0.3">
      <c r="H16543" s="2"/>
      <c r="I16543" s="2"/>
      <c r="J16543" s="2"/>
      <c r="K16543" s="2"/>
      <c r="L16543" s="2"/>
    </row>
    <row r="16544" spans="8:12" x14ac:dyDescent="0.3">
      <c r="H16544" s="2"/>
      <c r="I16544" s="2"/>
      <c r="J16544" s="2"/>
      <c r="K16544" s="2"/>
      <c r="L16544" s="2"/>
    </row>
    <row r="16545" spans="8:12" x14ac:dyDescent="0.3">
      <c r="H16545" s="2"/>
      <c r="I16545" s="2"/>
      <c r="J16545" s="2"/>
      <c r="K16545" s="2"/>
      <c r="L16545" s="2"/>
    </row>
    <row r="16546" spans="8:12" x14ac:dyDescent="0.3">
      <c r="H16546" s="2"/>
      <c r="I16546" s="2"/>
      <c r="J16546" s="2"/>
      <c r="K16546" s="2"/>
      <c r="L16546" s="2"/>
    </row>
    <row r="16547" spans="8:12" x14ac:dyDescent="0.3">
      <c r="H16547" s="2"/>
      <c r="I16547" s="2"/>
      <c r="J16547" s="2"/>
      <c r="K16547" s="2"/>
      <c r="L16547" s="2"/>
    </row>
    <row r="16548" spans="8:12" x14ac:dyDescent="0.3">
      <c r="H16548" s="2"/>
      <c r="I16548" s="2"/>
      <c r="J16548" s="2"/>
      <c r="K16548" s="2"/>
      <c r="L16548" s="2"/>
    </row>
    <row r="16549" spans="8:12" x14ac:dyDescent="0.3">
      <c r="H16549" s="2"/>
      <c r="I16549" s="2"/>
      <c r="J16549" s="2"/>
      <c r="K16549" s="2"/>
      <c r="L16549" s="2"/>
    </row>
    <row r="16550" spans="8:12" x14ac:dyDescent="0.3">
      <c r="H16550" s="2"/>
      <c r="I16550" s="2"/>
      <c r="J16550" s="2"/>
      <c r="K16550" s="2"/>
      <c r="L16550" s="2"/>
    </row>
    <row r="16551" spans="8:12" x14ac:dyDescent="0.3">
      <c r="H16551" s="2"/>
      <c r="I16551" s="2"/>
      <c r="J16551" s="2"/>
      <c r="K16551" s="2"/>
      <c r="L16551" s="2"/>
    </row>
    <row r="16552" spans="8:12" x14ac:dyDescent="0.3">
      <c r="H16552" s="2"/>
      <c r="I16552" s="2"/>
      <c r="J16552" s="2"/>
      <c r="K16552" s="2"/>
      <c r="L16552" s="2"/>
    </row>
    <row r="16553" spans="8:12" x14ac:dyDescent="0.3">
      <c r="H16553" s="2"/>
      <c r="I16553" s="2"/>
      <c r="J16553" s="2"/>
      <c r="K16553" s="2"/>
      <c r="L16553" s="2"/>
    </row>
    <row r="16554" spans="8:12" x14ac:dyDescent="0.3">
      <c r="H16554" s="2"/>
      <c r="I16554" s="2"/>
      <c r="J16554" s="2"/>
      <c r="K16554" s="2"/>
      <c r="L16554" s="2"/>
    </row>
    <row r="16555" spans="8:12" x14ac:dyDescent="0.3">
      <c r="H16555" s="2"/>
      <c r="I16555" s="2"/>
      <c r="J16555" s="2"/>
      <c r="K16555" s="2"/>
      <c r="L16555" s="2"/>
    </row>
    <row r="16556" spans="8:12" x14ac:dyDescent="0.3">
      <c r="H16556" s="2"/>
      <c r="I16556" s="2"/>
      <c r="J16556" s="2"/>
      <c r="K16556" s="2"/>
      <c r="L16556" s="2"/>
    </row>
    <row r="16557" spans="8:12" x14ac:dyDescent="0.3">
      <c r="H16557" s="2"/>
      <c r="I16557" s="2"/>
      <c r="J16557" s="2"/>
      <c r="K16557" s="2"/>
      <c r="L16557" s="2"/>
    </row>
    <row r="16558" spans="8:12" x14ac:dyDescent="0.3">
      <c r="H16558" s="2"/>
      <c r="I16558" s="2"/>
      <c r="J16558" s="2"/>
      <c r="K16558" s="2"/>
      <c r="L16558" s="2"/>
    </row>
    <row r="16559" spans="8:12" x14ac:dyDescent="0.3">
      <c r="H16559" s="2"/>
      <c r="I16559" s="2"/>
      <c r="J16559" s="2"/>
      <c r="K16559" s="2"/>
      <c r="L16559" s="2"/>
    </row>
    <row r="16560" spans="8:12" x14ac:dyDescent="0.3">
      <c r="H16560" s="2"/>
      <c r="I16560" s="2"/>
      <c r="J16560" s="2"/>
      <c r="K16560" s="2"/>
      <c r="L16560" s="2"/>
    </row>
    <row r="16561" spans="8:12" x14ac:dyDescent="0.3">
      <c r="H16561" s="2"/>
      <c r="I16561" s="2"/>
      <c r="J16561" s="2"/>
      <c r="K16561" s="2"/>
      <c r="L16561" s="2"/>
    </row>
    <row r="16562" spans="8:12" x14ac:dyDescent="0.3">
      <c r="H16562" s="2"/>
      <c r="I16562" s="2"/>
      <c r="J16562" s="2"/>
      <c r="K16562" s="2"/>
      <c r="L16562" s="2"/>
    </row>
    <row r="16563" spans="8:12" x14ac:dyDescent="0.3">
      <c r="H16563" s="2"/>
      <c r="I16563" s="2"/>
      <c r="J16563" s="2"/>
      <c r="K16563" s="2"/>
      <c r="L16563" s="2"/>
    </row>
    <row r="16564" spans="8:12" x14ac:dyDescent="0.3">
      <c r="H16564" s="2"/>
      <c r="I16564" s="2"/>
      <c r="J16564" s="2"/>
      <c r="K16564" s="2"/>
      <c r="L16564" s="2"/>
    </row>
    <row r="16565" spans="8:12" x14ac:dyDescent="0.3">
      <c r="H16565" s="2"/>
      <c r="I16565" s="2"/>
      <c r="J16565" s="2"/>
      <c r="K16565" s="2"/>
      <c r="L16565" s="2"/>
    </row>
    <row r="16566" spans="8:12" x14ac:dyDescent="0.3">
      <c r="H16566" s="2"/>
      <c r="I16566" s="2"/>
      <c r="J16566" s="2"/>
      <c r="K16566" s="2"/>
      <c r="L16566" s="2"/>
    </row>
    <row r="16567" spans="8:12" x14ac:dyDescent="0.3">
      <c r="H16567" s="2"/>
      <c r="I16567" s="2"/>
      <c r="J16567" s="2"/>
      <c r="K16567" s="2"/>
      <c r="L16567" s="2"/>
    </row>
    <row r="16568" spans="8:12" x14ac:dyDescent="0.3">
      <c r="H16568" s="2"/>
      <c r="I16568" s="2"/>
      <c r="J16568" s="2"/>
      <c r="K16568" s="2"/>
      <c r="L16568" s="2"/>
    </row>
    <row r="16569" spans="8:12" x14ac:dyDescent="0.3">
      <c r="H16569" s="2"/>
      <c r="I16569" s="2"/>
      <c r="J16569" s="2"/>
      <c r="K16569" s="2"/>
      <c r="L16569" s="2"/>
    </row>
    <row r="16570" spans="8:12" x14ac:dyDescent="0.3">
      <c r="H16570" s="2"/>
      <c r="I16570" s="2"/>
      <c r="J16570" s="2"/>
      <c r="K16570" s="2"/>
      <c r="L16570" s="2"/>
    </row>
    <row r="16571" spans="8:12" x14ac:dyDescent="0.3">
      <c r="H16571" s="2"/>
      <c r="I16571" s="2"/>
      <c r="J16571" s="2"/>
      <c r="K16571" s="2"/>
      <c r="L16571" s="2"/>
    </row>
    <row r="16572" spans="8:12" x14ac:dyDescent="0.3">
      <c r="H16572" s="2"/>
      <c r="I16572" s="2"/>
      <c r="J16572" s="2"/>
      <c r="K16572" s="2"/>
      <c r="L16572" s="2"/>
    </row>
    <row r="16573" spans="8:12" x14ac:dyDescent="0.3">
      <c r="H16573" s="2"/>
      <c r="I16573" s="2"/>
      <c r="J16573" s="2"/>
      <c r="K16573" s="2"/>
      <c r="L16573" s="2"/>
    </row>
    <row r="16574" spans="8:12" x14ac:dyDescent="0.3">
      <c r="H16574" s="2"/>
      <c r="I16574" s="2"/>
      <c r="J16574" s="2"/>
      <c r="K16574" s="2"/>
      <c r="L16574" s="2"/>
    </row>
    <row r="16575" spans="8:12" x14ac:dyDescent="0.3">
      <c r="H16575" s="2"/>
      <c r="I16575" s="2"/>
      <c r="J16575" s="2"/>
      <c r="K16575" s="2"/>
      <c r="L16575" s="2"/>
    </row>
    <row r="16576" spans="8:12" x14ac:dyDescent="0.3">
      <c r="H16576" s="2"/>
      <c r="I16576" s="2"/>
      <c r="J16576" s="2"/>
      <c r="K16576" s="2"/>
      <c r="L16576" s="2"/>
    </row>
    <row r="16577" spans="8:12" x14ac:dyDescent="0.3">
      <c r="H16577" s="2"/>
      <c r="I16577" s="2"/>
      <c r="J16577" s="2"/>
      <c r="K16577" s="2"/>
      <c r="L16577" s="2"/>
    </row>
    <row r="16578" spans="8:12" x14ac:dyDescent="0.3">
      <c r="H16578" s="2"/>
      <c r="I16578" s="2"/>
      <c r="J16578" s="2"/>
      <c r="K16578" s="2"/>
      <c r="L16578" s="2"/>
    </row>
    <row r="16579" spans="8:12" x14ac:dyDescent="0.3">
      <c r="H16579" s="2"/>
      <c r="I16579" s="2"/>
      <c r="J16579" s="2"/>
      <c r="K16579" s="2"/>
      <c r="L16579" s="2"/>
    </row>
    <row r="16580" spans="8:12" x14ac:dyDescent="0.3">
      <c r="H16580" s="2"/>
      <c r="I16580" s="2"/>
      <c r="J16580" s="2"/>
      <c r="K16580" s="2"/>
      <c r="L16580" s="2"/>
    </row>
    <row r="16581" spans="8:12" x14ac:dyDescent="0.3">
      <c r="H16581" s="2"/>
      <c r="I16581" s="2"/>
      <c r="J16581" s="2"/>
      <c r="K16581" s="2"/>
      <c r="L16581" s="2"/>
    </row>
    <row r="16582" spans="8:12" x14ac:dyDescent="0.3">
      <c r="H16582" s="2"/>
      <c r="I16582" s="2"/>
      <c r="J16582" s="2"/>
      <c r="K16582" s="2"/>
      <c r="L16582" s="2"/>
    </row>
    <row r="16583" spans="8:12" x14ac:dyDescent="0.3">
      <c r="H16583" s="2"/>
      <c r="I16583" s="2"/>
      <c r="J16583" s="2"/>
      <c r="K16583" s="2"/>
      <c r="L16583" s="2"/>
    </row>
    <row r="16584" spans="8:12" x14ac:dyDescent="0.3">
      <c r="H16584" s="2"/>
      <c r="I16584" s="2"/>
      <c r="J16584" s="2"/>
      <c r="K16584" s="2"/>
      <c r="L16584" s="2"/>
    </row>
    <row r="16585" spans="8:12" x14ac:dyDescent="0.3">
      <c r="H16585" s="2"/>
      <c r="I16585" s="2"/>
      <c r="J16585" s="2"/>
      <c r="K16585" s="2"/>
      <c r="L16585" s="2"/>
    </row>
    <row r="16586" spans="8:12" x14ac:dyDescent="0.3">
      <c r="H16586" s="2"/>
      <c r="I16586" s="2"/>
      <c r="J16586" s="2"/>
      <c r="K16586" s="2"/>
      <c r="L16586" s="2"/>
    </row>
    <row r="16587" spans="8:12" x14ac:dyDescent="0.3">
      <c r="H16587" s="2"/>
      <c r="I16587" s="2"/>
      <c r="J16587" s="2"/>
      <c r="K16587" s="2"/>
      <c r="L16587" s="2"/>
    </row>
    <row r="16588" spans="8:12" x14ac:dyDescent="0.3">
      <c r="H16588" s="2"/>
      <c r="I16588" s="2"/>
      <c r="J16588" s="2"/>
      <c r="K16588" s="2"/>
      <c r="L16588" s="2"/>
    </row>
    <row r="16589" spans="8:12" x14ac:dyDescent="0.3">
      <c r="H16589" s="2"/>
      <c r="I16589" s="2"/>
      <c r="J16589" s="2"/>
      <c r="K16589" s="2"/>
      <c r="L16589" s="2"/>
    </row>
    <row r="16590" spans="8:12" x14ac:dyDescent="0.3">
      <c r="H16590" s="2"/>
      <c r="I16590" s="2"/>
      <c r="J16590" s="2"/>
      <c r="K16590" s="2"/>
      <c r="L16590" s="2"/>
    </row>
    <row r="16591" spans="8:12" x14ac:dyDescent="0.3">
      <c r="H16591" s="2"/>
      <c r="I16591" s="2"/>
      <c r="J16591" s="2"/>
      <c r="K16591" s="2"/>
      <c r="L16591" s="2"/>
    </row>
    <row r="16592" spans="8:12" x14ac:dyDescent="0.3">
      <c r="H16592" s="2"/>
      <c r="I16592" s="2"/>
      <c r="J16592" s="2"/>
      <c r="K16592" s="2"/>
      <c r="L16592" s="2"/>
    </row>
    <row r="16593" spans="8:12" x14ac:dyDescent="0.3">
      <c r="H16593" s="2"/>
      <c r="I16593" s="2"/>
      <c r="J16593" s="2"/>
      <c r="K16593" s="2"/>
      <c r="L16593" s="2"/>
    </row>
    <row r="16594" spans="8:12" x14ac:dyDescent="0.3">
      <c r="H16594" s="2"/>
      <c r="I16594" s="2"/>
      <c r="J16594" s="2"/>
      <c r="K16594" s="2"/>
      <c r="L16594" s="2"/>
    </row>
    <row r="16595" spans="8:12" x14ac:dyDescent="0.3">
      <c r="H16595" s="2"/>
      <c r="I16595" s="2"/>
      <c r="J16595" s="2"/>
      <c r="K16595" s="2"/>
      <c r="L16595" s="2"/>
    </row>
    <row r="16596" spans="8:12" x14ac:dyDescent="0.3">
      <c r="H16596" s="2"/>
      <c r="I16596" s="2"/>
      <c r="J16596" s="2"/>
      <c r="K16596" s="2"/>
      <c r="L16596" s="2"/>
    </row>
    <row r="16597" spans="8:12" x14ac:dyDescent="0.3">
      <c r="H16597" s="2"/>
      <c r="I16597" s="2"/>
      <c r="J16597" s="2"/>
      <c r="K16597" s="2"/>
      <c r="L16597" s="2"/>
    </row>
    <row r="16598" spans="8:12" x14ac:dyDescent="0.3">
      <c r="H16598" s="2"/>
      <c r="I16598" s="2"/>
      <c r="J16598" s="2"/>
      <c r="K16598" s="2"/>
      <c r="L16598" s="2"/>
    </row>
    <row r="16599" spans="8:12" x14ac:dyDescent="0.3">
      <c r="H16599" s="2"/>
      <c r="I16599" s="2"/>
      <c r="J16599" s="2"/>
      <c r="K16599" s="2"/>
      <c r="L16599" s="2"/>
    </row>
    <row r="16600" spans="8:12" x14ac:dyDescent="0.3">
      <c r="H16600" s="2"/>
      <c r="I16600" s="2"/>
      <c r="J16600" s="2"/>
      <c r="K16600" s="2"/>
      <c r="L16600" s="2"/>
    </row>
    <row r="16601" spans="8:12" x14ac:dyDescent="0.3">
      <c r="H16601" s="2"/>
      <c r="I16601" s="2"/>
      <c r="J16601" s="2"/>
      <c r="K16601" s="2"/>
      <c r="L16601" s="2"/>
    </row>
    <row r="16602" spans="8:12" x14ac:dyDescent="0.3">
      <c r="H16602" s="2"/>
      <c r="I16602" s="2"/>
      <c r="J16602" s="2"/>
      <c r="K16602" s="2"/>
      <c r="L16602" s="2"/>
    </row>
    <row r="16603" spans="8:12" x14ac:dyDescent="0.3">
      <c r="H16603" s="2"/>
      <c r="I16603" s="2"/>
      <c r="J16603" s="2"/>
      <c r="K16603" s="2"/>
      <c r="L16603" s="2"/>
    </row>
    <row r="16604" spans="8:12" x14ac:dyDescent="0.3">
      <c r="H16604" s="2"/>
      <c r="I16604" s="2"/>
      <c r="J16604" s="2"/>
      <c r="K16604" s="2"/>
      <c r="L16604" s="2"/>
    </row>
    <row r="16605" spans="8:12" x14ac:dyDescent="0.3">
      <c r="H16605" s="2"/>
      <c r="I16605" s="2"/>
      <c r="J16605" s="2"/>
      <c r="K16605" s="2"/>
      <c r="L16605" s="2"/>
    </row>
    <row r="16606" spans="8:12" x14ac:dyDescent="0.3">
      <c r="H16606" s="2"/>
      <c r="I16606" s="2"/>
      <c r="J16606" s="2"/>
      <c r="K16606" s="2"/>
      <c r="L16606" s="2"/>
    </row>
    <row r="16607" spans="8:12" x14ac:dyDescent="0.3">
      <c r="H16607" s="2"/>
      <c r="I16607" s="2"/>
      <c r="J16607" s="2"/>
      <c r="K16607" s="2"/>
      <c r="L16607" s="2"/>
    </row>
    <row r="16608" spans="8:12" x14ac:dyDescent="0.3">
      <c r="H16608" s="2"/>
      <c r="I16608" s="2"/>
      <c r="J16608" s="2"/>
      <c r="K16608" s="2"/>
      <c r="L16608" s="2"/>
    </row>
    <row r="16609" spans="8:12" x14ac:dyDescent="0.3">
      <c r="H16609" s="2"/>
      <c r="I16609" s="2"/>
      <c r="J16609" s="2"/>
      <c r="K16609" s="2"/>
      <c r="L16609" s="2"/>
    </row>
    <row r="16610" spans="8:12" x14ac:dyDescent="0.3">
      <c r="H16610" s="2"/>
      <c r="I16610" s="2"/>
      <c r="J16610" s="2"/>
      <c r="K16610" s="2"/>
      <c r="L16610" s="2"/>
    </row>
    <row r="16611" spans="8:12" x14ac:dyDescent="0.3">
      <c r="H16611" s="2"/>
      <c r="I16611" s="2"/>
      <c r="J16611" s="2"/>
      <c r="K16611" s="2"/>
      <c r="L16611" s="2"/>
    </row>
    <row r="16612" spans="8:12" x14ac:dyDescent="0.3">
      <c r="H16612" s="2"/>
      <c r="I16612" s="2"/>
      <c r="J16612" s="2"/>
      <c r="K16612" s="2"/>
      <c r="L16612" s="2"/>
    </row>
    <row r="16613" spans="8:12" x14ac:dyDescent="0.3">
      <c r="H16613" s="2"/>
      <c r="I16613" s="2"/>
      <c r="J16613" s="2"/>
      <c r="K16613" s="2"/>
      <c r="L16613" s="2"/>
    </row>
    <row r="16614" spans="8:12" x14ac:dyDescent="0.3">
      <c r="H16614" s="2"/>
      <c r="I16614" s="2"/>
      <c r="J16614" s="2"/>
      <c r="K16614" s="2"/>
      <c r="L16614" s="2"/>
    </row>
    <row r="16615" spans="8:12" x14ac:dyDescent="0.3">
      <c r="H16615" s="2"/>
      <c r="I16615" s="2"/>
      <c r="J16615" s="2"/>
      <c r="K16615" s="2"/>
      <c r="L16615" s="2"/>
    </row>
    <row r="16616" spans="8:12" x14ac:dyDescent="0.3">
      <c r="H16616" s="2"/>
      <c r="I16616" s="2"/>
      <c r="J16616" s="2"/>
      <c r="K16616" s="2"/>
      <c r="L16616" s="2"/>
    </row>
    <row r="16617" spans="8:12" x14ac:dyDescent="0.3">
      <c r="H16617" s="2"/>
      <c r="I16617" s="2"/>
      <c r="J16617" s="2"/>
      <c r="K16617" s="2"/>
      <c r="L16617" s="2"/>
    </row>
    <row r="16618" spans="8:12" x14ac:dyDescent="0.3">
      <c r="H16618" s="2"/>
      <c r="I16618" s="2"/>
      <c r="J16618" s="2"/>
      <c r="K16618" s="2"/>
      <c r="L16618" s="2"/>
    </row>
    <row r="16619" spans="8:12" x14ac:dyDescent="0.3">
      <c r="H16619" s="2"/>
      <c r="I16619" s="2"/>
      <c r="J16619" s="2"/>
      <c r="K16619" s="2"/>
      <c r="L16619" s="2"/>
    </row>
    <row r="16620" spans="8:12" x14ac:dyDescent="0.3">
      <c r="H16620" s="2"/>
      <c r="I16620" s="2"/>
      <c r="J16620" s="2"/>
      <c r="K16620" s="2"/>
      <c r="L16620" s="2"/>
    </row>
    <row r="16621" spans="8:12" x14ac:dyDescent="0.3">
      <c r="H16621" s="2"/>
      <c r="I16621" s="2"/>
      <c r="J16621" s="2"/>
      <c r="K16621" s="2"/>
      <c r="L16621" s="2"/>
    </row>
    <row r="16622" spans="8:12" x14ac:dyDescent="0.3">
      <c r="H16622" s="2"/>
      <c r="I16622" s="2"/>
      <c r="J16622" s="2"/>
      <c r="K16622" s="2"/>
      <c r="L16622" s="2"/>
    </row>
    <row r="16623" spans="8:12" x14ac:dyDescent="0.3">
      <c r="H16623" s="2"/>
      <c r="I16623" s="2"/>
      <c r="J16623" s="2"/>
      <c r="K16623" s="2"/>
      <c r="L16623" s="2"/>
    </row>
    <row r="16624" spans="8:12" x14ac:dyDescent="0.3">
      <c r="H16624" s="2"/>
      <c r="I16624" s="2"/>
      <c r="J16624" s="2"/>
      <c r="K16624" s="2"/>
      <c r="L16624" s="2"/>
    </row>
    <row r="16625" spans="8:12" x14ac:dyDescent="0.3">
      <c r="H16625" s="2"/>
      <c r="I16625" s="2"/>
      <c r="J16625" s="2"/>
      <c r="K16625" s="2"/>
      <c r="L16625" s="2"/>
    </row>
    <row r="16626" spans="8:12" x14ac:dyDescent="0.3">
      <c r="H16626" s="2"/>
      <c r="I16626" s="2"/>
      <c r="J16626" s="2"/>
      <c r="K16626" s="2"/>
      <c r="L16626" s="2"/>
    </row>
    <row r="16627" spans="8:12" x14ac:dyDescent="0.3">
      <c r="H16627" s="2"/>
      <c r="I16627" s="2"/>
      <c r="J16627" s="2"/>
      <c r="K16627" s="2"/>
      <c r="L16627" s="2"/>
    </row>
    <row r="16628" spans="8:12" x14ac:dyDescent="0.3">
      <c r="H16628" s="2"/>
      <c r="I16628" s="2"/>
      <c r="J16628" s="2"/>
      <c r="K16628" s="2"/>
      <c r="L16628" s="2"/>
    </row>
    <row r="16629" spans="8:12" x14ac:dyDescent="0.3">
      <c r="H16629" s="2"/>
      <c r="I16629" s="2"/>
      <c r="J16629" s="2"/>
      <c r="K16629" s="2"/>
      <c r="L16629" s="2"/>
    </row>
    <row r="16630" spans="8:12" x14ac:dyDescent="0.3">
      <c r="H16630" s="2"/>
      <c r="I16630" s="2"/>
      <c r="J16630" s="2"/>
      <c r="K16630" s="2"/>
      <c r="L16630" s="2"/>
    </row>
    <row r="16631" spans="8:12" x14ac:dyDescent="0.3">
      <c r="H16631" s="2"/>
      <c r="I16631" s="2"/>
      <c r="J16631" s="2"/>
      <c r="K16631" s="2"/>
      <c r="L16631" s="2"/>
    </row>
    <row r="16632" spans="8:12" x14ac:dyDescent="0.3">
      <c r="H16632" s="2"/>
      <c r="I16632" s="2"/>
      <c r="J16632" s="2"/>
      <c r="K16632" s="2"/>
      <c r="L16632" s="2"/>
    </row>
    <row r="16633" spans="8:12" x14ac:dyDescent="0.3">
      <c r="H16633" s="2"/>
      <c r="I16633" s="2"/>
      <c r="J16633" s="2"/>
      <c r="K16633" s="2"/>
      <c r="L16633" s="2"/>
    </row>
    <row r="16634" spans="8:12" x14ac:dyDescent="0.3">
      <c r="H16634" s="2"/>
      <c r="I16634" s="2"/>
      <c r="J16634" s="2"/>
      <c r="K16634" s="2"/>
      <c r="L16634" s="2"/>
    </row>
    <row r="16635" spans="8:12" x14ac:dyDescent="0.3">
      <c r="H16635" s="2"/>
      <c r="I16635" s="2"/>
      <c r="J16635" s="2"/>
      <c r="K16635" s="2"/>
      <c r="L16635" s="2"/>
    </row>
    <row r="16636" spans="8:12" x14ac:dyDescent="0.3">
      <c r="H16636" s="2"/>
      <c r="I16636" s="2"/>
      <c r="J16636" s="2"/>
      <c r="K16636" s="2"/>
      <c r="L16636" s="2"/>
    </row>
    <row r="16637" spans="8:12" x14ac:dyDescent="0.3">
      <c r="H16637" s="2"/>
      <c r="I16637" s="2"/>
      <c r="J16637" s="2"/>
      <c r="K16637" s="2"/>
      <c r="L16637" s="2"/>
    </row>
    <row r="16638" spans="8:12" x14ac:dyDescent="0.3">
      <c r="H16638" s="2"/>
      <c r="I16638" s="2"/>
      <c r="J16638" s="2"/>
      <c r="K16638" s="2"/>
      <c r="L16638" s="2"/>
    </row>
    <row r="16639" spans="8:12" x14ac:dyDescent="0.3">
      <c r="H16639" s="2"/>
      <c r="I16639" s="2"/>
      <c r="J16639" s="2"/>
      <c r="K16639" s="2"/>
      <c r="L16639" s="2"/>
    </row>
    <row r="16640" spans="8:12" x14ac:dyDescent="0.3">
      <c r="H16640" s="2"/>
      <c r="I16640" s="2"/>
      <c r="J16640" s="2"/>
      <c r="K16640" s="2"/>
      <c r="L16640" s="2"/>
    </row>
    <row r="16641" spans="8:12" x14ac:dyDescent="0.3">
      <c r="H16641" s="2"/>
      <c r="I16641" s="2"/>
      <c r="J16641" s="2"/>
      <c r="K16641" s="2"/>
      <c r="L16641" s="2"/>
    </row>
    <row r="16642" spans="8:12" x14ac:dyDescent="0.3">
      <c r="H16642" s="2"/>
      <c r="I16642" s="2"/>
      <c r="J16642" s="2"/>
      <c r="K16642" s="2"/>
      <c r="L16642" s="2"/>
    </row>
    <row r="16643" spans="8:12" x14ac:dyDescent="0.3">
      <c r="H16643" s="2"/>
      <c r="I16643" s="2"/>
      <c r="J16643" s="2"/>
      <c r="K16643" s="2"/>
      <c r="L16643" s="2"/>
    </row>
    <row r="16644" spans="8:12" x14ac:dyDescent="0.3">
      <c r="H16644" s="2"/>
      <c r="I16644" s="2"/>
      <c r="J16644" s="2"/>
      <c r="K16644" s="2"/>
      <c r="L16644" s="2"/>
    </row>
    <row r="16645" spans="8:12" x14ac:dyDescent="0.3">
      <c r="H16645" s="2"/>
      <c r="I16645" s="2"/>
      <c r="J16645" s="2"/>
      <c r="K16645" s="2"/>
      <c r="L16645" s="2"/>
    </row>
    <row r="16646" spans="8:12" x14ac:dyDescent="0.3">
      <c r="H16646" s="2"/>
      <c r="I16646" s="2"/>
      <c r="J16646" s="2"/>
      <c r="K16646" s="2"/>
      <c r="L16646" s="2"/>
    </row>
    <row r="16647" spans="8:12" x14ac:dyDescent="0.3">
      <c r="H16647" s="2"/>
      <c r="I16647" s="2"/>
      <c r="J16647" s="2"/>
      <c r="K16647" s="2"/>
      <c r="L16647" s="2"/>
    </row>
    <row r="16648" spans="8:12" x14ac:dyDescent="0.3">
      <c r="H16648" s="2"/>
      <c r="I16648" s="2"/>
      <c r="J16648" s="2"/>
      <c r="K16648" s="2"/>
      <c r="L16648" s="2"/>
    </row>
    <row r="16649" spans="8:12" x14ac:dyDescent="0.3">
      <c r="H16649" s="2"/>
      <c r="I16649" s="2"/>
      <c r="J16649" s="2"/>
      <c r="K16649" s="2"/>
      <c r="L16649" s="2"/>
    </row>
    <row r="16650" spans="8:12" x14ac:dyDescent="0.3">
      <c r="H16650" s="2"/>
      <c r="I16650" s="2"/>
      <c r="J16650" s="2"/>
      <c r="K16650" s="2"/>
      <c r="L16650" s="2"/>
    </row>
    <row r="16651" spans="8:12" x14ac:dyDescent="0.3">
      <c r="H16651" s="2"/>
      <c r="I16651" s="2"/>
      <c r="J16651" s="2"/>
      <c r="K16651" s="2"/>
      <c r="L16651" s="2"/>
    </row>
    <row r="16652" spans="8:12" x14ac:dyDescent="0.3">
      <c r="H16652" s="2"/>
      <c r="I16652" s="2"/>
      <c r="J16652" s="2"/>
      <c r="K16652" s="2"/>
      <c r="L16652" s="2"/>
    </row>
    <row r="16653" spans="8:12" x14ac:dyDescent="0.3">
      <c r="H16653" s="2"/>
      <c r="I16653" s="2"/>
      <c r="J16653" s="2"/>
      <c r="K16653" s="2"/>
      <c r="L16653" s="2"/>
    </row>
    <row r="16654" spans="8:12" x14ac:dyDescent="0.3">
      <c r="H16654" s="2"/>
      <c r="I16654" s="2"/>
      <c r="J16654" s="2"/>
      <c r="K16654" s="2"/>
      <c r="L16654" s="2"/>
    </row>
    <row r="16655" spans="8:12" x14ac:dyDescent="0.3">
      <c r="H16655" s="2"/>
      <c r="I16655" s="2"/>
      <c r="J16655" s="2"/>
      <c r="K16655" s="2"/>
      <c r="L16655" s="2"/>
    </row>
    <row r="16656" spans="8:12" x14ac:dyDescent="0.3">
      <c r="H16656" s="2"/>
      <c r="I16656" s="2"/>
      <c r="J16656" s="2"/>
      <c r="K16656" s="2"/>
      <c r="L16656" s="2"/>
    </row>
    <row r="16657" spans="8:12" x14ac:dyDescent="0.3">
      <c r="H16657" s="2"/>
      <c r="I16657" s="2"/>
      <c r="J16657" s="2"/>
      <c r="K16657" s="2"/>
      <c r="L16657" s="2"/>
    </row>
    <row r="16658" spans="8:12" x14ac:dyDescent="0.3">
      <c r="H16658" s="2"/>
      <c r="I16658" s="2"/>
      <c r="J16658" s="2"/>
      <c r="K16658" s="2"/>
      <c r="L16658" s="2"/>
    </row>
    <row r="16659" spans="8:12" x14ac:dyDescent="0.3">
      <c r="H16659" s="2"/>
      <c r="I16659" s="2"/>
      <c r="J16659" s="2"/>
      <c r="K16659" s="2"/>
      <c r="L16659" s="2"/>
    </row>
    <row r="16660" spans="8:12" x14ac:dyDescent="0.3">
      <c r="H16660" s="2"/>
      <c r="I16660" s="2"/>
      <c r="J16660" s="2"/>
      <c r="K16660" s="2"/>
      <c r="L16660" s="2"/>
    </row>
    <row r="16661" spans="8:12" x14ac:dyDescent="0.3">
      <c r="H16661" s="2"/>
      <c r="I16661" s="2"/>
      <c r="J16661" s="2"/>
      <c r="K16661" s="2"/>
      <c r="L16661" s="2"/>
    </row>
    <row r="16662" spans="8:12" x14ac:dyDescent="0.3">
      <c r="H16662" s="2"/>
      <c r="I16662" s="2"/>
      <c r="J16662" s="2"/>
      <c r="K16662" s="2"/>
      <c r="L16662" s="2"/>
    </row>
    <row r="16663" spans="8:12" x14ac:dyDescent="0.3">
      <c r="H16663" s="2"/>
      <c r="I16663" s="2"/>
      <c r="J16663" s="2"/>
      <c r="K16663" s="2"/>
      <c r="L16663" s="2"/>
    </row>
    <row r="16664" spans="8:12" x14ac:dyDescent="0.3">
      <c r="H16664" s="2"/>
      <c r="I16664" s="2"/>
      <c r="J16664" s="2"/>
      <c r="K16664" s="2"/>
      <c r="L16664" s="2"/>
    </row>
    <row r="16665" spans="8:12" x14ac:dyDescent="0.3">
      <c r="H16665" s="2"/>
      <c r="I16665" s="2"/>
      <c r="J16665" s="2"/>
      <c r="K16665" s="2"/>
      <c r="L16665" s="2"/>
    </row>
    <row r="16666" spans="8:12" x14ac:dyDescent="0.3">
      <c r="H16666" s="2"/>
      <c r="I16666" s="2"/>
      <c r="J16666" s="2"/>
      <c r="K16666" s="2"/>
      <c r="L16666" s="2"/>
    </row>
    <row r="16667" spans="8:12" x14ac:dyDescent="0.3">
      <c r="H16667" s="2"/>
      <c r="I16667" s="2"/>
      <c r="J16667" s="2"/>
      <c r="K16667" s="2"/>
      <c r="L16667" s="2"/>
    </row>
    <row r="16668" spans="8:12" x14ac:dyDescent="0.3">
      <c r="H16668" s="2"/>
      <c r="I16668" s="2"/>
      <c r="J16668" s="2"/>
      <c r="K16668" s="2"/>
      <c r="L16668" s="2"/>
    </row>
    <row r="16669" spans="8:12" x14ac:dyDescent="0.3">
      <c r="H16669" s="2"/>
      <c r="I16669" s="2"/>
      <c r="J16669" s="2"/>
      <c r="K16669" s="2"/>
      <c r="L16669" s="2"/>
    </row>
    <row r="16670" spans="8:12" x14ac:dyDescent="0.3">
      <c r="H16670" s="2"/>
      <c r="I16670" s="2"/>
      <c r="J16670" s="2"/>
      <c r="K16670" s="2"/>
      <c r="L16670" s="2"/>
    </row>
    <row r="16671" spans="8:12" x14ac:dyDescent="0.3">
      <c r="H16671" s="2"/>
      <c r="I16671" s="2"/>
      <c r="J16671" s="2"/>
      <c r="K16671" s="2"/>
      <c r="L16671" s="2"/>
    </row>
    <row r="16672" spans="8:12" x14ac:dyDescent="0.3">
      <c r="H16672" s="2"/>
      <c r="I16672" s="2"/>
      <c r="J16672" s="2"/>
      <c r="K16672" s="2"/>
      <c r="L16672" s="2"/>
    </row>
    <row r="16673" spans="8:12" x14ac:dyDescent="0.3">
      <c r="H16673" s="2"/>
      <c r="I16673" s="2"/>
      <c r="J16673" s="2"/>
      <c r="K16673" s="2"/>
      <c r="L16673" s="2"/>
    </row>
    <row r="16674" spans="8:12" x14ac:dyDescent="0.3">
      <c r="H16674" s="2"/>
      <c r="I16674" s="2"/>
      <c r="J16674" s="2"/>
      <c r="K16674" s="2"/>
      <c r="L16674" s="2"/>
    </row>
    <row r="16675" spans="8:12" x14ac:dyDescent="0.3">
      <c r="H16675" s="2"/>
      <c r="I16675" s="2"/>
      <c r="J16675" s="2"/>
      <c r="K16675" s="2"/>
      <c r="L16675" s="2"/>
    </row>
    <row r="16676" spans="8:12" x14ac:dyDescent="0.3">
      <c r="H16676" s="2"/>
      <c r="I16676" s="2"/>
      <c r="J16676" s="2"/>
      <c r="K16676" s="2"/>
      <c r="L16676" s="2"/>
    </row>
    <row r="16677" spans="8:12" x14ac:dyDescent="0.3">
      <c r="H16677" s="2"/>
      <c r="I16677" s="2"/>
      <c r="J16677" s="2"/>
      <c r="K16677" s="2"/>
      <c r="L16677" s="2"/>
    </row>
    <row r="16678" spans="8:12" x14ac:dyDescent="0.3">
      <c r="H16678" s="2"/>
      <c r="I16678" s="2"/>
      <c r="J16678" s="2"/>
      <c r="K16678" s="2"/>
      <c r="L16678" s="2"/>
    </row>
    <row r="16679" spans="8:12" x14ac:dyDescent="0.3">
      <c r="H16679" s="2"/>
      <c r="I16679" s="2"/>
      <c r="J16679" s="2"/>
      <c r="K16679" s="2"/>
      <c r="L16679" s="2"/>
    </row>
    <row r="16680" spans="8:12" x14ac:dyDescent="0.3">
      <c r="H16680" s="2"/>
      <c r="I16680" s="2"/>
      <c r="J16680" s="2"/>
      <c r="K16680" s="2"/>
      <c r="L16680" s="2"/>
    </row>
    <row r="16681" spans="8:12" x14ac:dyDescent="0.3">
      <c r="H16681" s="2"/>
      <c r="I16681" s="2"/>
      <c r="J16681" s="2"/>
      <c r="K16681" s="2"/>
      <c r="L16681" s="2"/>
    </row>
    <row r="16682" spans="8:12" x14ac:dyDescent="0.3">
      <c r="H16682" s="2"/>
      <c r="I16682" s="2"/>
      <c r="J16682" s="2"/>
      <c r="K16682" s="2"/>
      <c r="L16682" s="2"/>
    </row>
    <row r="16683" spans="8:12" x14ac:dyDescent="0.3">
      <c r="H16683" s="2"/>
      <c r="I16683" s="2"/>
      <c r="J16683" s="2"/>
      <c r="K16683" s="2"/>
      <c r="L16683" s="2"/>
    </row>
    <row r="16684" spans="8:12" x14ac:dyDescent="0.3">
      <c r="H16684" s="2"/>
      <c r="I16684" s="2"/>
      <c r="J16684" s="2"/>
      <c r="K16684" s="2"/>
      <c r="L16684" s="2"/>
    </row>
    <row r="16685" spans="8:12" x14ac:dyDescent="0.3">
      <c r="H16685" s="2"/>
      <c r="I16685" s="2"/>
      <c r="J16685" s="2"/>
      <c r="K16685" s="2"/>
      <c r="L16685" s="2"/>
    </row>
    <row r="16686" spans="8:12" x14ac:dyDescent="0.3">
      <c r="H16686" s="2"/>
      <c r="I16686" s="2"/>
      <c r="J16686" s="2"/>
      <c r="K16686" s="2"/>
      <c r="L16686" s="2"/>
    </row>
    <row r="16687" spans="8:12" x14ac:dyDescent="0.3">
      <c r="H16687" s="2"/>
      <c r="I16687" s="2"/>
      <c r="J16687" s="2"/>
      <c r="K16687" s="2"/>
      <c r="L16687" s="2"/>
    </row>
    <row r="16688" spans="8:12" x14ac:dyDescent="0.3">
      <c r="H16688" s="2"/>
      <c r="I16688" s="2"/>
      <c r="J16688" s="2"/>
      <c r="K16688" s="2"/>
      <c r="L16688" s="2"/>
    </row>
    <row r="16689" spans="8:12" x14ac:dyDescent="0.3">
      <c r="H16689" s="2"/>
      <c r="I16689" s="2"/>
      <c r="J16689" s="2"/>
      <c r="K16689" s="2"/>
      <c r="L16689" s="2"/>
    </row>
    <row r="16690" spans="8:12" x14ac:dyDescent="0.3">
      <c r="H16690" s="2"/>
      <c r="I16690" s="2"/>
      <c r="J16690" s="2"/>
      <c r="K16690" s="2"/>
      <c r="L16690" s="2"/>
    </row>
    <row r="16691" spans="8:12" x14ac:dyDescent="0.3">
      <c r="H16691" s="2"/>
      <c r="I16691" s="2"/>
      <c r="J16691" s="2"/>
      <c r="K16691" s="2"/>
      <c r="L16691" s="2"/>
    </row>
    <row r="16692" spans="8:12" x14ac:dyDescent="0.3">
      <c r="H16692" s="2"/>
      <c r="I16692" s="2"/>
      <c r="J16692" s="2"/>
      <c r="K16692" s="2"/>
      <c r="L16692" s="2"/>
    </row>
    <row r="16693" spans="8:12" x14ac:dyDescent="0.3">
      <c r="H16693" s="2"/>
      <c r="I16693" s="2"/>
      <c r="J16693" s="2"/>
      <c r="K16693" s="2"/>
      <c r="L16693" s="2"/>
    </row>
    <row r="16694" spans="8:12" x14ac:dyDescent="0.3">
      <c r="H16694" s="2"/>
      <c r="I16694" s="2"/>
      <c r="J16694" s="2"/>
      <c r="K16694" s="2"/>
      <c r="L16694" s="2"/>
    </row>
    <row r="16695" spans="8:12" x14ac:dyDescent="0.3">
      <c r="H16695" s="2"/>
      <c r="I16695" s="2"/>
      <c r="J16695" s="2"/>
      <c r="K16695" s="2"/>
      <c r="L16695" s="2"/>
    </row>
    <row r="16696" spans="8:12" x14ac:dyDescent="0.3">
      <c r="H16696" s="2"/>
      <c r="I16696" s="2"/>
      <c r="J16696" s="2"/>
      <c r="K16696" s="2"/>
      <c r="L16696" s="2"/>
    </row>
    <row r="16697" spans="8:12" x14ac:dyDescent="0.3">
      <c r="H16697" s="2"/>
      <c r="I16697" s="2"/>
      <c r="J16697" s="2"/>
      <c r="K16697" s="2"/>
      <c r="L16697" s="2"/>
    </row>
    <row r="16698" spans="8:12" x14ac:dyDescent="0.3">
      <c r="H16698" s="2"/>
      <c r="I16698" s="2"/>
      <c r="J16698" s="2"/>
      <c r="K16698" s="2"/>
      <c r="L16698" s="2"/>
    </row>
    <row r="16699" spans="8:12" x14ac:dyDescent="0.3">
      <c r="H16699" s="2"/>
      <c r="I16699" s="2"/>
      <c r="J16699" s="2"/>
      <c r="K16699" s="2"/>
      <c r="L16699" s="2"/>
    </row>
    <row r="16700" spans="8:12" x14ac:dyDescent="0.3">
      <c r="H16700" s="2"/>
      <c r="I16700" s="2"/>
      <c r="J16700" s="2"/>
      <c r="K16700" s="2"/>
      <c r="L16700" s="2"/>
    </row>
    <row r="16701" spans="8:12" x14ac:dyDescent="0.3">
      <c r="H16701" s="2"/>
      <c r="I16701" s="2"/>
      <c r="J16701" s="2"/>
      <c r="K16701" s="2"/>
      <c r="L16701" s="2"/>
    </row>
    <row r="28320" hidden="1" x14ac:dyDescent="0.3"/>
    <row r="28321" hidden="1" x14ac:dyDescent="0.3"/>
    <row r="28322" hidden="1" x14ac:dyDescent="0.3"/>
    <row r="28323" hidden="1" x14ac:dyDescent="0.3"/>
    <row r="28324" hidden="1" x14ac:dyDescent="0.3"/>
    <row r="28325" hidden="1" x14ac:dyDescent="0.3"/>
    <row r="28326" hidden="1" x14ac:dyDescent="0.3"/>
    <row r="28327" hidden="1" x14ac:dyDescent="0.3"/>
    <row r="28328" hidden="1" x14ac:dyDescent="0.3"/>
    <row r="28329" hidden="1" x14ac:dyDescent="0.3"/>
    <row r="28330" hidden="1" x14ac:dyDescent="0.3"/>
  </sheetData>
  <mergeCells count="1">
    <mergeCell ref="B2:E3"/>
  </mergeCells>
  <phoneticPr fontId="1" type="noConversion"/>
  <conditionalFormatting sqref="E1 E4:E353 E355:E1048576">
    <cfRule type="expression" dxfId="5" priority="12">
      <formula>($F1&lt;&gt;"")</formula>
    </cfRule>
  </conditionalFormatting>
  <conditionalFormatting sqref="A1:D1 A2:A3 A4:D353 A355:D1048576">
    <cfRule type="expression" dxfId="4" priority="10">
      <formula>($A1&lt;&gt;"")</formula>
    </cfRule>
  </conditionalFormatting>
  <conditionalFormatting sqref="B1:D1 B4:D353 B355:D1048576">
    <cfRule type="expression" dxfId="3" priority="9">
      <formula>($B1&lt;&gt;"")</formula>
    </cfRule>
  </conditionalFormatting>
  <conditionalFormatting sqref="C1:D1 C4:D353 C355:D1048576">
    <cfRule type="expression" dxfId="2" priority="8">
      <formula>($C1&lt;&gt;"")</formula>
    </cfRule>
  </conditionalFormatting>
  <conditionalFormatting sqref="D1 D4:D353 D355:D1048576">
    <cfRule type="notContainsBlanks" dxfId="1" priority="15">
      <formula>LEN(TRIM(D1))&gt;0</formula>
    </cfRule>
  </conditionalFormatting>
  <conditionalFormatting sqref="A354:XFD354 H354:Q457">
    <cfRule type="expression" dxfId="0" priority="1">
      <formula>($A354&lt;&gt;"")</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Drop Down 2">
              <controlPr defaultSize="0" autoLine="0" autoPict="0" macro="[0]!FIN">
                <anchor moveWithCells="1">
                  <from>
                    <xdr:col>4</xdr:col>
                    <xdr:colOff>1724025</xdr:colOff>
                    <xdr:row>3</xdr:row>
                    <xdr:rowOff>142875</xdr:rowOff>
                  </from>
                  <to>
                    <xdr:col>4</xdr:col>
                    <xdr:colOff>3124200</xdr:colOff>
                    <xdr:row>4</xdr:row>
                    <xdr:rowOff>114300</xdr:rowOff>
                  </to>
                </anchor>
              </controlPr>
            </control>
          </mc:Choice>
        </mc:AlternateContent>
        <mc:AlternateContent xmlns:mc="http://schemas.openxmlformats.org/markup-compatibility/2006">
          <mc:Choice Requires="x14">
            <control shapeId="1028" r:id="rId5" name="Drop Down 4">
              <controlPr defaultSize="0" autoLine="0" autoPict="0">
                <anchor moveWithCells="1">
                  <from>
                    <xdr:col>4</xdr:col>
                    <xdr:colOff>3228975</xdr:colOff>
                    <xdr:row>3</xdr:row>
                    <xdr:rowOff>142875</xdr:rowOff>
                  </from>
                  <to>
                    <xdr:col>4</xdr:col>
                    <xdr:colOff>3771900</xdr:colOff>
                    <xdr:row>4</xdr:row>
                    <xdr:rowOff>114300</xdr:rowOff>
                  </to>
                </anchor>
              </controlPr>
            </control>
          </mc:Choice>
        </mc:AlternateContent>
        <mc:AlternateContent xmlns:mc="http://schemas.openxmlformats.org/markup-compatibility/2006">
          <mc:Choice Requires="x14">
            <control shapeId="1029" r:id="rId6" name="Drop Down 5">
              <controlPr defaultSize="0" autoLine="0" autoPict="0">
                <anchor moveWithCells="1">
                  <from>
                    <xdr:col>9</xdr:col>
                    <xdr:colOff>1066800</xdr:colOff>
                    <xdr:row>1</xdr:row>
                    <xdr:rowOff>104775</xdr:rowOff>
                  </from>
                  <to>
                    <xdr:col>10</xdr:col>
                    <xdr:colOff>600075</xdr:colOff>
                    <xdr:row>2</xdr:row>
                    <xdr:rowOff>76200</xdr:rowOff>
                  </to>
                </anchor>
              </controlPr>
            </control>
          </mc:Choice>
        </mc:AlternateContent>
        <mc:AlternateContent xmlns:mc="http://schemas.openxmlformats.org/markup-compatibility/2006">
          <mc:Choice Requires="x14">
            <control shapeId="1030" r:id="rId7" name="Drop Down 6">
              <controlPr defaultSize="0" autoLine="0" autoPict="0">
                <anchor moveWithCells="1">
                  <from>
                    <xdr:col>10</xdr:col>
                    <xdr:colOff>695325</xdr:colOff>
                    <xdr:row>1</xdr:row>
                    <xdr:rowOff>104775</xdr:rowOff>
                  </from>
                  <to>
                    <xdr:col>10</xdr:col>
                    <xdr:colOff>1333500</xdr:colOff>
                    <xdr:row>2</xdr:row>
                    <xdr:rowOff>76200</xdr:rowOff>
                  </to>
                </anchor>
              </controlPr>
            </control>
          </mc:Choice>
        </mc:AlternateContent>
        <mc:AlternateContent xmlns:mc="http://schemas.openxmlformats.org/markup-compatibility/2006">
          <mc:Choice Requires="x14">
            <control shapeId="1039" r:id="rId8" name="Drop Down 15">
              <controlPr defaultSize="0" autoLine="0" autoPict="0">
                <anchor moveWithCells="1">
                  <from>
                    <xdr:col>4</xdr:col>
                    <xdr:colOff>466725</xdr:colOff>
                    <xdr:row>3</xdr:row>
                    <xdr:rowOff>142875</xdr:rowOff>
                  </from>
                  <to>
                    <xdr:col>4</xdr:col>
                    <xdr:colOff>1181100</xdr:colOff>
                    <xdr:row>4</xdr:row>
                    <xdr:rowOff>114300</xdr:rowOff>
                  </to>
                </anchor>
              </controlPr>
            </control>
          </mc:Choice>
        </mc:AlternateContent>
        <mc:AlternateContent xmlns:mc="http://schemas.openxmlformats.org/markup-compatibility/2006">
          <mc:Choice Requires="x14">
            <control shapeId="1040" r:id="rId9" name="Drop Down 16">
              <controlPr defaultSize="0" autoLine="0" autoPict="0" macro="[0]!FIN">
                <anchor moveWithCells="1">
                  <from>
                    <xdr:col>1</xdr:col>
                    <xdr:colOff>9525</xdr:colOff>
                    <xdr:row>3</xdr:row>
                    <xdr:rowOff>142875</xdr:rowOff>
                  </from>
                  <to>
                    <xdr:col>4</xdr:col>
                    <xdr:colOff>400050</xdr:colOff>
                    <xdr:row>4</xdr:row>
                    <xdr:rowOff>114300</xdr:rowOff>
                  </to>
                </anchor>
              </controlPr>
            </control>
          </mc:Choice>
        </mc:AlternateContent>
        <mc:AlternateContent xmlns:mc="http://schemas.openxmlformats.org/markup-compatibility/2006">
          <mc:Choice Requires="x14">
            <control shapeId="1031" r:id="rId10" name="Group Box 7">
              <controlPr defaultSize="0" autoFill="0" autoPict="0">
                <anchor moveWithCells="1" sizeWithCells="1">
                  <from>
                    <xdr:col>8</xdr:col>
                    <xdr:colOff>266700</xdr:colOff>
                    <xdr:row>1</xdr:row>
                    <xdr:rowOff>57150</xdr:rowOff>
                  </from>
                  <to>
                    <xdr:col>9</xdr:col>
                    <xdr:colOff>942975</xdr:colOff>
                    <xdr:row>2</xdr:row>
                    <xdr:rowOff>123825</xdr:rowOff>
                  </to>
                </anchor>
              </controlPr>
            </control>
          </mc:Choice>
        </mc:AlternateContent>
        <mc:AlternateContent xmlns:mc="http://schemas.openxmlformats.org/markup-compatibility/2006">
          <mc:Choice Requires="x14">
            <control shapeId="1032" r:id="rId11" name="Option Button 8">
              <controlPr defaultSize="0" autoFill="0" autoLine="0" autoPict="0">
                <anchor moveWithCells="1" sizeWithCells="1">
                  <from>
                    <xdr:col>9</xdr:col>
                    <xdr:colOff>514350</xdr:colOff>
                    <xdr:row>1</xdr:row>
                    <xdr:rowOff>114300</xdr:rowOff>
                  </from>
                  <to>
                    <xdr:col>9</xdr:col>
                    <xdr:colOff>914400</xdr:colOff>
                    <xdr:row>2</xdr:row>
                    <xdr:rowOff>76200</xdr:rowOff>
                  </to>
                </anchor>
              </controlPr>
            </control>
          </mc:Choice>
        </mc:AlternateContent>
        <mc:AlternateContent xmlns:mc="http://schemas.openxmlformats.org/markup-compatibility/2006">
          <mc:Choice Requires="x14">
            <control shapeId="1033" r:id="rId12" name="Option Button 9">
              <controlPr defaultSize="0" autoFill="0" autoLine="0" autoPict="0">
                <anchor moveWithCells="1" sizeWithCells="1">
                  <from>
                    <xdr:col>8</xdr:col>
                    <xdr:colOff>1295400</xdr:colOff>
                    <xdr:row>1</xdr:row>
                    <xdr:rowOff>114300</xdr:rowOff>
                  </from>
                  <to>
                    <xdr:col>9</xdr:col>
                    <xdr:colOff>457200</xdr:colOff>
                    <xdr:row>2</xdr:row>
                    <xdr:rowOff>76200</xdr:rowOff>
                  </to>
                </anchor>
              </controlPr>
            </control>
          </mc:Choice>
        </mc:AlternateContent>
        <mc:AlternateContent xmlns:mc="http://schemas.openxmlformats.org/markup-compatibility/2006">
          <mc:Choice Requires="x14">
            <control shapeId="1034" r:id="rId13" name="Option Button 10">
              <controlPr defaultSize="0" autoFill="0" autoLine="0" autoPict="0">
                <anchor moveWithCells="1" sizeWithCells="1">
                  <from>
                    <xdr:col>8</xdr:col>
                    <xdr:colOff>885825</xdr:colOff>
                    <xdr:row>1</xdr:row>
                    <xdr:rowOff>114300</xdr:rowOff>
                  </from>
                  <to>
                    <xdr:col>8</xdr:col>
                    <xdr:colOff>1247775</xdr:colOff>
                    <xdr:row>2</xdr:row>
                    <xdr:rowOff>76200</xdr:rowOff>
                  </to>
                </anchor>
              </controlPr>
            </control>
          </mc:Choice>
        </mc:AlternateContent>
        <mc:AlternateContent xmlns:mc="http://schemas.openxmlformats.org/markup-compatibility/2006">
          <mc:Choice Requires="x14">
            <control shapeId="1035" r:id="rId14" name="Option Button 11">
              <controlPr defaultSize="0" autoFill="0" autoLine="0" autoPict="0">
                <anchor moveWithCells="1" sizeWithCells="1">
                  <from>
                    <xdr:col>8</xdr:col>
                    <xdr:colOff>323850</xdr:colOff>
                    <xdr:row>1</xdr:row>
                    <xdr:rowOff>114300</xdr:rowOff>
                  </from>
                  <to>
                    <xdr:col>8</xdr:col>
                    <xdr:colOff>828675</xdr:colOff>
                    <xdr:row>2</xdr:row>
                    <xdr:rowOff>76200</xdr:rowOff>
                  </to>
                </anchor>
              </controlPr>
            </control>
          </mc:Choice>
        </mc:AlternateContent>
        <mc:AlternateContent xmlns:mc="http://schemas.openxmlformats.org/markup-compatibility/2006">
          <mc:Choice Requires="x14">
            <control shapeId="1042" r:id="rId15" name="Button 18">
              <controlPr defaultSize="0" print="0" autoFill="0" autoPict="0" macro="[0]!현재_통합_문서.search_code">
                <anchor moveWithCells="1">
                  <from>
                    <xdr:col>11</xdr:col>
                    <xdr:colOff>200025</xdr:colOff>
                    <xdr:row>1</xdr:row>
                    <xdr:rowOff>47625</xdr:rowOff>
                  </from>
                  <to>
                    <xdr:col>11</xdr:col>
                    <xdr:colOff>1238250</xdr:colOff>
                    <xdr:row>2</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4059"/>
  <sheetViews>
    <sheetView showGridLines="0" workbookViewId="0"/>
  </sheetViews>
  <sheetFormatPr defaultRowHeight="16.5" outlineLevelRow="4" x14ac:dyDescent="0.3"/>
  <cols>
    <col min="1" max="5" width="9" customWidth="1"/>
  </cols>
  <sheetData>
    <row r="1" spans="1:4" x14ac:dyDescent="0.3">
      <c r="A1" t="s">
        <v>0</v>
      </c>
    </row>
    <row r="2" spans="1:4" outlineLevel="1" x14ac:dyDescent="0.3">
      <c r="B2" t="s">
        <v>1</v>
      </c>
    </row>
    <row r="3" spans="1:4" hidden="1" outlineLevel="2" x14ac:dyDescent="0.3">
      <c r="C3" t="s">
        <v>2</v>
      </c>
    </row>
    <row r="4" spans="1:4" hidden="1" outlineLevel="2" x14ac:dyDescent="0.3">
      <c r="C4" t="s">
        <v>3</v>
      </c>
    </row>
    <row r="5" spans="1:4" hidden="1" outlineLevel="2" x14ac:dyDescent="0.3">
      <c r="C5" t="s">
        <v>4</v>
      </c>
    </row>
    <row r="6" spans="1:4" hidden="1" outlineLevel="2" x14ac:dyDescent="0.3">
      <c r="C6" t="s">
        <v>5</v>
      </c>
    </row>
    <row r="7" spans="1:4" hidden="1" outlineLevel="2" x14ac:dyDescent="0.3">
      <c r="C7" t="s">
        <v>6</v>
      </c>
    </row>
    <row r="8" spans="1:4" hidden="1" outlineLevel="2" x14ac:dyDescent="0.3">
      <c r="C8" t="s">
        <v>7</v>
      </c>
    </row>
    <row r="9" spans="1:4" hidden="1" outlineLevel="2" x14ac:dyDescent="0.3">
      <c r="C9" t="s">
        <v>8</v>
      </c>
    </row>
    <row r="10" spans="1:4" hidden="1" outlineLevel="2" x14ac:dyDescent="0.3">
      <c r="C10" t="s">
        <v>9</v>
      </c>
    </row>
    <row r="11" spans="1:4" hidden="1" outlineLevel="2" x14ac:dyDescent="0.3">
      <c r="C11" t="s">
        <v>10</v>
      </c>
    </row>
    <row r="12" spans="1:4" hidden="1" outlineLevel="2" x14ac:dyDescent="0.3">
      <c r="C12" t="s">
        <v>11</v>
      </c>
    </row>
    <row r="13" spans="1:4" hidden="1" outlineLevel="2" x14ac:dyDescent="0.3">
      <c r="C13" t="s">
        <v>12</v>
      </c>
    </row>
    <row r="14" spans="1:4" hidden="1" outlineLevel="2" x14ac:dyDescent="0.3">
      <c r="C14" t="s">
        <v>13</v>
      </c>
    </row>
    <row r="15" spans="1:4" hidden="1" outlineLevel="2" x14ac:dyDescent="0.3">
      <c r="C15" t="s">
        <v>14</v>
      </c>
    </row>
    <row r="16" spans="1:4" hidden="1" outlineLevel="3" x14ac:dyDescent="0.3">
      <c r="D16" t="s">
        <v>519</v>
      </c>
    </row>
    <row r="17" spans="1:3" outlineLevel="1" collapsed="1" x14ac:dyDescent="0.3">
      <c r="B17" t="s">
        <v>15</v>
      </c>
    </row>
    <row r="18" spans="1:3" outlineLevel="1" x14ac:dyDescent="0.3">
      <c r="B18" t="s">
        <v>16</v>
      </c>
    </row>
    <row r="19" spans="1:3" hidden="1" outlineLevel="2" x14ac:dyDescent="0.3">
      <c r="C19" t="s">
        <v>17</v>
      </c>
    </row>
    <row r="20" spans="1:3" hidden="1" outlineLevel="2" x14ac:dyDescent="0.3">
      <c r="C20" t="s">
        <v>18</v>
      </c>
    </row>
    <row r="21" spans="1:3" hidden="1" outlineLevel="2" x14ac:dyDescent="0.3">
      <c r="C21" t="s">
        <v>19</v>
      </c>
    </row>
    <row r="22" spans="1:3" hidden="1" outlineLevel="2" x14ac:dyDescent="0.3">
      <c r="C22" t="s">
        <v>20</v>
      </c>
    </row>
    <row r="23" spans="1:3" hidden="1" outlineLevel="2" x14ac:dyDescent="0.3">
      <c r="C23" t="s">
        <v>21</v>
      </c>
    </row>
    <row r="24" spans="1:3" hidden="1" outlineLevel="2" x14ac:dyDescent="0.3">
      <c r="C24" t="s">
        <v>22</v>
      </c>
    </row>
    <row r="25" spans="1:3" hidden="1" outlineLevel="2" x14ac:dyDescent="0.3">
      <c r="C25" t="s">
        <v>23</v>
      </c>
    </row>
    <row r="26" spans="1:3" hidden="1" outlineLevel="2" x14ac:dyDescent="0.3">
      <c r="C26" t="s">
        <v>24</v>
      </c>
    </row>
    <row r="27" spans="1:3" outlineLevel="1" collapsed="1" x14ac:dyDescent="0.3">
      <c r="B27" t="s">
        <v>25</v>
      </c>
    </row>
    <row r="28" spans="1:3" x14ac:dyDescent="0.3">
      <c r="A28" t="s">
        <v>26</v>
      </c>
    </row>
    <row r="29" spans="1:3" outlineLevel="1" x14ac:dyDescent="0.3">
      <c r="B29" t="s">
        <v>27</v>
      </c>
    </row>
    <row r="30" spans="1:3" hidden="1" outlineLevel="2" x14ac:dyDescent="0.3">
      <c r="C30" t="s">
        <v>28</v>
      </c>
    </row>
    <row r="31" spans="1:3" hidden="1" outlineLevel="2" x14ac:dyDescent="0.3">
      <c r="C31" t="s">
        <v>29</v>
      </c>
    </row>
    <row r="32" spans="1:3" hidden="1" outlineLevel="2" x14ac:dyDescent="0.3">
      <c r="C32" t="s">
        <v>30</v>
      </c>
    </row>
    <row r="33" spans="1:4" hidden="1" outlineLevel="2" x14ac:dyDescent="0.3">
      <c r="C33" t="s">
        <v>31</v>
      </c>
    </row>
    <row r="34" spans="1:4" hidden="1" outlineLevel="2" x14ac:dyDescent="0.3">
      <c r="C34" t="s">
        <v>32</v>
      </c>
    </row>
    <row r="35" spans="1:4" hidden="1" outlineLevel="2" x14ac:dyDescent="0.3">
      <c r="C35" t="s">
        <v>33</v>
      </c>
    </row>
    <row r="36" spans="1:4" hidden="1" outlineLevel="2" x14ac:dyDescent="0.3">
      <c r="C36" t="s">
        <v>34</v>
      </c>
    </row>
    <row r="37" spans="1:4" outlineLevel="1" collapsed="1" x14ac:dyDescent="0.3">
      <c r="B37" t="s">
        <v>35</v>
      </c>
    </row>
    <row r="38" spans="1:4" outlineLevel="1" x14ac:dyDescent="0.3">
      <c r="B38" t="s">
        <v>36</v>
      </c>
    </row>
    <row r="39" spans="1:4" outlineLevel="1" x14ac:dyDescent="0.3">
      <c r="B39" t="s">
        <v>520</v>
      </c>
    </row>
    <row r="40" spans="1:4" x14ac:dyDescent="0.3">
      <c r="A40" t="s">
        <v>37</v>
      </c>
    </row>
    <row r="41" spans="1:4" outlineLevel="1" x14ac:dyDescent="0.3">
      <c r="B41" t="s">
        <v>38</v>
      </c>
    </row>
    <row r="42" spans="1:4" hidden="1" outlineLevel="2" x14ac:dyDescent="0.3">
      <c r="C42" t="s">
        <v>39</v>
      </c>
    </row>
    <row r="43" spans="1:4" hidden="1" outlineLevel="2" x14ac:dyDescent="0.3">
      <c r="C43" t="s">
        <v>40</v>
      </c>
    </row>
    <row r="44" spans="1:4" hidden="1" outlineLevel="2" x14ac:dyDescent="0.3">
      <c r="C44" t="s">
        <v>41</v>
      </c>
    </row>
    <row r="45" spans="1:4" hidden="1" outlineLevel="2" x14ac:dyDescent="0.3">
      <c r="C45" t="s">
        <v>42</v>
      </c>
    </row>
    <row r="46" spans="1:4" hidden="1" outlineLevel="2" x14ac:dyDescent="0.3">
      <c r="C46" t="s">
        <v>43</v>
      </c>
    </row>
    <row r="47" spans="1:4" hidden="1" outlineLevel="2" x14ac:dyDescent="0.3">
      <c r="C47" t="s">
        <v>44</v>
      </c>
    </row>
    <row r="48" spans="1:4" hidden="1" outlineLevel="3" x14ac:dyDescent="0.3">
      <c r="D48" t="s">
        <v>521</v>
      </c>
    </row>
    <row r="49" spans="2:4" hidden="1" outlineLevel="2" x14ac:dyDescent="0.3">
      <c r="C49" t="s">
        <v>45</v>
      </c>
    </row>
    <row r="50" spans="2:4" hidden="1" outlineLevel="2" x14ac:dyDescent="0.3">
      <c r="C50" t="s">
        <v>46</v>
      </c>
    </row>
    <row r="51" spans="2:4" hidden="1" outlineLevel="2" x14ac:dyDescent="0.3">
      <c r="C51" t="s">
        <v>47</v>
      </c>
    </row>
    <row r="52" spans="2:4" hidden="1" outlineLevel="2" x14ac:dyDescent="0.3">
      <c r="C52" t="s">
        <v>48</v>
      </c>
    </row>
    <row r="53" spans="2:4" hidden="1" outlineLevel="2" x14ac:dyDescent="0.3">
      <c r="C53" t="s">
        <v>49</v>
      </c>
    </row>
    <row r="54" spans="2:4" hidden="1" outlineLevel="2" x14ac:dyDescent="0.3">
      <c r="C54" t="s">
        <v>50</v>
      </c>
    </row>
    <row r="55" spans="2:4" outlineLevel="1" collapsed="1" x14ac:dyDescent="0.3">
      <c r="B55" t="s">
        <v>51</v>
      </c>
    </row>
    <row r="56" spans="2:4" outlineLevel="1" x14ac:dyDescent="0.3">
      <c r="B56" t="s">
        <v>52</v>
      </c>
    </row>
    <row r="57" spans="2:4" hidden="1" outlineLevel="2" x14ac:dyDescent="0.3">
      <c r="C57" t="s">
        <v>53</v>
      </c>
    </row>
    <row r="58" spans="2:4" hidden="1" outlineLevel="2" x14ac:dyDescent="0.3">
      <c r="C58" t="s">
        <v>54</v>
      </c>
    </row>
    <row r="59" spans="2:4" hidden="1" outlineLevel="2" x14ac:dyDescent="0.3">
      <c r="C59" t="s">
        <v>55</v>
      </c>
    </row>
    <row r="60" spans="2:4" hidden="1" outlineLevel="2" x14ac:dyDescent="0.3">
      <c r="C60" t="s">
        <v>56</v>
      </c>
    </row>
    <row r="61" spans="2:4" hidden="1" outlineLevel="2" x14ac:dyDescent="0.3">
      <c r="C61" t="s">
        <v>57</v>
      </c>
    </row>
    <row r="62" spans="2:4" hidden="1" outlineLevel="2" x14ac:dyDescent="0.3">
      <c r="C62" t="s">
        <v>58</v>
      </c>
    </row>
    <row r="63" spans="2:4" hidden="1" outlineLevel="2" x14ac:dyDescent="0.3">
      <c r="C63" t="s">
        <v>59</v>
      </c>
    </row>
    <row r="64" spans="2:4" hidden="1" outlineLevel="3" x14ac:dyDescent="0.3">
      <c r="D64" t="s">
        <v>522</v>
      </c>
    </row>
    <row r="65" spans="1:3" hidden="1" outlineLevel="2" x14ac:dyDescent="0.3">
      <c r="C65" t="s">
        <v>60</v>
      </c>
    </row>
    <row r="66" spans="1:3" hidden="1" outlineLevel="2" x14ac:dyDescent="0.3">
      <c r="C66" t="s">
        <v>61</v>
      </c>
    </row>
    <row r="67" spans="1:3" hidden="1" outlineLevel="2" x14ac:dyDescent="0.3">
      <c r="C67" t="s">
        <v>62</v>
      </c>
    </row>
    <row r="68" spans="1:3" hidden="1" outlineLevel="2" x14ac:dyDescent="0.3">
      <c r="C68" t="s">
        <v>63</v>
      </c>
    </row>
    <row r="69" spans="1:3" hidden="1" outlineLevel="2" x14ac:dyDescent="0.3">
      <c r="C69" t="s">
        <v>64</v>
      </c>
    </row>
    <row r="70" spans="1:3" hidden="1" outlineLevel="2" x14ac:dyDescent="0.3">
      <c r="C70" t="s">
        <v>65</v>
      </c>
    </row>
    <row r="76" spans="1:3" x14ac:dyDescent="0.3">
      <c r="A76" t="s">
        <v>66</v>
      </c>
    </row>
    <row r="77" spans="1:3" x14ac:dyDescent="0.3">
      <c r="A77" t="s">
        <v>69</v>
      </c>
    </row>
    <row r="78" spans="1:3" x14ac:dyDescent="0.3">
      <c r="A78" t="s">
        <v>72</v>
      </c>
    </row>
    <row r="79" spans="1:3" x14ac:dyDescent="0.3">
      <c r="A79" t="s">
        <v>75</v>
      </c>
    </row>
    <row r="80" spans="1:3" outlineLevel="1" x14ac:dyDescent="0.3">
      <c r="B80" t="s">
        <v>78</v>
      </c>
    </row>
    <row r="81" spans="1:2" outlineLevel="1" x14ac:dyDescent="0.3">
      <c r="B81" t="s">
        <v>81</v>
      </c>
    </row>
    <row r="82" spans="1:2" outlineLevel="1" x14ac:dyDescent="0.3">
      <c r="B82" t="s">
        <v>84</v>
      </c>
    </row>
    <row r="83" spans="1:2" outlineLevel="1" x14ac:dyDescent="0.3">
      <c r="B83" t="s">
        <v>87</v>
      </c>
    </row>
    <row r="84" spans="1:2" outlineLevel="1" x14ac:dyDescent="0.3">
      <c r="B84" t="s">
        <v>90</v>
      </c>
    </row>
    <row r="85" spans="1:2" outlineLevel="1" x14ac:dyDescent="0.3">
      <c r="B85" t="s">
        <v>93</v>
      </c>
    </row>
    <row r="86" spans="1:2" outlineLevel="1" x14ac:dyDescent="0.3">
      <c r="B86" t="s">
        <v>96</v>
      </c>
    </row>
    <row r="87" spans="1:2" x14ac:dyDescent="0.3">
      <c r="A87" t="s">
        <v>99</v>
      </c>
    </row>
    <row r="88" spans="1:2" x14ac:dyDescent="0.3">
      <c r="A88" t="s">
        <v>102</v>
      </c>
    </row>
    <row r="89" spans="1:2" x14ac:dyDescent="0.3">
      <c r="A89" t="s">
        <v>105</v>
      </c>
    </row>
    <row r="90" spans="1:2" outlineLevel="1" x14ac:dyDescent="0.3">
      <c r="B90" t="s">
        <v>108</v>
      </c>
    </row>
    <row r="91" spans="1:2" outlineLevel="1" x14ac:dyDescent="0.3">
      <c r="B91" t="s">
        <v>111</v>
      </c>
    </row>
    <row r="92" spans="1:2" outlineLevel="1" x14ac:dyDescent="0.3">
      <c r="B92" t="s">
        <v>114</v>
      </c>
    </row>
    <row r="93" spans="1:2" outlineLevel="1" x14ac:dyDescent="0.3">
      <c r="B93" t="s">
        <v>117</v>
      </c>
    </row>
    <row r="94" spans="1:2" outlineLevel="1" x14ac:dyDescent="0.3">
      <c r="B94" t="s">
        <v>120</v>
      </c>
    </row>
    <row r="95" spans="1:2" outlineLevel="1" x14ac:dyDescent="0.3">
      <c r="B95" t="s">
        <v>123</v>
      </c>
    </row>
    <row r="96" spans="1:2" outlineLevel="1" x14ac:dyDescent="0.3">
      <c r="B96" t="s">
        <v>126</v>
      </c>
    </row>
    <row r="97" spans="2:2" outlineLevel="1" x14ac:dyDescent="0.3">
      <c r="B97" t="s">
        <v>129</v>
      </c>
    </row>
    <row r="98" spans="2:2" outlineLevel="1" x14ac:dyDescent="0.3">
      <c r="B98" t="s">
        <v>132</v>
      </c>
    </row>
    <row r="99" spans="2:2" outlineLevel="1" x14ac:dyDescent="0.3">
      <c r="B99" t="s">
        <v>135</v>
      </c>
    </row>
    <row r="100" spans="2:2" outlineLevel="1" x14ac:dyDescent="0.3">
      <c r="B100" t="s">
        <v>138</v>
      </c>
    </row>
    <row r="101" spans="2:2" outlineLevel="1" x14ac:dyDescent="0.3">
      <c r="B101" t="s">
        <v>141</v>
      </c>
    </row>
    <row r="102" spans="2:2" outlineLevel="1" x14ac:dyDescent="0.3">
      <c r="B102" t="s">
        <v>144</v>
      </c>
    </row>
    <row r="103" spans="2:2" outlineLevel="1" x14ac:dyDescent="0.3">
      <c r="B103" t="s">
        <v>147</v>
      </c>
    </row>
    <row r="104" spans="2:2" outlineLevel="1" x14ac:dyDescent="0.3">
      <c r="B104" t="s">
        <v>150</v>
      </c>
    </row>
    <row r="105" spans="2:2" outlineLevel="1" x14ac:dyDescent="0.3">
      <c r="B105" t="s">
        <v>153</v>
      </c>
    </row>
    <row r="106" spans="2:2" outlineLevel="1" x14ac:dyDescent="0.3">
      <c r="B106" t="s">
        <v>156</v>
      </c>
    </row>
    <row r="107" spans="2:2" outlineLevel="1" x14ac:dyDescent="0.3">
      <c r="B107" t="s">
        <v>159</v>
      </c>
    </row>
    <row r="108" spans="2:2" outlineLevel="1" x14ac:dyDescent="0.3">
      <c r="B108" t="s">
        <v>162</v>
      </c>
    </row>
    <row r="109" spans="2:2" outlineLevel="1" x14ac:dyDescent="0.3">
      <c r="B109" t="s">
        <v>165</v>
      </c>
    </row>
    <row r="110" spans="2:2" outlineLevel="1" x14ac:dyDescent="0.3">
      <c r="B110" t="s">
        <v>168</v>
      </c>
    </row>
    <row r="111" spans="2:2" outlineLevel="1" x14ac:dyDescent="0.3">
      <c r="B111" t="s">
        <v>171</v>
      </c>
    </row>
    <row r="112" spans="2:2" outlineLevel="1" x14ac:dyDescent="0.3">
      <c r="B112" t="s">
        <v>174</v>
      </c>
    </row>
    <row r="113" spans="1:2" x14ac:dyDescent="0.3">
      <c r="A113" t="s">
        <v>177</v>
      </c>
    </row>
    <row r="114" spans="1:2" outlineLevel="1" x14ac:dyDescent="0.3">
      <c r="B114" t="s">
        <v>180</v>
      </c>
    </row>
    <row r="115" spans="1:2" outlineLevel="1" x14ac:dyDescent="0.3">
      <c r="B115" t="s">
        <v>183</v>
      </c>
    </row>
    <row r="116" spans="1:2" outlineLevel="1" x14ac:dyDescent="0.3">
      <c r="B116" t="s">
        <v>186</v>
      </c>
    </row>
    <row r="117" spans="1:2" outlineLevel="1" x14ac:dyDescent="0.3">
      <c r="B117" t="s">
        <v>189</v>
      </c>
    </row>
    <row r="118" spans="1:2" outlineLevel="1" x14ac:dyDescent="0.3">
      <c r="B118" t="s">
        <v>192</v>
      </c>
    </row>
    <row r="119" spans="1:2" outlineLevel="1" x14ac:dyDescent="0.3">
      <c r="B119" t="s">
        <v>195</v>
      </c>
    </row>
    <row r="120" spans="1:2" outlineLevel="1" x14ac:dyDescent="0.3">
      <c r="B120" t="s">
        <v>198</v>
      </c>
    </row>
    <row r="121" spans="1:2" outlineLevel="1" x14ac:dyDescent="0.3">
      <c r="B121" t="s">
        <v>201</v>
      </c>
    </row>
    <row r="122" spans="1:2" outlineLevel="1" x14ac:dyDescent="0.3">
      <c r="B122" t="s">
        <v>204</v>
      </c>
    </row>
    <row r="123" spans="1:2" outlineLevel="1" x14ac:dyDescent="0.3">
      <c r="B123" t="s">
        <v>207</v>
      </c>
    </row>
    <row r="124" spans="1:2" outlineLevel="1" x14ac:dyDescent="0.3">
      <c r="B124" t="s">
        <v>210</v>
      </c>
    </row>
    <row r="125" spans="1:2" outlineLevel="1" x14ac:dyDescent="0.3">
      <c r="B125" t="s">
        <v>213</v>
      </c>
    </row>
    <row r="126" spans="1:2" outlineLevel="1" x14ac:dyDescent="0.3">
      <c r="B126" t="s">
        <v>216</v>
      </c>
    </row>
    <row r="127" spans="1:2" outlineLevel="1" x14ac:dyDescent="0.3">
      <c r="B127" t="s">
        <v>219</v>
      </c>
    </row>
    <row r="128" spans="1:2" outlineLevel="1" x14ac:dyDescent="0.3">
      <c r="B128" t="s">
        <v>222</v>
      </c>
    </row>
    <row r="129" spans="1:2" outlineLevel="1" x14ac:dyDescent="0.3">
      <c r="B129" t="s">
        <v>225</v>
      </c>
    </row>
    <row r="130" spans="1:2" outlineLevel="1" x14ac:dyDescent="0.3">
      <c r="B130" t="s">
        <v>228</v>
      </c>
    </row>
    <row r="131" spans="1:2" outlineLevel="1" x14ac:dyDescent="0.3">
      <c r="B131" t="s">
        <v>231</v>
      </c>
    </row>
    <row r="132" spans="1:2" x14ac:dyDescent="0.3">
      <c r="A132" t="s">
        <v>234</v>
      </c>
    </row>
    <row r="133" spans="1:2" outlineLevel="1" x14ac:dyDescent="0.3">
      <c r="B133" t="s">
        <v>237</v>
      </c>
    </row>
    <row r="134" spans="1:2" outlineLevel="1" x14ac:dyDescent="0.3">
      <c r="B134" t="s">
        <v>240</v>
      </c>
    </row>
    <row r="135" spans="1:2" outlineLevel="1" x14ac:dyDescent="0.3">
      <c r="B135" t="s">
        <v>243</v>
      </c>
    </row>
    <row r="136" spans="1:2" outlineLevel="1" x14ac:dyDescent="0.3">
      <c r="B136" t="s">
        <v>246</v>
      </c>
    </row>
    <row r="137" spans="1:2" outlineLevel="1" x14ac:dyDescent="0.3">
      <c r="B137" t="s">
        <v>249</v>
      </c>
    </row>
    <row r="138" spans="1:2" outlineLevel="1" x14ac:dyDescent="0.3">
      <c r="B138" t="s">
        <v>252</v>
      </c>
    </row>
    <row r="139" spans="1:2" outlineLevel="1" x14ac:dyDescent="0.3">
      <c r="B139" t="s">
        <v>255</v>
      </c>
    </row>
    <row r="140" spans="1:2" outlineLevel="1" x14ac:dyDescent="0.3">
      <c r="B140" t="s">
        <v>258</v>
      </c>
    </row>
    <row r="141" spans="1:2" outlineLevel="1" x14ac:dyDescent="0.3">
      <c r="B141" t="s">
        <v>261</v>
      </c>
    </row>
    <row r="142" spans="1:2" outlineLevel="1" x14ac:dyDescent="0.3">
      <c r="B142" t="s">
        <v>264</v>
      </c>
    </row>
    <row r="143" spans="1:2" outlineLevel="1" x14ac:dyDescent="0.3">
      <c r="B143" t="s">
        <v>267</v>
      </c>
    </row>
    <row r="144" spans="1:2" outlineLevel="1" x14ac:dyDescent="0.3">
      <c r="B144" t="s">
        <v>270</v>
      </c>
    </row>
    <row r="145" spans="1:2" outlineLevel="1" x14ac:dyDescent="0.3">
      <c r="B145" t="s">
        <v>273</v>
      </c>
    </row>
    <row r="146" spans="1:2" x14ac:dyDescent="0.3">
      <c r="A146" t="s">
        <v>276</v>
      </c>
    </row>
    <row r="147" spans="1:2" outlineLevel="1" x14ac:dyDescent="0.3">
      <c r="B147" t="s">
        <v>279</v>
      </c>
    </row>
    <row r="148" spans="1:2" outlineLevel="1" x14ac:dyDescent="0.3">
      <c r="B148" t="s">
        <v>282</v>
      </c>
    </row>
    <row r="149" spans="1:2" outlineLevel="1" x14ac:dyDescent="0.3">
      <c r="B149" t="s">
        <v>285</v>
      </c>
    </row>
    <row r="150" spans="1:2" outlineLevel="1" x14ac:dyDescent="0.3">
      <c r="B150" t="s">
        <v>288</v>
      </c>
    </row>
    <row r="151" spans="1:2" outlineLevel="1" x14ac:dyDescent="0.3">
      <c r="B151" t="s">
        <v>291</v>
      </c>
    </row>
    <row r="152" spans="1:2" outlineLevel="1" x14ac:dyDescent="0.3">
      <c r="B152" t="s">
        <v>294</v>
      </c>
    </row>
    <row r="153" spans="1:2" outlineLevel="1" x14ac:dyDescent="0.3">
      <c r="B153" t="s">
        <v>297</v>
      </c>
    </row>
    <row r="154" spans="1:2" outlineLevel="1" x14ac:dyDescent="0.3">
      <c r="B154" t="s">
        <v>300</v>
      </c>
    </row>
    <row r="155" spans="1:2" outlineLevel="1" x14ac:dyDescent="0.3">
      <c r="B155" t="s">
        <v>303</v>
      </c>
    </row>
    <row r="156" spans="1:2" outlineLevel="1" x14ac:dyDescent="0.3">
      <c r="B156" t="s">
        <v>306</v>
      </c>
    </row>
    <row r="157" spans="1:2" outlineLevel="1" x14ac:dyDescent="0.3">
      <c r="B157" t="s">
        <v>309</v>
      </c>
    </row>
    <row r="158" spans="1:2" outlineLevel="1" x14ac:dyDescent="0.3">
      <c r="B158" t="s">
        <v>312</v>
      </c>
    </row>
    <row r="159" spans="1:2" x14ac:dyDescent="0.3">
      <c r="A159" t="s">
        <v>315</v>
      </c>
    </row>
    <row r="160" spans="1:2" outlineLevel="1" x14ac:dyDescent="0.3">
      <c r="B160" t="s">
        <v>318</v>
      </c>
    </row>
    <row r="161" spans="1:2" outlineLevel="1" x14ac:dyDescent="0.3">
      <c r="B161" t="s">
        <v>321</v>
      </c>
    </row>
    <row r="162" spans="1:2" outlineLevel="1" x14ac:dyDescent="0.3">
      <c r="B162" t="s">
        <v>324</v>
      </c>
    </row>
    <row r="163" spans="1:2" outlineLevel="1" x14ac:dyDescent="0.3">
      <c r="B163" t="s">
        <v>327</v>
      </c>
    </row>
    <row r="164" spans="1:2" x14ac:dyDescent="0.3">
      <c r="A164" t="s">
        <v>330</v>
      </c>
    </row>
    <row r="165" spans="1:2" x14ac:dyDescent="0.3">
      <c r="A165" t="s">
        <v>333</v>
      </c>
    </row>
    <row r="166" spans="1:2" x14ac:dyDescent="0.3">
      <c r="A166" t="s">
        <v>336</v>
      </c>
    </row>
    <row r="167" spans="1:2" x14ac:dyDescent="0.3">
      <c r="A167" t="s">
        <v>339</v>
      </c>
    </row>
    <row r="168" spans="1:2" x14ac:dyDescent="0.3">
      <c r="A168" t="s">
        <v>342</v>
      </c>
    </row>
    <row r="169" spans="1:2" x14ac:dyDescent="0.3">
      <c r="A169" t="s">
        <v>345</v>
      </c>
    </row>
    <row r="170" spans="1:2" x14ac:dyDescent="0.3">
      <c r="A170" t="s">
        <v>348</v>
      </c>
    </row>
    <row r="171" spans="1:2" x14ac:dyDescent="0.3">
      <c r="A171" t="s">
        <v>351</v>
      </c>
    </row>
    <row r="172" spans="1:2" x14ac:dyDescent="0.3">
      <c r="A172" t="s">
        <v>354</v>
      </c>
    </row>
    <row r="173" spans="1:2" outlineLevel="1" x14ac:dyDescent="0.3">
      <c r="B173" t="s">
        <v>357</v>
      </c>
    </row>
    <row r="174" spans="1:2" outlineLevel="1" x14ac:dyDescent="0.3">
      <c r="B174" t="s">
        <v>360</v>
      </c>
    </row>
    <row r="175" spans="1:2" x14ac:dyDescent="0.3">
      <c r="A175" t="s">
        <v>363</v>
      </c>
    </row>
    <row r="176" spans="1:2" outlineLevel="1" x14ac:dyDescent="0.3">
      <c r="B176" t="s">
        <v>366</v>
      </c>
    </row>
    <row r="177" spans="1:2" outlineLevel="1" x14ac:dyDescent="0.3">
      <c r="B177" t="s">
        <v>369</v>
      </c>
    </row>
    <row r="178" spans="1:2" x14ac:dyDescent="0.3">
      <c r="A178" t="s">
        <v>372</v>
      </c>
    </row>
    <row r="179" spans="1:2" x14ac:dyDescent="0.3">
      <c r="A179" t="s">
        <v>375</v>
      </c>
    </row>
    <row r="185" spans="1:2" x14ac:dyDescent="0.3">
      <c r="A185" t="s">
        <v>67</v>
      </c>
    </row>
    <row r="186" spans="1:2" outlineLevel="1" x14ac:dyDescent="0.3">
      <c r="B186" t="s">
        <v>70</v>
      </c>
    </row>
    <row r="187" spans="1:2" outlineLevel="1" x14ac:dyDescent="0.3">
      <c r="B187" t="s">
        <v>73</v>
      </c>
    </row>
    <row r="188" spans="1:2" outlineLevel="1" x14ac:dyDescent="0.3">
      <c r="B188" t="s">
        <v>76</v>
      </c>
    </row>
    <row r="189" spans="1:2" outlineLevel="1" x14ac:dyDescent="0.3">
      <c r="B189" t="s">
        <v>79</v>
      </c>
    </row>
    <row r="190" spans="1:2" outlineLevel="1" x14ac:dyDescent="0.3">
      <c r="B190" t="s">
        <v>82</v>
      </c>
    </row>
    <row r="191" spans="1:2" outlineLevel="1" x14ac:dyDescent="0.3">
      <c r="B191" t="s">
        <v>85</v>
      </c>
    </row>
    <row r="192" spans="1:2" outlineLevel="1" x14ac:dyDescent="0.3">
      <c r="B192" t="s">
        <v>88</v>
      </c>
    </row>
    <row r="193" spans="1:2" outlineLevel="1" x14ac:dyDescent="0.3">
      <c r="B193" t="s">
        <v>91</v>
      </c>
    </row>
    <row r="194" spans="1:2" outlineLevel="1" x14ac:dyDescent="0.3">
      <c r="B194" t="s">
        <v>94</v>
      </c>
    </row>
    <row r="195" spans="1:2" outlineLevel="1" x14ac:dyDescent="0.3">
      <c r="B195" t="s">
        <v>97</v>
      </c>
    </row>
    <row r="196" spans="1:2" outlineLevel="1" x14ac:dyDescent="0.3">
      <c r="B196" t="s">
        <v>100</v>
      </c>
    </row>
    <row r="197" spans="1:2" outlineLevel="1" x14ac:dyDescent="0.3">
      <c r="B197" t="s">
        <v>103</v>
      </c>
    </row>
    <row r="198" spans="1:2" x14ac:dyDescent="0.3">
      <c r="A198" t="s">
        <v>106</v>
      </c>
    </row>
    <row r="199" spans="1:2" outlineLevel="1" x14ac:dyDescent="0.3">
      <c r="B199" t="s">
        <v>109</v>
      </c>
    </row>
    <row r="200" spans="1:2" outlineLevel="1" x14ac:dyDescent="0.3">
      <c r="B200" t="s">
        <v>112</v>
      </c>
    </row>
    <row r="201" spans="1:2" outlineLevel="1" x14ac:dyDescent="0.3">
      <c r="B201" t="s">
        <v>115</v>
      </c>
    </row>
    <row r="202" spans="1:2" x14ac:dyDescent="0.3">
      <c r="A202" t="s">
        <v>118</v>
      </c>
    </row>
    <row r="203" spans="1:2" outlineLevel="1" x14ac:dyDescent="0.3">
      <c r="B203" t="s">
        <v>121</v>
      </c>
    </row>
    <row r="204" spans="1:2" outlineLevel="1" x14ac:dyDescent="0.3">
      <c r="B204" t="s">
        <v>124</v>
      </c>
    </row>
    <row r="205" spans="1:2" outlineLevel="1" x14ac:dyDescent="0.3">
      <c r="B205" t="s">
        <v>127</v>
      </c>
    </row>
    <row r="206" spans="1:2" outlineLevel="1" x14ac:dyDescent="0.3">
      <c r="B206" t="s">
        <v>130</v>
      </c>
    </row>
    <row r="207" spans="1:2" outlineLevel="1" x14ac:dyDescent="0.3">
      <c r="B207" t="s">
        <v>133</v>
      </c>
    </row>
    <row r="208" spans="1:2" outlineLevel="1" x14ac:dyDescent="0.3">
      <c r="B208" t="s">
        <v>136</v>
      </c>
    </row>
    <row r="209" spans="1:2" outlineLevel="1" x14ac:dyDescent="0.3">
      <c r="B209" t="s">
        <v>139</v>
      </c>
    </row>
    <row r="210" spans="1:2" outlineLevel="1" x14ac:dyDescent="0.3">
      <c r="B210" t="s">
        <v>142</v>
      </c>
    </row>
    <row r="211" spans="1:2" outlineLevel="1" x14ac:dyDescent="0.3">
      <c r="B211" t="s">
        <v>145</v>
      </c>
    </row>
    <row r="212" spans="1:2" outlineLevel="1" x14ac:dyDescent="0.3">
      <c r="B212" t="s">
        <v>148</v>
      </c>
    </row>
    <row r="213" spans="1:2" outlineLevel="1" x14ac:dyDescent="0.3">
      <c r="B213" t="s">
        <v>151</v>
      </c>
    </row>
    <row r="214" spans="1:2" outlineLevel="1" x14ac:dyDescent="0.3">
      <c r="B214" t="s">
        <v>154</v>
      </c>
    </row>
    <row r="215" spans="1:2" outlineLevel="1" x14ac:dyDescent="0.3">
      <c r="B215" t="s">
        <v>157</v>
      </c>
    </row>
    <row r="216" spans="1:2" outlineLevel="1" x14ac:dyDescent="0.3">
      <c r="B216" t="s">
        <v>160</v>
      </c>
    </row>
    <row r="217" spans="1:2" outlineLevel="1" x14ac:dyDescent="0.3">
      <c r="B217" t="s">
        <v>163</v>
      </c>
    </row>
    <row r="218" spans="1:2" outlineLevel="1" x14ac:dyDescent="0.3">
      <c r="B218" t="s">
        <v>166</v>
      </c>
    </row>
    <row r="219" spans="1:2" outlineLevel="1" x14ac:dyDescent="0.3">
      <c r="B219" t="s">
        <v>169</v>
      </c>
    </row>
    <row r="220" spans="1:2" outlineLevel="1" x14ac:dyDescent="0.3">
      <c r="B220" t="s">
        <v>172</v>
      </c>
    </row>
    <row r="221" spans="1:2" outlineLevel="1" x14ac:dyDescent="0.3">
      <c r="B221" t="s">
        <v>175</v>
      </c>
    </row>
    <row r="222" spans="1:2" outlineLevel="1" x14ac:dyDescent="0.3">
      <c r="B222" t="s">
        <v>178</v>
      </c>
    </row>
    <row r="223" spans="1:2" x14ac:dyDescent="0.3">
      <c r="A223" t="s">
        <v>181</v>
      </c>
    </row>
    <row r="224" spans="1:2" outlineLevel="1" x14ac:dyDescent="0.3">
      <c r="B224" t="s">
        <v>184</v>
      </c>
    </row>
    <row r="225" spans="2:2" outlineLevel="1" x14ac:dyDescent="0.3">
      <c r="B225" t="s">
        <v>187</v>
      </c>
    </row>
    <row r="226" spans="2:2" outlineLevel="1" x14ac:dyDescent="0.3">
      <c r="B226" t="s">
        <v>190</v>
      </c>
    </row>
    <row r="227" spans="2:2" outlineLevel="1" x14ac:dyDescent="0.3">
      <c r="B227" t="s">
        <v>193</v>
      </c>
    </row>
    <row r="228" spans="2:2" outlineLevel="1" x14ac:dyDescent="0.3">
      <c r="B228" t="s">
        <v>196</v>
      </c>
    </row>
    <row r="229" spans="2:2" outlineLevel="1" x14ac:dyDescent="0.3">
      <c r="B229" t="s">
        <v>199</v>
      </c>
    </row>
    <row r="230" spans="2:2" outlineLevel="1" x14ac:dyDescent="0.3">
      <c r="B230" t="s">
        <v>202</v>
      </c>
    </row>
    <row r="231" spans="2:2" outlineLevel="1" x14ac:dyDescent="0.3">
      <c r="B231" t="s">
        <v>205</v>
      </c>
    </row>
    <row r="232" spans="2:2" outlineLevel="1" x14ac:dyDescent="0.3">
      <c r="B232" t="s">
        <v>208</v>
      </c>
    </row>
    <row r="233" spans="2:2" outlineLevel="1" x14ac:dyDescent="0.3">
      <c r="B233" t="s">
        <v>211</v>
      </c>
    </row>
    <row r="234" spans="2:2" outlineLevel="1" x14ac:dyDescent="0.3">
      <c r="B234" t="s">
        <v>214</v>
      </c>
    </row>
    <row r="235" spans="2:2" outlineLevel="1" x14ac:dyDescent="0.3">
      <c r="B235" t="s">
        <v>217</v>
      </c>
    </row>
    <row r="236" spans="2:2" outlineLevel="1" x14ac:dyDescent="0.3">
      <c r="B236" t="s">
        <v>220</v>
      </c>
    </row>
    <row r="237" spans="2:2" outlineLevel="1" x14ac:dyDescent="0.3">
      <c r="B237" t="s">
        <v>223</v>
      </c>
    </row>
    <row r="238" spans="2:2" outlineLevel="1" x14ac:dyDescent="0.3">
      <c r="B238" t="s">
        <v>226</v>
      </c>
    </row>
    <row r="239" spans="2:2" outlineLevel="1" x14ac:dyDescent="0.3">
      <c r="B239" t="s">
        <v>229</v>
      </c>
    </row>
    <row r="240" spans="2:2" outlineLevel="1" x14ac:dyDescent="0.3">
      <c r="B240" t="s">
        <v>232</v>
      </c>
    </row>
    <row r="241" spans="1:2" outlineLevel="1" x14ac:dyDescent="0.3">
      <c r="B241" t="s">
        <v>235</v>
      </c>
    </row>
    <row r="242" spans="1:2" x14ac:dyDescent="0.3">
      <c r="A242" t="s">
        <v>238</v>
      </c>
    </row>
    <row r="243" spans="1:2" outlineLevel="1" x14ac:dyDescent="0.3">
      <c r="B243" t="s">
        <v>241</v>
      </c>
    </row>
    <row r="244" spans="1:2" outlineLevel="1" x14ac:dyDescent="0.3">
      <c r="B244" t="s">
        <v>244</v>
      </c>
    </row>
    <row r="245" spans="1:2" outlineLevel="1" x14ac:dyDescent="0.3">
      <c r="B245" t="s">
        <v>247</v>
      </c>
    </row>
    <row r="246" spans="1:2" outlineLevel="1" x14ac:dyDescent="0.3">
      <c r="B246" t="s">
        <v>250</v>
      </c>
    </row>
    <row r="247" spans="1:2" outlineLevel="1" x14ac:dyDescent="0.3">
      <c r="B247" t="s">
        <v>253</v>
      </c>
    </row>
    <row r="248" spans="1:2" outlineLevel="1" x14ac:dyDescent="0.3">
      <c r="B248" t="s">
        <v>256</v>
      </c>
    </row>
    <row r="249" spans="1:2" outlineLevel="1" x14ac:dyDescent="0.3">
      <c r="B249" t="s">
        <v>259</v>
      </c>
    </row>
    <row r="250" spans="1:2" outlineLevel="1" x14ac:dyDescent="0.3">
      <c r="B250" t="s">
        <v>262</v>
      </c>
    </row>
    <row r="251" spans="1:2" outlineLevel="1" x14ac:dyDescent="0.3">
      <c r="B251" t="s">
        <v>265</v>
      </c>
    </row>
    <row r="252" spans="1:2" outlineLevel="1" x14ac:dyDescent="0.3">
      <c r="B252" t="s">
        <v>268</v>
      </c>
    </row>
    <row r="253" spans="1:2" outlineLevel="1" x14ac:dyDescent="0.3">
      <c r="B253" t="s">
        <v>271</v>
      </c>
    </row>
    <row r="254" spans="1:2" outlineLevel="1" x14ac:dyDescent="0.3">
      <c r="B254" t="s">
        <v>274</v>
      </c>
    </row>
    <row r="255" spans="1:2" outlineLevel="1" x14ac:dyDescent="0.3">
      <c r="B255" t="s">
        <v>277</v>
      </c>
    </row>
    <row r="256" spans="1:2" outlineLevel="1" x14ac:dyDescent="0.3">
      <c r="B256" t="s">
        <v>280</v>
      </c>
    </row>
    <row r="257" spans="1:3" outlineLevel="1" x14ac:dyDescent="0.3">
      <c r="B257" t="s">
        <v>283</v>
      </c>
    </row>
    <row r="258" spans="1:3" outlineLevel="1" x14ac:dyDescent="0.3">
      <c r="B258" t="s">
        <v>286</v>
      </c>
    </row>
    <row r="259" spans="1:3" outlineLevel="1" x14ac:dyDescent="0.3">
      <c r="B259" t="s">
        <v>289</v>
      </c>
    </row>
    <row r="260" spans="1:3" x14ac:dyDescent="0.3">
      <c r="A260" t="s">
        <v>292</v>
      </c>
    </row>
    <row r="261" spans="1:3" outlineLevel="1" x14ac:dyDescent="0.3">
      <c r="B261" t="s">
        <v>295</v>
      </c>
    </row>
    <row r="262" spans="1:3" hidden="1" outlineLevel="2" x14ac:dyDescent="0.3">
      <c r="C262" t="s">
        <v>298</v>
      </c>
    </row>
    <row r="263" spans="1:3" hidden="1" outlineLevel="2" x14ac:dyDescent="0.3">
      <c r="C263" t="s">
        <v>301</v>
      </c>
    </row>
    <row r="264" spans="1:3" hidden="1" outlineLevel="2" x14ac:dyDescent="0.3">
      <c r="C264" t="s">
        <v>304</v>
      </c>
    </row>
    <row r="265" spans="1:3" hidden="1" outlineLevel="2" x14ac:dyDescent="0.3">
      <c r="C265" t="s">
        <v>307</v>
      </c>
    </row>
    <row r="266" spans="1:3" hidden="1" outlineLevel="2" x14ac:dyDescent="0.3">
      <c r="C266" t="s">
        <v>310</v>
      </c>
    </row>
    <row r="267" spans="1:3" hidden="1" outlineLevel="2" x14ac:dyDescent="0.3">
      <c r="C267" t="s">
        <v>313</v>
      </c>
    </row>
    <row r="268" spans="1:3" hidden="1" outlineLevel="2" x14ac:dyDescent="0.3">
      <c r="C268" t="s">
        <v>316</v>
      </c>
    </row>
    <row r="269" spans="1:3" outlineLevel="1" collapsed="1" x14ac:dyDescent="0.3">
      <c r="B269" t="s">
        <v>319</v>
      </c>
    </row>
    <row r="270" spans="1:3" outlineLevel="1" x14ac:dyDescent="0.3">
      <c r="B270" t="s">
        <v>322</v>
      </c>
    </row>
    <row r="271" spans="1:3" outlineLevel="1" x14ac:dyDescent="0.3">
      <c r="B271" t="s">
        <v>325</v>
      </c>
    </row>
    <row r="272" spans="1:3" outlineLevel="1" x14ac:dyDescent="0.3">
      <c r="B272" t="s">
        <v>328</v>
      </c>
    </row>
    <row r="273" spans="1:3" outlineLevel="1" x14ac:dyDescent="0.3">
      <c r="B273" t="s">
        <v>331</v>
      </c>
    </row>
    <row r="274" spans="1:3" outlineLevel="1" x14ac:dyDescent="0.3">
      <c r="B274" t="s">
        <v>334</v>
      </c>
    </row>
    <row r="275" spans="1:3" outlineLevel="1" x14ac:dyDescent="0.3">
      <c r="B275" t="s">
        <v>337</v>
      </c>
    </row>
    <row r="276" spans="1:3" outlineLevel="1" x14ac:dyDescent="0.3">
      <c r="B276" t="s">
        <v>340</v>
      </c>
    </row>
    <row r="277" spans="1:3" outlineLevel="1" x14ac:dyDescent="0.3">
      <c r="B277" t="s">
        <v>343</v>
      </c>
    </row>
    <row r="278" spans="1:3" outlineLevel="1" x14ac:dyDescent="0.3">
      <c r="B278" t="s">
        <v>346</v>
      </c>
    </row>
    <row r="279" spans="1:3" outlineLevel="1" x14ac:dyDescent="0.3">
      <c r="B279" t="s">
        <v>349</v>
      </c>
    </row>
    <row r="280" spans="1:3" x14ac:dyDescent="0.3">
      <c r="A280" t="s">
        <v>352</v>
      </c>
    </row>
    <row r="281" spans="1:3" outlineLevel="1" x14ac:dyDescent="0.3">
      <c r="B281" t="s">
        <v>355</v>
      </c>
    </row>
    <row r="282" spans="1:3" hidden="1" outlineLevel="2" x14ac:dyDescent="0.3">
      <c r="C282" t="s">
        <v>358</v>
      </c>
    </row>
    <row r="283" spans="1:3" hidden="1" outlineLevel="2" x14ac:dyDescent="0.3">
      <c r="C283" t="s">
        <v>361</v>
      </c>
    </row>
    <row r="284" spans="1:3" outlineLevel="1" collapsed="1" x14ac:dyDescent="0.3">
      <c r="B284" t="s">
        <v>364</v>
      </c>
    </row>
    <row r="285" spans="1:3" outlineLevel="1" x14ac:dyDescent="0.3">
      <c r="B285" t="s">
        <v>367</v>
      </c>
    </row>
    <row r="286" spans="1:3" outlineLevel="1" x14ac:dyDescent="0.3">
      <c r="B286" t="s">
        <v>370</v>
      </c>
    </row>
    <row r="287" spans="1:3" outlineLevel="1" x14ac:dyDescent="0.3">
      <c r="B287" t="s">
        <v>373</v>
      </c>
    </row>
    <row r="288" spans="1:3" outlineLevel="1" x14ac:dyDescent="0.3">
      <c r="B288" t="s">
        <v>376</v>
      </c>
    </row>
    <row r="289" spans="1:2" outlineLevel="1" x14ac:dyDescent="0.3">
      <c r="B289" t="s">
        <v>378</v>
      </c>
    </row>
    <row r="290" spans="1:2" outlineLevel="1" x14ac:dyDescent="0.3">
      <c r="B290" t="s">
        <v>380</v>
      </c>
    </row>
    <row r="291" spans="1:2" outlineLevel="1" x14ac:dyDescent="0.3">
      <c r="B291" t="s">
        <v>382</v>
      </c>
    </row>
    <row r="292" spans="1:2" outlineLevel="1" x14ac:dyDescent="0.3">
      <c r="B292" t="s">
        <v>523</v>
      </c>
    </row>
    <row r="293" spans="1:2" outlineLevel="1" x14ac:dyDescent="0.3">
      <c r="B293" t="s">
        <v>385</v>
      </c>
    </row>
    <row r="294" spans="1:2" outlineLevel="1" x14ac:dyDescent="0.3">
      <c r="B294" t="s">
        <v>387</v>
      </c>
    </row>
    <row r="295" spans="1:2" outlineLevel="1" x14ac:dyDescent="0.3">
      <c r="B295" t="s">
        <v>389</v>
      </c>
    </row>
    <row r="296" spans="1:2" outlineLevel="1" x14ac:dyDescent="0.3">
      <c r="B296" t="s">
        <v>391</v>
      </c>
    </row>
    <row r="297" spans="1:2" outlineLevel="1" x14ac:dyDescent="0.3">
      <c r="B297" t="s">
        <v>393</v>
      </c>
    </row>
    <row r="298" spans="1:2" x14ac:dyDescent="0.3">
      <c r="A298" t="s">
        <v>395</v>
      </c>
    </row>
    <row r="304" spans="1:2" x14ac:dyDescent="0.3">
      <c r="A304" t="s">
        <v>68</v>
      </c>
    </row>
    <row r="305" spans="2:3" outlineLevel="1" x14ac:dyDescent="0.3">
      <c r="B305" t="s">
        <v>71</v>
      </c>
    </row>
    <row r="306" spans="2:3" hidden="1" outlineLevel="2" x14ac:dyDescent="0.3">
      <c r="C306" t="s">
        <v>74</v>
      </c>
    </row>
    <row r="307" spans="2:3" hidden="1" outlineLevel="2" x14ac:dyDescent="0.3">
      <c r="C307" t="s">
        <v>77</v>
      </c>
    </row>
    <row r="308" spans="2:3" hidden="1" outlineLevel="2" x14ac:dyDescent="0.3">
      <c r="C308" t="s">
        <v>80</v>
      </c>
    </row>
    <row r="309" spans="2:3" hidden="1" outlineLevel="2" x14ac:dyDescent="0.3">
      <c r="C309" t="s">
        <v>83</v>
      </c>
    </row>
    <row r="310" spans="2:3" outlineLevel="1" collapsed="1" x14ac:dyDescent="0.3">
      <c r="B310" t="s">
        <v>86</v>
      </c>
    </row>
    <row r="311" spans="2:3" hidden="1" outlineLevel="2" x14ac:dyDescent="0.3">
      <c r="C311" t="s">
        <v>89</v>
      </c>
    </row>
    <row r="312" spans="2:3" hidden="1" outlineLevel="2" x14ac:dyDescent="0.3">
      <c r="C312" t="s">
        <v>92</v>
      </c>
    </row>
    <row r="313" spans="2:3" hidden="1" outlineLevel="2" x14ac:dyDescent="0.3">
      <c r="C313" t="s">
        <v>95</v>
      </c>
    </row>
    <row r="314" spans="2:3" hidden="1" outlineLevel="2" x14ac:dyDescent="0.3">
      <c r="C314" t="s">
        <v>98</v>
      </c>
    </row>
    <row r="315" spans="2:3" hidden="1" outlineLevel="2" x14ac:dyDescent="0.3">
      <c r="C315" t="s">
        <v>101</v>
      </c>
    </row>
    <row r="316" spans="2:3" outlineLevel="1" collapsed="1" x14ac:dyDescent="0.3">
      <c r="B316" t="s">
        <v>104</v>
      </c>
    </row>
    <row r="317" spans="2:3" outlineLevel="1" x14ac:dyDescent="0.3">
      <c r="B317" t="s">
        <v>107</v>
      </c>
    </row>
    <row r="318" spans="2:3" outlineLevel="1" x14ac:dyDescent="0.3">
      <c r="B318" t="s">
        <v>110</v>
      </c>
    </row>
    <row r="319" spans="2:3" hidden="1" outlineLevel="2" x14ac:dyDescent="0.3">
      <c r="C319" t="s">
        <v>113</v>
      </c>
    </row>
    <row r="320" spans="2:3" hidden="1" outlineLevel="2" x14ac:dyDescent="0.3">
      <c r="C320" t="s">
        <v>116</v>
      </c>
    </row>
    <row r="321" spans="3:3" hidden="1" outlineLevel="2" x14ac:dyDescent="0.3">
      <c r="C321" t="s">
        <v>119</v>
      </c>
    </row>
    <row r="322" spans="3:3" hidden="1" outlineLevel="2" x14ac:dyDescent="0.3">
      <c r="C322" t="s">
        <v>122</v>
      </c>
    </row>
    <row r="323" spans="3:3" hidden="1" outlineLevel="2" x14ac:dyDescent="0.3">
      <c r="C323" t="s">
        <v>125</v>
      </c>
    </row>
    <row r="324" spans="3:3" hidden="1" outlineLevel="2" x14ac:dyDescent="0.3">
      <c r="C324" t="s">
        <v>128</v>
      </c>
    </row>
    <row r="325" spans="3:3" hidden="1" outlineLevel="2" x14ac:dyDescent="0.3">
      <c r="C325" t="s">
        <v>131</v>
      </c>
    </row>
    <row r="326" spans="3:3" hidden="1" outlineLevel="2" x14ac:dyDescent="0.3">
      <c r="C326" t="s">
        <v>134</v>
      </c>
    </row>
    <row r="327" spans="3:3" hidden="1" outlineLevel="2" x14ac:dyDescent="0.3">
      <c r="C327" t="s">
        <v>137</v>
      </c>
    </row>
    <row r="328" spans="3:3" hidden="1" outlineLevel="2" x14ac:dyDescent="0.3">
      <c r="C328" t="s">
        <v>140</v>
      </c>
    </row>
    <row r="329" spans="3:3" hidden="1" outlineLevel="2" x14ac:dyDescent="0.3">
      <c r="C329" t="s">
        <v>143</v>
      </c>
    </row>
    <row r="330" spans="3:3" hidden="1" outlineLevel="2" x14ac:dyDescent="0.3">
      <c r="C330" t="s">
        <v>146</v>
      </c>
    </row>
    <row r="331" spans="3:3" hidden="1" outlineLevel="2" x14ac:dyDescent="0.3">
      <c r="C331" t="s">
        <v>149</v>
      </c>
    </row>
    <row r="332" spans="3:3" hidden="1" outlineLevel="2" x14ac:dyDescent="0.3">
      <c r="C332" t="s">
        <v>152</v>
      </c>
    </row>
    <row r="333" spans="3:3" hidden="1" outlineLevel="2" x14ac:dyDescent="0.3">
      <c r="C333" t="s">
        <v>155</v>
      </c>
    </row>
    <row r="334" spans="3:3" hidden="1" outlineLevel="2" x14ac:dyDescent="0.3">
      <c r="C334" t="s">
        <v>158</v>
      </c>
    </row>
    <row r="335" spans="3:3" hidden="1" outlineLevel="2" x14ac:dyDescent="0.3">
      <c r="C335" t="s">
        <v>161</v>
      </c>
    </row>
    <row r="336" spans="3:3" hidden="1" outlineLevel="2" x14ac:dyDescent="0.3">
      <c r="C336" t="s">
        <v>164</v>
      </c>
    </row>
    <row r="337" spans="3:3" hidden="1" outlineLevel="2" x14ac:dyDescent="0.3">
      <c r="C337" t="s">
        <v>167</v>
      </c>
    </row>
    <row r="338" spans="3:3" hidden="1" outlineLevel="2" x14ac:dyDescent="0.3">
      <c r="C338" t="s">
        <v>170</v>
      </c>
    </row>
    <row r="339" spans="3:3" hidden="1" outlineLevel="2" x14ac:dyDescent="0.3">
      <c r="C339" t="s">
        <v>173</v>
      </c>
    </row>
    <row r="340" spans="3:3" hidden="1" outlineLevel="2" x14ac:dyDescent="0.3">
      <c r="C340" t="s">
        <v>176</v>
      </c>
    </row>
    <row r="341" spans="3:3" hidden="1" outlineLevel="2" x14ac:dyDescent="0.3">
      <c r="C341" t="s">
        <v>179</v>
      </c>
    </row>
    <row r="342" spans="3:3" hidden="1" outlineLevel="2" x14ac:dyDescent="0.3">
      <c r="C342" t="s">
        <v>182</v>
      </c>
    </row>
    <row r="343" spans="3:3" hidden="1" outlineLevel="2" x14ac:dyDescent="0.3">
      <c r="C343" t="s">
        <v>185</v>
      </c>
    </row>
    <row r="344" spans="3:3" hidden="1" outlineLevel="2" x14ac:dyDescent="0.3">
      <c r="C344" t="s">
        <v>188</v>
      </c>
    </row>
    <row r="345" spans="3:3" hidden="1" outlineLevel="2" x14ac:dyDescent="0.3">
      <c r="C345" t="s">
        <v>191</v>
      </c>
    </row>
    <row r="346" spans="3:3" hidden="1" outlineLevel="2" x14ac:dyDescent="0.3">
      <c r="C346" t="s">
        <v>194</v>
      </c>
    </row>
    <row r="347" spans="3:3" hidden="1" outlineLevel="2" x14ac:dyDescent="0.3">
      <c r="C347" t="s">
        <v>197</v>
      </c>
    </row>
    <row r="348" spans="3:3" hidden="1" outlineLevel="2" x14ac:dyDescent="0.3">
      <c r="C348" t="s">
        <v>200</v>
      </c>
    </row>
    <row r="349" spans="3:3" hidden="1" outlineLevel="2" x14ac:dyDescent="0.3">
      <c r="C349" t="s">
        <v>203</v>
      </c>
    </row>
    <row r="350" spans="3:3" hidden="1" outlineLevel="2" x14ac:dyDescent="0.3">
      <c r="C350" t="s">
        <v>206</v>
      </c>
    </row>
    <row r="351" spans="3:3" hidden="1" outlineLevel="2" x14ac:dyDescent="0.3">
      <c r="C351" t="s">
        <v>209</v>
      </c>
    </row>
    <row r="352" spans="3:3" hidden="1" outlineLevel="2" x14ac:dyDescent="0.3">
      <c r="C352" t="s">
        <v>212</v>
      </c>
    </row>
    <row r="353" spans="2:3" hidden="1" outlineLevel="2" x14ac:dyDescent="0.3">
      <c r="C353" t="s">
        <v>215</v>
      </c>
    </row>
    <row r="354" spans="2:3" hidden="1" outlineLevel="2" x14ac:dyDescent="0.3">
      <c r="C354" t="s">
        <v>218</v>
      </c>
    </row>
    <row r="355" spans="2:3" outlineLevel="1" collapsed="1" x14ac:dyDescent="0.3">
      <c r="B355" t="s">
        <v>221</v>
      </c>
    </row>
    <row r="356" spans="2:3" hidden="1" outlineLevel="2" x14ac:dyDescent="0.3">
      <c r="C356" t="s">
        <v>224</v>
      </c>
    </row>
    <row r="357" spans="2:3" hidden="1" outlineLevel="2" x14ac:dyDescent="0.3">
      <c r="C357" t="s">
        <v>227</v>
      </c>
    </row>
    <row r="358" spans="2:3" hidden="1" outlineLevel="2" x14ac:dyDescent="0.3">
      <c r="C358" t="s">
        <v>230</v>
      </c>
    </row>
    <row r="359" spans="2:3" hidden="1" outlineLevel="2" x14ac:dyDescent="0.3">
      <c r="C359" t="s">
        <v>233</v>
      </c>
    </row>
    <row r="360" spans="2:3" hidden="1" outlineLevel="2" x14ac:dyDescent="0.3">
      <c r="C360" t="s">
        <v>236</v>
      </c>
    </row>
    <row r="361" spans="2:3" hidden="1" outlineLevel="2" x14ac:dyDescent="0.3">
      <c r="C361" t="s">
        <v>239</v>
      </c>
    </row>
    <row r="362" spans="2:3" hidden="1" outlineLevel="2" x14ac:dyDescent="0.3">
      <c r="C362" t="s">
        <v>242</v>
      </c>
    </row>
    <row r="363" spans="2:3" hidden="1" outlineLevel="2" x14ac:dyDescent="0.3">
      <c r="C363" t="s">
        <v>245</v>
      </c>
    </row>
    <row r="364" spans="2:3" hidden="1" outlineLevel="2" x14ac:dyDescent="0.3">
      <c r="C364" t="s">
        <v>248</v>
      </c>
    </row>
    <row r="365" spans="2:3" hidden="1" outlineLevel="2" x14ac:dyDescent="0.3">
      <c r="C365" t="s">
        <v>251</v>
      </c>
    </row>
    <row r="366" spans="2:3" hidden="1" outlineLevel="2" x14ac:dyDescent="0.3">
      <c r="C366" t="s">
        <v>254</v>
      </c>
    </row>
    <row r="367" spans="2:3" hidden="1" outlineLevel="2" x14ac:dyDescent="0.3">
      <c r="C367" t="s">
        <v>257</v>
      </c>
    </row>
    <row r="368" spans="2:3" hidden="1" outlineLevel="2" x14ac:dyDescent="0.3">
      <c r="C368" t="s">
        <v>260</v>
      </c>
    </row>
    <row r="369" spans="3:3" hidden="1" outlineLevel="2" x14ac:dyDescent="0.3">
      <c r="C369" t="s">
        <v>263</v>
      </c>
    </row>
    <row r="370" spans="3:3" hidden="1" outlineLevel="2" x14ac:dyDescent="0.3">
      <c r="C370" t="s">
        <v>266</v>
      </c>
    </row>
    <row r="371" spans="3:3" hidden="1" outlineLevel="2" x14ac:dyDescent="0.3">
      <c r="C371" t="s">
        <v>269</v>
      </c>
    </row>
    <row r="372" spans="3:3" hidden="1" outlineLevel="2" x14ac:dyDescent="0.3">
      <c r="C372" t="s">
        <v>272</v>
      </c>
    </row>
    <row r="373" spans="3:3" hidden="1" outlineLevel="2" x14ac:dyDescent="0.3">
      <c r="C373" t="s">
        <v>275</v>
      </c>
    </row>
    <row r="374" spans="3:3" hidden="1" outlineLevel="2" x14ac:dyDescent="0.3">
      <c r="C374" t="s">
        <v>278</v>
      </c>
    </row>
    <row r="375" spans="3:3" hidden="1" outlineLevel="2" x14ac:dyDescent="0.3">
      <c r="C375" t="s">
        <v>281</v>
      </c>
    </row>
    <row r="376" spans="3:3" hidden="1" outlineLevel="2" x14ac:dyDescent="0.3">
      <c r="C376" t="s">
        <v>284</v>
      </c>
    </row>
    <row r="377" spans="3:3" hidden="1" outlineLevel="2" x14ac:dyDescent="0.3">
      <c r="C377" t="s">
        <v>287</v>
      </c>
    </row>
    <row r="378" spans="3:3" hidden="1" outlineLevel="2" x14ac:dyDescent="0.3">
      <c r="C378" t="s">
        <v>290</v>
      </c>
    </row>
    <row r="379" spans="3:3" hidden="1" outlineLevel="2" x14ac:dyDescent="0.3">
      <c r="C379" t="s">
        <v>293</v>
      </c>
    </row>
    <row r="380" spans="3:3" hidden="1" outlineLevel="2" x14ac:dyDescent="0.3">
      <c r="C380" t="s">
        <v>296</v>
      </c>
    </row>
    <row r="381" spans="3:3" hidden="1" outlineLevel="2" x14ac:dyDescent="0.3">
      <c r="C381" t="s">
        <v>299</v>
      </c>
    </row>
    <row r="382" spans="3:3" hidden="1" outlineLevel="2" x14ac:dyDescent="0.3">
      <c r="C382" t="s">
        <v>302</v>
      </c>
    </row>
    <row r="383" spans="3:3" hidden="1" outlineLevel="2" x14ac:dyDescent="0.3">
      <c r="C383" t="s">
        <v>305</v>
      </c>
    </row>
    <row r="384" spans="3:3" hidden="1" outlineLevel="2" x14ac:dyDescent="0.3">
      <c r="C384" t="s">
        <v>308</v>
      </c>
    </row>
    <row r="385" spans="1:3" outlineLevel="1" collapsed="1" x14ac:dyDescent="0.3">
      <c r="B385" t="s">
        <v>311</v>
      </c>
    </row>
    <row r="386" spans="1:3" hidden="1" outlineLevel="2" x14ac:dyDescent="0.3">
      <c r="C386" t="s">
        <v>314</v>
      </c>
    </row>
    <row r="387" spans="1:3" hidden="1" outlineLevel="2" x14ac:dyDescent="0.3">
      <c r="C387" t="s">
        <v>317</v>
      </c>
    </row>
    <row r="388" spans="1:3" hidden="1" outlineLevel="2" x14ac:dyDescent="0.3">
      <c r="C388" t="s">
        <v>320</v>
      </c>
    </row>
    <row r="389" spans="1:3" hidden="1" outlineLevel="2" x14ac:dyDescent="0.3">
      <c r="C389" t="s">
        <v>323</v>
      </c>
    </row>
    <row r="390" spans="1:3" outlineLevel="1" collapsed="1" x14ac:dyDescent="0.3">
      <c r="B390" t="s">
        <v>326</v>
      </c>
    </row>
    <row r="391" spans="1:3" outlineLevel="1" x14ac:dyDescent="0.3">
      <c r="B391" t="s">
        <v>329</v>
      </c>
    </row>
    <row r="392" spans="1:3" outlineLevel="1" x14ac:dyDescent="0.3">
      <c r="B392" t="s">
        <v>332</v>
      </c>
    </row>
    <row r="393" spans="1:3" outlineLevel="1" x14ac:dyDescent="0.3">
      <c r="B393" t="s">
        <v>335</v>
      </c>
    </row>
    <row r="394" spans="1:3" outlineLevel="1" x14ac:dyDescent="0.3">
      <c r="B394" t="s">
        <v>338</v>
      </c>
    </row>
    <row r="395" spans="1:3" outlineLevel="1" x14ac:dyDescent="0.3">
      <c r="B395" t="s">
        <v>341</v>
      </c>
    </row>
    <row r="396" spans="1:3" outlineLevel="1" x14ac:dyDescent="0.3">
      <c r="B396" t="s">
        <v>344</v>
      </c>
    </row>
    <row r="397" spans="1:3" outlineLevel="1" x14ac:dyDescent="0.3">
      <c r="B397" t="s">
        <v>347</v>
      </c>
    </row>
    <row r="398" spans="1:3" x14ac:dyDescent="0.3">
      <c r="A398" t="s">
        <v>350</v>
      </c>
    </row>
    <row r="399" spans="1:3" outlineLevel="1" x14ac:dyDescent="0.3">
      <c r="B399" t="s">
        <v>353</v>
      </c>
    </row>
    <row r="400" spans="1:3" hidden="1" outlineLevel="2" x14ac:dyDescent="0.3">
      <c r="C400" t="s">
        <v>356</v>
      </c>
    </row>
    <row r="401" spans="3:3" hidden="1" outlineLevel="2" x14ac:dyDescent="0.3">
      <c r="C401" t="s">
        <v>359</v>
      </c>
    </row>
    <row r="402" spans="3:3" hidden="1" outlineLevel="2" x14ac:dyDescent="0.3">
      <c r="C402" t="s">
        <v>362</v>
      </c>
    </row>
    <row r="403" spans="3:3" hidden="1" outlineLevel="2" x14ac:dyDescent="0.3">
      <c r="C403" t="s">
        <v>365</v>
      </c>
    </row>
    <row r="404" spans="3:3" hidden="1" outlineLevel="2" x14ac:dyDescent="0.3">
      <c r="C404" t="s">
        <v>368</v>
      </c>
    </row>
    <row r="405" spans="3:3" hidden="1" outlineLevel="2" x14ac:dyDescent="0.3">
      <c r="C405" t="s">
        <v>371</v>
      </c>
    </row>
    <row r="406" spans="3:3" hidden="1" outlineLevel="2" x14ac:dyDescent="0.3">
      <c r="C406" t="s">
        <v>374</v>
      </c>
    </row>
    <row r="407" spans="3:3" hidden="1" outlineLevel="2" x14ac:dyDescent="0.3">
      <c r="C407" t="s">
        <v>377</v>
      </c>
    </row>
    <row r="408" spans="3:3" hidden="1" outlineLevel="2" x14ac:dyDescent="0.3">
      <c r="C408" t="s">
        <v>379</v>
      </c>
    </row>
    <row r="409" spans="3:3" hidden="1" outlineLevel="2" x14ac:dyDescent="0.3">
      <c r="C409" t="s">
        <v>381</v>
      </c>
    </row>
    <row r="410" spans="3:3" hidden="1" outlineLevel="2" x14ac:dyDescent="0.3">
      <c r="C410" t="s">
        <v>383</v>
      </c>
    </row>
    <row r="411" spans="3:3" hidden="1" outlineLevel="2" x14ac:dyDescent="0.3">
      <c r="C411" t="s">
        <v>384</v>
      </c>
    </row>
    <row r="412" spans="3:3" hidden="1" outlineLevel="2" x14ac:dyDescent="0.3">
      <c r="C412" t="s">
        <v>386</v>
      </c>
    </row>
    <row r="413" spans="3:3" hidden="1" outlineLevel="2" x14ac:dyDescent="0.3">
      <c r="C413" t="s">
        <v>388</v>
      </c>
    </row>
    <row r="414" spans="3:3" hidden="1" outlineLevel="2" x14ac:dyDescent="0.3">
      <c r="C414" t="s">
        <v>390</v>
      </c>
    </row>
    <row r="415" spans="3:3" hidden="1" outlineLevel="2" x14ac:dyDescent="0.3">
      <c r="C415" t="s">
        <v>392</v>
      </c>
    </row>
    <row r="416" spans="3:3" hidden="1" outlineLevel="2" x14ac:dyDescent="0.3">
      <c r="C416" t="s">
        <v>394</v>
      </c>
    </row>
    <row r="417" spans="2:3" hidden="1" outlineLevel="2" x14ac:dyDescent="0.3">
      <c r="C417" t="s">
        <v>396</v>
      </c>
    </row>
    <row r="418" spans="2:3" hidden="1" outlineLevel="2" x14ac:dyDescent="0.3">
      <c r="C418" t="s">
        <v>397</v>
      </c>
    </row>
    <row r="419" spans="2:3" hidden="1" outlineLevel="2" x14ac:dyDescent="0.3">
      <c r="C419" t="s">
        <v>398</v>
      </c>
    </row>
    <row r="420" spans="2:3" hidden="1" outlineLevel="2" x14ac:dyDescent="0.3">
      <c r="C420" t="s">
        <v>399</v>
      </c>
    </row>
    <row r="421" spans="2:3" hidden="1" outlineLevel="2" x14ac:dyDescent="0.3">
      <c r="C421" t="s">
        <v>400</v>
      </c>
    </row>
    <row r="422" spans="2:3" hidden="1" outlineLevel="2" x14ac:dyDescent="0.3">
      <c r="C422" t="s">
        <v>401</v>
      </c>
    </row>
    <row r="423" spans="2:3" hidden="1" outlineLevel="2" x14ac:dyDescent="0.3">
      <c r="C423" t="s">
        <v>402</v>
      </c>
    </row>
    <row r="424" spans="2:3" hidden="1" outlineLevel="2" x14ac:dyDescent="0.3">
      <c r="C424" t="s">
        <v>403</v>
      </c>
    </row>
    <row r="425" spans="2:3" hidden="1" outlineLevel="2" x14ac:dyDescent="0.3">
      <c r="C425" t="s">
        <v>404</v>
      </c>
    </row>
    <row r="426" spans="2:3" hidden="1" outlineLevel="2" x14ac:dyDescent="0.3">
      <c r="C426" t="s">
        <v>405</v>
      </c>
    </row>
    <row r="427" spans="2:3" hidden="1" outlineLevel="2" x14ac:dyDescent="0.3">
      <c r="C427" t="s">
        <v>406</v>
      </c>
    </row>
    <row r="428" spans="2:3" outlineLevel="1" collapsed="1" x14ac:dyDescent="0.3">
      <c r="B428" t="s">
        <v>407</v>
      </c>
    </row>
    <row r="429" spans="2:3" hidden="1" outlineLevel="2" x14ac:dyDescent="0.3">
      <c r="C429" t="s">
        <v>408</v>
      </c>
    </row>
    <row r="430" spans="2:3" hidden="1" outlineLevel="2" x14ac:dyDescent="0.3">
      <c r="C430" t="s">
        <v>409</v>
      </c>
    </row>
    <row r="431" spans="2:3" hidden="1" outlineLevel="2" x14ac:dyDescent="0.3">
      <c r="C431" t="s">
        <v>410</v>
      </c>
    </row>
    <row r="432" spans="2:3" hidden="1" outlineLevel="2" x14ac:dyDescent="0.3">
      <c r="C432" t="s">
        <v>411</v>
      </c>
    </row>
    <row r="433" spans="3:3" hidden="1" outlineLevel="2" x14ac:dyDescent="0.3">
      <c r="C433" t="s">
        <v>412</v>
      </c>
    </row>
    <row r="434" spans="3:3" hidden="1" outlineLevel="2" x14ac:dyDescent="0.3">
      <c r="C434" t="s">
        <v>413</v>
      </c>
    </row>
    <row r="435" spans="3:3" hidden="1" outlineLevel="2" x14ac:dyDescent="0.3">
      <c r="C435" t="s">
        <v>414</v>
      </c>
    </row>
    <row r="436" spans="3:3" hidden="1" outlineLevel="2" x14ac:dyDescent="0.3">
      <c r="C436" t="s">
        <v>415</v>
      </c>
    </row>
    <row r="437" spans="3:3" hidden="1" outlineLevel="2" x14ac:dyDescent="0.3">
      <c r="C437" t="s">
        <v>416</v>
      </c>
    </row>
    <row r="438" spans="3:3" hidden="1" outlineLevel="2" x14ac:dyDescent="0.3">
      <c r="C438" t="s">
        <v>417</v>
      </c>
    </row>
    <row r="439" spans="3:3" hidden="1" outlineLevel="2" x14ac:dyDescent="0.3">
      <c r="C439" t="s">
        <v>418</v>
      </c>
    </row>
    <row r="440" spans="3:3" hidden="1" outlineLevel="2" x14ac:dyDescent="0.3">
      <c r="C440" t="s">
        <v>419</v>
      </c>
    </row>
    <row r="441" spans="3:3" hidden="1" outlineLevel="2" x14ac:dyDescent="0.3">
      <c r="C441" t="s">
        <v>420</v>
      </c>
    </row>
    <row r="442" spans="3:3" hidden="1" outlineLevel="2" x14ac:dyDescent="0.3">
      <c r="C442" t="s">
        <v>421</v>
      </c>
    </row>
    <row r="443" spans="3:3" hidden="1" outlineLevel="2" x14ac:dyDescent="0.3">
      <c r="C443" t="s">
        <v>422</v>
      </c>
    </row>
    <row r="444" spans="3:3" hidden="1" outlineLevel="2" x14ac:dyDescent="0.3">
      <c r="C444" t="s">
        <v>423</v>
      </c>
    </row>
    <row r="445" spans="3:3" hidden="1" outlineLevel="2" x14ac:dyDescent="0.3">
      <c r="C445" t="s">
        <v>424</v>
      </c>
    </row>
    <row r="446" spans="3:3" hidden="1" outlineLevel="2" x14ac:dyDescent="0.3">
      <c r="C446" t="s">
        <v>425</v>
      </c>
    </row>
    <row r="447" spans="3:3" hidden="1" outlineLevel="2" x14ac:dyDescent="0.3">
      <c r="C447" t="s">
        <v>426</v>
      </c>
    </row>
    <row r="448" spans="3:3" hidden="1" outlineLevel="2" x14ac:dyDescent="0.3">
      <c r="C448" t="s">
        <v>427</v>
      </c>
    </row>
    <row r="449" spans="1:3" hidden="1" outlineLevel="2" x14ac:dyDescent="0.3">
      <c r="C449" t="s">
        <v>428</v>
      </c>
    </row>
    <row r="450" spans="1:3" hidden="1" outlineLevel="2" x14ac:dyDescent="0.3">
      <c r="C450" t="s">
        <v>429</v>
      </c>
    </row>
    <row r="451" spans="1:3" hidden="1" outlineLevel="2" x14ac:dyDescent="0.3">
      <c r="C451" t="s">
        <v>430</v>
      </c>
    </row>
    <row r="452" spans="1:3" hidden="1" outlineLevel="2" x14ac:dyDescent="0.3">
      <c r="C452" t="s">
        <v>431</v>
      </c>
    </row>
    <row r="453" spans="1:3" hidden="1" outlineLevel="2" x14ac:dyDescent="0.3">
      <c r="C453" t="s">
        <v>432</v>
      </c>
    </row>
    <row r="454" spans="1:3" hidden="1" outlineLevel="2" x14ac:dyDescent="0.3">
      <c r="C454" t="s">
        <v>433</v>
      </c>
    </row>
    <row r="455" spans="1:3" hidden="1" outlineLevel="2" x14ac:dyDescent="0.3">
      <c r="C455" t="s">
        <v>434</v>
      </c>
    </row>
    <row r="456" spans="1:3" hidden="1" outlineLevel="2" x14ac:dyDescent="0.3">
      <c r="C456" t="s">
        <v>435</v>
      </c>
    </row>
    <row r="457" spans="1:3" outlineLevel="1" collapsed="1" x14ac:dyDescent="0.3">
      <c r="B457" t="s">
        <v>436</v>
      </c>
    </row>
    <row r="458" spans="1:3" outlineLevel="1" x14ac:dyDescent="0.3">
      <c r="B458" t="s">
        <v>437</v>
      </c>
    </row>
    <row r="459" spans="1:3" outlineLevel="1" x14ac:dyDescent="0.3">
      <c r="B459" t="s">
        <v>438</v>
      </c>
    </row>
    <row r="460" spans="1:3" outlineLevel="1" x14ac:dyDescent="0.3">
      <c r="B460" t="s">
        <v>439</v>
      </c>
    </row>
    <row r="461" spans="1:3" outlineLevel="1" x14ac:dyDescent="0.3">
      <c r="B461" t="s">
        <v>440</v>
      </c>
    </row>
    <row r="462" spans="1:3" outlineLevel="1" x14ac:dyDescent="0.3">
      <c r="B462" t="s">
        <v>441</v>
      </c>
    </row>
    <row r="463" spans="1:3" x14ac:dyDescent="0.3">
      <c r="A463" t="s">
        <v>442</v>
      </c>
    </row>
    <row r="464" spans="1:3" outlineLevel="1" x14ac:dyDescent="0.3">
      <c r="B464" t="s">
        <v>443</v>
      </c>
    </row>
    <row r="465" spans="3:3" hidden="1" outlineLevel="2" x14ac:dyDescent="0.3">
      <c r="C465" t="s">
        <v>444</v>
      </c>
    </row>
    <row r="466" spans="3:3" hidden="1" outlineLevel="2" x14ac:dyDescent="0.3">
      <c r="C466" t="s">
        <v>445</v>
      </c>
    </row>
    <row r="467" spans="3:3" hidden="1" outlineLevel="2" x14ac:dyDescent="0.3">
      <c r="C467" t="s">
        <v>446</v>
      </c>
    </row>
    <row r="468" spans="3:3" hidden="1" outlineLevel="2" x14ac:dyDescent="0.3">
      <c r="C468" t="s">
        <v>447</v>
      </c>
    </row>
    <row r="469" spans="3:3" hidden="1" outlineLevel="2" x14ac:dyDescent="0.3">
      <c r="C469" t="s">
        <v>448</v>
      </c>
    </row>
    <row r="470" spans="3:3" hidden="1" outlineLevel="2" x14ac:dyDescent="0.3">
      <c r="C470" t="s">
        <v>449</v>
      </c>
    </row>
    <row r="471" spans="3:3" hidden="1" outlineLevel="2" x14ac:dyDescent="0.3">
      <c r="C471" t="s">
        <v>450</v>
      </c>
    </row>
    <row r="472" spans="3:3" hidden="1" outlineLevel="2" x14ac:dyDescent="0.3">
      <c r="C472" t="s">
        <v>451</v>
      </c>
    </row>
    <row r="473" spans="3:3" hidden="1" outlineLevel="2" x14ac:dyDescent="0.3">
      <c r="C473" t="s">
        <v>452</v>
      </c>
    </row>
    <row r="474" spans="3:3" hidden="1" outlineLevel="2" x14ac:dyDescent="0.3">
      <c r="C474" t="s">
        <v>453</v>
      </c>
    </row>
    <row r="475" spans="3:3" hidden="1" outlineLevel="2" x14ac:dyDescent="0.3">
      <c r="C475" t="s">
        <v>454</v>
      </c>
    </row>
    <row r="476" spans="3:3" hidden="1" outlineLevel="2" x14ac:dyDescent="0.3">
      <c r="C476" t="s">
        <v>455</v>
      </c>
    </row>
    <row r="477" spans="3:3" hidden="1" outlineLevel="2" x14ac:dyDescent="0.3">
      <c r="C477" t="s">
        <v>456</v>
      </c>
    </row>
    <row r="478" spans="3:3" hidden="1" outlineLevel="2" x14ac:dyDescent="0.3">
      <c r="C478" t="s">
        <v>457</v>
      </c>
    </row>
    <row r="479" spans="3:3" hidden="1" outlineLevel="2" x14ac:dyDescent="0.3">
      <c r="C479" t="s">
        <v>458</v>
      </c>
    </row>
    <row r="480" spans="3:3" hidden="1" outlineLevel="2" x14ac:dyDescent="0.3">
      <c r="C480" t="s">
        <v>459</v>
      </c>
    </row>
    <row r="481" spans="2:3" hidden="1" outlineLevel="2" x14ac:dyDescent="0.3">
      <c r="C481" t="s">
        <v>460</v>
      </c>
    </row>
    <row r="482" spans="2:3" hidden="1" outlineLevel="2" x14ac:dyDescent="0.3">
      <c r="C482" t="s">
        <v>461</v>
      </c>
    </row>
    <row r="483" spans="2:3" hidden="1" outlineLevel="2" x14ac:dyDescent="0.3">
      <c r="C483" t="s">
        <v>462</v>
      </c>
    </row>
    <row r="484" spans="2:3" hidden="1" outlineLevel="2" x14ac:dyDescent="0.3">
      <c r="C484" t="s">
        <v>463</v>
      </c>
    </row>
    <row r="485" spans="2:3" hidden="1" outlineLevel="2" x14ac:dyDescent="0.3">
      <c r="C485" t="s">
        <v>464</v>
      </c>
    </row>
    <row r="486" spans="2:3" hidden="1" outlineLevel="2" x14ac:dyDescent="0.3">
      <c r="C486" t="s">
        <v>465</v>
      </c>
    </row>
    <row r="487" spans="2:3" hidden="1" outlineLevel="2" x14ac:dyDescent="0.3">
      <c r="C487" t="s">
        <v>466</v>
      </c>
    </row>
    <row r="488" spans="2:3" hidden="1" outlineLevel="2" x14ac:dyDescent="0.3">
      <c r="C488" t="s">
        <v>467</v>
      </c>
    </row>
    <row r="489" spans="2:3" hidden="1" outlineLevel="2" x14ac:dyDescent="0.3">
      <c r="C489" t="s">
        <v>468</v>
      </c>
    </row>
    <row r="490" spans="2:3" hidden="1" outlineLevel="2" x14ac:dyDescent="0.3">
      <c r="C490" t="s">
        <v>469</v>
      </c>
    </row>
    <row r="491" spans="2:3" hidden="1" outlineLevel="2" x14ac:dyDescent="0.3">
      <c r="C491" t="s">
        <v>470</v>
      </c>
    </row>
    <row r="492" spans="2:3" hidden="1" outlineLevel="2" x14ac:dyDescent="0.3">
      <c r="C492" t="s">
        <v>471</v>
      </c>
    </row>
    <row r="493" spans="2:3" hidden="1" outlineLevel="2" x14ac:dyDescent="0.3">
      <c r="C493" t="s">
        <v>472</v>
      </c>
    </row>
    <row r="494" spans="2:3" hidden="1" outlineLevel="2" x14ac:dyDescent="0.3">
      <c r="C494" t="s">
        <v>473</v>
      </c>
    </row>
    <row r="495" spans="2:3" hidden="1" outlineLevel="2" x14ac:dyDescent="0.3">
      <c r="C495" t="s">
        <v>474</v>
      </c>
    </row>
    <row r="496" spans="2:3" outlineLevel="1" collapsed="1" x14ac:dyDescent="0.3">
      <c r="B496" t="s">
        <v>475</v>
      </c>
    </row>
    <row r="497" spans="3:3" hidden="1" outlineLevel="2" x14ac:dyDescent="0.3">
      <c r="C497" t="s">
        <v>476</v>
      </c>
    </row>
    <row r="498" spans="3:3" hidden="1" outlineLevel="2" x14ac:dyDescent="0.3">
      <c r="C498" t="s">
        <v>477</v>
      </c>
    </row>
    <row r="499" spans="3:3" hidden="1" outlineLevel="2" x14ac:dyDescent="0.3">
      <c r="C499" t="s">
        <v>478</v>
      </c>
    </row>
    <row r="500" spans="3:3" hidden="1" outlineLevel="2" x14ac:dyDescent="0.3">
      <c r="C500" t="s">
        <v>479</v>
      </c>
    </row>
    <row r="501" spans="3:3" hidden="1" outlineLevel="2" x14ac:dyDescent="0.3">
      <c r="C501" t="s">
        <v>480</v>
      </c>
    </row>
    <row r="502" spans="3:3" hidden="1" outlineLevel="2" x14ac:dyDescent="0.3">
      <c r="C502" t="s">
        <v>481</v>
      </c>
    </row>
    <row r="503" spans="3:3" hidden="1" outlineLevel="2" x14ac:dyDescent="0.3">
      <c r="C503" t="s">
        <v>482</v>
      </c>
    </row>
    <row r="504" spans="3:3" hidden="1" outlineLevel="2" x14ac:dyDescent="0.3">
      <c r="C504" t="s">
        <v>483</v>
      </c>
    </row>
    <row r="505" spans="3:3" hidden="1" outlineLevel="2" x14ac:dyDescent="0.3">
      <c r="C505" t="s">
        <v>484</v>
      </c>
    </row>
    <row r="506" spans="3:3" hidden="1" outlineLevel="2" x14ac:dyDescent="0.3">
      <c r="C506" t="s">
        <v>485</v>
      </c>
    </row>
    <row r="507" spans="3:3" hidden="1" outlineLevel="2" x14ac:dyDescent="0.3">
      <c r="C507" t="s">
        <v>486</v>
      </c>
    </row>
    <row r="508" spans="3:3" hidden="1" outlineLevel="2" x14ac:dyDescent="0.3">
      <c r="C508" t="s">
        <v>487</v>
      </c>
    </row>
    <row r="509" spans="3:3" hidden="1" outlineLevel="2" x14ac:dyDescent="0.3">
      <c r="C509" t="s">
        <v>488</v>
      </c>
    </row>
    <row r="510" spans="3:3" hidden="1" outlineLevel="2" x14ac:dyDescent="0.3">
      <c r="C510" t="s">
        <v>489</v>
      </c>
    </row>
    <row r="511" spans="3:3" hidden="1" outlineLevel="2" x14ac:dyDescent="0.3">
      <c r="C511" t="s">
        <v>490</v>
      </c>
    </row>
    <row r="512" spans="3:3" hidden="1" outlineLevel="2" x14ac:dyDescent="0.3">
      <c r="C512" t="s">
        <v>491</v>
      </c>
    </row>
    <row r="513" spans="2:3" hidden="1" outlineLevel="2" x14ac:dyDescent="0.3">
      <c r="C513" t="s">
        <v>492</v>
      </c>
    </row>
    <row r="514" spans="2:3" hidden="1" outlineLevel="2" x14ac:dyDescent="0.3">
      <c r="C514" t="s">
        <v>493</v>
      </c>
    </row>
    <row r="515" spans="2:3" hidden="1" outlineLevel="2" x14ac:dyDescent="0.3">
      <c r="C515" t="s">
        <v>494</v>
      </c>
    </row>
    <row r="516" spans="2:3" hidden="1" outlineLevel="2" x14ac:dyDescent="0.3">
      <c r="C516" t="s">
        <v>495</v>
      </c>
    </row>
    <row r="517" spans="2:3" hidden="1" outlineLevel="2" x14ac:dyDescent="0.3">
      <c r="C517" t="s">
        <v>496</v>
      </c>
    </row>
    <row r="518" spans="2:3" hidden="1" outlineLevel="2" x14ac:dyDescent="0.3">
      <c r="C518" t="s">
        <v>497</v>
      </c>
    </row>
    <row r="519" spans="2:3" hidden="1" outlineLevel="2" x14ac:dyDescent="0.3">
      <c r="C519" t="s">
        <v>498</v>
      </c>
    </row>
    <row r="520" spans="2:3" hidden="1" outlineLevel="2" x14ac:dyDescent="0.3">
      <c r="C520" t="s">
        <v>499</v>
      </c>
    </row>
    <row r="521" spans="2:3" hidden="1" outlineLevel="2" x14ac:dyDescent="0.3">
      <c r="C521" t="s">
        <v>500</v>
      </c>
    </row>
    <row r="522" spans="2:3" hidden="1" outlineLevel="2" x14ac:dyDescent="0.3">
      <c r="C522" t="s">
        <v>501</v>
      </c>
    </row>
    <row r="523" spans="2:3" hidden="1" outlineLevel="2" x14ac:dyDescent="0.3">
      <c r="C523" t="s">
        <v>502</v>
      </c>
    </row>
    <row r="524" spans="2:3" hidden="1" outlineLevel="2" x14ac:dyDescent="0.3">
      <c r="C524" t="s">
        <v>503</v>
      </c>
    </row>
    <row r="525" spans="2:3" hidden="1" outlineLevel="2" x14ac:dyDescent="0.3">
      <c r="C525" t="s">
        <v>504</v>
      </c>
    </row>
    <row r="526" spans="2:3" hidden="1" outlineLevel="2" x14ac:dyDescent="0.3">
      <c r="C526" t="s">
        <v>505</v>
      </c>
    </row>
    <row r="527" spans="2:3" hidden="1" outlineLevel="2" x14ac:dyDescent="0.3">
      <c r="C527" t="s">
        <v>506</v>
      </c>
    </row>
    <row r="528" spans="2:3" outlineLevel="1" collapsed="1" x14ac:dyDescent="0.3">
      <c r="B528" t="s">
        <v>507</v>
      </c>
    </row>
    <row r="529" spans="1:2" outlineLevel="1" x14ac:dyDescent="0.3">
      <c r="B529" t="s">
        <v>508</v>
      </c>
    </row>
    <row r="530" spans="1:2" outlineLevel="1" x14ac:dyDescent="0.3">
      <c r="B530" t="s">
        <v>509</v>
      </c>
    </row>
    <row r="531" spans="1:2" outlineLevel="1" x14ac:dyDescent="0.3">
      <c r="B531" t="s">
        <v>510</v>
      </c>
    </row>
    <row r="532" spans="1:2" outlineLevel="1" x14ac:dyDescent="0.3">
      <c r="B532" t="s">
        <v>511</v>
      </c>
    </row>
    <row r="533" spans="1:2" outlineLevel="1" x14ac:dyDescent="0.3">
      <c r="B533" t="s">
        <v>512</v>
      </c>
    </row>
    <row r="534" spans="1:2" x14ac:dyDescent="0.3">
      <c r="A534" t="s">
        <v>513</v>
      </c>
    </row>
    <row r="535" spans="1:2" x14ac:dyDescent="0.3">
      <c r="A535" t="s">
        <v>514</v>
      </c>
    </row>
    <row r="536" spans="1:2" x14ac:dyDescent="0.3">
      <c r="A536" t="s">
        <v>515</v>
      </c>
    </row>
    <row r="537" spans="1:2" x14ac:dyDescent="0.3">
      <c r="A537" t="s">
        <v>516</v>
      </c>
    </row>
    <row r="538" spans="1:2" x14ac:dyDescent="0.3">
      <c r="A538" t="s">
        <v>517</v>
      </c>
    </row>
    <row r="539" spans="1:2" x14ac:dyDescent="0.3">
      <c r="A539" t="s">
        <v>518</v>
      </c>
    </row>
    <row r="545" spans="1:4" x14ac:dyDescent="0.3">
      <c r="A545" t="s">
        <v>524</v>
      </c>
    </row>
    <row r="546" spans="1:4" outlineLevel="1" x14ac:dyDescent="0.3">
      <c r="B546" t="s">
        <v>525</v>
      </c>
    </row>
    <row r="547" spans="1:4" outlineLevel="1" x14ac:dyDescent="0.3">
      <c r="B547" t="s">
        <v>526</v>
      </c>
    </row>
    <row r="548" spans="1:4" hidden="1" outlineLevel="2" x14ac:dyDescent="0.3">
      <c r="C548" t="s">
        <v>527</v>
      </c>
    </row>
    <row r="549" spans="1:4" hidden="1" outlineLevel="3" x14ac:dyDescent="0.3">
      <c r="D549" t="s">
        <v>528</v>
      </c>
    </row>
    <row r="550" spans="1:4" hidden="1" outlineLevel="3" x14ac:dyDescent="0.3">
      <c r="D550" t="s">
        <v>529</v>
      </c>
    </row>
    <row r="551" spans="1:4" hidden="1" outlineLevel="3" x14ac:dyDescent="0.3">
      <c r="D551" t="s">
        <v>530</v>
      </c>
    </row>
    <row r="552" spans="1:4" hidden="1" outlineLevel="3" x14ac:dyDescent="0.3">
      <c r="D552" t="s">
        <v>531</v>
      </c>
    </row>
    <row r="553" spans="1:4" hidden="1" outlineLevel="3" x14ac:dyDescent="0.3">
      <c r="D553" t="s">
        <v>532</v>
      </c>
    </row>
    <row r="554" spans="1:4" hidden="1" outlineLevel="3" x14ac:dyDescent="0.3">
      <c r="D554" t="s">
        <v>533</v>
      </c>
    </row>
    <row r="555" spans="1:4" hidden="1" outlineLevel="3" x14ac:dyDescent="0.3">
      <c r="D555" t="s">
        <v>534</v>
      </c>
    </row>
    <row r="556" spans="1:4" hidden="1" outlineLevel="3" x14ac:dyDescent="0.3">
      <c r="D556" t="s">
        <v>535</v>
      </c>
    </row>
    <row r="557" spans="1:4" hidden="1" outlineLevel="3" x14ac:dyDescent="0.3">
      <c r="D557" t="s">
        <v>536</v>
      </c>
    </row>
    <row r="558" spans="1:4" hidden="1" outlineLevel="3" x14ac:dyDescent="0.3">
      <c r="D558" t="s">
        <v>537</v>
      </c>
    </row>
    <row r="559" spans="1:4" hidden="1" outlineLevel="3" x14ac:dyDescent="0.3">
      <c r="D559" t="s">
        <v>538</v>
      </c>
    </row>
    <row r="560" spans="1:4" hidden="1" outlineLevel="3" x14ac:dyDescent="0.3">
      <c r="D560" t="s">
        <v>539</v>
      </c>
    </row>
    <row r="561" spans="4:4" hidden="1" outlineLevel="3" x14ac:dyDescent="0.3">
      <c r="D561" t="s">
        <v>540</v>
      </c>
    </row>
    <row r="562" spans="4:4" hidden="1" outlineLevel="3" x14ac:dyDescent="0.3">
      <c r="D562" t="s">
        <v>541</v>
      </c>
    </row>
    <row r="563" spans="4:4" hidden="1" outlineLevel="3" x14ac:dyDescent="0.3">
      <c r="D563" t="s">
        <v>542</v>
      </c>
    </row>
    <row r="564" spans="4:4" hidden="1" outlineLevel="3" x14ac:dyDescent="0.3">
      <c r="D564" t="s">
        <v>543</v>
      </c>
    </row>
    <row r="565" spans="4:4" hidden="1" outlineLevel="3" x14ac:dyDescent="0.3">
      <c r="D565" t="s">
        <v>544</v>
      </c>
    </row>
    <row r="566" spans="4:4" hidden="1" outlineLevel="3" x14ac:dyDescent="0.3">
      <c r="D566" t="s">
        <v>545</v>
      </c>
    </row>
    <row r="567" spans="4:4" hidden="1" outlineLevel="3" x14ac:dyDescent="0.3">
      <c r="D567" t="s">
        <v>546</v>
      </c>
    </row>
    <row r="568" spans="4:4" hidden="1" outlineLevel="3" x14ac:dyDescent="0.3">
      <c r="D568" t="s">
        <v>547</v>
      </c>
    </row>
    <row r="569" spans="4:4" hidden="1" outlineLevel="3" x14ac:dyDescent="0.3">
      <c r="D569" t="s">
        <v>548</v>
      </c>
    </row>
    <row r="570" spans="4:4" hidden="1" outlineLevel="3" x14ac:dyDescent="0.3">
      <c r="D570" t="s">
        <v>549</v>
      </c>
    </row>
    <row r="571" spans="4:4" hidden="1" outlineLevel="3" x14ac:dyDescent="0.3">
      <c r="D571" t="s">
        <v>550</v>
      </c>
    </row>
    <row r="572" spans="4:4" hidden="1" outlineLevel="3" x14ac:dyDescent="0.3">
      <c r="D572" t="s">
        <v>551</v>
      </c>
    </row>
    <row r="573" spans="4:4" hidden="1" outlineLevel="3" x14ac:dyDescent="0.3">
      <c r="D573" t="s">
        <v>552</v>
      </c>
    </row>
    <row r="574" spans="4:4" hidden="1" outlineLevel="3" x14ac:dyDescent="0.3">
      <c r="D574" t="s">
        <v>553</v>
      </c>
    </row>
    <row r="575" spans="4:4" hidden="1" outlineLevel="3" x14ac:dyDescent="0.3">
      <c r="D575" t="s">
        <v>554</v>
      </c>
    </row>
    <row r="576" spans="4:4" hidden="1" outlineLevel="3" x14ac:dyDescent="0.3">
      <c r="D576" t="s">
        <v>555</v>
      </c>
    </row>
    <row r="577" spans="4:4" hidden="1" outlineLevel="3" x14ac:dyDescent="0.3">
      <c r="D577" t="s">
        <v>556</v>
      </c>
    </row>
    <row r="578" spans="4:4" hidden="1" outlineLevel="3" x14ac:dyDescent="0.3">
      <c r="D578" t="s">
        <v>557</v>
      </c>
    </row>
    <row r="579" spans="4:4" hidden="1" outlineLevel="3" x14ac:dyDescent="0.3">
      <c r="D579" t="s">
        <v>558</v>
      </c>
    </row>
    <row r="580" spans="4:4" hidden="1" outlineLevel="3" x14ac:dyDescent="0.3">
      <c r="D580" t="s">
        <v>559</v>
      </c>
    </row>
    <row r="581" spans="4:4" hidden="1" outlineLevel="3" x14ac:dyDescent="0.3">
      <c r="D581" t="s">
        <v>560</v>
      </c>
    </row>
    <row r="582" spans="4:4" hidden="1" outlineLevel="3" x14ac:dyDescent="0.3">
      <c r="D582" t="s">
        <v>561</v>
      </c>
    </row>
    <row r="583" spans="4:4" hidden="1" outlineLevel="3" x14ac:dyDescent="0.3">
      <c r="D583" t="s">
        <v>562</v>
      </c>
    </row>
    <row r="584" spans="4:4" hidden="1" outlineLevel="3" x14ac:dyDescent="0.3">
      <c r="D584" t="s">
        <v>563</v>
      </c>
    </row>
    <row r="585" spans="4:4" hidden="1" outlineLevel="3" x14ac:dyDescent="0.3">
      <c r="D585" t="s">
        <v>564</v>
      </c>
    </row>
    <row r="586" spans="4:4" hidden="1" outlineLevel="3" x14ac:dyDescent="0.3">
      <c r="D586" t="s">
        <v>565</v>
      </c>
    </row>
    <row r="587" spans="4:4" hidden="1" outlineLevel="3" x14ac:dyDescent="0.3">
      <c r="D587" t="s">
        <v>566</v>
      </c>
    </row>
    <row r="588" spans="4:4" hidden="1" outlineLevel="3" x14ac:dyDescent="0.3">
      <c r="D588" t="s">
        <v>567</v>
      </c>
    </row>
    <row r="589" spans="4:4" hidden="1" outlineLevel="3" x14ac:dyDescent="0.3">
      <c r="D589" t="s">
        <v>568</v>
      </c>
    </row>
    <row r="590" spans="4:4" hidden="1" outlineLevel="3" x14ac:dyDescent="0.3">
      <c r="D590" t="s">
        <v>569</v>
      </c>
    </row>
    <row r="591" spans="4:4" hidden="1" outlineLevel="3" x14ac:dyDescent="0.3">
      <c r="D591" t="s">
        <v>570</v>
      </c>
    </row>
    <row r="592" spans="4:4" hidden="1" outlineLevel="3" x14ac:dyDescent="0.3">
      <c r="D592" t="s">
        <v>571</v>
      </c>
    </row>
    <row r="593" spans="4:4" hidden="1" outlineLevel="3" x14ac:dyDescent="0.3">
      <c r="D593" t="s">
        <v>572</v>
      </c>
    </row>
    <row r="594" spans="4:4" hidden="1" outlineLevel="3" x14ac:dyDescent="0.3">
      <c r="D594" t="s">
        <v>573</v>
      </c>
    </row>
    <row r="595" spans="4:4" hidden="1" outlineLevel="3" x14ac:dyDescent="0.3">
      <c r="D595" t="s">
        <v>574</v>
      </c>
    </row>
    <row r="596" spans="4:4" hidden="1" outlineLevel="3" x14ac:dyDescent="0.3">
      <c r="D596" t="s">
        <v>575</v>
      </c>
    </row>
    <row r="597" spans="4:4" hidden="1" outlineLevel="3" x14ac:dyDescent="0.3">
      <c r="D597" t="s">
        <v>576</v>
      </c>
    </row>
    <row r="598" spans="4:4" hidden="1" outlineLevel="3" x14ac:dyDescent="0.3">
      <c r="D598" t="s">
        <v>577</v>
      </c>
    </row>
    <row r="599" spans="4:4" hidden="1" outlineLevel="3" x14ac:dyDescent="0.3">
      <c r="D599" t="s">
        <v>578</v>
      </c>
    </row>
    <row r="600" spans="4:4" hidden="1" outlineLevel="3" x14ac:dyDescent="0.3">
      <c r="D600" t="s">
        <v>579</v>
      </c>
    </row>
    <row r="601" spans="4:4" hidden="1" outlineLevel="3" x14ac:dyDescent="0.3">
      <c r="D601" t="s">
        <v>580</v>
      </c>
    </row>
    <row r="602" spans="4:4" hidden="1" outlineLevel="3" x14ac:dyDescent="0.3">
      <c r="D602" t="s">
        <v>581</v>
      </c>
    </row>
    <row r="603" spans="4:4" hidden="1" outlineLevel="3" x14ac:dyDescent="0.3">
      <c r="D603" t="s">
        <v>582</v>
      </c>
    </row>
    <row r="604" spans="4:4" hidden="1" outlineLevel="3" x14ac:dyDescent="0.3">
      <c r="D604" t="s">
        <v>583</v>
      </c>
    </row>
    <row r="605" spans="4:4" hidden="1" outlineLevel="3" x14ac:dyDescent="0.3">
      <c r="D605" t="s">
        <v>584</v>
      </c>
    </row>
    <row r="606" spans="4:4" hidden="1" outlineLevel="3" x14ac:dyDescent="0.3">
      <c r="D606" t="s">
        <v>585</v>
      </c>
    </row>
    <row r="607" spans="4:4" hidden="1" outlineLevel="3" x14ac:dyDescent="0.3">
      <c r="D607" t="s">
        <v>586</v>
      </c>
    </row>
    <row r="608" spans="4:4" hidden="1" outlineLevel="3" x14ac:dyDescent="0.3">
      <c r="D608" t="s">
        <v>587</v>
      </c>
    </row>
    <row r="609" spans="3:4" hidden="1" outlineLevel="3" x14ac:dyDescent="0.3">
      <c r="D609" t="s">
        <v>588</v>
      </c>
    </row>
    <row r="610" spans="3:4" hidden="1" outlineLevel="3" x14ac:dyDescent="0.3">
      <c r="D610" t="s">
        <v>589</v>
      </c>
    </row>
    <row r="611" spans="3:4" hidden="1" outlineLevel="3" x14ac:dyDescent="0.3">
      <c r="D611" t="s">
        <v>590</v>
      </c>
    </row>
    <row r="612" spans="3:4" hidden="1" outlineLevel="3" x14ac:dyDescent="0.3">
      <c r="D612" t="s">
        <v>591</v>
      </c>
    </row>
    <row r="613" spans="3:4" hidden="1" outlineLevel="3" x14ac:dyDescent="0.3">
      <c r="D613" t="s">
        <v>592</v>
      </c>
    </row>
    <row r="614" spans="3:4" hidden="1" outlineLevel="3" x14ac:dyDescent="0.3">
      <c r="D614" t="s">
        <v>593</v>
      </c>
    </row>
    <row r="615" spans="3:4" hidden="1" outlineLevel="3" x14ac:dyDescent="0.3">
      <c r="D615" t="s">
        <v>594</v>
      </c>
    </row>
    <row r="616" spans="3:4" hidden="1" outlineLevel="3" x14ac:dyDescent="0.3">
      <c r="D616" t="s">
        <v>595</v>
      </c>
    </row>
    <row r="617" spans="3:4" hidden="1" outlineLevel="3" x14ac:dyDescent="0.3">
      <c r="D617" t="s">
        <v>596</v>
      </c>
    </row>
    <row r="618" spans="3:4" hidden="1" outlineLevel="3" x14ac:dyDescent="0.3">
      <c r="D618" t="s">
        <v>597</v>
      </c>
    </row>
    <row r="619" spans="3:4" hidden="1" outlineLevel="3" x14ac:dyDescent="0.3">
      <c r="D619" t="s">
        <v>598</v>
      </c>
    </row>
    <row r="620" spans="3:4" hidden="1" outlineLevel="3" x14ac:dyDescent="0.3">
      <c r="D620" t="s">
        <v>599</v>
      </c>
    </row>
    <row r="621" spans="3:4" hidden="1" outlineLevel="3" x14ac:dyDescent="0.3">
      <c r="D621" t="s">
        <v>600</v>
      </c>
    </row>
    <row r="622" spans="3:4" hidden="1" outlineLevel="3" x14ac:dyDescent="0.3">
      <c r="D622" t="s">
        <v>601</v>
      </c>
    </row>
    <row r="623" spans="3:4" hidden="1" outlineLevel="3" x14ac:dyDescent="0.3">
      <c r="D623" t="s">
        <v>602</v>
      </c>
    </row>
    <row r="624" spans="3:4" hidden="1" outlineLevel="2" x14ac:dyDescent="0.3">
      <c r="C624" t="s">
        <v>603</v>
      </c>
    </row>
    <row r="625" spans="3:4" hidden="1" outlineLevel="3" x14ac:dyDescent="0.3">
      <c r="D625" t="s">
        <v>604</v>
      </c>
    </row>
    <row r="626" spans="3:4" hidden="1" outlineLevel="3" x14ac:dyDescent="0.3">
      <c r="D626" t="s">
        <v>605</v>
      </c>
    </row>
    <row r="627" spans="3:4" hidden="1" outlineLevel="3" x14ac:dyDescent="0.3">
      <c r="D627" t="s">
        <v>606</v>
      </c>
    </row>
    <row r="628" spans="3:4" hidden="1" outlineLevel="3" x14ac:dyDescent="0.3">
      <c r="D628" t="s">
        <v>607</v>
      </c>
    </row>
    <row r="629" spans="3:4" hidden="1" outlineLevel="3" x14ac:dyDescent="0.3">
      <c r="D629" t="s">
        <v>608</v>
      </c>
    </row>
    <row r="630" spans="3:4" hidden="1" outlineLevel="3" x14ac:dyDescent="0.3">
      <c r="D630" t="s">
        <v>609</v>
      </c>
    </row>
    <row r="631" spans="3:4" hidden="1" outlineLevel="3" x14ac:dyDescent="0.3">
      <c r="D631" t="s">
        <v>610</v>
      </c>
    </row>
    <row r="632" spans="3:4" hidden="1" outlineLevel="3" x14ac:dyDescent="0.3">
      <c r="D632" t="s">
        <v>611</v>
      </c>
    </row>
    <row r="633" spans="3:4" hidden="1" outlineLevel="3" x14ac:dyDescent="0.3">
      <c r="D633" t="s">
        <v>612</v>
      </c>
    </row>
    <row r="634" spans="3:4" hidden="1" outlineLevel="3" x14ac:dyDescent="0.3">
      <c r="D634" t="s">
        <v>613</v>
      </c>
    </row>
    <row r="635" spans="3:4" hidden="1" outlineLevel="3" x14ac:dyDescent="0.3">
      <c r="D635" t="s">
        <v>614</v>
      </c>
    </row>
    <row r="636" spans="3:4" hidden="1" outlineLevel="2" x14ac:dyDescent="0.3">
      <c r="C636" t="s">
        <v>615</v>
      </c>
    </row>
    <row r="637" spans="3:4" hidden="1" outlineLevel="2" x14ac:dyDescent="0.3">
      <c r="C637" t="s">
        <v>616</v>
      </c>
    </row>
    <row r="638" spans="3:4" hidden="1" outlineLevel="2" x14ac:dyDescent="0.3">
      <c r="C638" t="s">
        <v>617</v>
      </c>
    </row>
    <row r="639" spans="3:4" hidden="1" outlineLevel="2" x14ac:dyDescent="0.3">
      <c r="C639" t="s">
        <v>618</v>
      </c>
    </row>
    <row r="640" spans="3:4" hidden="1" outlineLevel="3" x14ac:dyDescent="0.3">
      <c r="D640" t="s">
        <v>619</v>
      </c>
    </row>
    <row r="641" spans="4:4" hidden="1" outlineLevel="3" x14ac:dyDescent="0.3">
      <c r="D641" t="s">
        <v>620</v>
      </c>
    </row>
    <row r="642" spans="4:4" hidden="1" outlineLevel="3" x14ac:dyDescent="0.3">
      <c r="D642" t="s">
        <v>621</v>
      </c>
    </row>
    <row r="643" spans="4:4" hidden="1" outlineLevel="3" x14ac:dyDescent="0.3">
      <c r="D643" t="s">
        <v>622</v>
      </c>
    </row>
    <row r="644" spans="4:4" hidden="1" outlineLevel="3" x14ac:dyDescent="0.3">
      <c r="D644" t="s">
        <v>623</v>
      </c>
    </row>
    <row r="645" spans="4:4" hidden="1" outlineLevel="3" x14ac:dyDescent="0.3">
      <c r="D645" t="s">
        <v>624</v>
      </c>
    </row>
    <row r="646" spans="4:4" hidden="1" outlineLevel="3" x14ac:dyDescent="0.3">
      <c r="D646" t="s">
        <v>625</v>
      </c>
    </row>
    <row r="647" spans="4:4" hidden="1" outlineLevel="3" x14ac:dyDescent="0.3">
      <c r="D647" t="s">
        <v>626</v>
      </c>
    </row>
    <row r="648" spans="4:4" hidden="1" outlineLevel="3" x14ac:dyDescent="0.3">
      <c r="D648" t="s">
        <v>627</v>
      </c>
    </row>
    <row r="649" spans="4:4" hidden="1" outlineLevel="3" x14ac:dyDescent="0.3">
      <c r="D649" t="s">
        <v>628</v>
      </c>
    </row>
    <row r="650" spans="4:4" hidden="1" outlineLevel="3" x14ac:dyDescent="0.3">
      <c r="D650" t="s">
        <v>629</v>
      </c>
    </row>
    <row r="651" spans="4:4" hidden="1" outlineLevel="3" x14ac:dyDescent="0.3">
      <c r="D651" t="s">
        <v>630</v>
      </c>
    </row>
    <row r="652" spans="4:4" hidden="1" outlineLevel="3" x14ac:dyDescent="0.3">
      <c r="D652" t="s">
        <v>631</v>
      </c>
    </row>
    <row r="653" spans="4:4" hidden="1" outlineLevel="3" x14ac:dyDescent="0.3">
      <c r="D653" t="s">
        <v>632</v>
      </c>
    </row>
    <row r="654" spans="4:4" hidden="1" outlineLevel="3" x14ac:dyDescent="0.3">
      <c r="D654" t="s">
        <v>633</v>
      </c>
    </row>
    <row r="655" spans="4:4" hidden="1" outlineLevel="3" x14ac:dyDescent="0.3">
      <c r="D655" t="s">
        <v>634</v>
      </c>
    </row>
    <row r="656" spans="4:4" hidden="1" outlineLevel="3" x14ac:dyDescent="0.3">
      <c r="D656" t="s">
        <v>635</v>
      </c>
    </row>
    <row r="657" spans="4:4" hidden="1" outlineLevel="3" x14ac:dyDescent="0.3">
      <c r="D657" t="s">
        <v>636</v>
      </c>
    </row>
    <row r="658" spans="4:4" hidden="1" outlineLevel="3" x14ac:dyDescent="0.3">
      <c r="D658" t="s">
        <v>637</v>
      </c>
    </row>
    <row r="659" spans="4:4" hidden="1" outlineLevel="3" x14ac:dyDescent="0.3">
      <c r="D659" t="s">
        <v>638</v>
      </c>
    </row>
    <row r="660" spans="4:4" hidden="1" outlineLevel="3" x14ac:dyDescent="0.3">
      <c r="D660" t="s">
        <v>639</v>
      </c>
    </row>
    <row r="661" spans="4:4" hidden="1" outlineLevel="3" x14ac:dyDescent="0.3">
      <c r="D661" t="s">
        <v>640</v>
      </c>
    </row>
    <row r="662" spans="4:4" hidden="1" outlineLevel="3" x14ac:dyDescent="0.3">
      <c r="D662" t="s">
        <v>641</v>
      </c>
    </row>
    <row r="663" spans="4:4" hidden="1" outlineLevel="3" x14ac:dyDescent="0.3">
      <c r="D663" t="s">
        <v>642</v>
      </c>
    </row>
    <row r="664" spans="4:4" hidden="1" outlineLevel="3" x14ac:dyDescent="0.3">
      <c r="D664" t="s">
        <v>643</v>
      </c>
    </row>
    <row r="665" spans="4:4" hidden="1" outlineLevel="3" x14ac:dyDescent="0.3">
      <c r="D665" t="s">
        <v>644</v>
      </c>
    </row>
    <row r="666" spans="4:4" hidden="1" outlineLevel="3" x14ac:dyDescent="0.3">
      <c r="D666" t="s">
        <v>645</v>
      </c>
    </row>
    <row r="667" spans="4:4" hidden="1" outlineLevel="3" x14ac:dyDescent="0.3">
      <c r="D667" t="s">
        <v>646</v>
      </c>
    </row>
    <row r="668" spans="4:4" hidden="1" outlineLevel="3" x14ac:dyDescent="0.3">
      <c r="D668" t="s">
        <v>647</v>
      </c>
    </row>
    <row r="669" spans="4:4" hidden="1" outlineLevel="3" x14ac:dyDescent="0.3">
      <c r="D669" t="s">
        <v>648</v>
      </c>
    </row>
    <row r="670" spans="4:4" hidden="1" outlineLevel="3" x14ac:dyDescent="0.3">
      <c r="D670" t="s">
        <v>649</v>
      </c>
    </row>
    <row r="671" spans="4:4" hidden="1" outlineLevel="3" x14ac:dyDescent="0.3">
      <c r="D671" t="s">
        <v>650</v>
      </c>
    </row>
    <row r="672" spans="4:4" hidden="1" outlineLevel="3" x14ac:dyDescent="0.3">
      <c r="D672" t="s">
        <v>651</v>
      </c>
    </row>
    <row r="673" spans="4:4" hidden="1" outlineLevel="3" x14ac:dyDescent="0.3">
      <c r="D673" t="s">
        <v>652</v>
      </c>
    </row>
    <row r="674" spans="4:4" hidden="1" outlineLevel="3" x14ac:dyDescent="0.3">
      <c r="D674" t="s">
        <v>653</v>
      </c>
    </row>
    <row r="675" spans="4:4" hidden="1" outlineLevel="3" x14ac:dyDescent="0.3">
      <c r="D675" t="s">
        <v>654</v>
      </c>
    </row>
    <row r="676" spans="4:4" hidden="1" outlineLevel="3" x14ac:dyDescent="0.3">
      <c r="D676" t="s">
        <v>655</v>
      </c>
    </row>
    <row r="677" spans="4:4" hidden="1" outlineLevel="3" x14ac:dyDescent="0.3">
      <c r="D677" t="s">
        <v>656</v>
      </c>
    </row>
    <row r="678" spans="4:4" hidden="1" outlineLevel="3" x14ac:dyDescent="0.3">
      <c r="D678" t="s">
        <v>657</v>
      </c>
    </row>
    <row r="679" spans="4:4" hidden="1" outlineLevel="3" x14ac:dyDescent="0.3">
      <c r="D679" t="s">
        <v>658</v>
      </c>
    </row>
    <row r="680" spans="4:4" hidden="1" outlineLevel="3" x14ac:dyDescent="0.3">
      <c r="D680" t="s">
        <v>659</v>
      </c>
    </row>
    <row r="681" spans="4:4" hidden="1" outlineLevel="3" x14ac:dyDescent="0.3">
      <c r="D681" t="s">
        <v>660</v>
      </c>
    </row>
    <row r="682" spans="4:4" hidden="1" outlineLevel="3" x14ac:dyDescent="0.3">
      <c r="D682" t="s">
        <v>661</v>
      </c>
    </row>
    <row r="683" spans="4:4" hidden="1" outlineLevel="3" x14ac:dyDescent="0.3">
      <c r="D683" t="s">
        <v>662</v>
      </c>
    </row>
    <row r="684" spans="4:4" hidden="1" outlineLevel="3" x14ac:dyDescent="0.3">
      <c r="D684" t="s">
        <v>663</v>
      </c>
    </row>
    <row r="685" spans="4:4" hidden="1" outlineLevel="3" x14ac:dyDescent="0.3">
      <c r="D685" t="s">
        <v>664</v>
      </c>
    </row>
    <row r="686" spans="4:4" hidden="1" outlineLevel="3" x14ac:dyDescent="0.3">
      <c r="D686" t="s">
        <v>665</v>
      </c>
    </row>
    <row r="687" spans="4:4" hidden="1" outlineLevel="3" x14ac:dyDescent="0.3">
      <c r="D687" t="s">
        <v>666</v>
      </c>
    </row>
    <row r="688" spans="4:4" hidden="1" outlineLevel="3" x14ac:dyDescent="0.3">
      <c r="D688" t="s">
        <v>667</v>
      </c>
    </row>
    <row r="689" spans="3:4" hidden="1" outlineLevel="3" x14ac:dyDescent="0.3">
      <c r="D689" t="s">
        <v>668</v>
      </c>
    </row>
    <row r="690" spans="3:4" hidden="1" outlineLevel="3" x14ac:dyDescent="0.3">
      <c r="D690" t="s">
        <v>669</v>
      </c>
    </row>
    <row r="691" spans="3:4" hidden="1" outlineLevel="2" x14ac:dyDescent="0.3">
      <c r="C691" t="s">
        <v>670</v>
      </c>
    </row>
    <row r="692" spans="3:4" hidden="1" outlineLevel="3" x14ac:dyDescent="0.3">
      <c r="D692" t="s">
        <v>671</v>
      </c>
    </row>
    <row r="693" spans="3:4" hidden="1" outlineLevel="3" x14ac:dyDescent="0.3">
      <c r="D693" t="s">
        <v>672</v>
      </c>
    </row>
    <row r="694" spans="3:4" hidden="1" outlineLevel="3" x14ac:dyDescent="0.3">
      <c r="D694" t="s">
        <v>673</v>
      </c>
    </row>
    <row r="695" spans="3:4" hidden="1" outlineLevel="3" x14ac:dyDescent="0.3">
      <c r="D695" t="s">
        <v>674</v>
      </c>
    </row>
    <row r="696" spans="3:4" hidden="1" outlineLevel="3" x14ac:dyDescent="0.3">
      <c r="D696" t="s">
        <v>675</v>
      </c>
    </row>
    <row r="697" spans="3:4" hidden="1" outlineLevel="2" x14ac:dyDescent="0.3">
      <c r="C697" t="s">
        <v>676</v>
      </c>
    </row>
    <row r="698" spans="3:4" hidden="1" outlineLevel="3" x14ac:dyDescent="0.3">
      <c r="D698" t="s">
        <v>677</v>
      </c>
    </row>
    <row r="699" spans="3:4" hidden="1" outlineLevel="3" x14ac:dyDescent="0.3">
      <c r="D699" t="s">
        <v>678</v>
      </c>
    </row>
    <row r="700" spans="3:4" hidden="1" outlineLevel="3" x14ac:dyDescent="0.3">
      <c r="D700" t="s">
        <v>679</v>
      </c>
    </row>
    <row r="701" spans="3:4" hidden="1" outlineLevel="3" x14ac:dyDescent="0.3">
      <c r="D701" t="s">
        <v>680</v>
      </c>
    </row>
    <row r="702" spans="3:4" hidden="1" outlineLevel="2" x14ac:dyDescent="0.3">
      <c r="C702" t="s">
        <v>681</v>
      </c>
    </row>
    <row r="703" spans="3:4" hidden="1" outlineLevel="3" x14ac:dyDescent="0.3">
      <c r="D703" t="s">
        <v>682</v>
      </c>
    </row>
    <row r="704" spans="3:4" hidden="1" outlineLevel="3" x14ac:dyDescent="0.3">
      <c r="D704" t="s">
        <v>683</v>
      </c>
    </row>
    <row r="705" spans="3:4" hidden="1" outlineLevel="3" x14ac:dyDescent="0.3">
      <c r="D705" t="s">
        <v>684</v>
      </c>
    </row>
    <row r="706" spans="3:4" hidden="1" outlineLevel="3" x14ac:dyDescent="0.3">
      <c r="D706" t="s">
        <v>685</v>
      </c>
    </row>
    <row r="707" spans="3:4" hidden="1" outlineLevel="3" x14ac:dyDescent="0.3">
      <c r="D707" t="s">
        <v>686</v>
      </c>
    </row>
    <row r="708" spans="3:4" hidden="1" outlineLevel="3" x14ac:dyDescent="0.3">
      <c r="D708" t="s">
        <v>687</v>
      </c>
    </row>
    <row r="709" spans="3:4" hidden="1" outlineLevel="3" x14ac:dyDescent="0.3">
      <c r="D709" t="s">
        <v>688</v>
      </c>
    </row>
    <row r="710" spans="3:4" hidden="1" outlineLevel="2" x14ac:dyDescent="0.3">
      <c r="C710" t="s">
        <v>689</v>
      </c>
    </row>
    <row r="711" spans="3:4" hidden="1" outlineLevel="3" x14ac:dyDescent="0.3">
      <c r="D711" t="s">
        <v>690</v>
      </c>
    </row>
    <row r="712" spans="3:4" hidden="1" outlineLevel="3" x14ac:dyDescent="0.3">
      <c r="D712" t="s">
        <v>691</v>
      </c>
    </row>
    <row r="713" spans="3:4" hidden="1" outlineLevel="3" x14ac:dyDescent="0.3">
      <c r="D713" t="s">
        <v>692</v>
      </c>
    </row>
    <row r="714" spans="3:4" hidden="1" outlineLevel="3" x14ac:dyDescent="0.3">
      <c r="D714" t="s">
        <v>693</v>
      </c>
    </row>
    <row r="715" spans="3:4" hidden="1" outlineLevel="3" x14ac:dyDescent="0.3">
      <c r="D715" t="s">
        <v>694</v>
      </c>
    </row>
    <row r="716" spans="3:4" hidden="1" outlineLevel="2" x14ac:dyDescent="0.3">
      <c r="C716" t="s">
        <v>695</v>
      </c>
    </row>
    <row r="717" spans="3:4" hidden="1" outlineLevel="2" x14ac:dyDescent="0.3">
      <c r="C717" t="s">
        <v>696</v>
      </c>
    </row>
    <row r="718" spans="3:4" hidden="1" outlineLevel="2" x14ac:dyDescent="0.3">
      <c r="C718" t="s">
        <v>697</v>
      </c>
    </row>
    <row r="719" spans="3:4" hidden="1" outlineLevel="2" x14ac:dyDescent="0.3">
      <c r="C719" t="s">
        <v>698</v>
      </c>
    </row>
    <row r="720" spans="3:4" hidden="1" outlineLevel="2" x14ac:dyDescent="0.3">
      <c r="C720" t="s">
        <v>699</v>
      </c>
    </row>
    <row r="721" spans="4:5" hidden="1" outlineLevel="3" x14ac:dyDescent="0.3">
      <c r="D721" t="s">
        <v>700</v>
      </c>
    </row>
    <row r="722" spans="4:5" hidden="1" outlineLevel="3" x14ac:dyDescent="0.3">
      <c r="D722" t="s">
        <v>701</v>
      </c>
    </row>
    <row r="723" spans="4:5" hidden="1" outlineLevel="3" x14ac:dyDescent="0.3">
      <c r="D723" t="s">
        <v>702</v>
      </c>
    </row>
    <row r="724" spans="4:5" hidden="1" outlineLevel="3" x14ac:dyDescent="0.3">
      <c r="D724" t="s">
        <v>703</v>
      </c>
    </row>
    <row r="725" spans="4:5" hidden="1" outlineLevel="3" x14ac:dyDescent="0.3">
      <c r="D725" t="s">
        <v>704</v>
      </c>
    </row>
    <row r="726" spans="4:5" hidden="1" outlineLevel="3" x14ac:dyDescent="0.3">
      <c r="D726" t="s">
        <v>705</v>
      </c>
    </row>
    <row r="727" spans="4:5" hidden="1" outlineLevel="3" x14ac:dyDescent="0.3">
      <c r="D727" t="s">
        <v>706</v>
      </c>
    </row>
    <row r="728" spans="4:5" hidden="1" outlineLevel="3" x14ac:dyDescent="0.3">
      <c r="D728" t="s">
        <v>707</v>
      </c>
    </row>
    <row r="729" spans="4:5" hidden="1" outlineLevel="3" x14ac:dyDescent="0.3">
      <c r="D729" t="s">
        <v>708</v>
      </c>
    </row>
    <row r="730" spans="4:5" hidden="1" outlineLevel="4" x14ac:dyDescent="0.3">
      <c r="E730" t="s">
        <v>709</v>
      </c>
    </row>
    <row r="731" spans="4:5" hidden="1" outlineLevel="4" x14ac:dyDescent="0.3">
      <c r="E731" t="s">
        <v>710</v>
      </c>
    </row>
    <row r="732" spans="4:5" hidden="1" outlineLevel="4" x14ac:dyDescent="0.3">
      <c r="E732" t="s">
        <v>711</v>
      </c>
    </row>
    <row r="733" spans="4:5" hidden="1" outlineLevel="4" x14ac:dyDescent="0.3">
      <c r="E733" t="s">
        <v>712</v>
      </c>
    </row>
    <row r="734" spans="4:5" hidden="1" outlineLevel="4" x14ac:dyDescent="0.3">
      <c r="E734" t="s">
        <v>713</v>
      </c>
    </row>
    <row r="735" spans="4:5" hidden="1" outlineLevel="3" x14ac:dyDescent="0.3">
      <c r="D735" t="s">
        <v>714</v>
      </c>
    </row>
    <row r="736" spans="4:5" hidden="1" outlineLevel="3" x14ac:dyDescent="0.3">
      <c r="D736" t="s">
        <v>715</v>
      </c>
    </row>
    <row r="737" spans="3:4" hidden="1" outlineLevel="3" x14ac:dyDescent="0.3">
      <c r="D737" t="s">
        <v>716</v>
      </c>
    </row>
    <row r="738" spans="3:4" hidden="1" outlineLevel="3" x14ac:dyDescent="0.3">
      <c r="D738" t="s">
        <v>717</v>
      </c>
    </row>
    <row r="739" spans="3:4" hidden="1" outlineLevel="3" x14ac:dyDescent="0.3">
      <c r="D739" t="s">
        <v>718</v>
      </c>
    </row>
    <row r="740" spans="3:4" hidden="1" outlineLevel="3" x14ac:dyDescent="0.3">
      <c r="D740" t="s">
        <v>719</v>
      </c>
    </row>
    <row r="741" spans="3:4" hidden="1" outlineLevel="3" x14ac:dyDescent="0.3">
      <c r="D741" t="s">
        <v>720</v>
      </c>
    </row>
    <row r="742" spans="3:4" hidden="1" outlineLevel="3" x14ac:dyDescent="0.3">
      <c r="D742" t="s">
        <v>721</v>
      </c>
    </row>
    <row r="743" spans="3:4" hidden="1" outlineLevel="3" x14ac:dyDescent="0.3">
      <c r="D743" t="s">
        <v>722</v>
      </c>
    </row>
    <row r="744" spans="3:4" hidden="1" outlineLevel="3" x14ac:dyDescent="0.3">
      <c r="D744" t="s">
        <v>723</v>
      </c>
    </row>
    <row r="745" spans="3:4" hidden="1" outlineLevel="2" x14ac:dyDescent="0.3">
      <c r="C745" t="s">
        <v>724</v>
      </c>
    </row>
    <row r="746" spans="3:4" hidden="1" outlineLevel="3" x14ac:dyDescent="0.3">
      <c r="D746" t="s">
        <v>725</v>
      </c>
    </row>
    <row r="747" spans="3:4" hidden="1" outlineLevel="3" x14ac:dyDescent="0.3">
      <c r="D747" t="s">
        <v>726</v>
      </c>
    </row>
    <row r="748" spans="3:4" hidden="1" outlineLevel="3" x14ac:dyDescent="0.3">
      <c r="D748" t="s">
        <v>727</v>
      </c>
    </row>
    <row r="749" spans="3:4" hidden="1" outlineLevel="3" x14ac:dyDescent="0.3">
      <c r="D749" t="s">
        <v>728</v>
      </c>
    </row>
    <row r="750" spans="3:4" hidden="1" outlineLevel="3" x14ac:dyDescent="0.3">
      <c r="D750" t="s">
        <v>729</v>
      </c>
    </row>
    <row r="751" spans="3:4" hidden="1" outlineLevel="3" x14ac:dyDescent="0.3">
      <c r="D751" t="s">
        <v>730</v>
      </c>
    </row>
    <row r="752" spans="3:4" hidden="1" outlineLevel="3" x14ac:dyDescent="0.3">
      <c r="D752" t="s">
        <v>731</v>
      </c>
    </row>
    <row r="753" spans="4:4" hidden="1" outlineLevel="3" x14ac:dyDescent="0.3">
      <c r="D753" t="s">
        <v>732</v>
      </c>
    </row>
    <row r="754" spans="4:4" hidden="1" outlineLevel="3" x14ac:dyDescent="0.3">
      <c r="D754" t="s">
        <v>733</v>
      </c>
    </row>
    <row r="755" spans="4:4" hidden="1" outlineLevel="3" x14ac:dyDescent="0.3">
      <c r="D755" t="s">
        <v>734</v>
      </c>
    </row>
    <row r="756" spans="4:4" hidden="1" outlineLevel="3" x14ac:dyDescent="0.3">
      <c r="D756" t="s">
        <v>735</v>
      </c>
    </row>
    <row r="757" spans="4:4" hidden="1" outlineLevel="3" x14ac:dyDescent="0.3">
      <c r="D757" t="s">
        <v>736</v>
      </c>
    </row>
    <row r="758" spans="4:4" hidden="1" outlineLevel="3" x14ac:dyDescent="0.3">
      <c r="D758" t="s">
        <v>737</v>
      </c>
    </row>
    <row r="759" spans="4:4" hidden="1" outlineLevel="3" x14ac:dyDescent="0.3">
      <c r="D759" t="s">
        <v>738</v>
      </c>
    </row>
    <row r="760" spans="4:4" hidden="1" outlineLevel="3" x14ac:dyDescent="0.3">
      <c r="D760" t="s">
        <v>739</v>
      </c>
    </row>
    <row r="761" spans="4:4" hidden="1" outlineLevel="3" x14ac:dyDescent="0.3">
      <c r="D761" t="s">
        <v>740</v>
      </c>
    </row>
    <row r="762" spans="4:4" hidden="1" outlineLevel="3" x14ac:dyDescent="0.3">
      <c r="D762" t="s">
        <v>741</v>
      </c>
    </row>
    <row r="763" spans="4:4" hidden="1" outlineLevel="3" x14ac:dyDescent="0.3">
      <c r="D763" t="s">
        <v>742</v>
      </c>
    </row>
    <row r="764" spans="4:4" hidden="1" outlineLevel="3" x14ac:dyDescent="0.3">
      <c r="D764" t="s">
        <v>743</v>
      </c>
    </row>
    <row r="765" spans="4:4" hidden="1" outlineLevel="3" x14ac:dyDescent="0.3">
      <c r="D765" t="s">
        <v>744</v>
      </c>
    </row>
    <row r="766" spans="4:4" hidden="1" outlineLevel="3" x14ac:dyDescent="0.3">
      <c r="D766" t="s">
        <v>745</v>
      </c>
    </row>
    <row r="767" spans="4:4" hidden="1" outlineLevel="3" x14ac:dyDescent="0.3">
      <c r="D767" t="s">
        <v>746</v>
      </c>
    </row>
    <row r="768" spans="4:4" hidden="1" outlineLevel="3" x14ac:dyDescent="0.3">
      <c r="D768" t="s">
        <v>747</v>
      </c>
    </row>
    <row r="769" spans="3:5" hidden="1" outlineLevel="3" x14ac:dyDescent="0.3">
      <c r="D769" t="s">
        <v>748</v>
      </c>
    </row>
    <row r="770" spans="3:5" hidden="1" outlineLevel="3" x14ac:dyDescent="0.3">
      <c r="D770" t="s">
        <v>749</v>
      </c>
    </row>
    <row r="771" spans="3:5" hidden="1" outlineLevel="3" x14ac:dyDescent="0.3">
      <c r="D771" t="s">
        <v>750</v>
      </c>
    </row>
    <row r="772" spans="3:5" hidden="1" outlineLevel="3" x14ac:dyDescent="0.3">
      <c r="D772" t="s">
        <v>751</v>
      </c>
    </row>
    <row r="773" spans="3:5" hidden="1" outlineLevel="3" x14ac:dyDescent="0.3">
      <c r="D773" t="s">
        <v>752</v>
      </c>
    </row>
    <row r="774" spans="3:5" hidden="1" outlineLevel="3" x14ac:dyDescent="0.3">
      <c r="D774" t="s">
        <v>753</v>
      </c>
    </row>
    <row r="775" spans="3:5" hidden="1" outlineLevel="3" x14ac:dyDescent="0.3">
      <c r="D775" t="s">
        <v>754</v>
      </c>
    </row>
    <row r="776" spans="3:5" hidden="1" outlineLevel="2" x14ac:dyDescent="0.3">
      <c r="C776" t="s">
        <v>755</v>
      </c>
    </row>
    <row r="777" spans="3:5" hidden="1" outlineLevel="2" x14ac:dyDescent="0.3">
      <c r="C777" t="s">
        <v>756</v>
      </c>
    </row>
    <row r="778" spans="3:5" hidden="1" outlineLevel="2" x14ac:dyDescent="0.3">
      <c r="C778" t="s">
        <v>757</v>
      </c>
    </row>
    <row r="779" spans="3:5" hidden="1" outlineLevel="2" x14ac:dyDescent="0.3">
      <c r="C779" t="s">
        <v>758</v>
      </c>
    </row>
    <row r="780" spans="3:5" hidden="1" outlineLevel="2" x14ac:dyDescent="0.3">
      <c r="C780" t="s">
        <v>759</v>
      </c>
    </row>
    <row r="781" spans="3:5" hidden="1" outlineLevel="2" x14ac:dyDescent="0.3">
      <c r="C781" t="s">
        <v>760</v>
      </c>
    </row>
    <row r="782" spans="3:5" hidden="1" outlineLevel="3" x14ac:dyDescent="0.3">
      <c r="D782" t="s">
        <v>761</v>
      </c>
    </row>
    <row r="783" spans="3:5" hidden="1" outlineLevel="4" x14ac:dyDescent="0.3">
      <c r="E783" t="s">
        <v>762</v>
      </c>
    </row>
    <row r="784" spans="3:5" hidden="1" outlineLevel="4" x14ac:dyDescent="0.3">
      <c r="E784" t="s">
        <v>763</v>
      </c>
    </row>
    <row r="785" spans="4:5" hidden="1" outlineLevel="4" x14ac:dyDescent="0.3">
      <c r="E785" t="s">
        <v>764</v>
      </c>
    </row>
    <row r="786" spans="4:5" hidden="1" outlineLevel="4" x14ac:dyDescent="0.3">
      <c r="E786" t="s">
        <v>765</v>
      </c>
    </row>
    <row r="787" spans="4:5" hidden="1" outlineLevel="4" x14ac:dyDescent="0.3">
      <c r="E787" t="s">
        <v>766</v>
      </c>
    </row>
    <row r="788" spans="4:5" hidden="1" outlineLevel="4" x14ac:dyDescent="0.3">
      <c r="E788" t="s">
        <v>767</v>
      </c>
    </row>
    <row r="789" spans="4:5" hidden="1" outlineLevel="4" x14ac:dyDescent="0.3">
      <c r="E789" t="s">
        <v>768</v>
      </c>
    </row>
    <row r="790" spans="4:5" hidden="1" outlineLevel="4" x14ac:dyDescent="0.3">
      <c r="E790" t="s">
        <v>769</v>
      </c>
    </row>
    <row r="791" spans="4:5" hidden="1" outlineLevel="3" x14ac:dyDescent="0.3">
      <c r="D791" t="s">
        <v>770</v>
      </c>
    </row>
    <row r="792" spans="4:5" hidden="1" outlineLevel="4" x14ac:dyDescent="0.3">
      <c r="E792" t="s">
        <v>771</v>
      </c>
    </row>
    <row r="793" spans="4:5" hidden="1" outlineLevel="4" x14ac:dyDescent="0.3">
      <c r="E793" t="s">
        <v>772</v>
      </c>
    </row>
    <row r="794" spans="4:5" hidden="1" outlineLevel="4" x14ac:dyDescent="0.3">
      <c r="E794" t="s">
        <v>773</v>
      </c>
    </row>
    <row r="795" spans="4:5" hidden="1" outlineLevel="4" x14ac:dyDescent="0.3">
      <c r="E795" t="s">
        <v>774</v>
      </c>
    </row>
    <row r="796" spans="4:5" hidden="1" outlineLevel="4" x14ac:dyDescent="0.3">
      <c r="E796" t="s">
        <v>775</v>
      </c>
    </row>
    <row r="797" spans="4:5" hidden="1" outlineLevel="4" x14ac:dyDescent="0.3">
      <c r="E797" t="s">
        <v>776</v>
      </c>
    </row>
    <row r="798" spans="4:5" hidden="1" outlineLevel="3" x14ac:dyDescent="0.3">
      <c r="D798" t="s">
        <v>777</v>
      </c>
    </row>
    <row r="799" spans="4:5" hidden="1" outlineLevel="3" x14ac:dyDescent="0.3">
      <c r="D799" t="s">
        <v>778</v>
      </c>
    </row>
    <row r="800" spans="4:5" hidden="1" outlineLevel="3" x14ac:dyDescent="0.3">
      <c r="D800" t="s">
        <v>779</v>
      </c>
    </row>
    <row r="801" spans="2:4" hidden="1" outlineLevel="3" x14ac:dyDescent="0.3">
      <c r="D801" t="s">
        <v>780</v>
      </c>
    </row>
    <row r="802" spans="2:4" hidden="1" outlineLevel="3" x14ac:dyDescent="0.3">
      <c r="D802" t="s">
        <v>781</v>
      </c>
    </row>
    <row r="803" spans="2:4" hidden="1" outlineLevel="3" x14ac:dyDescent="0.3">
      <c r="D803" t="s">
        <v>782</v>
      </c>
    </row>
    <row r="804" spans="2:4" hidden="1" outlineLevel="3" x14ac:dyDescent="0.3">
      <c r="D804" t="s">
        <v>783</v>
      </c>
    </row>
    <row r="805" spans="2:4" hidden="1" outlineLevel="3" x14ac:dyDescent="0.3">
      <c r="D805" t="s">
        <v>784</v>
      </c>
    </row>
    <row r="806" spans="2:4" hidden="1" outlineLevel="3" x14ac:dyDescent="0.3">
      <c r="D806" t="s">
        <v>785</v>
      </c>
    </row>
    <row r="807" spans="2:4" hidden="1" outlineLevel="3" x14ac:dyDescent="0.3">
      <c r="D807" t="s">
        <v>786</v>
      </c>
    </row>
    <row r="808" spans="2:4" hidden="1" outlineLevel="3" x14ac:dyDescent="0.3">
      <c r="D808" t="s">
        <v>787</v>
      </c>
    </row>
    <row r="809" spans="2:4" hidden="1" outlineLevel="3" x14ac:dyDescent="0.3">
      <c r="D809" t="s">
        <v>788</v>
      </c>
    </row>
    <row r="810" spans="2:4" hidden="1" outlineLevel="3" x14ac:dyDescent="0.3">
      <c r="D810" t="s">
        <v>789</v>
      </c>
    </row>
    <row r="811" spans="2:4" outlineLevel="1" collapsed="1" x14ac:dyDescent="0.3">
      <c r="B811" t="s">
        <v>790</v>
      </c>
    </row>
    <row r="812" spans="2:4" outlineLevel="1" x14ac:dyDescent="0.3">
      <c r="B812" t="s">
        <v>791</v>
      </c>
    </row>
    <row r="813" spans="2:4" hidden="1" outlineLevel="2" x14ac:dyDescent="0.3">
      <c r="C813" t="s">
        <v>792</v>
      </c>
    </row>
    <row r="814" spans="2:4" hidden="1" outlineLevel="3" x14ac:dyDescent="0.3">
      <c r="D814" t="s">
        <v>793</v>
      </c>
    </row>
    <row r="815" spans="2:4" hidden="1" outlineLevel="3" x14ac:dyDescent="0.3">
      <c r="D815" t="s">
        <v>794</v>
      </c>
    </row>
    <row r="816" spans="2:4" hidden="1" outlineLevel="3" x14ac:dyDescent="0.3">
      <c r="D816" t="s">
        <v>795</v>
      </c>
    </row>
    <row r="817" spans="4:4" hidden="1" outlineLevel="3" x14ac:dyDescent="0.3">
      <c r="D817" t="s">
        <v>796</v>
      </c>
    </row>
    <row r="818" spans="4:4" hidden="1" outlineLevel="3" x14ac:dyDescent="0.3">
      <c r="D818" t="s">
        <v>797</v>
      </c>
    </row>
    <row r="819" spans="4:4" hidden="1" outlineLevel="3" x14ac:dyDescent="0.3">
      <c r="D819" t="s">
        <v>798</v>
      </c>
    </row>
    <row r="820" spans="4:4" hidden="1" outlineLevel="3" x14ac:dyDescent="0.3">
      <c r="D820" t="s">
        <v>799</v>
      </c>
    </row>
    <row r="821" spans="4:4" hidden="1" outlineLevel="3" x14ac:dyDescent="0.3">
      <c r="D821" t="s">
        <v>800</v>
      </c>
    </row>
    <row r="822" spans="4:4" hidden="1" outlineLevel="3" x14ac:dyDescent="0.3">
      <c r="D822" t="s">
        <v>801</v>
      </c>
    </row>
    <row r="823" spans="4:4" hidden="1" outlineLevel="3" x14ac:dyDescent="0.3">
      <c r="D823" t="s">
        <v>802</v>
      </c>
    </row>
    <row r="824" spans="4:4" hidden="1" outlineLevel="3" x14ac:dyDescent="0.3">
      <c r="D824" t="s">
        <v>803</v>
      </c>
    </row>
    <row r="825" spans="4:4" hidden="1" outlineLevel="3" x14ac:dyDescent="0.3">
      <c r="D825" t="s">
        <v>804</v>
      </c>
    </row>
    <row r="826" spans="4:4" hidden="1" outlineLevel="3" x14ac:dyDescent="0.3">
      <c r="D826" t="s">
        <v>805</v>
      </c>
    </row>
    <row r="827" spans="4:4" hidden="1" outlineLevel="3" x14ac:dyDescent="0.3">
      <c r="D827" t="s">
        <v>806</v>
      </c>
    </row>
    <row r="828" spans="4:4" hidden="1" outlineLevel="3" x14ac:dyDescent="0.3">
      <c r="D828" t="s">
        <v>807</v>
      </c>
    </row>
    <row r="829" spans="4:4" hidden="1" outlineLevel="3" x14ac:dyDescent="0.3">
      <c r="D829" t="s">
        <v>808</v>
      </c>
    </row>
    <row r="830" spans="4:4" hidden="1" outlineLevel="3" x14ac:dyDescent="0.3">
      <c r="D830" t="s">
        <v>809</v>
      </c>
    </row>
    <row r="831" spans="4:4" hidden="1" outlineLevel="3" x14ac:dyDescent="0.3">
      <c r="D831" t="s">
        <v>810</v>
      </c>
    </row>
    <row r="832" spans="4:4" hidden="1" outlineLevel="3" x14ac:dyDescent="0.3">
      <c r="D832" t="s">
        <v>811</v>
      </c>
    </row>
    <row r="833" spans="3:4" hidden="1" outlineLevel="3" x14ac:dyDescent="0.3">
      <c r="D833" t="s">
        <v>812</v>
      </c>
    </row>
    <row r="834" spans="3:4" hidden="1" outlineLevel="3" x14ac:dyDescent="0.3">
      <c r="D834" t="s">
        <v>813</v>
      </c>
    </row>
    <row r="835" spans="3:4" hidden="1" outlineLevel="3" x14ac:dyDescent="0.3">
      <c r="D835" t="s">
        <v>814</v>
      </c>
    </row>
    <row r="836" spans="3:4" hidden="1" outlineLevel="3" x14ac:dyDescent="0.3">
      <c r="D836" t="s">
        <v>815</v>
      </c>
    </row>
    <row r="837" spans="3:4" hidden="1" outlineLevel="3" x14ac:dyDescent="0.3">
      <c r="D837" t="s">
        <v>816</v>
      </c>
    </row>
    <row r="838" spans="3:4" hidden="1" outlineLevel="3" x14ac:dyDescent="0.3">
      <c r="D838" t="s">
        <v>817</v>
      </c>
    </row>
    <row r="839" spans="3:4" hidden="1" outlineLevel="3" x14ac:dyDescent="0.3">
      <c r="D839" t="s">
        <v>818</v>
      </c>
    </row>
    <row r="840" spans="3:4" hidden="1" outlineLevel="2" x14ac:dyDescent="0.3">
      <c r="C840" t="s">
        <v>819</v>
      </c>
    </row>
    <row r="841" spans="3:4" hidden="1" outlineLevel="3" x14ac:dyDescent="0.3">
      <c r="D841" t="s">
        <v>820</v>
      </c>
    </row>
    <row r="842" spans="3:4" hidden="1" outlineLevel="3" x14ac:dyDescent="0.3">
      <c r="D842" t="s">
        <v>821</v>
      </c>
    </row>
    <row r="843" spans="3:4" hidden="1" outlineLevel="3" x14ac:dyDescent="0.3">
      <c r="D843" t="s">
        <v>822</v>
      </c>
    </row>
    <row r="844" spans="3:4" hidden="1" outlineLevel="3" x14ac:dyDescent="0.3">
      <c r="D844" t="s">
        <v>823</v>
      </c>
    </row>
    <row r="845" spans="3:4" hidden="1" outlineLevel="2" x14ac:dyDescent="0.3">
      <c r="C845" t="s">
        <v>824</v>
      </c>
    </row>
    <row r="846" spans="3:4" hidden="1" outlineLevel="2" x14ac:dyDescent="0.3">
      <c r="C846" t="s">
        <v>825</v>
      </c>
    </row>
    <row r="847" spans="3:4" hidden="1" outlineLevel="2" x14ac:dyDescent="0.3">
      <c r="C847" t="s">
        <v>826</v>
      </c>
    </row>
    <row r="848" spans="3:4" hidden="1" outlineLevel="2" x14ac:dyDescent="0.3">
      <c r="C848" t="s">
        <v>827</v>
      </c>
    </row>
    <row r="849" spans="3:5" hidden="1" outlineLevel="2" x14ac:dyDescent="0.3">
      <c r="C849" t="s">
        <v>828</v>
      </c>
    </row>
    <row r="850" spans="3:5" hidden="1" outlineLevel="3" x14ac:dyDescent="0.3">
      <c r="D850" t="s">
        <v>829</v>
      </c>
    </row>
    <row r="851" spans="3:5" hidden="1" outlineLevel="3" x14ac:dyDescent="0.3">
      <c r="D851" t="s">
        <v>830</v>
      </c>
    </row>
    <row r="852" spans="3:5" hidden="1" outlineLevel="3" x14ac:dyDescent="0.3">
      <c r="D852" t="s">
        <v>831</v>
      </c>
    </row>
    <row r="853" spans="3:5" hidden="1" outlineLevel="3" x14ac:dyDescent="0.3">
      <c r="D853" t="s">
        <v>832</v>
      </c>
    </row>
    <row r="854" spans="3:5" hidden="1" outlineLevel="3" x14ac:dyDescent="0.3">
      <c r="D854" t="s">
        <v>833</v>
      </c>
    </row>
    <row r="855" spans="3:5" hidden="1" outlineLevel="3" x14ac:dyDescent="0.3">
      <c r="D855" t="s">
        <v>834</v>
      </c>
    </row>
    <row r="856" spans="3:5" hidden="1" outlineLevel="3" x14ac:dyDescent="0.3">
      <c r="D856" t="s">
        <v>835</v>
      </c>
    </row>
    <row r="857" spans="3:5" hidden="1" outlineLevel="3" x14ac:dyDescent="0.3">
      <c r="D857" t="s">
        <v>836</v>
      </c>
    </row>
    <row r="858" spans="3:5" hidden="1" outlineLevel="3" x14ac:dyDescent="0.3">
      <c r="D858" t="s">
        <v>837</v>
      </c>
    </row>
    <row r="859" spans="3:5" hidden="1" outlineLevel="3" x14ac:dyDescent="0.3">
      <c r="D859" t="s">
        <v>838</v>
      </c>
    </row>
    <row r="860" spans="3:5" hidden="1" outlineLevel="3" x14ac:dyDescent="0.3">
      <c r="D860" t="s">
        <v>839</v>
      </c>
    </row>
    <row r="861" spans="3:5" hidden="1" outlineLevel="4" x14ac:dyDescent="0.3">
      <c r="E861" t="s">
        <v>840</v>
      </c>
    </row>
    <row r="862" spans="3:5" hidden="1" outlineLevel="4" x14ac:dyDescent="0.3">
      <c r="E862" t="s">
        <v>841</v>
      </c>
    </row>
    <row r="863" spans="3:5" hidden="1" outlineLevel="4" x14ac:dyDescent="0.3">
      <c r="E863" t="s">
        <v>842</v>
      </c>
    </row>
    <row r="864" spans="3:5" hidden="1" outlineLevel="4" x14ac:dyDescent="0.3">
      <c r="E864" t="s">
        <v>843</v>
      </c>
    </row>
    <row r="865" spans="3:5" hidden="1" outlineLevel="4" x14ac:dyDescent="0.3">
      <c r="E865" t="s">
        <v>844</v>
      </c>
    </row>
    <row r="866" spans="3:5" hidden="1" outlineLevel="3" x14ac:dyDescent="0.3">
      <c r="D866" t="s">
        <v>845</v>
      </c>
    </row>
    <row r="867" spans="3:5" hidden="1" outlineLevel="3" x14ac:dyDescent="0.3">
      <c r="D867" t="s">
        <v>846</v>
      </c>
    </row>
    <row r="868" spans="3:5" hidden="1" outlineLevel="3" x14ac:dyDescent="0.3">
      <c r="D868" t="s">
        <v>847</v>
      </c>
    </row>
    <row r="869" spans="3:5" hidden="1" outlineLevel="3" x14ac:dyDescent="0.3">
      <c r="D869" t="s">
        <v>848</v>
      </c>
    </row>
    <row r="870" spans="3:5" hidden="1" outlineLevel="3" x14ac:dyDescent="0.3">
      <c r="D870" t="s">
        <v>849</v>
      </c>
    </row>
    <row r="871" spans="3:5" hidden="1" outlineLevel="3" x14ac:dyDescent="0.3">
      <c r="D871" t="s">
        <v>850</v>
      </c>
    </row>
    <row r="872" spans="3:5" hidden="1" outlineLevel="3" x14ac:dyDescent="0.3">
      <c r="D872" t="s">
        <v>851</v>
      </c>
    </row>
    <row r="873" spans="3:5" hidden="1" outlineLevel="3" x14ac:dyDescent="0.3">
      <c r="D873" t="s">
        <v>852</v>
      </c>
    </row>
    <row r="874" spans="3:5" hidden="1" outlineLevel="2" x14ac:dyDescent="0.3">
      <c r="C874" t="s">
        <v>853</v>
      </c>
    </row>
    <row r="875" spans="3:5" hidden="1" outlineLevel="3" x14ac:dyDescent="0.3">
      <c r="D875" t="s">
        <v>854</v>
      </c>
    </row>
    <row r="876" spans="3:5" hidden="1" outlineLevel="3" x14ac:dyDescent="0.3">
      <c r="D876" t="s">
        <v>855</v>
      </c>
    </row>
    <row r="877" spans="3:5" hidden="1" outlineLevel="3" x14ac:dyDescent="0.3">
      <c r="D877" t="s">
        <v>856</v>
      </c>
    </row>
    <row r="878" spans="3:5" hidden="1" outlineLevel="3" x14ac:dyDescent="0.3">
      <c r="D878" t="s">
        <v>857</v>
      </c>
    </row>
    <row r="879" spans="3:5" hidden="1" outlineLevel="3" x14ac:dyDescent="0.3">
      <c r="D879" t="s">
        <v>858</v>
      </c>
    </row>
    <row r="880" spans="3:5" hidden="1" outlineLevel="3" x14ac:dyDescent="0.3">
      <c r="D880" t="s">
        <v>859</v>
      </c>
    </row>
    <row r="881" spans="4:4" hidden="1" outlineLevel="3" x14ac:dyDescent="0.3">
      <c r="D881" t="s">
        <v>860</v>
      </c>
    </row>
    <row r="882" spans="4:4" hidden="1" outlineLevel="3" x14ac:dyDescent="0.3">
      <c r="D882" t="s">
        <v>861</v>
      </c>
    </row>
    <row r="883" spans="4:4" hidden="1" outlineLevel="3" x14ac:dyDescent="0.3">
      <c r="D883" t="s">
        <v>862</v>
      </c>
    </row>
    <row r="884" spans="4:4" hidden="1" outlineLevel="3" x14ac:dyDescent="0.3">
      <c r="D884" t="s">
        <v>863</v>
      </c>
    </row>
    <row r="885" spans="4:4" hidden="1" outlineLevel="3" x14ac:dyDescent="0.3">
      <c r="D885" t="s">
        <v>864</v>
      </c>
    </row>
    <row r="886" spans="4:4" hidden="1" outlineLevel="3" x14ac:dyDescent="0.3">
      <c r="D886" t="s">
        <v>865</v>
      </c>
    </row>
    <row r="887" spans="4:4" hidden="1" outlineLevel="3" x14ac:dyDescent="0.3">
      <c r="D887" t="s">
        <v>866</v>
      </c>
    </row>
    <row r="888" spans="4:4" hidden="1" outlineLevel="3" x14ac:dyDescent="0.3">
      <c r="D888" t="s">
        <v>867</v>
      </c>
    </row>
    <row r="889" spans="4:4" hidden="1" outlineLevel="3" x14ac:dyDescent="0.3">
      <c r="D889" t="s">
        <v>868</v>
      </c>
    </row>
    <row r="890" spans="4:4" hidden="1" outlineLevel="3" x14ac:dyDescent="0.3">
      <c r="D890" t="s">
        <v>869</v>
      </c>
    </row>
    <row r="891" spans="4:4" hidden="1" outlineLevel="3" x14ac:dyDescent="0.3">
      <c r="D891" t="s">
        <v>870</v>
      </c>
    </row>
    <row r="892" spans="4:4" hidden="1" outlineLevel="3" x14ac:dyDescent="0.3">
      <c r="D892" t="s">
        <v>871</v>
      </c>
    </row>
    <row r="893" spans="4:4" hidden="1" outlineLevel="3" x14ac:dyDescent="0.3">
      <c r="D893" t="s">
        <v>872</v>
      </c>
    </row>
    <row r="894" spans="4:4" hidden="1" outlineLevel="3" x14ac:dyDescent="0.3">
      <c r="D894" t="s">
        <v>873</v>
      </c>
    </row>
    <row r="895" spans="4:4" hidden="1" outlineLevel="3" x14ac:dyDescent="0.3">
      <c r="D895" t="s">
        <v>874</v>
      </c>
    </row>
    <row r="896" spans="4:4" hidden="1" outlineLevel="3" x14ac:dyDescent="0.3">
      <c r="D896" t="s">
        <v>875</v>
      </c>
    </row>
    <row r="897" spans="3:4" hidden="1" outlineLevel="3" x14ac:dyDescent="0.3">
      <c r="D897" t="s">
        <v>876</v>
      </c>
    </row>
    <row r="898" spans="3:4" hidden="1" outlineLevel="3" x14ac:dyDescent="0.3">
      <c r="D898" t="s">
        <v>877</v>
      </c>
    </row>
    <row r="899" spans="3:4" hidden="1" outlineLevel="3" x14ac:dyDescent="0.3">
      <c r="D899" t="s">
        <v>878</v>
      </c>
    </row>
    <row r="900" spans="3:4" hidden="1" outlineLevel="3" x14ac:dyDescent="0.3">
      <c r="D900" t="s">
        <v>879</v>
      </c>
    </row>
    <row r="901" spans="3:4" hidden="1" outlineLevel="3" x14ac:dyDescent="0.3">
      <c r="D901" t="s">
        <v>880</v>
      </c>
    </row>
    <row r="902" spans="3:4" hidden="1" outlineLevel="2" x14ac:dyDescent="0.3">
      <c r="C902" t="s">
        <v>881</v>
      </c>
    </row>
    <row r="903" spans="3:4" hidden="1" outlineLevel="2" x14ac:dyDescent="0.3">
      <c r="C903" t="s">
        <v>882</v>
      </c>
    </row>
    <row r="904" spans="3:4" hidden="1" outlineLevel="2" x14ac:dyDescent="0.3">
      <c r="C904" t="s">
        <v>883</v>
      </c>
    </row>
    <row r="905" spans="3:4" hidden="1" outlineLevel="2" x14ac:dyDescent="0.3">
      <c r="C905" t="s">
        <v>884</v>
      </c>
    </row>
    <row r="906" spans="3:4" hidden="1" outlineLevel="2" x14ac:dyDescent="0.3">
      <c r="C906" t="s">
        <v>885</v>
      </c>
    </row>
    <row r="907" spans="3:4" hidden="1" outlineLevel="2" x14ac:dyDescent="0.3">
      <c r="C907" t="s">
        <v>886</v>
      </c>
    </row>
    <row r="908" spans="3:4" hidden="1" outlineLevel="3" x14ac:dyDescent="0.3">
      <c r="D908" t="s">
        <v>887</v>
      </c>
    </row>
    <row r="909" spans="3:4" hidden="1" outlineLevel="3" x14ac:dyDescent="0.3">
      <c r="D909" t="s">
        <v>888</v>
      </c>
    </row>
    <row r="910" spans="3:4" hidden="1" outlineLevel="3" x14ac:dyDescent="0.3">
      <c r="D910" t="s">
        <v>889</v>
      </c>
    </row>
    <row r="911" spans="3:4" hidden="1" outlineLevel="3" x14ac:dyDescent="0.3">
      <c r="D911" t="s">
        <v>890</v>
      </c>
    </row>
    <row r="912" spans="3:4" hidden="1" outlineLevel="3" x14ac:dyDescent="0.3">
      <c r="D912" t="s">
        <v>891</v>
      </c>
    </row>
    <row r="913" spans="3:4" hidden="1" outlineLevel="3" x14ac:dyDescent="0.3">
      <c r="D913" t="s">
        <v>892</v>
      </c>
    </row>
    <row r="914" spans="3:4" hidden="1" outlineLevel="3" x14ac:dyDescent="0.3">
      <c r="D914" t="s">
        <v>893</v>
      </c>
    </row>
    <row r="915" spans="3:4" hidden="1" outlineLevel="3" x14ac:dyDescent="0.3">
      <c r="D915" t="s">
        <v>894</v>
      </c>
    </row>
    <row r="916" spans="3:4" hidden="1" outlineLevel="3" x14ac:dyDescent="0.3">
      <c r="D916" t="s">
        <v>895</v>
      </c>
    </row>
    <row r="917" spans="3:4" hidden="1" outlineLevel="3" x14ac:dyDescent="0.3">
      <c r="D917" t="s">
        <v>896</v>
      </c>
    </row>
    <row r="918" spans="3:4" hidden="1" outlineLevel="3" x14ac:dyDescent="0.3">
      <c r="D918" t="s">
        <v>897</v>
      </c>
    </row>
    <row r="919" spans="3:4" hidden="1" outlineLevel="2" x14ac:dyDescent="0.3">
      <c r="C919" t="s">
        <v>898</v>
      </c>
    </row>
    <row r="920" spans="3:4" hidden="1" outlineLevel="2" x14ac:dyDescent="0.3">
      <c r="C920" t="s">
        <v>899</v>
      </c>
    </row>
    <row r="921" spans="3:4" hidden="1" outlineLevel="3" x14ac:dyDescent="0.3">
      <c r="D921" t="s">
        <v>900</v>
      </c>
    </row>
    <row r="922" spans="3:4" hidden="1" outlineLevel="3" x14ac:dyDescent="0.3">
      <c r="D922" t="s">
        <v>901</v>
      </c>
    </row>
    <row r="923" spans="3:4" hidden="1" outlineLevel="3" x14ac:dyDescent="0.3">
      <c r="D923" t="s">
        <v>902</v>
      </c>
    </row>
    <row r="924" spans="3:4" hidden="1" outlineLevel="3" x14ac:dyDescent="0.3">
      <c r="D924" t="s">
        <v>903</v>
      </c>
    </row>
    <row r="925" spans="3:4" hidden="1" outlineLevel="3" x14ac:dyDescent="0.3">
      <c r="D925" t="s">
        <v>904</v>
      </c>
    </row>
    <row r="926" spans="3:4" hidden="1" outlineLevel="3" x14ac:dyDescent="0.3">
      <c r="D926" t="s">
        <v>905</v>
      </c>
    </row>
    <row r="927" spans="3:4" hidden="1" outlineLevel="3" x14ac:dyDescent="0.3">
      <c r="D927" t="s">
        <v>906</v>
      </c>
    </row>
    <row r="928" spans="3:4" hidden="1" outlineLevel="3" x14ac:dyDescent="0.3">
      <c r="D928" t="s">
        <v>907</v>
      </c>
    </row>
    <row r="929" spans="3:5" hidden="1" outlineLevel="2" x14ac:dyDescent="0.3">
      <c r="C929" t="s">
        <v>908</v>
      </c>
    </row>
    <row r="930" spans="3:5" hidden="1" outlineLevel="3" x14ac:dyDescent="0.3">
      <c r="D930" t="s">
        <v>909</v>
      </c>
    </row>
    <row r="931" spans="3:5" hidden="1" outlineLevel="4" x14ac:dyDescent="0.3">
      <c r="E931" t="s">
        <v>910</v>
      </c>
    </row>
    <row r="932" spans="3:5" hidden="1" outlineLevel="4" x14ac:dyDescent="0.3">
      <c r="E932" t="s">
        <v>911</v>
      </c>
    </row>
    <row r="933" spans="3:5" hidden="1" outlineLevel="4" x14ac:dyDescent="0.3">
      <c r="E933" t="s">
        <v>912</v>
      </c>
    </row>
    <row r="934" spans="3:5" hidden="1" outlineLevel="4" x14ac:dyDescent="0.3">
      <c r="E934" t="s">
        <v>913</v>
      </c>
    </row>
    <row r="935" spans="3:5" hidden="1" outlineLevel="4" x14ac:dyDescent="0.3">
      <c r="E935" t="s">
        <v>914</v>
      </c>
    </row>
    <row r="936" spans="3:5" hidden="1" outlineLevel="4" x14ac:dyDescent="0.3">
      <c r="E936" t="s">
        <v>915</v>
      </c>
    </row>
    <row r="937" spans="3:5" hidden="1" outlineLevel="4" x14ac:dyDescent="0.3">
      <c r="E937" t="s">
        <v>916</v>
      </c>
    </row>
    <row r="938" spans="3:5" hidden="1" outlineLevel="4" x14ac:dyDescent="0.3">
      <c r="E938" t="s">
        <v>917</v>
      </c>
    </row>
    <row r="939" spans="3:5" hidden="1" outlineLevel="3" x14ac:dyDescent="0.3">
      <c r="D939" t="s">
        <v>918</v>
      </c>
    </row>
    <row r="940" spans="3:5" hidden="1" outlineLevel="4" x14ac:dyDescent="0.3">
      <c r="E940" t="s">
        <v>919</v>
      </c>
    </row>
    <row r="941" spans="3:5" hidden="1" outlineLevel="4" x14ac:dyDescent="0.3">
      <c r="E941" t="s">
        <v>920</v>
      </c>
    </row>
    <row r="942" spans="3:5" hidden="1" outlineLevel="4" x14ac:dyDescent="0.3">
      <c r="E942" t="s">
        <v>921</v>
      </c>
    </row>
    <row r="943" spans="3:5" hidden="1" outlineLevel="4" x14ac:dyDescent="0.3">
      <c r="E943" t="s">
        <v>922</v>
      </c>
    </row>
    <row r="944" spans="3:5" hidden="1" outlineLevel="4" x14ac:dyDescent="0.3">
      <c r="E944" t="s">
        <v>923</v>
      </c>
    </row>
    <row r="945" spans="1:5" hidden="1" outlineLevel="4" x14ac:dyDescent="0.3">
      <c r="E945" t="s">
        <v>924</v>
      </c>
    </row>
    <row r="946" spans="1:5" hidden="1" outlineLevel="3" x14ac:dyDescent="0.3">
      <c r="D946" t="s">
        <v>925</v>
      </c>
    </row>
    <row r="947" spans="1:5" outlineLevel="1" collapsed="1" x14ac:dyDescent="0.3">
      <c r="B947" t="s">
        <v>926</v>
      </c>
    </row>
    <row r="948" spans="1:5" x14ac:dyDescent="0.3">
      <c r="A948" t="s">
        <v>927</v>
      </c>
    </row>
    <row r="949" spans="1:5" x14ac:dyDescent="0.3">
      <c r="A949" t="s">
        <v>928</v>
      </c>
    </row>
    <row r="950" spans="1:5" x14ac:dyDescent="0.3">
      <c r="A950" t="s">
        <v>929</v>
      </c>
    </row>
    <row r="951" spans="1:5" x14ac:dyDescent="0.3">
      <c r="A951" t="s">
        <v>930</v>
      </c>
    </row>
    <row r="952" spans="1:5" outlineLevel="1" x14ac:dyDescent="0.3">
      <c r="B952" t="s">
        <v>931</v>
      </c>
    </row>
    <row r="953" spans="1:5" outlineLevel="1" x14ac:dyDescent="0.3">
      <c r="B953" t="s">
        <v>932</v>
      </c>
    </row>
    <row r="954" spans="1:5" outlineLevel="1" x14ac:dyDescent="0.3">
      <c r="B954" t="s">
        <v>933</v>
      </c>
    </row>
    <row r="955" spans="1:5" hidden="1" outlineLevel="2" x14ac:dyDescent="0.3">
      <c r="C955" t="s">
        <v>934</v>
      </c>
    </row>
    <row r="956" spans="1:5" hidden="1" outlineLevel="3" x14ac:dyDescent="0.3">
      <c r="D956" t="s">
        <v>935</v>
      </c>
    </row>
    <row r="957" spans="1:5" hidden="1" outlineLevel="3" x14ac:dyDescent="0.3">
      <c r="D957" t="s">
        <v>936</v>
      </c>
    </row>
    <row r="958" spans="1:5" hidden="1" outlineLevel="2" x14ac:dyDescent="0.3">
      <c r="C958" t="s">
        <v>937</v>
      </c>
    </row>
    <row r="959" spans="1:5" hidden="1" outlineLevel="2" x14ac:dyDescent="0.3">
      <c r="C959" t="s">
        <v>938</v>
      </c>
    </row>
    <row r="960" spans="1:5" hidden="1" outlineLevel="3" x14ac:dyDescent="0.3">
      <c r="D960" t="s">
        <v>939</v>
      </c>
    </row>
    <row r="961" spans="3:4" hidden="1" outlineLevel="3" x14ac:dyDescent="0.3">
      <c r="D961" t="s">
        <v>940</v>
      </c>
    </row>
    <row r="962" spans="3:4" hidden="1" outlineLevel="3" x14ac:dyDescent="0.3">
      <c r="D962" t="s">
        <v>941</v>
      </c>
    </row>
    <row r="963" spans="3:4" hidden="1" outlineLevel="3" x14ac:dyDescent="0.3">
      <c r="D963" t="s">
        <v>942</v>
      </c>
    </row>
    <row r="964" spans="3:4" hidden="1" outlineLevel="3" x14ac:dyDescent="0.3">
      <c r="D964" t="s">
        <v>943</v>
      </c>
    </row>
    <row r="965" spans="3:4" hidden="1" outlineLevel="3" x14ac:dyDescent="0.3">
      <c r="D965" t="s">
        <v>944</v>
      </c>
    </row>
    <row r="966" spans="3:4" hidden="1" outlineLevel="3" x14ac:dyDescent="0.3">
      <c r="D966" t="s">
        <v>945</v>
      </c>
    </row>
    <row r="967" spans="3:4" hidden="1" outlineLevel="3" x14ac:dyDescent="0.3">
      <c r="D967" t="s">
        <v>946</v>
      </c>
    </row>
    <row r="968" spans="3:4" hidden="1" outlineLevel="3" x14ac:dyDescent="0.3">
      <c r="D968" t="s">
        <v>947</v>
      </c>
    </row>
    <row r="969" spans="3:4" hidden="1" outlineLevel="3" x14ac:dyDescent="0.3">
      <c r="D969" t="s">
        <v>948</v>
      </c>
    </row>
    <row r="970" spans="3:4" hidden="1" outlineLevel="3" x14ac:dyDescent="0.3">
      <c r="D970" t="s">
        <v>949</v>
      </c>
    </row>
    <row r="971" spans="3:4" hidden="1" outlineLevel="3" x14ac:dyDescent="0.3">
      <c r="D971" t="s">
        <v>950</v>
      </c>
    </row>
    <row r="972" spans="3:4" hidden="1" outlineLevel="3" x14ac:dyDescent="0.3">
      <c r="D972" t="s">
        <v>951</v>
      </c>
    </row>
    <row r="973" spans="3:4" hidden="1" outlineLevel="3" x14ac:dyDescent="0.3">
      <c r="D973" t="s">
        <v>952</v>
      </c>
    </row>
    <row r="974" spans="3:4" hidden="1" outlineLevel="3" x14ac:dyDescent="0.3">
      <c r="D974" t="s">
        <v>953</v>
      </c>
    </row>
    <row r="975" spans="3:4" hidden="1" outlineLevel="2" x14ac:dyDescent="0.3">
      <c r="C975" t="s">
        <v>954</v>
      </c>
    </row>
    <row r="976" spans="3:4" hidden="1" outlineLevel="3" x14ac:dyDescent="0.3">
      <c r="D976" t="s">
        <v>955</v>
      </c>
    </row>
    <row r="977" spans="3:4" hidden="1" outlineLevel="3" x14ac:dyDescent="0.3">
      <c r="D977" t="s">
        <v>956</v>
      </c>
    </row>
    <row r="978" spans="3:4" hidden="1" outlineLevel="3" x14ac:dyDescent="0.3">
      <c r="D978" t="s">
        <v>957</v>
      </c>
    </row>
    <row r="979" spans="3:4" hidden="1" outlineLevel="3" x14ac:dyDescent="0.3">
      <c r="D979" t="s">
        <v>958</v>
      </c>
    </row>
    <row r="980" spans="3:4" hidden="1" outlineLevel="3" x14ac:dyDescent="0.3">
      <c r="D980" t="s">
        <v>959</v>
      </c>
    </row>
    <row r="981" spans="3:4" hidden="1" outlineLevel="3" x14ac:dyDescent="0.3">
      <c r="D981" t="s">
        <v>960</v>
      </c>
    </row>
    <row r="982" spans="3:4" hidden="1" outlineLevel="3" x14ac:dyDescent="0.3">
      <c r="D982" t="s">
        <v>961</v>
      </c>
    </row>
    <row r="983" spans="3:4" hidden="1" outlineLevel="3" x14ac:dyDescent="0.3">
      <c r="D983" t="s">
        <v>962</v>
      </c>
    </row>
    <row r="984" spans="3:4" hidden="1" outlineLevel="3" x14ac:dyDescent="0.3">
      <c r="D984" t="s">
        <v>963</v>
      </c>
    </row>
    <row r="985" spans="3:4" hidden="1" outlineLevel="2" x14ac:dyDescent="0.3">
      <c r="C985" t="s">
        <v>964</v>
      </c>
    </row>
    <row r="986" spans="3:4" hidden="1" outlineLevel="3" x14ac:dyDescent="0.3">
      <c r="D986" t="s">
        <v>965</v>
      </c>
    </row>
    <row r="987" spans="3:4" hidden="1" outlineLevel="3" x14ac:dyDescent="0.3">
      <c r="D987" t="s">
        <v>966</v>
      </c>
    </row>
    <row r="988" spans="3:4" hidden="1" outlineLevel="3" x14ac:dyDescent="0.3">
      <c r="D988" t="s">
        <v>967</v>
      </c>
    </row>
    <row r="989" spans="3:4" hidden="1" outlineLevel="3" x14ac:dyDescent="0.3">
      <c r="D989" t="s">
        <v>968</v>
      </c>
    </row>
    <row r="990" spans="3:4" hidden="1" outlineLevel="3" x14ac:dyDescent="0.3">
      <c r="D990" t="s">
        <v>969</v>
      </c>
    </row>
    <row r="991" spans="3:4" hidden="1" outlineLevel="3" x14ac:dyDescent="0.3">
      <c r="D991" t="s">
        <v>970</v>
      </c>
    </row>
    <row r="992" spans="3:4" hidden="1" outlineLevel="3" x14ac:dyDescent="0.3">
      <c r="D992" t="s">
        <v>971</v>
      </c>
    </row>
    <row r="993" spans="3:4" hidden="1" outlineLevel="3" x14ac:dyDescent="0.3">
      <c r="D993" t="s">
        <v>972</v>
      </c>
    </row>
    <row r="994" spans="3:4" hidden="1" outlineLevel="3" x14ac:dyDescent="0.3">
      <c r="D994" t="s">
        <v>973</v>
      </c>
    </row>
    <row r="995" spans="3:4" hidden="1" outlineLevel="3" x14ac:dyDescent="0.3">
      <c r="D995" t="s">
        <v>974</v>
      </c>
    </row>
    <row r="996" spans="3:4" hidden="1" outlineLevel="3" x14ac:dyDescent="0.3">
      <c r="D996" t="s">
        <v>975</v>
      </c>
    </row>
    <row r="997" spans="3:4" hidden="1" outlineLevel="3" x14ac:dyDescent="0.3">
      <c r="D997" t="s">
        <v>976</v>
      </c>
    </row>
    <row r="998" spans="3:4" hidden="1" outlineLevel="3" x14ac:dyDescent="0.3">
      <c r="D998" t="s">
        <v>977</v>
      </c>
    </row>
    <row r="999" spans="3:4" hidden="1" outlineLevel="3" x14ac:dyDescent="0.3">
      <c r="D999" t="s">
        <v>978</v>
      </c>
    </row>
    <row r="1000" spans="3:4" hidden="1" outlineLevel="2" x14ac:dyDescent="0.3">
      <c r="C1000" t="s">
        <v>979</v>
      </c>
    </row>
    <row r="1001" spans="3:4" hidden="1" outlineLevel="2" x14ac:dyDescent="0.3">
      <c r="C1001" t="s">
        <v>980</v>
      </c>
    </row>
    <row r="1002" spans="3:4" hidden="1" outlineLevel="3" x14ac:dyDescent="0.3">
      <c r="D1002" t="s">
        <v>981</v>
      </c>
    </row>
    <row r="1003" spans="3:4" hidden="1" outlineLevel="3" x14ac:dyDescent="0.3">
      <c r="D1003" t="s">
        <v>982</v>
      </c>
    </row>
    <row r="1004" spans="3:4" hidden="1" outlineLevel="3" x14ac:dyDescent="0.3">
      <c r="D1004" t="s">
        <v>983</v>
      </c>
    </row>
    <row r="1005" spans="3:4" hidden="1" outlineLevel="3" x14ac:dyDescent="0.3">
      <c r="D1005" t="s">
        <v>984</v>
      </c>
    </row>
    <row r="1006" spans="3:4" hidden="1" outlineLevel="3" x14ac:dyDescent="0.3">
      <c r="D1006" t="s">
        <v>985</v>
      </c>
    </row>
    <row r="1007" spans="3:4" hidden="1" outlineLevel="3" x14ac:dyDescent="0.3">
      <c r="D1007" t="s">
        <v>986</v>
      </c>
    </row>
    <row r="1008" spans="3:4" hidden="1" outlineLevel="3" x14ac:dyDescent="0.3">
      <c r="D1008" t="s">
        <v>987</v>
      </c>
    </row>
    <row r="1009" spans="1:4" hidden="1" outlineLevel="3" x14ac:dyDescent="0.3">
      <c r="D1009" t="s">
        <v>988</v>
      </c>
    </row>
    <row r="1010" spans="1:4" hidden="1" outlineLevel="3" x14ac:dyDescent="0.3">
      <c r="D1010" t="s">
        <v>989</v>
      </c>
    </row>
    <row r="1011" spans="1:4" hidden="1" outlineLevel="3" x14ac:dyDescent="0.3">
      <c r="D1011" t="s">
        <v>990</v>
      </c>
    </row>
    <row r="1012" spans="1:4" hidden="1" outlineLevel="3" x14ac:dyDescent="0.3">
      <c r="D1012" t="s">
        <v>991</v>
      </c>
    </row>
    <row r="1013" spans="1:4" hidden="1" outlineLevel="3" x14ac:dyDescent="0.3">
      <c r="D1013" t="s">
        <v>992</v>
      </c>
    </row>
    <row r="1014" spans="1:4" hidden="1" outlineLevel="3" x14ac:dyDescent="0.3">
      <c r="D1014" t="s">
        <v>993</v>
      </c>
    </row>
    <row r="1015" spans="1:4" hidden="1" outlineLevel="3" x14ac:dyDescent="0.3">
      <c r="D1015" t="s">
        <v>994</v>
      </c>
    </row>
    <row r="1016" spans="1:4" hidden="1" outlineLevel="3" x14ac:dyDescent="0.3">
      <c r="D1016" t="s">
        <v>995</v>
      </c>
    </row>
    <row r="1017" spans="1:4" outlineLevel="1" collapsed="1" x14ac:dyDescent="0.3">
      <c r="B1017" t="s">
        <v>996</v>
      </c>
    </row>
    <row r="1018" spans="1:4" outlineLevel="1" x14ac:dyDescent="0.3">
      <c r="B1018" t="s">
        <v>997</v>
      </c>
    </row>
    <row r="1019" spans="1:4" outlineLevel="1" x14ac:dyDescent="0.3">
      <c r="B1019" t="s">
        <v>998</v>
      </c>
    </row>
    <row r="1020" spans="1:4" x14ac:dyDescent="0.3">
      <c r="A1020" t="s">
        <v>999</v>
      </c>
    </row>
    <row r="1021" spans="1:4" outlineLevel="1" x14ac:dyDescent="0.3">
      <c r="B1021" t="s">
        <v>1000</v>
      </c>
    </row>
    <row r="1022" spans="1:4" outlineLevel="1" x14ac:dyDescent="0.3">
      <c r="B1022" t="s">
        <v>1001</v>
      </c>
    </row>
    <row r="1023" spans="1:4" hidden="1" outlineLevel="2" x14ac:dyDescent="0.3">
      <c r="C1023" t="s">
        <v>1002</v>
      </c>
    </row>
    <row r="1024" spans="1:4" outlineLevel="1" collapsed="1" x14ac:dyDescent="0.3">
      <c r="B1024" t="s">
        <v>1003</v>
      </c>
    </row>
    <row r="1025" spans="3:4" hidden="1" outlineLevel="2" x14ac:dyDescent="0.3">
      <c r="C1025" t="s">
        <v>1004</v>
      </c>
    </row>
    <row r="1026" spans="3:4" hidden="1" outlineLevel="2" x14ac:dyDescent="0.3">
      <c r="C1026" t="s">
        <v>1005</v>
      </c>
    </row>
    <row r="1027" spans="3:4" hidden="1" outlineLevel="2" x14ac:dyDescent="0.3">
      <c r="C1027" t="s">
        <v>1006</v>
      </c>
    </row>
    <row r="1028" spans="3:4" hidden="1" outlineLevel="2" x14ac:dyDescent="0.3">
      <c r="C1028" t="s">
        <v>1007</v>
      </c>
    </row>
    <row r="1029" spans="3:4" hidden="1" outlineLevel="2" x14ac:dyDescent="0.3">
      <c r="C1029" t="s">
        <v>1008</v>
      </c>
    </row>
    <row r="1030" spans="3:4" hidden="1" outlineLevel="2" x14ac:dyDescent="0.3">
      <c r="C1030" t="s">
        <v>1009</v>
      </c>
    </row>
    <row r="1031" spans="3:4" hidden="1" outlineLevel="3" x14ac:dyDescent="0.3">
      <c r="D1031" t="s">
        <v>1010</v>
      </c>
    </row>
    <row r="1032" spans="3:4" hidden="1" outlineLevel="3" x14ac:dyDescent="0.3">
      <c r="D1032" t="s">
        <v>1011</v>
      </c>
    </row>
    <row r="1033" spans="3:4" hidden="1" outlineLevel="3" x14ac:dyDescent="0.3">
      <c r="D1033" t="s">
        <v>1012</v>
      </c>
    </row>
    <row r="1034" spans="3:4" hidden="1" outlineLevel="3" x14ac:dyDescent="0.3">
      <c r="D1034" t="s">
        <v>1013</v>
      </c>
    </row>
    <row r="1035" spans="3:4" hidden="1" outlineLevel="3" x14ac:dyDescent="0.3">
      <c r="D1035" t="s">
        <v>1014</v>
      </c>
    </row>
    <row r="1036" spans="3:4" hidden="1" outlineLevel="3" x14ac:dyDescent="0.3">
      <c r="D1036" t="s">
        <v>1015</v>
      </c>
    </row>
    <row r="1037" spans="3:4" hidden="1" outlineLevel="3" x14ac:dyDescent="0.3">
      <c r="D1037" t="s">
        <v>1016</v>
      </c>
    </row>
    <row r="1038" spans="3:4" hidden="1" outlineLevel="3" x14ac:dyDescent="0.3">
      <c r="D1038" t="s">
        <v>1017</v>
      </c>
    </row>
    <row r="1039" spans="3:4" hidden="1" outlineLevel="3" x14ac:dyDescent="0.3">
      <c r="D1039" t="s">
        <v>1018</v>
      </c>
    </row>
    <row r="1040" spans="3:4" hidden="1" outlineLevel="3" x14ac:dyDescent="0.3">
      <c r="D1040" t="s">
        <v>1019</v>
      </c>
    </row>
    <row r="1041" spans="3:4" hidden="1" outlineLevel="3" x14ac:dyDescent="0.3">
      <c r="D1041" t="s">
        <v>1020</v>
      </c>
    </row>
    <row r="1042" spans="3:4" hidden="1" outlineLevel="3" x14ac:dyDescent="0.3">
      <c r="D1042" t="s">
        <v>1021</v>
      </c>
    </row>
    <row r="1043" spans="3:4" hidden="1" outlineLevel="3" x14ac:dyDescent="0.3">
      <c r="D1043" t="s">
        <v>1022</v>
      </c>
    </row>
    <row r="1044" spans="3:4" hidden="1" outlineLevel="3" x14ac:dyDescent="0.3">
      <c r="D1044" t="s">
        <v>1023</v>
      </c>
    </row>
    <row r="1045" spans="3:4" hidden="1" outlineLevel="3" x14ac:dyDescent="0.3">
      <c r="D1045" t="s">
        <v>1024</v>
      </c>
    </row>
    <row r="1046" spans="3:4" hidden="1" outlineLevel="3" x14ac:dyDescent="0.3">
      <c r="D1046" t="s">
        <v>1025</v>
      </c>
    </row>
    <row r="1047" spans="3:4" hidden="1" outlineLevel="3" x14ac:dyDescent="0.3">
      <c r="D1047" t="s">
        <v>1026</v>
      </c>
    </row>
    <row r="1048" spans="3:4" hidden="1" outlineLevel="3" x14ac:dyDescent="0.3">
      <c r="D1048" t="s">
        <v>1027</v>
      </c>
    </row>
    <row r="1049" spans="3:4" hidden="1" outlineLevel="3" x14ac:dyDescent="0.3">
      <c r="D1049" t="s">
        <v>1028</v>
      </c>
    </row>
    <row r="1050" spans="3:4" hidden="1" outlineLevel="3" x14ac:dyDescent="0.3">
      <c r="D1050" t="s">
        <v>1029</v>
      </c>
    </row>
    <row r="1051" spans="3:4" hidden="1" outlineLevel="3" x14ac:dyDescent="0.3">
      <c r="D1051" t="s">
        <v>1030</v>
      </c>
    </row>
    <row r="1052" spans="3:4" hidden="1" outlineLevel="3" x14ac:dyDescent="0.3">
      <c r="D1052" t="s">
        <v>1031</v>
      </c>
    </row>
    <row r="1053" spans="3:4" hidden="1" outlineLevel="2" x14ac:dyDescent="0.3">
      <c r="C1053" t="s">
        <v>1032</v>
      </c>
    </row>
    <row r="1054" spans="3:4" hidden="1" outlineLevel="2" x14ac:dyDescent="0.3">
      <c r="C1054" t="s">
        <v>1033</v>
      </c>
    </row>
    <row r="1055" spans="3:4" hidden="1" outlineLevel="2" x14ac:dyDescent="0.3">
      <c r="C1055" t="s">
        <v>1034</v>
      </c>
    </row>
    <row r="1056" spans="3:4" hidden="1" outlineLevel="2" x14ac:dyDescent="0.3">
      <c r="C1056" t="s">
        <v>1035</v>
      </c>
    </row>
    <row r="1057" spans="3:5" hidden="1" outlineLevel="2" x14ac:dyDescent="0.3">
      <c r="C1057" t="s">
        <v>1036</v>
      </c>
    </row>
    <row r="1058" spans="3:5" hidden="1" outlineLevel="3" x14ac:dyDescent="0.3">
      <c r="D1058" t="s">
        <v>1037</v>
      </c>
    </row>
    <row r="1059" spans="3:5" hidden="1" outlineLevel="3" x14ac:dyDescent="0.3">
      <c r="D1059" t="s">
        <v>1038</v>
      </c>
    </row>
    <row r="1060" spans="3:5" hidden="1" outlineLevel="3" x14ac:dyDescent="0.3">
      <c r="D1060" t="s">
        <v>1039</v>
      </c>
    </row>
    <row r="1061" spans="3:5" hidden="1" outlineLevel="3" x14ac:dyDescent="0.3">
      <c r="D1061" t="s">
        <v>1040</v>
      </c>
    </row>
    <row r="1062" spans="3:5" hidden="1" outlineLevel="3" x14ac:dyDescent="0.3">
      <c r="D1062" t="s">
        <v>1041</v>
      </c>
    </row>
    <row r="1063" spans="3:5" hidden="1" outlineLevel="2" x14ac:dyDescent="0.3">
      <c r="C1063" t="s">
        <v>1042</v>
      </c>
    </row>
    <row r="1064" spans="3:5" hidden="1" outlineLevel="2" x14ac:dyDescent="0.3">
      <c r="C1064" t="s">
        <v>1043</v>
      </c>
    </row>
    <row r="1065" spans="3:5" hidden="1" outlineLevel="2" x14ac:dyDescent="0.3">
      <c r="C1065" t="s">
        <v>1044</v>
      </c>
    </row>
    <row r="1066" spans="3:5" hidden="1" outlineLevel="2" x14ac:dyDescent="0.3">
      <c r="C1066" t="s">
        <v>1045</v>
      </c>
    </row>
    <row r="1067" spans="3:5" hidden="1" outlineLevel="3" x14ac:dyDescent="0.3">
      <c r="D1067" t="s">
        <v>1046</v>
      </c>
    </row>
    <row r="1068" spans="3:5" hidden="1" outlineLevel="3" x14ac:dyDescent="0.3">
      <c r="D1068" t="s">
        <v>1047</v>
      </c>
    </row>
    <row r="1069" spans="3:5" hidden="1" outlineLevel="4" x14ac:dyDescent="0.3">
      <c r="E1069" t="s">
        <v>1048</v>
      </c>
    </row>
    <row r="1070" spans="3:5" hidden="1" outlineLevel="4" x14ac:dyDescent="0.3">
      <c r="E1070" t="s">
        <v>1049</v>
      </c>
    </row>
    <row r="1071" spans="3:5" hidden="1" outlineLevel="4" x14ac:dyDescent="0.3">
      <c r="E1071" t="s">
        <v>1050</v>
      </c>
    </row>
    <row r="1072" spans="3:5" hidden="1" outlineLevel="4" x14ac:dyDescent="0.3">
      <c r="E1072" t="s">
        <v>1051</v>
      </c>
    </row>
    <row r="1073" spans="3:5" hidden="1" outlineLevel="4" x14ac:dyDescent="0.3">
      <c r="E1073" t="s">
        <v>1052</v>
      </c>
    </row>
    <row r="1074" spans="3:5" hidden="1" outlineLevel="4" x14ac:dyDescent="0.3">
      <c r="E1074" t="s">
        <v>1053</v>
      </c>
    </row>
    <row r="1075" spans="3:5" hidden="1" outlineLevel="3" x14ac:dyDescent="0.3">
      <c r="D1075" t="s">
        <v>1054</v>
      </c>
    </row>
    <row r="1076" spans="3:5" hidden="1" outlineLevel="3" x14ac:dyDescent="0.3">
      <c r="D1076" t="s">
        <v>1055</v>
      </c>
    </row>
    <row r="1077" spans="3:5" hidden="1" outlineLevel="3" x14ac:dyDescent="0.3">
      <c r="D1077" t="s">
        <v>1056</v>
      </c>
    </row>
    <row r="1078" spans="3:5" hidden="1" outlineLevel="3" x14ac:dyDescent="0.3">
      <c r="D1078" t="s">
        <v>1057</v>
      </c>
    </row>
    <row r="1079" spans="3:5" hidden="1" outlineLevel="3" x14ac:dyDescent="0.3">
      <c r="D1079" t="s">
        <v>1058</v>
      </c>
    </row>
    <row r="1080" spans="3:5" hidden="1" outlineLevel="3" x14ac:dyDescent="0.3">
      <c r="D1080" t="s">
        <v>1059</v>
      </c>
    </row>
    <row r="1081" spans="3:5" hidden="1" outlineLevel="3" x14ac:dyDescent="0.3">
      <c r="D1081" t="s">
        <v>1060</v>
      </c>
    </row>
    <row r="1082" spans="3:5" hidden="1" outlineLevel="3" x14ac:dyDescent="0.3">
      <c r="D1082" t="s">
        <v>1061</v>
      </c>
    </row>
    <row r="1083" spans="3:5" hidden="1" outlineLevel="3" x14ac:dyDescent="0.3">
      <c r="D1083" t="s">
        <v>1062</v>
      </c>
    </row>
    <row r="1084" spans="3:5" hidden="1" outlineLevel="3" x14ac:dyDescent="0.3">
      <c r="D1084" t="s">
        <v>1063</v>
      </c>
    </row>
    <row r="1085" spans="3:5" hidden="1" outlineLevel="3" x14ac:dyDescent="0.3">
      <c r="D1085" t="s">
        <v>1064</v>
      </c>
    </row>
    <row r="1086" spans="3:5" hidden="1" outlineLevel="3" x14ac:dyDescent="0.3">
      <c r="D1086" t="s">
        <v>1065</v>
      </c>
    </row>
    <row r="1087" spans="3:5" hidden="1" outlineLevel="2" x14ac:dyDescent="0.3">
      <c r="C1087" t="s">
        <v>1066</v>
      </c>
    </row>
    <row r="1088" spans="3:5" hidden="1" outlineLevel="3" x14ac:dyDescent="0.3">
      <c r="D1088" t="s">
        <v>1067</v>
      </c>
    </row>
    <row r="1089" spans="4:5" hidden="1" outlineLevel="3" x14ac:dyDescent="0.3">
      <c r="D1089" t="s">
        <v>1068</v>
      </c>
    </row>
    <row r="1090" spans="4:5" hidden="1" outlineLevel="4" x14ac:dyDescent="0.3">
      <c r="E1090" t="s">
        <v>1069</v>
      </c>
    </row>
    <row r="1091" spans="4:5" hidden="1" outlineLevel="4" x14ac:dyDescent="0.3">
      <c r="E1091" t="s">
        <v>1070</v>
      </c>
    </row>
    <row r="1092" spans="4:5" hidden="1" outlineLevel="4" x14ac:dyDescent="0.3">
      <c r="E1092" t="s">
        <v>1071</v>
      </c>
    </row>
    <row r="1093" spans="4:5" hidden="1" outlineLevel="3" x14ac:dyDescent="0.3">
      <c r="D1093" t="s">
        <v>1072</v>
      </c>
    </row>
    <row r="1094" spans="4:5" hidden="1" outlineLevel="3" x14ac:dyDescent="0.3">
      <c r="D1094" t="s">
        <v>1073</v>
      </c>
    </row>
    <row r="1095" spans="4:5" hidden="1" outlineLevel="3" x14ac:dyDescent="0.3">
      <c r="D1095" t="s">
        <v>1074</v>
      </c>
    </row>
    <row r="1096" spans="4:5" hidden="1" outlineLevel="3" x14ac:dyDescent="0.3">
      <c r="D1096" t="s">
        <v>1075</v>
      </c>
    </row>
    <row r="1097" spans="4:5" hidden="1" outlineLevel="4" x14ac:dyDescent="0.3">
      <c r="E1097" t="s">
        <v>1076</v>
      </c>
    </row>
    <row r="1098" spans="4:5" hidden="1" outlineLevel="4" x14ac:dyDescent="0.3">
      <c r="E1098" t="s">
        <v>1077</v>
      </c>
    </row>
    <row r="1099" spans="4:5" hidden="1" outlineLevel="4" x14ac:dyDescent="0.3">
      <c r="E1099" t="s">
        <v>1078</v>
      </c>
    </row>
    <row r="1100" spans="4:5" hidden="1" outlineLevel="4" x14ac:dyDescent="0.3">
      <c r="E1100" t="s">
        <v>1079</v>
      </c>
    </row>
    <row r="1101" spans="4:5" hidden="1" outlineLevel="3" x14ac:dyDescent="0.3">
      <c r="D1101" t="s">
        <v>1080</v>
      </c>
    </row>
    <row r="1102" spans="4:5" hidden="1" outlineLevel="3" x14ac:dyDescent="0.3">
      <c r="D1102" t="s">
        <v>1081</v>
      </c>
    </row>
    <row r="1103" spans="4:5" hidden="1" outlineLevel="3" x14ac:dyDescent="0.3">
      <c r="D1103" t="s">
        <v>1082</v>
      </c>
    </row>
    <row r="1104" spans="4:5" hidden="1" outlineLevel="4" x14ac:dyDescent="0.3">
      <c r="E1104" t="s">
        <v>1083</v>
      </c>
    </row>
    <row r="1105" spans="4:5" hidden="1" outlineLevel="4" x14ac:dyDescent="0.3">
      <c r="E1105" t="s">
        <v>1084</v>
      </c>
    </row>
    <row r="1106" spans="4:5" hidden="1" outlineLevel="4" x14ac:dyDescent="0.3">
      <c r="E1106" t="s">
        <v>1085</v>
      </c>
    </row>
    <row r="1107" spans="4:5" hidden="1" outlineLevel="4" x14ac:dyDescent="0.3">
      <c r="E1107" t="s">
        <v>1086</v>
      </c>
    </row>
    <row r="1108" spans="4:5" hidden="1" outlineLevel="4" x14ac:dyDescent="0.3">
      <c r="E1108" t="s">
        <v>1087</v>
      </c>
    </row>
    <row r="1109" spans="4:5" hidden="1" outlineLevel="4" x14ac:dyDescent="0.3">
      <c r="E1109" t="s">
        <v>1088</v>
      </c>
    </row>
    <row r="1110" spans="4:5" hidden="1" outlineLevel="4" x14ac:dyDescent="0.3">
      <c r="E1110" t="s">
        <v>1089</v>
      </c>
    </row>
    <row r="1111" spans="4:5" hidden="1" outlineLevel="3" x14ac:dyDescent="0.3">
      <c r="D1111" t="s">
        <v>1090</v>
      </c>
    </row>
    <row r="1112" spans="4:5" hidden="1" outlineLevel="3" x14ac:dyDescent="0.3">
      <c r="D1112" t="s">
        <v>1091</v>
      </c>
    </row>
    <row r="1113" spans="4:5" hidden="1" outlineLevel="3" x14ac:dyDescent="0.3">
      <c r="D1113" t="s">
        <v>1092</v>
      </c>
    </row>
    <row r="1114" spans="4:5" hidden="1" outlineLevel="4" x14ac:dyDescent="0.3">
      <c r="E1114" t="s">
        <v>1093</v>
      </c>
    </row>
    <row r="1115" spans="4:5" hidden="1" outlineLevel="4" x14ac:dyDescent="0.3">
      <c r="E1115" t="s">
        <v>1094</v>
      </c>
    </row>
    <row r="1116" spans="4:5" hidden="1" outlineLevel="4" x14ac:dyDescent="0.3">
      <c r="E1116" t="s">
        <v>1095</v>
      </c>
    </row>
    <row r="1117" spans="4:5" hidden="1" outlineLevel="4" x14ac:dyDescent="0.3">
      <c r="E1117" t="s">
        <v>1096</v>
      </c>
    </row>
    <row r="1118" spans="4:5" hidden="1" outlineLevel="4" x14ac:dyDescent="0.3">
      <c r="E1118" t="s">
        <v>1097</v>
      </c>
    </row>
    <row r="1119" spans="4:5" hidden="1" outlineLevel="3" x14ac:dyDescent="0.3">
      <c r="D1119" t="s">
        <v>1098</v>
      </c>
    </row>
    <row r="1120" spans="4:5" hidden="1" outlineLevel="3" x14ac:dyDescent="0.3">
      <c r="D1120" t="s">
        <v>1099</v>
      </c>
    </row>
    <row r="1121" spans="3:5" hidden="1" outlineLevel="4" x14ac:dyDescent="0.3">
      <c r="E1121" t="s">
        <v>1100</v>
      </c>
    </row>
    <row r="1122" spans="3:5" hidden="1" outlineLevel="4" x14ac:dyDescent="0.3">
      <c r="E1122" t="s">
        <v>1101</v>
      </c>
    </row>
    <row r="1123" spans="3:5" hidden="1" outlineLevel="4" x14ac:dyDescent="0.3">
      <c r="E1123" t="s">
        <v>1102</v>
      </c>
    </row>
    <row r="1124" spans="3:5" hidden="1" outlineLevel="4" x14ac:dyDescent="0.3">
      <c r="E1124" t="s">
        <v>1103</v>
      </c>
    </row>
    <row r="1125" spans="3:5" hidden="1" outlineLevel="4" x14ac:dyDescent="0.3">
      <c r="E1125" t="s">
        <v>1104</v>
      </c>
    </row>
    <row r="1126" spans="3:5" hidden="1" outlineLevel="4" x14ac:dyDescent="0.3">
      <c r="E1126" t="s">
        <v>1105</v>
      </c>
    </row>
    <row r="1127" spans="3:5" hidden="1" outlineLevel="3" x14ac:dyDescent="0.3">
      <c r="D1127" t="s">
        <v>1106</v>
      </c>
    </row>
    <row r="1128" spans="3:5" hidden="1" outlineLevel="3" x14ac:dyDescent="0.3">
      <c r="D1128" t="s">
        <v>1107</v>
      </c>
    </row>
    <row r="1129" spans="3:5" hidden="1" outlineLevel="2" x14ac:dyDescent="0.3">
      <c r="C1129" t="s">
        <v>1108</v>
      </c>
    </row>
    <row r="1130" spans="3:5" hidden="1" outlineLevel="3" x14ac:dyDescent="0.3">
      <c r="D1130" t="s">
        <v>1109</v>
      </c>
    </row>
    <row r="1131" spans="3:5" hidden="1" outlineLevel="3" x14ac:dyDescent="0.3">
      <c r="D1131" t="s">
        <v>1110</v>
      </c>
    </row>
    <row r="1132" spans="3:5" hidden="1" outlineLevel="3" x14ac:dyDescent="0.3">
      <c r="D1132" t="s">
        <v>1111</v>
      </c>
    </row>
    <row r="1133" spans="3:5" hidden="1" outlineLevel="3" x14ac:dyDescent="0.3">
      <c r="D1133" t="s">
        <v>1112</v>
      </c>
    </row>
    <row r="1134" spans="3:5" hidden="1" outlineLevel="3" x14ac:dyDescent="0.3">
      <c r="D1134" t="s">
        <v>1113</v>
      </c>
    </row>
    <row r="1135" spans="3:5" hidden="1" outlineLevel="3" x14ac:dyDescent="0.3">
      <c r="D1135" t="s">
        <v>1114</v>
      </c>
    </row>
    <row r="1136" spans="3:5" hidden="1" outlineLevel="3" x14ac:dyDescent="0.3">
      <c r="D1136" t="s">
        <v>1115</v>
      </c>
    </row>
    <row r="1137" spans="3:4" hidden="1" outlineLevel="2" x14ac:dyDescent="0.3">
      <c r="C1137" t="s">
        <v>1116</v>
      </c>
    </row>
    <row r="1138" spans="3:4" hidden="1" outlineLevel="3" x14ac:dyDescent="0.3">
      <c r="D1138" t="s">
        <v>1117</v>
      </c>
    </row>
    <row r="1139" spans="3:4" hidden="1" outlineLevel="3" x14ac:dyDescent="0.3">
      <c r="D1139" t="s">
        <v>1118</v>
      </c>
    </row>
    <row r="1140" spans="3:4" hidden="1" outlineLevel="3" x14ac:dyDescent="0.3">
      <c r="D1140" t="s">
        <v>1119</v>
      </c>
    </row>
    <row r="1141" spans="3:4" hidden="1" outlineLevel="3" x14ac:dyDescent="0.3">
      <c r="D1141" t="s">
        <v>1120</v>
      </c>
    </row>
    <row r="1142" spans="3:4" hidden="1" outlineLevel="3" x14ac:dyDescent="0.3">
      <c r="D1142" t="s">
        <v>1121</v>
      </c>
    </row>
    <row r="1143" spans="3:4" hidden="1" outlineLevel="3" x14ac:dyDescent="0.3">
      <c r="D1143" t="s">
        <v>1122</v>
      </c>
    </row>
    <row r="1144" spans="3:4" hidden="1" outlineLevel="3" x14ac:dyDescent="0.3">
      <c r="D1144" t="s">
        <v>1123</v>
      </c>
    </row>
    <row r="1145" spans="3:4" hidden="1" outlineLevel="3" x14ac:dyDescent="0.3">
      <c r="D1145" t="s">
        <v>1124</v>
      </c>
    </row>
    <row r="1146" spans="3:4" hidden="1" outlineLevel="3" x14ac:dyDescent="0.3">
      <c r="D1146" t="s">
        <v>1125</v>
      </c>
    </row>
    <row r="1147" spans="3:4" hidden="1" outlineLevel="2" x14ac:dyDescent="0.3">
      <c r="C1147" t="s">
        <v>1126</v>
      </c>
    </row>
    <row r="1148" spans="3:4" hidden="1" outlineLevel="2" x14ac:dyDescent="0.3">
      <c r="C1148" t="s">
        <v>1127</v>
      </c>
    </row>
    <row r="1149" spans="3:4" hidden="1" outlineLevel="2" x14ac:dyDescent="0.3">
      <c r="C1149" t="s">
        <v>1128</v>
      </c>
    </row>
    <row r="1150" spans="3:4" hidden="1" outlineLevel="2" x14ac:dyDescent="0.3">
      <c r="C1150" t="s">
        <v>1129</v>
      </c>
    </row>
    <row r="1151" spans="3:4" hidden="1" outlineLevel="2" x14ac:dyDescent="0.3">
      <c r="C1151" t="s">
        <v>1130</v>
      </c>
    </row>
    <row r="1152" spans="3:4" hidden="1" outlineLevel="2" x14ac:dyDescent="0.3">
      <c r="C1152" t="s">
        <v>1131</v>
      </c>
    </row>
    <row r="1153" spans="2:5" hidden="1" outlineLevel="3" x14ac:dyDescent="0.3">
      <c r="D1153" t="s">
        <v>1132</v>
      </c>
    </row>
    <row r="1154" spans="2:5" hidden="1" outlineLevel="3" x14ac:dyDescent="0.3">
      <c r="D1154" t="s">
        <v>1133</v>
      </c>
    </row>
    <row r="1155" spans="2:5" hidden="1" outlineLevel="4" x14ac:dyDescent="0.3">
      <c r="E1155" t="s">
        <v>1134</v>
      </c>
    </row>
    <row r="1156" spans="2:5" hidden="1" outlineLevel="4" x14ac:dyDescent="0.3">
      <c r="E1156" t="s">
        <v>1135</v>
      </c>
    </row>
    <row r="1157" spans="2:5" hidden="1" outlineLevel="4" x14ac:dyDescent="0.3">
      <c r="E1157" t="s">
        <v>1136</v>
      </c>
    </row>
    <row r="1158" spans="2:5" hidden="1" outlineLevel="4" x14ac:dyDescent="0.3">
      <c r="E1158" t="s">
        <v>1137</v>
      </c>
    </row>
    <row r="1159" spans="2:5" hidden="1" outlineLevel="4" x14ac:dyDescent="0.3">
      <c r="E1159" t="s">
        <v>1138</v>
      </c>
    </row>
    <row r="1160" spans="2:5" hidden="1" outlineLevel="4" x14ac:dyDescent="0.3">
      <c r="E1160" t="s">
        <v>1139</v>
      </c>
    </row>
    <row r="1161" spans="2:5" hidden="1" outlineLevel="3" x14ac:dyDescent="0.3">
      <c r="D1161" t="s">
        <v>1140</v>
      </c>
    </row>
    <row r="1162" spans="2:5" hidden="1" outlineLevel="3" x14ac:dyDescent="0.3">
      <c r="D1162" t="s">
        <v>1141</v>
      </c>
    </row>
    <row r="1163" spans="2:5" hidden="1" outlineLevel="3" x14ac:dyDescent="0.3">
      <c r="D1163" t="s">
        <v>1142</v>
      </c>
    </row>
    <row r="1164" spans="2:5" hidden="1" outlineLevel="3" x14ac:dyDescent="0.3">
      <c r="D1164" t="s">
        <v>1143</v>
      </c>
    </row>
    <row r="1165" spans="2:5" hidden="1" outlineLevel="3" x14ac:dyDescent="0.3">
      <c r="D1165" t="s">
        <v>1144</v>
      </c>
    </row>
    <row r="1166" spans="2:5" hidden="1" outlineLevel="3" x14ac:dyDescent="0.3">
      <c r="D1166" t="s">
        <v>1145</v>
      </c>
    </row>
    <row r="1167" spans="2:5" hidden="1" outlineLevel="3" x14ac:dyDescent="0.3">
      <c r="D1167" t="s">
        <v>1146</v>
      </c>
    </row>
    <row r="1168" spans="2:5" outlineLevel="1" collapsed="1" x14ac:dyDescent="0.3">
      <c r="B1168" t="s">
        <v>1147</v>
      </c>
    </row>
    <row r="1169" spans="2:4" outlineLevel="1" x14ac:dyDescent="0.3">
      <c r="B1169" t="s">
        <v>1148</v>
      </c>
    </row>
    <row r="1170" spans="2:4" hidden="1" outlineLevel="2" x14ac:dyDescent="0.3">
      <c r="C1170" t="s">
        <v>1149</v>
      </c>
    </row>
    <row r="1171" spans="2:4" hidden="1" outlineLevel="2" x14ac:dyDescent="0.3">
      <c r="C1171" t="s">
        <v>1150</v>
      </c>
    </row>
    <row r="1172" spans="2:4" hidden="1" outlineLevel="2" x14ac:dyDescent="0.3">
      <c r="C1172" t="s">
        <v>1151</v>
      </c>
    </row>
    <row r="1173" spans="2:4" hidden="1" outlineLevel="2" x14ac:dyDescent="0.3">
      <c r="C1173" t="s">
        <v>1152</v>
      </c>
    </row>
    <row r="1174" spans="2:4" hidden="1" outlineLevel="2" x14ac:dyDescent="0.3">
      <c r="C1174" t="s">
        <v>1153</v>
      </c>
    </row>
    <row r="1175" spans="2:4" hidden="1" outlineLevel="2" x14ac:dyDescent="0.3">
      <c r="C1175" t="s">
        <v>1154</v>
      </c>
    </row>
    <row r="1176" spans="2:4" hidden="1" outlineLevel="2" x14ac:dyDescent="0.3">
      <c r="C1176" t="s">
        <v>1155</v>
      </c>
    </row>
    <row r="1177" spans="2:4" hidden="1" outlineLevel="2" x14ac:dyDescent="0.3">
      <c r="C1177" t="s">
        <v>1156</v>
      </c>
    </row>
    <row r="1178" spans="2:4" hidden="1" outlineLevel="2" x14ac:dyDescent="0.3">
      <c r="C1178" t="s">
        <v>1157</v>
      </c>
    </row>
    <row r="1179" spans="2:4" hidden="1" outlineLevel="2" x14ac:dyDescent="0.3">
      <c r="C1179" t="s">
        <v>1158</v>
      </c>
    </row>
    <row r="1180" spans="2:4" hidden="1" outlineLevel="3" x14ac:dyDescent="0.3">
      <c r="D1180" t="s">
        <v>1159</v>
      </c>
    </row>
    <row r="1181" spans="2:4" hidden="1" outlineLevel="3" x14ac:dyDescent="0.3">
      <c r="D1181" t="s">
        <v>1160</v>
      </c>
    </row>
    <row r="1182" spans="2:4" hidden="1" outlineLevel="3" x14ac:dyDescent="0.3">
      <c r="D1182" t="s">
        <v>1161</v>
      </c>
    </row>
    <row r="1183" spans="2:4" hidden="1" outlineLevel="2" x14ac:dyDescent="0.3">
      <c r="C1183" t="s">
        <v>1162</v>
      </c>
    </row>
    <row r="1184" spans="2:4" hidden="1" outlineLevel="2" x14ac:dyDescent="0.3">
      <c r="C1184" t="s">
        <v>1163</v>
      </c>
    </row>
    <row r="1185" spans="3:4" hidden="1" outlineLevel="3" x14ac:dyDescent="0.3">
      <c r="D1185" t="s">
        <v>1164</v>
      </c>
    </row>
    <row r="1186" spans="3:4" hidden="1" outlineLevel="3" x14ac:dyDescent="0.3">
      <c r="D1186" t="s">
        <v>1165</v>
      </c>
    </row>
    <row r="1187" spans="3:4" hidden="1" outlineLevel="3" x14ac:dyDescent="0.3">
      <c r="D1187" t="s">
        <v>1166</v>
      </c>
    </row>
    <row r="1188" spans="3:4" hidden="1" outlineLevel="3" x14ac:dyDescent="0.3">
      <c r="D1188" t="s">
        <v>1167</v>
      </c>
    </row>
    <row r="1189" spans="3:4" hidden="1" outlineLevel="3" x14ac:dyDescent="0.3">
      <c r="D1189" t="s">
        <v>1168</v>
      </c>
    </row>
    <row r="1190" spans="3:4" hidden="1" outlineLevel="3" x14ac:dyDescent="0.3">
      <c r="D1190" t="s">
        <v>1169</v>
      </c>
    </row>
    <row r="1191" spans="3:4" hidden="1" outlineLevel="3" x14ac:dyDescent="0.3">
      <c r="D1191" t="s">
        <v>1170</v>
      </c>
    </row>
    <row r="1192" spans="3:4" hidden="1" outlineLevel="3" x14ac:dyDescent="0.3">
      <c r="D1192" t="s">
        <v>1171</v>
      </c>
    </row>
    <row r="1193" spans="3:4" hidden="1" outlineLevel="3" x14ac:dyDescent="0.3">
      <c r="D1193" t="s">
        <v>1172</v>
      </c>
    </row>
    <row r="1194" spans="3:4" hidden="1" outlineLevel="3" x14ac:dyDescent="0.3">
      <c r="D1194" t="s">
        <v>1173</v>
      </c>
    </row>
    <row r="1195" spans="3:4" hidden="1" outlineLevel="3" x14ac:dyDescent="0.3">
      <c r="D1195" t="s">
        <v>1174</v>
      </c>
    </row>
    <row r="1196" spans="3:4" hidden="1" outlineLevel="3" x14ac:dyDescent="0.3">
      <c r="D1196" t="s">
        <v>1175</v>
      </c>
    </row>
    <row r="1197" spans="3:4" hidden="1" outlineLevel="2" x14ac:dyDescent="0.3">
      <c r="C1197" t="s">
        <v>1176</v>
      </c>
    </row>
    <row r="1198" spans="3:4" hidden="1" outlineLevel="2" x14ac:dyDescent="0.3">
      <c r="C1198" t="s">
        <v>1177</v>
      </c>
    </row>
    <row r="1199" spans="3:4" hidden="1" outlineLevel="2" x14ac:dyDescent="0.3">
      <c r="C1199" t="s">
        <v>1178</v>
      </c>
    </row>
    <row r="1200" spans="3:4" hidden="1" outlineLevel="2" x14ac:dyDescent="0.3">
      <c r="C1200" t="s">
        <v>1179</v>
      </c>
    </row>
    <row r="1201" spans="4:5" hidden="1" outlineLevel="3" x14ac:dyDescent="0.3">
      <c r="D1201" t="s">
        <v>1180</v>
      </c>
    </row>
    <row r="1202" spans="4:5" hidden="1" outlineLevel="3" x14ac:dyDescent="0.3">
      <c r="D1202" t="s">
        <v>1181</v>
      </c>
    </row>
    <row r="1203" spans="4:5" hidden="1" outlineLevel="3" x14ac:dyDescent="0.3">
      <c r="D1203" t="s">
        <v>1182</v>
      </c>
    </row>
    <row r="1204" spans="4:5" hidden="1" outlineLevel="4" x14ac:dyDescent="0.3">
      <c r="E1204" t="s">
        <v>1183</v>
      </c>
    </row>
    <row r="1205" spans="4:5" hidden="1" outlineLevel="4" x14ac:dyDescent="0.3">
      <c r="E1205" t="s">
        <v>1184</v>
      </c>
    </row>
    <row r="1206" spans="4:5" hidden="1" outlineLevel="4" x14ac:dyDescent="0.3">
      <c r="E1206" t="s">
        <v>1185</v>
      </c>
    </row>
    <row r="1207" spans="4:5" hidden="1" outlineLevel="4" x14ac:dyDescent="0.3">
      <c r="E1207" t="s">
        <v>1186</v>
      </c>
    </row>
    <row r="1208" spans="4:5" hidden="1" outlineLevel="4" x14ac:dyDescent="0.3">
      <c r="E1208" t="s">
        <v>1187</v>
      </c>
    </row>
    <row r="1209" spans="4:5" hidden="1" outlineLevel="4" x14ac:dyDescent="0.3">
      <c r="E1209" t="s">
        <v>1188</v>
      </c>
    </row>
    <row r="1210" spans="4:5" hidden="1" outlineLevel="3" x14ac:dyDescent="0.3">
      <c r="D1210" t="s">
        <v>1189</v>
      </c>
    </row>
    <row r="1211" spans="4:5" hidden="1" outlineLevel="3" x14ac:dyDescent="0.3">
      <c r="D1211" t="s">
        <v>1190</v>
      </c>
    </row>
    <row r="1212" spans="4:5" hidden="1" outlineLevel="3" x14ac:dyDescent="0.3">
      <c r="D1212" t="s">
        <v>1191</v>
      </c>
    </row>
    <row r="1213" spans="4:5" hidden="1" outlineLevel="3" x14ac:dyDescent="0.3">
      <c r="D1213" t="s">
        <v>1192</v>
      </c>
    </row>
    <row r="1214" spans="4:5" hidden="1" outlineLevel="3" x14ac:dyDescent="0.3">
      <c r="D1214" t="s">
        <v>1193</v>
      </c>
    </row>
    <row r="1215" spans="4:5" hidden="1" outlineLevel="3" x14ac:dyDescent="0.3">
      <c r="D1215" t="s">
        <v>1194</v>
      </c>
    </row>
    <row r="1216" spans="4:5" hidden="1" outlineLevel="3" x14ac:dyDescent="0.3">
      <c r="D1216" t="s">
        <v>1195</v>
      </c>
    </row>
    <row r="1217" spans="3:5" hidden="1" outlineLevel="2" x14ac:dyDescent="0.3">
      <c r="C1217" t="s">
        <v>1196</v>
      </c>
    </row>
    <row r="1218" spans="3:5" hidden="1" outlineLevel="3" x14ac:dyDescent="0.3">
      <c r="D1218" t="s">
        <v>1197</v>
      </c>
    </row>
    <row r="1219" spans="3:5" hidden="1" outlineLevel="3" x14ac:dyDescent="0.3">
      <c r="D1219" t="s">
        <v>1198</v>
      </c>
    </row>
    <row r="1220" spans="3:5" hidden="1" outlineLevel="3" x14ac:dyDescent="0.3">
      <c r="D1220" t="s">
        <v>1199</v>
      </c>
    </row>
    <row r="1221" spans="3:5" hidden="1" outlineLevel="3" x14ac:dyDescent="0.3">
      <c r="D1221" t="s">
        <v>1200</v>
      </c>
    </row>
    <row r="1222" spans="3:5" hidden="1" outlineLevel="3" x14ac:dyDescent="0.3">
      <c r="D1222" t="s">
        <v>1201</v>
      </c>
    </row>
    <row r="1223" spans="3:5" hidden="1" outlineLevel="3" x14ac:dyDescent="0.3">
      <c r="D1223" t="s">
        <v>1202</v>
      </c>
    </row>
    <row r="1224" spans="3:5" hidden="1" outlineLevel="4" x14ac:dyDescent="0.3">
      <c r="E1224" t="s">
        <v>1203</v>
      </c>
    </row>
    <row r="1225" spans="3:5" hidden="1" outlineLevel="4" x14ac:dyDescent="0.3">
      <c r="E1225" t="s">
        <v>1204</v>
      </c>
    </row>
    <row r="1226" spans="3:5" hidden="1" outlineLevel="4" x14ac:dyDescent="0.3">
      <c r="E1226" t="s">
        <v>1205</v>
      </c>
    </row>
    <row r="1227" spans="3:5" hidden="1" outlineLevel="3" x14ac:dyDescent="0.3">
      <c r="D1227" t="s">
        <v>1206</v>
      </c>
    </row>
    <row r="1228" spans="3:5" hidden="1" outlineLevel="3" x14ac:dyDescent="0.3">
      <c r="D1228" t="s">
        <v>1207</v>
      </c>
    </row>
    <row r="1229" spans="3:5" hidden="1" outlineLevel="4" x14ac:dyDescent="0.3">
      <c r="E1229" t="s">
        <v>1208</v>
      </c>
    </row>
    <row r="1230" spans="3:5" hidden="1" outlineLevel="4" x14ac:dyDescent="0.3">
      <c r="E1230" t="s">
        <v>1209</v>
      </c>
    </row>
    <row r="1231" spans="3:5" hidden="1" outlineLevel="4" x14ac:dyDescent="0.3">
      <c r="E1231" t="s">
        <v>1210</v>
      </c>
    </row>
    <row r="1232" spans="3:5" hidden="1" outlineLevel="4" x14ac:dyDescent="0.3">
      <c r="E1232" t="s">
        <v>1211</v>
      </c>
    </row>
    <row r="1233" spans="3:5" hidden="1" outlineLevel="3" x14ac:dyDescent="0.3">
      <c r="D1233" t="s">
        <v>1212</v>
      </c>
    </row>
    <row r="1234" spans="3:5" hidden="1" outlineLevel="3" x14ac:dyDescent="0.3">
      <c r="D1234" t="s">
        <v>1213</v>
      </c>
    </row>
    <row r="1235" spans="3:5" hidden="1" outlineLevel="4" x14ac:dyDescent="0.3">
      <c r="E1235" t="s">
        <v>1214</v>
      </c>
    </row>
    <row r="1236" spans="3:5" hidden="1" outlineLevel="4" x14ac:dyDescent="0.3">
      <c r="E1236" t="s">
        <v>1215</v>
      </c>
    </row>
    <row r="1237" spans="3:5" hidden="1" outlineLevel="4" x14ac:dyDescent="0.3">
      <c r="E1237" t="s">
        <v>1216</v>
      </c>
    </row>
    <row r="1238" spans="3:5" hidden="1" outlineLevel="4" x14ac:dyDescent="0.3">
      <c r="E1238" t="s">
        <v>1217</v>
      </c>
    </row>
    <row r="1239" spans="3:5" hidden="1" outlineLevel="3" x14ac:dyDescent="0.3">
      <c r="D1239" t="s">
        <v>1218</v>
      </c>
    </row>
    <row r="1240" spans="3:5" hidden="1" outlineLevel="4" x14ac:dyDescent="0.3">
      <c r="E1240" t="s">
        <v>1219</v>
      </c>
    </row>
    <row r="1241" spans="3:5" hidden="1" outlineLevel="4" x14ac:dyDescent="0.3">
      <c r="E1241" t="s">
        <v>1220</v>
      </c>
    </row>
    <row r="1242" spans="3:5" hidden="1" outlineLevel="4" x14ac:dyDescent="0.3">
      <c r="E1242" t="s">
        <v>1221</v>
      </c>
    </row>
    <row r="1243" spans="3:5" hidden="1" outlineLevel="3" x14ac:dyDescent="0.3">
      <c r="D1243" t="s">
        <v>1222</v>
      </c>
    </row>
    <row r="1244" spans="3:5" hidden="1" outlineLevel="2" x14ac:dyDescent="0.3">
      <c r="C1244" t="s">
        <v>1223</v>
      </c>
    </row>
    <row r="1245" spans="3:5" hidden="1" outlineLevel="3" x14ac:dyDescent="0.3">
      <c r="D1245" t="s">
        <v>1224</v>
      </c>
    </row>
    <row r="1246" spans="3:5" hidden="1" outlineLevel="3" x14ac:dyDescent="0.3">
      <c r="D1246" t="s">
        <v>1225</v>
      </c>
    </row>
    <row r="1247" spans="3:5" hidden="1" outlineLevel="3" x14ac:dyDescent="0.3">
      <c r="D1247" t="s">
        <v>1226</v>
      </c>
    </row>
    <row r="1248" spans="3:5" hidden="1" outlineLevel="3" x14ac:dyDescent="0.3">
      <c r="D1248" t="s">
        <v>1227</v>
      </c>
    </row>
    <row r="1249" spans="3:4" hidden="1" outlineLevel="2" x14ac:dyDescent="0.3">
      <c r="C1249" t="s">
        <v>1228</v>
      </c>
    </row>
    <row r="1250" spans="3:4" hidden="1" outlineLevel="3" x14ac:dyDescent="0.3">
      <c r="D1250" t="s">
        <v>1229</v>
      </c>
    </row>
    <row r="1251" spans="3:4" hidden="1" outlineLevel="3" x14ac:dyDescent="0.3">
      <c r="D1251" t="s">
        <v>1230</v>
      </c>
    </row>
    <row r="1252" spans="3:4" hidden="1" outlineLevel="3" x14ac:dyDescent="0.3">
      <c r="D1252" t="s">
        <v>1231</v>
      </c>
    </row>
    <row r="1253" spans="3:4" hidden="1" outlineLevel="3" x14ac:dyDescent="0.3">
      <c r="D1253" t="s">
        <v>1232</v>
      </c>
    </row>
    <row r="1254" spans="3:4" hidden="1" outlineLevel="3" x14ac:dyDescent="0.3">
      <c r="D1254" t="s">
        <v>1233</v>
      </c>
    </row>
    <row r="1255" spans="3:4" hidden="1" outlineLevel="3" x14ac:dyDescent="0.3">
      <c r="D1255" t="s">
        <v>1234</v>
      </c>
    </row>
    <row r="1256" spans="3:4" hidden="1" outlineLevel="3" x14ac:dyDescent="0.3">
      <c r="D1256" t="s">
        <v>1235</v>
      </c>
    </row>
    <row r="1257" spans="3:4" hidden="1" outlineLevel="3" x14ac:dyDescent="0.3">
      <c r="D1257" t="s">
        <v>1236</v>
      </c>
    </row>
    <row r="1258" spans="3:4" hidden="1" outlineLevel="3" x14ac:dyDescent="0.3">
      <c r="D1258" t="s">
        <v>1237</v>
      </c>
    </row>
    <row r="1259" spans="3:4" hidden="1" outlineLevel="2" x14ac:dyDescent="0.3">
      <c r="C1259" t="s">
        <v>1238</v>
      </c>
    </row>
    <row r="1260" spans="3:4" hidden="1" outlineLevel="2" x14ac:dyDescent="0.3">
      <c r="C1260" t="s">
        <v>1239</v>
      </c>
    </row>
    <row r="1261" spans="3:4" hidden="1" outlineLevel="2" x14ac:dyDescent="0.3">
      <c r="C1261" t="s">
        <v>1240</v>
      </c>
    </row>
    <row r="1262" spans="3:4" hidden="1" outlineLevel="2" x14ac:dyDescent="0.3">
      <c r="C1262" t="s">
        <v>1241</v>
      </c>
    </row>
    <row r="1263" spans="3:4" hidden="1" outlineLevel="2" x14ac:dyDescent="0.3">
      <c r="C1263" t="s">
        <v>1242</v>
      </c>
    </row>
    <row r="1264" spans="3:4" hidden="1" outlineLevel="3" x14ac:dyDescent="0.3">
      <c r="D1264" t="s">
        <v>1243</v>
      </c>
    </row>
    <row r="1265" spans="3:5" hidden="1" outlineLevel="4" x14ac:dyDescent="0.3">
      <c r="E1265" t="s">
        <v>1244</v>
      </c>
    </row>
    <row r="1266" spans="3:5" hidden="1" outlineLevel="4" x14ac:dyDescent="0.3">
      <c r="E1266" t="s">
        <v>1245</v>
      </c>
    </row>
    <row r="1267" spans="3:5" hidden="1" outlineLevel="4" x14ac:dyDescent="0.3">
      <c r="E1267" t="s">
        <v>1246</v>
      </c>
    </row>
    <row r="1268" spans="3:5" hidden="1" outlineLevel="4" x14ac:dyDescent="0.3">
      <c r="E1268" t="s">
        <v>1247</v>
      </c>
    </row>
    <row r="1269" spans="3:5" hidden="1" outlineLevel="4" x14ac:dyDescent="0.3">
      <c r="E1269" t="s">
        <v>1248</v>
      </c>
    </row>
    <row r="1270" spans="3:5" hidden="1" outlineLevel="3" x14ac:dyDescent="0.3">
      <c r="D1270" t="s">
        <v>1249</v>
      </c>
    </row>
    <row r="1271" spans="3:5" hidden="1" outlineLevel="3" x14ac:dyDescent="0.3">
      <c r="D1271" t="s">
        <v>1250</v>
      </c>
    </row>
    <row r="1272" spans="3:5" hidden="1" outlineLevel="3" x14ac:dyDescent="0.3">
      <c r="D1272" t="s">
        <v>1251</v>
      </c>
    </row>
    <row r="1273" spans="3:5" hidden="1" outlineLevel="3" x14ac:dyDescent="0.3">
      <c r="D1273" t="s">
        <v>1252</v>
      </c>
    </row>
    <row r="1274" spans="3:5" hidden="1" outlineLevel="2" x14ac:dyDescent="0.3">
      <c r="C1274" t="s">
        <v>1253</v>
      </c>
    </row>
    <row r="1275" spans="3:5" hidden="1" outlineLevel="3" x14ac:dyDescent="0.3">
      <c r="D1275" t="s">
        <v>1254</v>
      </c>
    </row>
    <row r="1276" spans="3:5" hidden="1" outlineLevel="4" x14ac:dyDescent="0.3">
      <c r="E1276" t="s">
        <v>1255</v>
      </c>
    </row>
    <row r="1277" spans="3:5" hidden="1" outlineLevel="4" x14ac:dyDescent="0.3">
      <c r="E1277" t="s">
        <v>1256</v>
      </c>
    </row>
    <row r="1278" spans="3:5" hidden="1" outlineLevel="4" x14ac:dyDescent="0.3">
      <c r="E1278" t="s">
        <v>1257</v>
      </c>
    </row>
    <row r="1279" spans="3:5" hidden="1" outlineLevel="4" x14ac:dyDescent="0.3">
      <c r="E1279" t="s">
        <v>1258</v>
      </c>
    </row>
    <row r="1280" spans="3:5" hidden="1" outlineLevel="4" x14ac:dyDescent="0.3">
      <c r="E1280" t="s">
        <v>1259</v>
      </c>
    </row>
    <row r="1281" spans="1:5" hidden="1" outlineLevel="4" x14ac:dyDescent="0.3">
      <c r="E1281" t="s">
        <v>1260</v>
      </c>
    </row>
    <row r="1282" spans="1:5" hidden="1" outlineLevel="4" x14ac:dyDescent="0.3">
      <c r="E1282" t="s">
        <v>1261</v>
      </c>
    </row>
    <row r="1283" spans="1:5" hidden="1" outlineLevel="3" x14ac:dyDescent="0.3">
      <c r="D1283" t="s">
        <v>1262</v>
      </c>
    </row>
    <row r="1284" spans="1:5" hidden="1" outlineLevel="4" x14ac:dyDescent="0.3">
      <c r="E1284" t="s">
        <v>1263</v>
      </c>
    </row>
    <row r="1285" spans="1:5" hidden="1" outlineLevel="4" x14ac:dyDescent="0.3">
      <c r="E1285" t="s">
        <v>1264</v>
      </c>
    </row>
    <row r="1286" spans="1:5" hidden="1" outlineLevel="4" x14ac:dyDescent="0.3">
      <c r="E1286" t="s">
        <v>1265</v>
      </c>
    </row>
    <row r="1287" spans="1:5" hidden="1" outlineLevel="4" x14ac:dyDescent="0.3">
      <c r="E1287" t="s">
        <v>1266</v>
      </c>
    </row>
    <row r="1288" spans="1:5" hidden="1" outlineLevel="4" x14ac:dyDescent="0.3">
      <c r="E1288" t="s">
        <v>1267</v>
      </c>
    </row>
    <row r="1289" spans="1:5" hidden="1" outlineLevel="4" x14ac:dyDescent="0.3">
      <c r="E1289" t="s">
        <v>1268</v>
      </c>
    </row>
    <row r="1290" spans="1:5" hidden="1" outlineLevel="3" x14ac:dyDescent="0.3">
      <c r="D1290" t="s">
        <v>1269</v>
      </c>
    </row>
    <row r="1291" spans="1:5" x14ac:dyDescent="0.3">
      <c r="A1291" t="s">
        <v>1270</v>
      </c>
    </row>
    <row r="1297" spans="1:2" x14ac:dyDescent="0.3">
      <c r="A1297" t="s">
        <v>1271</v>
      </c>
    </row>
    <row r="1298" spans="1:2" x14ac:dyDescent="0.3">
      <c r="A1298" t="s">
        <v>1272</v>
      </c>
    </row>
    <row r="1299" spans="1:2" x14ac:dyDescent="0.3">
      <c r="A1299" t="s">
        <v>1273</v>
      </c>
    </row>
    <row r="1300" spans="1:2" x14ac:dyDescent="0.3">
      <c r="A1300" t="s">
        <v>1274</v>
      </c>
    </row>
    <row r="1301" spans="1:2" outlineLevel="1" x14ac:dyDescent="0.3">
      <c r="B1301" t="s">
        <v>1275</v>
      </c>
    </row>
    <row r="1302" spans="1:2" outlineLevel="1" x14ac:dyDescent="0.3">
      <c r="B1302" t="s">
        <v>1276</v>
      </c>
    </row>
    <row r="1303" spans="1:2" outlineLevel="1" x14ac:dyDescent="0.3">
      <c r="B1303" t="s">
        <v>1277</v>
      </c>
    </row>
    <row r="1304" spans="1:2" outlineLevel="1" x14ac:dyDescent="0.3">
      <c r="B1304" t="s">
        <v>1278</v>
      </c>
    </row>
    <row r="1305" spans="1:2" outlineLevel="1" x14ac:dyDescent="0.3">
      <c r="B1305" t="s">
        <v>1279</v>
      </c>
    </row>
    <row r="1306" spans="1:2" outlineLevel="1" x14ac:dyDescent="0.3">
      <c r="B1306" t="s">
        <v>1280</v>
      </c>
    </row>
    <row r="1307" spans="1:2" outlineLevel="1" x14ac:dyDescent="0.3">
      <c r="B1307" t="s">
        <v>1281</v>
      </c>
    </row>
    <row r="1308" spans="1:2" outlineLevel="1" x14ac:dyDescent="0.3">
      <c r="B1308" t="s">
        <v>1282</v>
      </c>
    </row>
    <row r="1309" spans="1:2" outlineLevel="1" x14ac:dyDescent="0.3">
      <c r="B1309" t="s">
        <v>1283</v>
      </c>
    </row>
    <row r="1310" spans="1:2" outlineLevel="1" x14ac:dyDescent="0.3">
      <c r="B1310" t="s">
        <v>1284</v>
      </c>
    </row>
    <row r="1311" spans="1:2" outlineLevel="1" x14ac:dyDescent="0.3">
      <c r="B1311" t="s">
        <v>1285</v>
      </c>
    </row>
    <row r="1312" spans="1:2" outlineLevel="1" x14ac:dyDescent="0.3">
      <c r="B1312" t="s">
        <v>1286</v>
      </c>
    </row>
    <row r="1313" spans="2:3" outlineLevel="1" x14ac:dyDescent="0.3">
      <c r="B1313" t="s">
        <v>1287</v>
      </c>
    </row>
    <row r="1314" spans="2:3" outlineLevel="1" x14ac:dyDescent="0.3">
      <c r="B1314" t="s">
        <v>1288</v>
      </c>
    </row>
    <row r="1315" spans="2:3" outlineLevel="1" x14ac:dyDescent="0.3">
      <c r="B1315" t="s">
        <v>1289</v>
      </c>
    </row>
    <row r="1316" spans="2:3" outlineLevel="1" x14ac:dyDescent="0.3">
      <c r="B1316" t="s">
        <v>1290</v>
      </c>
    </row>
    <row r="1317" spans="2:3" outlineLevel="1" x14ac:dyDescent="0.3">
      <c r="B1317" t="s">
        <v>1291</v>
      </c>
    </row>
    <row r="1318" spans="2:3" outlineLevel="1" x14ac:dyDescent="0.3">
      <c r="B1318" t="s">
        <v>1292</v>
      </c>
    </row>
    <row r="1319" spans="2:3" outlineLevel="1" x14ac:dyDescent="0.3">
      <c r="B1319" t="s">
        <v>1293</v>
      </c>
    </row>
    <row r="1320" spans="2:3" outlineLevel="1" x14ac:dyDescent="0.3">
      <c r="B1320" t="s">
        <v>1294</v>
      </c>
    </row>
    <row r="1321" spans="2:3" outlineLevel="1" x14ac:dyDescent="0.3">
      <c r="B1321" t="s">
        <v>1295</v>
      </c>
    </row>
    <row r="1322" spans="2:3" outlineLevel="1" x14ac:dyDescent="0.3">
      <c r="B1322" t="s">
        <v>1296</v>
      </c>
    </row>
    <row r="1323" spans="2:3" hidden="1" outlineLevel="2" x14ac:dyDescent="0.3">
      <c r="C1323" t="s">
        <v>1297</v>
      </c>
    </row>
    <row r="1324" spans="2:3" hidden="1" outlineLevel="2" x14ac:dyDescent="0.3">
      <c r="C1324" t="s">
        <v>1298</v>
      </c>
    </row>
    <row r="1325" spans="2:3" hidden="1" outlineLevel="2" x14ac:dyDescent="0.3">
      <c r="C1325" t="s">
        <v>1299</v>
      </c>
    </row>
    <row r="1326" spans="2:3" hidden="1" outlineLevel="2" x14ac:dyDescent="0.3">
      <c r="C1326" t="s">
        <v>1300</v>
      </c>
    </row>
    <row r="1327" spans="2:3" hidden="1" outlineLevel="2" x14ac:dyDescent="0.3">
      <c r="C1327" t="s">
        <v>1301</v>
      </c>
    </row>
    <row r="1328" spans="2:3" hidden="1" outlineLevel="2" x14ac:dyDescent="0.3">
      <c r="C1328" t="s">
        <v>1302</v>
      </c>
    </row>
    <row r="1329" spans="1:3" x14ac:dyDescent="0.3">
      <c r="A1329" t="s">
        <v>1303</v>
      </c>
    </row>
    <row r="1330" spans="1:3" x14ac:dyDescent="0.3">
      <c r="A1330" t="s">
        <v>1304</v>
      </c>
    </row>
    <row r="1331" spans="1:3" outlineLevel="1" x14ac:dyDescent="0.3">
      <c r="B1331" t="s">
        <v>1305</v>
      </c>
    </row>
    <row r="1332" spans="1:3" hidden="1" outlineLevel="2" x14ac:dyDescent="0.3">
      <c r="C1332" t="s">
        <v>1306</v>
      </c>
    </row>
    <row r="1333" spans="1:3" hidden="1" outlineLevel="2" x14ac:dyDescent="0.3">
      <c r="C1333" t="s">
        <v>1307</v>
      </c>
    </row>
    <row r="1334" spans="1:3" hidden="1" outlineLevel="2" x14ac:dyDescent="0.3">
      <c r="C1334" t="s">
        <v>1308</v>
      </c>
    </row>
    <row r="1335" spans="1:3" hidden="1" outlineLevel="2" x14ac:dyDescent="0.3">
      <c r="C1335" t="s">
        <v>1309</v>
      </c>
    </row>
    <row r="1336" spans="1:3" hidden="1" outlineLevel="2" x14ac:dyDescent="0.3">
      <c r="C1336" t="s">
        <v>1310</v>
      </c>
    </row>
    <row r="1337" spans="1:3" hidden="1" outlineLevel="2" x14ac:dyDescent="0.3">
      <c r="C1337" t="s">
        <v>1311</v>
      </c>
    </row>
    <row r="1338" spans="1:3" hidden="1" outlineLevel="2" x14ac:dyDescent="0.3">
      <c r="C1338" t="s">
        <v>1312</v>
      </c>
    </row>
    <row r="1339" spans="1:3" outlineLevel="1" collapsed="1" x14ac:dyDescent="0.3">
      <c r="B1339" t="s">
        <v>1313</v>
      </c>
    </row>
    <row r="1340" spans="1:3" hidden="1" outlineLevel="2" x14ac:dyDescent="0.3">
      <c r="C1340" t="s">
        <v>1314</v>
      </c>
    </row>
    <row r="1341" spans="1:3" hidden="1" outlineLevel="2" x14ac:dyDescent="0.3">
      <c r="C1341" t="s">
        <v>1315</v>
      </c>
    </row>
    <row r="1342" spans="1:3" hidden="1" outlineLevel="2" x14ac:dyDescent="0.3">
      <c r="C1342" t="s">
        <v>1316</v>
      </c>
    </row>
    <row r="1343" spans="1:3" hidden="1" outlineLevel="2" x14ac:dyDescent="0.3">
      <c r="C1343" t="s">
        <v>1317</v>
      </c>
    </row>
    <row r="1344" spans="1:3" hidden="1" outlineLevel="2" x14ac:dyDescent="0.3">
      <c r="C1344" t="s">
        <v>1318</v>
      </c>
    </row>
    <row r="1345" spans="2:3" hidden="1" outlineLevel="2" x14ac:dyDescent="0.3">
      <c r="C1345" t="s">
        <v>1319</v>
      </c>
    </row>
    <row r="1346" spans="2:3" hidden="1" outlineLevel="2" x14ac:dyDescent="0.3">
      <c r="C1346" t="s">
        <v>1320</v>
      </c>
    </row>
    <row r="1347" spans="2:3" outlineLevel="1" collapsed="1" x14ac:dyDescent="0.3">
      <c r="B1347" t="s">
        <v>1321</v>
      </c>
    </row>
    <row r="1348" spans="2:3" hidden="1" outlineLevel="2" x14ac:dyDescent="0.3">
      <c r="C1348" t="s">
        <v>1322</v>
      </c>
    </row>
    <row r="1349" spans="2:3" hidden="1" outlineLevel="2" x14ac:dyDescent="0.3">
      <c r="C1349" t="s">
        <v>1323</v>
      </c>
    </row>
    <row r="1350" spans="2:3" hidden="1" outlineLevel="2" x14ac:dyDescent="0.3">
      <c r="C1350" t="s">
        <v>1324</v>
      </c>
    </row>
    <row r="1351" spans="2:3" hidden="1" outlineLevel="2" x14ac:dyDescent="0.3">
      <c r="C1351" t="s">
        <v>1325</v>
      </c>
    </row>
    <row r="1352" spans="2:3" hidden="1" outlineLevel="2" x14ac:dyDescent="0.3">
      <c r="C1352" t="s">
        <v>1326</v>
      </c>
    </row>
    <row r="1353" spans="2:3" hidden="1" outlineLevel="2" x14ac:dyDescent="0.3">
      <c r="C1353" t="s">
        <v>1327</v>
      </c>
    </row>
    <row r="1354" spans="2:3" hidden="1" outlineLevel="2" x14ac:dyDescent="0.3">
      <c r="C1354" t="s">
        <v>1328</v>
      </c>
    </row>
    <row r="1355" spans="2:3" outlineLevel="1" collapsed="1" x14ac:dyDescent="0.3">
      <c r="B1355" t="s">
        <v>1329</v>
      </c>
    </row>
    <row r="1356" spans="2:3" outlineLevel="1" x14ac:dyDescent="0.3">
      <c r="B1356" t="s">
        <v>1330</v>
      </c>
    </row>
    <row r="1357" spans="2:3" outlineLevel="1" x14ac:dyDescent="0.3">
      <c r="B1357" t="s">
        <v>1331</v>
      </c>
    </row>
    <row r="1358" spans="2:3" outlineLevel="1" x14ac:dyDescent="0.3">
      <c r="B1358" t="s">
        <v>1332</v>
      </c>
    </row>
    <row r="1359" spans="2:3" outlineLevel="1" x14ac:dyDescent="0.3">
      <c r="B1359" t="s">
        <v>1333</v>
      </c>
    </row>
    <row r="1360" spans="2:3" outlineLevel="1" x14ac:dyDescent="0.3">
      <c r="B1360" t="s">
        <v>1334</v>
      </c>
    </row>
    <row r="1361" spans="1:3" outlineLevel="1" x14ac:dyDescent="0.3">
      <c r="B1361" t="s">
        <v>1335</v>
      </c>
    </row>
    <row r="1362" spans="1:3" outlineLevel="1" x14ac:dyDescent="0.3">
      <c r="B1362" t="s">
        <v>1336</v>
      </c>
    </row>
    <row r="1363" spans="1:3" outlineLevel="1" x14ac:dyDescent="0.3">
      <c r="B1363" t="s">
        <v>1337</v>
      </c>
    </row>
    <row r="1364" spans="1:3" outlineLevel="1" x14ac:dyDescent="0.3">
      <c r="B1364" t="s">
        <v>1338</v>
      </c>
    </row>
    <row r="1365" spans="1:3" outlineLevel="1" x14ac:dyDescent="0.3">
      <c r="B1365" t="s">
        <v>1339</v>
      </c>
    </row>
    <row r="1366" spans="1:3" outlineLevel="1" x14ac:dyDescent="0.3">
      <c r="B1366" t="s">
        <v>1340</v>
      </c>
    </row>
    <row r="1367" spans="1:3" outlineLevel="1" x14ac:dyDescent="0.3">
      <c r="B1367" t="s">
        <v>1341</v>
      </c>
    </row>
    <row r="1368" spans="1:3" outlineLevel="1" x14ac:dyDescent="0.3">
      <c r="B1368" t="s">
        <v>1342</v>
      </c>
    </row>
    <row r="1369" spans="1:3" hidden="1" outlineLevel="2" x14ac:dyDescent="0.3">
      <c r="C1369" t="s">
        <v>1343</v>
      </c>
    </row>
    <row r="1370" spans="1:3" hidden="1" outlineLevel="2" x14ac:dyDescent="0.3">
      <c r="C1370" t="s">
        <v>1344</v>
      </c>
    </row>
    <row r="1371" spans="1:3" hidden="1" outlineLevel="2" x14ac:dyDescent="0.3">
      <c r="C1371" t="s">
        <v>1345</v>
      </c>
    </row>
    <row r="1372" spans="1:3" hidden="1" outlineLevel="2" x14ac:dyDescent="0.3">
      <c r="C1372" t="s">
        <v>1346</v>
      </c>
    </row>
    <row r="1373" spans="1:3" hidden="1" outlineLevel="2" x14ac:dyDescent="0.3">
      <c r="C1373" t="s">
        <v>1347</v>
      </c>
    </row>
    <row r="1374" spans="1:3" hidden="1" outlineLevel="2" x14ac:dyDescent="0.3">
      <c r="C1374" t="s">
        <v>1348</v>
      </c>
    </row>
    <row r="1375" spans="1:3" x14ac:dyDescent="0.3">
      <c r="A1375" t="s">
        <v>1349</v>
      </c>
    </row>
    <row r="1376" spans="1:3" x14ac:dyDescent="0.3">
      <c r="A1376" t="s">
        <v>1350</v>
      </c>
    </row>
    <row r="1377" spans="1:3" x14ac:dyDescent="0.3">
      <c r="A1377" t="s">
        <v>1351</v>
      </c>
    </row>
    <row r="1378" spans="1:3" outlineLevel="1" x14ac:dyDescent="0.3">
      <c r="B1378" t="s">
        <v>1352</v>
      </c>
    </row>
    <row r="1379" spans="1:3" outlineLevel="1" x14ac:dyDescent="0.3">
      <c r="B1379" t="s">
        <v>1353</v>
      </c>
    </row>
    <row r="1380" spans="1:3" outlineLevel="1" x14ac:dyDescent="0.3">
      <c r="B1380" t="s">
        <v>1354</v>
      </c>
    </row>
    <row r="1381" spans="1:3" hidden="1" outlineLevel="2" x14ac:dyDescent="0.3">
      <c r="C1381" t="s">
        <v>1355</v>
      </c>
    </row>
    <row r="1382" spans="1:3" hidden="1" outlineLevel="2" x14ac:dyDescent="0.3">
      <c r="C1382" t="s">
        <v>1356</v>
      </c>
    </row>
    <row r="1383" spans="1:3" hidden="1" outlineLevel="2" x14ac:dyDescent="0.3">
      <c r="C1383" t="s">
        <v>1357</v>
      </c>
    </row>
    <row r="1384" spans="1:3" outlineLevel="1" collapsed="1" x14ac:dyDescent="0.3">
      <c r="B1384" t="s">
        <v>1358</v>
      </c>
    </row>
    <row r="1385" spans="1:3" outlineLevel="1" x14ac:dyDescent="0.3">
      <c r="B1385" t="s">
        <v>1359</v>
      </c>
    </row>
    <row r="1386" spans="1:3" outlineLevel="1" x14ac:dyDescent="0.3">
      <c r="B1386" t="s">
        <v>1360</v>
      </c>
    </row>
    <row r="1387" spans="1:3" outlineLevel="1" x14ac:dyDescent="0.3">
      <c r="B1387" t="s">
        <v>1361</v>
      </c>
    </row>
    <row r="1388" spans="1:3" outlineLevel="1" x14ac:dyDescent="0.3">
      <c r="B1388" t="s">
        <v>1362</v>
      </c>
    </row>
    <row r="1389" spans="1:3" outlineLevel="1" x14ac:dyDescent="0.3">
      <c r="B1389" t="s">
        <v>1363</v>
      </c>
    </row>
    <row r="1390" spans="1:3" outlineLevel="1" x14ac:dyDescent="0.3">
      <c r="B1390" t="s">
        <v>1364</v>
      </c>
    </row>
    <row r="1391" spans="1:3" hidden="1" outlineLevel="2" x14ac:dyDescent="0.3">
      <c r="C1391" t="s">
        <v>1365</v>
      </c>
    </row>
    <row r="1392" spans="1:3" hidden="1" outlineLevel="2" x14ac:dyDescent="0.3">
      <c r="C1392" t="s">
        <v>1366</v>
      </c>
    </row>
    <row r="1393" spans="2:3" hidden="1" outlineLevel="2" x14ac:dyDescent="0.3">
      <c r="C1393" t="s">
        <v>1367</v>
      </c>
    </row>
    <row r="1394" spans="2:3" hidden="1" outlineLevel="2" x14ac:dyDescent="0.3">
      <c r="C1394" t="s">
        <v>1368</v>
      </c>
    </row>
    <row r="1395" spans="2:3" hidden="1" outlineLevel="2" x14ac:dyDescent="0.3">
      <c r="C1395" t="s">
        <v>1369</v>
      </c>
    </row>
    <row r="1396" spans="2:3" outlineLevel="1" collapsed="1" x14ac:dyDescent="0.3">
      <c r="B1396" t="s">
        <v>1370</v>
      </c>
    </row>
    <row r="1397" spans="2:3" outlineLevel="1" x14ac:dyDescent="0.3">
      <c r="B1397" t="s">
        <v>1371</v>
      </c>
    </row>
    <row r="1398" spans="2:3" outlineLevel="1" x14ac:dyDescent="0.3">
      <c r="B1398" t="s">
        <v>1372</v>
      </c>
    </row>
    <row r="1399" spans="2:3" outlineLevel="1" x14ac:dyDescent="0.3">
      <c r="B1399" t="s">
        <v>1373</v>
      </c>
    </row>
    <row r="1400" spans="2:3" outlineLevel="1" x14ac:dyDescent="0.3">
      <c r="B1400" t="s">
        <v>1374</v>
      </c>
    </row>
    <row r="1401" spans="2:3" hidden="1" outlineLevel="2" x14ac:dyDescent="0.3">
      <c r="C1401" t="s">
        <v>1375</v>
      </c>
    </row>
    <row r="1402" spans="2:3" hidden="1" outlineLevel="2" x14ac:dyDescent="0.3">
      <c r="C1402" t="s">
        <v>1376</v>
      </c>
    </row>
    <row r="1403" spans="2:3" hidden="1" outlineLevel="2" x14ac:dyDescent="0.3">
      <c r="C1403" t="s">
        <v>1377</v>
      </c>
    </row>
    <row r="1404" spans="2:3" outlineLevel="1" collapsed="1" x14ac:dyDescent="0.3">
      <c r="B1404" t="s">
        <v>1378</v>
      </c>
    </row>
    <row r="1405" spans="2:3" hidden="1" outlineLevel="2" x14ac:dyDescent="0.3">
      <c r="C1405" t="s">
        <v>1379</v>
      </c>
    </row>
    <row r="1406" spans="2:3" hidden="1" outlineLevel="2" x14ac:dyDescent="0.3">
      <c r="C1406" t="s">
        <v>1380</v>
      </c>
    </row>
    <row r="1407" spans="2:3" hidden="1" outlineLevel="2" x14ac:dyDescent="0.3">
      <c r="C1407" t="s">
        <v>1381</v>
      </c>
    </row>
    <row r="1408" spans="2:3" hidden="1" outlineLevel="2" x14ac:dyDescent="0.3">
      <c r="C1408" t="s">
        <v>1382</v>
      </c>
    </row>
    <row r="1409" spans="1:3" hidden="1" outlineLevel="2" x14ac:dyDescent="0.3">
      <c r="C1409" t="s">
        <v>1383</v>
      </c>
    </row>
    <row r="1410" spans="1:3" outlineLevel="1" collapsed="1" x14ac:dyDescent="0.3">
      <c r="B1410" t="s">
        <v>1384</v>
      </c>
    </row>
    <row r="1411" spans="1:3" outlineLevel="1" x14ac:dyDescent="0.3">
      <c r="B1411" t="s">
        <v>1385</v>
      </c>
    </row>
    <row r="1412" spans="1:3" outlineLevel="1" x14ac:dyDescent="0.3">
      <c r="B1412" t="s">
        <v>1386</v>
      </c>
    </row>
    <row r="1413" spans="1:3" outlineLevel="1" x14ac:dyDescent="0.3">
      <c r="B1413" t="s">
        <v>1387</v>
      </c>
    </row>
    <row r="1414" spans="1:3" outlineLevel="1" x14ac:dyDescent="0.3">
      <c r="B1414" t="s">
        <v>1388</v>
      </c>
    </row>
    <row r="1415" spans="1:3" outlineLevel="1" x14ac:dyDescent="0.3">
      <c r="B1415" t="s">
        <v>1389</v>
      </c>
    </row>
    <row r="1416" spans="1:3" outlineLevel="1" x14ac:dyDescent="0.3">
      <c r="B1416" t="s">
        <v>1390</v>
      </c>
    </row>
    <row r="1417" spans="1:3" outlineLevel="1" x14ac:dyDescent="0.3">
      <c r="B1417" t="s">
        <v>1391</v>
      </c>
    </row>
    <row r="1418" spans="1:3" outlineLevel="1" x14ac:dyDescent="0.3">
      <c r="B1418" t="s">
        <v>1392</v>
      </c>
    </row>
    <row r="1419" spans="1:3" x14ac:dyDescent="0.3">
      <c r="A1419" t="s">
        <v>1393</v>
      </c>
    </row>
    <row r="1420" spans="1:3" outlineLevel="1" x14ac:dyDescent="0.3">
      <c r="B1420" t="s">
        <v>1394</v>
      </c>
    </row>
    <row r="1421" spans="1:3" outlineLevel="1" x14ac:dyDescent="0.3">
      <c r="B1421" t="s">
        <v>1395</v>
      </c>
    </row>
    <row r="1422" spans="1:3" outlineLevel="1" x14ac:dyDescent="0.3">
      <c r="B1422" t="s">
        <v>1396</v>
      </c>
    </row>
    <row r="1423" spans="1:3" outlineLevel="1" x14ac:dyDescent="0.3">
      <c r="B1423" t="s">
        <v>1397</v>
      </c>
    </row>
    <row r="1424" spans="1:3" outlineLevel="1" x14ac:dyDescent="0.3">
      <c r="B1424" t="s">
        <v>1398</v>
      </c>
    </row>
    <row r="1425" spans="2:2" outlineLevel="1" x14ac:dyDescent="0.3">
      <c r="B1425" t="s">
        <v>1399</v>
      </c>
    </row>
    <row r="1426" spans="2:2" outlineLevel="1" x14ac:dyDescent="0.3">
      <c r="B1426" t="s">
        <v>1400</v>
      </c>
    </row>
    <row r="1427" spans="2:2" outlineLevel="1" x14ac:dyDescent="0.3">
      <c r="B1427" t="s">
        <v>1401</v>
      </c>
    </row>
    <row r="1428" spans="2:2" outlineLevel="1" x14ac:dyDescent="0.3">
      <c r="B1428" t="s">
        <v>1402</v>
      </c>
    </row>
    <row r="1429" spans="2:2" outlineLevel="1" x14ac:dyDescent="0.3">
      <c r="B1429" t="s">
        <v>1403</v>
      </c>
    </row>
    <row r="1430" spans="2:2" outlineLevel="1" x14ac:dyDescent="0.3">
      <c r="B1430" t="s">
        <v>1404</v>
      </c>
    </row>
    <row r="1431" spans="2:2" outlineLevel="1" x14ac:dyDescent="0.3">
      <c r="B1431" t="s">
        <v>1405</v>
      </c>
    </row>
    <row r="1432" spans="2:2" outlineLevel="1" x14ac:dyDescent="0.3">
      <c r="B1432" t="s">
        <v>1406</v>
      </c>
    </row>
    <row r="1433" spans="2:2" outlineLevel="1" x14ac:dyDescent="0.3">
      <c r="B1433" t="s">
        <v>1407</v>
      </c>
    </row>
    <row r="1434" spans="2:2" outlineLevel="1" x14ac:dyDescent="0.3">
      <c r="B1434" t="s">
        <v>1408</v>
      </c>
    </row>
    <row r="1435" spans="2:2" outlineLevel="1" x14ac:dyDescent="0.3">
      <c r="B1435" t="s">
        <v>1409</v>
      </c>
    </row>
    <row r="1436" spans="2:2" outlineLevel="1" x14ac:dyDescent="0.3">
      <c r="B1436" t="s">
        <v>1410</v>
      </c>
    </row>
    <row r="1437" spans="2:2" outlineLevel="1" x14ac:dyDescent="0.3">
      <c r="B1437" t="s">
        <v>1411</v>
      </c>
    </row>
    <row r="1438" spans="2:2" outlineLevel="1" x14ac:dyDescent="0.3">
      <c r="B1438" t="s">
        <v>1412</v>
      </c>
    </row>
    <row r="1439" spans="2:2" outlineLevel="1" x14ac:dyDescent="0.3">
      <c r="B1439" t="s">
        <v>1413</v>
      </c>
    </row>
    <row r="1440" spans="2:2" outlineLevel="1" x14ac:dyDescent="0.3">
      <c r="B1440" t="s">
        <v>1414</v>
      </c>
    </row>
    <row r="1441" spans="2:2" outlineLevel="1" x14ac:dyDescent="0.3">
      <c r="B1441" t="s">
        <v>1415</v>
      </c>
    </row>
    <row r="1442" spans="2:2" outlineLevel="1" x14ac:dyDescent="0.3">
      <c r="B1442" t="s">
        <v>1416</v>
      </c>
    </row>
    <row r="1443" spans="2:2" outlineLevel="1" x14ac:dyDescent="0.3">
      <c r="B1443" t="s">
        <v>1417</v>
      </c>
    </row>
    <row r="1444" spans="2:2" outlineLevel="1" x14ac:dyDescent="0.3">
      <c r="B1444" t="s">
        <v>1418</v>
      </c>
    </row>
    <row r="1445" spans="2:2" outlineLevel="1" x14ac:dyDescent="0.3">
      <c r="B1445" t="s">
        <v>1419</v>
      </c>
    </row>
    <row r="1446" spans="2:2" outlineLevel="1" x14ac:dyDescent="0.3">
      <c r="B1446" t="s">
        <v>1420</v>
      </c>
    </row>
    <row r="1447" spans="2:2" outlineLevel="1" x14ac:dyDescent="0.3">
      <c r="B1447" t="s">
        <v>1421</v>
      </c>
    </row>
    <row r="1448" spans="2:2" outlineLevel="1" x14ac:dyDescent="0.3">
      <c r="B1448" t="s">
        <v>1422</v>
      </c>
    </row>
    <row r="1449" spans="2:2" outlineLevel="1" x14ac:dyDescent="0.3">
      <c r="B1449" t="s">
        <v>1423</v>
      </c>
    </row>
    <row r="1450" spans="2:2" outlineLevel="1" x14ac:dyDescent="0.3">
      <c r="B1450" t="s">
        <v>1424</v>
      </c>
    </row>
    <row r="1451" spans="2:2" outlineLevel="1" x14ac:dyDescent="0.3">
      <c r="B1451" t="s">
        <v>1425</v>
      </c>
    </row>
    <row r="1452" spans="2:2" outlineLevel="1" x14ac:dyDescent="0.3">
      <c r="B1452" t="s">
        <v>1426</v>
      </c>
    </row>
    <row r="1453" spans="2:2" outlineLevel="1" x14ac:dyDescent="0.3">
      <c r="B1453" t="s">
        <v>1427</v>
      </c>
    </row>
    <row r="1454" spans="2:2" outlineLevel="1" x14ac:dyDescent="0.3">
      <c r="B1454" t="s">
        <v>1428</v>
      </c>
    </row>
    <row r="1455" spans="2:2" outlineLevel="1" x14ac:dyDescent="0.3">
      <c r="B1455" t="s">
        <v>1429</v>
      </c>
    </row>
    <row r="1456" spans="2:2" outlineLevel="1" x14ac:dyDescent="0.3">
      <c r="B1456" t="s">
        <v>1430</v>
      </c>
    </row>
    <row r="1457" spans="2:2" outlineLevel="1" x14ac:dyDescent="0.3">
      <c r="B1457" t="s">
        <v>1431</v>
      </c>
    </row>
    <row r="1458" spans="2:2" outlineLevel="1" x14ac:dyDescent="0.3">
      <c r="B1458" t="s">
        <v>1432</v>
      </c>
    </row>
    <row r="1459" spans="2:2" outlineLevel="1" x14ac:dyDescent="0.3">
      <c r="B1459" t="s">
        <v>1433</v>
      </c>
    </row>
    <row r="1460" spans="2:2" outlineLevel="1" x14ac:dyDescent="0.3">
      <c r="B1460" t="s">
        <v>1434</v>
      </c>
    </row>
    <row r="1461" spans="2:2" outlineLevel="1" x14ac:dyDescent="0.3">
      <c r="B1461" t="s">
        <v>1435</v>
      </c>
    </row>
    <row r="1462" spans="2:2" outlineLevel="1" x14ac:dyDescent="0.3">
      <c r="B1462" t="s">
        <v>1436</v>
      </c>
    </row>
    <row r="1463" spans="2:2" outlineLevel="1" x14ac:dyDescent="0.3">
      <c r="B1463" t="s">
        <v>1437</v>
      </c>
    </row>
    <row r="1464" spans="2:2" outlineLevel="1" x14ac:dyDescent="0.3">
      <c r="B1464" t="s">
        <v>1438</v>
      </c>
    </row>
    <row r="1465" spans="2:2" outlineLevel="1" x14ac:dyDescent="0.3">
      <c r="B1465" t="s">
        <v>1439</v>
      </c>
    </row>
    <row r="1466" spans="2:2" outlineLevel="1" x14ac:dyDescent="0.3">
      <c r="B1466" t="s">
        <v>1440</v>
      </c>
    </row>
    <row r="1467" spans="2:2" outlineLevel="1" x14ac:dyDescent="0.3">
      <c r="B1467" t="s">
        <v>1441</v>
      </c>
    </row>
    <row r="1468" spans="2:2" outlineLevel="1" x14ac:dyDescent="0.3">
      <c r="B1468" t="s">
        <v>1442</v>
      </c>
    </row>
    <row r="1469" spans="2:2" outlineLevel="1" x14ac:dyDescent="0.3">
      <c r="B1469" t="s">
        <v>1443</v>
      </c>
    </row>
    <row r="1470" spans="2:2" outlineLevel="1" x14ac:dyDescent="0.3">
      <c r="B1470" t="s">
        <v>1444</v>
      </c>
    </row>
    <row r="1471" spans="2:2" outlineLevel="1" x14ac:dyDescent="0.3">
      <c r="B1471" t="s">
        <v>1445</v>
      </c>
    </row>
    <row r="1472" spans="2:2" outlineLevel="1" x14ac:dyDescent="0.3">
      <c r="B1472" t="s">
        <v>1446</v>
      </c>
    </row>
    <row r="1473" spans="1:3" outlineLevel="1" x14ac:dyDescent="0.3">
      <c r="B1473" t="s">
        <v>1447</v>
      </c>
    </row>
    <row r="1474" spans="1:3" outlineLevel="1" x14ac:dyDescent="0.3">
      <c r="B1474" t="s">
        <v>1448</v>
      </c>
    </row>
    <row r="1475" spans="1:3" outlineLevel="1" x14ac:dyDescent="0.3">
      <c r="B1475" t="s">
        <v>1449</v>
      </c>
    </row>
    <row r="1476" spans="1:3" outlineLevel="1" x14ac:dyDescent="0.3">
      <c r="B1476" t="s">
        <v>1450</v>
      </c>
    </row>
    <row r="1477" spans="1:3" outlineLevel="1" x14ac:dyDescent="0.3">
      <c r="B1477" t="s">
        <v>1451</v>
      </c>
    </row>
    <row r="1478" spans="1:3" outlineLevel="1" x14ac:dyDescent="0.3">
      <c r="B1478" t="s">
        <v>1452</v>
      </c>
    </row>
    <row r="1479" spans="1:3" outlineLevel="1" x14ac:dyDescent="0.3">
      <c r="B1479" t="s">
        <v>1453</v>
      </c>
    </row>
    <row r="1480" spans="1:3" outlineLevel="1" x14ac:dyDescent="0.3">
      <c r="B1480" t="s">
        <v>1454</v>
      </c>
    </row>
    <row r="1481" spans="1:3" outlineLevel="1" x14ac:dyDescent="0.3">
      <c r="B1481" t="s">
        <v>1455</v>
      </c>
    </row>
    <row r="1482" spans="1:3" x14ac:dyDescent="0.3">
      <c r="A1482" t="s">
        <v>1456</v>
      </c>
    </row>
    <row r="1483" spans="1:3" outlineLevel="1" x14ac:dyDescent="0.3">
      <c r="B1483" t="s">
        <v>1457</v>
      </c>
    </row>
    <row r="1484" spans="1:3" outlineLevel="1" x14ac:dyDescent="0.3">
      <c r="B1484" t="s">
        <v>1458</v>
      </c>
    </row>
    <row r="1485" spans="1:3" hidden="1" outlineLevel="2" x14ac:dyDescent="0.3">
      <c r="C1485" t="s">
        <v>1459</v>
      </c>
    </row>
    <row r="1486" spans="1:3" hidden="1" outlineLevel="2" x14ac:dyDescent="0.3">
      <c r="C1486" t="s">
        <v>1460</v>
      </c>
    </row>
    <row r="1487" spans="1:3" hidden="1" outlineLevel="2" x14ac:dyDescent="0.3">
      <c r="C1487" t="s">
        <v>1461</v>
      </c>
    </row>
    <row r="1488" spans="1:3" outlineLevel="1" collapsed="1" x14ac:dyDescent="0.3">
      <c r="B1488" t="s">
        <v>1462</v>
      </c>
    </row>
    <row r="1489" spans="2:3" outlineLevel="1" x14ac:dyDescent="0.3">
      <c r="B1489" t="s">
        <v>1463</v>
      </c>
    </row>
    <row r="1490" spans="2:3" outlineLevel="1" x14ac:dyDescent="0.3">
      <c r="B1490" t="s">
        <v>1464</v>
      </c>
    </row>
    <row r="1491" spans="2:3" outlineLevel="1" x14ac:dyDescent="0.3">
      <c r="B1491" t="s">
        <v>1465</v>
      </c>
    </row>
    <row r="1492" spans="2:3" outlineLevel="1" x14ac:dyDescent="0.3">
      <c r="B1492" t="s">
        <v>1466</v>
      </c>
    </row>
    <row r="1493" spans="2:3" outlineLevel="1" x14ac:dyDescent="0.3">
      <c r="B1493" t="s">
        <v>1467</v>
      </c>
    </row>
    <row r="1494" spans="2:3" hidden="1" outlineLevel="2" x14ac:dyDescent="0.3">
      <c r="C1494" t="s">
        <v>1468</v>
      </c>
    </row>
    <row r="1495" spans="2:3" hidden="1" outlineLevel="2" x14ac:dyDescent="0.3">
      <c r="C1495" t="s">
        <v>1469</v>
      </c>
    </row>
    <row r="1496" spans="2:3" hidden="1" outlineLevel="2" x14ac:dyDescent="0.3">
      <c r="C1496" t="s">
        <v>1470</v>
      </c>
    </row>
    <row r="1497" spans="2:3" hidden="1" outlineLevel="2" x14ac:dyDescent="0.3">
      <c r="C1497" t="s">
        <v>1471</v>
      </c>
    </row>
    <row r="1498" spans="2:3" hidden="1" outlineLevel="2" x14ac:dyDescent="0.3">
      <c r="C1498" t="s">
        <v>1472</v>
      </c>
    </row>
    <row r="1499" spans="2:3" outlineLevel="1" collapsed="1" x14ac:dyDescent="0.3">
      <c r="B1499" t="s">
        <v>1473</v>
      </c>
    </row>
    <row r="1500" spans="2:3" outlineLevel="1" x14ac:dyDescent="0.3">
      <c r="B1500" t="s">
        <v>1474</v>
      </c>
    </row>
    <row r="1501" spans="2:3" outlineLevel="1" x14ac:dyDescent="0.3">
      <c r="B1501" t="s">
        <v>1475</v>
      </c>
    </row>
    <row r="1502" spans="2:3" outlineLevel="1" x14ac:dyDescent="0.3">
      <c r="B1502" t="s">
        <v>1476</v>
      </c>
    </row>
    <row r="1503" spans="2:3" outlineLevel="1" x14ac:dyDescent="0.3">
      <c r="B1503" t="s">
        <v>1477</v>
      </c>
    </row>
    <row r="1504" spans="2:3" hidden="1" outlineLevel="2" x14ac:dyDescent="0.3">
      <c r="C1504" t="s">
        <v>1478</v>
      </c>
    </row>
    <row r="1505" spans="2:3" hidden="1" outlineLevel="2" x14ac:dyDescent="0.3">
      <c r="C1505" t="s">
        <v>1479</v>
      </c>
    </row>
    <row r="1506" spans="2:3" hidden="1" outlineLevel="2" x14ac:dyDescent="0.3">
      <c r="C1506" t="s">
        <v>1480</v>
      </c>
    </row>
    <row r="1507" spans="2:3" outlineLevel="1" collapsed="1" x14ac:dyDescent="0.3">
      <c r="B1507" t="s">
        <v>1481</v>
      </c>
    </row>
    <row r="1508" spans="2:3" hidden="1" outlineLevel="2" x14ac:dyDescent="0.3">
      <c r="C1508" t="s">
        <v>1482</v>
      </c>
    </row>
    <row r="1509" spans="2:3" hidden="1" outlineLevel="2" x14ac:dyDescent="0.3">
      <c r="C1509" t="s">
        <v>1483</v>
      </c>
    </row>
    <row r="1510" spans="2:3" hidden="1" outlineLevel="2" x14ac:dyDescent="0.3">
      <c r="C1510" t="s">
        <v>1484</v>
      </c>
    </row>
    <row r="1511" spans="2:3" hidden="1" outlineLevel="2" x14ac:dyDescent="0.3">
      <c r="C1511" t="s">
        <v>1485</v>
      </c>
    </row>
    <row r="1512" spans="2:3" hidden="1" outlineLevel="2" x14ac:dyDescent="0.3">
      <c r="C1512" t="s">
        <v>1486</v>
      </c>
    </row>
    <row r="1513" spans="2:3" hidden="1" outlineLevel="2" x14ac:dyDescent="0.3">
      <c r="C1513" t="s">
        <v>1487</v>
      </c>
    </row>
    <row r="1514" spans="2:3" hidden="1" outlineLevel="2" x14ac:dyDescent="0.3">
      <c r="C1514" t="s">
        <v>1488</v>
      </c>
    </row>
    <row r="1515" spans="2:3" outlineLevel="1" collapsed="1" x14ac:dyDescent="0.3">
      <c r="B1515" t="s">
        <v>1489</v>
      </c>
    </row>
    <row r="1516" spans="2:3" outlineLevel="1" x14ac:dyDescent="0.3">
      <c r="B1516" t="s">
        <v>1490</v>
      </c>
    </row>
    <row r="1517" spans="2:3" outlineLevel="1" x14ac:dyDescent="0.3">
      <c r="B1517" t="s">
        <v>1491</v>
      </c>
    </row>
    <row r="1518" spans="2:3" outlineLevel="1" x14ac:dyDescent="0.3">
      <c r="B1518" t="s">
        <v>1492</v>
      </c>
    </row>
    <row r="1519" spans="2:3" outlineLevel="1" x14ac:dyDescent="0.3">
      <c r="B1519" t="s">
        <v>1493</v>
      </c>
    </row>
    <row r="1520" spans="2:3" outlineLevel="1" x14ac:dyDescent="0.3">
      <c r="B1520" t="s">
        <v>1494</v>
      </c>
    </row>
    <row r="1521" spans="1:3" outlineLevel="1" x14ac:dyDescent="0.3">
      <c r="B1521" t="s">
        <v>1495</v>
      </c>
    </row>
    <row r="1522" spans="1:3" x14ac:dyDescent="0.3">
      <c r="A1522" t="s">
        <v>1496</v>
      </c>
    </row>
    <row r="1523" spans="1:3" x14ac:dyDescent="0.3">
      <c r="A1523" t="s">
        <v>1497</v>
      </c>
    </row>
    <row r="1524" spans="1:3" x14ac:dyDescent="0.3">
      <c r="A1524" t="s">
        <v>1498</v>
      </c>
    </row>
    <row r="1525" spans="1:3" x14ac:dyDescent="0.3">
      <c r="A1525" t="s">
        <v>1499</v>
      </c>
    </row>
    <row r="1526" spans="1:3" x14ac:dyDescent="0.3">
      <c r="A1526" t="s">
        <v>1500</v>
      </c>
    </row>
    <row r="1527" spans="1:3" outlineLevel="1" x14ac:dyDescent="0.3">
      <c r="B1527" t="s">
        <v>1501</v>
      </c>
    </row>
    <row r="1528" spans="1:3" outlineLevel="1" x14ac:dyDescent="0.3">
      <c r="B1528" t="s">
        <v>1502</v>
      </c>
    </row>
    <row r="1529" spans="1:3" outlineLevel="1" x14ac:dyDescent="0.3">
      <c r="B1529" t="s">
        <v>1503</v>
      </c>
    </row>
    <row r="1530" spans="1:3" hidden="1" outlineLevel="2" x14ac:dyDescent="0.3">
      <c r="C1530" t="s">
        <v>1504</v>
      </c>
    </row>
    <row r="1531" spans="1:3" hidden="1" outlineLevel="2" x14ac:dyDescent="0.3">
      <c r="C1531" t="s">
        <v>1505</v>
      </c>
    </row>
    <row r="1532" spans="1:3" hidden="1" outlineLevel="2" x14ac:dyDescent="0.3">
      <c r="C1532" t="s">
        <v>1506</v>
      </c>
    </row>
    <row r="1533" spans="1:3" outlineLevel="1" collapsed="1" x14ac:dyDescent="0.3">
      <c r="B1533" t="s">
        <v>1507</v>
      </c>
    </row>
    <row r="1534" spans="1:3" outlineLevel="1" x14ac:dyDescent="0.3">
      <c r="B1534" t="s">
        <v>1508</v>
      </c>
    </row>
    <row r="1535" spans="1:3" outlineLevel="1" x14ac:dyDescent="0.3">
      <c r="B1535" t="s">
        <v>1509</v>
      </c>
    </row>
    <row r="1536" spans="1:3" outlineLevel="1" x14ac:dyDescent="0.3">
      <c r="B1536" t="s">
        <v>1510</v>
      </c>
    </row>
    <row r="1537" spans="2:3" outlineLevel="1" x14ac:dyDescent="0.3">
      <c r="B1537" t="s">
        <v>1511</v>
      </c>
    </row>
    <row r="1538" spans="2:3" outlineLevel="1" x14ac:dyDescent="0.3">
      <c r="B1538" t="s">
        <v>1512</v>
      </c>
    </row>
    <row r="1539" spans="2:3" hidden="1" outlineLevel="2" x14ac:dyDescent="0.3">
      <c r="C1539" t="s">
        <v>1513</v>
      </c>
    </row>
    <row r="1540" spans="2:3" hidden="1" outlineLevel="2" x14ac:dyDescent="0.3">
      <c r="C1540" t="s">
        <v>1514</v>
      </c>
    </row>
    <row r="1541" spans="2:3" hidden="1" outlineLevel="2" x14ac:dyDescent="0.3">
      <c r="C1541" t="s">
        <v>1515</v>
      </c>
    </row>
    <row r="1542" spans="2:3" hidden="1" outlineLevel="2" x14ac:dyDescent="0.3">
      <c r="C1542" t="s">
        <v>1516</v>
      </c>
    </row>
    <row r="1543" spans="2:3" hidden="1" outlineLevel="2" x14ac:dyDescent="0.3">
      <c r="C1543" t="s">
        <v>1517</v>
      </c>
    </row>
    <row r="1544" spans="2:3" hidden="1" outlineLevel="2" x14ac:dyDescent="0.3">
      <c r="C1544" t="s">
        <v>1518</v>
      </c>
    </row>
    <row r="1545" spans="2:3" hidden="1" outlineLevel="2" x14ac:dyDescent="0.3">
      <c r="C1545" t="s">
        <v>1519</v>
      </c>
    </row>
    <row r="1546" spans="2:3" hidden="1" outlineLevel="2" x14ac:dyDescent="0.3">
      <c r="C1546" t="s">
        <v>1520</v>
      </c>
    </row>
    <row r="1547" spans="2:3" hidden="1" outlineLevel="2" x14ac:dyDescent="0.3">
      <c r="C1547" t="s">
        <v>1521</v>
      </c>
    </row>
    <row r="1548" spans="2:3" hidden="1" outlineLevel="2" x14ac:dyDescent="0.3">
      <c r="C1548" t="s">
        <v>1522</v>
      </c>
    </row>
    <row r="1549" spans="2:3" outlineLevel="1" collapsed="1" x14ac:dyDescent="0.3">
      <c r="B1549" t="s">
        <v>1523</v>
      </c>
    </row>
    <row r="1550" spans="2:3" outlineLevel="1" x14ac:dyDescent="0.3">
      <c r="B1550" t="s">
        <v>1524</v>
      </c>
    </row>
    <row r="1551" spans="2:3" outlineLevel="1" x14ac:dyDescent="0.3">
      <c r="B1551" t="s">
        <v>1525</v>
      </c>
    </row>
    <row r="1552" spans="2:3" outlineLevel="1" x14ac:dyDescent="0.3">
      <c r="B1552" t="s">
        <v>1526</v>
      </c>
    </row>
    <row r="1553" spans="2:3" outlineLevel="1" x14ac:dyDescent="0.3">
      <c r="B1553" t="s">
        <v>1527</v>
      </c>
    </row>
    <row r="1554" spans="2:3" hidden="1" outlineLevel="2" x14ac:dyDescent="0.3">
      <c r="C1554" t="s">
        <v>1528</v>
      </c>
    </row>
    <row r="1555" spans="2:3" hidden="1" outlineLevel="2" x14ac:dyDescent="0.3">
      <c r="C1555" t="s">
        <v>1529</v>
      </c>
    </row>
    <row r="1556" spans="2:3" hidden="1" outlineLevel="2" x14ac:dyDescent="0.3">
      <c r="C1556" t="s">
        <v>1530</v>
      </c>
    </row>
    <row r="1557" spans="2:3" outlineLevel="1" collapsed="1" x14ac:dyDescent="0.3">
      <c r="B1557" t="s">
        <v>1531</v>
      </c>
    </row>
    <row r="1558" spans="2:3" hidden="1" outlineLevel="2" x14ac:dyDescent="0.3">
      <c r="C1558" t="s">
        <v>1532</v>
      </c>
    </row>
    <row r="1559" spans="2:3" hidden="1" outlineLevel="2" x14ac:dyDescent="0.3">
      <c r="C1559" t="s">
        <v>1533</v>
      </c>
    </row>
    <row r="1560" spans="2:3" hidden="1" outlineLevel="2" x14ac:dyDescent="0.3">
      <c r="C1560" t="s">
        <v>1534</v>
      </c>
    </row>
    <row r="1561" spans="2:3" hidden="1" outlineLevel="2" x14ac:dyDescent="0.3">
      <c r="C1561" t="s">
        <v>1535</v>
      </c>
    </row>
    <row r="1562" spans="2:3" hidden="1" outlineLevel="2" x14ac:dyDescent="0.3">
      <c r="C1562" t="s">
        <v>1536</v>
      </c>
    </row>
    <row r="1563" spans="2:3" hidden="1" outlineLevel="2" x14ac:dyDescent="0.3">
      <c r="C1563" t="s">
        <v>1537</v>
      </c>
    </row>
    <row r="1564" spans="2:3" outlineLevel="1" collapsed="1" x14ac:dyDescent="0.3">
      <c r="B1564" t="s">
        <v>1538</v>
      </c>
    </row>
    <row r="1565" spans="2:3" outlineLevel="1" x14ac:dyDescent="0.3">
      <c r="B1565" t="s">
        <v>1539</v>
      </c>
    </row>
    <row r="1566" spans="2:3" outlineLevel="1" x14ac:dyDescent="0.3">
      <c r="B1566" t="s">
        <v>1540</v>
      </c>
    </row>
    <row r="1567" spans="2:3" outlineLevel="1" x14ac:dyDescent="0.3">
      <c r="B1567" t="s">
        <v>1541</v>
      </c>
    </row>
    <row r="1568" spans="2:3" outlineLevel="1" x14ac:dyDescent="0.3">
      <c r="B1568" t="s">
        <v>1542</v>
      </c>
    </row>
    <row r="1569" spans="1:3" outlineLevel="1" x14ac:dyDescent="0.3">
      <c r="B1569" t="s">
        <v>1543</v>
      </c>
    </row>
    <row r="1570" spans="1:3" outlineLevel="1" x14ac:dyDescent="0.3">
      <c r="B1570" t="s">
        <v>1544</v>
      </c>
    </row>
    <row r="1571" spans="1:3" outlineLevel="1" x14ac:dyDescent="0.3">
      <c r="B1571" t="s">
        <v>1545</v>
      </c>
    </row>
    <row r="1572" spans="1:3" outlineLevel="1" x14ac:dyDescent="0.3">
      <c r="B1572" t="s">
        <v>1546</v>
      </c>
    </row>
    <row r="1573" spans="1:3" x14ac:dyDescent="0.3">
      <c r="A1573" t="s">
        <v>1547</v>
      </c>
    </row>
    <row r="1574" spans="1:3" outlineLevel="1" x14ac:dyDescent="0.3">
      <c r="B1574" t="s">
        <v>1548</v>
      </c>
    </row>
    <row r="1575" spans="1:3" outlineLevel="1" x14ac:dyDescent="0.3">
      <c r="B1575" t="s">
        <v>1549</v>
      </c>
    </row>
    <row r="1576" spans="1:3" hidden="1" outlineLevel="2" x14ac:dyDescent="0.3">
      <c r="C1576" t="s">
        <v>1550</v>
      </c>
    </row>
    <row r="1577" spans="1:3" hidden="1" outlineLevel="2" x14ac:dyDescent="0.3">
      <c r="C1577" t="s">
        <v>1551</v>
      </c>
    </row>
    <row r="1578" spans="1:3" hidden="1" outlineLevel="2" x14ac:dyDescent="0.3">
      <c r="C1578" t="s">
        <v>1552</v>
      </c>
    </row>
    <row r="1579" spans="1:3" outlineLevel="1" collapsed="1" x14ac:dyDescent="0.3">
      <c r="B1579" t="s">
        <v>1553</v>
      </c>
    </row>
    <row r="1580" spans="1:3" outlineLevel="1" x14ac:dyDescent="0.3">
      <c r="B1580" t="s">
        <v>1554</v>
      </c>
    </row>
    <row r="1581" spans="1:3" outlineLevel="1" x14ac:dyDescent="0.3">
      <c r="B1581" t="s">
        <v>1555</v>
      </c>
    </row>
    <row r="1582" spans="1:3" outlineLevel="1" x14ac:dyDescent="0.3">
      <c r="B1582" t="s">
        <v>1556</v>
      </c>
    </row>
    <row r="1583" spans="1:3" hidden="1" outlineLevel="2" x14ac:dyDescent="0.3">
      <c r="C1583" t="s">
        <v>1557</v>
      </c>
    </row>
    <row r="1584" spans="1:3" hidden="1" outlineLevel="2" x14ac:dyDescent="0.3">
      <c r="C1584" t="s">
        <v>1558</v>
      </c>
    </row>
    <row r="1585" spans="2:3" hidden="1" outlineLevel="2" x14ac:dyDescent="0.3">
      <c r="C1585" t="s">
        <v>1559</v>
      </c>
    </row>
    <row r="1586" spans="2:3" hidden="1" outlineLevel="2" x14ac:dyDescent="0.3">
      <c r="C1586" t="s">
        <v>1560</v>
      </c>
    </row>
    <row r="1587" spans="2:3" hidden="1" outlineLevel="2" x14ac:dyDescent="0.3">
      <c r="C1587" t="s">
        <v>1561</v>
      </c>
    </row>
    <row r="1588" spans="2:3" hidden="1" outlineLevel="2" x14ac:dyDescent="0.3">
      <c r="C1588" t="s">
        <v>1562</v>
      </c>
    </row>
    <row r="1589" spans="2:3" hidden="1" outlineLevel="2" x14ac:dyDescent="0.3">
      <c r="C1589" t="s">
        <v>1563</v>
      </c>
    </row>
    <row r="1590" spans="2:3" hidden="1" outlineLevel="2" x14ac:dyDescent="0.3">
      <c r="C1590" t="s">
        <v>1564</v>
      </c>
    </row>
    <row r="1591" spans="2:3" hidden="1" outlineLevel="2" x14ac:dyDescent="0.3">
      <c r="C1591" t="s">
        <v>1565</v>
      </c>
    </row>
    <row r="1592" spans="2:3" hidden="1" outlineLevel="2" x14ac:dyDescent="0.3">
      <c r="C1592" t="s">
        <v>1566</v>
      </c>
    </row>
    <row r="1593" spans="2:3" hidden="1" outlineLevel="2" x14ac:dyDescent="0.3">
      <c r="C1593" t="s">
        <v>1567</v>
      </c>
    </row>
    <row r="1594" spans="2:3" outlineLevel="1" collapsed="1" x14ac:dyDescent="0.3">
      <c r="B1594" t="s">
        <v>1568</v>
      </c>
    </row>
    <row r="1595" spans="2:3" outlineLevel="1" x14ac:dyDescent="0.3">
      <c r="B1595" t="s">
        <v>1569</v>
      </c>
    </row>
    <row r="1596" spans="2:3" outlineLevel="1" x14ac:dyDescent="0.3">
      <c r="B1596" t="s">
        <v>1570</v>
      </c>
    </row>
    <row r="1597" spans="2:3" outlineLevel="1" x14ac:dyDescent="0.3">
      <c r="B1597" t="s">
        <v>1571</v>
      </c>
    </row>
    <row r="1598" spans="2:3" outlineLevel="1" x14ac:dyDescent="0.3">
      <c r="B1598" t="s">
        <v>1572</v>
      </c>
    </row>
    <row r="1599" spans="2:3" hidden="1" outlineLevel="2" x14ac:dyDescent="0.3">
      <c r="C1599" t="s">
        <v>1573</v>
      </c>
    </row>
    <row r="1600" spans="2:3" hidden="1" outlineLevel="2" x14ac:dyDescent="0.3">
      <c r="C1600" t="s">
        <v>1574</v>
      </c>
    </row>
    <row r="1601" spans="2:3" hidden="1" outlineLevel="2" x14ac:dyDescent="0.3">
      <c r="C1601" t="s">
        <v>1575</v>
      </c>
    </row>
    <row r="1602" spans="2:3" outlineLevel="1" collapsed="1" x14ac:dyDescent="0.3">
      <c r="B1602" t="s">
        <v>1576</v>
      </c>
    </row>
    <row r="1603" spans="2:3" hidden="1" outlineLevel="2" x14ac:dyDescent="0.3">
      <c r="C1603" t="s">
        <v>1577</v>
      </c>
    </row>
    <row r="1604" spans="2:3" hidden="1" outlineLevel="2" x14ac:dyDescent="0.3">
      <c r="C1604" t="s">
        <v>1578</v>
      </c>
    </row>
    <row r="1605" spans="2:3" hidden="1" outlineLevel="2" x14ac:dyDescent="0.3">
      <c r="C1605" t="s">
        <v>1579</v>
      </c>
    </row>
    <row r="1606" spans="2:3" hidden="1" outlineLevel="2" x14ac:dyDescent="0.3">
      <c r="C1606" t="s">
        <v>1580</v>
      </c>
    </row>
    <row r="1607" spans="2:3" hidden="1" outlineLevel="2" x14ac:dyDescent="0.3">
      <c r="C1607" t="s">
        <v>1581</v>
      </c>
    </row>
    <row r="1608" spans="2:3" hidden="1" outlineLevel="2" x14ac:dyDescent="0.3">
      <c r="C1608" t="s">
        <v>1582</v>
      </c>
    </row>
    <row r="1609" spans="2:3" hidden="1" outlineLevel="2" x14ac:dyDescent="0.3">
      <c r="C1609" t="s">
        <v>1583</v>
      </c>
    </row>
    <row r="1610" spans="2:3" outlineLevel="1" collapsed="1" x14ac:dyDescent="0.3">
      <c r="B1610" t="s">
        <v>1584</v>
      </c>
    </row>
    <row r="1611" spans="2:3" outlineLevel="1" x14ac:dyDescent="0.3">
      <c r="B1611" t="s">
        <v>1585</v>
      </c>
    </row>
    <row r="1612" spans="2:3" outlineLevel="1" x14ac:dyDescent="0.3">
      <c r="B1612" t="s">
        <v>1586</v>
      </c>
    </row>
    <row r="1613" spans="2:3" outlineLevel="1" x14ac:dyDescent="0.3">
      <c r="B1613" t="s">
        <v>1587</v>
      </c>
    </row>
    <row r="1614" spans="2:3" outlineLevel="1" x14ac:dyDescent="0.3">
      <c r="B1614" t="s">
        <v>1588</v>
      </c>
    </row>
    <row r="1615" spans="2:3" outlineLevel="1" x14ac:dyDescent="0.3">
      <c r="B1615" t="s">
        <v>1589</v>
      </c>
    </row>
    <row r="1616" spans="2:3" outlineLevel="1" x14ac:dyDescent="0.3">
      <c r="B1616" t="s">
        <v>1590</v>
      </c>
    </row>
    <row r="1617" spans="1:3" x14ac:dyDescent="0.3">
      <c r="A1617" t="s">
        <v>1591</v>
      </c>
    </row>
    <row r="1618" spans="1:3" outlineLevel="1" x14ac:dyDescent="0.3">
      <c r="B1618" t="s">
        <v>1592</v>
      </c>
    </row>
    <row r="1619" spans="1:3" outlineLevel="1" x14ac:dyDescent="0.3">
      <c r="B1619" t="s">
        <v>1593</v>
      </c>
    </row>
    <row r="1620" spans="1:3" outlineLevel="1" x14ac:dyDescent="0.3">
      <c r="B1620" t="s">
        <v>1594</v>
      </c>
    </row>
    <row r="1621" spans="1:3" hidden="1" outlineLevel="2" x14ac:dyDescent="0.3">
      <c r="C1621" t="s">
        <v>1595</v>
      </c>
    </row>
    <row r="1622" spans="1:3" hidden="1" outlineLevel="2" x14ac:dyDescent="0.3">
      <c r="C1622" t="s">
        <v>1596</v>
      </c>
    </row>
    <row r="1623" spans="1:3" hidden="1" outlineLevel="2" x14ac:dyDescent="0.3">
      <c r="C1623" t="s">
        <v>1597</v>
      </c>
    </row>
    <row r="1624" spans="1:3" outlineLevel="1" collapsed="1" x14ac:dyDescent="0.3">
      <c r="B1624" t="s">
        <v>1598</v>
      </c>
    </row>
    <row r="1625" spans="1:3" outlineLevel="1" x14ac:dyDescent="0.3">
      <c r="B1625" t="s">
        <v>1599</v>
      </c>
    </row>
    <row r="1626" spans="1:3" outlineLevel="1" x14ac:dyDescent="0.3">
      <c r="B1626" t="s">
        <v>1600</v>
      </c>
    </row>
    <row r="1627" spans="1:3" hidden="1" outlineLevel="2" x14ac:dyDescent="0.3">
      <c r="C1627" t="s">
        <v>1601</v>
      </c>
    </row>
    <row r="1628" spans="1:3" hidden="1" outlineLevel="2" x14ac:dyDescent="0.3">
      <c r="C1628" t="s">
        <v>1602</v>
      </c>
    </row>
    <row r="1629" spans="1:3" hidden="1" outlineLevel="2" x14ac:dyDescent="0.3">
      <c r="C1629" t="s">
        <v>1603</v>
      </c>
    </row>
    <row r="1630" spans="1:3" hidden="1" outlineLevel="2" x14ac:dyDescent="0.3">
      <c r="C1630" t="s">
        <v>1604</v>
      </c>
    </row>
    <row r="1631" spans="1:3" hidden="1" outlineLevel="2" x14ac:dyDescent="0.3">
      <c r="C1631" t="s">
        <v>1605</v>
      </c>
    </row>
    <row r="1632" spans="1:3" hidden="1" outlineLevel="2" x14ac:dyDescent="0.3">
      <c r="C1632" t="s">
        <v>1606</v>
      </c>
    </row>
    <row r="1633" spans="2:3" hidden="1" outlineLevel="2" x14ac:dyDescent="0.3">
      <c r="C1633" t="s">
        <v>1607</v>
      </c>
    </row>
    <row r="1634" spans="2:3" hidden="1" outlineLevel="2" x14ac:dyDescent="0.3">
      <c r="C1634" t="s">
        <v>1608</v>
      </c>
    </row>
    <row r="1635" spans="2:3" hidden="1" outlineLevel="2" x14ac:dyDescent="0.3">
      <c r="C1635" t="s">
        <v>1609</v>
      </c>
    </row>
    <row r="1636" spans="2:3" outlineLevel="1" collapsed="1" x14ac:dyDescent="0.3">
      <c r="B1636" t="s">
        <v>1610</v>
      </c>
    </row>
    <row r="1637" spans="2:3" outlineLevel="1" x14ac:dyDescent="0.3">
      <c r="B1637" t="s">
        <v>1611</v>
      </c>
    </row>
    <row r="1638" spans="2:3" hidden="1" outlineLevel="2" x14ac:dyDescent="0.3">
      <c r="C1638" t="s">
        <v>1612</v>
      </c>
    </row>
    <row r="1639" spans="2:3" hidden="1" outlineLevel="2" x14ac:dyDescent="0.3">
      <c r="C1639" t="s">
        <v>1613</v>
      </c>
    </row>
    <row r="1640" spans="2:3" hidden="1" outlineLevel="2" x14ac:dyDescent="0.3">
      <c r="C1640" t="s">
        <v>1614</v>
      </c>
    </row>
    <row r="1641" spans="2:3" hidden="1" outlineLevel="2" x14ac:dyDescent="0.3">
      <c r="C1641" t="s">
        <v>1615</v>
      </c>
    </row>
    <row r="1642" spans="2:3" hidden="1" outlineLevel="2" x14ac:dyDescent="0.3">
      <c r="C1642" t="s">
        <v>1616</v>
      </c>
    </row>
    <row r="1643" spans="2:3" hidden="1" outlineLevel="2" x14ac:dyDescent="0.3">
      <c r="C1643" t="s">
        <v>1617</v>
      </c>
    </row>
    <row r="1644" spans="2:3" hidden="1" outlineLevel="2" x14ac:dyDescent="0.3">
      <c r="C1644" t="s">
        <v>1618</v>
      </c>
    </row>
    <row r="1645" spans="2:3" outlineLevel="1" collapsed="1" x14ac:dyDescent="0.3">
      <c r="B1645" t="s">
        <v>1619</v>
      </c>
    </row>
    <row r="1646" spans="2:3" hidden="1" outlineLevel="2" x14ac:dyDescent="0.3">
      <c r="C1646" t="s">
        <v>1620</v>
      </c>
    </row>
    <row r="1647" spans="2:3" hidden="1" outlineLevel="2" x14ac:dyDescent="0.3">
      <c r="C1647" t="s">
        <v>1621</v>
      </c>
    </row>
    <row r="1648" spans="2:3" hidden="1" outlineLevel="2" x14ac:dyDescent="0.3">
      <c r="C1648" t="s">
        <v>1622</v>
      </c>
    </row>
    <row r="1649" spans="1:3" outlineLevel="1" collapsed="1" x14ac:dyDescent="0.3">
      <c r="B1649" t="s">
        <v>1623</v>
      </c>
    </row>
    <row r="1650" spans="1:3" hidden="1" outlineLevel="2" x14ac:dyDescent="0.3">
      <c r="C1650" t="s">
        <v>1624</v>
      </c>
    </row>
    <row r="1651" spans="1:3" hidden="1" outlineLevel="2" x14ac:dyDescent="0.3">
      <c r="C1651" t="s">
        <v>1625</v>
      </c>
    </row>
    <row r="1652" spans="1:3" hidden="1" outlineLevel="2" x14ac:dyDescent="0.3">
      <c r="C1652" t="s">
        <v>1626</v>
      </c>
    </row>
    <row r="1653" spans="1:3" hidden="1" outlineLevel="2" x14ac:dyDescent="0.3">
      <c r="C1653" t="s">
        <v>1627</v>
      </c>
    </row>
    <row r="1654" spans="1:3" hidden="1" outlineLevel="2" x14ac:dyDescent="0.3">
      <c r="C1654" t="s">
        <v>1628</v>
      </c>
    </row>
    <row r="1655" spans="1:3" outlineLevel="1" collapsed="1" x14ac:dyDescent="0.3">
      <c r="B1655" t="s">
        <v>1629</v>
      </c>
    </row>
    <row r="1656" spans="1:3" outlineLevel="1" x14ac:dyDescent="0.3">
      <c r="B1656" t="s">
        <v>1630</v>
      </c>
    </row>
    <row r="1657" spans="1:3" outlineLevel="1" x14ac:dyDescent="0.3">
      <c r="B1657" t="s">
        <v>1631</v>
      </c>
    </row>
    <row r="1658" spans="1:3" outlineLevel="1" x14ac:dyDescent="0.3">
      <c r="B1658" t="s">
        <v>1632</v>
      </c>
    </row>
    <row r="1659" spans="1:3" x14ac:dyDescent="0.3">
      <c r="A1659" t="s">
        <v>1633</v>
      </c>
    </row>
    <row r="1660" spans="1:3" outlineLevel="1" x14ac:dyDescent="0.3">
      <c r="B1660" t="s">
        <v>1634</v>
      </c>
    </row>
    <row r="1661" spans="1:3" outlineLevel="1" x14ac:dyDescent="0.3">
      <c r="B1661" t="s">
        <v>1635</v>
      </c>
    </row>
    <row r="1662" spans="1:3" hidden="1" outlineLevel="2" x14ac:dyDescent="0.3">
      <c r="C1662" t="s">
        <v>1636</v>
      </c>
    </row>
    <row r="1663" spans="1:3" hidden="1" outlineLevel="2" x14ac:dyDescent="0.3">
      <c r="C1663" t="s">
        <v>1637</v>
      </c>
    </row>
    <row r="1664" spans="1:3" hidden="1" outlineLevel="2" x14ac:dyDescent="0.3">
      <c r="C1664" t="s">
        <v>1638</v>
      </c>
    </row>
    <row r="1665" spans="2:3" outlineLevel="1" collapsed="1" x14ac:dyDescent="0.3">
      <c r="B1665" t="s">
        <v>1639</v>
      </c>
    </row>
    <row r="1666" spans="2:3" outlineLevel="1" x14ac:dyDescent="0.3">
      <c r="B1666" t="s">
        <v>1640</v>
      </c>
    </row>
    <row r="1667" spans="2:3" outlineLevel="1" x14ac:dyDescent="0.3">
      <c r="B1667" t="s">
        <v>1641</v>
      </c>
    </row>
    <row r="1668" spans="2:3" hidden="1" outlineLevel="2" x14ac:dyDescent="0.3">
      <c r="C1668" t="s">
        <v>1642</v>
      </c>
    </row>
    <row r="1669" spans="2:3" hidden="1" outlineLevel="2" x14ac:dyDescent="0.3">
      <c r="C1669" t="s">
        <v>1643</v>
      </c>
    </row>
    <row r="1670" spans="2:3" hidden="1" outlineLevel="2" x14ac:dyDescent="0.3">
      <c r="C1670" t="s">
        <v>1644</v>
      </c>
    </row>
    <row r="1671" spans="2:3" hidden="1" outlineLevel="2" x14ac:dyDescent="0.3">
      <c r="C1671" t="s">
        <v>1645</v>
      </c>
    </row>
    <row r="1672" spans="2:3" hidden="1" outlineLevel="2" x14ac:dyDescent="0.3">
      <c r="C1672" t="s">
        <v>1646</v>
      </c>
    </row>
    <row r="1673" spans="2:3" hidden="1" outlineLevel="2" x14ac:dyDescent="0.3">
      <c r="C1673" t="s">
        <v>1647</v>
      </c>
    </row>
    <row r="1674" spans="2:3" hidden="1" outlineLevel="2" x14ac:dyDescent="0.3">
      <c r="C1674" t="s">
        <v>1648</v>
      </c>
    </row>
    <row r="1675" spans="2:3" hidden="1" outlineLevel="2" x14ac:dyDescent="0.3">
      <c r="C1675" t="s">
        <v>1649</v>
      </c>
    </row>
    <row r="1676" spans="2:3" hidden="1" outlineLevel="2" x14ac:dyDescent="0.3">
      <c r="C1676" t="s">
        <v>1650</v>
      </c>
    </row>
    <row r="1677" spans="2:3" outlineLevel="1" collapsed="1" x14ac:dyDescent="0.3">
      <c r="B1677" t="s">
        <v>1651</v>
      </c>
    </row>
    <row r="1678" spans="2:3" outlineLevel="1" x14ac:dyDescent="0.3">
      <c r="B1678" t="s">
        <v>1652</v>
      </c>
    </row>
    <row r="1679" spans="2:3" hidden="1" outlineLevel="2" x14ac:dyDescent="0.3">
      <c r="C1679" t="s">
        <v>1653</v>
      </c>
    </row>
    <row r="1680" spans="2:3" hidden="1" outlineLevel="2" x14ac:dyDescent="0.3">
      <c r="C1680" t="s">
        <v>1654</v>
      </c>
    </row>
    <row r="1681" spans="2:3" hidden="1" outlineLevel="2" x14ac:dyDescent="0.3">
      <c r="C1681" t="s">
        <v>1655</v>
      </c>
    </row>
    <row r="1682" spans="2:3" hidden="1" outlineLevel="2" x14ac:dyDescent="0.3">
      <c r="C1682" t="s">
        <v>1656</v>
      </c>
    </row>
    <row r="1683" spans="2:3" hidden="1" outlineLevel="2" x14ac:dyDescent="0.3">
      <c r="C1683" t="s">
        <v>1657</v>
      </c>
    </row>
    <row r="1684" spans="2:3" hidden="1" outlineLevel="2" x14ac:dyDescent="0.3">
      <c r="C1684" t="s">
        <v>1658</v>
      </c>
    </row>
    <row r="1685" spans="2:3" hidden="1" outlineLevel="2" x14ac:dyDescent="0.3">
      <c r="C1685" t="s">
        <v>1659</v>
      </c>
    </row>
    <row r="1686" spans="2:3" outlineLevel="1" collapsed="1" x14ac:dyDescent="0.3">
      <c r="B1686" t="s">
        <v>1660</v>
      </c>
    </row>
    <row r="1687" spans="2:3" hidden="1" outlineLevel="2" x14ac:dyDescent="0.3">
      <c r="C1687" t="s">
        <v>1661</v>
      </c>
    </row>
    <row r="1688" spans="2:3" hidden="1" outlineLevel="2" x14ac:dyDescent="0.3">
      <c r="C1688" t="s">
        <v>1662</v>
      </c>
    </row>
    <row r="1689" spans="2:3" hidden="1" outlineLevel="2" x14ac:dyDescent="0.3">
      <c r="C1689" t="s">
        <v>1663</v>
      </c>
    </row>
    <row r="1690" spans="2:3" outlineLevel="1" collapsed="1" x14ac:dyDescent="0.3">
      <c r="B1690" t="s">
        <v>1664</v>
      </c>
    </row>
    <row r="1691" spans="2:3" hidden="1" outlineLevel="2" x14ac:dyDescent="0.3">
      <c r="C1691" t="s">
        <v>1665</v>
      </c>
    </row>
    <row r="1692" spans="2:3" hidden="1" outlineLevel="2" x14ac:dyDescent="0.3">
      <c r="C1692" t="s">
        <v>1666</v>
      </c>
    </row>
    <row r="1693" spans="2:3" hidden="1" outlineLevel="2" x14ac:dyDescent="0.3">
      <c r="C1693" t="s">
        <v>1667</v>
      </c>
    </row>
    <row r="1694" spans="2:3" hidden="1" outlineLevel="2" x14ac:dyDescent="0.3">
      <c r="C1694" t="s">
        <v>1668</v>
      </c>
    </row>
    <row r="1695" spans="2:3" hidden="1" outlineLevel="2" x14ac:dyDescent="0.3">
      <c r="C1695" t="s">
        <v>1669</v>
      </c>
    </row>
    <row r="1696" spans="2:3" outlineLevel="1" collapsed="1" x14ac:dyDescent="0.3">
      <c r="B1696" t="s">
        <v>1670</v>
      </c>
    </row>
    <row r="1697" spans="1:3" outlineLevel="1" x14ac:dyDescent="0.3">
      <c r="B1697" t="s">
        <v>1671</v>
      </c>
    </row>
    <row r="1698" spans="1:3" outlineLevel="1" x14ac:dyDescent="0.3">
      <c r="B1698" t="s">
        <v>1672</v>
      </c>
    </row>
    <row r="1699" spans="1:3" outlineLevel="1" x14ac:dyDescent="0.3">
      <c r="B1699" t="s">
        <v>1673</v>
      </c>
    </row>
    <row r="1700" spans="1:3" x14ac:dyDescent="0.3">
      <c r="A1700" t="s">
        <v>1674</v>
      </c>
    </row>
    <row r="1701" spans="1:3" outlineLevel="1" x14ac:dyDescent="0.3">
      <c r="B1701" t="s">
        <v>1675</v>
      </c>
    </row>
    <row r="1702" spans="1:3" hidden="1" outlineLevel="2" x14ac:dyDescent="0.3">
      <c r="C1702" t="s">
        <v>1676</v>
      </c>
    </row>
    <row r="1703" spans="1:3" hidden="1" outlineLevel="2" x14ac:dyDescent="0.3">
      <c r="C1703" t="s">
        <v>1677</v>
      </c>
    </row>
    <row r="1704" spans="1:3" hidden="1" outlineLevel="2" x14ac:dyDescent="0.3">
      <c r="C1704" t="s">
        <v>1678</v>
      </c>
    </row>
    <row r="1705" spans="1:3" hidden="1" outlineLevel="2" x14ac:dyDescent="0.3">
      <c r="C1705" t="s">
        <v>1679</v>
      </c>
    </row>
    <row r="1706" spans="1:3" hidden="1" outlineLevel="2" x14ac:dyDescent="0.3">
      <c r="C1706" t="s">
        <v>1680</v>
      </c>
    </row>
    <row r="1707" spans="1:3" hidden="1" outlineLevel="2" x14ac:dyDescent="0.3">
      <c r="C1707" t="s">
        <v>1681</v>
      </c>
    </row>
    <row r="1708" spans="1:3" hidden="1" outlineLevel="2" x14ac:dyDescent="0.3">
      <c r="C1708" t="s">
        <v>1682</v>
      </c>
    </row>
    <row r="1709" spans="1:3" hidden="1" outlineLevel="2" x14ac:dyDescent="0.3">
      <c r="C1709" t="s">
        <v>1683</v>
      </c>
    </row>
    <row r="1710" spans="1:3" outlineLevel="1" collapsed="1" x14ac:dyDescent="0.3">
      <c r="B1710" t="s">
        <v>1684</v>
      </c>
    </row>
    <row r="1711" spans="1:3" hidden="1" outlineLevel="2" x14ac:dyDescent="0.3">
      <c r="C1711" t="s">
        <v>1685</v>
      </c>
    </row>
    <row r="1712" spans="1:3" hidden="1" outlineLevel="2" x14ac:dyDescent="0.3">
      <c r="C1712" t="s">
        <v>1686</v>
      </c>
    </row>
    <row r="1713" spans="1:3" hidden="1" outlineLevel="2" x14ac:dyDescent="0.3">
      <c r="C1713" t="s">
        <v>1687</v>
      </c>
    </row>
    <row r="1714" spans="1:3" hidden="1" outlineLevel="2" x14ac:dyDescent="0.3">
      <c r="C1714" t="s">
        <v>1688</v>
      </c>
    </row>
    <row r="1715" spans="1:3" hidden="1" outlineLevel="2" x14ac:dyDescent="0.3">
      <c r="C1715" t="s">
        <v>1689</v>
      </c>
    </row>
    <row r="1716" spans="1:3" outlineLevel="1" collapsed="1" x14ac:dyDescent="0.3">
      <c r="B1716" t="s">
        <v>1690</v>
      </c>
    </row>
    <row r="1717" spans="1:3" hidden="1" outlineLevel="2" x14ac:dyDescent="0.3">
      <c r="C1717" t="s">
        <v>1691</v>
      </c>
    </row>
    <row r="1718" spans="1:3" hidden="1" outlineLevel="2" x14ac:dyDescent="0.3">
      <c r="C1718" t="s">
        <v>1692</v>
      </c>
    </row>
    <row r="1719" spans="1:3" hidden="1" outlineLevel="2" x14ac:dyDescent="0.3">
      <c r="C1719" t="s">
        <v>1693</v>
      </c>
    </row>
    <row r="1720" spans="1:3" hidden="1" outlineLevel="2" x14ac:dyDescent="0.3">
      <c r="C1720" t="s">
        <v>1694</v>
      </c>
    </row>
    <row r="1721" spans="1:3" hidden="1" outlineLevel="2" x14ac:dyDescent="0.3">
      <c r="C1721" t="s">
        <v>1695</v>
      </c>
    </row>
    <row r="1722" spans="1:3" outlineLevel="1" collapsed="1" x14ac:dyDescent="0.3">
      <c r="B1722" t="s">
        <v>1696</v>
      </c>
    </row>
    <row r="1723" spans="1:3" x14ac:dyDescent="0.3">
      <c r="A1723" t="s">
        <v>1697</v>
      </c>
    </row>
    <row r="1724" spans="1:3" x14ac:dyDescent="0.3">
      <c r="A1724" t="s">
        <v>1698</v>
      </c>
    </row>
    <row r="1725" spans="1:3" x14ac:dyDescent="0.3">
      <c r="A1725" t="s">
        <v>1699</v>
      </c>
    </row>
    <row r="1726" spans="1:3" x14ac:dyDescent="0.3">
      <c r="A1726" t="s">
        <v>1700</v>
      </c>
    </row>
    <row r="1727" spans="1:3" x14ac:dyDescent="0.3">
      <c r="A1727" t="s">
        <v>1701</v>
      </c>
    </row>
    <row r="1728" spans="1:3" x14ac:dyDescent="0.3">
      <c r="A1728" t="s">
        <v>1702</v>
      </c>
    </row>
    <row r="1729" spans="1:2" x14ac:dyDescent="0.3">
      <c r="A1729" t="s">
        <v>1703</v>
      </c>
    </row>
    <row r="1730" spans="1:2" outlineLevel="1" x14ac:dyDescent="0.3">
      <c r="B1730" t="s">
        <v>1704</v>
      </c>
    </row>
    <row r="1731" spans="1:2" outlineLevel="1" x14ac:dyDescent="0.3">
      <c r="B1731" t="s">
        <v>1705</v>
      </c>
    </row>
    <row r="1732" spans="1:2" outlineLevel="1" x14ac:dyDescent="0.3">
      <c r="B1732" t="s">
        <v>1706</v>
      </c>
    </row>
    <row r="1733" spans="1:2" outlineLevel="1" x14ac:dyDescent="0.3">
      <c r="B1733" t="s">
        <v>1707</v>
      </c>
    </row>
    <row r="1734" spans="1:2" outlineLevel="1" x14ac:dyDescent="0.3">
      <c r="B1734" t="s">
        <v>1708</v>
      </c>
    </row>
    <row r="1735" spans="1:2" outlineLevel="1" x14ac:dyDescent="0.3">
      <c r="B1735" t="s">
        <v>1709</v>
      </c>
    </row>
    <row r="1736" spans="1:2" outlineLevel="1" x14ac:dyDescent="0.3">
      <c r="B1736" t="s">
        <v>1710</v>
      </c>
    </row>
    <row r="1737" spans="1:2" outlineLevel="1" x14ac:dyDescent="0.3">
      <c r="B1737" t="s">
        <v>1711</v>
      </c>
    </row>
    <row r="1738" spans="1:2" outlineLevel="1" x14ac:dyDescent="0.3">
      <c r="B1738" t="s">
        <v>1712</v>
      </c>
    </row>
    <row r="1739" spans="1:2" outlineLevel="1" x14ac:dyDescent="0.3">
      <c r="B1739" t="s">
        <v>1713</v>
      </c>
    </row>
    <row r="1740" spans="1:2" outlineLevel="1" x14ac:dyDescent="0.3">
      <c r="B1740" t="s">
        <v>1714</v>
      </c>
    </row>
    <row r="1741" spans="1:2" outlineLevel="1" x14ac:dyDescent="0.3">
      <c r="B1741" t="s">
        <v>1715</v>
      </c>
    </row>
    <row r="1742" spans="1:2" outlineLevel="1" x14ac:dyDescent="0.3">
      <c r="B1742" t="s">
        <v>1716</v>
      </c>
    </row>
    <row r="1743" spans="1:2" outlineLevel="1" x14ac:dyDescent="0.3">
      <c r="B1743" t="s">
        <v>1717</v>
      </c>
    </row>
    <row r="1744" spans="1:2" outlineLevel="1" x14ac:dyDescent="0.3">
      <c r="B1744" t="s">
        <v>1718</v>
      </c>
    </row>
    <row r="1745" spans="1:2" x14ac:dyDescent="0.3">
      <c r="A1745" t="s">
        <v>1719</v>
      </c>
    </row>
    <row r="1746" spans="1:2" x14ac:dyDescent="0.3">
      <c r="A1746" t="s">
        <v>1720</v>
      </c>
    </row>
    <row r="1747" spans="1:2" outlineLevel="1" x14ac:dyDescent="0.3">
      <c r="B1747" t="s">
        <v>1721</v>
      </c>
    </row>
    <row r="1748" spans="1:2" outlineLevel="1" x14ac:dyDescent="0.3">
      <c r="B1748" t="s">
        <v>1722</v>
      </c>
    </row>
    <row r="1749" spans="1:2" x14ac:dyDescent="0.3">
      <c r="A1749" t="s">
        <v>1723</v>
      </c>
    </row>
    <row r="1750" spans="1:2" outlineLevel="1" x14ac:dyDescent="0.3">
      <c r="B1750" t="s">
        <v>1724</v>
      </c>
    </row>
    <row r="1751" spans="1:2" outlineLevel="1" x14ac:dyDescent="0.3">
      <c r="B1751" t="s">
        <v>1725</v>
      </c>
    </row>
    <row r="1752" spans="1:2" x14ac:dyDescent="0.3">
      <c r="A1752" t="s">
        <v>1726</v>
      </c>
    </row>
    <row r="1753" spans="1:2" x14ac:dyDescent="0.3">
      <c r="A1753" t="s">
        <v>1727</v>
      </c>
    </row>
    <row r="1754" spans="1:2" x14ac:dyDescent="0.3">
      <c r="A1754" t="s">
        <v>1728</v>
      </c>
    </row>
    <row r="1755" spans="1:2" x14ac:dyDescent="0.3">
      <c r="A1755" t="s">
        <v>1729</v>
      </c>
    </row>
    <row r="1756" spans="1:2" x14ac:dyDescent="0.3">
      <c r="A1756" t="s">
        <v>1730</v>
      </c>
    </row>
    <row r="1757" spans="1:2" x14ac:dyDescent="0.3">
      <c r="A1757" t="s">
        <v>1731</v>
      </c>
    </row>
    <row r="1758" spans="1:2" x14ac:dyDescent="0.3">
      <c r="A1758" t="s">
        <v>1732</v>
      </c>
    </row>
    <row r="1759" spans="1:2" x14ac:dyDescent="0.3">
      <c r="A1759" t="s">
        <v>1733</v>
      </c>
    </row>
    <row r="1760" spans="1:2" x14ac:dyDescent="0.3">
      <c r="A1760" t="s">
        <v>1734</v>
      </c>
    </row>
    <row r="1761" spans="1:2" x14ac:dyDescent="0.3">
      <c r="A1761" t="s">
        <v>1735</v>
      </c>
    </row>
    <row r="1762" spans="1:2" x14ac:dyDescent="0.3">
      <c r="A1762" t="s">
        <v>1736</v>
      </c>
    </row>
    <row r="1763" spans="1:2" outlineLevel="1" x14ac:dyDescent="0.3">
      <c r="B1763" t="s">
        <v>1737</v>
      </c>
    </row>
    <row r="1764" spans="1:2" outlineLevel="1" x14ac:dyDescent="0.3">
      <c r="B1764" t="s">
        <v>1738</v>
      </c>
    </row>
    <row r="1765" spans="1:2" outlineLevel="1" x14ac:dyDescent="0.3">
      <c r="B1765" t="s">
        <v>1739</v>
      </c>
    </row>
    <row r="1766" spans="1:2" outlineLevel="1" x14ac:dyDescent="0.3">
      <c r="B1766" t="s">
        <v>1740</v>
      </c>
    </row>
    <row r="1767" spans="1:2" outlineLevel="1" x14ac:dyDescent="0.3">
      <c r="B1767" t="s">
        <v>1741</v>
      </c>
    </row>
    <row r="1768" spans="1:2" outlineLevel="1" x14ac:dyDescent="0.3">
      <c r="B1768" t="s">
        <v>1742</v>
      </c>
    </row>
    <row r="1769" spans="1:2" outlineLevel="1" x14ac:dyDescent="0.3">
      <c r="B1769" t="s">
        <v>1743</v>
      </c>
    </row>
    <row r="1770" spans="1:2" outlineLevel="1" x14ac:dyDescent="0.3">
      <c r="B1770" t="s">
        <v>1744</v>
      </c>
    </row>
    <row r="1771" spans="1:2" outlineLevel="1" x14ac:dyDescent="0.3">
      <c r="B1771" t="s">
        <v>1745</v>
      </c>
    </row>
    <row r="1772" spans="1:2" outlineLevel="1" x14ac:dyDescent="0.3">
      <c r="B1772" t="s">
        <v>1746</v>
      </c>
    </row>
    <row r="1773" spans="1:2" outlineLevel="1" x14ac:dyDescent="0.3">
      <c r="B1773" t="s">
        <v>1747</v>
      </c>
    </row>
    <row r="1774" spans="1:2" outlineLevel="1" x14ac:dyDescent="0.3">
      <c r="B1774" t="s">
        <v>1748</v>
      </c>
    </row>
    <row r="1775" spans="1:2" outlineLevel="1" x14ac:dyDescent="0.3">
      <c r="B1775" t="s">
        <v>1749</v>
      </c>
    </row>
    <row r="1776" spans="1:2" outlineLevel="1" x14ac:dyDescent="0.3">
      <c r="B1776" t="s">
        <v>1750</v>
      </c>
    </row>
    <row r="1782" spans="1:2" x14ac:dyDescent="0.3">
      <c r="A1782" t="s">
        <v>1751</v>
      </c>
    </row>
    <row r="1783" spans="1:2" outlineLevel="1" x14ac:dyDescent="0.3">
      <c r="B1783" t="s">
        <v>1752</v>
      </c>
    </row>
    <row r="1784" spans="1:2" outlineLevel="1" x14ac:dyDescent="0.3">
      <c r="B1784" t="s">
        <v>1753</v>
      </c>
    </row>
    <row r="1785" spans="1:2" outlineLevel="1" x14ac:dyDescent="0.3">
      <c r="B1785" t="s">
        <v>1754</v>
      </c>
    </row>
    <row r="1786" spans="1:2" outlineLevel="1" x14ac:dyDescent="0.3">
      <c r="B1786" t="s">
        <v>1755</v>
      </c>
    </row>
    <row r="1787" spans="1:2" outlineLevel="1" x14ac:dyDescent="0.3">
      <c r="B1787" t="s">
        <v>1756</v>
      </c>
    </row>
    <row r="1788" spans="1:2" outlineLevel="1" x14ac:dyDescent="0.3">
      <c r="B1788" t="s">
        <v>1757</v>
      </c>
    </row>
    <row r="1789" spans="1:2" outlineLevel="1" x14ac:dyDescent="0.3">
      <c r="B1789" t="s">
        <v>1758</v>
      </c>
    </row>
    <row r="1790" spans="1:2" outlineLevel="1" x14ac:dyDescent="0.3">
      <c r="B1790" t="s">
        <v>1759</v>
      </c>
    </row>
    <row r="1791" spans="1:2" outlineLevel="1" x14ac:dyDescent="0.3">
      <c r="B1791" t="s">
        <v>1760</v>
      </c>
    </row>
    <row r="1792" spans="1:2" outlineLevel="1" x14ac:dyDescent="0.3">
      <c r="B1792" t="s">
        <v>1761</v>
      </c>
    </row>
    <row r="1793" spans="1:2" outlineLevel="1" x14ac:dyDescent="0.3">
      <c r="B1793" t="s">
        <v>1762</v>
      </c>
    </row>
    <row r="1794" spans="1:2" outlineLevel="1" x14ac:dyDescent="0.3">
      <c r="B1794" t="s">
        <v>1763</v>
      </c>
    </row>
    <row r="1795" spans="1:2" x14ac:dyDescent="0.3">
      <c r="A1795" t="s">
        <v>1764</v>
      </c>
    </row>
    <row r="1796" spans="1:2" outlineLevel="1" x14ac:dyDescent="0.3">
      <c r="B1796" t="s">
        <v>1765</v>
      </c>
    </row>
    <row r="1797" spans="1:2" outlineLevel="1" x14ac:dyDescent="0.3">
      <c r="B1797" t="s">
        <v>1766</v>
      </c>
    </row>
    <row r="1798" spans="1:2" outlineLevel="1" x14ac:dyDescent="0.3">
      <c r="B1798" t="s">
        <v>1767</v>
      </c>
    </row>
    <row r="1799" spans="1:2" x14ac:dyDescent="0.3">
      <c r="A1799" t="s">
        <v>1768</v>
      </c>
    </row>
    <row r="1800" spans="1:2" outlineLevel="1" x14ac:dyDescent="0.3">
      <c r="B1800" t="s">
        <v>1769</v>
      </c>
    </row>
    <row r="1801" spans="1:2" outlineLevel="1" x14ac:dyDescent="0.3">
      <c r="B1801" t="s">
        <v>1770</v>
      </c>
    </row>
    <row r="1802" spans="1:2" outlineLevel="1" x14ac:dyDescent="0.3">
      <c r="B1802" t="s">
        <v>1771</v>
      </c>
    </row>
    <row r="1803" spans="1:2" outlineLevel="1" x14ac:dyDescent="0.3">
      <c r="B1803" t="s">
        <v>1772</v>
      </c>
    </row>
    <row r="1804" spans="1:2" outlineLevel="1" x14ac:dyDescent="0.3">
      <c r="B1804" t="s">
        <v>1773</v>
      </c>
    </row>
    <row r="1805" spans="1:2" outlineLevel="1" x14ac:dyDescent="0.3">
      <c r="B1805" t="s">
        <v>1774</v>
      </c>
    </row>
    <row r="1806" spans="1:2" outlineLevel="1" x14ac:dyDescent="0.3">
      <c r="B1806" t="s">
        <v>1775</v>
      </c>
    </row>
    <row r="1807" spans="1:2" outlineLevel="1" x14ac:dyDescent="0.3">
      <c r="B1807" t="s">
        <v>1776</v>
      </c>
    </row>
    <row r="1808" spans="1:2" outlineLevel="1" x14ac:dyDescent="0.3">
      <c r="B1808" t="s">
        <v>1777</v>
      </c>
    </row>
    <row r="1809" spans="1:2" outlineLevel="1" x14ac:dyDescent="0.3">
      <c r="B1809" t="s">
        <v>1778</v>
      </c>
    </row>
    <row r="1810" spans="1:2" outlineLevel="1" x14ac:dyDescent="0.3">
      <c r="B1810" t="s">
        <v>1779</v>
      </c>
    </row>
    <row r="1811" spans="1:2" outlineLevel="1" x14ac:dyDescent="0.3">
      <c r="B1811" t="s">
        <v>1780</v>
      </c>
    </row>
    <row r="1812" spans="1:2" outlineLevel="1" x14ac:dyDescent="0.3">
      <c r="B1812" t="s">
        <v>1781</v>
      </c>
    </row>
    <row r="1813" spans="1:2" outlineLevel="1" x14ac:dyDescent="0.3">
      <c r="B1813" t="s">
        <v>1782</v>
      </c>
    </row>
    <row r="1814" spans="1:2" outlineLevel="1" x14ac:dyDescent="0.3">
      <c r="B1814" t="s">
        <v>1783</v>
      </c>
    </row>
    <row r="1815" spans="1:2" outlineLevel="1" x14ac:dyDescent="0.3">
      <c r="B1815" t="s">
        <v>1784</v>
      </c>
    </row>
    <row r="1816" spans="1:2" outlineLevel="1" x14ac:dyDescent="0.3">
      <c r="B1816" t="s">
        <v>1785</v>
      </c>
    </row>
    <row r="1817" spans="1:2" outlineLevel="1" x14ac:dyDescent="0.3">
      <c r="B1817" t="s">
        <v>1786</v>
      </c>
    </row>
    <row r="1818" spans="1:2" outlineLevel="1" x14ac:dyDescent="0.3">
      <c r="B1818" t="s">
        <v>1787</v>
      </c>
    </row>
    <row r="1819" spans="1:2" outlineLevel="1" x14ac:dyDescent="0.3">
      <c r="B1819" t="s">
        <v>1788</v>
      </c>
    </row>
    <row r="1820" spans="1:2" x14ac:dyDescent="0.3">
      <c r="A1820" t="s">
        <v>1789</v>
      </c>
    </row>
    <row r="1821" spans="1:2" outlineLevel="1" x14ac:dyDescent="0.3">
      <c r="B1821" t="s">
        <v>1790</v>
      </c>
    </row>
    <row r="1822" spans="1:2" outlineLevel="1" x14ac:dyDescent="0.3">
      <c r="B1822" t="s">
        <v>1791</v>
      </c>
    </row>
    <row r="1823" spans="1:2" outlineLevel="1" x14ac:dyDescent="0.3">
      <c r="B1823" t="s">
        <v>1792</v>
      </c>
    </row>
    <row r="1824" spans="1:2" outlineLevel="1" x14ac:dyDescent="0.3">
      <c r="B1824" t="s">
        <v>1793</v>
      </c>
    </row>
    <row r="1825" spans="1:2" outlineLevel="1" x14ac:dyDescent="0.3">
      <c r="B1825" t="s">
        <v>1794</v>
      </c>
    </row>
    <row r="1826" spans="1:2" outlineLevel="1" x14ac:dyDescent="0.3">
      <c r="B1826" t="s">
        <v>1795</v>
      </c>
    </row>
    <row r="1827" spans="1:2" outlineLevel="1" x14ac:dyDescent="0.3">
      <c r="B1827" t="s">
        <v>1796</v>
      </c>
    </row>
    <row r="1828" spans="1:2" outlineLevel="1" x14ac:dyDescent="0.3">
      <c r="B1828" t="s">
        <v>1797</v>
      </c>
    </row>
    <row r="1829" spans="1:2" outlineLevel="1" x14ac:dyDescent="0.3">
      <c r="B1829" t="s">
        <v>1798</v>
      </c>
    </row>
    <row r="1830" spans="1:2" outlineLevel="1" x14ac:dyDescent="0.3">
      <c r="B1830" t="s">
        <v>1799</v>
      </c>
    </row>
    <row r="1831" spans="1:2" outlineLevel="1" x14ac:dyDescent="0.3">
      <c r="B1831" t="s">
        <v>1800</v>
      </c>
    </row>
    <row r="1832" spans="1:2" outlineLevel="1" x14ac:dyDescent="0.3">
      <c r="B1832" t="s">
        <v>1801</v>
      </c>
    </row>
    <row r="1833" spans="1:2" outlineLevel="1" x14ac:dyDescent="0.3">
      <c r="B1833" t="s">
        <v>1802</v>
      </c>
    </row>
    <row r="1834" spans="1:2" outlineLevel="1" x14ac:dyDescent="0.3">
      <c r="B1834" t="s">
        <v>1803</v>
      </c>
    </row>
    <row r="1835" spans="1:2" outlineLevel="1" x14ac:dyDescent="0.3">
      <c r="B1835" t="s">
        <v>1804</v>
      </c>
    </row>
    <row r="1836" spans="1:2" outlineLevel="1" x14ac:dyDescent="0.3">
      <c r="B1836" t="s">
        <v>1805</v>
      </c>
    </row>
    <row r="1837" spans="1:2" outlineLevel="1" x14ac:dyDescent="0.3">
      <c r="B1837" t="s">
        <v>1806</v>
      </c>
    </row>
    <row r="1838" spans="1:2" outlineLevel="1" x14ac:dyDescent="0.3">
      <c r="B1838" t="s">
        <v>1807</v>
      </c>
    </row>
    <row r="1839" spans="1:2" x14ac:dyDescent="0.3">
      <c r="A1839" t="s">
        <v>1808</v>
      </c>
    </row>
    <row r="1840" spans="1:2" outlineLevel="1" x14ac:dyDescent="0.3">
      <c r="B1840" t="s">
        <v>1809</v>
      </c>
    </row>
    <row r="1841" spans="2:2" outlineLevel="1" x14ac:dyDescent="0.3">
      <c r="B1841" t="s">
        <v>1810</v>
      </c>
    </row>
    <row r="1842" spans="2:2" outlineLevel="1" x14ac:dyDescent="0.3">
      <c r="B1842" t="s">
        <v>1811</v>
      </c>
    </row>
    <row r="1843" spans="2:2" outlineLevel="1" x14ac:dyDescent="0.3">
      <c r="B1843" t="s">
        <v>1812</v>
      </c>
    </row>
    <row r="1844" spans="2:2" outlineLevel="1" x14ac:dyDescent="0.3">
      <c r="B1844" t="s">
        <v>1813</v>
      </c>
    </row>
    <row r="1845" spans="2:2" outlineLevel="1" x14ac:dyDescent="0.3">
      <c r="B1845" t="s">
        <v>1814</v>
      </c>
    </row>
    <row r="1846" spans="2:2" outlineLevel="1" x14ac:dyDescent="0.3">
      <c r="B1846" t="s">
        <v>1815</v>
      </c>
    </row>
    <row r="1847" spans="2:2" outlineLevel="1" x14ac:dyDescent="0.3">
      <c r="B1847" t="s">
        <v>1816</v>
      </c>
    </row>
    <row r="1848" spans="2:2" outlineLevel="1" x14ac:dyDescent="0.3">
      <c r="B1848" t="s">
        <v>1817</v>
      </c>
    </row>
    <row r="1849" spans="2:2" outlineLevel="1" x14ac:dyDescent="0.3">
      <c r="B1849" t="s">
        <v>1818</v>
      </c>
    </row>
    <row r="1850" spans="2:2" outlineLevel="1" x14ac:dyDescent="0.3">
      <c r="B1850" t="s">
        <v>1819</v>
      </c>
    </row>
    <row r="1851" spans="2:2" outlineLevel="1" x14ac:dyDescent="0.3">
      <c r="B1851" t="s">
        <v>1820</v>
      </c>
    </row>
    <row r="1852" spans="2:2" outlineLevel="1" x14ac:dyDescent="0.3">
      <c r="B1852" t="s">
        <v>1821</v>
      </c>
    </row>
    <row r="1853" spans="2:2" outlineLevel="1" x14ac:dyDescent="0.3">
      <c r="B1853" t="s">
        <v>1822</v>
      </c>
    </row>
    <row r="1854" spans="2:2" outlineLevel="1" x14ac:dyDescent="0.3">
      <c r="B1854" t="s">
        <v>1823</v>
      </c>
    </row>
    <row r="1855" spans="2:2" outlineLevel="1" x14ac:dyDescent="0.3">
      <c r="B1855" t="s">
        <v>1824</v>
      </c>
    </row>
    <row r="1856" spans="2:2" outlineLevel="1" x14ac:dyDescent="0.3">
      <c r="B1856" t="s">
        <v>1825</v>
      </c>
    </row>
    <row r="1857" spans="1:4" outlineLevel="1" x14ac:dyDescent="0.3">
      <c r="B1857" t="s">
        <v>1826</v>
      </c>
    </row>
    <row r="1858" spans="1:4" outlineLevel="1" x14ac:dyDescent="0.3">
      <c r="B1858" t="s">
        <v>1827</v>
      </c>
    </row>
    <row r="1859" spans="1:4" outlineLevel="1" x14ac:dyDescent="0.3">
      <c r="B1859" t="s">
        <v>1828</v>
      </c>
    </row>
    <row r="1860" spans="1:4" x14ac:dyDescent="0.3">
      <c r="A1860" t="s">
        <v>1829</v>
      </c>
    </row>
    <row r="1861" spans="1:4" outlineLevel="1" x14ac:dyDescent="0.3">
      <c r="B1861" t="s">
        <v>1830</v>
      </c>
    </row>
    <row r="1862" spans="1:4" hidden="1" outlineLevel="2" x14ac:dyDescent="0.3">
      <c r="C1862" t="s">
        <v>1831</v>
      </c>
    </row>
    <row r="1863" spans="1:4" hidden="1" outlineLevel="3" x14ac:dyDescent="0.3">
      <c r="D1863" t="s">
        <v>1832</v>
      </c>
    </row>
    <row r="1864" spans="1:4" hidden="1" outlineLevel="3" x14ac:dyDescent="0.3">
      <c r="D1864" t="s">
        <v>1833</v>
      </c>
    </row>
    <row r="1865" spans="1:4" hidden="1" outlineLevel="3" x14ac:dyDescent="0.3">
      <c r="D1865" t="s">
        <v>1834</v>
      </c>
    </row>
    <row r="1866" spans="1:4" hidden="1" outlineLevel="3" x14ac:dyDescent="0.3">
      <c r="D1866" t="s">
        <v>1835</v>
      </c>
    </row>
    <row r="1867" spans="1:4" hidden="1" outlineLevel="2" x14ac:dyDescent="0.3">
      <c r="C1867" t="s">
        <v>1836</v>
      </c>
    </row>
    <row r="1868" spans="1:4" hidden="1" outlineLevel="2" x14ac:dyDescent="0.3">
      <c r="C1868" t="s">
        <v>1837</v>
      </c>
    </row>
    <row r="1869" spans="1:4" hidden="1" outlineLevel="2" x14ac:dyDescent="0.3">
      <c r="C1869" t="s">
        <v>1838</v>
      </c>
    </row>
    <row r="1870" spans="1:4" hidden="1" outlineLevel="2" x14ac:dyDescent="0.3">
      <c r="C1870" t="s">
        <v>1839</v>
      </c>
    </row>
    <row r="1871" spans="1:4" hidden="1" outlineLevel="2" x14ac:dyDescent="0.3">
      <c r="C1871" t="s">
        <v>1840</v>
      </c>
    </row>
    <row r="1872" spans="1:4" hidden="1" outlineLevel="2" x14ac:dyDescent="0.3">
      <c r="C1872" t="s">
        <v>1841</v>
      </c>
    </row>
    <row r="1873" spans="1:4" outlineLevel="1" collapsed="1" x14ac:dyDescent="0.3">
      <c r="B1873" t="s">
        <v>1842</v>
      </c>
    </row>
    <row r="1874" spans="1:4" outlineLevel="1" x14ac:dyDescent="0.3">
      <c r="B1874" t="s">
        <v>1843</v>
      </c>
    </row>
    <row r="1875" spans="1:4" outlineLevel="1" x14ac:dyDescent="0.3">
      <c r="B1875" t="s">
        <v>1844</v>
      </c>
    </row>
    <row r="1876" spans="1:4" outlineLevel="1" x14ac:dyDescent="0.3">
      <c r="B1876" t="s">
        <v>1845</v>
      </c>
    </row>
    <row r="1877" spans="1:4" outlineLevel="1" x14ac:dyDescent="0.3">
      <c r="B1877" t="s">
        <v>1846</v>
      </c>
    </row>
    <row r="1878" spans="1:4" outlineLevel="1" x14ac:dyDescent="0.3">
      <c r="B1878" t="s">
        <v>1847</v>
      </c>
    </row>
    <row r="1879" spans="1:4" outlineLevel="1" x14ac:dyDescent="0.3">
      <c r="B1879" t="s">
        <v>1848</v>
      </c>
    </row>
    <row r="1880" spans="1:4" outlineLevel="1" x14ac:dyDescent="0.3">
      <c r="B1880" t="s">
        <v>1849</v>
      </c>
    </row>
    <row r="1881" spans="1:4" outlineLevel="1" x14ac:dyDescent="0.3">
      <c r="B1881" t="s">
        <v>1850</v>
      </c>
    </row>
    <row r="1882" spans="1:4" outlineLevel="1" x14ac:dyDescent="0.3">
      <c r="B1882" t="s">
        <v>1851</v>
      </c>
    </row>
    <row r="1883" spans="1:4" outlineLevel="1" x14ac:dyDescent="0.3">
      <c r="B1883" t="s">
        <v>1852</v>
      </c>
    </row>
    <row r="1884" spans="1:4" x14ac:dyDescent="0.3">
      <c r="A1884" t="s">
        <v>1853</v>
      </c>
    </row>
    <row r="1885" spans="1:4" outlineLevel="1" x14ac:dyDescent="0.3">
      <c r="B1885" t="s">
        <v>1854</v>
      </c>
    </row>
    <row r="1886" spans="1:4" hidden="1" outlineLevel="2" x14ac:dyDescent="0.3">
      <c r="C1886" t="s">
        <v>1855</v>
      </c>
    </row>
    <row r="1887" spans="1:4" hidden="1" outlineLevel="3" x14ac:dyDescent="0.3">
      <c r="D1887" t="s">
        <v>1856</v>
      </c>
    </row>
    <row r="1888" spans="1:4" hidden="1" outlineLevel="3" x14ac:dyDescent="0.3">
      <c r="D1888" t="s">
        <v>1857</v>
      </c>
    </row>
    <row r="1889" spans="2:4" hidden="1" outlineLevel="3" x14ac:dyDescent="0.3">
      <c r="D1889" t="s">
        <v>1858</v>
      </c>
    </row>
    <row r="1890" spans="2:4" hidden="1" outlineLevel="2" x14ac:dyDescent="0.3">
      <c r="C1890" t="s">
        <v>1859</v>
      </c>
    </row>
    <row r="1891" spans="2:4" outlineLevel="1" collapsed="1" x14ac:dyDescent="0.3">
      <c r="B1891" t="s">
        <v>1860</v>
      </c>
    </row>
    <row r="1892" spans="2:4" outlineLevel="1" x14ac:dyDescent="0.3">
      <c r="B1892" t="s">
        <v>1861</v>
      </c>
    </row>
    <row r="1893" spans="2:4" outlineLevel="1" x14ac:dyDescent="0.3">
      <c r="B1893" t="s">
        <v>1862</v>
      </c>
    </row>
    <row r="1894" spans="2:4" outlineLevel="1" x14ac:dyDescent="0.3">
      <c r="B1894" t="s">
        <v>1863</v>
      </c>
    </row>
    <row r="1895" spans="2:4" outlineLevel="1" x14ac:dyDescent="0.3">
      <c r="B1895" t="s">
        <v>1864</v>
      </c>
    </row>
    <row r="1896" spans="2:4" outlineLevel="1" x14ac:dyDescent="0.3">
      <c r="B1896" t="s">
        <v>1865</v>
      </c>
    </row>
    <row r="1897" spans="2:4" outlineLevel="1" x14ac:dyDescent="0.3">
      <c r="B1897" t="s">
        <v>1866</v>
      </c>
    </row>
    <row r="1898" spans="2:4" outlineLevel="1" x14ac:dyDescent="0.3">
      <c r="B1898" t="s">
        <v>1867</v>
      </c>
    </row>
    <row r="1899" spans="2:4" outlineLevel="1" x14ac:dyDescent="0.3">
      <c r="B1899" t="s">
        <v>1868</v>
      </c>
    </row>
    <row r="1900" spans="2:4" outlineLevel="1" x14ac:dyDescent="0.3">
      <c r="B1900" t="s">
        <v>1869</v>
      </c>
    </row>
    <row r="1901" spans="2:4" outlineLevel="1" x14ac:dyDescent="0.3">
      <c r="B1901" t="s">
        <v>1870</v>
      </c>
    </row>
    <row r="1902" spans="2:4" outlineLevel="1" x14ac:dyDescent="0.3">
      <c r="B1902" t="s">
        <v>1871</v>
      </c>
    </row>
    <row r="1903" spans="2:4" outlineLevel="1" x14ac:dyDescent="0.3">
      <c r="B1903" t="s">
        <v>1872</v>
      </c>
    </row>
    <row r="1904" spans="2:4" outlineLevel="1" x14ac:dyDescent="0.3">
      <c r="B1904" t="s">
        <v>1873</v>
      </c>
    </row>
    <row r="1905" spans="1:3" outlineLevel="1" x14ac:dyDescent="0.3">
      <c r="B1905" t="s">
        <v>1874</v>
      </c>
    </row>
    <row r="1906" spans="1:3" x14ac:dyDescent="0.3">
      <c r="A1906" t="s">
        <v>1875</v>
      </c>
    </row>
    <row r="1912" spans="1:3" x14ac:dyDescent="0.3">
      <c r="A1912" t="s">
        <v>1876</v>
      </c>
    </row>
    <row r="1913" spans="1:3" outlineLevel="1" x14ac:dyDescent="0.3">
      <c r="B1913" t="s">
        <v>1877</v>
      </c>
    </row>
    <row r="1914" spans="1:3" hidden="1" outlineLevel="2" x14ac:dyDescent="0.3">
      <c r="C1914" t="s">
        <v>1878</v>
      </c>
    </row>
    <row r="1915" spans="1:3" hidden="1" outlineLevel="2" x14ac:dyDescent="0.3">
      <c r="C1915" t="s">
        <v>1879</v>
      </c>
    </row>
    <row r="1916" spans="1:3" hidden="1" outlineLevel="2" x14ac:dyDescent="0.3">
      <c r="C1916" t="s">
        <v>1880</v>
      </c>
    </row>
    <row r="1917" spans="1:3" hidden="1" outlineLevel="2" x14ac:dyDescent="0.3">
      <c r="C1917" t="s">
        <v>1881</v>
      </c>
    </row>
    <row r="1918" spans="1:3" outlineLevel="1" collapsed="1" x14ac:dyDescent="0.3">
      <c r="B1918" t="s">
        <v>1882</v>
      </c>
    </row>
    <row r="1919" spans="1:3" hidden="1" outlineLevel="2" x14ac:dyDescent="0.3">
      <c r="C1919" t="s">
        <v>1883</v>
      </c>
    </row>
    <row r="1920" spans="1:3" hidden="1" outlineLevel="2" x14ac:dyDescent="0.3">
      <c r="C1920" t="s">
        <v>1884</v>
      </c>
    </row>
    <row r="1921" spans="2:4" hidden="1" outlineLevel="2" x14ac:dyDescent="0.3">
      <c r="C1921" t="s">
        <v>1885</v>
      </c>
    </row>
    <row r="1922" spans="2:4" hidden="1" outlineLevel="2" x14ac:dyDescent="0.3">
      <c r="C1922" t="s">
        <v>1886</v>
      </c>
    </row>
    <row r="1923" spans="2:4" hidden="1" outlineLevel="2" x14ac:dyDescent="0.3">
      <c r="C1923" t="s">
        <v>1887</v>
      </c>
    </row>
    <row r="1924" spans="2:4" outlineLevel="1" collapsed="1" x14ac:dyDescent="0.3">
      <c r="B1924" t="s">
        <v>1888</v>
      </c>
    </row>
    <row r="1925" spans="2:4" outlineLevel="1" x14ac:dyDescent="0.3">
      <c r="B1925" t="s">
        <v>1889</v>
      </c>
    </row>
    <row r="1926" spans="2:4" outlineLevel="1" x14ac:dyDescent="0.3">
      <c r="B1926" t="s">
        <v>1890</v>
      </c>
    </row>
    <row r="1927" spans="2:4" hidden="1" outlineLevel="2" x14ac:dyDescent="0.3">
      <c r="C1927" t="s">
        <v>1891</v>
      </c>
    </row>
    <row r="1928" spans="2:4" hidden="1" outlineLevel="2" x14ac:dyDescent="0.3">
      <c r="C1928" t="s">
        <v>1892</v>
      </c>
    </row>
    <row r="1929" spans="2:4" hidden="1" outlineLevel="3" x14ac:dyDescent="0.3">
      <c r="D1929" t="s">
        <v>1893</v>
      </c>
    </row>
    <row r="1930" spans="2:4" hidden="1" outlineLevel="3" x14ac:dyDescent="0.3">
      <c r="D1930" t="s">
        <v>1894</v>
      </c>
    </row>
    <row r="1931" spans="2:4" hidden="1" outlineLevel="3" x14ac:dyDescent="0.3">
      <c r="D1931" t="s">
        <v>1895</v>
      </c>
    </row>
    <row r="1932" spans="2:4" hidden="1" outlineLevel="3" x14ac:dyDescent="0.3">
      <c r="D1932" t="s">
        <v>1896</v>
      </c>
    </row>
    <row r="1933" spans="2:4" hidden="1" outlineLevel="2" x14ac:dyDescent="0.3">
      <c r="C1933" t="s">
        <v>1897</v>
      </c>
    </row>
    <row r="1934" spans="2:4" hidden="1" outlineLevel="2" x14ac:dyDescent="0.3">
      <c r="C1934" t="s">
        <v>1898</v>
      </c>
    </row>
    <row r="1935" spans="2:4" hidden="1" outlineLevel="2" x14ac:dyDescent="0.3">
      <c r="C1935" t="s">
        <v>1899</v>
      </c>
    </row>
    <row r="1936" spans="2:4" hidden="1" outlineLevel="2" x14ac:dyDescent="0.3">
      <c r="C1936" t="s">
        <v>1900</v>
      </c>
    </row>
    <row r="1937" spans="3:4" hidden="1" outlineLevel="2" x14ac:dyDescent="0.3">
      <c r="C1937" t="s">
        <v>1901</v>
      </c>
    </row>
    <row r="1938" spans="3:4" hidden="1" outlineLevel="2" x14ac:dyDescent="0.3">
      <c r="C1938" t="s">
        <v>1902</v>
      </c>
    </row>
    <row r="1939" spans="3:4" hidden="1" outlineLevel="2" x14ac:dyDescent="0.3">
      <c r="C1939" t="s">
        <v>1903</v>
      </c>
    </row>
    <row r="1940" spans="3:4" hidden="1" outlineLevel="2" x14ac:dyDescent="0.3">
      <c r="C1940" t="s">
        <v>1904</v>
      </c>
    </row>
    <row r="1941" spans="3:4" hidden="1" outlineLevel="2" x14ac:dyDescent="0.3">
      <c r="C1941" t="s">
        <v>1905</v>
      </c>
    </row>
    <row r="1942" spans="3:4" hidden="1" outlineLevel="2" x14ac:dyDescent="0.3">
      <c r="C1942" t="s">
        <v>1906</v>
      </c>
    </row>
    <row r="1943" spans="3:4" hidden="1" outlineLevel="2" x14ac:dyDescent="0.3">
      <c r="C1943" t="s">
        <v>1907</v>
      </c>
    </row>
    <row r="1944" spans="3:4" hidden="1" outlineLevel="2" x14ac:dyDescent="0.3">
      <c r="C1944" t="s">
        <v>1908</v>
      </c>
    </row>
    <row r="1945" spans="3:4" hidden="1" outlineLevel="2" x14ac:dyDescent="0.3">
      <c r="C1945" t="s">
        <v>1909</v>
      </c>
    </row>
    <row r="1946" spans="3:4" hidden="1" outlineLevel="2" x14ac:dyDescent="0.3">
      <c r="C1946" t="s">
        <v>1910</v>
      </c>
    </row>
    <row r="1947" spans="3:4" hidden="1" outlineLevel="3" x14ac:dyDescent="0.3">
      <c r="D1947" t="s">
        <v>1911</v>
      </c>
    </row>
    <row r="1948" spans="3:4" hidden="1" outlineLevel="3" x14ac:dyDescent="0.3">
      <c r="D1948" t="s">
        <v>1912</v>
      </c>
    </row>
    <row r="1949" spans="3:4" hidden="1" outlineLevel="3" x14ac:dyDescent="0.3">
      <c r="D1949" t="s">
        <v>1913</v>
      </c>
    </row>
    <row r="1950" spans="3:4" hidden="1" outlineLevel="2" x14ac:dyDescent="0.3">
      <c r="C1950" t="s">
        <v>1914</v>
      </c>
    </row>
    <row r="1951" spans="3:4" hidden="1" outlineLevel="2" x14ac:dyDescent="0.3">
      <c r="C1951" t="s">
        <v>1915</v>
      </c>
    </row>
    <row r="1952" spans="3:4" hidden="1" outlineLevel="2" x14ac:dyDescent="0.3">
      <c r="C1952" t="s">
        <v>1916</v>
      </c>
    </row>
    <row r="1953" spans="3:4" hidden="1" outlineLevel="2" x14ac:dyDescent="0.3">
      <c r="C1953" t="s">
        <v>1917</v>
      </c>
    </row>
    <row r="1954" spans="3:4" hidden="1" outlineLevel="2" x14ac:dyDescent="0.3">
      <c r="C1954" t="s">
        <v>1918</v>
      </c>
    </row>
    <row r="1955" spans="3:4" hidden="1" outlineLevel="3" x14ac:dyDescent="0.3">
      <c r="D1955" t="s">
        <v>1919</v>
      </c>
    </row>
    <row r="1956" spans="3:4" hidden="1" outlineLevel="3" x14ac:dyDescent="0.3">
      <c r="D1956" t="s">
        <v>1920</v>
      </c>
    </row>
    <row r="1957" spans="3:4" hidden="1" outlineLevel="3" x14ac:dyDescent="0.3">
      <c r="D1957" t="s">
        <v>1921</v>
      </c>
    </row>
    <row r="1958" spans="3:4" hidden="1" outlineLevel="3" x14ac:dyDescent="0.3">
      <c r="D1958" t="s">
        <v>1922</v>
      </c>
    </row>
    <row r="1959" spans="3:4" hidden="1" outlineLevel="3" x14ac:dyDescent="0.3">
      <c r="D1959" t="s">
        <v>1923</v>
      </c>
    </row>
    <row r="1960" spans="3:4" hidden="1" outlineLevel="3" x14ac:dyDescent="0.3">
      <c r="D1960" t="s">
        <v>1924</v>
      </c>
    </row>
    <row r="1961" spans="3:4" hidden="1" outlineLevel="3" x14ac:dyDescent="0.3">
      <c r="D1961" t="s">
        <v>1925</v>
      </c>
    </row>
    <row r="1962" spans="3:4" hidden="1" outlineLevel="3" x14ac:dyDescent="0.3">
      <c r="D1962" t="s">
        <v>1926</v>
      </c>
    </row>
    <row r="1963" spans="3:4" hidden="1" outlineLevel="3" x14ac:dyDescent="0.3">
      <c r="D1963" t="s">
        <v>1927</v>
      </c>
    </row>
    <row r="1964" spans="3:4" hidden="1" outlineLevel="2" x14ac:dyDescent="0.3">
      <c r="C1964" t="s">
        <v>1928</v>
      </c>
    </row>
    <row r="1965" spans="3:4" hidden="1" outlineLevel="3" x14ac:dyDescent="0.3">
      <c r="D1965" t="s">
        <v>1929</v>
      </c>
    </row>
    <row r="1966" spans="3:4" hidden="1" outlineLevel="3" x14ac:dyDescent="0.3">
      <c r="D1966" t="s">
        <v>1930</v>
      </c>
    </row>
    <row r="1967" spans="3:4" hidden="1" outlineLevel="3" x14ac:dyDescent="0.3">
      <c r="D1967" t="s">
        <v>1931</v>
      </c>
    </row>
    <row r="1968" spans="3:4" hidden="1" outlineLevel="3" x14ac:dyDescent="0.3">
      <c r="D1968" t="s">
        <v>1932</v>
      </c>
    </row>
    <row r="1969" spans="3:4" hidden="1" outlineLevel="3" x14ac:dyDescent="0.3">
      <c r="D1969" t="s">
        <v>1933</v>
      </c>
    </row>
    <row r="1970" spans="3:4" hidden="1" outlineLevel="3" x14ac:dyDescent="0.3">
      <c r="D1970" t="s">
        <v>1934</v>
      </c>
    </row>
    <row r="1971" spans="3:4" hidden="1" outlineLevel="2" x14ac:dyDescent="0.3">
      <c r="C1971" t="s">
        <v>1935</v>
      </c>
    </row>
    <row r="1972" spans="3:4" hidden="1" outlineLevel="2" x14ac:dyDescent="0.3">
      <c r="C1972" t="s">
        <v>1936</v>
      </c>
    </row>
    <row r="1973" spans="3:4" hidden="1" outlineLevel="3" x14ac:dyDescent="0.3">
      <c r="D1973" t="s">
        <v>1937</v>
      </c>
    </row>
    <row r="1974" spans="3:4" hidden="1" outlineLevel="3" x14ac:dyDescent="0.3">
      <c r="D1974" t="s">
        <v>1938</v>
      </c>
    </row>
    <row r="1975" spans="3:4" hidden="1" outlineLevel="3" x14ac:dyDescent="0.3">
      <c r="D1975" t="s">
        <v>1939</v>
      </c>
    </row>
    <row r="1976" spans="3:4" hidden="1" outlineLevel="3" x14ac:dyDescent="0.3">
      <c r="D1976" t="s">
        <v>1940</v>
      </c>
    </row>
    <row r="1977" spans="3:4" hidden="1" outlineLevel="3" x14ac:dyDescent="0.3">
      <c r="D1977" t="s">
        <v>1941</v>
      </c>
    </row>
    <row r="1978" spans="3:4" hidden="1" outlineLevel="3" x14ac:dyDescent="0.3">
      <c r="D1978" t="s">
        <v>1942</v>
      </c>
    </row>
    <row r="1979" spans="3:4" hidden="1" outlineLevel="3" x14ac:dyDescent="0.3">
      <c r="D1979" t="s">
        <v>1943</v>
      </c>
    </row>
    <row r="1980" spans="3:4" hidden="1" outlineLevel="2" x14ac:dyDescent="0.3">
      <c r="C1980" t="s">
        <v>1944</v>
      </c>
    </row>
    <row r="1981" spans="3:4" hidden="1" outlineLevel="2" x14ac:dyDescent="0.3">
      <c r="C1981" t="s">
        <v>1945</v>
      </c>
    </row>
    <row r="1982" spans="3:4" hidden="1" outlineLevel="2" x14ac:dyDescent="0.3">
      <c r="C1982" t="s">
        <v>1946</v>
      </c>
    </row>
    <row r="1983" spans="3:4" hidden="1" outlineLevel="3" x14ac:dyDescent="0.3">
      <c r="D1983" t="s">
        <v>1947</v>
      </c>
    </row>
    <row r="1984" spans="3:4" hidden="1" outlineLevel="3" x14ac:dyDescent="0.3">
      <c r="D1984" t="s">
        <v>1948</v>
      </c>
    </row>
    <row r="1985" spans="3:4" hidden="1" outlineLevel="3" x14ac:dyDescent="0.3">
      <c r="D1985" t="s">
        <v>1949</v>
      </c>
    </row>
    <row r="1986" spans="3:4" hidden="1" outlineLevel="3" x14ac:dyDescent="0.3">
      <c r="D1986" t="s">
        <v>1950</v>
      </c>
    </row>
    <row r="1987" spans="3:4" hidden="1" outlineLevel="3" x14ac:dyDescent="0.3">
      <c r="D1987" t="s">
        <v>1951</v>
      </c>
    </row>
    <row r="1988" spans="3:4" hidden="1" outlineLevel="2" x14ac:dyDescent="0.3">
      <c r="C1988" t="s">
        <v>1952</v>
      </c>
    </row>
    <row r="1989" spans="3:4" hidden="1" outlineLevel="3" x14ac:dyDescent="0.3">
      <c r="D1989" t="s">
        <v>1953</v>
      </c>
    </row>
    <row r="1990" spans="3:4" hidden="1" outlineLevel="3" x14ac:dyDescent="0.3">
      <c r="D1990" t="s">
        <v>1954</v>
      </c>
    </row>
    <row r="1991" spans="3:4" hidden="1" outlineLevel="3" x14ac:dyDescent="0.3">
      <c r="D1991" t="s">
        <v>1955</v>
      </c>
    </row>
    <row r="1992" spans="3:4" hidden="1" outlineLevel="3" x14ac:dyDescent="0.3">
      <c r="D1992" t="s">
        <v>1956</v>
      </c>
    </row>
    <row r="1993" spans="3:4" hidden="1" outlineLevel="3" x14ac:dyDescent="0.3">
      <c r="D1993" t="s">
        <v>1957</v>
      </c>
    </row>
    <row r="1994" spans="3:4" hidden="1" outlineLevel="3" x14ac:dyDescent="0.3">
      <c r="D1994" t="s">
        <v>1958</v>
      </c>
    </row>
    <row r="1995" spans="3:4" hidden="1" outlineLevel="3" x14ac:dyDescent="0.3">
      <c r="D1995" t="s">
        <v>1959</v>
      </c>
    </row>
    <row r="1996" spans="3:4" hidden="1" outlineLevel="2" x14ac:dyDescent="0.3">
      <c r="C1996" t="s">
        <v>1960</v>
      </c>
    </row>
    <row r="1997" spans="3:4" hidden="1" outlineLevel="3" x14ac:dyDescent="0.3">
      <c r="D1997" t="s">
        <v>1961</v>
      </c>
    </row>
    <row r="1998" spans="3:4" hidden="1" outlineLevel="3" x14ac:dyDescent="0.3">
      <c r="D1998" t="s">
        <v>1962</v>
      </c>
    </row>
    <row r="1999" spans="3:4" hidden="1" outlineLevel="3" x14ac:dyDescent="0.3">
      <c r="D1999" t="s">
        <v>1963</v>
      </c>
    </row>
    <row r="2000" spans="3:4" hidden="1" outlineLevel="2" x14ac:dyDescent="0.3">
      <c r="C2000" t="s">
        <v>1964</v>
      </c>
    </row>
    <row r="2001" spans="3:4" hidden="1" outlineLevel="3" x14ac:dyDescent="0.3">
      <c r="D2001" t="s">
        <v>1965</v>
      </c>
    </row>
    <row r="2002" spans="3:4" hidden="1" outlineLevel="3" x14ac:dyDescent="0.3">
      <c r="D2002" t="s">
        <v>1966</v>
      </c>
    </row>
    <row r="2003" spans="3:4" hidden="1" outlineLevel="3" x14ac:dyDescent="0.3">
      <c r="D2003" t="s">
        <v>1967</v>
      </c>
    </row>
    <row r="2004" spans="3:4" hidden="1" outlineLevel="3" x14ac:dyDescent="0.3">
      <c r="D2004" t="s">
        <v>1968</v>
      </c>
    </row>
    <row r="2005" spans="3:4" hidden="1" outlineLevel="3" x14ac:dyDescent="0.3">
      <c r="D2005" t="s">
        <v>1969</v>
      </c>
    </row>
    <row r="2006" spans="3:4" hidden="1" outlineLevel="2" x14ac:dyDescent="0.3">
      <c r="C2006" t="s">
        <v>1970</v>
      </c>
    </row>
    <row r="2007" spans="3:4" hidden="1" outlineLevel="2" x14ac:dyDescent="0.3">
      <c r="C2007" t="s">
        <v>1971</v>
      </c>
    </row>
    <row r="2008" spans="3:4" hidden="1" outlineLevel="2" x14ac:dyDescent="0.3">
      <c r="C2008" t="s">
        <v>1972</v>
      </c>
    </row>
    <row r="2009" spans="3:4" hidden="1" outlineLevel="2" x14ac:dyDescent="0.3">
      <c r="C2009" t="s">
        <v>1973</v>
      </c>
    </row>
    <row r="2010" spans="3:4" hidden="1" outlineLevel="2" x14ac:dyDescent="0.3">
      <c r="C2010" t="s">
        <v>1974</v>
      </c>
    </row>
    <row r="2011" spans="3:4" hidden="1" outlineLevel="2" x14ac:dyDescent="0.3">
      <c r="C2011" t="s">
        <v>1975</v>
      </c>
    </row>
    <row r="2012" spans="3:4" hidden="1" outlineLevel="2" x14ac:dyDescent="0.3">
      <c r="C2012" t="s">
        <v>1976</v>
      </c>
    </row>
    <row r="2013" spans="3:4" hidden="1" outlineLevel="2" x14ac:dyDescent="0.3">
      <c r="C2013" t="s">
        <v>1977</v>
      </c>
    </row>
    <row r="2014" spans="3:4" hidden="1" outlineLevel="2" x14ac:dyDescent="0.3">
      <c r="C2014" t="s">
        <v>1978</v>
      </c>
    </row>
    <row r="2015" spans="3:4" hidden="1" outlineLevel="2" x14ac:dyDescent="0.3">
      <c r="C2015" t="s">
        <v>1979</v>
      </c>
    </row>
    <row r="2016" spans="3:4" hidden="1" outlineLevel="2" x14ac:dyDescent="0.3">
      <c r="C2016" t="s">
        <v>1980</v>
      </c>
    </row>
    <row r="2017" spans="2:4" outlineLevel="1" collapsed="1" x14ac:dyDescent="0.3">
      <c r="B2017" t="s">
        <v>1981</v>
      </c>
    </row>
    <row r="2018" spans="2:4" hidden="1" outlineLevel="2" x14ac:dyDescent="0.3">
      <c r="C2018" t="s">
        <v>1982</v>
      </c>
    </row>
    <row r="2019" spans="2:4" hidden="1" outlineLevel="2" x14ac:dyDescent="0.3">
      <c r="C2019" t="s">
        <v>1983</v>
      </c>
    </row>
    <row r="2020" spans="2:4" hidden="1" outlineLevel="2" x14ac:dyDescent="0.3">
      <c r="C2020" t="s">
        <v>1984</v>
      </c>
    </row>
    <row r="2021" spans="2:4" hidden="1" outlineLevel="2" x14ac:dyDescent="0.3">
      <c r="C2021" t="s">
        <v>1985</v>
      </c>
    </row>
    <row r="2022" spans="2:4" hidden="1" outlineLevel="2" x14ac:dyDescent="0.3">
      <c r="C2022" t="s">
        <v>1986</v>
      </c>
    </row>
    <row r="2023" spans="2:4" hidden="1" outlineLevel="2" x14ac:dyDescent="0.3">
      <c r="C2023" t="s">
        <v>1987</v>
      </c>
    </row>
    <row r="2024" spans="2:4" hidden="1" outlineLevel="2" x14ac:dyDescent="0.3">
      <c r="C2024" t="s">
        <v>1988</v>
      </c>
    </row>
    <row r="2025" spans="2:4" hidden="1" outlineLevel="2" x14ac:dyDescent="0.3">
      <c r="C2025" t="s">
        <v>1989</v>
      </c>
    </row>
    <row r="2026" spans="2:4" hidden="1" outlineLevel="2" x14ac:dyDescent="0.3">
      <c r="C2026" t="s">
        <v>1990</v>
      </c>
    </row>
    <row r="2027" spans="2:4" hidden="1" outlineLevel="2" x14ac:dyDescent="0.3">
      <c r="C2027" t="s">
        <v>1991</v>
      </c>
    </row>
    <row r="2028" spans="2:4" hidden="1" outlineLevel="3" x14ac:dyDescent="0.3">
      <c r="D2028" t="s">
        <v>1992</v>
      </c>
    </row>
    <row r="2029" spans="2:4" hidden="1" outlineLevel="3" x14ac:dyDescent="0.3">
      <c r="D2029" t="s">
        <v>1993</v>
      </c>
    </row>
    <row r="2030" spans="2:4" hidden="1" outlineLevel="3" x14ac:dyDescent="0.3">
      <c r="D2030" t="s">
        <v>1994</v>
      </c>
    </row>
    <row r="2031" spans="2:4" hidden="1" outlineLevel="2" x14ac:dyDescent="0.3">
      <c r="C2031" t="s">
        <v>1995</v>
      </c>
    </row>
    <row r="2032" spans="2:4" hidden="1" outlineLevel="2" x14ac:dyDescent="0.3">
      <c r="C2032" t="s">
        <v>1996</v>
      </c>
    </row>
    <row r="2033" spans="3:4" hidden="1" outlineLevel="2" x14ac:dyDescent="0.3">
      <c r="C2033" t="s">
        <v>1997</v>
      </c>
    </row>
    <row r="2034" spans="3:4" hidden="1" outlineLevel="2" x14ac:dyDescent="0.3">
      <c r="C2034" t="s">
        <v>1998</v>
      </c>
    </row>
    <row r="2035" spans="3:4" hidden="1" outlineLevel="2" x14ac:dyDescent="0.3">
      <c r="C2035" t="s">
        <v>1999</v>
      </c>
    </row>
    <row r="2036" spans="3:4" hidden="1" outlineLevel="3" x14ac:dyDescent="0.3">
      <c r="D2036" t="s">
        <v>2000</v>
      </c>
    </row>
    <row r="2037" spans="3:4" hidden="1" outlineLevel="3" x14ac:dyDescent="0.3">
      <c r="D2037" t="s">
        <v>2001</v>
      </c>
    </row>
    <row r="2038" spans="3:4" hidden="1" outlineLevel="3" x14ac:dyDescent="0.3">
      <c r="D2038" t="s">
        <v>2002</v>
      </c>
    </row>
    <row r="2039" spans="3:4" hidden="1" outlineLevel="3" x14ac:dyDescent="0.3">
      <c r="D2039" t="s">
        <v>2003</v>
      </c>
    </row>
    <row r="2040" spans="3:4" hidden="1" outlineLevel="3" x14ac:dyDescent="0.3">
      <c r="D2040" t="s">
        <v>2004</v>
      </c>
    </row>
    <row r="2041" spans="3:4" hidden="1" outlineLevel="3" x14ac:dyDescent="0.3">
      <c r="D2041" t="s">
        <v>2005</v>
      </c>
    </row>
    <row r="2042" spans="3:4" hidden="1" outlineLevel="3" x14ac:dyDescent="0.3">
      <c r="D2042" t="s">
        <v>2006</v>
      </c>
    </row>
    <row r="2043" spans="3:4" hidden="1" outlineLevel="3" x14ac:dyDescent="0.3">
      <c r="D2043" t="s">
        <v>2007</v>
      </c>
    </row>
    <row r="2044" spans="3:4" hidden="1" outlineLevel="3" x14ac:dyDescent="0.3">
      <c r="D2044" t="s">
        <v>2008</v>
      </c>
    </row>
    <row r="2045" spans="3:4" hidden="1" outlineLevel="2" x14ac:dyDescent="0.3">
      <c r="C2045" t="s">
        <v>2009</v>
      </c>
    </row>
    <row r="2046" spans="3:4" hidden="1" outlineLevel="3" x14ac:dyDescent="0.3">
      <c r="D2046" t="s">
        <v>2010</v>
      </c>
    </row>
    <row r="2047" spans="3:4" hidden="1" outlineLevel="3" x14ac:dyDescent="0.3">
      <c r="D2047" t="s">
        <v>2011</v>
      </c>
    </row>
    <row r="2048" spans="3:4" hidden="1" outlineLevel="3" x14ac:dyDescent="0.3">
      <c r="D2048" t="s">
        <v>2012</v>
      </c>
    </row>
    <row r="2049" spans="3:4" hidden="1" outlineLevel="3" x14ac:dyDescent="0.3">
      <c r="D2049" t="s">
        <v>2013</v>
      </c>
    </row>
    <row r="2050" spans="3:4" hidden="1" outlineLevel="3" x14ac:dyDescent="0.3">
      <c r="D2050" t="s">
        <v>2014</v>
      </c>
    </row>
    <row r="2051" spans="3:4" hidden="1" outlineLevel="2" x14ac:dyDescent="0.3">
      <c r="C2051" t="s">
        <v>2015</v>
      </c>
    </row>
    <row r="2052" spans="3:4" hidden="1" outlineLevel="2" x14ac:dyDescent="0.3">
      <c r="C2052" t="s">
        <v>2016</v>
      </c>
    </row>
    <row r="2053" spans="3:4" hidden="1" outlineLevel="3" x14ac:dyDescent="0.3">
      <c r="D2053" t="s">
        <v>2017</v>
      </c>
    </row>
    <row r="2054" spans="3:4" hidden="1" outlineLevel="3" x14ac:dyDescent="0.3">
      <c r="D2054" t="s">
        <v>2018</v>
      </c>
    </row>
    <row r="2055" spans="3:4" hidden="1" outlineLevel="3" x14ac:dyDescent="0.3">
      <c r="D2055" t="s">
        <v>2019</v>
      </c>
    </row>
    <row r="2056" spans="3:4" hidden="1" outlineLevel="3" x14ac:dyDescent="0.3">
      <c r="D2056" t="s">
        <v>2020</v>
      </c>
    </row>
    <row r="2057" spans="3:4" hidden="1" outlineLevel="3" x14ac:dyDescent="0.3">
      <c r="D2057" t="s">
        <v>2021</v>
      </c>
    </row>
    <row r="2058" spans="3:4" hidden="1" outlineLevel="3" x14ac:dyDescent="0.3">
      <c r="D2058" t="s">
        <v>2022</v>
      </c>
    </row>
    <row r="2059" spans="3:4" hidden="1" outlineLevel="3" x14ac:dyDescent="0.3">
      <c r="D2059" t="s">
        <v>2023</v>
      </c>
    </row>
    <row r="2060" spans="3:4" hidden="1" outlineLevel="2" x14ac:dyDescent="0.3">
      <c r="C2060" t="s">
        <v>2024</v>
      </c>
    </row>
    <row r="2061" spans="3:4" hidden="1" outlineLevel="2" x14ac:dyDescent="0.3">
      <c r="C2061" t="s">
        <v>2025</v>
      </c>
    </row>
    <row r="2062" spans="3:4" hidden="1" outlineLevel="2" x14ac:dyDescent="0.3">
      <c r="C2062" t="s">
        <v>2026</v>
      </c>
    </row>
    <row r="2063" spans="3:4" hidden="1" outlineLevel="3" x14ac:dyDescent="0.3">
      <c r="D2063" t="s">
        <v>2027</v>
      </c>
    </row>
    <row r="2064" spans="3:4" hidden="1" outlineLevel="3" x14ac:dyDescent="0.3">
      <c r="D2064" t="s">
        <v>2028</v>
      </c>
    </row>
    <row r="2065" spans="3:4" hidden="1" outlineLevel="3" x14ac:dyDescent="0.3">
      <c r="D2065" t="s">
        <v>2029</v>
      </c>
    </row>
    <row r="2066" spans="3:4" hidden="1" outlineLevel="3" x14ac:dyDescent="0.3">
      <c r="D2066" t="s">
        <v>2030</v>
      </c>
    </row>
    <row r="2067" spans="3:4" hidden="1" outlineLevel="2" x14ac:dyDescent="0.3">
      <c r="C2067" t="s">
        <v>2031</v>
      </c>
    </row>
    <row r="2068" spans="3:4" hidden="1" outlineLevel="3" x14ac:dyDescent="0.3">
      <c r="D2068" t="s">
        <v>2032</v>
      </c>
    </row>
    <row r="2069" spans="3:4" hidden="1" outlineLevel="3" x14ac:dyDescent="0.3">
      <c r="D2069" t="s">
        <v>2033</v>
      </c>
    </row>
    <row r="2070" spans="3:4" hidden="1" outlineLevel="3" x14ac:dyDescent="0.3">
      <c r="D2070" t="s">
        <v>2034</v>
      </c>
    </row>
    <row r="2071" spans="3:4" hidden="1" outlineLevel="3" x14ac:dyDescent="0.3">
      <c r="D2071" t="s">
        <v>2035</v>
      </c>
    </row>
    <row r="2072" spans="3:4" hidden="1" outlineLevel="3" x14ac:dyDescent="0.3">
      <c r="D2072" t="s">
        <v>2036</v>
      </c>
    </row>
    <row r="2073" spans="3:4" hidden="1" outlineLevel="3" x14ac:dyDescent="0.3">
      <c r="D2073" t="s">
        <v>2037</v>
      </c>
    </row>
    <row r="2074" spans="3:4" hidden="1" outlineLevel="3" x14ac:dyDescent="0.3">
      <c r="D2074" t="s">
        <v>2038</v>
      </c>
    </row>
    <row r="2075" spans="3:4" hidden="1" outlineLevel="2" x14ac:dyDescent="0.3">
      <c r="C2075" t="s">
        <v>2039</v>
      </c>
    </row>
    <row r="2076" spans="3:4" hidden="1" outlineLevel="3" x14ac:dyDescent="0.3">
      <c r="D2076" t="s">
        <v>2040</v>
      </c>
    </row>
    <row r="2077" spans="3:4" hidden="1" outlineLevel="3" x14ac:dyDescent="0.3">
      <c r="D2077" t="s">
        <v>2041</v>
      </c>
    </row>
    <row r="2078" spans="3:4" hidden="1" outlineLevel="3" x14ac:dyDescent="0.3">
      <c r="D2078" t="s">
        <v>2042</v>
      </c>
    </row>
    <row r="2079" spans="3:4" hidden="1" outlineLevel="2" x14ac:dyDescent="0.3">
      <c r="C2079" t="s">
        <v>2043</v>
      </c>
    </row>
    <row r="2080" spans="3:4" hidden="1" outlineLevel="3" x14ac:dyDescent="0.3">
      <c r="D2080" t="s">
        <v>2044</v>
      </c>
    </row>
    <row r="2081" spans="2:4" hidden="1" outlineLevel="3" x14ac:dyDescent="0.3">
      <c r="D2081" t="s">
        <v>2045</v>
      </c>
    </row>
    <row r="2082" spans="2:4" hidden="1" outlineLevel="3" x14ac:dyDescent="0.3">
      <c r="D2082" t="s">
        <v>2046</v>
      </c>
    </row>
    <row r="2083" spans="2:4" hidden="1" outlineLevel="3" x14ac:dyDescent="0.3">
      <c r="D2083" t="s">
        <v>2047</v>
      </c>
    </row>
    <row r="2084" spans="2:4" hidden="1" outlineLevel="3" x14ac:dyDescent="0.3">
      <c r="D2084" t="s">
        <v>2048</v>
      </c>
    </row>
    <row r="2085" spans="2:4" hidden="1" outlineLevel="2" x14ac:dyDescent="0.3">
      <c r="C2085" t="s">
        <v>2049</v>
      </c>
    </row>
    <row r="2086" spans="2:4" hidden="1" outlineLevel="2" x14ac:dyDescent="0.3">
      <c r="C2086" t="s">
        <v>2050</v>
      </c>
    </row>
    <row r="2087" spans="2:4" hidden="1" outlineLevel="2" x14ac:dyDescent="0.3">
      <c r="C2087" t="s">
        <v>2051</v>
      </c>
    </row>
    <row r="2088" spans="2:4" hidden="1" outlineLevel="2" x14ac:dyDescent="0.3">
      <c r="C2088" t="s">
        <v>2052</v>
      </c>
    </row>
    <row r="2089" spans="2:4" hidden="1" outlineLevel="2" x14ac:dyDescent="0.3">
      <c r="C2089" t="s">
        <v>2053</v>
      </c>
    </row>
    <row r="2090" spans="2:4" hidden="1" outlineLevel="2" x14ac:dyDescent="0.3">
      <c r="C2090" t="s">
        <v>2054</v>
      </c>
    </row>
    <row r="2091" spans="2:4" hidden="1" outlineLevel="2" x14ac:dyDescent="0.3">
      <c r="C2091" t="s">
        <v>2055</v>
      </c>
    </row>
    <row r="2092" spans="2:4" hidden="1" outlineLevel="2" x14ac:dyDescent="0.3">
      <c r="C2092" t="s">
        <v>2056</v>
      </c>
    </row>
    <row r="2093" spans="2:4" hidden="1" outlineLevel="2" x14ac:dyDescent="0.3">
      <c r="C2093" t="s">
        <v>2057</v>
      </c>
    </row>
    <row r="2094" spans="2:4" outlineLevel="1" collapsed="1" x14ac:dyDescent="0.3">
      <c r="B2094" t="s">
        <v>2058</v>
      </c>
    </row>
    <row r="2095" spans="2:4" hidden="1" outlineLevel="2" x14ac:dyDescent="0.3">
      <c r="C2095" t="s">
        <v>2059</v>
      </c>
    </row>
    <row r="2096" spans="2:4" hidden="1" outlineLevel="3" x14ac:dyDescent="0.3">
      <c r="D2096" t="s">
        <v>2060</v>
      </c>
    </row>
    <row r="2097" spans="4:4" hidden="1" outlineLevel="3" x14ac:dyDescent="0.3">
      <c r="D2097" t="s">
        <v>2061</v>
      </c>
    </row>
    <row r="2098" spans="4:4" hidden="1" outlineLevel="3" x14ac:dyDescent="0.3">
      <c r="D2098" t="s">
        <v>2062</v>
      </c>
    </row>
    <row r="2099" spans="4:4" hidden="1" outlineLevel="3" x14ac:dyDescent="0.3">
      <c r="D2099" t="s">
        <v>2063</v>
      </c>
    </row>
    <row r="2100" spans="4:4" hidden="1" outlineLevel="3" x14ac:dyDescent="0.3">
      <c r="D2100" t="s">
        <v>2064</v>
      </c>
    </row>
    <row r="2101" spans="4:4" hidden="1" outlineLevel="3" x14ac:dyDescent="0.3">
      <c r="D2101" t="s">
        <v>2065</v>
      </c>
    </row>
    <row r="2102" spans="4:4" hidden="1" outlineLevel="3" x14ac:dyDescent="0.3">
      <c r="D2102" t="s">
        <v>2066</v>
      </c>
    </row>
    <row r="2103" spans="4:4" hidden="1" outlineLevel="3" x14ac:dyDescent="0.3">
      <c r="D2103" t="s">
        <v>2067</v>
      </c>
    </row>
    <row r="2104" spans="4:4" hidden="1" outlineLevel="3" x14ac:dyDescent="0.3">
      <c r="D2104" t="s">
        <v>2068</v>
      </c>
    </row>
    <row r="2105" spans="4:4" hidden="1" outlineLevel="3" x14ac:dyDescent="0.3">
      <c r="D2105" t="s">
        <v>2069</v>
      </c>
    </row>
    <row r="2106" spans="4:4" hidden="1" outlineLevel="3" x14ac:dyDescent="0.3">
      <c r="D2106" t="s">
        <v>2070</v>
      </c>
    </row>
    <row r="2107" spans="4:4" hidden="1" outlineLevel="3" x14ac:dyDescent="0.3">
      <c r="D2107" t="s">
        <v>2071</v>
      </c>
    </row>
    <row r="2108" spans="4:4" hidden="1" outlineLevel="3" x14ac:dyDescent="0.3">
      <c r="D2108" t="s">
        <v>2072</v>
      </c>
    </row>
    <row r="2109" spans="4:4" hidden="1" outlineLevel="3" x14ac:dyDescent="0.3">
      <c r="D2109" t="s">
        <v>2073</v>
      </c>
    </row>
    <row r="2110" spans="4:4" hidden="1" outlineLevel="3" x14ac:dyDescent="0.3">
      <c r="D2110" t="s">
        <v>2074</v>
      </c>
    </row>
    <row r="2111" spans="4:4" hidden="1" outlineLevel="3" x14ac:dyDescent="0.3">
      <c r="D2111" t="s">
        <v>2075</v>
      </c>
    </row>
    <row r="2112" spans="4:4" hidden="1" outlineLevel="3" x14ac:dyDescent="0.3">
      <c r="D2112" t="s">
        <v>2076</v>
      </c>
    </row>
    <row r="2113" spans="3:4" hidden="1" outlineLevel="3" x14ac:dyDescent="0.3">
      <c r="D2113" t="s">
        <v>2077</v>
      </c>
    </row>
    <row r="2114" spans="3:4" hidden="1" outlineLevel="3" x14ac:dyDescent="0.3">
      <c r="D2114" t="s">
        <v>2078</v>
      </c>
    </row>
    <row r="2115" spans="3:4" hidden="1" outlineLevel="3" x14ac:dyDescent="0.3">
      <c r="D2115" t="s">
        <v>2079</v>
      </c>
    </row>
    <row r="2116" spans="3:4" hidden="1" outlineLevel="3" x14ac:dyDescent="0.3">
      <c r="D2116" t="s">
        <v>2080</v>
      </c>
    </row>
    <row r="2117" spans="3:4" hidden="1" outlineLevel="3" x14ac:dyDescent="0.3">
      <c r="D2117" t="s">
        <v>2081</v>
      </c>
    </row>
    <row r="2118" spans="3:4" hidden="1" outlineLevel="3" x14ac:dyDescent="0.3">
      <c r="D2118" t="s">
        <v>2082</v>
      </c>
    </row>
    <row r="2119" spans="3:4" hidden="1" outlineLevel="3" x14ac:dyDescent="0.3">
      <c r="D2119" t="s">
        <v>2083</v>
      </c>
    </row>
    <row r="2120" spans="3:4" hidden="1" outlineLevel="3" x14ac:dyDescent="0.3">
      <c r="D2120" t="s">
        <v>2084</v>
      </c>
    </row>
    <row r="2121" spans="3:4" hidden="1" outlineLevel="2" x14ac:dyDescent="0.3">
      <c r="C2121" t="s">
        <v>2085</v>
      </c>
    </row>
    <row r="2122" spans="3:4" hidden="1" outlineLevel="3" x14ac:dyDescent="0.3">
      <c r="D2122" t="s">
        <v>2086</v>
      </c>
    </row>
    <row r="2123" spans="3:4" hidden="1" outlineLevel="3" x14ac:dyDescent="0.3">
      <c r="D2123" t="s">
        <v>2087</v>
      </c>
    </row>
    <row r="2124" spans="3:4" hidden="1" outlineLevel="3" x14ac:dyDescent="0.3">
      <c r="D2124" t="s">
        <v>2088</v>
      </c>
    </row>
    <row r="2125" spans="3:4" hidden="1" outlineLevel="3" x14ac:dyDescent="0.3">
      <c r="D2125" t="s">
        <v>2089</v>
      </c>
    </row>
    <row r="2126" spans="3:4" hidden="1" outlineLevel="3" x14ac:dyDescent="0.3">
      <c r="D2126" t="s">
        <v>2090</v>
      </c>
    </row>
    <row r="2127" spans="3:4" hidden="1" outlineLevel="3" x14ac:dyDescent="0.3">
      <c r="D2127" t="s">
        <v>2091</v>
      </c>
    </row>
    <row r="2128" spans="3:4" hidden="1" outlineLevel="3" x14ac:dyDescent="0.3">
      <c r="D2128" t="s">
        <v>2092</v>
      </c>
    </row>
    <row r="2129" spans="4:4" hidden="1" outlineLevel="3" x14ac:dyDescent="0.3">
      <c r="D2129" t="s">
        <v>2093</v>
      </c>
    </row>
    <row r="2130" spans="4:4" hidden="1" outlineLevel="3" x14ac:dyDescent="0.3">
      <c r="D2130" t="s">
        <v>2094</v>
      </c>
    </row>
    <row r="2131" spans="4:4" hidden="1" outlineLevel="3" x14ac:dyDescent="0.3">
      <c r="D2131" t="s">
        <v>2095</v>
      </c>
    </row>
    <row r="2132" spans="4:4" hidden="1" outlineLevel="3" x14ac:dyDescent="0.3">
      <c r="D2132" t="s">
        <v>2096</v>
      </c>
    </row>
    <row r="2133" spans="4:4" hidden="1" outlineLevel="3" x14ac:dyDescent="0.3">
      <c r="D2133" t="s">
        <v>2097</v>
      </c>
    </row>
    <row r="2134" spans="4:4" hidden="1" outlineLevel="3" x14ac:dyDescent="0.3">
      <c r="D2134" t="s">
        <v>2098</v>
      </c>
    </row>
    <row r="2135" spans="4:4" hidden="1" outlineLevel="3" x14ac:dyDescent="0.3">
      <c r="D2135" t="s">
        <v>2099</v>
      </c>
    </row>
    <row r="2136" spans="4:4" hidden="1" outlineLevel="3" x14ac:dyDescent="0.3">
      <c r="D2136" t="s">
        <v>2100</v>
      </c>
    </row>
    <row r="2137" spans="4:4" hidden="1" outlineLevel="3" x14ac:dyDescent="0.3">
      <c r="D2137" t="s">
        <v>2101</v>
      </c>
    </row>
    <row r="2138" spans="4:4" hidden="1" outlineLevel="3" x14ac:dyDescent="0.3">
      <c r="D2138" t="s">
        <v>2102</v>
      </c>
    </row>
    <row r="2139" spans="4:4" hidden="1" outlineLevel="3" x14ac:dyDescent="0.3">
      <c r="D2139" t="s">
        <v>2103</v>
      </c>
    </row>
    <row r="2140" spans="4:4" hidden="1" outlineLevel="3" x14ac:dyDescent="0.3">
      <c r="D2140" t="s">
        <v>2104</v>
      </c>
    </row>
    <row r="2141" spans="4:4" hidden="1" outlineLevel="3" x14ac:dyDescent="0.3">
      <c r="D2141" t="s">
        <v>2105</v>
      </c>
    </row>
    <row r="2142" spans="4:4" hidden="1" outlineLevel="3" x14ac:dyDescent="0.3">
      <c r="D2142" t="s">
        <v>2106</v>
      </c>
    </row>
    <row r="2143" spans="4:4" hidden="1" outlineLevel="3" x14ac:dyDescent="0.3">
      <c r="D2143" t="s">
        <v>2107</v>
      </c>
    </row>
    <row r="2144" spans="4:4" hidden="1" outlineLevel="3" x14ac:dyDescent="0.3">
      <c r="D2144" t="s">
        <v>2108</v>
      </c>
    </row>
    <row r="2145" spans="2:4" hidden="1" outlineLevel="3" x14ac:dyDescent="0.3">
      <c r="D2145" t="s">
        <v>2109</v>
      </c>
    </row>
    <row r="2146" spans="2:4" hidden="1" outlineLevel="3" x14ac:dyDescent="0.3">
      <c r="D2146" t="s">
        <v>2110</v>
      </c>
    </row>
    <row r="2147" spans="2:4" hidden="1" outlineLevel="3" x14ac:dyDescent="0.3">
      <c r="D2147" t="s">
        <v>2111</v>
      </c>
    </row>
    <row r="2148" spans="2:4" hidden="1" outlineLevel="3" x14ac:dyDescent="0.3">
      <c r="D2148" t="s">
        <v>2112</v>
      </c>
    </row>
    <row r="2149" spans="2:4" hidden="1" outlineLevel="3" x14ac:dyDescent="0.3">
      <c r="D2149" t="s">
        <v>2113</v>
      </c>
    </row>
    <row r="2150" spans="2:4" hidden="1" outlineLevel="3" x14ac:dyDescent="0.3">
      <c r="D2150" t="s">
        <v>2114</v>
      </c>
    </row>
    <row r="2151" spans="2:4" hidden="1" outlineLevel="3" x14ac:dyDescent="0.3">
      <c r="D2151" t="s">
        <v>2115</v>
      </c>
    </row>
    <row r="2152" spans="2:4" hidden="1" outlineLevel="3" x14ac:dyDescent="0.3">
      <c r="D2152" t="s">
        <v>2116</v>
      </c>
    </row>
    <row r="2153" spans="2:4" hidden="1" outlineLevel="2" x14ac:dyDescent="0.3">
      <c r="C2153" t="s">
        <v>2117</v>
      </c>
    </row>
    <row r="2154" spans="2:4" hidden="1" outlineLevel="2" x14ac:dyDescent="0.3">
      <c r="C2154" t="s">
        <v>2118</v>
      </c>
    </row>
    <row r="2155" spans="2:4" outlineLevel="1" collapsed="1" x14ac:dyDescent="0.3">
      <c r="B2155" t="s">
        <v>2119</v>
      </c>
    </row>
    <row r="2156" spans="2:4" outlineLevel="1" x14ac:dyDescent="0.3">
      <c r="B2156" t="s">
        <v>2120</v>
      </c>
    </row>
    <row r="2157" spans="2:4" outlineLevel="1" x14ac:dyDescent="0.3">
      <c r="B2157" t="s">
        <v>2121</v>
      </c>
    </row>
    <row r="2158" spans="2:4" outlineLevel="1" x14ac:dyDescent="0.3">
      <c r="B2158" t="s">
        <v>2122</v>
      </c>
    </row>
    <row r="2159" spans="2:4" outlineLevel="1" x14ac:dyDescent="0.3">
      <c r="B2159" t="s">
        <v>2123</v>
      </c>
    </row>
    <row r="2160" spans="2:4" outlineLevel="1" x14ac:dyDescent="0.3">
      <c r="B2160" t="s">
        <v>2124</v>
      </c>
    </row>
    <row r="2161" spans="1:4" outlineLevel="1" x14ac:dyDescent="0.3">
      <c r="B2161" t="s">
        <v>2125</v>
      </c>
    </row>
    <row r="2162" spans="1:4" outlineLevel="1" x14ac:dyDescent="0.3">
      <c r="B2162" t="s">
        <v>2126</v>
      </c>
    </row>
    <row r="2163" spans="1:4" x14ac:dyDescent="0.3">
      <c r="A2163" t="s">
        <v>2127</v>
      </c>
    </row>
    <row r="2164" spans="1:4" outlineLevel="1" x14ac:dyDescent="0.3">
      <c r="B2164" t="s">
        <v>2128</v>
      </c>
    </row>
    <row r="2165" spans="1:4" hidden="1" outlineLevel="2" x14ac:dyDescent="0.3">
      <c r="C2165" t="s">
        <v>2129</v>
      </c>
    </row>
    <row r="2166" spans="1:4" hidden="1" outlineLevel="3" x14ac:dyDescent="0.3">
      <c r="D2166" t="s">
        <v>2130</v>
      </c>
    </row>
    <row r="2167" spans="1:4" hidden="1" outlineLevel="3" x14ac:dyDescent="0.3">
      <c r="D2167" t="s">
        <v>2131</v>
      </c>
    </row>
    <row r="2168" spans="1:4" hidden="1" outlineLevel="3" x14ac:dyDescent="0.3">
      <c r="D2168" t="s">
        <v>2132</v>
      </c>
    </row>
    <row r="2169" spans="1:4" hidden="1" outlineLevel="3" x14ac:dyDescent="0.3">
      <c r="D2169" t="s">
        <v>2133</v>
      </c>
    </row>
    <row r="2170" spans="1:4" hidden="1" outlineLevel="3" x14ac:dyDescent="0.3">
      <c r="D2170" t="s">
        <v>2134</v>
      </c>
    </row>
    <row r="2171" spans="1:4" hidden="1" outlineLevel="3" x14ac:dyDescent="0.3">
      <c r="D2171" t="s">
        <v>2135</v>
      </c>
    </row>
    <row r="2172" spans="1:4" hidden="1" outlineLevel="2" x14ac:dyDescent="0.3">
      <c r="C2172" t="s">
        <v>2136</v>
      </c>
    </row>
    <row r="2173" spans="1:4" hidden="1" outlineLevel="2" x14ac:dyDescent="0.3">
      <c r="C2173" t="s">
        <v>2137</v>
      </c>
    </row>
    <row r="2174" spans="1:4" hidden="1" outlineLevel="2" x14ac:dyDescent="0.3">
      <c r="C2174" t="s">
        <v>2138</v>
      </c>
    </row>
    <row r="2175" spans="1:4" hidden="1" outlineLevel="2" x14ac:dyDescent="0.3">
      <c r="C2175" t="s">
        <v>2139</v>
      </c>
    </row>
    <row r="2176" spans="1:4" hidden="1" outlineLevel="2" x14ac:dyDescent="0.3">
      <c r="C2176" t="s">
        <v>2140</v>
      </c>
    </row>
    <row r="2177" spans="3:4" hidden="1" outlineLevel="2" x14ac:dyDescent="0.3">
      <c r="C2177" t="s">
        <v>2141</v>
      </c>
    </row>
    <row r="2178" spans="3:4" hidden="1" outlineLevel="2" x14ac:dyDescent="0.3">
      <c r="C2178" t="s">
        <v>2142</v>
      </c>
    </row>
    <row r="2179" spans="3:4" hidden="1" outlineLevel="2" x14ac:dyDescent="0.3">
      <c r="C2179" t="s">
        <v>2143</v>
      </c>
    </row>
    <row r="2180" spans="3:4" hidden="1" outlineLevel="2" x14ac:dyDescent="0.3">
      <c r="C2180" t="s">
        <v>2144</v>
      </c>
    </row>
    <row r="2181" spans="3:4" hidden="1" outlineLevel="2" x14ac:dyDescent="0.3">
      <c r="C2181" t="s">
        <v>2145</v>
      </c>
    </row>
    <row r="2182" spans="3:4" hidden="1" outlineLevel="2" x14ac:dyDescent="0.3">
      <c r="C2182" t="s">
        <v>2146</v>
      </c>
    </row>
    <row r="2183" spans="3:4" hidden="1" outlineLevel="2" x14ac:dyDescent="0.3">
      <c r="C2183" t="s">
        <v>2147</v>
      </c>
    </row>
    <row r="2184" spans="3:4" hidden="1" outlineLevel="2" x14ac:dyDescent="0.3">
      <c r="C2184" t="s">
        <v>2148</v>
      </c>
    </row>
    <row r="2185" spans="3:4" hidden="1" outlineLevel="3" x14ac:dyDescent="0.3">
      <c r="D2185" t="s">
        <v>2149</v>
      </c>
    </row>
    <row r="2186" spans="3:4" hidden="1" outlineLevel="3" x14ac:dyDescent="0.3">
      <c r="D2186" t="s">
        <v>2150</v>
      </c>
    </row>
    <row r="2187" spans="3:4" hidden="1" outlineLevel="3" x14ac:dyDescent="0.3">
      <c r="D2187" t="s">
        <v>2151</v>
      </c>
    </row>
    <row r="2188" spans="3:4" hidden="1" outlineLevel="3" x14ac:dyDescent="0.3">
      <c r="D2188" t="s">
        <v>2152</v>
      </c>
    </row>
    <row r="2189" spans="3:4" hidden="1" outlineLevel="2" x14ac:dyDescent="0.3">
      <c r="C2189" t="s">
        <v>2153</v>
      </c>
    </row>
    <row r="2190" spans="3:4" hidden="1" outlineLevel="2" x14ac:dyDescent="0.3">
      <c r="C2190" t="s">
        <v>2154</v>
      </c>
    </row>
    <row r="2191" spans="3:4" hidden="1" outlineLevel="2" x14ac:dyDescent="0.3">
      <c r="C2191" t="s">
        <v>2155</v>
      </c>
    </row>
    <row r="2192" spans="3:4" hidden="1" outlineLevel="2" x14ac:dyDescent="0.3">
      <c r="C2192" t="s">
        <v>2156</v>
      </c>
    </row>
    <row r="2193" spans="3:4" hidden="1" outlineLevel="3" x14ac:dyDescent="0.3">
      <c r="D2193" t="s">
        <v>2157</v>
      </c>
    </row>
    <row r="2194" spans="3:4" hidden="1" outlineLevel="3" x14ac:dyDescent="0.3">
      <c r="D2194" t="s">
        <v>2158</v>
      </c>
    </row>
    <row r="2195" spans="3:4" hidden="1" outlineLevel="3" x14ac:dyDescent="0.3">
      <c r="D2195" t="s">
        <v>2159</v>
      </c>
    </row>
    <row r="2196" spans="3:4" hidden="1" outlineLevel="3" x14ac:dyDescent="0.3">
      <c r="D2196" t="s">
        <v>2160</v>
      </c>
    </row>
    <row r="2197" spans="3:4" hidden="1" outlineLevel="3" x14ac:dyDescent="0.3">
      <c r="D2197" t="s">
        <v>2161</v>
      </c>
    </row>
    <row r="2198" spans="3:4" hidden="1" outlineLevel="3" x14ac:dyDescent="0.3">
      <c r="D2198" t="s">
        <v>2162</v>
      </c>
    </row>
    <row r="2199" spans="3:4" hidden="1" outlineLevel="3" x14ac:dyDescent="0.3">
      <c r="D2199" t="s">
        <v>2163</v>
      </c>
    </row>
    <row r="2200" spans="3:4" hidden="1" outlineLevel="3" x14ac:dyDescent="0.3">
      <c r="D2200" t="s">
        <v>2164</v>
      </c>
    </row>
    <row r="2201" spans="3:4" hidden="1" outlineLevel="3" x14ac:dyDescent="0.3">
      <c r="D2201" t="s">
        <v>2165</v>
      </c>
    </row>
    <row r="2202" spans="3:4" hidden="1" outlineLevel="3" x14ac:dyDescent="0.3">
      <c r="D2202" t="s">
        <v>2166</v>
      </c>
    </row>
    <row r="2203" spans="3:4" hidden="1" outlineLevel="3" x14ac:dyDescent="0.3">
      <c r="D2203" t="s">
        <v>2167</v>
      </c>
    </row>
    <row r="2204" spans="3:4" hidden="1" outlineLevel="3" x14ac:dyDescent="0.3">
      <c r="D2204" t="s">
        <v>2168</v>
      </c>
    </row>
    <row r="2205" spans="3:4" hidden="1" outlineLevel="3" x14ac:dyDescent="0.3">
      <c r="D2205" t="s">
        <v>2169</v>
      </c>
    </row>
    <row r="2206" spans="3:4" hidden="1" outlineLevel="2" x14ac:dyDescent="0.3">
      <c r="C2206" t="s">
        <v>2170</v>
      </c>
    </row>
    <row r="2207" spans="3:4" hidden="1" outlineLevel="3" x14ac:dyDescent="0.3">
      <c r="D2207" t="s">
        <v>2171</v>
      </c>
    </row>
    <row r="2208" spans="3:4" hidden="1" outlineLevel="3" x14ac:dyDescent="0.3">
      <c r="D2208" t="s">
        <v>2172</v>
      </c>
    </row>
    <row r="2209" spans="3:4" hidden="1" outlineLevel="3" x14ac:dyDescent="0.3">
      <c r="D2209" t="s">
        <v>2173</v>
      </c>
    </row>
    <row r="2210" spans="3:4" hidden="1" outlineLevel="3" x14ac:dyDescent="0.3">
      <c r="D2210" t="s">
        <v>2174</v>
      </c>
    </row>
    <row r="2211" spans="3:4" hidden="1" outlineLevel="3" x14ac:dyDescent="0.3">
      <c r="D2211" t="s">
        <v>2175</v>
      </c>
    </row>
    <row r="2212" spans="3:4" hidden="1" outlineLevel="3" x14ac:dyDescent="0.3">
      <c r="D2212" t="s">
        <v>2176</v>
      </c>
    </row>
    <row r="2213" spans="3:4" hidden="1" outlineLevel="3" x14ac:dyDescent="0.3">
      <c r="D2213" t="s">
        <v>2177</v>
      </c>
    </row>
    <row r="2214" spans="3:4" hidden="1" outlineLevel="3" x14ac:dyDescent="0.3">
      <c r="D2214" t="s">
        <v>2178</v>
      </c>
    </row>
    <row r="2215" spans="3:4" hidden="1" outlineLevel="3" x14ac:dyDescent="0.3">
      <c r="D2215" t="s">
        <v>2179</v>
      </c>
    </row>
    <row r="2216" spans="3:4" hidden="1" outlineLevel="3" x14ac:dyDescent="0.3">
      <c r="D2216" t="s">
        <v>2180</v>
      </c>
    </row>
    <row r="2217" spans="3:4" hidden="1" outlineLevel="3" x14ac:dyDescent="0.3">
      <c r="D2217" t="s">
        <v>2181</v>
      </c>
    </row>
    <row r="2218" spans="3:4" hidden="1" outlineLevel="3" x14ac:dyDescent="0.3">
      <c r="D2218" t="s">
        <v>2182</v>
      </c>
    </row>
    <row r="2219" spans="3:4" hidden="1" outlineLevel="2" x14ac:dyDescent="0.3">
      <c r="C2219" t="s">
        <v>2183</v>
      </c>
    </row>
    <row r="2220" spans="3:4" hidden="1" outlineLevel="2" x14ac:dyDescent="0.3">
      <c r="C2220" t="s">
        <v>2184</v>
      </c>
    </row>
    <row r="2221" spans="3:4" hidden="1" outlineLevel="2" x14ac:dyDescent="0.3">
      <c r="C2221" t="s">
        <v>2185</v>
      </c>
    </row>
    <row r="2222" spans="3:4" hidden="1" outlineLevel="2" x14ac:dyDescent="0.3">
      <c r="C2222" t="s">
        <v>2186</v>
      </c>
    </row>
    <row r="2223" spans="3:4" hidden="1" outlineLevel="2" x14ac:dyDescent="0.3">
      <c r="C2223" t="s">
        <v>2187</v>
      </c>
    </row>
    <row r="2224" spans="3:4" hidden="1" outlineLevel="2" x14ac:dyDescent="0.3">
      <c r="C2224" t="s">
        <v>2188</v>
      </c>
    </row>
    <row r="2225" spans="2:4" hidden="1" outlineLevel="2" x14ac:dyDescent="0.3">
      <c r="C2225" t="s">
        <v>2189</v>
      </c>
    </row>
    <row r="2226" spans="2:4" hidden="1" outlineLevel="2" x14ac:dyDescent="0.3">
      <c r="C2226" t="s">
        <v>2190</v>
      </c>
    </row>
    <row r="2227" spans="2:4" hidden="1" outlineLevel="2" x14ac:dyDescent="0.3">
      <c r="C2227" t="s">
        <v>2191</v>
      </c>
    </row>
    <row r="2228" spans="2:4" hidden="1" outlineLevel="2" x14ac:dyDescent="0.3">
      <c r="C2228" t="s">
        <v>2192</v>
      </c>
    </row>
    <row r="2229" spans="2:4" hidden="1" outlineLevel="2" x14ac:dyDescent="0.3">
      <c r="C2229" t="s">
        <v>2193</v>
      </c>
    </row>
    <row r="2230" spans="2:4" hidden="1" outlineLevel="2" x14ac:dyDescent="0.3">
      <c r="C2230" t="s">
        <v>2194</v>
      </c>
    </row>
    <row r="2231" spans="2:4" outlineLevel="1" collapsed="1" x14ac:dyDescent="0.3">
      <c r="B2231" t="s">
        <v>2195</v>
      </c>
    </row>
    <row r="2232" spans="2:4" hidden="1" outlineLevel="2" x14ac:dyDescent="0.3">
      <c r="C2232" t="s">
        <v>2196</v>
      </c>
    </row>
    <row r="2233" spans="2:4" hidden="1" outlineLevel="3" x14ac:dyDescent="0.3">
      <c r="D2233" t="s">
        <v>2197</v>
      </c>
    </row>
    <row r="2234" spans="2:4" hidden="1" outlineLevel="3" x14ac:dyDescent="0.3">
      <c r="D2234" t="s">
        <v>2198</v>
      </c>
    </row>
    <row r="2235" spans="2:4" hidden="1" outlineLevel="3" x14ac:dyDescent="0.3">
      <c r="D2235" t="s">
        <v>2199</v>
      </c>
    </row>
    <row r="2236" spans="2:4" hidden="1" outlineLevel="3" x14ac:dyDescent="0.3">
      <c r="D2236" t="s">
        <v>2200</v>
      </c>
    </row>
    <row r="2237" spans="2:4" hidden="1" outlineLevel="3" x14ac:dyDescent="0.3">
      <c r="D2237" t="s">
        <v>2201</v>
      </c>
    </row>
    <row r="2238" spans="2:4" hidden="1" outlineLevel="3" x14ac:dyDescent="0.3">
      <c r="D2238" t="s">
        <v>2202</v>
      </c>
    </row>
    <row r="2239" spans="2:4" hidden="1" outlineLevel="2" x14ac:dyDescent="0.3">
      <c r="C2239" t="s">
        <v>2203</v>
      </c>
    </row>
    <row r="2240" spans="2:4" hidden="1" outlineLevel="2" x14ac:dyDescent="0.3">
      <c r="C2240" t="s">
        <v>2204</v>
      </c>
    </row>
    <row r="2241" spans="3:4" hidden="1" outlineLevel="2" x14ac:dyDescent="0.3">
      <c r="C2241" t="s">
        <v>2205</v>
      </c>
    </row>
    <row r="2242" spans="3:4" hidden="1" outlineLevel="2" x14ac:dyDescent="0.3">
      <c r="C2242" t="s">
        <v>2206</v>
      </c>
    </row>
    <row r="2243" spans="3:4" hidden="1" outlineLevel="2" x14ac:dyDescent="0.3">
      <c r="C2243" t="s">
        <v>2207</v>
      </c>
    </row>
    <row r="2244" spans="3:4" hidden="1" outlineLevel="2" x14ac:dyDescent="0.3">
      <c r="C2244" t="s">
        <v>2208</v>
      </c>
    </row>
    <row r="2245" spans="3:4" hidden="1" outlineLevel="2" x14ac:dyDescent="0.3">
      <c r="C2245" t="s">
        <v>2209</v>
      </c>
    </row>
    <row r="2246" spans="3:4" hidden="1" outlineLevel="2" x14ac:dyDescent="0.3">
      <c r="C2246" t="s">
        <v>2210</v>
      </c>
    </row>
    <row r="2247" spans="3:4" hidden="1" outlineLevel="2" x14ac:dyDescent="0.3">
      <c r="C2247" t="s">
        <v>2211</v>
      </c>
    </row>
    <row r="2248" spans="3:4" hidden="1" outlineLevel="2" x14ac:dyDescent="0.3">
      <c r="C2248" t="s">
        <v>2212</v>
      </c>
    </row>
    <row r="2249" spans="3:4" hidden="1" outlineLevel="2" x14ac:dyDescent="0.3">
      <c r="C2249" t="s">
        <v>2213</v>
      </c>
    </row>
    <row r="2250" spans="3:4" hidden="1" outlineLevel="2" x14ac:dyDescent="0.3">
      <c r="C2250" t="s">
        <v>2214</v>
      </c>
    </row>
    <row r="2251" spans="3:4" hidden="1" outlineLevel="2" x14ac:dyDescent="0.3">
      <c r="C2251" t="s">
        <v>2215</v>
      </c>
    </row>
    <row r="2252" spans="3:4" hidden="1" outlineLevel="3" x14ac:dyDescent="0.3">
      <c r="D2252" t="s">
        <v>2216</v>
      </c>
    </row>
    <row r="2253" spans="3:4" hidden="1" outlineLevel="3" x14ac:dyDescent="0.3">
      <c r="D2253" t="s">
        <v>2217</v>
      </c>
    </row>
    <row r="2254" spans="3:4" hidden="1" outlineLevel="3" x14ac:dyDescent="0.3">
      <c r="D2254" t="s">
        <v>2218</v>
      </c>
    </row>
    <row r="2255" spans="3:4" hidden="1" outlineLevel="3" x14ac:dyDescent="0.3">
      <c r="D2255" t="s">
        <v>2219</v>
      </c>
    </row>
    <row r="2256" spans="3:4" hidden="1" outlineLevel="2" x14ac:dyDescent="0.3">
      <c r="C2256" t="s">
        <v>2220</v>
      </c>
    </row>
    <row r="2257" spans="3:4" hidden="1" outlineLevel="2" x14ac:dyDescent="0.3">
      <c r="C2257" t="s">
        <v>2221</v>
      </c>
    </row>
    <row r="2258" spans="3:4" hidden="1" outlineLevel="2" x14ac:dyDescent="0.3">
      <c r="C2258" t="s">
        <v>2222</v>
      </c>
    </row>
    <row r="2259" spans="3:4" hidden="1" outlineLevel="2" x14ac:dyDescent="0.3">
      <c r="C2259" t="s">
        <v>2223</v>
      </c>
    </row>
    <row r="2260" spans="3:4" hidden="1" outlineLevel="3" x14ac:dyDescent="0.3">
      <c r="D2260" t="s">
        <v>2224</v>
      </c>
    </row>
    <row r="2261" spans="3:4" hidden="1" outlineLevel="3" x14ac:dyDescent="0.3">
      <c r="D2261" t="s">
        <v>2225</v>
      </c>
    </row>
    <row r="2262" spans="3:4" hidden="1" outlineLevel="3" x14ac:dyDescent="0.3">
      <c r="D2262" t="s">
        <v>2226</v>
      </c>
    </row>
    <row r="2263" spans="3:4" hidden="1" outlineLevel="3" x14ac:dyDescent="0.3">
      <c r="D2263" t="s">
        <v>2227</v>
      </c>
    </row>
    <row r="2264" spans="3:4" hidden="1" outlineLevel="3" x14ac:dyDescent="0.3">
      <c r="D2264" t="s">
        <v>2228</v>
      </c>
    </row>
    <row r="2265" spans="3:4" hidden="1" outlineLevel="3" x14ac:dyDescent="0.3">
      <c r="D2265" t="s">
        <v>2229</v>
      </c>
    </row>
    <row r="2266" spans="3:4" hidden="1" outlineLevel="3" x14ac:dyDescent="0.3">
      <c r="D2266" t="s">
        <v>2230</v>
      </c>
    </row>
    <row r="2267" spans="3:4" hidden="1" outlineLevel="3" x14ac:dyDescent="0.3">
      <c r="D2267" t="s">
        <v>2231</v>
      </c>
    </row>
    <row r="2268" spans="3:4" hidden="1" outlineLevel="3" x14ac:dyDescent="0.3">
      <c r="D2268" t="s">
        <v>2232</v>
      </c>
    </row>
    <row r="2269" spans="3:4" hidden="1" outlineLevel="3" x14ac:dyDescent="0.3">
      <c r="D2269" t="s">
        <v>2233</v>
      </c>
    </row>
    <row r="2270" spans="3:4" hidden="1" outlineLevel="3" x14ac:dyDescent="0.3">
      <c r="D2270" t="s">
        <v>2234</v>
      </c>
    </row>
    <row r="2271" spans="3:4" hidden="1" outlineLevel="3" x14ac:dyDescent="0.3">
      <c r="D2271" t="s">
        <v>2235</v>
      </c>
    </row>
    <row r="2272" spans="3:4" hidden="1" outlineLevel="3" x14ac:dyDescent="0.3">
      <c r="D2272" t="s">
        <v>2236</v>
      </c>
    </row>
    <row r="2273" spans="3:4" hidden="1" outlineLevel="3" x14ac:dyDescent="0.3">
      <c r="D2273" t="s">
        <v>2237</v>
      </c>
    </row>
    <row r="2274" spans="3:4" hidden="1" outlineLevel="2" x14ac:dyDescent="0.3">
      <c r="C2274" t="s">
        <v>2238</v>
      </c>
    </row>
    <row r="2275" spans="3:4" hidden="1" outlineLevel="3" x14ac:dyDescent="0.3">
      <c r="D2275" t="s">
        <v>2239</v>
      </c>
    </row>
    <row r="2276" spans="3:4" hidden="1" outlineLevel="3" x14ac:dyDescent="0.3">
      <c r="D2276" t="s">
        <v>2240</v>
      </c>
    </row>
    <row r="2277" spans="3:4" hidden="1" outlineLevel="3" x14ac:dyDescent="0.3">
      <c r="D2277" t="s">
        <v>2241</v>
      </c>
    </row>
    <row r="2278" spans="3:4" hidden="1" outlineLevel="3" x14ac:dyDescent="0.3">
      <c r="D2278" t="s">
        <v>2242</v>
      </c>
    </row>
    <row r="2279" spans="3:4" hidden="1" outlineLevel="3" x14ac:dyDescent="0.3">
      <c r="D2279" t="s">
        <v>2243</v>
      </c>
    </row>
    <row r="2280" spans="3:4" hidden="1" outlineLevel="3" x14ac:dyDescent="0.3">
      <c r="D2280" t="s">
        <v>2244</v>
      </c>
    </row>
    <row r="2281" spans="3:4" hidden="1" outlineLevel="3" x14ac:dyDescent="0.3">
      <c r="D2281" t="s">
        <v>2245</v>
      </c>
    </row>
    <row r="2282" spans="3:4" hidden="1" outlineLevel="3" x14ac:dyDescent="0.3">
      <c r="D2282" t="s">
        <v>2246</v>
      </c>
    </row>
    <row r="2283" spans="3:4" hidden="1" outlineLevel="3" x14ac:dyDescent="0.3">
      <c r="D2283" t="s">
        <v>2247</v>
      </c>
    </row>
    <row r="2284" spans="3:4" hidden="1" outlineLevel="3" x14ac:dyDescent="0.3">
      <c r="D2284" t="s">
        <v>2248</v>
      </c>
    </row>
    <row r="2285" spans="3:4" hidden="1" outlineLevel="3" x14ac:dyDescent="0.3">
      <c r="D2285" t="s">
        <v>2249</v>
      </c>
    </row>
    <row r="2286" spans="3:4" hidden="1" outlineLevel="3" x14ac:dyDescent="0.3">
      <c r="D2286" t="s">
        <v>2250</v>
      </c>
    </row>
    <row r="2287" spans="3:4" hidden="1" outlineLevel="3" x14ac:dyDescent="0.3">
      <c r="D2287" t="s">
        <v>2251</v>
      </c>
    </row>
    <row r="2288" spans="3:4" hidden="1" outlineLevel="2" x14ac:dyDescent="0.3">
      <c r="C2288" t="s">
        <v>2252</v>
      </c>
    </row>
    <row r="2289" spans="2:3" hidden="1" outlineLevel="2" x14ac:dyDescent="0.3">
      <c r="C2289" t="s">
        <v>2253</v>
      </c>
    </row>
    <row r="2290" spans="2:3" hidden="1" outlineLevel="2" x14ac:dyDescent="0.3">
      <c r="C2290" t="s">
        <v>2254</v>
      </c>
    </row>
    <row r="2291" spans="2:3" hidden="1" outlineLevel="2" x14ac:dyDescent="0.3">
      <c r="C2291" t="s">
        <v>2255</v>
      </c>
    </row>
    <row r="2292" spans="2:3" hidden="1" outlineLevel="2" x14ac:dyDescent="0.3">
      <c r="C2292" t="s">
        <v>2256</v>
      </c>
    </row>
    <row r="2293" spans="2:3" hidden="1" outlineLevel="2" x14ac:dyDescent="0.3">
      <c r="C2293" t="s">
        <v>2257</v>
      </c>
    </row>
    <row r="2294" spans="2:3" hidden="1" outlineLevel="2" x14ac:dyDescent="0.3">
      <c r="C2294" t="s">
        <v>2258</v>
      </c>
    </row>
    <row r="2295" spans="2:3" hidden="1" outlineLevel="2" x14ac:dyDescent="0.3">
      <c r="C2295" t="s">
        <v>2259</v>
      </c>
    </row>
    <row r="2296" spans="2:3" hidden="1" outlineLevel="2" x14ac:dyDescent="0.3">
      <c r="C2296" t="s">
        <v>2260</v>
      </c>
    </row>
    <row r="2297" spans="2:3" hidden="1" outlineLevel="2" x14ac:dyDescent="0.3">
      <c r="C2297" t="s">
        <v>2261</v>
      </c>
    </row>
    <row r="2298" spans="2:3" hidden="1" outlineLevel="2" x14ac:dyDescent="0.3">
      <c r="C2298" t="s">
        <v>2262</v>
      </c>
    </row>
    <row r="2299" spans="2:3" hidden="1" outlineLevel="2" x14ac:dyDescent="0.3">
      <c r="C2299" t="s">
        <v>2263</v>
      </c>
    </row>
    <row r="2300" spans="2:3" outlineLevel="1" collapsed="1" x14ac:dyDescent="0.3">
      <c r="B2300" t="s">
        <v>2264</v>
      </c>
    </row>
    <row r="2301" spans="2:3" outlineLevel="1" x14ac:dyDescent="0.3">
      <c r="B2301" t="s">
        <v>2265</v>
      </c>
    </row>
    <row r="2302" spans="2:3" outlineLevel="1" x14ac:dyDescent="0.3">
      <c r="B2302" t="s">
        <v>2266</v>
      </c>
    </row>
    <row r="2303" spans="2:3" outlineLevel="1" x14ac:dyDescent="0.3">
      <c r="B2303" t="s">
        <v>2267</v>
      </c>
    </row>
    <row r="2304" spans="2:3" outlineLevel="1" x14ac:dyDescent="0.3">
      <c r="B2304" t="s">
        <v>2268</v>
      </c>
    </row>
    <row r="2305" spans="1:3" outlineLevel="1" x14ac:dyDescent="0.3">
      <c r="B2305" t="s">
        <v>2269</v>
      </c>
    </row>
    <row r="2306" spans="1:3" x14ac:dyDescent="0.3">
      <c r="A2306" t="s">
        <v>2270</v>
      </c>
    </row>
    <row r="2307" spans="1:3" outlineLevel="1" x14ac:dyDescent="0.3">
      <c r="B2307" t="s">
        <v>2271</v>
      </c>
    </row>
    <row r="2308" spans="1:3" hidden="1" outlineLevel="2" x14ac:dyDescent="0.3">
      <c r="C2308" t="s">
        <v>2272</v>
      </c>
    </row>
    <row r="2309" spans="1:3" hidden="1" outlineLevel="2" x14ac:dyDescent="0.3">
      <c r="C2309" t="s">
        <v>2273</v>
      </c>
    </row>
    <row r="2310" spans="1:3" hidden="1" outlineLevel="2" x14ac:dyDescent="0.3">
      <c r="C2310" t="s">
        <v>2274</v>
      </c>
    </row>
    <row r="2311" spans="1:3" hidden="1" outlineLevel="2" x14ac:dyDescent="0.3">
      <c r="C2311" t="s">
        <v>2275</v>
      </c>
    </row>
    <row r="2312" spans="1:3" hidden="1" outlineLevel="2" x14ac:dyDescent="0.3">
      <c r="C2312" t="s">
        <v>2276</v>
      </c>
    </row>
    <row r="2313" spans="1:3" hidden="1" outlineLevel="2" x14ac:dyDescent="0.3">
      <c r="C2313" t="s">
        <v>2277</v>
      </c>
    </row>
    <row r="2314" spans="1:3" hidden="1" outlineLevel="2" x14ac:dyDescent="0.3">
      <c r="C2314" t="s">
        <v>2278</v>
      </c>
    </row>
    <row r="2315" spans="1:3" hidden="1" outlineLevel="2" x14ac:dyDescent="0.3">
      <c r="C2315" t="s">
        <v>2279</v>
      </c>
    </row>
    <row r="2316" spans="1:3" hidden="1" outlineLevel="2" x14ac:dyDescent="0.3">
      <c r="C2316" t="s">
        <v>2280</v>
      </c>
    </row>
    <row r="2317" spans="1:3" hidden="1" outlineLevel="2" x14ac:dyDescent="0.3">
      <c r="C2317" t="s">
        <v>2281</v>
      </c>
    </row>
    <row r="2318" spans="1:3" hidden="1" outlineLevel="2" x14ac:dyDescent="0.3">
      <c r="C2318" t="s">
        <v>2282</v>
      </c>
    </row>
    <row r="2319" spans="1:3" hidden="1" outlineLevel="2" x14ac:dyDescent="0.3">
      <c r="C2319" t="s">
        <v>2283</v>
      </c>
    </row>
    <row r="2320" spans="1:3" hidden="1" outlineLevel="2" x14ac:dyDescent="0.3">
      <c r="C2320" t="s">
        <v>2284</v>
      </c>
    </row>
    <row r="2321" spans="3:3" hidden="1" outlineLevel="2" x14ac:dyDescent="0.3">
      <c r="C2321" t="s">
        <v>2285</v>
      </c>
    </row>
    <row r="2322" spans="3:3" hidden="1" outlineLevel="2" x14ac:dyDescent="0.3">
      <c r="C2322" t="s">
        <v>2286</v>
      </c>
    </row>
    <row r="2323" spans="3:3" hidden="1" outlineLevel="2" x14ac:dyDescent="0.3">
      <c r="C2323" t="s">
        <v>2287</v>
      </c>
    </row>
    <row r="2324" spans="3:3" hidden="1" outlineLevel="2" x14ac:dyDescent="0.3">
      <c r="C2324" t="s">
        <v>2288</v>
      </c>
    </row>
    <row r="2325" spans="3:3" hidden="1" outlineLevel="2" x14ac:dyDescent="0.3">
      <c r="C2325" t="s">
        <v>2289</v>
      </c>
    </row>
    <row r="2326" spans="3:3" hidden="1" outlineLevel="2" x14ac:dyDescent="0.3">
      <c r="C2326" t="s">
        <v>2290</v>
      </c>
    </row>
    <row r="2327" spans="3:3" hidden="1" outlineLevel="2" x14ac:dyDescent="0.3">
      <c r="C2327" t="s">
        <v>2291</v>
      </c>
    </row>
    <row r="2328" spans="3:3" hidden="1" outlineLevel="2" x14ac:dyDescent="0.3">
      <c r="C2328" t="s">
        <v>2292</v>
      </c>
    </row>
    <row r="2329" spans="3:3" hidden="1" outlineLevel="2" x14ac:dyDescent="0.3">
      <c r="C2329" t="s">
        <v>2293</v>
      </c>
    </row>
    <row r="2330" spans="3:3" hidden="1" outlineLevel="2" x14ac:dyDescent="0.3">
      <c r="C2330" t="s">
        <v>2294</v>
      </c>
    </row>
    <row r="2331" spans="3:3" hidden="1" outlineLevel="2" x14ac:dyDescent="0.3">
      <c r="C2331" t="s">
        <v>2295</v>
      </c>
    </row>
    <row r="2332" spans="3:3" hidden="1" outlineLevel="2" x14ac:dyDescent="0.3">
      <c r="C2332" t="s">
        <v>2296</v>
      </c>
    </row>
    <row r="2333" spans="3:3" hidden="1" outlineLevel="2" x14ac:dyDescent="0.3">
      <c r="C2333" t="s">
        <v>2297</v>
      </c>
    </row>
    <row r="2334" spans="3:3" hidden="1" outlineLevel="2" x14ac:dyDescent="0.3">
      <c r="C2334" t="s">
        <v>2298</v>
      </c>
    </row>
    <row r="2335" spans="3:3" hidden="1" outlineLevel="2" x14ac:dyDescent="0.3">
      <c r="C2335" t="s">
        <v>2299</v>
      </c>
    </row>
    <row r="2336" spans="3:3" hidden="1" outlineLevel="2" x14ac:dyDescent="0.3">
      <c r="C2336" t="s">
        <v>2300</v>
      </c>
    </row>
    <row r="2337" spans="2:3" hidden="1" outlineLevel="2" x14ac:dyDescent="0.3">
      <c r="C2337" t="s">
        <v>2301</v>
      </c>
    </row>
    <row r="2338" spans="2:3" hidden="1" outlineLevel="2" x14ac:dyDescent="0.3">
      <c r="C2338" t="s">
        <v>2302</v>
      </c>
    </row>
    <row r="2339" spans="2:3" outlineLevel="1" collapsed="1" x14ac:dyDescent="0.3">
      <c r="B2339" t="s">
        <v>2303</v>
      </c>
    </row>
    <row r="2340" spans="2:3" hidden="1" outlineLevel="2" x14ac:dyDescent="0.3">
      <c r="C2340" t="s">
        <v>2304</v>
      </c>
    </row>
    <row r="2341" spans="2:3" hidden="1" outlineLevel="2" x14ac:dyDescent="0.3">
      <c r="C2341" t="s">
        <v>2305</v>
      </c>
    </row>
    <row r="2342" spans="2:3" hidden="1" outlineLevel="2" x14ac:dyDescent="0.3">
      <c r="C2342" t="s">
        <v>2306</v>
      </c>
    </row>
    <row r="2343" spans="2:3" hidden="1" outlineLevel="2" x14ac:dyDescent="0.3">
      <c r="C2343" t="s">
        <v>2307</v>
      </c>
    </row>
    <row r="2344" spans="2:3" hidden="1" outlineLevel="2" x14ac:dyDescent="0.3">
      <c r="C2344" t="s">
        <v>2308</v>
      </c>
    </row>
    <row r="2345" spans="2:3" hidden="1" outlineLevel="2" x14ac:dyDescent="0.3">
      <c r="C2345" t="s">
        <v>2309</v>
      </c>
    </row>
    <row r="2346" spans="2:3" hidden="1" outlineLevel="2" x14ac:dyDescent="0.3">
      <c r="C2346" t="s">
        <v>2310</v>
      </c>
    </row>
    <row r="2347" spans="2:3" hidden="1" outlineLevel="2" x14ac:dyDescent="0.3">
      <c r="C2347" t="s">
        <v>2311</v>
      </c>
    </row>
    <row r="2348" spans="2:3" hidden="1" outlineLevel="2" x14ac:dyDescent="0.3">
      <c r="C2348" t="s">
        <v>2312</v>
      </c>
    </row>
    <row r="2349" spans="2:3" hidden="1" outlineLevel="2" x14ac:dyDescent="0.3">
      <c r="C2349" t="s">
        <v>2313</v>
      </c>
    </row>
    <row r="2350" spans="2:3" hidden="1" outlineLevel="2" x14ac:dyDescent="0.3">
      <c r="C2350" t="s">
        <v>2314</v>
      </c>
    </row>
    <row r="2351" spans="2:3" hidden="1" outlineLevel="2" x14ac:dyDescent="0.3">
      <c r="C2351" t="s">
        <v>2315</v>
      </c>
    </row>
    <row r="2352" spans="2:3" hidden="1" outlineLevel="2" x14ac:dyDescent="0.3">
      <c r="C2352" t="s">
        <v>2316</v>
      </c>
    </row>
    <row r="2353" spans="3:3" hidden="1" outlineLevel="2" x14ac:dyDescent="0.3">
      <c r="C2353" t="s">
        <v>2317</v>
      </c>
    </row>
    <row r="2354" spans="3:3" hidden="1" outlineLevel="2" x14ac:dyDescent="0.3">
      <c r="C2354" t="s">
        <v>2318</v>
      </c>
    </row>
    <row r="2355" spans="3:3" hidden="1" outlineLevel="2" x14ac:dyDescent="0.3">
      <c r="C2355" t="s">
        <v>2319</v>
      </c>
    </row>
    <row r="2356" spans="3:3" hidden="1" outlineLevel="2" x14ac:dyDescent="0.3">
      <c r="C2356" t="s">
        <v>2320</v>
      </c>
    </row>
    <row r="2357" spans="3:3" hidden="1" outlineLevel="2" x14ac:dyDescent="0.3">
      <c r="C2357" t="s">
        <v>2321</v>
      </c>
    </row>
    <row r="2358" spans="3:3" hidden="1" outlineLevel="2" x14ac:dyDescent="0.3">
      <c r="C2358" t="s">
        <v>2322</v>
      </c>
    </row>
    <row r="2359" spans="3:3" hidden="1" outlineLevel="2" x14ac:dyDescent="0.3">
      <c r="C2359" t="s">
        <v>2323</v>
      </c>
    </row>
    <row r="2360" spans="3:3" hidden="1" outlineLevel="2" x14ac:dyDescent="0.3">
      <c r="C2360" t="s">
        <v>2324</v>
      </c>
    </row>
    <row r="2361" spans="3:3" hidden="1" outlineLevel="2" x14ac:dyDescent="0.3">
      <c r="C2361" t="s">
        <v>2325</v>
      </c>
    </row>
    <row r="2362" spans="3:3" hidden="1" outlineLevel="2" x14ac:dyDescent="0.3">
      <c r="C2362" t="s">
        <v>2326</v>
      </c>
    </row>
    <row r="2363" spans="3:3" hidden="1" outlineLevel="2" x14ac:dyDescent="0.3">
      <c r="C2363" t="s">
        <v>2327</v>
      </c>
    </row>
    <row r="2364" spans="3:3" hidden="1" outlineLevel="2" x14ac:dyDescent="0.3">
      <c r="C2364" t="s">
        <v>2328</v>
      </c>
    </row>
    <row r="2365" spans="3:3" hidden="1" outlineLevel="2" x14ac:dyDescent="0.3">
      <c r="C2365" t="s">
        <v>2329</v>
      </c>
    </row>
    <row r="2366" spans="3:3" hidden="1" outlineLevel="2" x14ac:dyDescent="0.3">
      <c r="C2366" t="s">
        <v>2330</v>
      </c>
    </row>
    <row r="2367" spans="3:3" hidden="1" outlineLevel="2" x14ac:dyDescent="0.3">
      <c r="C2367" t="s">
        <v>2331</v>
      </c>
    </row>
    <row r="2368" spans="3:3" hidden="1" outlineLevel="2" x14ac:dyDescent="0.3">
      <c r="C2368" t="s">
        <v>2332</v>
      </c>
    </row>
    <row r="2369" spans="1:3" hidden="1" outlineLevel="2" x14ac:dyDescent="0.3">
      <c r="C2369" t="s">
        <v>2333</v>
      </c>
    </row>
    <row r="2370" spans="1:3" hidden="1" outlineLevel="2" x14ac:dyDescent="0.3">
      <c r="C2370" t="s">
        <v>2334</v>
      </c>
    </row>
    <row r="2371" spans="1:3" outlineLevel="1" collapsed="1" x14ac:dyDescent="0.3">
      <c r="B2371" t="s">
        <v>2335</v>
      </c>
    </row>
    <row r="2372" spans="1:3" outlineLevel="1" x14ac:dyDescent="0.3">
      <c r="B2372" t="s">
        <v>2336</v>
      </c>
    </row>
    <row r="2373" spans="1:3" outlineLevel="1" x14ac:dyDescent="0.3">
      <c r="B2373" t="s">
        <v>2337</v>
      </c>
    </row>
    <row r="2374" spans="1:3" outlineLevel="1" x14ac:dyDescent="0.3">
      <c r="B2374" t="s">
        <v>2338</v>
      </c>
    </row>
    <row r="2375" spans="1:3" outlineLevel="1" x14ac:dyDescent="0.3">
      <c r="B2375" t="s">
        <v>2339</v>
      </c>
    </row>
    <row r="2376" spans="1:3" outlineLevel="1" x14ac:dyDescent="0.3">
      <c r="B2376" t="s">
        <v>2340</v>
      </c>
    </row>
    <row r="2377" spans="1:3" x14ac:dyDescent="0.3">
      <c r="A2377" t="s">
        <v>2341</v>
      </c>
    </row>
    <row r="2378" spans="1:3" x14ac:dyDescent="0.3">
      <c r="A2378" t="s">
        <v>2342</v>
      </c>
    </row>
    <row r="2379" spans="1:3" x14ac:dyDescent="0.3">
      <c r="A2379" t="s">
        <v>2343</v>
      </c>
    </row>
    <row r="2380" spans="1:3" x14ac:dyDescent="0.3">
      <c r="A2380" t="s">
        <v>2344</v>
      </c>
    </row>
    <row r="2381" spans="1:3" x14ac:dyDescent="0.3">
      <c r="A2381" t="s">
        <v>2345</v>
      </c>
    </row>
    <row r="2382" spans="1:3" x14ac:dyDescent="0.3">
      <c r="A2382" t="s">
        <v>2346</v>
      </c>
    </row>
    <row r="2383" spans="1:3" x14ac:dyDescent="0.3">
      <c r="A2383" t="s">
        <v>2347</v>
      </c>
    </row>
    <row r="2394" spans="1:2" x14ac:dyDescent="0.3">
      <c r="A2394" t="s">
        <v>0</v>
      </c>
    </row>
    <row r="2395" spans="1:2" outlineLevel="1" x14ac:dyDescent="0.3">
      <c r="B2395" t="s">
        <v>2379</v>
      </c>
    </row>
    <row r="2396" spans="1:2" outlineLevel="1" x14ac:dyDescent="0.3">
      <c r="B2396" t="s">
        <v>2380</v>
      </c>
    </row>
    <row r="2397" spans="1:2" outlineLevel="1" x14ac:dyDescent="0.3">
      <c r="B2397" t="s">
        <v>2381</v>
      </c>
    </row>
    <row r="2398" spans="1:2" outlineLevel="1" x14ac:dyDescent="0.3">
      <c r="B2398" t="s">
        <v>2382</v>
      </c>
    </row>
    <row r="2399" spans="1:2" outlineLevel="1" x14ac:dyDescent="0.3">
      <c r="B2399" t="s">
        <v>2383</v>
      </c>
    </row>
    <row r="2400" spans="1:2" outlineLevel="1" x14ac:dyDescent="0.3">
      <c r="B2400" t="s">
        <v>2384</v>
      </c>
    </row>
    <row r="2401" spans="1:2" outlineLevel="1" x14ac:dyDescent="0.3">
      <c r="B2401" t="s">
        <v>2385</v>
      </c>
    </row>
    <row r="2402" spans="1:2" outlineLevel="1" x14ac:dyDescent="0.3">
      <c r="B2402" t="s">
        <v>2386</v>
      </c>
    </row>
    <row r="2403" spans="1:2" outlineLevel="1" x14ac:dyDescent="0.3">
      <c r="B2403" t="s">
        <v>2387</v>
      </c>
    </row>
    <row r="2404" spans="1:2" outlineLevel="1" x14ac:dyDescent="0.3">
      <c r="B2404" t="s">
        <v>2388</v>
      </c>
    </row>
    <row r="2405" spans="1:2" outlineLevel="1" x14ac:dyDescent="0.3">
      <c r="B2405" t="s">
        <v>2389</v>
      </c>
    </row>
    <row r="2406" spans="1:2" outlineLevel="1" x14ac:dyDescent="0.3">
      <c r="B2406" t="s">
        <v>2390</v>
      </c>
    </row>
    <row r="2407" spans="1:2" outlineLevel="1" x14ac:dyDescent="0.3">
      <c r="B2407" t="s">
        <v>2391</v>
      </c>
    </row>
    <row r="2408" spans="1:2" outlineLevel="1" x14ac:dyDescent="0.3">
      <c r="B2408" t="s">
        <v>2392</v>
      </c>
    </row>
    <row r="2409" spans="1:2" outlineLevel="1" x14ac:dyDescent="0.3">
      <c r="B2409" t="s">
        <v>2393</v>
      </c>
    </row>
    <row r="2410" spans="1:2" outlineLevel="1" x14ac:dyDescent="0.3">
      <c r="B2410" t="s">
        <v>2394</v>
      </c>
    </row>
    <row r="2411" spans="1:2" outlineLevel="1" x14ac:dyDescent="0.3">
      <c r="B2411" t="s">
        <v>2395</v>
      </c>
    </row>
    <row r="2412" spans="1:2" outlineLevel="1" x14ac:dyDescent="0.3">
      <c r="B2412" t="s">
        <v>2396</v>
      </c>
    </row>
    <row r="2413" spans="1:2" outlineLevel="1" x14ac:dyDescent="0.3">
      <c r="B2413" t="s">
        <v>2397</v>
      </c>
    </row>
    <row r="2414" spans="1:2" outlineLevel="1" x14ac:dyDescent="0.3">
      <c r="B2414" t="s">
        <v>2398</v>
      </c>
    </row>
    <row r="2415" spans="1:2" x14ac:dyDescent="0.3">
      <c r="A2415" t="s">
        <v>26</v>
      </c>
    </row>
    <row r="2416" spans="1:2" outlineLevel="1" x14ac:dyDescent="0.3">
      <c r="B2416" t="s">
        <v>27</v>
      </c>
    </row>
    <row r="2417" spans="1:3" hidden="1" outlineLevel="2" x14ac:dyDescent="0.3">
      <c r="C2417" t="s">
        <v>28</v>
      </c>
    </row>
    <row r="2418" spans="1:3" hidden="1" outlineLevel="2" x14ac:dyDescent="0.3">
      <c r="C2418" t="s">
        <v>29</v>
      </c>
    </row>
    <row r="2419" spans="1:3" hidden="1" outlineLevel="2" x14ac:dyDescent="0.3">
      <c r="C2419" t="s">
        <v>30</v>
      </c>
    </row>
    <row r="2420" spans="1:3" hidden="1" outlineLevel="2" x14ac:dyDescent="0.3">
      <c r="C2420" t="s">
        <v>31</v>
      </c>
    </row>
    <row r="2421" spans="1:3" hidden="1" outlineLevel="2" x14ac:dyDescent="0.3">
      <c r="C2421" t="s">
        <v>32</v>
      </c>
    </row>
    <row r="2422" spans="1:3" hidden="1" outlineLevel="2" x14ac:dyDescent="0.3">
      <c r="C2422" t="s">
        <v>33</v>
      </c>
    </row>
    <row r="2423" spans="1:3" hidden="1" outlineLevel="2" x14ac:dyDescent="0.3">
      <c r="C2423" t="s">
        <v>34</v>
      </c>
    </row>
    <row r="2424" spans="1:3" hidden="1" outlineLevel="2" x14ac:dyDescent="0.3">
      <c r="C2424" t="s">
        <v>2399</v>
      </c>
    </row>
    <row r="2425" spans="1:3" outlineLevel="1" collapsed="1" x14ac:dyDescent="0.3">
      <c r="B2425" t="s">
        <v>35</v>
      </c>
    </row>
    <row r="2426" spans="1:3" outlineLevel="1" x14ac:dyDescent="0.3">
      <c r="B2426" t="s">
        <v>36</v>
      </c>
    </row>
    <row r="2427" spans="1:3" outlineLevel="1" x14ac:dyDescent="0.3">
      <c r="B2427" t="s">
        <v>520</v>
      </c>
    </row>
    <row r="2428" spans="1:3" x14ac:dyDescent="0.3">
      <c r="A2428" t="s">
        <v>37</v>
      </c>
    </row>
    <row r="2429" spans="1:3" outlineLevel="1" x14ac:dyDescent="0.3">
      <c r="B2429" t="s">
        <v>2400</v>
      </c>
    </row>
    <row r="2430" spans="1:3" outlineLevel="1" x14ac:dyDescent="0.3">
      <c r="B2430" t="s">
        <v>2401</v>
      </c>
    </row>
    <row r="2431" spans="1:3" outlineLevel="1" x14ac:dyDescent="0.3">
      <c r="B2431" t="s">
        <v>2402</v>
      </c>
    </row>
    <row r="2432" spans="1:3" outlineLevel="1" x14ac:dyDescent="0.3">
      <c r="B2432" t="s">
        <v>2403</v>
      </c>
    </row>
    <row r="2433" spans="1:2" outlineLevel="1" x14ac:dyDescent="0.3">
      <c r="B2433" t="s">
        <v>2404</v>
      </c>
    </row>
    <row r="2434" spans="1:2" outlineLevel="1" x14ac:dyDescent="0.3">
      <c r="B2434" t="s">
        <v>2405</v>
      </c>
    </row>
    <row r="2435" spans="1:2" outlineLevel="1" x14ac:dyDescent="0.3">
      <c r="B2435" t="s">
        <v>2406</v>
      </c>
    </row>
    <row r="2436" spans="1:2" outlineLevel="1" x14ac:dyDescent="0.3">
      <c r="B2436" t="s">
        <v>2407</v>
      </c>
    </row>
    <row r="2437" spans="1:2" outlineLevel="1" x14ac:dyDescent="0.3">
      <c r="B2437" t="s">
        <v>2408</v>
      </c>
    </row>
    <row r="2438" spans="1:2" outlineLevel="1" x14ac:dyDescent="0.3">
      <c r="B2438" t="s">
        <v>2409</v>
      </c>
    </row>
    <row r="2439" spans="1:2" outlineLevel="1" x14ac:dyDescent="0.3">
      <c r="B2439" t="s">
        <v>2410</v>
      </c>
    </row>
    <row r="2440" spans="1:2" outlineLevel="1" x14ac:dyDescent="0.3">
      <c r="B2440" t="s">
        <v>2411</v>
      </c>
    </row>
    <row r="2441" spans="1:2" outlineLevel="1" x14ac:dyDescent="0.3">
      <c r="B2441" t="s">
        <v>2412</v>
      </c>
    </row>
    <row r="2442" spans="1:2" outlineLevel="1" x14ac:dyDescent="0.3">
      <c r="B2442" t="s">
        <v>2413</v>
      </c>
    </row>
    <row r="2448" spans="1:2" x14ac:dyDescent="0.3">
      <c r="A2448" t="s">
        <v>2415</v>
      </c>
    </row>
    <row r="2449" spans="1:2" outlineLevel="1" x14ac:dyDescent="0.3">
      <c r="B2449" t="s">
        <v>2416</v>
      </c>
    </row>
    <row r="2450" spans="1:2" outlineLevel="1" x14ac:dyDescent="0.3">
      <c r="B2450" t="s">
        <v>2417</v>
      </c>
    </row>
    <row r="2451" spans="1:2" outlineLevel="1" x14ac:dyDescent="0.3">
      <c r="B2451" t="s">
        <v>2418</v>
      </c>
    </row>
    <row r="2452" spans="1:2" x14ac:dyDescent="0.3">
      <c r="A2452" t="s">
        <v>2419</v>
      </c>
    </row>
    <row r="2453" spans="1:2" outlineLevel="1" x14ac:dyDescent="0.3">
      <c r="B2453" t="s">
        <v>2420</v>
      </c>
    </row>
    <row r="2454" spans="1:2" outlineLevel="1" x14ac:dyDescent="0.3">
      <c r="B2454" t="s">
        <v>2421</v>
      </c>
    </row>
    <row r="2455" spans="1:2" x14ac:dyDescent="0.3">
      <c r="A2455" t="s">
        <v>2422</v>
      </c>
    </row>
    <row r="2456" spans="1:2" outlineLevel="1" x14ac:dyDescent="0.3">
      <c r="B2456" t="s">
        <v>2423</v>
      </c>
    </row>
    <row r="2457" spans="1:2" outlineLevel="1" x14ac:dyDescent="0.3">
      <c r="B2457" t="s">
        <v>2424</v>
      </c>
    </row>
    <row r="2458" spans="1:2" outlineLevel="1" x14ac:dyDescent="0.3">
      <c r="B2458" t="s">
        <v>2425</v>
      </c>
    </row>
    <row r="2459" spans="1:2" outlineLevel="1" x14ac:dyDescent="0.3">
      <c r="B2459" t="s">
        <v>2426</v>
      </c>
    </row>
    <row r="2460" spans="1:2" x14ac:dyDescent="0.3">
      <c r="A2460" t="s">
        <v>2427</v>
      </c>
    </row>
    <row r="2461" spans="1:2" outlineLevel="1" x14ac:dyDescent="0.3">
      <c r="B2461" t="s">
        <v>2428</v>
      </c>
    </row>
    <row r="2462" spans="1:2" outlineLevel="1" x14ac:dyDescent="0.3">
      <c r="B2462" t="s">
        <v>2429</v>
      </c>
    </row>
    <row r="2463" spans="1:2" x14ac:dyDescent="0.3">
      <c r="A2463" t="s">
        <v>2430</v>
      </c>
    </row>
    <row r="2464" spans="1:2" outlineLevel="1" x14ac:dyDescent="0.3">
      <c r="B2464" t="s">
        <v>2431</v>
      </c>
    </row>
    <row r="2465" spans="1:2" outlineLevel="1" x14ac:dyDescent="0.3">
      <c r="B2465" t="s">
        <v>2432</v>
      </c>
    </row>
    <row r="2466" spans="1:2" x14ac:dyDescent="0.3">
      <c r="A2466" t="s">
        <v>2433</v>
      </c>
    </row>
    <row r="2467" spans="1:2" outlineLevel="1" x14ac:dyDescent="0.3">
      <c r="B2467" t="s">
        <v>2434</v>
      </c>
    </row>
    <row r="2468" spans="1:2" outlineLevel="1" x14ac:dyDescent="0.3">
      <c r="B2468" t="s">
        <v>2435</v>
      </c>
    </row>
    <row r="2469" spans="1:2" outlineLevel="1" x14ac:dyDescent="0.3">
      <c r="B2469" t="s">
        <v>2436</v>
      </c>
    </row>
    <row r="2470" spans="1:2" outlineLevel="1" x14ac:dyDescent="0.3">
      <c r="B2470" t="s">
        <v>2437</v>
      </c>
    </row>
    <row r="2471" spans="1:2" x14ac:dyDescent="0.3">
      <c r="A2471" t="s">
        <v>2438</v>
      </c>
    </row>
    <row r="2472" spans="1:2" outlineLevel="1" x14ac:dyDescent="0.3">
      <c r="B2472" t="s">
        <v>2439</v>
      </c>
    </row>
    <row r="2473" spans="1:2" outlineLevel="1" x14ac:dyDescent="0.3">
      <c r="B2473" t="s">
        <v>2440</v>
      </c>
    </row>
    <row r="2474" spans="1:2" x14ac:dyDescent="0.3">
      <c r="A2474" t="s">
        <v>2441</v>
      </c>
    </row>
    <row r="2475" spans="1:2" x14ac:dyDescent="0.3">
      <c r="A2475" t="s">
        <v>2442</v>
      </c>
    </row>
    <row r="2476" spans="1:2" x14ac:dyDescent="0.3">
      <c r="A2476" t="s">
        <v>2443</v>
      </c>
    </row>
    <row r="2477" spans="1:2" outlineLevel="1" x14ac:dyDescent="0.3">
      <c r="B2477" t="s">
        <v>78</v>
      </c>
    </row>
    <row r="2478" spans="1:2" outlineLevel="1" x14ac:dyDescent="0.3">
      <c r="B2478" t="s">
        <v>2444</v>
      </c>
    </row>
    <row r="2479" spans="1:2" outlineLevel="1" x14ac:dyDescent="0.3">
      <c r="B2479" t="s">
        <v>2445</v>
      </c>
    </row>
    <row r="2480" spans="1:2" outlineLevel="1" x14ac:dyDescent="0.3">
      <c r="B2480" t="s">
        <v>2446</v>
      </c>
    </row>
    <row r="2481" spans="1:2" outlineLevel="1" x14ac:dyDescent="0.3">
      <c r="B2481" t="s">
        <v>93</v>
      </c>
    </row>
    <row r="2482" spans="1:2" outlineLevel="1" x14ac:dyDescent="0.3">
      <c r="B2482" t="s">
        <v>2447</v>
      </c>
    </row>
    <row r="2483" spans="1:2" x14ac:dyDescent="0.3">
      <c r="A2483" t="s">
        <v>99</v>
      </c>
    </row>
    <row r="2484" spans="1:2" x14ac:dyDescent="0.3">
      <c r="A2484" t="s">
        <v>2448</v>
      </c>
    </row>
    <row r="2485" spans="1:2" x14ac:dyDescent="0.3">
      <c r="A2485" t="s">
        <v>2449</v>
      </c>
    </row>
    <row r="2486" spans="1:2" x14ac:dyDescent="0.3">
      <c r="A2486" t="s">
        <v>330</v>
      </c>
    </row>
    <row r="2487" spans="1:2" x14ac:dyDescent="0.3">
      <c r="A2487" t="s">
        <v>333</v>
      </c>
    </row>
    <row r="2488" spans="1:2" x14ac:dyDescent="0.3">
      <c r="A2488" t="s">
        <v>336</v>
      </c>
    </row>
    <row r="2489" spans="1:2" x14ac:dyDescent="0.3">
      <c r="A2489" t="s">
        <v>339</v>
      </c>
    </row>
    <row r="2490" spans="1:2" x14ac:dyDescent="0.3">
      <c r="A2490" t="s">
        <v>342</v>
      </c>
    </row>
    <row r="2491" spans="1:2" x14ac:dyDescent="0.3">
      <c r="A2491" t="s">
        <v>345</v>
      </c>
    </row>
    <row r="2492" spans="1:2" x14ac:dyDescent="0.3">
      <c r="A2492" t="s">
        <v>348</v>
      </c>
    </row>
    <row r="2493" spans="1:2" x14ac:dyDescent="0.3">
      <c r="A2493" t="s">
        <v>351</v>
      </c>
    </row>
    <row r="2494" spans="1:2" x14ac:dyDescent="0.3">
      <c r="A2494" t="s">
        <v>354</v>
      </c>
    </row>
    <row r="2495" spans="1:2" outlineLevel="1" x14ac:dyDescent="0.3">
      <c r="B2495" t="s">
        <v>357</v>
      </c>
    </row>
    <row r="2496" spans="1:2" outlineLevel="1" x14ac:dyDescent="0.3">
      <c r="B2496" t="s">
        <v>360</v>
      </c>
    </row>
    <row r="2497" spans="1:2" x14ac:dyDescent="0.3">
      <c r="A2497" t="s">
        <v>363</v>
      </c>
    </row>
    <row r="2498" spans="1:2" outlineLevel="1" x14ac:dyDescent="0.3">
      <c r="B2498" t="s">
        <v>366</v>
      </c>
    </row>
    <row r="2499" spans="1:2" outlineLevel="1" x14ac:dyDescent="0.3">
      <c r="B2499" t="s">
        <v>369</v>
      </c>
    </row>
    <row r="2500" spans="1:2" x14ac:dyDescent="0.3">
      <c r="A2500" t="s">
        <v>372</v>
      </c>
    </row>
    <row r="2501" spans="1:2" x14ac:dyDescent="0.3">
      <c r="A2501" t="s">
        <v>375</v>
      </c>
    </row>
    <row r="2507" spans="1:2" x14ac:dyDescent="0.3">
      <c r="A2507" t="s">
        <v>67</v>
      </c>
    </row>
    <row r="2508" spans="1:2" outlineLevel="1" x14ac:dyDescent="0.3">
      <c r="B2508" t="s">
        <v>70</v>
      </c>
    </row>
    <row r="2509" spans="1:2" outlineLevel="1" x14ac:dyDescent="0.3">
      <c r="B2509" t="s">
        <v>73</v>
      </c>
    </row>
    <row r="2510" spans="1:2" outlineLevel="1" x14ac:dyDescent="0.3">
      <c r="B2510" t="s">
        <v>76</v>
      </c>
    </row>
    <row r="2511" spans="1:2" outlineLevel="1" x14ac:dyDescent="0.3">
      <c r="B2511" t="s">
        <v>79</v>
      </c>
    </row>
    <row r="2512" spans="1:2" outlineLevel="1" x14ac:dyDescent="0.3">
      <c r="B2512" t="s">
        <v>82</v>
      </c>
    </row>
    <row r="2513" spans="1:2" outlineLevel="1" x14ac:dyDescent="0.3">
      <c r="B2513" t="s">
        <v>85</v>
      </c>
    </row>
    <row r="2514" spans="1:2" outlineLevel="1" x14ac:dyDescent="0.3">
      <c r="B2514" t="s">
        <v>88</v>
      </c>
    </row>
    <row r="2515" spans="1:2" outlineLevel="1" x14ac:dyDescent="0.3">
      <c r="B2515" t="s">
        <v>91</v>
      </c>
    </row>
    <row r="2516" spans="1:2" outlineLevel="1" x14ac:dyDescent="0.3">
      <c r="B2516" t="s">
        <v>94</v>
      </c>
    </row>
    <row r="2517" spans="1:2" outlineLevel="1" x14ac:dyDescent="0.3">
      <c r="B2517" t="s">
        <v>97</v>
      </c>
    </row>
    <row r="2518" spans="1:2" outlineLevel="1" x14ac:dyDescent="0.3">
      <c r="B2518" t="s">
        <v>100</v>
      </c>
    </row>
    <row r="2519" spans="1:2" outlineLevel="1" x14ac:dyDescent="0.3">
      <c r="B2519" t="s">
        <v>103</v>
      </c>
    </row>
    <row r="2520" spans="1:2" x14ac:dyDescent="0.3">
      <c r="A2520" t="s">
        <v>106</v>
      </c>
    </row>
    <row r="2521" spans="1:2" outlineLevel="1" x14ac:dyDescent="0.3">
      <c r="B2521" t="s">
        <v>109</v>
      </c>
    </row>
    <row r="2522" spans="1:2" outlineLevel="1" x14ac:dyDescent="0.3">
      <c r="B2522" t="s">
        <v>112</v>
      </c>
    </row>
    <row r="2523" spans="1:2" outlineLevel="1" x14ac:dyDescent="0.3">
      <c r="B2523" t="s">
        <v>115</v>
      </c>
    </row>
    <row r="2524" spans="1:2" x14ac:dyDescent="0.3">
      <c r="A2524" t="s">
        <v>118</v>
      </c>
    </row>
    <row r="2525" spans="1:2" outlineLevel="1" x14ac:dyDescent="0.3">
      <c r="B2525" t="s">
        <v>121</v>
      </c>
    </row>
    <row r="2526" spans="1:2" outlineLevel="1" x14ac:dyDescent="0.3">
      <c r="B2526" t="s">
        <v>124</v>
      </c>
    </row>
    <row r="2527" spans="1:2" outlineLevel="1" x14ac:dyDescent="0.3">
      <c r="B2527" t="s">
        <v>127</v>
      </c>
    </row>
    <row r="2528" spans="1:2" outlineLevel="1" x14ac:dyDescent="0.3">
      <c r="B2528" t="s">
        <v>130</v>
      </c>
    </row>
    <row r="2529" spans="2:2" outlineLevel="1" x14ac:dyDescent="0.3">
      <c r="B2529" t="s">
        <v>133</v>
      </c>
    </row>
    <row r="2530" spans="2:2" outlineLevel="1" x14ac:dyDescent="0.3">
      <c r="B2530" t="s">
        <v>136</v>
      </c>
    </row>
    <row r="2531" spans="2:2" outlineLevel="1" x14ac:dyDescent="0.3">
      <c r="B2531" t="s">
        <v>139</v>
      </c>
    </row>
    <row r="2532" spans="2:2" outlineLevel="1" x14ac:dyDescent="0.3">
      <c r="B2532" t="s">
        <v>142</v>
      </c>
    </row>
    <row r="2533" spans="2:2" outlineLevel="1" x14ac:dyDescent="0.3">
      <c r="B2533" t="s">
        <v>145</v>
      </c>
    </row>
    <row r="2534" spans="2:2" outlineLevel="1" x14ac:dyDescent="0.3">
      <c r="B2534" t="s">
        <v>148</v>
      </c>
    </row>
    <row r="2535" spans="2:2" outlineLevel="1" x14ac:dyDescent="0.3">
      <c r="B2535" t="s">
        <v>151</v>
      </c>
    </row>
    <row r="2536" spans="2:2" outlineLevel="1" x14ac:dyDescent="0.3">
      <c r="B2536" t="s">
        <v>154</v>
      </c>
    </row>
    <row r="2537" spans="2:2" outlineLevel="1" x14ac:dyDescent="0.3">
      <c r="B2537" t="s">
        <v>157</v>
      </c>
    </row>
    <row r="2538" spans="2:2" outlineLevel="1" x14ac:dyDescent="0.3">
      <c r="B2538" t="s">
        <v>160</v>
      </c>
    </row>
    <row r="2539" spans="2:2" outlineLevel="1" x14ac:dyDescent="0.3">
      <c r="B2539" t="s">
        <v>163</v>
      </c>
    </row>
    <row r="2540" spans="2:2" outlineLevel="1" x14ac:dyDescent="0.3">
      <c r="B2540" t="s">
        <v>166</v>
      </c>
    </row>
    <row r="2541" spans="2:2" outlineLevel="1" x14ac:dyDescent="0.3">
      <c r="B2541" t="s">
        <v>169</v>
      </c>
    </row>
    <row r="2542" spans="2:2" outlineLevel="1" x14ac:dyDescent="0.3">
      <c r="B2542" t="s">
        <v>172</v>
      </c>
    </row>
    <row r="2543" spans="2:2" outlineLevel="1" x14ac:dyDescent="0.3">
      <c r="B2543" t="s">
        <v>175</v>
      </c>
    </row>
    <row r="2544" spans="2:2" outlineLevel="1" x14ac:dyDescent="0.3">
      <c r="B2544" t="s">
        <v>178</v>
      </c>
    </row>
    <row r="2545" spans="1:2" x14ac:dyDescent="0.3">
      <c r="A2545" t="s">
        <v>181</v>
      </c>
    </row>
    <row r="2546" spans="1:2" outlineLevel="1" x14ac:dyDescent="0.3">
      <c r="B2546" t="s">
        <v>184</v>
      </c>
    </row>
    <row r="2547" spans="1:2" outlineLevel="1" x14ac:dyDescent="0.3">
      <c r="B2547" t="s">
        <v>187</v>
      </c>
    </row>
    <row r="2548" spans="1:2" outlineLevel="1" x14ac:dyDescent="0.3">
      <c r="B2548" t="s">
        <v>190</v>
      </c>
    </row>
    <row r="2549" spans="1:2" outlineLevel="1" x14ac:dyDescent="0.3">
      <c r="B2549" t="s">
        <v>193</v>
      </c>
    </row>
    <row r="2550" spans="1:2" outlineLevel="1" x14ac:dyDescent="0.3">
      <c r="B2550" t="s">
        <v>196</v>
      </c>
    </row>
    <row r="2551" spans="1:2" outlineLevel="1" x14ac:dyDescent="0.3">
      <c r="B2551" t="s">
        <v>199</v>
      </c>
    </row>
    <row r="2552" spans="1:2" outlineLevel="1" x14ac:dyDescent="0.3">
      <c r="B2552" t="s">
        <v>202</v>
      </c>
    </row>
    <row r="2553" spans="1:2" outlineLevel="1" x14ac:dyDescent="0.3">
      <c r="B2553" t="s">
        <v>205</v>
      </c>
    </row>
    <row r="2554" spans="1:2" outlineLevel="1" x14ac:dyDescent="0.3">
      <c r="B2554" t="s">
        <v>208</v>
      </c>
    </row>
    <row r="2555" spans="1:2" outlineLevel="1" x14ac:dyDescent="0.3">
      <c r="B2555" t="s">
        <v>211</v>
      </c>
    </row>
    <row r="2556" spans="1:2" outlineLevel="1" x14ac:dyDescent="0.3">
      <c r="B2556" t="s">
        <v>214</v>
      </c>
    </row>
    <row r="2557" spans="1:2" outlineLevel="1" x14ac:dyDescent="0.3">
      <c r="B2557" t="s">
        <v>217</v>
      </c>
    </row>
    <row r="2558" spans="1:2" outlineLevel="1" x14ac:dyDescent="0.3">
      <c r="B2558" t="s">
        <v>220</v>
      </c>
    </row>
    <row r="2559" spans="1:2" outlineLevel="1" x14ac:dyDescent="0.3">
      <c r="B2559" t="s">
        <v>223</v>
      </c>
    </row>
    <row r="2560" spans="1:2" outlineLevel="1" x14ac:dyDescent="0.3">
      <c r="B2560" t="s">
        <v>226</v>
      </c>
    </row>
    <row r="2561" spans="1:2" outlineLevel="1" x14ac:dyDescent="0.3">
      <c r="B2561" t="s">
        <v>229</v>
      </c>
    </row>
    <row r="2562" spans="1:2" outlineLevel="1" x14ac:dyDescent="0.3">
      <c r="B2562" t="s">
        <v>232</v>
      </c>
    </row>
    <row r="2563" spans="1:2" outlineLevel="1" x14ac:dyDescent="0.3">
      <c r="B2563" t="s">
        <v>235</v>
      </c>
    </row>
    <row r="2564" spans="1:2" x14ac:dyDescent="0.3">
      <c r="A2564" t="s">
        <v>238</v>
      </c>
    </row>
    <row r="2565" spans="1:2" outlineLevel="1" x14ac:dyDescent="0.3">
      <c r="B2565" t="s">
        <v>241</v>
      </c>
    </row>
    <row r="2566" spans="1:2" outlineLevel="1" x14ac:dyDescent="0.3">
      <c r="B2566" t="s">
        <v>244</v>
      </c>
    </row>
    <row r="2567" spans="1:2" outlineLevel="1" x14ac:dyDescent="0.3">
      <c r="B2567" t="s">
        <v>247</v>
      </c>
    </row>
    <row r="2568" spans="1:2" outlineLevel="1" x14ac:dyDescent="0.3">
      <c r="B2568" t="s">
        <v>250</v>
      </c>
    </row>
    <row r="2569" spans="1:2" outlineLevel="1" x14ac:dyDescent="0.3">
      <c r="B2569" t="s">
        <v>253</v>
      </c>
    </row>
    <row r="2570" spans="1:2" outlineLevel="1" x14ac:dyDescent="0.3">
      <c r="B2570" t="s">
        <v>256</v>
      </c>
    </row>
    <row r="2571" spans="1:2" outlineLevel="1" x14ac:dyDescent="0.3">
      <c r="B2571" t="s">
        <v>259</v>
      </c>
    </row>
    <row r="2572" spans="1:2" outlineLevel="1" x14ac:dyDescent="0.3">
      <c r="B2572" t="s">
        <v>262</v>
      </c>
    </row>
    <row r="2573" spans="1:2" outlineLevel="1" x14ac:dyDescent="0.3">
      <c r="B2573" t="s">
        <v>265</v>
      </c>
    </row>
    <row r="2574" spans="1:2" outlineLevel="1" x14ac:dyDescent="0.3">
      <c r="B2574" t="s">
        <v>268</v>
      </c>
    </row>
    <row r="2575" spans="1:2" outlineLevel="1" x14ac:dyDescent="0.3">
      <c r="B2575" t="s">
        <v>271</v>
      </c>
    </row>
    <row r="2576" spans="1:2" outlineLevel="1" x14ac:dyDescent="0.3">
      <c r="B2576" t="s">
        <v>274</v>
      </c>
    </row>
    <row r="2577" spans="1:3" outlineLevel="1" x14ac:dyDescent="0.3">
      <c r="B2577" t="s">
        <v>277</v>
      </c>
    </row>
    <row r="2578" spans="1:3" outlineLevel="1" x14ac:dyDescent="0.3">
      <c r="B2578" t="s">
        <v>280</v>
      </c>
    </row>
    <row r="2579" spans="1:3" outlineLevel="1" x14ac:dyDescent="0.3">
      <c r="B2579" t="s">
        <v>283</v>
      </c>
    </row>
    <row r="2580" spans="1:3" outlineLevel="1" x14ac:dyDescent="0.3">
      <c r="B2580" t="s">
        <v>286</v>
      </c>
    </row>
    <row r="2581" spans="1:3" outlineLevel="1" x14ac:dyDescent="0.3">
      <c r="B2581" t="s">
        <v>289</v>
      </c>
    </row>
    <row r="2582" spans="1:3" x14ac:dyDescent="0.3">
      <c r="A2582" t="s">
        <v>292</v>
      </c>
    </row>
    <row r="2583" spans="1:3" outlineLevel="1" x14ac:dyDescent="0.3">
      <c r="B2583" t="s">
        <v>295</v>
      </c>
    </row>
    <row r="2584" spans="1:3" hidden="1" outlineLevel="2" x14ac:dyDescent="0.3">
      <c r="C2584" t="s">
        <v>298</v>
      </c>
    </row>
    <row r="2585" spans="1:3" hidden="1" outlineLevel="2" x14ac:dyDescent="0.3">
      <c r="C2585" t="s">
        <v>301</v>
      </c>
    </row>
    <row r="2586" spans="1:3" hidden="1" outlineLevel="2" x14ac:dyDescent="0.3">
      <c r="C2586" t="s">
        <v>304</v>
      </c>
    </row>
    <row r="2587" spans="1:3" hidden="1" outlineLevel="2" x14ac:dyDescent="0.3">
      <c r="C2587" t="s">
        <v>307</v>
      </c>
    </row>
    <row r="2588" spans="1:3" hidden="1" outlineLevel="2" x14ac:dyDescent="0.3">
      <c r="C2588" t="s">
        <v>310</v>
      </c>
    </row>
    <row r="2589" spans="1:3" hidden="1" outlineLevel="2" x14ac:dyDescent="0.3">
      <c r="C2589" t="s">
        <v>313</v>
      </c>
    </row>
    <row r="2590" spans="1:3" hidden="1" outlineLevel="2" x14ac:dyDescent="0.3">
      <c r="C2590" t="s">
        <v>316</v>
      </c>
    </row>
    <row r="2591" spans="1:3" outlineLevel="1" collapsed="1" x14ac:dyDescent="0.3">
      <c r="B2591" t="s">
        <v>319</v>
      </c>
    </row>
    <row r="2592" spans="1:3" outlineLevel="1" x14ac:dyDescent="0.3">
      <c r="B2592" t="s">
        <v>322</v>
      </c>
    </row>
    <row r="2593" spans="1:3" outlineLevel="1" x14ac:dyDescent="0.3">
      <c r="B2593" t="s">
        <v>325</v>
      </c>
    </row>
    <row r="2594" spans="1:3" outlineLevel="1" x14ac:dyDescent="0.3">
      <c r="B2594" t="s">
        <v>328</v>
      </c>
    </row>
    <row r="2595" spans="1:3" outlineLevel="1" x14ac:dyDescent="0.3">
      <c r="B2595" t="s">
        <v>331</v>
      </c>
    </row>
    <row r="2596" spans="1:3" outlineLevel="1" x14ac:dyDescent="0.3">
      <c r="B2596" t="s">
        <v>334</v>
      </c>
    </row>
    <row r="2597" spans="1:3" outlineLevel="1" x14ac:dyDescent="0.3">
      <c r="B2597" t="s">
        <v>337</v>
      </c>
    </row>
    <row r="2598" spans="1:3" outlineLevel="1" x14ac:dyDescent="0.3">
      <c r="B2598" t="s">
        <v>340</v>
      </c>
    </row>
    <row r="2599" spans="1:3" outlineLevel="1" x14ac:dyDescent="0.3">
      <c r="B2599" t="s">
        <v>343</v>
      </c>
    </row>
    <row r="2600" spans="1:3" outlineLevel="1" x14ac:dyDescent="0.3">
      <c r="B2600" t="s">
        <v>346</v>
      </c>
    </row>
    <row r="2601" spans="1:3" outlineLevel="1" x14ac:dyDescent="0.3">
      <c r="B2601" t="s">
        <v>349</v>
      </c>
    </row>
    <row r="2602" spans="1:3" x14ac:dyDescent="0.3">
      <c r="A2602" t="s">
        <v>352</v>
      </c>
    </row>
    <row r="2603" spans="1:3" outlineLevel="1" x14ac:dyDescent="0.3">
      <c r="B2603" t="s">
        <v>355</v>
      </c>
    </row>
    <row r="2604" spans="1:3" hidden="1" outlineLevel="2" x14ac:dyDescent="0.3">
      <c r="C2604" t="s">
        <v>358</v>
      </c>
    </row>
    <row r="2605" spans="1:3" hidden="1" outlineLevel="2" x14ac:dyDescent="0.3">
      <c r="C2605" t="s">
        <v>361</v>
      </c>
    </row>
    <row r="2606" spans="1:3" outlineLevel="1" collapsed="1" x14ac:dyDescent="0.3">
      <c r="B2606" t="s">
        <v>364</v>
      </c>
    </row>
    <row r="2607" spans="1:3" outlineLevel="1" x14ac:dyDescent="0.3">
      <c r="B2607" t="s">
        <v>367</v>
      </c>
    </row>
    <row r="2608" spans="1:3" outlineLevel="1" x14ac:dyDescent="0.3">
      <c r="B2608" t="s">
        <v>370</v>
      </c>
    </row>
    <row r="2609" spans="1:2" outlineLevel="1" x14ac:dyDescent="0.3">
      <c r="B2609" t="s">
        <v>373</v>
      </c>
    </row>
    <row r="2610" spans="1:2" outlineLevel="1" x14ac:dyDescent="0.3">
      <c r="B2610" t="s">
        <v>376</v>
      </c>
    </row>
    <row r="2611" spans="1:2" outlineLevel="1" x14ac:dyDescent="0.3">
      <c r="B2611" t="s">
        <v>378</v>
      </c>
    </row>
    <row r="2612" spans="1:2" outlineLevel="1" x14ac:dyDescent="0.3">
      <c r="B2612" t="s">
        <v>380</v>
      </c>
    </row>
    <row r="2613" spans="1:2" outlineLevel="1" x14ac:dyDescent="0.3">
      <c r="B2613" t="s">
        <v>382</v>
      </c>
    </row>
    <row r="2614" spans="1:2" outlineLevel="1" x14ac:dyDescent="0.3">
      <c r="B2614" t="s">
        <v>523</v>
      </c>
    </row>
    <row r="2615" spans="1:2" outlineLevel="1" x14ac:dyDescent="0.3">
      <c r="B2615" t="s">
        <v>385</v>
      </c>
    </row>
    <row r="2616" spans="1:2" outlineLevel="1" x14ac:dyDescent="0.3">
      <c r="B2616" t="s">
        <v>387</v>
      </c>
    </row>
    <row r="2617" spans="1:2" outlineLevel="1" x14ac:dyDescent="0.3">
      <c r="B2617" t="s">
        <v>389</v>
      </c>
    </row>
    <row r="2618" spans="1:2" outlineLevel="1" x14ac:dyDescent="0.3">
      <c r="B2618" t="s">
        <v>391</v>
      </c>
    </row>
    <row r="2619" spans="1:2" outlineLevel="1" x14ac:dyDescent="0.3">
      <c r="B2619" t="s">
        <v>393</v>
      </c>
    </row>
    <row r="2620" spans="1:2" x14ac:dyDescent="0.3">
      <c r="A2620" t="s">
        <v>395</v>
      </c>
    </row>
    <row r="2626" spans="1:3" x14ac:dyDescent="0.3">
      <c r="A2626" t="s">
        <v>68</v>
      </c>
    </row>
    <row r="2627" spans="1:3" outlineLevel="1" x14ac:dyDescent="0.3">
      <c r="B2627" t="s">
        <v>71</v>
      </c>
    </row>
    <row r="2628" spans="1:3" hidden="1" outlineLevel="2" x14ac:dyDescent="0.3">
      <c r="C2628" t="s">
        <v>2450</v>
      </c>
    </row>
    <row r="2629" spans="1:3" hidden="1" outlineLevel="2" x14ac:dyDescent="0.3">
      <c r="C2629" t="s">
        <v>2451</v>
      </c>
    </row>
    <row r="2630" spans="1:3" outlineLevel="1" collapsed="1" x14ac:dyDescent="0.3">
      <c r="B2630" t="s">
        <v>86</v>
      </c>
    </row>
    <row r="2631" spans="1:3" hidden="1" outlineLevel="2" x14ac:dyDescent="0.3">
      <c r="C2631" t="s">
        <v>2452</v>
      </c>
    </row>
    <row r="2632" spans="1:3" hidden="1" outlineLevel="2" x14ac:dyDescent="0.3">
      <c r="C2632" t="s">
        <v>2453</v>
      </c>
    </row>
    <row r="2633" spans="1:3" hidden="1" outlineLevel="2" x14ac:dyDescent="0.3">
      <c r="C2633" t="s">
        <v>2454</v>
      </c>
    </row>
    <row r="2634" spans="1:3" hidden="1" outlineLevel="2" x14ac:dyDescent="0.3">
      <c r="C2634" t="s">
        <v>2455</v>
      </c>
    </row>
    <row r="2635" spans="1:3" outlineLevel="1" collapsed="1" x14ac:dyDescent="0.3">
      <c r="B2635" t="s">
        <v>104</v>
      </c>
    </row>
    <row r="2636" spans="1:3" outlineLevel="1" x14ac:dyDescent="0.3">
      <c r="B2636" t="s">
        <v>107</v>
      </c>
    </row>
    <row r="2637" spans="1:3" outlineLevel="1" x14ac:dyDescent="0.3">
      <c r="B2637" t="s">
        <v>110</v>
      </c>
    </row>
    <row r="2638" spans="1:3" hidden="1" outlineLevel="2" x14ac:dyDescent="0.3">
      <c r="C2638" t="s">
        <v>2456</v>
      </c>
    </row>
    <row r="2639" spans="1:3" hidden="1" outlineLevel="2" x14ac:dyDescent="0.3">
      <c r="C2639" t="s">
        <v>2457</v>
      </c>
    </row>
    <row r="2640" spans="1:3" hidden="1" outlineLevel="2" x14ac:dyDescent="0.3">
      <c r="C2640" t="s">
        <v>2458</v>
      </c>
    </row>
    <row r="2641" spans="3:3" hidden="1" outlineLevel="2" x14ac:dyDescent="0.3">
      <c r="C2641" t="s">
        <v>2459</v>
      </c>
    </row>
    <row r="2642" spans="3:3" hidden="1" outlineLevel="2" x14ac:dyDescent="0.3">
      <c r="C2642" t="s">
        <v>2460</v>
      </c>
    </row>
    <row r="2643" spans="3:3" hidden="1" outlineLevel="2" x14ac:dyDescent="0.3">
      <c r="C2643" t="s">
        <v>2461</v>
      </c>
    </row>
    <row r="2644" spans="3:3" hidden="1" outlineLevel="2" x14ac:dyDescent="0.3">
      <c r="C2644" t="s">
        <v>2462</v>
      </c>
    </row>
    <row r="2645" spans="3:3" hidden="1" outlineLevel="2" x14ac:dyDescent="0.3">
      <c r="C2645" t="s">
        <v>2463</v>
      </c>
    </row>
    <row r="2646" spans="3:3" hidden="1" outlineLevel="2" x14ac:dyDescent="0.3">
      <c r="C2646" t="s">
        <v>2464</v>
      </c>
    </row>
    <row r="2647" spans="3:3" hidden="1" outlineLevel="2" x14ac:dyDescent="0.3">
      <c r="C2647" t="s">
        <v>2465</v>
      </c>
    </row>
    <row r="2648" spans="3:3" hidden="1" outlineLevel="2" x14ac:dyDescent="0.3">
      <c r="C2648" t="s">
        <v>2466</v>
      </c>
    </row>
    <row r="2649" spans="3:3" hidden="1" outlineLevel="2" x14ac:dyDescent="0.3">
      <c r="C2649" t="s">
        <v>2467</v>
      </c>
    </row>
    <row r="2650" spans="3:3" hidden="1" outlineLevel="2" x14ac:dyDescent="0.3">
      <c r="C2650" t="s">
        <v>2468</v>
      </c>
    </row>
    <row r="2651" spans="3:3" hidden="1" outlineLevel="2" x14ac:dyDescent="0.3">
      <c r="C2651" t="s">
        <v>2469</v>
      </c>
    </row>
    <row r="2652" spans="3:3" hidden="1" outlineLevel="2" x14ac:dyDescent="0.3">
      <c r="C2652" t="s">
        <v>2470</v>
      </c>
    </row>
    <row r="2653" spans="3:3" hidden="1" outlineLevel="2" x14ac:dyDescent="0.3">
      <c r="C2653" t="s">
        <v>2471</v>
      </c>
    </row>
    <row r="2654" spans="3:3" hidden="1" outlineLevel="2" x14ac:dyDescent="0.3">
      <c r="C2654" t="s">
        <v>2472</v>
      </c>
    </row>
    <row r="2655" spans="3:3" hidden="1" outlineLevel="2" x14ac:dyDescent="0.3">
      <c r="C2655" t="s">
        <v>2473</v>
      </c>
    </row>
    <row r="2656" spans="3:3" hidden="1" outlineLevel="2" x14ac:dyDescent="0.3">
      <c r="C2656" t="s">
        <v>2474</v>
      </c>
    </row>
    <row r="2657" spans="3:3" hidden="1" outlineLevel="2" x14ac:dyDescent="0.3">
      <c r="C2657" t="s">
        <v>2475</v>
      </c>
    </row>
    <row r="2658" spans="3:3" hidden="1" outlineLevel="2" x14ac:dyDescent="0.3">
      <c r="C2658" t="s">
        <v>2476</v>
      </c>
    </row>
    <row r="2659" spans="3:3" hidden="1" outlineLevel="2" x14ac:dyDescent="0.3">
      <c r="C2659" t="s">
        <v>2477</v>
      </c>
    </row>
    <row r="2660" spans="3:3" hidden="1" outlineLevel="2" x14ac:dyDescent="0.3">
      <c r="C2660" t="s">
        <v>2478</v>
      </c>
    </row>
    <row r="2661" spans="3:3" hidden="1" outlineLevel="2" x14ac:dyDescent="0.3">
      <c r="C2661" t="s">
        <v>2479</v>
      </c>
    </row>
    <row r="2662" spans="3:3" hidden="1" outlineLevel="2" x14ac:dyDescent="0.3">
      <c r="C2662" t="s">
        <v>2480</v>
      </c>
    </row>
    <row r="2663" spans="3:3" hidden="1" outlineLevel="2" x14ac:dyDescent="0.3">
      <c r="C2663" t="s">
        <v>2481</v>
      </c>
    </row>
    <row r="2664" spans="3:3" hidden="1" outlineLevel="2" x14ac:dyDescent="0.3">
      <c r="C2664" t="s">
        <v>2482</v>
      </c>
    </row>
    <row r="2665" spans="3:3" hidden="1" outlineLevel="2" x14ac:dyDescent="0.3">
      <c r="C2665" t="s">
        <v>2483</v>
      </c>
    </row>
    <row r="2666" spans="3:3" hidden="1" outlineLevel="2" x14ac:dyDescent="0.3">
      <c r="C2666" t="s">
        <v>2484</v>
      </c>
    </row>
    <row r="2667" spans="3:3" hidden="1" outlineLevel="2" x14ac:dyDescent="0.3">
      <c r="C2667" t="s">
        <v>2485</v>
      </c>
    </row>
    <row r="2668" spans="3:3" hidden="1" outlineLevel="2" x14ac:dyDescent="0.3">
      <c r="C2668" t="s">
        <v>2486</v>
      </c>
    </row>
    <row r="2669" spans="3:3" hidden="1" outlineLevel="2" x14ac:dyDescent="0.3">
      <c r="C2669" t="s">
        <v>2487</v>
      </c>
    </row>
    <row r="2670" spans="3:3" hidden="1" outlineLevel="2" x14ac:dyDescent="0.3">
      <c r="C2670" t="s">
        <v>2488</v>
      </c>
    </row>
    <row r="2671" spans="3:3" hidden="1" outlineLevel="2" x14ac:dyDescent="0.3">
      <c r="C2671" t="s">
        <v>2489</v>
      </c>
    </row>
    <row r="2672" spans="3:3" hidden="1" outlineLevel="2" x14ac:dyDescent="0.3">
      <c r="C2672" t="s">
        <v>2490</v>
      </c>
    </row>
    <row r="2673" spans="2:3" hidden="1" outlineLevel="2" x14ac:dyDescent="0.3">
      <c r="C2673" t="s">
        <v>2491</v>
      </c>
    </row>
    <row r="2674" spans="2:3" hidden="1" outlineLevel="2" x14ac:dyDescent="0.3">
      <c r="C2674" t="s">
        <v>2492</v>
      </c>
    </row>
    <row r="2675" spans="2:3" outlineLevel="1" collapsed="1" x14ac:dyDescent="0.3">
      <c r="B2675" t="s">
        <v>221</v>
      </c>
    </row>
    <row r="2676" spans="2:3" hidden="1" outlineLevel="2" x14ac:dyDescent="0.3">
      <c r="C2676" t="s">
        <v>2493</v>
      </c>
    </row>
    <row r="2677" spans="2:3" hidden="1" outlineLevel="2" x14ac:dyDescent="0.3">
      <c r="C2677" t="s">
        <v>2494</v>
      </c>
    </row>
    <row r="2678" spans="2:3" hidden="1" outlineLevel="2" x14ac:dyDescent="0.3">
      <c r="C2678" t="s">
        <v>2495</v>
      </c>
    </row>
    <row r="2679" spans="2:3" hidden="1" outlineLevel="2" x14ac:dyDescent="0.3">
      <c r="C2679" t="s">
        <v>2496</v>
      </c>
    </row>
    <row r="2680" spans="2:3" hidden="1" outlineLevel="2" x14ac:dyDescent="0.3">
      <c r="C2680" t="s">
        <v>2497</v>
      </c>
    </row>
    <row r="2681" spans="2:3" hidden="1" outlineLevel="2" x14ac:dyDescent="0.3">
      <c r="C2681" t="s">
        <v>2498</v>
      </c>
    </row>
    <row r="2682" spans="2:3" hidden="1" outlineLevel="2" x14ac:dyDescent="0.3">
      <c r="C2682" t="s">
        <v>2499</v>
      </c>
    </row>
    <row r="2683" spans="2:3" hidden="1" outlineLevel="2" x14ac:dyDescent="0.3">
      <c r="C2683" t="s">
        <v>2500</v>
      </c>
    </row>
    <row r="2684" spans="2:3" hidden="1" outlineLevel="2" x14ac:dyDescent="0.3">
      <c r="C2684" t="s">
        <v>2501</v>
      </c>
    </row>
    <row r="2685" spans="2:3" hidden="1" outlineLevel="2" x14ac:dyDescent="0.3">
      <c r="C2685" t="s">
        <v>2502</v>
      </c>
    </row>
    <row r="2686" spans="2:3" hidden="1" outlineLevel="2" x14ac:dyDescent="0.3">
      <c r="C2686" t="s">
        <v>2503</v>
      </c>
    </row>
    <row r="2687" spans="2:3" hidden="1" outlineLevel="2" x14ac:dyDescent="0.3">
      <c r="C2687" t="s">
        <v>2504</v>
      </c>
    </row>
    <row r="2688" spans="2:3" hidden="1" outlineLevel="2" x14ac:dyDescent="0.3">
      <c r="C2688" t="s">
        <v>2505</v>
      </c>
    </row>
    <row r="2689" spans="3:3" hidden="1" outlineLevel="2" x14ac:dyDescent="0.3">
      <c r="C2689" t="s">
        <v>2506</v>
      </c>
    </row>
    <row r="2690" spans="3:3" hidden="1" outlineLevel="2" x14ac:dyDescent="0.3">
      <c r="C2690" t="s">
        <v>2507</v>
      </c>
    </row>
    <row r="2691" spans="3:3" hidden="1" outlineLevel="2" x14ac:dyDescent="0.3">
      <c r="C2691" t="s">
        <v>2508</v>
      </c>
    </row>
    <row r="2692" spans="3:3" hidden="1" outlineLevel="2" x14ac:dyDescent="0.3">
      <c r="C2692" t="s">
        <v>2509</v>
      </c>
    </row>
    <row r="2693" spans="3:3" hidden="1" outlineLevel="2" x14ac:dyDescent="0.3">
      <c r="C2693" t="s">
        <v>2510</v>
      </c>
    </row>
    <row r="2694" spans="3:3" hidden="1" outlineLevel="2" x14ac:dyDescent="0.3">
      <c r="C2694" t="s">
        <v>2511</v>
      </c>
    </row>
    <row r="2695" spans="3:3" hidden="1" outlineLevel="2" x14ac:dyDescent="0.3">
      <c r="C2695" t="s">
        <v>2512</v>
      </c>
    </row>
    <row r="2696" spans="3:3" hidden="1" outlineLevel="2" x14ac:dyDescent="0.3">
      <c r="C2696" t="s">
        <v>2513</v>
      </c>
    </row>
    <row r="2697" spans="3:3" hidden="1" outlineLevel="2" x14ac:dyDescent="0.3">
      <c r="C2697" t="s">
        <v>2514</v>
      </c>
    </row>
    <row r="2698" spans="3:3" hidden="1" outlineLevel="2" x14ac:dyDescent="0.3">
      <c r="C2698" t="s">
        <v>2515</v>
      </c>
    </row>
    <row r="2699" spans="3:3" hidden="1" outlineLevel="2" x14ac:dyDescent="0.3">
      <c r="C2699" t="s">
        <v>2516</v>
      </c>
    </row>
    <row r="2700" spans="3:3" hidden="1" outlineLevel="2" x14ac:dyDescent="0.3">
      <c r="C2700" t="s">
        <v>2517</v>
      </c>
    </row>
    <row r="2701" spans="3:3" hidden="1" outlineLevel="2" x14ac:dyDescent="0.3">
      <c r="C2701" t="s">
        <v>2518</v>
      </c>
    </row>
    <row r="2702" spans="3:3" hidden="1" outlineLevel="2" x14ac:dyDescent="0.3">
      <c r="C2702" t="s">
        <v>2519</v>
      </c>
    </row>
    <row r="2703" spans="3:3" hidden="1" outlineLevel="2" x14ac:dyDescent="0.3">
      <c r="C2703" t="s">
        <v>2520</v>
      </c>
    </row>
    <row r="2704" spans="3:3" hidden="1" outlineLevel="2" x14ac:dyDescent="0.3">
      <c r="C2704" t="s">
        <v>2521</v>
      </c>
    </row>
    <row r="2705" spans="2:3" hidden="1" outlineLevel="2" x14ac:dyDescent="0.3">
      <c r="C2705" t="s">
        <v>2522</v>
      </c>
    </row>
    <row r="2706" spans="2:3" hidden="1" outlineLevel="2" x14ac:dyDescent="0.3">
      <c r="C2706" t="s">
        <v>2523</v>
      </c>
    </row>
    <row r="2707" spans="2:3" hidden="1" outlineLevel="2" x14ac:dyDescent="0.3">
      <c r="C2707" t="s">
        <v>2524</v>
      </c>
    </row>
    <row r="2708" spans="2:3" outlineLevel="1" collapsed="1" x14ac:dyDescent="0.3">
      <c r="B2708" t="s">
        <v>311</v>
      </c>
    </row>
    <row r="2709" spans="2:3" hidden="1" outlineLevel="2" x14ac:dyDescent="0.3">
      <c r="C2709" t="s">
        <v>314</v>
      </c>
    </row>
    <row r="2710" spans="2:3" hidden="1" outlineLevel="2" x14ac:dyDescent="0.3">
      <c r="C2710" t="s">
        <v>317</v>
      </c>
    </row>
    <row r="2711" spans="2:3" hidden="1" outlineLevel="2" x14ac:dyDescent="0.3">
      <c r="C2711" t="s">
        <v>320</v>
      </c>
    </row>
    <row r="2712" spans="2:3" hidden="1" outlineLevel="2" x14ac:dyDescent="0.3">
      <c r="C2712" t="s">
        <v>323</v>
      </c>
    </row>
    <row r="2713" spans="2:3" outlineLevel="1" collapsed="1" x14ac:dyDescent="0.3">
      <c r="B2713" t="s">
        <v>326</v>
      </c>
    </row>
    <row r="2714" spans="2:3" outlineLevel="1" x14ac:dyDescent="0.3">
      <c r="B2714" t="s">
        <v>329</v>
      </c>
    </row>
    <row r="2715" spans="2:3" outlineLevel="1" x14ac:dyDescent="0.3">
      <c r="B2715" t="s">
        <v>332</v>
      </c>
    </row>
    <row r="2716" spans="2:3" outlineLevel="1" x14ac:dyDescent="0.3">
      <c r="B2716" t="s">
        <v>335</v>
      </c>
    </row>
    <row r="2717" spans="2:3" outlineLevel="1" x14ac:dyDescent="0.3">
      <c r="B2717" t="s">
        <v>338</v>
      </c>
    </row>
    <row r="2718" spans="2:3" outlineLevel="1" x14ac:dyDescent="0.3">
      <c r="B2718" t="s">
        <v>341</v>
      </c>
    </row>
    <row r="2719" spans="2:3" outlineLevel="1" x14ac:dyDescent="0.3">
      <c r="B2719" t="s">
        <v>344</v>
      </c>
    </row>
    <row r="2720" spans="2:3" outlineLevel="1" x14ac:dyDescent="0.3">
      <c r="B2720" t="s">
        <v>347</v>
      </c>
    </row>
    <row r="2721" spans="1:3" x14ac:dyDescent="0.3">
      <c r="A2721" t="s">
        <v>350</v>
      </c>
    </row>
    <row r="2722" spans="1:3" outlineLevel="1" x14ac:dyDescent="0.3">
      <c r="B2722" t="s">
        <v>353</v>
      </c>
    </row>
    <row r="2723" spans="1:3" hidden="1" outlineLevel="2" x14ac:dyDescent="0.3">
      <c r="C2723" t="s">
        <v>2525</v>
      </c>
    </row>
    <row r="2724" spans="1:3" hidden="1" outlineLevel="2" x14ac:dyDescent="0.3">
      <c r="C2724" t="s">
        <v>2526</v>
      </c>
    </row>
    <row r="2725" spans="1:3" hidden="1" outlineLevel="2" x14ac:dyDescent="0.3">
      <c r="C2725" t="s">
        <v>2527</v>
      </c>
    </row>
    <row r="2726" spans="1:3" hidden="1" outlineLevel="2" x14ac:dyDescent="0.3">
      <c r="C2726" t="s">
        <v>2528</v>
      </c>
    </row>
    <row r="2727" spans="1:3" hidden="1" outlineLevel="2" x14ac:dyDescent="0.3">
      <c r="C2727" t="s">
        <v>2529</v>
      </c>
    </row>
    <row r="2728" spans="1:3" hidden="1" outlineLevel="2" x14ac:dyDescent="0.3">
      <c r="C2728" t="s">
        <v>2530</v>
      </c>
    </row>
    <row r="2729" spans="1:3" hidden="1" outlineLevel="2" x14ac:dyDescent="0.3">
      <c r="C2729" t="s">
        <v>2531</v>
      </c>
    </row>
    <row r="2730" spans="1:3" hidden="1" outlineLevel="2" x14ac:dyDescent="0.3">
      <c r="C2730" t="s">
        <v>2532</v>
      </c>
    </row>
    <row r="2731" spans="1:3" hidden="1" outlineLevel="2" x14ac:dyDescent="0.3">
      <c r="C2731" t="s">
        <v>2533</v>
      </c>
    </row>
    <row r="2732" spans="1:3" hidden="1" outlineLevel="2" x14ac:dyDescent="0.3">
      <c r="C2732" t="s">
        <v>2534</v>
      </c>
    </row>
    <row r="2733" spans="1:3" hidden="1" outlineLevel="2" x14ac:dyDescent="0.3">
      <c r="C2733" t="s">
        <v>2535</v>
      </c>
    </row>
    <row r="2734" spans="1:3" hidden="1" outlineLevel="2" x14ac:dyDescent="0.3">
      <c r="C2734" t="s">
        <v>2536</v>
      </c>
    </row>
    <row r="2735" spans="1:3" hidden="1" outlineLevel="2" x14ac:dyDescent="0.3">
      <c r="C2735" t="s">
        <v>2537</v>
      </c>
    </row>
    <row r="2736" spans="1:3" hidden="1" outlineLevel="2" x14ac:dyDescent="0.3">
      <c r="C2736" t="s">
        <v>2538</v>
      </c>
    </row>
    <row r="2737" spans="2:3" hidden="1" outlineLevel="2" x14ac:dyDescent="0.3">
      <c r="C2737" t="s">
        <v>2539</v>
      </c>
    </row>
    <row r="2738" spans="2:3" hidden="1" outlineLevel="2" x14ac:dyDescent="0.3">
      <c r="C2738" t="s">
        <v>2540</v>
      </c>
    </row>
    <row r="2739" spans="2:3" hidden="1" outlineLevel="2" x14ac:dyDescent="0.3">
      <c r="C2739" t="s">
        <v>2541</v>
      </c>
    </row>
    <row r="2740" spans="2:3" hidden="1" outlineLevel="2" x14ac:dyDescent="0.3">
      <c r="C2740" t="s">
        <v>2542</v>
      </c>
    </row>
    <row r="2741" spans="2:3" hidden="1" outlineLevel="2" x14ac:dyDescent="0.3">
      <c r="C2741" t="s">
        <v>2543</v>
      </c>
    </row>
    <row r="2742" spans="2:3" hidden="1" outlineLevel="2" x14ac:dyDescent="0.3">
      <c r="C2742" t="s">
        <v>2544</v>
      </c>
    </row>
    <row r="2743" spans="2:3" hidden="1" outlineLevel="2" x14ac:dyDescent="0.3">
      <c r="C2743" t="s">
        <v>2545</v>
      </c>
    </row>
    <row r="2744" spans="2:3" hidden="1" outlineLevel="2" x14ac:dyDescent="0.3">
      <c r="C2744" t="s">
        <v>2546</v>
      </c>
    </row>
    <row r="2745" spans="2:3" hidden="1" outlineLevel="2" x14ac:dyDescent="0.3">
      <c r="C2745" t="s">
        <v>406</v>
      </c>
    </row>
    <row r="2746" spans="2:3" outlineLevel="1" collapsed="1" x14ac:dyDescent="0.3">
      <c r="B2746" t="s">
        <v>407</v>
      </c>
    </row>
    <row r="2747" spans="2:3" hidden="1" outlineLevel="2" x14ac:dyDescent="0.3">
      <c r="C2747" t="s">
        <v>2547</v>
      </c>
    </row>
    <row r="2748" spans="2:3" hidden="1" outlineLevel="2" x14ac:dyDescent="0.3">
      <c r="C2748" t="s">
        <v>2548</v>
      </c>
    </row>
    <row r="2749" spans="2:3" hidden="1" outlineLevel="2" x14ac:dyDescent="0.3">
      <c r="C2749" t="s">
        <v>2549</v>
      </c>
    </row>
    <row r="2750" spans="2:3" hidden="1" outlineLevel="2" x14ac:dyDescent="0.3">
      <c r="C2750" t="s">
        <v>2550</v>
      </c>
    </row>
    <row r="2751" spans="2:3" hidden="1" outlineLevel="2" x14ac:dyDescent="0.3">
      <c r="C2751" t="s">
        <v>2551</v>
      </c>
    </row>
    <row r="2752" spans="2:3" hidden="1" outlineLevel="2" x14ac:dyDescent="0.3">
      <c r="C2752" t="s">
        <v>2552</v>
      </c>
    </row>
    <row r="2753" spans="3:3" hidden="1" outlineLevel="2" x14ac:dyDescent="0.3">
      <c r="C2753" t="s">
        <v>2553</v>
      </c>
    </row>
    <row r="2754" spans="3:3" hidden="1" outlineLevel="2" x14ac:dyDescent="0.3">
      <c r="C2754" t="s">
        <v>2554</v>
      </c>
    </row>
    <row r="2755" spans="3:3" hidden="1" outlineLevel="2" x14ac:dyDescent="0.3">
      <c r="C2755" t="s">
        <v>2555</v>
      </c>
    </row>
    <row r="2756" spans="3:3" hidden="1" outlineLevel="2" x14ac:dyDescent="0.3">
      <c r="C2756" t="s">
        <v>2556</v>
      </c>
    </row>
    <row r="2757" spans="3:3" hidden="1" outlineLevel="2" x14ac:dyDescent="0.3">
      <c r="C2757" t="s">
        <v>2557</v>
      </c>
    </row>
    <row r="2758" spans="3:3" hidden="1" outlineLevel="2" x14ac:dyDescent="0.3">
      <c r="C2758" t="s">
        <v>2558</v>
      </c>
    </row>
    <row r="2759" spans="3:3" hidden="1" outlineLevel="2" x14ac:dyDescent="0.3">
      <c r="C2759" t="s">
        <v>2559</v>
      </c>
    </row>
    <row r="2760" spans="3:3" hidden="1" outlineLevel="2" x14ac:dyDescent="0.3">
      <c r="C2760" t="s">
        <v>2560</v>
      </c>
    </row>
    <row r="2761" spans="3:3" hidden="1" outlineLevel="2" x14ac:dyDescent="0.3">
      <c r="C2761" t="s">
        <v>2561</v>
      </c>
    </row>
    <row r="2762" spans="3:3" hidden="1" outlineLevel="2" x14ac:dyDescent="0.3">
      <c r="C2762" t="s">
        <v>2562</v>
      </c>
    </row>
    <row r="2763" spans="3:3" hidden="1" outlineLevel="2" x14ac:dyDescent="0.3">
      <c r="C2763" t="s">
        <v>2563</v>
      </c>
    </row>
    <row r="2764" spans="3:3" hidden="1" outlineLevel="2" x14ac:dyDescent="0.3">
      <c r="C2764" t="s">
        <v>2564</v>
      </c>
    </row>
    <row r="2765" spans="3:3" hidden="1" outlineLevel="2" x14ac:dyDescent="0.3">
      <c r="C2765" t="s">
        <v>2565</v>
      </c>
    </row>
    <row r="2766" spans="3:3" hidden="1" outlineLevel="2" x14ac:dyDescent="0.3">
      <c r="C2766" t="s">
        <v>2566</v>
      </c>
    </row>
    <row r="2767" spans="3:3" hidden="1" outlineLevel="2" x14ac:dyDescent="0.3">
      <c r="C2767" t="s">
        <v>2567</v>
      </c>
    </row>
    <row r="2768" spans="3:3" hidden="1" outlineLevel="2" x14ac:dyDescent="0.3">
      <c r="C2768" t="s">
        <v>2568</v>
      </c>
    </row>
    <row r="2769" spans="1:3" hidden="1" outlineLevel="2" x14ac:dyDescent="0.3">
      <c r="C2769" t="s">
        <v>435</v>
      </c>
    </row>
    <row r="2770" spans="1:3" outlineLevel="1" collapsed="1" x14ac:dyDescent="0.3">
      <c r="B2770" t="s">
        <v>436</v>
      </c>
    </row>
    <row r="2771" spans="1:3" outlineLevel="1" x14ac:dyDescent="0.3">
      <c r="B2771" t="s">
        <v>437</v>
      </c>
    </row>
    <row r="2772" spans="1:3" outlineLevel="1" x14ac:dyDescent="0.3">
      <c r="B2772" t="s">
        <v>438</v>
      </c>
    </row>
    <row r="2773" spans="1:3" outlineLevel="1" x14ac:dyDescent="0.3">
      <c r="B2773" t="s">
        <v>439</v>
      </c>
    </row>
    <row r="2774" spans="1:3" outlineLevel="1" x14ac:dyDescent="0.3">
      <c r="B2774" t="s">
        <v>440</v>
      </c>
    </row>
    <row r="2775" spans="1:3" outlineLevel="1" x14ac:dyDescent="0.3">
      <c r="B2775" t="s">
        <v>441</v>
      </c>
    </row>
    <row r="2776" spans="1:3" x14ac:dyDescent="0.3">
      <c r="A2776" t="s">
        <v>442</v>
      </c>
    </row>
    <row r="2777" spans="1:3" outlineLevel="1" x14ac:dyDescent="0.3">
      <c r="B2777" t="s">
        <v>443</v>
      </c>
    </row>
    <row r="2778" spans="1:3" hidden="1" outlineLevel="2" x14ac:dyDescent="0.3">
      <c r="C2778" t="s">
        <v>2569</v>
      </c>
    </row>
    <row r="2779" spans="1:3" hidden="1" outlineLevel="2" x14ac:dyDescent="0.3">
      <c r="C2779" t="s">
        <v>2570</v>
      </c>
    </row>
    <row r="2780" spans="1:3" hidden="1" outlineLevel="2" x14ac:dyDescent="0.3">
      <c r="C2780" t="s">
        <v>2571</v>
      </c>
    </row>
    <row r="2781" spans="1:3" hidden="1" outlineLevel="2" x14ac:dyDescent="0.3">
      <c r="C2781" t="s">
        <v>2572</v>
      </c>
    </row>
    <row r="2782" spans="1:3" hidden="1" outlineLevel="2" x14ac:dyDescent="0.3">
      <c r="C2782" t="s">
        <v>2573</v>
      </c>
    </row>
    <row r="2783" spans="1:3" hidden="1" outlineLevel="2" x14ac:dyDescent="0.3">
      <c r="C2783" t="s">
        <v>2574</v>
      </c>
    </row>
    <row r="2784" spans="1:3" hidden="1" outlineLevel="2" x14ac:dyDescent="0.3">
      <c r="C2784" t="s">
        <v>2575</v>
      </c>
    </row>
    <row r="2785" spans="3:3" hidden="1" outlineLevel="2" x14ac:dyDescent="0.3">
      <c r="C2785" t="s">
        <v>2576</v>
      </c>
    </row>
    <row r="2786" spans="3:3" hidden="1" outlineLevel="2" x14ac:dyDescent="0.3">
      <c r="C2786" t="s">
        <v>2577</v>
      </c>
    </row>
    <row r="2787" spans="3:3" hidden="1" outlineLevel="2" x14ac:dyDescent="0.3">
      <c r="C2787" t="s">
        <v>2578</v>
      </c>
    </row>
    <row r="2788" spans="3:3" hidden="1" outlineLevel="2" x14ac:dyDescent="0.3">
      <c r="C2788" t="s">
        <v>2579</v>
      </c>
    </row>
    <row r="2789" spans="3:3" hidden="1" outlineLevel="2" x14ac:dyDescent="0.3">
      <c r="C2789" t="s">
        <v>2580</v>
      </c>
    </row>
    <row r="2790" spans="3:3" hidden="1" outlineLevel="2" x14ac:dyDescent="0.3">
      <c r="C2790" t="s">
        <v>2581</v>
      </c>
    </row>
    <row r="2791" spans="3:3" hidden="1" outlineLevel="2" x14ac:dyDescent="0.3">
      <c r="C2791" t="s">
        <v>2582</v>
      </c>
    </row>
    <row r="2792" spans="3:3" hidden="1" outlineLevel="2" x14ac:dyDescent="0.3">
      <c r="C2792" t="s">
        <v>2583</v>
      </c>
    </row>
    <row r="2793" spans="3:3" hidden="1" outlineLevel="2" x14ac:dyDescent="0.3">
      <c r="C2793" t="s">
        <v>2584</v>
      </c>
    </row>
    <row r="2794" spans="3:3" hidden="1" outlineLevel="2" x14ac:dyDescent="0.3">
      <c r="C2794" t="s">
        <v>2585</v>
      </c>
    </row>
    <row r="2795" spans="3:3" hidden="1" outlineLevel="2" x14ac:dyDescent="0.3">
      <c r="C2795" t="s">
        <v>2586</v>
      </c>
    </row>
    <row r="2796" spans="3:3" hidden="1" outlineLevel="2" x14ac:dyDescent="0.3">
      <c r="C2796" t="s">
        <v>2587</v>
      </c>
    </row>
    <row r="2797" spans="3:3" hidden="1" outlineLevel="2" x14ac:dyDescent="0.3">
      <c r="C2797" t="s">
        <v>2588</v>
      </c>
    </row>
    <row r="2798" spans="3:3" hidden="1" outlineLevel="2" x14ac:dyDescent="0.3">
      <c r="C2798" t="s">
        <v>2589</v>
      </c>
    </row>
    <row r="2799" spans="3:3" hidden="1" outlineLevel="2" x14ac:dyDescent="0.3">
      <c r="C2799" t="s">
        <v>2590</v>
      </c>
    </row>
    <row r="2800" spans="3:3" hidden="1" outlineLevel="2" x14ac:dyDescent="0.3">
      <c r="C2800" t="s">
        <v>2591</v>
      </c>
    </row>
    <row r="2801" spans="2:3" hidden="1" outlineLevel="2" x14ac:dyDescent="0.3">
      <c r="C2801" t="s">
        <v>474</v>
      </c>
    </row>
    <row r="2802" spans="2:3" outlineLevel="1" collapsed="1" x14ac:dyDescent="0.3">
      <c r="B2802" t="s">
        <v>475</v>
      </c>
    </row>
    <row r="2803" spans="2:3" hidden="1" outlineLevel="2" x14ac:dyDescent="0.3">
      <c r="C2803" t="s">
        <v>2592</v>
      </c>
    </row>
    <row r="2804" spans="2:3" hidden="1" outlineLevel="2" x14ac:dyDescent="0.3">
      <c r="C2804" t="s">
        <v>2593</v>
      </c>
    </row>
    <row r="2805" spans="2:3" hidden="1" outlineLevel="2" x14ac:dyDescent="0.3">
      <c r="C2805" t="s">
        <v>2594</v>
      </c>
    </row>
    <row r="2806" spans="2:3" hidden="1" outlineLevel="2" x14ac:dyDescent="0.3">
      <c r="C2806" t="s">
        <v>2595</v>
      </c>
    </row>
    <row r="2807" spans="2:3" hidden="1" outlineLevel="2" x14ac:dyDescent="0.3">
      <c r="C2807" t="s">
        <v>2596</v>
      </c>
    </row>
    <row r="2808" spans="2:3" hidden="1" outlineLevel="2" x14ac:dyDescent="0.3">
      <c r="C2808" t="s">
        <v>2597</v>
      </c>
    </row>
    <row r="2809" spans="2:3" hidden="1" outlineLevel="2" x14ac:dyDescent="0.3">
      <c r="C2809" t="s">
        <v>2598</v>
      </c>
    </row>
    <row r="2810" spans="2:3" hidden="1" outlineLevel="2" x14ac:dyDescent="0.3">
      <c r="C2810" t="s">
        <v>2599</v>
      </c>
    </row>
    <row r="2811" spans="2:3" hidden="1" outlineLevel="2" x14ac:dyDescent="0.3">
      <c r="C2811" t="s">
        <v>2600</v>
      </c>
    </row>
    <row r="2812" spans="2:3" hidden="1" outlineLevel="2" x14ac:dyDescent="0.3">
      <c r="C2812" t="s">
        <v>2601</v>
      </c>
    </row>
    <row r="2813" spans="2:3" hidden="1" outlineLevel="2" x14ac:dyDescent="0.3">
      <c r="C2813" t="s">
        <v>2602</v>
      </c>
    </row>
    <row r="2814" spans="2:3" hidden="1" outlineLevel="2" x14ac:dyDescent="0.3">
      <c r="C2814" t="s">
        <v>2603</v>
      </c>
    </row>
    <row r="2815" spans="2:3" hidden="1" outlineLevel="2" x14ac:dyDescent="0.3">
      <c r="C2815" t="s">
        <v>2604</v>
      </c>
    </row>
    <row r="2816" spans="2:3" hidden="1" outlineLevel="2" x14ac:dyDescent="0.3">
      <c r="C2816" t="s">
        <v>2605</v>
      </c>
    </row>
    <row r="2817" spans="2:3" hidden="1" outlineLevel="2" x14ac:dyDescent="0.3">
      <c r="C2817" t="s">
        <v>2606</v>
      </c>
    </row>
    <row r="2818" spans="2:3" hidden="1" outlineLevel="2" x14ac:dyDescent="0.3">
      <c r="C2818" t="s">
        <v>2607</v>
      </c>
    </row>
    <row r="2819" spans="2:3" hidden="1" outlineLevel="2" x14ac:dyDescent="0.3">
      <c r="C2819" t="s">
        <v>2608</v>
      </c>
    </row>
    <row r="2820" spans="2:3" hidden="1" outlineLevel="2" x14ac:dyDescent="0.3">
      <c r="C2820" t="s">
        <v>2609</v>
      </c>
    </row>
    <row r="2821" spans="2:3" hidden="1" outlineLevel="2" x14ac:dyDescent="0.3">
      <c r="C2821" t="s">
        <v>2610</v>
      </c>
    </row>
    <row r="2822" spans="2:3" hidden="1" outlineLevel="2" x14ac:dyDescent="0.3">
      <c r="C2822" t="s">
        <v>2611</v>
      </c>
    </row>
    <row r="2823" spans="2:3" hidden="1" outlineLevel="2" x14ac:dyDescent="0.3">
      <c r="C2823" t="s">
        <v>2612</v>
      </c>
    </row>
    <row r="2824" spans="2:3" hidden="1" outlineLevel="2" x14ac:dyDescent="0.3">
      <c r="C2824" t="s">
        <v>2613</v>
      </c>
    </row>
    <row r="2825" spans="2:3" hidden="1" outlineLevel="2" x14ac:dyDescent="0.3">
      <c r="C2825" t="s">
        <v>2614</v>
      </c>
    </row>
    <row r="2826" spans="2:3" hidden="1" outlineLevel="2" x14ac:dyDescent="0.3">
      <c r="C2826" t="s">
        <v>2615</v>
      </c>
    </row>
    <row r="2827" spans="2:3" hidden="1" outlineLevel="2" x14ac:dyDescent="0.3">
      <c r="C2827" t="s">
        <v>506</v>
      </c>
    </row>
    <row r="2828" spans="2:3" outlineLevel="1" collapsed="1" x14ac:dyDescent="0.3">
      <c r="B2828" t="s">
        <v>507</v>
      </c>
    </row>
    <row r="2829" spans="2:3" outlineLevel="1" x14ac:dyDescent="0.3">
      <c r="B2829" t="s">
        <v>508</v>
      </c>
    </row>
    <row r="2830" spans="2:3" outlineLevel="1" x14ac:dyDescent="0.3">
      <c r="B2830" t="s">
        <v>509</v>
      </c>
    </row>
    <row r="2831" spans="2:3" outlineLevel="1" x14ac:dyDescent="0.3">
      <c r="B2831" t="s">
        <v>510</v>
      </c>
    </row>
    <row r="2832" spans="2:3" outlineLevel="1" x14ac:dyDescent="0.3">
      <c r="B2832" t="s">
        <v>511</v>
      </c>
    </row>
    <row r="2833" spans="1:3" outlineLevel="1" x14ac:dyDescent="0.3">
      <c r="B2833" t="s">
        <v>512</v>
      </c>
    </row>
    <row r="2834" spans="1:3" x14ac:dyDescent="0.3">
      <c r="A2834" t="s">
        <v>513</v>
      </c>
    </row>
    <row r="2835" spans="1:3" x14ac:dyDescent="0.3">
      <c r="A2835" t="s">
        <v>514</v>
      </c>
    </row>
    <row r="2836" spans="1:3" x14ac:dyDescent="0.3">
      <c r="A2836" t="s">
        <v>515</v>
      </c>
    </row>
    <row r="2837" spans="1:3" x14ac:dyDescent="0.3">
      <c r="A2837" t="s">
        <v>516</v>
      </c>
    </row>
    <row r="2838" spans="1:3" x14ac:dyDescent="0.3">
      <c r="A2838" t="s">
        <v>517</v>
      </c>
    </row>
    <row r="2839" spans="1:3" x14ac:dyDescent="0.3">
      <c r="A2839" t="s">
        <v>518</v>
      </c>
    </row>
    <row r="2845" spans="1:3" x14ac:dyDescent="0.3">
      <c r="A2845" t="s">
        <v>524</v>
      </c>
    </row>
    <row r="2846" spans="1:3" outlineLevel="1" x14ac:dyDescent="0.3">
      <c r="B2846" t="s">
        <v>2616</v>
      </c>
    </row>
    <row r="2847" spans="1:3" hidden="1" outlineLevel="2" x14ac:dyDescent="0.3">
      <c r="C2847" t="s">
        <v>2617</v>
      </c>
    </row>
    <row r="2848" spans="1:3" hidden="1" outlineLevel="2" x14ac:dyDescent="0.3">
      <c r="C2848" t="s">
        <v>2618</v>
      </c>
    </row>
    <row r="2849" spans="2:4" hidden="1" outlineLevel="2" x14ac:dyDescent="0.3">
      <c r="C2849" t="s">
        <v>2619</v>
      </c>
    </row>
    <row r="2850" spans="2:4" hidden="1" outlineLevel="3" x14ac:dyDescent="0.3">
      <c r="D2850" t="s">
        <v>2620</v>
      </c>
    </row>
    <row r="2851" spans="2:4" hidden="1" outlineLevel="3" x14ac:dyDescent="0.3">
      <c r="D2851" t="s">
        <v>2621</v>
      </c>
    </row>
    <row r="2852" spans="2:4" hidden="1" outlineLevel="2" x14ac:dyDescent="0.3">
      <c r="C2852" t="s">
        <v>2622</v>
      </c>
    </row>
    <row r="2853" spans="2:4" hidden="1" outlineLevel="3" x14ac:dyDescent="0.3">
      <c r="D2853" t="s">
        <v>2623</v>
      </c>
    </row>
    <row r="2854" spans="2:4" hidden="1" outlineLevel="3" x14ac:dyDescent="0.3">
      <c r="D2854" t="s">
        <v>2624</v>
      </c>
    </row>
    <row r="2855" spans="2:4" hidden="1" outlineLevel="3" x14ac:dyDescent="0.3">
      <c r="D2855" t="s">
        <v>2625</v>
      </c>
    </row>
    <row r="2856" spans="2:4" hidden="1" outlineLevel="2" x14ac:dyDescent="0.3">
      <c r="C2856" t="s">
        <v>2626</v>
      </c>
    </row>
    <row r="2857" spans="2:4" hidden="1" outlineLevel="2" x14ac:dyDescent="0.3">
      <c r="C2857" t="s">
        <v>2627</v>
      </c>
    </row>
    <row r="2858" spans="2:4" outlineLevel="1" collapsed="1" x14ac:dyDescent="0.3">
      <c r="B2858" t="s">
        <v>2628</v>
      </c>
    </row>
    <row r="2859" spans="2:4" outlineLevel="1" x14ac:dyDescent="0.3">
      <c r="B2859" t="s">
        <v>2629</v>
      </c>
    </row>
    <row r="2860" spans="2:4" outlineLevel="1" x14ac:dyDescent="0.3">
      <c r="B2860" t="s">
        <v>2630</v>
      </c>
    </row>
    <row r="2861" spans="2:4" outlineLevel="1" x14ac:dyDescent="0.3">
      <c r="B2861" t="s">
        <v>2631</v>
      </c>
    </row>
    <row r="2862" spans="2:4" hidden="1" outlineLevel="2" x14ac:dyDescent="0.3">
      <c r="C2862" t="s">
        <v>2632</v>
      </c>
    </row>
    <row r="2863" spans="2:4" hidden="1" outlineLevel="2" x14ac:dyDescent="0.3">
      <c r="C2863" t="s">
        <v>2633</v>
      </c>
    </row>
    <row r="2864" spans="2:4" hidden="1" outlineLevel="2" x14ac:dyDescent="0.3">
      <c r="C2864" t="s">
        <v>2634</v>
      </c>
    </row>
    <row r="2865" spans="2:3" hidden="1" outlineLevel="2" x14ac:dyDescent="0.3">
      <c r="C2865" t="s">
        <v>2635</v>
      </c>
    </row>
    <row r="2866" spans="2:3" hidden="1" outlineLevel="2" x14ac:dyDescent="0.3">
      <c r="C2866" t="s">
        <v>2636</v>
      </c>
    </row>
    <row r="2867" spans="2:3" hidden="1" outlineLevel="2" x14ac:dyDescent="0.3">
      <c r="C2867" t="s">
        <v>2637</v>
      </c>
    </row>
    <row r="2868" spans="2:3" hidden="1" outlineLevel="2" x14ac:dyDescent="0.3">
      <c r="C2868" t="s">
        <v>2638</v>
      </c>
    </row>
    <row r="2869" spans="2:3" outlineLevel="1" collapsed="1" x14ac:dyDescent="0.3">
      <c r="B2869" t="s">
        <v>2639</v>
      </c>
    </row>
    <row r="2870" spans="2:3" hidden="1" outlineLevel="2" x14ac:dyDescent="0.3">
      <c r="C2870" t="s">
        <v>2640</v>
      </c>
    </row>
    <row r="2871" spans="2:3" hidden="1" outlineLevel="2" x14ac:dyDescent="0.3">
      <c r="C2871" t="s">
        <v>2641</v>
      </c>
    </row>
    <row r="2872" spans="2:3" hidden="1" outlineLevel="2" x14ac:dyDescent="0.3">
      <c r="C2872" t="s">
        <v>2642</v>
      </c>
    </row>
    <row r="2873" spans="2:3" hidden="1" outlineLevel="2" x14ac:dyDescent="0.3">
      <c r="C2873" t="s">
        <v>2643</v>
      </c>
    </row>
    <row r="2874" spans="2:3" hidden="1" outlineLevel="2" x14ac:dyDescent="0.3">
      <c r="C2874" t="s">
        <v>2644</v>
      </c>
    </row>
    <row r="2875" spans="2:3" outlineLevel="1" collapsed="1" x14ac:dyDescent="0.3">
      <c r="B2875" t="s">
        <v>2645</v>
      </c>
    </row>
    <row r="2876" spans="2:3" hidden="1" outlineLevel="2" x14ac:dyDescent="0.3">
      <c r="C2876" t="s">
        <v>2646</v>
      </c>
    </row>
    <row r="2877" spans="2:3" hidden="1" outlineLevel="2" x14ac:dyDescent="0.3">
      <c r="C2877" t="s">
        <v>2647</v>
      </c>
    </row>
    <row r="2878" spans="2:3" hidden="1" outlineLevel="2" x14ac:dyDescent="0.3">
      <c r="C2878" t="s">
        <v>2648</v>
      </c>
    </row>
    <row r="2879" spans="2:3" hidden="1" outlineLevel="2" x14ac:dyDescent="0.3">
      <c r="C2879" t="s">
        <v>2649</v>
      </c>
    </row>
    <row r="2880" spans="2:3" hidden="1" outlineLevel="2" x14ac:dyDescent="0.3">
      <c r="C2880" t="s">
        <v>2650</v>
      </c>
    </row>
    <row r="2881" spans="2:3" outlineLevel="1" collapsed="1" x14ac:dyDescent="0.3">
      <c r="B2881" t="s">
        <v>2651</v>
      </c>
    </row>
    <row r="2882" spans="2:3" hidden="1" outlineLevel="2" x14ac:dyDescent="0.3">
      <c r="C2882" t="s">
        <v>2652</v>
      </c>
    </row>
    <row r="2883" spans="2:3" hidden="1" outlineLevel="2" x14ac:dyDescent="0.3">
      <c r="C2883" t="s">
        <v>2653</v>
      </c>
    </row>
    <row r="2884" spans="2:3" hidden="1" outlineLevel="2" x14ac:dyDescent="0.3">
      <c r="C2884" t="s">
        <v>2654</v>
      </c>
    </row>
    <row r="2885" spans="2:3" hidden="1" outlineLevel="2" x14ac:dyDescent="0.3">
      <c r="C2885" t="s">
        <v>2655</v>
      </c>
    </row>
    <row r="2886" spans="2:3" hidden="1" outlineLevel="2" x14ac:dyDescent="0.3">
      <c r="C2886" t="s">
        <v>2656</v>
      </c>
    </row>
    <row r="2887" spans="2:3" hidden="1" outlineLevel="2" x14ac:dyDescent="0.3">
      <c r="C2887" t="s">
        <v>2657</v>
      </c>
    </row>
    <row r="2888" spans="2:3" hidden="1" outlineLevel="2" x14ac:dyDescent="0.3">
      <c r="C2888" t="s">
        <v>2658</v>
      </c>
    </row>
    <row r="2889" spans="2:3" hidden="1" outlineLevel="2" x14ac:dyDescent="0.3">
      <c r="C2889" t="s">
        <v>2659</v>
      </c>
    </row>
    <row r="2890" spans="2:3" outlineLevel="1" collapsed="1" x14ac:dyDescent="0.3">
      <c r="B2890" t="s">
        <v>2660</v>
      </c>
    </row>
    <row r="2891" spans="2:3" outlineLevel="1" x14ac:dyDescent="0.3">
      <c r="B2891" t="s">
        <v>2661</v>
      </c>
    </row>
    <row r="2892" spans="2:3" hidden="1" outlineLevel="2" x14ac:dyDescent="0.3">
      <c r="C2892" t="s">
        <v>2662</v>
      </c>
    </row>
    <row r="2893" spans="2:3" hidden="1" outlineLevel="2" x14ac:dyDescent="0.3">
      <c r="C2893" t="s">
        <v>2663</v>
      </c>
    </row>
    <row r="2894" spans="2:3" hidden="1" outlineLevel="2" x14ac:dyDescent="0.3">
      <c r="C2894" t="s">
        <v>2664</v>
      </c>
    </row>
    <row r="2895" spans="2:3" hidden="1" outlineLevel="2" x14ac:dyDescent="0.3">
      <c r="C2895" t="s">
        <v>2665</v>
      </c>
    </row>
    <row r="2896" spans="2:3" hidden="1" outlineLevel="2" x14ac:dyDescent="0.3">
      <c r="C2896" t="s">
        <v>2666</v>
      </c>
    </row>
    <row r="2897" spans="2:4" hidden="1" outlineLevel="2" x14ac:dyDescent="0.3">
      <c r="C2897" t="s">
        <v>2667</v>
      </c>
    </row>
    <row r="2898" spans="2:4" outlineLevel="1" collapsed="1" x14ac:dyDescent="0.3">
      <c r="B2898" t="s">
        <v>2668</v>
      </c>
    </row>
    <row r="2899" spans="2:4" outlineLevel="1" x14ac:dyDescent="0.3">
      <c r="B2899" t="s">
        <v>2669</v>
      </c>
    </row>
    <row r="2900" spans="2:4" hidden="1" outlineLevel="2" x14ac:dyDescent="0.3">
      <c r="C2900" t="s">
        <v>2670</v>
      </c>
    </row>
    <row r="2901" spans="2:4" hidden="1" outlineLevel="2" x14ac:dyDescent="0.3">
      <c r="C2901" t="s">
        <v>2671</v>
      </c>
    </row>
    <row r="2902" spans="2:4" hidden="1" outlineLevel="2" x14ac:dyDescent="0.3">
      <c r="C2902" t="s">
        <v>2672</v>
      </c>
    </row>
    <row r="2903" spans="2:4" hidden="1" outlineLevel="2" x14ac:dyDescent="0.3">
      <c r="C2903" t="s">
        <v>2673</v>
      </c>
    </row>
    <row r="2904" spans="2:4" outlineLevel="1" collapsed="1" x14ac:dyDescent="0.3">
      <c r="B2904" t="s">
        <v>2674</v>
      </c>
    </row>
    <row r="2905" spans="2:4" outlineLevel="1" x14ac:dyDescent="0.3">
      <c r="B2905" t="s">
        <v>2675</v>
      </c>
    </row>
    <row r="2906" spans="2:4" outlineLevel="1" x14ac:dyDescent="0.3">
      <c r="B2906" t="s">
        <v>2676</v>
      </c>
    </row>
    <row r="2907" spans="2:4" outlineLevel="1" x14ac:dyDescent="0.3">
      <c r="B2907" t="s">
        <v>2677</v>
      </c>
    </row>
    <row r="2908" spans="2:4" outlineLevel="1" x14ac:dyDescent="0.3">
      <c r="B2908" t="s">
        <v>2678</v>
      </c>
    </row>
    <row r="2909" spans="2:4" outlineLevel="1" x14ac:dyDescent="0.3">
      <c r="B2909" t="s">
        <v>2679</v>
      </c>
    </row>
    <row r="2910" spans="2:4" hidden="1" outlineLevel="2" x14ac:dyDescent="0.3">
      <c r="C2910" t="s">
        <v>2680</v>
      </c>
    </row>
    <row r="2911" spans="2:4" hidden="1" outlineLevel="2" x14ac:dyDescent="0.3">
      <c r="C2911" t="s">
        <v>2681</v>
      </c>
    </row>
    <row r="2912" spans="2:4" hidden="1" outlineLevel="3" x14ac:dyDescent="0.3">
      <c r="D2912" t="s">
        <v>2682</v>
      </c>
    </row>
    <row r="2913" spans="3:4" hidden="1" outlineLevel="3" x14ac:dyDescent="0.3">
      <c r="D2913" t="s">
        <v>2683</v>
      </c>
    </row>
    <row r="2914" spans="3:4" hidden="1" outlineLevel="2" x14ac:dyDescent="0.3">
      <c r="C2914" t="s">
        <v>2684</v>
      </c>
    </row>
    <row r="2915" spans="3:4" hidden="1" outlineLevel="2" x14ac:dyDescent="0.3">
      <c r="C2915" t="s">
        <v>2685</v>
      </c>
    </row>
    <row r="2916" spans="3:4" hidden="1" outlineLevel="2" x14ac:dyDescent="0.3">
      <c r="C2916" t="s">
        <v>2686</v>
      </c>
    </row>
    <row r="2917" spans="3:4" hidden="1" outlineLevel="2" x14ac:dyDescent="0.3">
      <c r="C2917" t="s">
        <v>2687</v>
      </c>
    </row>
    <row r="2918" spans="3:4" hidden="1" outlineLevel="2" x14ac:dyDescent="0.3">
      <c r="C2918" t="s">
        <v>2688</v>
      </c>
    </row>
    <row r="2919" spans="3:4" hidden="1" outlineLevel="2" x14ac:dyDescent="0.3">
      <c r="C2919" t="s">
        <v>2689</v>
      </c>
    </row>
    <row r="2920" spans="3:4" hidden="1" outlineLevel="2" x14ac:dyDescent="0.3">
      <c r="C2920" t="s">
        <v>2690</v>
      </c>
    </row>
    <row r="2921" spans="3:4" hidden="1" outlineLevel="2" x14ac:dyDescent="0.3">
      <c r="C2921" t="s">
        <v>2691</v>
      </c>
    </row>
    <row r="2922" spans="3:4" hidden="1" outlineLevel="2" x14ac:dyDescent="0.3">
      <c r="C2922" t="s">
        <v>2692</v>
      </c>
    </row>
    <row r="2923" spans="3:4" hidden="1" outlineLevel="2" x14ac:dyDescent="0.3">
      <c r="C2923" t="s">
        <v>2693</v>
      </c>
    </row>
    <row r="2924" spans="3:4" hidden="1" outlineLevel="2" x14ac:dyDescent="0.3">
      <c r="C2924" t="s">
        <v>2694</v>
      </c>
    </row>
    <row r="2925" spans="3:4" hidden="1" outlineLevel="2" x14ac:dyDescent="0.3">
      <c r="C2925" t="s">
        <v>2695</v>
      </c>
    </row>
    <row r="2926" spans="3:4" hidden="1" outlineLevel="2" x14ac:dyDescent="0.3">
      <c r="C2926" t="s">
        <v>2696</v>
      </c>
    </row>
    <row r="2927" spans="3:4" hidden="1" outlineLevel="3" x14ac:dyDescent="0.3">
      <c r="D2927" t="s">
        <v>2697</v>
      </c>
    </row>
    <row r="2928" spans="3:4" hidden="1" outlineLevel="3" x14ac:dyDescent="0.3">
      <c r="D2928" t="s">
        <v>2698</v>
      </c>
    </row>
    <row r="2929" spans="3:4" hidden="1" outlineLevel="3" x14ac:dyDescent="0.3">
      <c r="D2929" t="s">
        <v>2699</v>
      </c>
    </row>
    <row r="2930" spans="3:4" hidden="1" outlineLevel="3" x14ac:dyDescent="0.3">
      <c r="D2930" t="s">
        <v>2700</v>
      </c>
    </row>
    <row r="2931" spans="3:4" hidden="1" outlineLevel="3" x14ac:dyDescent="0.3">
      <c r="D2931" t="s">
        <v>2701</v>
      </c>
    </row>
    <row r="2932" spans="3:4" hidden="1" outlineLevel="3" x14ac:dyDescent="0.3">
      <c r="D2932" t="s">
        <v>2702</v>
      </c>
    </row>
    <row r="2933" spans="3:4" hidden="1" outlineLevel="3" x14ac:dyDescent="0.3">
      <c r="D2933" t="s">
        <v>2703</v>
      </c>
    </row>
    <row r="2934" spans="3:4" hidden="1" outlineLevel="3" x14ac:dyDescent="0.3">
      <c r="D2934" t="s">
        <v>2704</v>
      </c>
    </row>
    <row r="2935" spans="3:4" hidden="1" outlineLevel="3" x14ac:dyDescent="0.3">
      <c r="D2935" t="s">
        <v>2705</v>
      </c>
    </row>
    <row r="2936" spans="3:4" hidden="1" outlineLevel="3" x14ac:dyDescent="0.3">
      <c r="D2936" t="s">
        <v>2706</v>
      </c>
    </row>
    <row r="2937" spans="3:4" hidden="1" outlineLevel="2" x14ac:dyDescent="0.3">
      <c r="C2937" t="s">
        <v>2707</v>
      </c>
    </row>
    <row r="2938" spans="3:4" hidden="1" outlineLevel="2" x14ac:dyDescent="0.3">
      <c r="C2938" t="s">
        <v>2708</v>
      </c>
    </row>
    <row r="2939" spans="3:4" hidden="1" outlineLevel="3" x14ac:dyDescent="0.3">
      <c r="D2939" t="s">
        <v>2709</v>
      </c>
    </row>
    <row r="2940" spans="3:4" hidden="1" outlineLevel="3" x14ac:dyDescent="0.3">
      <c r="D2940" t="s">
        <v>2710</v>
      </c>
    </row>
    <row r="2941" spans="3:4" hidden="1" outlineLevel="3" x14ac:dyDescent="0.3">
      <c r="D2941" t="s">
        <v>2711</v>
      </c>
    </row>
    <row r="2942" spans="3:4" hidden="1" outlineLevel="3" x14ac:dyDescent="0.3">
      <c r="D2942" t="s">
        <v>2712</v>
      </c>
    </row>
    <row r="2943" spans="3:4" hidden="1" outlineLevel="3" x14ac:dyDescent="0.3">
      <c r="D2943" t="s">
        <v>2713</v>
      </c>
    </row>
    <row r="2944" spans="3:4" hidden="1" outlineLevel="2" x14ac:dyDescent="0.3">
      <c r="C2944" t="s">
        <v>2714</v>
      </c>
    </row>
    <row r="2945" spans="2:3" hidden="1" outlineLevel="2" x14ac:dyDescent="0.3">
      <c r="C2945" t="s">
        <v>2715</v>
      </c>
    </row>
    <row r="2946" spans="2:3" hidden="1" outlineLevel="2" x14ac:dyDescent="0.3">
      <c r="C2946" t="s">
        <v>2716</v>
      </c>
    </row>
    <row r="2947" spans="2:3" hidden="1" outlineLevel="2" x14ac:dyDescent="0.3">
      <c r="C2947" t="s">
        <v>2717</v>
      </c>
    </row>
    <row r="2948" spans="2:3" hidden="1" outlineLevel="2" x14ac:dyDescent="0.3">
      <c r="C2948" t="s">
        <v>2718</v>
      </c>
    </row>
    <row r="2949" spans="2:3" hidden="1" outlineLevel="2" x14ac:dyDescent="0.3">
      <c r="C2949" t="s">
        <v>2719</v>
      </c>
    </row>
    <row r="2950" spans="2:3" hidden="1" outlineLevel="2" x14ac:dyDescent="0.3">
      <c r="C2950" t="s">
        <v>2720</v>
      </c>
    </row>
    <row r="2951" spans="2:3" hidden="1" outlineLevel="2" x14ac:dyDescent="0.3">
      <c r="C2951" t="s">
        <v>2721</v>
      </c>
    </row>
    <row r="2952" spans="2:3" hidden="1" outlineLevel="2" x14ac:dyDescent="0.3">
      <c r="C2952" t="s">
        <v>2722</v>
      </c>
    </row>
    <row r="2953" spans="2:3" hidden="1" outlineLevel="2" x14ac:dyDescent="0.3">
      <c r="C2953" t="s">
        <v>2723</v>
      </c>
    </row>
    <row r="2954" spans="2:3" hidden="1" outlineLevel="2" x14ac:dyDescent="0.3">
      <c r="C2954" t="s">
        <v>2724</v>
      </c>
    </row>
    <row r="2955" spans="2:3" outlineLevel="1" collapsed="1" x14ac:dyDescent="0.3">
      <c r="B2955" t="s">
        <v>2725</v>
      </c>
    </row>
    <row r="2956" spans="2:3" outlineLevel="1" x14ac:dyDescent="0.3">
      <c r="B2956" t="s">
        <v>2726</v>
      </c>
    </row>
    <row r="2957" spans="2:3" outlineLevel="1" x14ac:dyDescent="0.3">
      <c r="B2957" t="s">
        <v>2727</v>
      </c>
    </row>
    <row r="2958" spans="2:3" outlineLevel="1" x14ac:dyDescent="0.3">
      <c r="B2958" t="s">
        <v>2728</v>
      </c>
    </row>
    <row r="2959" spans="2:3" outlineLevel="1" x14ac:dyDescent="0.3">
      <c r="B2959" t="s">
        <v>2729</v>
      </c>
    </row>
    <row r="2960" spans="2:3" outlineLevel="1" x14ac:dyDescent="0.3">
      <c r="B2960" t="s">
        <v>2730</v>
      </c>
    </row>
    <row r="2961" spans="3:3" hidden="1" outlineLevel="2" x14ac:dyDescent="0.3">
      <c r="C2961" t="s">
        <v>2731</v>
      </c>
    </row>
    <row r="2962" spans="3:3" hidden="1" outlineLevel="2" x14ac:dyDescent="0.3">
      <c r="C2962" t="s">
        <v>2732</v>
      </c>
    </row>
    <row r="2963" spans="3:3" hidden="1" outlineLevel="2" x14ac:dyDescent="0.3">
      <c r="C2963" t="s">
        <v>2733</v>
      </c>
    </row>
    <row r="2964" spans="3:3" hidden="1" outlineLevel="2" x14ac:dyDescent="0.3">
      <c r="C2964" t="s">
        <v>2734</v>
      </c>
    </row>
    <row r="2965" spans="3:3" hidden="1" outlineLevel="2" x14ac:dyDescent="0.3">
      <c r="C2965" t="s">
        <v>2735</v>
      </c>
    </row>
    <row r="2966" spans="3:3" hidden="1" outlineLevel="2" x14ac:dyDescent="0.3">
      <c r="C2966" t="s">
        <v>2736</v>
      </c>
    </row>
    <row r="2967" spans="3:3" hidden="1" outlineLevel="2" x14ac:dyDescent="0.3">
      <c r="C2967" t="s">
        <v>2737</v>
      </c>
    </row>
    <row r="2968" spans="3:3" hidden="1" outlineLevel="2" x14ac:dyDescent="0.3">
      <c r="C2968" t="s">
        <v>2738</v>
      </c>
    </row>
    <row r="2969" spans="3:3" hidden="1" outlineLevel="2" x14ac:dyDescent="0.3">
      <c r="C2969" t="s">
        <v>2739</v>
      </c>
    </row>
    <row r="2970" spans="3:3" hidden="1" outlineLevel="2" x14ac:dyDescent="0.3">
      <c r="C2970" t="s">
        <v>2740</v>
      </c>
    </row>
    <row r="2971" spans="3:3" hidden="1" outlineLevel="2" x14ac:dyDescent="0.3">
      <c r="C2971" t="s">
        <v>2741</v>
      </c>
    </row>
    <row r="2972" spans="3:3" hidden="1" outlineLevel="2" x14ac:dyDescent="0.3">
      <c r="C2972" t="s">
        <v>2742</v>
      </c>
    </row>
    <row r="2973" spans="3:3" hidden="1" outlineLevel="2" x14ac:dyDescent="0.3">
      <c r="C2973" t="s">
        <v>2743</v>
      </c>
    </row>
    <row r="2974" spans="3:3" hidden="1" outlineLevel="2" x14ac:dyDescent="0.3">
      <c r="C2974" t="s">
        <v>2744</v>
      </c>
    </row>
    <row r="2975" spans="3:3" hidden="1" outlineLevel="2" x14ac:dyDescent="0.3">
      <c r="C2975" t="s">
        <v>2745</v>
      </c>
    </row>
    <row r="2976" spans="3:3" hidden="1" outlineLevel="2" x14ac:dyDescent="0.3">
      <c r="C2976" t="s">
        <v>2746</v>
      </c>
    </row>
    <row r="2977" spans="2:3" hidden="1" outlineLevel="2" x14ac:dyDescent="0.3">
      <c r="C2977" t="s">
        <v>2747</v>
      </c>
    </row>
    <row r="2978" spans="2:3" hidden="1" outlineLevel="2" x14ac:dyDescent="0.3">
      <c r="C2978" t="s">
        <v>2748</v>
      </c>
    </row>
    <row r="2979" spans="2:3" hidden="1" outlineLevel="2" x14ac:dyDescent="0.3">
      <c r="C2979" t="s">
        <v>2749</v>
      </c>
    </row>
    <row r="2980" spans="2:3" hidden="1" outlineLevel="2" x14ac:dyDescent="0.3">
      <c r="C2980" t="s">
        <v>2750</v>
      </c>
    </row>
    <row r="2981" spans="2:3" hidden="1" outlineLevel="2" x14ac:dyDescent="0.3">
      <c r="C2981" t="s">
        <v>2751</v>
      </c>
    </row>
    <row r="2982" spans="2:3" outlineLevel="1" collapsed="1" x14ac:dyDescent="0.3">
      <c r="B2982" t="s">
        <v>2752</v>
      </c>
    </row>
    <row r="2983" spans="2:3" outlineLevel="1" x14ac:dyDescent="0.3">
      <c r="B2983" t="s">
        <v>2753</v>
      </c>
    </row>
    <row r="2984" spans="2:3" outlineLevel="1" x14ac:dyDescent="0.3">
      <c r="B2984" t="s">
        <v>2754</v>
      </c>
    </row>
    <row r="2985" spans="2:3" hidden="1" outlineLevel="2" x14ac:dyDescent="0.3">
      <c r="C2985" t="s">
        <v>2755</v>
      </c>
    </row>
    <row r="2986" spans="2:3" hidden="1" outlineLevel="2" x14ac:dyDescent="0.3">
      <c r="C2986" t="s">
        <v>2756</v>
      </c>
    </row>
    <row r="2987" spans="2:3" hidden="1" outlineLevel="2" x14ac:dyDescent="0.3">
      <c r="C2987" t="s">
        <v>2757</v>
      </c>
    </row>
    <row r="2988" spans="2:3" hidden="1" outlineLevel="2" x14ac:dyDescent="0.3">
      <c r="C2988" t="s">
        <v>2758</v>
      </c>
    </row>
    <row r="2989" spans="2:3" hidden="1" outlineLevel="2" x14ac:dyDescent="0.3">
      <c r="C2989" t="s">
        <v>2759</v>
      </c>
    </row>
    <row r="2990" spans="2:3" outlineLevel="1" collapsed="1" x14ac:dyDescent="0.3">
      <c r="B2990" t="s">
        <v>2760</v>
      </c>
    </row>
    <row r="2991" spans="2:3" outlineLevel="1" x14ac:dyDescent="0.3">
      <c r="B2991" t="s">
        <v>2761</v>
      </c>
    </row>
    <row r="2992" spans="2:3" hidden="1" outlineLevel="2" x14ac:dyDescent="0.3">
      <c r="C2992" t="s">
        <v>2762</v>
      </c>
    </row>
    <row r="2993" spans="2:3" hidden="1" outlineLevel="2" x14ac:dyDescent="0.3">
      <c r="C2993" t="s">
        <v>2763</v>
      </c>
    </row>
    <row r="2994" spans="2:3" hidden="1" outlineLevel="2" x14ac:dyDescent="0.3">
      <c r="C2994" t="s">
        <v>2764</v>
      </c>
    </row>
    <row r="2995" spans="2:3" hidden="1" outlineLevel="2" x14ac:dyDescent="0.3">
      <c r="C2995" t="s">
        <v>2765</v>
      </c>
    </row>
    <row r="2996" spans="2:3" hidden="1" outlineLevel="2" x14ac:dyDescent="0.3">
      <c r="C2996" t="s">
        <v>2766</v>
      </c>
    </row>
    <row r="2997" spans="2:3" outlineLevel="1" collapsed="1" x14ac:dyDescent="0.3">
      <c r="B2997" t="s">
        <v>2767</v>
      </c>
    </row>
    <row r="2998" spans="2:3" outlineLevel="1" x14ac:dyDescent="0.3">
      <c r="B2998" t="s">
        <v>2768</v>
      </c>
    </row>
    <row r="2999" spans="2:3" outlineLevel="1" x14ac:dyDescent="0.3">
      <c r="B2999" t="s">
        <v>2769</v>
      </c>
    </row>
    <row r="3000" spans="2:3" outlineLevel="1" x14ac:dyDescent="0.3">
      <c r="B3000" t="s">
        <v>2770</v>
      </c>
    </row>
    <row r="3001" spans="2:3" outlineLevel="1" x14ac:dyDescent="0.3">
      <c r="B3001" t="s">
        <v>2771</v>
      </c>
    </row>
    <row r="3002" spans="2:3" outlineLevel="1" x14ac:dyDescent="0.3">
      <c r="B3002" t="s">
        <v>2772</v>
      </c>
    </row>
    <row r="3003" spans="2:3" hidden="1" outlineLevel="2" x14ac:dyDescent="0.3">
      <c r="C3003" t="s">
        <v>2773</v>
      </c>
    </row>
    <row r="3004" spans="2:3" hidden="1" outlineLevel="2" x14ac:dyDescent="0.3">
      <c r="C3004" t="s">
        <v>2774</v>
      </c>
    </row>
    <row r="3005" spans="2:3" hidden="1" outlineLevel="2" x14ac:dyDescent="0.3">
      <c r="C3005" t="s">
        <v>2775</v>
      </c>
    </row>
    <row r="3006" spans="2:3" hidden="1" outlineLevel="2" x14ac:dyDescent="0.3">
      <c r="C3006" t="s">
        <v>2776</v>
      </c>
    </row>
    <row r="3007" spans="2:3" hidden="1" outlineLevel="2" x14ac:dyDescent="0.3">
      <c r="C3007" t="s">
        <v>2777</v>
      </c>
    </row>
    <row r="3008" spans="2:3" hidden="1" outlineLevel="2" x14ac:dyDescent="0.3">
      <c r="C3008" t="s">
        <v>2778</v>
      </c>
    </row>
    <row r="3009" spans="3:3" hidden="1" outlineLevel="2" x14ac:dyDescent="0.3">
      <c r="C3009" t="s">
        <v>2779</v>
      </c>
    </row>
    <row r="3010" spans="3:3" hidden="1" outlineLevel="2" x14ac:dyDescent="0.3">
      <c r="C3010" t="s">
        <v>2780</v>
      </c>
    </row>
    <row r="3011" spans="3:3" hidden="1" outlineLevel="2" x14ac:dyDescent="0.3">
      <c r="C3011" t="s">
        <v>2781</v>
      </c>
    </row>
    <row r="3012" spans="3:3" hidden="1" outlineLevel="2" x14ac:dyDescent="0.3">
      <c r="C3012" t="s">
        <v>2782</v>
      </c>
    </row>
    <row r="3013" spans="3:3" hidden="1" outlineLevel="2" x14ac:dyDescent="0.3">
      <c r="C3013" t="s">
        <v>2783</v>
      </c>
    </row>
    <row r="3014" spans="3:3" hidden="1" outlineLevel="2" x14ac:dyDescent="0.3">
      <c r="C3014" t="s">
        <v>2784</v>
      </c>
    </row>
    <row r="3015" spans="3:3" hidden="1" outlineLevel="2" x14ac:dyDescent="0.3">
      <c r="C3015" t="s">
        <v>2785</v>
      </c>
    </row>
    <row r="3016" spans="3:3" hidden="1" outlineLevel="2" x14ac:dyDescent="0.3">
      <c r="C3016" t="s">
        <v>2786</v>
      </c>
    </row>
    <row r="3017" spans="3:3" hidden="1" outlineLevel="2" x14ac:dyDescent="0.3">
      <c r="C3017" t="s">
        <v>2787</v>
      </c>
    </row>
    <row r="3018" spans="3:3" hidden="1" outlineLevel="2" x14ac:dyDescent="0.3">
      <c r="C3018" t="s">
        <v>2788</v>
      </c>
    </row>
    <row r="3019" spans="3:3" hidden="1" outlineLevel="2" x14ac:dyDescent="0.3">
      <c r="C3019" t="s">
        <v>2789</v>
      </c>
    </row>
    <row r="3020" spans="3:3" hidden="1" outlineLevel="2" x14ac:dyDescent="0.3">
      <c r="C3020" t="s">
        <v>2790</v>
      </c>
    </row>
    <row r="3021" spans="3:3" hidden="1" outlineLevel="2" x14ac:dyDescent="0.3">
      <c r="C3021" t="s">
        <v>2791</v>
      </c>
    </row>
    <row r="3022" spans="3:3" hidden="1" outlineLevel="2" x14ac:dyDescent="0.3">
      <c r="C3022" t="s">
        <v>2792</v>
      </c>
    </row>
    <row r="3023" spans="3:3" hidden="1" outlineLevel="2" x14ac:dyDescent="0.3">
      <c r="C3023" t="s">
        <v>2793</v>
      </c>
    </row>
    <row r="3024" spans="3:3" hidden="1" outlineLevel="2" x14ac:dyDescent="0.3">
      <c r="C3024" t="s">
        <v>2794</v>
      </c>
    </row>
    <row r="3025" spans="1:4" hidden="1" outlineLevel="2" x14ac:dyDescent="0.3">
      <c r="C3025" t="s">
        <v>2795</v>
      </c>
    </row>
    <row r="3026" spans="1:4" hidden="1" outlineLevel="2" x14ac:dyDescent="0.3">
      <c r="C3026" t="s">
        <v>2796</v>
      </c>
    </row>
    <row r="3027" spans="1:4" hidden="1" outlineLevel="2" x14ac:dyDescent="0.3">
      <c r="C3027" t="s">
        <v>2797</v>
      </c>
    </row>
    <row r="3028" spans="1:4" hidden="1" outlineLevel="2" x14ac:dyDescent="0.3">
      <c r="C3028" t="s">
        <v>2798</v>
      </c>
    </row>
    <row r="3029" spans="1:4" x14ac:dyDescent="0.3">
      <c r="A3029" t="s">
        <v>927</v>
      </c>
    </row>
    <row r="3030" spans="1:4" x14ac:dyDescent="0.3">
      <c r="A3030" t="s">
        <v>928</v>
      </c>
    </row>
    <row r="3031" spans="1:4" x14ac:dyDescent="0.3">
      <c r="A3031" t="s">
        <v>929</v>
      </c>
    </row>
    <row r="3032" spans="1:4" x14ac:dyDescent="0.3">
      <c r="A3032" t="s">
        <v>930</v>
      </c>
    </row>
    <row r="3033" spans="1:4" outlineLevel="1" x14ac:dyDescent="0.3">
      <c r="B3033" t="s">
        <v>931</v>
      </c>
    </row>
    <row r="3034" spans="1:4" outlineLevel="1" x14ac:dyDescent="0.3">
      <c r="B3034" t="s">
        <v>932</v>
      </c>
    </row>
    <row r="3035" spans="1:4" outlineLevel="1" x14ac:dyDescent="0.3">
      <c r="B3035" t="s">
        <v>933</v>
      </c>
    </row>
    <row r="3036" spans="1:4" hidden="1" outlineLevel="2" x14ac:dyDescent="0.3">
      <c r="C3036" t="s">
        <v>934</v>
      </c>
    </row>
    <row r="3037" spans="1:4" hidden="1" outlineLevel="3" x14ac:dyDescent="0.3">
      <c r="D3037" t="s">
        <v>935</v>
      </c>
    </row>
    <row r="3038" spans="1:4" hidden="1" outlineLevel="3" x14ac:dyDescent="0.3">
      <c r="D3038" t="s">
        <v>936</v>
      </c>
    </row>
    <row r="3039" spans="1:4" hidden="1" outlineLevel="2" x14ac:dyDescent="0.3">
      <c r="C3039" t="s">
        <v>937</v>
      </c>
    </row>
    <row r="3040" spans="1:4" hidden="1" outlineLevel="2" x14ac:dyDescent="0.3">
      <c r="C3040" t="s">
        <v>938</v>
      </c>
    </row>
    <row r="3041" spans="3:4" hidden="1" outlineLevel="3" x14ac:dyDescent="0.3">
      <c r="D3041" t="s">
        <v>939</v>
      </c>
    </row>
    <row r="3042" spans="3:4" hidden="1" outlineLevel="3" x14ac:dyDescent="0.3">
      <c r="D3042" t="s">
        <v>940</v>
      </c>
    </row>
    <row r="3043" spans="3:4" hidden="1" outlineLevel="3" x14ac:dyDescent="0.3">
      <c r="D3043" t="s">
        <v>941</v>
      </c>
    </row>
    <row r="3044" spans="3:4" hidden="1" outlineLevel="3" x14ac:dyDescent="0.3">
      <c r="D3044" t="s">
        <v>942</v>
      </c>
    </row>
    <row r="3045" spans="3:4" hidden="1" outlineLevel="3" x14ac:dyDescent="0.3">
      <c r="D3045" t="s">
        <v>943</v>
      </c>
    </row>
    <row r="3046" spans="3:4" hidden="1" outlineLevel="3" x14ac:dyDescent="0.3">
      <c r="D3046" t="s">
        <v>944</v>
      </c>
    </row>
    <row r="3047" spans="3:4" hidden="1" outlineLevel="3" x14ac:dyDescent="0.3">
      <c r="D3047" t="s">
        <v>945</v>
      </c>
    </row>
    <row r="3048" spans="3:4" hidden="1" outlineLevel="3" x14ac:dyDescent="0.3">
      <c r="D3048" t="s">
        <v>946</v>
      </c>
    </row>
    <row r="3049" spans="3:4" hidden="1" outlineLevel="3" x14ac:dyDescent="0.3">
      <c r="D3049" t="s">
        <v>947</v>
      </c>
    </row>
    <row r="3050" spans="3:4" hidden="1" outlineLevel="3" x14ac:dyDescent="0.3">
      <c r="D3050" t="s">
        <v>948</v>
      </c>
    </row>
    <row r="3051" spans="3:4" hidden="1" outlineLevel="3" x14ac:dyDescent="0.3">
      <c r="D3051" t="s">
        <v>949</v>
      </c>
    </row>
    <row r="3052" spans="3:4" hidden="1" outlineLevel="3" x14ac:dyDescent="0.3">
      <c r="D3052" t="s">
        <v>950</v>
      </c>
    </row>
    <row r="3053" spans="3:4" hidden="1" outlineLevel="3" x14ac:dyDescent="0.3">
      <c r="D3053" t="s">
        <v>951</v>
      </c>
    </row>
    <row r="3054" spans="3:4" hidden="1" outlineLevel="3" x14ac:dyDescent="0.3">
      <c r="D3054" t="s">
        <v>952</v>
      </c>
    </row>
    <row r="3055" spans="3:4" hidden="1" outlineLevel="3" x14ac:dyDescent="0.3">
      <c r="D3055" t="s">
        <v>953</v>
      </c>
    </row>
    <row r="3056" spans="3:4" hidden="1" outlineLevel="2" x14ac:dyDescent="0.3">
      <c r="C3056" t="s">
        <v>954</v>
      </c>
    </row>
    <row r="3057" spans="3:4" hidden="1" outlineLevel="3" x14ac:dyDescent="0.3">
      <c r="D3057" t="s">
        <v>955</v>
      </c>
    </row>
    <row r="3058" spans="3:4" hidden="1" outlineLevel="3" x14ac:dyDescent="0.3">
      <c r="D3058" t="s">
        <v>956</v>
      </c>
    </row>
    <row r="3059" spans="3:4" hidden="1" outlineLevel="3" x14ac:dyDescent="0.3">
      <c r="D3059" t="s">
        <v>957</v>
      </c>
    </row>
    <row r="3060" spans="3:4" hidden="1" outlineLevel="3" x14ac:dyDescent="0.3">
      <c r="D3060" t="s">
        <v>958</v>
      </c>
    </row>
    <row r="3061" spans="3:4" hidden="1" outlineLevel="3" x14ac:dyDescent="0.3">
      <c r="D3061" t="s">
        <v>959</v>
      </c>
    </row>
    <row r="3062" spans="3:4" hidden="1" outlineLevel="3" x14ac:dyDescent="0.3">
      <c r="D3062" t="s">
        <v>960</v>
      </c>
    </row>
    <row r="3063" spans="3:4" hidden="1" outlineLevel="3" x14ac:dyDescent="0.3">
      <c r="D3063" t="s">
        <v>961</v>
      </c>
    </row>
    <row r="3064" spans="3:4" hidden="1" outlineLevel="3" x14ac:dyDescent="0.3">
      <c r="D3064" t="s">
        <v>962</v>
      </c>
    </row>
    <row r="3065" spans="3:4" hidden="1" outlineLevel="3" x14ac:dyDescent="0.3">
      <c r="D3065" t="s">
        <v>963</v>
      </c>
    </row>
    <row r="3066" spans="3:4" hidden="1" outlineLevel="2" x14ac:dyDescent="0.3">
      <c r="C3066" t="s">
        <v>964</v>
      </c>
    </row>
    <row r="3067" spans="3:4" hidden="1" outlineLevel="3" x14ac:dyDescent="0.3">
      <c r="D3067" t="s">
        <v>965</v>
      </c>
    </row>
    <row r="3068" spans="3:4" hidden="1" outlineLevel="3" x14ac:dyDescent="0.3">
      <c r="D3068" t="s">
        <v>966</v>
      </c>
    </row>
    <row r="3069" spans="3:4" hidden="1" outlineLevel="3" x14ac:dyDescent="0.3">
      <c r="D3069" t="s">
        <v>967</v>
      </c>
    </row>
    <row r="3070" spans="3:4" hidden="1" outlineLevel="3" x14ac:dyDescent="0.3">
      <c r="D3070" t="s">
        <v>968</v>
      </c>
    </row>
    <row r="3071" spans="3:4" hidden="1" outlineLevel="3" x14ac:dyDescent="0.3">
      <c r="D3071" t="s">
        <v>969</v>
      </c>
    </row>
    <row r="3072" spans="3:4" hidden="1" outlineLevel="3" x14ac:dyDescent="0.3">
      <c r="D3072" t="s">
        <v>970</v>
      </c>
    </row>
    <row r="3073" spans="3:4" hidden="1" outlineLevel="3" x14ac:dyDescent="0.3">
      <c r="D3073" t="s">
        <v>971</v>
      </c>
    </row>
    <row r="3074" spans="3:4" hidden="1" outlineLevel="3" x14ac:dyDescent="0.3">
      <c r="D3074" t="s">
        <v>972</v>
      </c>
    </row>
    <row r="3075" spans="3:4" hidden="1" outlineLevel="3" x14ac:dyDescent="0.3">
      <c r="D3075" t="s">
        <v>973</v>
      </c>
    </row>
    <row r="3076" spans="3:4" hidden="1" outlineLevel="3" x14ac:dyDescent="0.3">
      <c r="D3076" t="s">
        <v>974</v>
      </c>
    </row>
    <row r="3077" spans="3:4" hidden="1" outlineLevel="3" x14ac:dyDescent="0.3">
      <c r="D3077" t="s">
        <v>975</v>
      </c>
    </row>
    <row r="3078" spans="3:4" hidden="1" outlineLevel="3" x14ac:dyDescent="0.3">
      <c r="D3078" t="s">
        <v>976</v>
      </c>
    </row>
    <row r="3079" spans="3:4" hidden="1" outlineLevel="3" x14ac:dyDescent="0.3">
      <c r="D3079" t="s">
        <v>977</v>
      </c>
    </row>
    <row r="3080" spans="3:4" hidden="1" outlineLevel="3" x14ac:dyDescent="0.3">
      <c r="D3080" t="s">
        <v>978</v>
      </c>
    </row>
    <row r="3081" spans="3:4" hidden="1" outlineLevel="2" x14ac:dyDescent="0.3">
      <c r="C3081" t="s">
        <v>979</v>
      </c>
    </row>
    <row r="3082" spans="3:4" hidden="1" outlineLevel="2" x14ac:dyDescent="0.3">
      <c r="C3082" t="s">
        <v>980</v>
      </c>
    </row>
    <row r="3083" spans="3:4" hidden="1" outlineLevel="2" x14ac:dyDescent="0.3">
      <c r="C3083" t="s">
        <v>2799</v>
      </c>
    </row>
    <row r="3084" spans="3:4" hidden="1" outlineLevel="3" x14ac:dyDescent="0.3">
      <c r="D3084" t="s">
        <v>981</v>
      </c>
    </row>
    <row r="3085" spans="3:4" hidden="1" outlineLevel="3" x14ac:dyDescent="0.3">
      <c r="D3085" t="s">
        <v>982</v>
      </c>
    </row>
    <row r="3086" spans="3:4" hidden="1" outlineLevel="3" x14ac:dyDescent="0.3">
      <c r="D3086" t="s">
        <v>983</v>
      </c>
    </row>
    <row r="3087" spans="3:4" hidden="1" outlineLevel="3" x14ac:dyDescent="0.3">
      <c r="D3087" t="s">
        <v>2800</v>
      </c>
    </row>
    <row r="3088" spans="3:4" hidden="1" outlineLevel="3" x14ac:dyDescent="0.3">
      <c r="D3088" t="s">
        <v>985</v>
      </c>
    </row>
    <row r="3089" spans="1:4" hidden="1" outlineLevel="3" x14ac:dyDescent="0.3">
      <c r="D3089" t="s">
        <v>986</v>
      </c>
    </row>
    <row r="3090" spans="1:4" hidden="1" outlineLevel="3" x14ac:dyDescent="0.3">
      <c r="D3090" t="s">
        <v>2801</v>
      </c>
    </row>
    <row r="3091" spans="1:4" hidden="1" outlineLevel="3" x14ac:dyDescent="0.3">
      <c r="D3091" t="s">
        <v>2802</v>
      </c>
    </row>
    <row r="3092" spans="1:4" hidden="1" outlineLevel="3" x14ac:dyDescent="0.3">
      <c r="D3092" t="s">
        <v>993</v>
      </c>
    </row>
    <row r="3093" spans="1:4" hidden="1" outlineLevel="3" x14ac:dyDescent="0.3">
      <c r="D3093" t="s">
        <v>994</v>
      </c>
    </row>
    <row r="3094" spans="1:4" hidden="1" outlineLevel="3" x14ac:dyDescent="0.3">
      <c r="D3094" t="s">
        <v>995</v>
      </c>
    </row>
    <row r="3095" spans="1:4" outlineLevel="1" collapsed="1" x14ac:dyDescent="0.3">
      <c r="B3095" t="s">
        <v>996</v>
      </c>
    </row>
    <row r="3096" spans="1:4" outlineLevel="1" x14ac:dyDescent="0.3">
      <c r="B3096" t="s">
        <v>997</v>
      </c>
    </row>
    <row r="3097" spans="1:4" outlineLevel="1" x14ac:dyDescent="0.3">
      <c r="B3097" t="s">
        <v>998</v>
      </c>
    </row>
    <row r="3098" spans="1:4" x14ac:dyDescent="0.3">
      <c r="A3098" t="s">
        <v>999</v>
      </c>
    </row>
    <row r="3099" spans="1:4" outlineLevel="1" x14ac:dyDescent="0.3">
      <c r="B3099" t="s">
        <v>2803</v>
      </c>
    </row>
    <row r="3100" spans="1:4" outlineLevel="1" x14ac:dyDescent="0.3">
      <c r="B3100" t="s">
        <v>2804</v>
      </c>
    </row>
    <row r="3101" spans="1:4" outlineLevel="1" x14ac:dyDescent="0.3">
      <c r="B3101" t="s">
        <v>2805</v>
      </c>
    </row>
    <row r="3102" spans="1:4" outlineLevel="1" x14ac:dyDescent="0.3">
      <c r="B3102" t="s">
        <v>2806</v>
      </c>
    </row>
    <row r="3103" spans="1:4" outlineLevel="1" x14ac:dyDescent="0.3">
      <c r="B3103" t="s">
        <v>2807</v>
      </c>
    </row>
    <row r="3104" spans="1:4" outlineLevel="1" x14ac:dyDescent="0.3">
      <c r="B3104" t="s">
        <v>2808</v>
      </c>
    </row>
    <row r="3105" spans="2:5" hidden="1" outlineLevel="2" x14ac:dyDescent="0.3">
      <c r="C3105" t="s">
        <v>2809</v>
      </c>
    </row>
    <row r="3106" spans="2:5" hidden="1" outlineLevel="2" x14ac:dyDescent="0.3">
      <c r="C3106" t="s">
        <v>2810</v>
      </c>
    </row>
    <row r="3107" spans="2:5" hidden="1" outlineLevel="2" x14ac:dyDescent="0.3">
      <c r="C3107" t="s">
        <v>2811</v>
      </c>
    </row>
    <row r="3108" spans="2:5" hidden="1" outlineLevel="2" x14ac:dyDescent="0.3">
      <c r="C3108" t="s">
        <v>2812</v>
      </c>
    </row>
    <row r="3109" spans="2:5" hidden="1" outlineLevel="2" x14ac:dyDescent="0.3">
      <c r="C3109" t="s">
        <v>2813</v>
      </c>
    </row>
    <row r="3110" spans="2:5" outlineLevel="1" collapsed="1" x14ac:dyDescent="0.3">
      <c r="B3110" t="s">
        <v>2814</v>
      </c>
    </row>
    <row r="3111" spans="2:5" hidden="1" outlineLevel="2" x14ac:dyDescent="0.3">
      <c r="C3111" t="s">
        <v>2815</v>
      </c>
    </row>
    <row r="3112" spans="2:5" hidden="1" outlineLevel="2" x14ac:dyDescent="0.3">
      <c r="C3112" t="s">
        <v>2816</v>
      </c>
    </row>
    <row r="3113" spans="2:5" hidden="1" outlineLevel="2" x14ac:dyDescent="0.3">
      <c r="C3113" t="s">
        <v>2817</v>
      </c>
    </row>
    <row r="3114" spans="2:5" hidden="1" outlineLevel="2" x14ac:dyDescent="0.3">
      <c r="C3114" t="s">
        <v>2818</v>
      </c>
    </row>
    <row r="3115" spans="2:5" hidden="1" outlineLevel="2" x14ac:dyDescent="0.3">
      <c r="C3115" t="s">
        <v>2819</v>
      </c>
    </row>
    <row r="3116" spans="2:5" outlineLevel="1" collapsed="1" x14ac:dyDescent="0.3">
      <c r="B3116" t="s">
        <v>2820</v>
      </c>
    </row>
    <row r="3117" spans="2:5" hidden="1" outlineLevel="2" x14ac:dyDescent="0.3">
      <c r="C3117" t="s">
        <v>2821</v>
      </c>
    </row>
    <row r="3118" spans="2:5" hidden="1" outlineLevel="3" x14ac:dyDescent="0.3">
      <c r="D3118" t="s">
        <v>2822</v>
      </c>
    </row>
    <row r="3119" spans="2:5" hidden="1" outlineLevel="3" x14ac:dyDescent="0.3">
      <c r="E3119" t="s">
        <v>2823</v>
      </c>
    </row>
    <row r="3120" spans="2:5" hidden="1" outlineLevel="3" x14ac:dyDescent="0.3">
      <c r="E3120" t="s">
        <v>2824</v>
      </c>
    </row>
    <row r="3121" spans="3:5" hidden="1" outlineLevel="3" x14ac:dyDescent="0.3">
      <c r="E3121" t="s">
        <v>2825</v>
      </c>
    </row>
    <row r="3122" spans="3:5" hidden="1" outlineLevel="3" x14ac:dyDescent="0.3">
      <c r="E3122" t="s">
        <v>2826</v>
      </c>
    </row>
    <row r="3123" spans="3:5" hidden="1" outlineLevel="3" x14ac:dyDescent="0.3">
      <c r="E3123" t="s">
        <v>2827</v>
      </c>
    </row>
    <row r="3124" spans="3:5" hidden="1" outlineLevel="3" x14ac:dyDescent="0.3">
      <c r="E3124" t="s">
        <v>2828</v>
      </c>
    </row>
    <row r="3125" spans="3:5" hidden="1" outlineLevel="3" collapsed="1" x14ac:dyDescent="0.3">
      <c r="D3125" t="s">
        <v>2829</v>
      </c>
    </row>
    <row r="3126" spans="3:5" hidden="1" outlineLevel="2" x14ac:dyDescent="0.3">
      <c r="E3126" t="s">
        <v>2830</v>
      </c>
    </row>
    <row r="3127" spans="3:5" hidden="1" outlineLevel="2" x14ac:dyDescent="0.3">
      <c r="E3127" t="s">
        <v>2831</v>
      </c>
    </row>
    <row r="3128" spans="3:5" hidden="1" outlineLevel="2" x14ac:dyDescent="0.3">
      <c r="E3128" t="s">
        <v>2832</v>
      </c>
    </row>
    <row r="3129" spans="3:5" hidden="1" outlineLevel="2" x14ac:dyDescent="0.3">
      <c r="E3129" t="s">
        <v>2833</v>
      </c>
    </row>
    <row r="3130" spans="3:5" hidden="1" outlineLevel="2" x14ac:dyDescent="0.3">
      <c r="E3130" t="s">
        <v>2834</v>
      </c>
    </row>
    <row r="3131" spans="3:5" hidden="1" outlineLevel="2" collapsed="1" x14ac:dyDescent="0.3">
      <c r="C3131" t="s">
        <v>2835</v>
      </c>
    </row>
    <row r="3132" spans="3:5" hidden="1" outlineLevel="3" x14ac:dyDescent="0.3">
      <c r="D3132" t="s">
        <v>2836</v>
      </c>
    </row>
    <row r="3133" spans="3:5" hidden="1" outlineLevel="3" x14ac:dyDescent="0.3">
      <c r="E3133" t="s">
        <v>2837</v>
      </c>
    </row>
    <row r="3134" spans="3:5" hidden="1" outlineLevel="3" x14ac:dyDescent="0.3">
      <c r="E3134" t="s">
        <v>2838</v>
      </c>
    </row>
    <row r="3135" spans="3:5" hidden="1" outlineLevel="3" x14ac:dyDescent="0.3">
      <c r="E3135" t="s">
        <v>2839</v>
      </c>
    </row>
    <row r="3136" spans="3:5" hidden="1" outlineLevel="3" x14ac:dyDescent="0.3">
      <c r="E3136" t="s">
        <v>2840</v>
      </c>
    </row>
    <row r="3137" spans="2:5" hidden="1" outlineLevel="3" x14ac:dyDescent="0.3">
      <c r="E3137" t="s">
        <v>2841</v>
      </c>
    </row>
    <row r="3138" spans="2:5" hidden="1" outlineLevel="3" x14ac:dyDescent="0.3">
      <c r="E3138" t="s">
        <v>2842</v>
      </c>
    </row>
    <row r="3139" spans="2:5" hidden="1" outlineLevel="3" collapsed="1" x14ac:dyDescent="0.3">
      <c r="D3139" t="s">
        <v>2843</v>
      </c>
    </row>
    <row r="3140" spans="2:5" hidden="1" outlineLevel="3" x14ac:dyDescent="0.3">
      <c r="E3140" t="s">
        <v>2844</v>
      </c>
    </row>
    <row r="3141" spans="2:5" hidden="1" outlineLevel="3" x14ac:dyDescent="0.3">
      <c r="E3141" t="s">
        <v>2845</v>
      </c>
    </row>
    <row r="3142" spans="2:5" hidden="1" outlineLevel="3" x14ac:dyDescent="0.3">
      <c r="E3142" t="s">
        <v>2846</v>
      </c>
    </row>
    <row r="3143" spans="2:5" hidden="1" outlineLevel="3" collapsed="1" x14ac:dyDescent="0.3">
      <c r="D3143" t="s">
        <v>2847</v>
      </c>
    </row>
    <row r="3144" spans="2:5" hidden="1" outlineLevel="3" x14ac:dyDescent="0.3">
      <c r="D3144" t="s">
        <v>2848</v>
      </c>
    </row>
    <row r="3145" spans="2:5" hidden="1" outlineLevel="2" x14ac:dyDescent="0.3">
      <c r="C3145" t="s">
        <v>2849</v>
      </c>
    </row>
    <row r="3146" spans="2:5" hidden="1" outlineLevel="2" x14ac:dyDescent="0.3">
      <c r="C3146" t="s">
        <v>2850</v>
      </c>
    </row>
    <row r="3147" spans="2:5" hidden="1" outlineLevel="2" x14ac:dyDescent="0.3">
      <c r="C3147" t="s">
        <v>2851</v>
      </c>
    </row>
    <row r="3148" spans="2:5" outlineLevel="1" collapsed="1" x14ac:dyDescent="0.3">
      <c r="B3148" t="s">
        <v>2852</v>
      </c>
    </row>
    <row r="3149" spans="2:5" hidden="1" outlineLevel="2" x14ac:dyDescent="0.3">
      <c r="C3149" t="s">
        <v>2853</v>
      </c>
    </row>
    <row r="3150" spans="2:5" hidden="1" outlineLevel="3" x14ac:dyDescent="0.3">
      <c r="D3150" t="s">
        <v>2854</v>
      </c>
    </row>
    <row r="3151" spans="2:5" hidden="1" outlineLevel="3" x14ac:dyDescent="0.3">
      <c r="D3151" t="s">
        <v>2855</v>
      </c>
    </row>
    <row r="3152" spans="2:5" hidden="1" outlineLevel="2" x14ac:dyDescent="0.3">
      <c r="C3152" t="s">
        <v>2856</v>
      </c>
    </row>
    <row r="3153" spans="3:4" hidden="1" outlineLevel="2" x14ac:dyDescent="0.3">
      <c r="C3153" t="s">
        <v>2857</v>
      </c>
    </row>
    <row r="3154" spans="3:4" hidden="1" outlineLevel="2" x14ac:dyDescent="0.3">
      <c r="C3154" t="s">
        <v>2858</v>
      </c>
    </row>
    <row r="3155" spans="3:4" hidden="1" outlineLevel="3" x14ac:dyDescent="0.3">
      <c r="D3155" t="s">
        <v>2859</v>
      </c>
    </row>
    <row r="3156" spans="3:4" hidden="1" outlineLevel="3" x14ac:dyDescent="0.3">
      <c r="D3156" t="s">
        <v>2860</v>
      </c>
    </row>
    <row r="3157" spans="3:4" hidden="1" outlineLevel="3" x14ac:dyDescent="0.3">
      <c r="D3157" t="s">
        <v>2861</v>
      </c>
    </row>
    <row r="3158" spans="3:4" hidden="1" outlineLevel="3" x14ac:dyDescent="0.3">
      <c r="D3158" t="s">
        <v>2862</v>
      </c>
    </row>
    <row r="3159" spans="3:4" hidden="1" outlineLevel="3" x14ac:dyDescent="0.3">
      <c r="D3159" t="s">
        <v>2863</v>
      </c>
    </row>
    <row r="3160" spans="3:4" hidden="1" outlineLevel="3" x14ac:dyDescent="0.3">
      <c r="D3160" t="s">
        <v>2864</v>
      </c>
    </row>
    <row r="3161" spans="3:4" hidden="1" outlineLevel="2" x14ac:dyDescent="0.3">
      <c r="C3161" t="s">
        <v>2865</v>
      </c>
    </row>
    <row r="3162" spans="3:4" hidden="1" outlineLevel="2" x14ac:dyDescent="0.3">
      <c r="C3162" t="s">
        <v>2866</v>
      </c>
    </row>
    <row r="3163" spans="3:4" hidden="1" outlineLevel="2" x14ac:dyDescent="0.3">
      <c r="C3163" t="s">
        <v>2867</v>
      </c>
    </row>
    <row r="3164" spans="3:4" hidden="1" outlineLevel="2" x14ac:dyDescent="0.3">
      <c r="C3164" t="s">
        <v>2868</v>
      </c>
    </row>
    <row r="3165" spans="3:4" hidden="1" outlineLevel="2" x14ac:dyDescent="0.3">
      <c r="C3165" t="s">
        <v>2869</v>
      </c>
    </row>
    <row r="3166" spans="3:4" hidden="1" outlineLevel="2" x14ac:dyDescent="0.3">
      <c r="C3166" t="s">
        <v>2870</v>
      </c>
    </row>
    <row r="3167" spans="3:4" hidden="1" outlineLevel="2" x14ac:dyDescent="0.3">
      <c r="C3167" t="s">
        <v>2871</v>
      </c>
    </row>
    <row r="3168" spans="3:4" hidden="1" outlineLevel="3" x14ac:dyDescent="0.3">
      <c r="D3168" t="s">
        <v>2872</v>
      </c>
    </row>
    <row r="3169" spans="2:4" hidden="1" outlineLevel="3" x14ac:dyDescent="0.3">
      <c r="D3169" t="s">
        <v>2873</v>
      </c>
    </row>
    <row r="3170" spans="2:4" hidden="1" outlineLevel="3" x14ac:dyDescent="0.3">
      <c r="D3170" t="s">
        <v>2874</v>
      </c>
    </row>
    <row r="3171" spans="2:4" hidden="1" outlineLevel="3" x14ac:dyDescent="0.3">
      <c r="D3171" t="s">
        <v>2875</v>
      </c>
    </row>
    <row r="3172" spans="2:4" hidden="1" outlineLevel="3" x14ac:dyDescent="0.3">
      <c r="D3172" t="s">
        <v>2876</v>
      </c>
    </row>
    <row r="3173" spans="2:4" hidden="1" outlineLevel="3" x14ac:dyDescent="0.3">
      <c r="D3173" t="s">
        <v>2877</v>
      </c>
    </row>
    <row r="3174" spans="2:4" hidden="1" outlineLevel="3" x14ac:dyDescent="0.3">
      <c r="D3174" t="s">
        <v>2878</v>
      </c>
    </row>
    <row r="3175" spans="2:4" hidden="1" outlineLevel="3" x14ac:dyDescent="0.3">
      <c r="D3175" t="s">
        <v>2879</v>
      </c>
    </row>
    <row r="3176" spans="2:4" hidden="1" outlineLevel="2" x14ac:dyDescent="0.3">
      <c r="C3176" t="s">
        <v>2880</v>
      </c>
    </row>
    <row r="3177" spans="2:4" hidden="1" outlineLevel="2" x14ac:dyDescent="0.3">
      <c r="C3177" t="s">
        <v>2881</v>
      </c>
    </row>
    <row r="3178" spans="2:4" hidden="1" outlineLevel="2" x14ac:dyDescent="0.3">
      <c r="C3178" t="s">
        <v>2882</v>
      </c>
    </row>
    <row r="3179" spans="2:4" outlineLevel="1" collapsed="1" x14ac:dyDescent="0.3">
      <c r="B3179" t="s">
        <v>2883</v>
      </c>
    </row>
    <row r="3180" spans="2:4" outlineLevel="1" x14ac:dyDescent="0.3">
      <c r="B3180" t="s">
        <v>2884</v>
      </c>
    </row>
    <row r="3181" spans="2:4" hidden="1" outlineLevel="2" x14ac:dyDescent="0.3">
      <c r="C3181" t="s">
        <v>2885</v>
      </c>
    </row>
    <row r="3182" spans="2:4" hidden="1" outlineLevel="2" x14ac:dyDescent="0.3">
      <c r="C3182" t="s">
        <v>2886</v>
      </c>
    </row>
    <row r="3183" spans="2:4" hidden="1" outlineLevel="2" x14ac:dyDescent="0.3">
      <c r="C3183" t="s">
        <v>2887</v>
      </c>
    </row>
    <row r="3184" spans="2:4" hidden="1" outlineLevel="2" x14ac:dyDescent="0.3">
      <c r="C3184" t="s">
        <v>2888</v>
      </c>
    </row>
    <row r="3185" spans="2:3" hidden="1" outlineLevel="2" x14ac:dyDescent="0.3">
      <c r="C3185" t="s">
        <v>2889</v>
      </c>
    </row>
    <row r="3186" spans="2:3" hidden="1" outlineLevel="2" x14ac:dyDescent="0.3">
      <c r="C3186" t="s">
        <v>2890</v>
      </c>
    </row>
    <row r="3187" spans="2:3" outlineLevel="1" collapsed="1" x14ac:dyDescent="0.3">
      <c r="B3187" t="s">
        <v>2891</v>
      </c>
    </row>
    <row r="3188" spans="2:3" hidden="1" outlineLevel="2" x14ac:dyDescent="0.3">
      <c r="C3188" t="s">
        <v>2892</v>
      </c>
    </row>
    <row r="3189" spans="2:3" hidden="1" outlineLevel="2" x14ac:dyDescent="0.3">
      <c r="C3189" t="s">
        <v>2893</v>
      </c>
    </row>
    <row r="3190" spans="2:3" hidden="1" outlineLevel="2" x14ac:dyDescent="0.3">
      <c r="C3190" t="s">
        <v>2894</v>
      </c>
    </row>
    <row r="3191" spans="2:3" hidden="1" outlineLevel="2" x14ac:dyDescent="0.3">
      <c r="C3191" t="s">
        <v>2895</v>
      </c>
    </row>
    <row r="3192" spans="2:3" hidden="1" outlineLevel="2" x14ac:dyDescent="0.3">
      <c r="C3192" t="s">
        <v>2896</v>
      </c>
    </row>
    <row r="3193" spans="2:3" hidden="1" outlineLevel="2" x14ac:dyDescent="0.3">
      <c r="C3193" t="s">
        <v>2897</v>
      </c>
    </row>
    <row r="3194" spans="2:3" hidden="1" outlineLevel="2" x14ac:dyDescent="0.3">
      <c r="C3194" t="s">
        <v>2898</v>
      </c>
    </row>
    <row r="3195" spans="2:3" outlineLevel="1" collapsed="1" x14ac:dyDescent="0.3">
      <c r="B3195" t="s">
        <v>2899</v>
      </c>
    </row>
    <row r="3196" spans="2:3" outlineLevel="1" x14ac:dyDescent="0.3">
      <c r="B3196" t="s">
        <v>2900</v>
      </c>
    </row>
    <row r="3197" spans="2:3" outlineLevel="1" x14ac:dyDescent="0.3">
      <c r="B3197" t="s">
        <v>2901</v>
      </c>
    </row>
    <row r="3198" spans="2:3" hidden="1" outlineLevel="2" x14ac:dyDescent="0.3">
      <c r="C3198" t="s">
        <v>2902</v>
      </c>
    </row>
    <row r="3199" spans="2:3" hidden="1" outlineLevel="2" x14ac:dyDescent="0.3">
      <c r="C3199" t="s">
        <v>2903</v>
      </c>
    </row>
    <row r="3200" spans="2:3" hidden="1" outlineLevel="2" x14ac:dyDescent="0.3">
      <c r="C3200" t="s">
        <v>2904</v>
      </c>
    </row>
    <row r="3201" spans="3:4" hidden="1" outlineLevel="2" x14ac:dyDescent="0.3">
      <c r="C3201" t="s">
        <v>2905</v>
      </c>
    </row>
    <row r="3202" spans="3:4" hidden="1" outlineLevel="2" x14ac:dyDescent="0.3">
      <c r="C3202" t="s">
        <v>2906</v>
      </c>
    </row>
    <row r="3203" spans="3:4" hidden="1" outlineLevel="2" x14ac:dyDescent="0.3">
      <c r="C3203" t="s">
        <v>2907</v>
      </c>
    </row>
    <row r="3204" spans="3:4" hidden="1" outlineLevel="3" x14ac:dyDescent="0.3">
      <c r="D3204" t="s">
        <v>2908</v>
      </c>
    </row>
    <row r="3205" spans="3:4" hidden="1" outlineLevel="3" x14ac:dyDescent="0.3">
      <c r="D3205" t="s">
        <v>2909</v>
      </c>
    </row>
    <row r="3206" spans="3:4" hidden="1" outlineLevel="3" x14ac:dyDescent="0.3">
      <c r="D3206" t="s">
        <v>2910</v>
      </c>
    </row>
    <row r="3207" spans="3:4" hidden="1" outlineLevel="3" x14ac:dyDescent="0.3">
      <c r="D3207" t="s">
        <v>2911</v>
      </c>
    </row>
    <row r="3208" spans="3:4" hidden="1" outlineLevel="2" x14ac:dyDescent="0.3">
      <c r="C3208" t="s">
        <v>2912</v>
      </c>
    </row>
    <row r="3209" spans="3:4" hidden="1" outlineLevel="2" x14ac:dyDescent="0.3">
      <c r="C3209" t="s">
        <v>2913</v>
      </c>
    </row>
    <row r="3210" spans="3:4" hidden="1" outlineLevel="2" x14ac:dyDescent="0.3">
      <c r="C3210" t="s">
        <v>2914</v>
      </c>
    </row>
    <row r="3211" spans="3:4" hidden="1" outlineLevel="2" x14ac:dyDescent="0.3">
      <c r="C3211" t="s">
        <v>2915</v>
      </c>
    </row>
    <row r="3212" spans="3:4" hidden="1" outlineLevel="2" x14ac:dyDescent="0.3">
      <c r="C3212" t="s">
        <v>2916</v>
      </c>
    </row>
    <row r="3213" spans="3:4" hidden="1" outlineLevel="2" x14ac:dyDescent="0.3">
      <c r="C3213" t="s">
        <v>2917</v>
      </c>
    </row>
    <row r="3214" spans="3:4" hidden="1" outlineLevel="2" x14ac:dyDescent="0.3">
      <c r="C3214" t="s">
        <v>2918</v>
      </c>
    </row>
    <row r="3215" spans="3:4" hidden="1" outlineLevel="2" x14ac:dyDescent="0.3">
      <c r="C3215" t="s">
        <v>2919</v>
      </c>
    </row>
    <row r="3216" spans="3:4" hidden="1" outlineLevel="2" x14ac:dyDescent="0.3">
      <c r="C3216" t="s">
        <v>2920</v>
      </c>
    </row>
    <row r="3217" spans="3:3" hidden="1" outlineLevel="2" x14ac:dyDescent="0.3">
      <c r="C3217" t="s">
        <v>2921</v>
      </c>
    </row>
    <row r="3218" spans="3:3" hidden="1" outlineLevel="2" x14ac:dyDescent="0.3">
      <c r="C3218" t="s">
        <v>2922</v>
      </c>
    </row>
    <row r="3219" spans="3:3" hidden="1" outlineLevel="2" x14ac:dyDescent="0.3">
      <c r="C3219" t="s">
        <v>2923</v>
      </c>
    </row>
    <row r="3220" spans="3:3" hidden="1" outlineLevel="2" x14ac:dyDescent="0.3">
      <c r="C3220" t="s">
        <v>2924</v>
      </c>
    </row>
    <row r="3221" spans="3:3" hidden="1" outlineLevel="2" x14ac:dyDescent="0.3">
      <c r="C3221" t="s">
        <v>2925</v>
      </c>
    </row>
    <row r="3222" spans="3:3" hidden="1" outlineLevel="2" x14ac:dyDescent="0.3">
      <c r="C3222" t="s">
        <v>2926</v>
      </c>
    </row>
    <row r="3223" spans="3:3" hidden="1" outlineLevel="2" x14ac:dyDescent="0.3">
      <c r="C3223" t="s">
        <v>2927</v>
      </c>
    </row>
    <row r="3224" spans="3:3" hidden="1" outlineLevel="2" x14ac:dyDescent="0.3">
      <c r="C3224" t="s">
        <v>2928</v>
      </c>
    </row>
    <row r="3225" spans="3:3" hidden="1" outlineLevel="2" x14ac:dyDescent="0.3">
      <c r="C3225" t="s">
        <v>2929</v>
      </c>
    </row>
    <row r="3226" spans="3:3" hidden="1" outlineLevel="2" x14ac:dyDescent="0.3">
      <c r="C3226" t="s">
        <v>2930</v>
      </c>
    </row>
    <row r="3227" spans="3:3" hidden="1" outlineLevel="2" x14ac:dyDescent="0.3">
      <c r="C3227" t="s">
        <v>2931</v>
      </c>
    </row>
    <row r="3228" spans="3:3" hidden="1" outlineLevel="2" x14ac:dyDescent="0.3">
      <c r="C3228" t="s">
        <v>2932</v>
      </c>
    </row>
    <row r="3229" spans="3:3" hidden="1" outlineLevel="2" x14ac:dyDescent="0.3">
      <c r="C3229" t="s">
        <v>2933</v>
      </c>
    </row>
    <row r="3235" spans="1:4" x14ac:dyDescent="0.3">
      <c r="A3235" t="s">
        <v>2934</v>
      </c>
    </row>
    <row r="3236" spans="1:4" outlineLevel="1" x14ac:dyDescent="0.3">
      <c r="B3236" t="s">
        <v>2935</v>
      </c>
    </row>
    <row r="3237" spans="1:4" hidden="1" outlineLevel="2" x14ac:dyDescent="0.3">
      <c r="C3237" t="s">
        <v>2936</v>
      </c>
    </row>
    <row r="3238" spans="1:4" hidden="1" outlineLevel="2" x14ac:dyDescent="0.3">
      <c r="C3238" t="s">
        <v>2937</v>
      </c>
    </row>
    <row r="3239" spans="1:4" hidden="1" outlineLevel="2" x14ac:dyDescent="0.3">
      <c r="C3239" t="s">
        <v>2938</v>
      </c>
    </row>
    <row r="3240" spans="1:4" hidden="1" outlineLevel="2" x14ac:dyDescent="0.3">
      <c r="C3240" t="s">
        <v>2939</v>
      </c>
    </row>
    <row r="3241" spans="1:4" hidden="1" outlineLevel="2" x14ac:dyDescent="0.3">
      <c r="C3241" t="s">
        <v>2940</v>
      </c>
    </row>
    <row r="3242" spans="1:4" hidden="1" outlineLevel="2" x14ac:dyDescent="0.3">
      <c r="C3242" t="s">
        <v>2941</v>
      </c>
    </row>
    <row r="3243" spans="1:4" hidden="1" outlineLevel="3" x14ac:dyDescent="0.3">
      <c r="D3243" t="s">
        <v>2942</v>
      </c>
    </row>
    <row r="3244" spans="1:4" hidden="1" outlineLevel="3" x14ac:dyDescent="0.3">
      <c r="D3244" t="s">
        <v>2943</v>
      </c>
    </row>
    <row r="3245" spans="1:4" hidden="1" outlineLevel="3" x14ac:dyDescent="0.3">
      <c r="D3245" t="s">
        <v>2944</v>
      </c>
    </row>
    <row r="3246" spans="1:4" hidden="1" outlineLevel="3" x14ac:dyDescent="0.3">
      <c r="D3246" t="s">
        <v>2945</v>
      </c>
    </row>
    <row r="3247" spans="1:4" hidden="1" outlineLevel="3" x14ac:dyDescent="0.3">
      <c r="D3247" t="s">
        <v>2946</v>
      </c>
    </row>
    <row r="3248" spans="1:4" hidden="1" outlineLevel="3" x14ac:dyDescent="0.3">
      <c r="D3248" t="s">
        <v>2947</v>
      </c>
    </row>
    <row r="3249" spans="3:5" hidden="1" outlineLevel="2" x14ac:dyDescent="0.3">
      <c r="C3249" t="s">
        <v>2948</v>
      </c>
    </row>
    <row r="3250" spans="3:5" hidden="1" outlineLevel="2" x14ac:dyDescent="0.3">
      <c r="C3250" t="s">
        <v>2949</v>
      </c>
    </row>
    <row r="3251" spans="3:5" hidden="1" outlineLevel="3" x14ac:dyDescent="0.3">
      <c r="D3251" t="s">
        <v>2950</v>
      </c>
    </row>
    <row r="3252" spans="3:5" hidden="1" outlineLevel="4" x14ac:dyDescent="0.3">
      <c r="E3252" t="s">
        <v>2951</v>
      </c>
    </row>
    <row r="3253" spans="3:5" hidden="1" outlineLevel="4" x14ac:dyDescent="0.3">
      <c r="E3253" t="s">
        <v>2952</v>
      </c>
    </row>
    <row r="3254" spans="3:5" hidden="1" outlineLevel="3" x14ac:dyDescent="0.3">
      <c r="D3254" t="s">
        <v>2953</v>
      </c>
    </row>
    <row r="3255" spans="3:5" hidden="1" outlineLevel="3" x14ac:dyDescent="0.3">
      <c r="D3255" t="s">
        <v>2954</v>
      </c>
    </row>
    <row r="3256" spans="3:5" hidden="1" outlineLevel="3" x14ac:dyDescent="0.3">
      <c r="D3256" t="s">
        <v>2955</v>
      </c>
    </row>
    <row r="3257" spans="3:5" hidden="1" outlineLevel="3" x14ac:dyDescent="0.3">
      <c r="D3257" t="s">
        <v>2956</v>
      </c>
    </row>
    <row r="3258" spans="3:5" hidden="1" outlineLevel="3" x14ac:dyDescent="0.3">
      <c r="D3258" t="s">
        <v>2957</v>
      </c>
    </row>
    <row r="3259" spans="3:5" hidden="1" outlineLevel="3" x14ac:dyDescent="0.3">
      <c r="D3259" t="s">
        <v>2958</v>
      </c>
    </row>
    <row r="3260" spans="3:5" hidden="1" outlineLevel="3" x14ac:dyDescent="0.3">
      <c r="D3260" t="s">
        <v>2959</v>
      </c>
    </row>
    <row r="3261" spans="3:5" hidden="1" outlineLevel="3" x14ac:dyDescent="0.3">
      <c r="D3261" t="s">
        <v>2960</v>
      </c>
    </row>
    <row r="3262" spans="3:5" hidden="1" outlineLevel="3" x14ac:dyDescent="0.3">
      <c r="D3262" t="s">
        <v>2961</v>
      </c>
    </row>
    <row r="3263" spans="3:5" hidden="1" outlineLevel="2" x14ac:dyDescent="0.3">
      <c r="C3263" t="s">
        <v>2962</v>
      </c>
    </row>
    <row r="3264" spans="3:5" hidden="1" outlineLevel="2" x14ac:dyDescent="0.3">
      <c r="C3264" t="s">
        <v>2963</v>
      </c>
    </row>
    <row r="3265" spans="2:4" hidden="1" outlineLevel="2" x14ac:dyDescent="0.3">
      <c r="C3265" t="s">
        <v>2964</v>
      </c>
    </row>
    <row r="3266" spans="2:4" outlineLevel="1" collapsed="1" x14ac:dyDescent="0.3">
      <c r="B3266" t="s">
        <v>2965</v>
      </c>
    </row>
    <row r="3267" spans="2:4" hidden="1" outlineLevel="2" x14ac:dyDescent="0.3">
      <c r="C3267" t="s">
        <v>2966</v>
      </c>
    </row>
    <row r="3268" spans="2:4" hidden="1" outlineLevel="2" x14ac:dyDescent="0.3">
      <c r="C3268" t="s">
        <v>2967</v>
      </c>
    </row>
    <row r="3269" spans="2:4" hidden="1" outlineLevel="2" x14ac:dyDescent="0.3">
      <c r="C3269" t="s">
        <v>2968</v>
      </c>
    </row>
    <row r="3270" spans="2:4" hidden="1" outlineLevel="3" x14ac:dyDescent="0.3">
      <c r="D3270" t="s">
        <v>2969</v>
      </c>
    </row>
    <row r="3271" spans="2:4" hidden="1" outlineLevel="3" x14ac:dyDescent="0.3">
      <c r="D3271" t="s">
        <v>2970</v>
      </c>
    </row>
    <row r="3272" spans="2:4" hidden="1" outlineLevel="3" x14ac:dyDescent="0.3">
      <c r="D3272" t="s">
        <v>2971</v>
      </c>
    </row>
    <row r="3273" spans="2:4" hidden="1" outlineLevel="3" x14ac:dyDescent="0.3">
      <c r="D3273" t="s">
        <v>2972</v>
      </c>
    </row>
    <row r="3274" spans="2:4" hidden="1" outlineLevel="2" x14ac:dyDescent="0.3">
      <c r="C3274" t="s">
        <v>2973</v>
      </c>
    </row>
    <row r="3275" spans="2:4" hidden="1" outlineLevel="3" x14ac:dyDescent="0.3">
      <c r="D3275" t="s">
        <v>2974</v>
      </c>
    </row>
    <row r="3276" spans="2:4" hidden="1" outlineLevel="3" x14ac:dyDescent="0.3">
      <c r="D3276" t="s">
        <v>2975</v>
      </c>
    </row>
    <row r="3277" spans="2:4" hidden="1" outlineLevel="3" x14ac:dyDescent="0.3">
      <c r="D3277" t="s">
        <v>2976</v>
      </c>
    </row>
    <row r="3278" spans="2:4" hidden="1" outlineLevel="3" x14ac:dyDescent="0.3">
      <c r="D3278" t="s">
        <v>2977</v>
      </c>
    </row>
    <row r="3279" spans="2:4" hidden="1" outlineLevel="3" x14ac:dyDescent="0.3">
      <c r="D3279" t="s">
        <v>2978</v>
      </c>
    </row>
    <row r="3280" spans="2:4" hidden="1" outlineLevel="3" x14ac:dyDescent="0.3">
      <c r="D3280" t="s">
        <v>2979</v>
      </c>
    </row>
    <row r="3281" spans="1:3" hidden="1" outlineLevel="2" x14ac:dyDescent="0.3">
      <c r="C3281" t="s">
        <v>2980</v>
      </c>
    </row>
    <row r="3282" spans="1:3" hidden="1" outlineLevel="2" x14ac:dyDescent="0.3">
      <c r="C3282" t="s">
        <v>2981</v>
      </c>
    </row>
    <row r="3283" spans="1:3" outlineLevel="1" collapsed="1" x14ac:dyDescent="0.3">
      <c r="B3283" t="s">
        <v>2982</v>
      </c>
    </row>
    <row r="3284" spans="1:3" x14ac:dyDescent="0.3">
      <c r="A3284" t="s">
        <v>2983</v>
      </c>
    </row>
    <row r="3285" spans="1:3" outlineLevel="1" x14ac:dyDescent="0.3">
      <c r="B3285" t="s">
        <v>2984</v>
      </c>
    </row>
    <row r="3286" spans="1:3" hidden="1" outlineLevel="2" x14ac:dyDescent="0.3">
      <c r="C3286" t="s">
        <v>2985</v>
      </c>
    </row>
    <row r="3287" spans="1:3" hidden="1" outlineLevel="2" x14ac:dyDescent="0.3">
      <c r="C3287" t="s">
        <v>2986</v>
      </c>
    </row>
    <row r="3288" spans="1:3" hidden="1" outlineLevel="2" x14ac:dyDescent="0.3">
      <c r="C3288" t="s">
        <v>2987</v>
      </c>
    </row>
    <row r="3289" spans="1:3" hidden="1" outlineLevel="2" x14ac:dyDescent="0.3">
      <c r="C3289" t="s">
        <v>2988</v>
      </c>
    </row>
    <row r="3290" spans="1:3" hidden="1" outlineLevel="2" x14ac:dyDescent="0.3">
      <c r="C3290" t="s">
        <v>2989</v>
      </c>
    </row>
    <row r="3291" spans="1:3" outlineLevel="1" collapsed="1" x14ac:dyDescent="0.3">
      <c r="B3291" t="s">
        <v>2990</v>
      </c>
    </row>
    <row r="3292" spans="1:3" hidden="1" outlineLevel="2" x14ac:dyDescent="0.3">
      <c r="C3292" t="s">
        <v>2991</v>
      </c>
    </row>
    <row r="3293" spans="1:3" hidden="1" outlineLevel="2" x14ac:dyDescent="0.3">
      <c r="C3293" t="s">
        <v>2992</v>
      </c>
    </row>
    <row r="3294" spans="1:3" hidden="1" outlineLevel="2" x14ac:dyDescent="0.3">
      <c r="C3294" t="s">
        <v>2993</v>
      </c>
    </row>
    <row r="3295" spans="1:3" x14ac:dyDescent="0.3">
      <c r="A3295" t="s">
        <v>2994</v>
      </c>
    </row>
    <row r="3296" spans="1:3" outlineLevel="1" x14ac:dyDescent="0.3">
      <c r="B3296" t="s">
        <v>2995</v>
      </c>
    </row>
    <row r="3297" spans="3:4" hidden="1" outlineLevel="2" x14ac:dyDescent="0.3">
      <c r="C3297" t="s">
        <v>2996</v>
      </c>
    </row>
    <row r="3298" spans="3:4" hidden="1" outlineLevel="2" x14ac:dyDescent="0.3">
      <c r="C3298" t="s">
        <v>2997</v>
      </c>
    </row>
    <row r="3299" spans="3:4" hidden="1" outlineLevel="2" x14ac:dyDescent="0.3">
      <c r="C3299" t="s">
        <v>2998</v>
      </c>
    </row>
    <row r="3300" spans="3:4" hidden="1" outlineLevel="2" x14ac:dyDescent="0.3">
      <c r="C3300" t="s">
        <v>2999</v>
      </c>
    </row>
    <row r="3301" spans="3:4" hidden="1" outlineLevel="2" x14ac:dyDescent="0.3">
      <c r="C3301" t="s">
        <v>3000</v>
      </c>
    </row>
    <row r="3302" spans="3:4" hidden="1" outlineLevel="2" x14ac:dyDescent="0.3">
      <c r="C3302" t="s">
        <v>3001</v>
      </c>
    </row>
    <row r="3303" spans="3:4" hidden="1" outlineLevel="2" x14ac:dyDescent="0.3">
      <c r="C3303" t="s">
        <v>3002</v>
      </c>
    </row>
    <row r="3304" spans="3:4" hidden="1" outlineLevel="3" x14ac:dyDescent="0.3">
      <c r="D3304" t="s">
        <v>3003</v>
      </c>
    </row>
    <row r="3305" spans="3:4" hidden="1" outlineLevel="3" x14ac:dyDescent="0.3">
      <c r="D3305" t="s">
        <v>3004</v>
      </c>
    </row>
    <row r="3306" spans="3:4" hidden="1" outlineLevel="3" x14ac:dyDescent="0.3">
      <c r="D3306" t="s">
        <v>3005</v>
      </c>
    </row>
    <row r="3307" spans="3:4" hidden="1" outlineLevel="2" x14ac:dyDescent="0.3">
      <c r="C3307" t="s">
        <v>3006</v>
      </c>
    </row>
    <row r="3308" spans="3:4" hidden="1" outlineLevel="2" x14ac:dyDescent="0.3">
      <c r="C3308" t="s">
        <v>3007</v>
      </c>
    </row>
    <row r="3309" spans="3:4" hidden="1" outlineLevel="2" x14ac:dyDescent="0.3">
      <c r="C3309" t="s">
        <v>3008</v>
      </c>
    </row>
    <row r="3310" spans="3:4" hidden="1" outlineLevel="2" x14ac:dyDescent="0.3">
      <c r="C3310" t="s">
        <v>3009</v>
      </c>
    </row>
    <row r="3311" spans="3:4" hidden="1" outlineLevel="2" x14ac:dyDescent="0.3">
      <c r="C3311" t="s">
        <v>3010</v>
      </c>
    </row>
    <row r="3312" spans="3:4" hidden="1" outlineLevel="2" x14ac:dyDescent="0.3">
      <c r="C3312" t="s">
        <v>3011</v>
      </c>
    </row>
    <row r="3313" spans="3:3" hidden="1" outlineLevel="2" x14ac:dyDescent="0.3">
      <c r="C3313" t="s">
        <v>3012</v>
      </c>
    </row>
    <row r="3314" spans="3:3" hidden="1" outlineLevel="2" x14ac:dyDescent="0.3">
      <c r="C3314" t="s">
        <v>3013</v>
      </c>
    </row>
    <row r="3315" spans="3:3" hidden="1" outlineLevel="2" x14ac:dyDescent="0.3">
      <c r="C3315" t="s">
        <v>3014</v>
      </c>
    </row>
    <row r="3316" spans="3:3" hidden="1" outlineLevel="2" x14ac:dyDescent="0.3">
      <c r="C3316" t="s">
        <v>3015</v>
      </c>
    </row>
    <row r="3317" spans="3:3" hidden="1" outlineLevel="2" x14ac:dyDescent="0.3">
      <c r="C3317" t="s">
        <v>3016</v>
      </c>
    </row>
    <row r="3318" spans="3:3" hidden="1" outlineLevel="2" x14ac:dyDescent="0.3">
      <c r="C3318" t="s">
        <v>3017</v>
      </c>
    </row>
    <row r="3319" spans="3:3" hidden="1" outlineLevel="2" x14ac:dyDescent="0.3">
      <c r="C3319" t="s">
        <v>3018</v>
      </c>
    </row>
    <row r="3320" spans="3:3" hidden="1" outlineLevel="2" x14ac:dyDescent="0.3">
      <c r="C3320" t="s">
        <v>3019</v>
      </c>
    </row>
    <row r="3321" spans="3:3" hidden="1" outlineLevel="2" x14ac:dyDescent="0.3">
      <c r="C3321" t="s">
        <v>3020</v>
      </c>
    </row>
    <row r="3322" spans="3:3" hidden="1" outlineLevel="2" x14ac:dyDescent="0.3">
      <c r="C3322" t="s">
        <v>3021</v>
      </c>
    </row>
    <row r="3323" spans="3:3" hidden="1" outlineLevel="2" x14ac:dyDescent="0.3">
      <c r="C3323" t="s">
        <v>3022</v>
      </c>
    </row>
    <row r="3324" spans="3:3" hidden="1" outlineLevel="2" x14ac:dyDescent="0.3">
      <c r="C3324" t="s">
        <v>3023</v>
      </c>
    </row>
    <row r="3325" spans="3:3" hidden="1" outlineLevel="2" x14ac:dyDescent="0.3">
      <c r="C3325" t="s">
        <v>3024</v>
      </c>
    </row>
    <row r="3326" spans="3:3" hidden="1" outlineLevel="2" x14ac:dyDescent="0.3">
      <c r="C3326" t="s">
        <v>3025</v>
      </c>
    </row>
    <row r="3327" spans="3:3" hidden="1" outlineLevel="2" x14ac:dyDescent="0.3">
      <c r="C3327" t="s">
        <v>3026</v>
      </c>
    </row>
    <row r="3328" spans="3:3" hidden="1" outlineLevel="2" x14ac:dyDescent="0.3">
      <c r="C3328" t="s">
        <v>3027</v>
      </c>
    </row>
    <row r="3329" spans="2:4" hidden="1" outlineLevel="2" x14ac:dyDescent="0.3">
      <c r="C3329" t="s">
        <v>3028</v>
      </c>
    </row>
    <row r="3330" spans="2:4" hidden="1" outlineLevel="2" x14ac:dyDescent="0.3">
      <c r="C3330" t="s">
        <v>3029</v>
      </c>
    </row>
    <row r="3331" spans="2:4" hidden="1" outlineLevel="2" x14ac:dyDescent="0.3">
      <c r="C3331" t="s">
        <v>3030</v>
      </c>
    </row>
    <row r="3332" spans="2:4" hidden="1" outlineLevel="2" x14ac:dyDescent="0.3">
      <c r="C3332" t="s">
        <v>3031</v>
      </c>
    </row>
    <row r="3333" spans="2:4" outlineLevel="1" collapsed="1" x14ac:dyDescent="0.3">
      <c r="B3333" t="s">
        <v>3032</v>
      </c>
    </row>
    <row r="3334" spans="2:4" hidden="1" outlineLevel="2" x14ac:dyDescent="0.3">
      <c r="C3334" t="s">
        <v>3033</v>
      </c>
    </row>
    <row r="3335" spans="2:4" hidden="1" outlineLevel="2" x14ac:dyDescent="0.3">
      <c r="C3335" t="s">
        <v>3034</v>
      </c>
    </row>
    <row r="3336" spans="2:4" hidden="1" outlineLevel="2" x14ac:dyDescent="0.3">
      <c r="C3336" t="s">
        <v>3035</v>
      </c>
    </row>
    <row r="3337" spans="2:4" hidden="1" outlineLevel="2" x14ac:dyDescent="0.3">
      <c r="C3337" t="s">
        <v>3036</v>
      </c>
    </row>
    <row r="3338" spans="2:4" hidden="1" outlineLevel="2" x14ac:dyDescent="0.3">
      <c r="C3338" t="s">
        <v>3037</v>
      </c>
    </row>
    <row r="3339" spans="2:4" hidden="1" outlineLevel="2" x14ac:dyDescent="0.3">
      <c r="C3339" t="s">
        <v>3038</v>
      </c>
    </row>
    <row r="3340" spans="2:4" hidden="1" outlineLevel="2" x14ac:dyDescent="0.3">
      <c r="C3340" t="s">
        <v>3039</v>
      </c>
    </row>
    <row r="3341" spans="2:4" hidden="1" outlineLevel="3" x14ac:dyDescent="0.3">
      <c r="D3341" t="s">
        <v>3040</v>
      </c>
    </row>
    <row r="3342" spans="2:4" hidden="1" outlineLevel="3" x14ac:dyDescent="0.3">
      <c r="D3342" t="s">
        <v>3041</v>
      </c>
    </row>
    <row r="3343" spans="2:4" hidden="1" outlineLevel="3" x14ac:dyDescent="0.3">
      <c r="D3343" t="s">
        <v>3042</v>
      </c>
    </row>
    <row r="3344" spans="2:4" hidden="1" outlineLevel="2" x14ac:dyDescent="0.3">
      <c r="C3344" t="s">
        <v>3043</v>
      </c>
    </row>
    <row r="3345" spans="3:3" hidden="1" outlineLevel="2" x14ac:dyDescent="0.3">
      <c r="C3345" t="s">
        <v>3044</v>
      </c>
    </row>
    <row r="3346" spans="3:3" hidden="1" outlineLevel="2" x14ac:dyDescent="0.3">
      <c r="C3346" t="s">
        <v>3045</v>
      </c>
    </row>
    <row r="3347" spans="3:3" hidden="1" outlineLevel="2" x14ac:dyDescent="0.3">
      <c r="C3347" t="s">
        <v>3046</v>
      </c>
    </row>
    <row r="3348" spans="3:3" hidden="1" outlineLevel="2" x14ac:dyDescent="0.3">
      <c r="C3348" t="s">
        <v>3047</v>
      </c>
    </row>
    <row r="3349" spans="3:3" hidden="1" outlineLevel="2" x14ac:dyDescent="0.3">
      <c r="C3349" t="s">
        <v>3048</v>
      </c>
    </row>
    <row r="3350" spans="3:3" hidden="1" outlineLevel="2" x14ac:dyDescent="0.3">
      <c r="C3350" t="s">
        <v>3049</v>
      </c>
    </row>
    <row r="3351" spans="3:3" hidden="1" outlineLevel="2" x14ac:dyDescent="0.3">
      <c r="C3351" t="s">
        <v>3050</v>
      </c>
    </row>
    <row r="3352" spans="3:3" hidden="1" outlineLevel="2" x14ac:dyDescent="0.3">
      <c r="C3352" t="s">
        <v>3051</v>
      </c>
    </row>
    <row r="3353" spans="3:3" hidden="1" outlineLevel="2" x14ac:dyDescent="0.3">
      <c r="C3353" t="s">
        <v>3052</v>
      </c>
    </row>
    <row r="3354" spans="3:3" hidden="1" outlineLevel="2" x14ac:dyDescent="0.3">
      <c r="C3354" t="s">
        <v>3053</v>
      </c>
    </row>
    <row r="3355" spans="3:3" hidden="1" outlineLevel="2" x14ac:dyDescent="0.3">
      <c r="C3355" t="s">
        <v>3054</v>
      </c>
    </row>
    <row r="3356" spans="3:3" hidden="1" outlineLevel="2" x14ac:dyDescent="0.3">
      <c r="C3356" t="s">
        <v>3055</v>
      </c>
    </row>
    <row r="3357" spans="3:3" hidden="1" outlineLevel="2" x14ac:dyDescent="0.3">
      <c r="C3357" t="s">
        <v>3056</v>
      </c>
    </row>
    <row r="3358" spans="3:3" hidden="1" outlineLevel="2" x14ac:dyDescent="0.3">
      <c r="C3358" t="s">
        <v>3057</v>
      </c>
    </row>
    <row r="3359" spans="3:3" hidden="1" outlineLevel="2" x14ac:dyDescent="0.3">
      <c r="C3359" t="s">
        <v>3058</v>
      </c>
    </row>
    <row r="3360" spans="3:3" hidden="1" outlineLevel="2" x14ac:dyDescent="0.3">
      <c r="C3360" t="s">
        <v>3059</v>
      </c>
    </row>
    <row r="3361" spans="2:3" hidden="1" outlineLevel="2" x14ac:dyDescent="0.3">
      <c r="C3361" t="s">
        <v>3060</v>
      </c>
    </row>
    <row r="3362" spans="2:3" hidden="1" outlineLevel="2" x14ac:dyDescent="0.3">
      <c r="C3362" t="s">
        <v>3061</v>
      </c>
    </row>
    <row r="3363" spans="2:3" hidden="1" outlineLevel="2" x14ac:dyDescent="0.3">
      <c r="C3363" t="s">
        <v>3062</v>
      </c>
    </row>
    <row r="3364" spans="2:3" hidden="1" outlineLevel="2" x14ac:dyDescent="0.3">
      <c r="C3364" t="s">
        <v>3063</v>
      </c>
    </row>
    <row r="3365" spans="2:3" hidden="1" outlineLevel="2" x14ac:dyDescent="0.3">
      <c r="C3365" t="s">
        <v>3064</v>
      </c>
    </row>
    <row r="3366" spans="2:3" hidden="1" outlineLevel="2" x14ac:dyDescent="0.3">
      <c r="C3366" t="s">
        <v>3065</v>
      </c>
    </row>
    <row r="3367" spans="2:3" hidden="1" outlineLevel="2" x14ac:dyDescent="0.3">
      <c r="C3367" t="s">
        <v>3066</v>
      </c>
    </row>
    <row r="3368" spans="2:3" hidden="1" outlineLevel="2" x14ac:dyDescent="0.3">
      <c r="C3368" t="s">
        <v>3067</v>
      </c>
    </row>
    <row r="3369" spans="2:3" outlineLevel="1" collapsed="1" x14ac:dyDescent="0.3">
      <c r="B3369" t="s">
        <v>3068</v>
      </c>
    </row>
    <row r="3370" spans="2:3" hidden="1" outlineLevel="2" x14ac:dyDescent="0.3">
      <c r="C3370" t="s">
        <v>3069</v>
      </c>
    </row>
    <row r="3371" spans="2:3" hidden="1" outlineLevel="2" x14ac:dyDescent="0.3">
      <c r="C3371" t="s">
        <v>3070</v>
      </c>
    </row>
    <row r="3372" spans="2:3" hidden="1" outlineLevel="2" x14ac:dyDescent="0.3">
      <c r="C3372" t="s">
        <v>3071</v>
      </c>
    </row>
    <row r="3373" spans="2:3" hidden="1" outlineLevel="2" x14ac:dyDescent="0.3">
      <c r="C3373" t="s">
        <v>3072</v>
      </c>
    </row>
    <row r="3374" spans="2:3" hidden="1" outlineLevel="2" x14ac:dyDescent="0.3">
      <c r="C3374" t="s">
        <v>3073</v>
      </c>
    </row>
    <row r="3375" spans="2:3" hidden="1" outlineLevel="2" x14ac:dyDescent="0.3">
      <c r="C3375" t="s">
        <v>3074</v>
      </c>
    </row>
    <row r="3376" spans="2:3" outlineLevel="1" collapsed="1" x14ac:dyDescent="0.3">
      <c r="B3376" t="s">
        <v>3075</v>
      </c>
    </row>
    <row r="3377" spans="1:3" x14ac:dyDescent="0.3">
      <c r="A3377" t="s">
        <v>3076</v>
      </c>
    </row>
    <row r="3378" spans="1:3" outlineLevel="1" x14ac:dyDescent="0.3">
      <c r="B3378" t="s">
        <v>3077</v>
      </c>
    </row>
    <row r="3379" spans="1:3" hidden="1" outlineLevel="2" x14ac:dyDescent="0.3">
      <c r="C3379" t="s">
        <v>3078</v>
      </c>
    </row>
    <row r="3380" spans="1:3" hidden="1" outlineLevel="2" x14ac:dyDescent="0.3">
      <c r="C3380" t="s">
        <v>3079</v>
      </c>
    </row>
    <row r="3381" spans="1:3" hidden="1" outlineLevel="2" x14ac:dyDescent="0.3">
      <c r="C3381" t="s">
        <v>3080</v>
      </c>
    </row>
    <row r="3382" spans="1:3" outlineLevel="1" collapsed="1" x14ac:dyDescent="0.3">
      <c r="B3382" t="s">
        <v>3081</v>
      </c>
    </row>
    <row r="3383" spans="1:3" hidden="1" outlineLevel="2" x14ac:dyDescent="0.3">
      <c r="C3383" t="s">
        <v>3082</v>
      </c>
    </row>
    <row r="3384" spans="1:3" hidden="1" outlineLevel="2" x14ac:dyDescent="0.3">
      <c r="C3384" t="s">
        <v>3083</v>
      </c>
    </row>
    <row r="3385" spans="1:3" hidden="1" outlineLevel="2" x14ac:dyDescent="0.3">
      <c r="C3385" t="s">
        <v>3084</v>
      </c>
    </row>
    <row r="3386" spans="1:3" x14ac:dyDescent="0.3">
      <c r="A3386" t="s">
        <v>3085</v>
      </c>
    </row>
    <row r="3387" spans="1:3" outlineLevel="1" x14ac:dyDescent="0.3">
      <c r="B3387" t="s">
        <v>3086</v>
      </c>
    </row>
    <row r="3388" spans="1:3" hidden="1" outlineLevel="2" x14ac:dyDescent="0.3">
      <c r="C3388" t="s">
        <v>3087</v>
      </c>
    </row>
    <row r="3389" spans="1:3" hidden="1" outlineLevel="2" x14ac:dyDescent="0.3">
      <c r="C3389" t="s">
        <v>3088</v>
      </c>
    </row>
    <row r="3390" spans="1:3" hidden="1" outlineLevel="2" x14ac:dyDescent="0.3">
      <c r="C3390" t="s">
        <v>3089</v>
      </c>
    </row>
    <row r="3391" spans="1:3" outlineLevel="1" collapsed="1" x14ac:dyDescent="0.3">
      <c r="B3391" t="s">
        <v>3090</v>
      </c>
    </row>
    <row r="3392" spans="1:3" hidden="1" outlineLevel="2" x14ac:dyDescent="0.3">
      <c r="C3392" t="s">
        <v>3091</v>
      </c>
    </row>
    <row r="3393" spans="1:3" hidden="1" outlineLevel="2" x14ac:dyDescent="0.3">
      <c r="C3393" t="s">
        <v>3092</v>
      </c>
    </row>
    <row r="3394" spans="1:3" hidden="1" outlineLevel="2" x14ac:dyDescent="0.3">
      <c r="C3394" t="s">
        <v>3093</v>
      </c>
    </row>
    <row r="3395" spans="1:3" x14ac:dyDescent="0.3">
      <c r="A3395" t="s">
        <v>3094</v>
      </c>
    </row>
    <row r="3396" spans="1:3" outlineLevel="1" x14ac:dyDescent="0.3">
      <c r="B3396" t="s">
        <v>3095</v>
      </c>
    </row>
    <row r="3397" spans="1:3" hidden="1" outlineLevel="2" x14ac:dyDescent="0.3">
      <c r="C3397" t="s">
        <v>3096</v>
      </c>
    </row>
    <row r="3398" spans="1:3" hidden="1" outlineLevel="2" x14ac:dyDescent="0.3">
      <c r="C3398" t="s">
        <v>3097</v>
      </c>
    </row>
    <row r="3399" spans="1:3" hidden="1" outlineLevel="2" x14ac:dyDescent="0.3">
      <c r="C3399" t="s">
        <v>3098</v>
      </c>
    </row>
    <row r="3400" spans="1:3" outlineLevel="1" collapsed="1" x14ac:dyDescent="0.3">
      <c r="B3400" t="s">
        <v>3099</v>
      </c>
    </row>
    <row r="3401" spans="1:3" hidden="1" outlineLevel="2" x14ac:dyDescent="0.3">
      <c r="C3401" t="s">
        <v>3100</v>
      </c>
    </row>
    <row r="3402" spans="1:3" hidden="1" outlineLevel="2" x14ac:dyDescent="0.3">
      <c r="C3402" t="s">
        <v>3101</v>
      </c>
    </row>
    <row r="3403" spans="1:3" hidden="1" outlineLevel="2" x14ac:dyDescent="0.3">
      <c r="C3403" t="s">
        <v>3102</v>
      </c>
    </row>
    <row r="3404" spans="1:3" outlineLevel="1" collapsed="1" x14ac:dyDescent="0.3">
      <c r="B3404" t="s">
        <v>3103</v>
      </c>
    </row>
    <row r="3405" spans="1:3" hidden="1" outlineLevel="2" x14ac:dyDescent="0.3">
      <c r="C3405" t="s">
        <v>3104</v>
      </c>
    </row>
    <row r="3406" spans="1:3" hidden="1" outlineLevel="2" x14ac:dyDescent="0.3">
      <c r="C3406" t="s">
        <v>3105</v>
      </c>
    </row>
    <row r="3407" spans="1:3" outlineLevel="1" collapsed="1" x14ac:dyDescent="0.3">
      <c r="B3407" t="s">
        <v>3106</v>
      </c>
    </row>
    <row r="3408" spans="1:3" hidden="1" outlineLevel="2" x14ac:dyDescent="0.3">
      <c r="C3408" t="s">
        <v>3107</v>
      </c>
    </row>
    <row r="3409" spans="1:3" hidden="1" outlineLevel="2" x14ac:dyDescent="0.3">
      <c r="C3409" t="s">
        <v>3108</v>
      </c>
    </row>
    <row r="3410" spans="1:3" x14ac:dyDescent="0.3">
      <c r="A3410" t="s">
        <v>3109</v>
      </c>
    </row>
    <row r="3411" spans="1:3" outlineLevel="1" x14ac:dyDescent="0.3">
      <c r="B3411" t="s">
        <v>3110</v>
      </c>
    </row>
    <row r="3412" spans="1:3" hidden="1" outlineLevel="2" x14ac:dyDescent="0.3">
      <c r="C3412" t="s">
        <v>3111</v>
      </c>
    </row>
    <row r="3413" spans="1:3" hidden="1" outlineLevel="2" x14ac:dyDescent="0.3">
      <c r="C3413" t="s">
        <v>3112</v>
      </c>
    </row>
    <row r="3414" spans="1:3" hidden="1" outlineLevel="2" x14ac:dyDescent="0.3">
      <c r="C3414" t="s">
        <v>3113</v>
      </c>
    </row>
    <row r="3415" spans="1:3" hidden="1" outlineLevel="2" x14ac:dyDescent="0.3">
      <c r="C3415" t="s">
        <v>3114</v>
      </c>
    </row>
    <row r="3416" spans="1:3" hidden="1" outlineLevel="2" x14ac:dyDescent="0.3">
      <c r="C3416" t="s">
        <v>3115</v>
      </c>
    </row>
    <row r="3417" spans="1:3" hidden="1" outlineLevel="2" x14ac:dyDescent="0.3">
      <c r="C3417" t="s">
        <v>3116</v>
      </c>
    </row>
    <row r="3418" spans="1:3" hidden="1" outlineLevel="2" x14ac:dyDescent="0.3">
      <c r="C3418" t="s">
        <v>3117</v>
      </c>
    </row>
    <row r="3419" spans="1:3" hidden="1" outlineLevel="2" x14ac:dyDescent="0.3">
      <c r="C3419" t="s">
        <v>3118</v>
      </c>
    </row>
    <row r="3420" spans="1:3" hidden="1" outlineLevel="2" x14ac:dyDescent="0.3">
      <c r="C3420" t="s">
        <v>3119</v>
      </c>
    </row>
    <row r="3421" spans="1:3" hidden="1" outlineLevel="2" x14ac:dyDescent="0.3">
      <c r="C3421" t="s">
        <v>3120</v>
      </c>
    </row>
    <row r="3422" spans="1:3" outlineLevel="1" collapsed="1" x14ac:dyDescent="0.3">
      <c r="B3422" t="s">
        <v>3121</v>
      </c>
    </row>
    <row r="3423" spans="1:3" hidden="1" outlineLevel="2" x14ac:dyDescent="0.3">
      <c r="C3423" t="s">
        <v>3122</v>
      </c>
    </row>
    <row r="3424" spans="1:3" hidden="1" outlineLevel="2" x14ac:dyDescent="0.3">
      <c r="C3424" t="s">
        <v>3123</v>
      </c>
    </row>
    <row r="3425" spans="1:3" hidden="1" outlineLevel="2" x14ac:dyDescent="0.3">
      <c r="C3425" t="s">
        <v>3124</v>
      </c>
    </row>
    <row r="3426" spans="1:3" hidden="1" outlineLevel="2" x14ac:dyDescent="0.3">
      <c r="C3426" t="s">
        <v>3125</v>
      </c>
    </row>
    <row r="3427" spans="1:3" hidden="1" outlineLevel="2" x14ac:dyDescent="0.3">
      <c r="C3427" t="s">
        <v>3126</v>
      </c>
    </row>
    <row r="3428" spans="1:3" hidden="1" outlineLevel="2" x14ac:dyDescent="0.3">
      <c r="C3428" t="s">
        <v>3127</v>
      </c>
    </row>
    <row r="3429" spans="1:3" hidden="1" outlineLevel="2" x14ac:dyDescent="0.3">
      <c r="C3429" t="s">
        <v>3128</v>
      </c>
    </row>
    <row r="3430" spans="1:3" hidden="1" outlineLevel="2" x14ac:dyDescent="0.3">
      <c r="C3430" t="s">
        <v>3129</v>
      </c>
    </row>
    <row r="3431" spans="1:3" hidden="1" outlineLevel="2" x14ac:dyDescent="0.3">
      <c r="C3431" t="s">
        <v>3130</v>
      </c>
    </row>
    <row r="3432" spans="1:3" hidden="1" outlineLevel="2" x14ac:dyDescent="0.3">
      <c r="C3432" t="s">
        <v>3131</v>
      </c>
    </row>
    <row r="3433" spans="1:3" hidden="1" outlineLevel="2" x14ac:dyDescent="0.3">
      <c r="C3433" t="s">
        <v>3132</v>
      </c>
    </row>
    <row r="3434" spans="1:3" hidden="1" outlineLevel="2" x14ac:dyDescent="0.3">
      <c r="C3434" t="s">
        <v>3133</v>
      </c>
    </row>
    <row r="3435" spans="1:3" x14ac:dyDescent="0.3">
      <c r="A3435" t="s">
        <v>3134</v>
      </c>
    </row>
    <row r="3436" spans="1:3" x14ac:dyDescent="0.3">
      <c r="A3436" t="s">
        <v>3135</v>
      </c>
    </row>
    <row r="3437" spans="1:3" x14ac:dyDescent="0.3">
      <c r="A3437" t="s">
        <v>3136</v>
      </c>
    </row>
    <row r="3438" spans="1:3" outlineLevel="1" x14ac:dyDescent="0.3">
      <c r="B3438" t="s">
        <v>1394</v>
      </c>
    </row>
    <row r="3439" spans="1:3" outlineLevel="1" x14ac:dyDescent="0.3">
      <c r="B3439" t="s">
        <v>1395</v>
      </c>
    </row>
    <row r="3440" spans="1:3" outlineLevel="1" x14ac:dyDescent="0.3">
      <c r="B3440" t="s">
        <v>3137</v>
      </c>
    </row>
    <row r="3441" spans="2:2" outlineLevel="1" x14ac:dyDescent="0.3">
      <c r="B3441" t="s">
        <v>1397</v>
      </c>
    </row>
    <row r="3442" spans="2:2" outlineLevel="1" x14ac:dyDescent="0.3">
      <c r="B3442" t="s">
        <v>1398</v>
      </c>
    </row>
    <row r="3443" spans="2:2" outlineLevel="1" x14ac:dyDescent="0.3">
      <c r="B3443" t="s">
        <v>3138</v>
      </c>
    </row>
    <row r="3444" spans="2:2" outlineLevel="1" x14ac:dyDescent="0.3">
      <c r="B3444" t="s">
        <v>1400</v>
      </c>
    </row>
    <row r="3445" spans="2:2" outlineLevel="1" x14ac:dyDescent="0.3">
      <c r="B3445" t="s">
        <v>1401</v>
      </c>
    </row>
    <row r="3446" spans="2:2" outlineLevel="1" x14ac:dyDescent="0.3">
      <c r="B3446" t="s">
        <v>1402</v>
      </c>
    </row>
    <row r="3447" spans="2:2" outlineLevel="1" x14ac:dyDescent="0.3">
      <c r="B3447" t="s">
        <v>3139</v>
      </c>
    </row>
    <row r="3448" spans="2:2" outlineLevel="1" x14ac:dyDescent="0.3">
      <c r="B3448" t="s">
        <v>1404</v>
      </c>
    </row>
    <row r="3449" spans="2:2" outlineLevel="1" x14ac:dyDescent="0.3">
      <c r="B3449" t="s">
        <v>1405</v>
      </c>
    </row>
    <row r="3450" spans="2:2" outlineLevel="1" x14ac:dyDescent="0.3">
      <c r="B3450" t="s">
        <v>1406</v>
      </c>
    </row>
    <row r="3451" spans="2:2" outlineLevel="1" x14ac:dyDescent="0.3">
      <c r="B3451" t="s">
        <v>3140</v>
      </c>
    </row>
    <row r="3452" spans="2:2" outlineLevel="1" x14ac:dyDescent="0.3">
      <c r="B3452" t="s">
        <v>3141</v>
      </c>
    </row>
    <row r="3453" spans="2:2" outlineLevel="1" x14ac:dyDescent="0.3">
      <c r="B3453" t="s">
        <v>1410</v>
      </c>
    </row>
    <row r="3454" spans="2:2" outlineLevel="1" x14ac:dyDescent="0.3">
      <c r="B3454" t="s">
        <v>3142</v>
      </c>
    </row>
    <row r="3455" spans="2:2" outlineLevel="1" x14ac:dyDescent="0.3">
      <c r="B3455" t="s">
        <v>1412</v>
      </c>
    </row>
    <row r="3456" spans="2:2" outlineLevel="1" x14ac:dyDescent="0.3">
      <c r="B3456" t="s">
        <v>3143</v>
      </c>
    </row>
    <row r="3457" spans="1:3" outlineLevel="1" x14ac:dyDescent="0.3">
      <c r="B3457" t="s">
        <v>1417</v>
      </c>
    </row>
    <row r="3458" spans="1:3" outlineLevel="1" x14ac:dyDescent="0.3">
      <c r="B3458" t="s">
        <v>1420</v>
      </c>
    </row>
    <row r="3459" spans="1:3" outlineLevel="1" x14ac:dyDescent="0.3">
      <c r="B3459" t="s">
        <v>1434</v>
      </c>
    </row>
    <row r="3460" spans="1:3" outlineLevel="1" x14ac:dyDescent="0.3">
      <c r="B3460" t="s">
        <v>3144</v>
      </c>
    </row>
    <row r="3461" spans="1:3" outlineLevel="1" x14ac:dyDescent="0.3">
      <c r="B3461" t="s">
        <v>3145</v>
      </c>
    </row>
    <row r="3462" spans="1:3" outlineLevel="1" x14ac:dyDescent="0.3">
      <c r="B3462" t="s">
        <v>3146</v>
      </c>
    </row>
    <row r="3463" spans="1:3" outlineLevel="1" x14ac:dyDescent="0.3">
      <c r="B3463" t="s">
        <v>1444</v>
      </c>
    </row>
    <row r="3464" spans="1:3" outlineLevel="1" x14ac:dyDescent="0.3">
      <c r="B3464" t="s">
        <v>3147</v>
      </c>
    </row>
    <row r="3465" spans="1:3" x14ac:dyDescent="0.3">
      <c r="A3465" t="s">
        <v>1496</v>
      </c>
    </row>
    <row r="3466" spans="1:3" x14ac:dyDescent="0.3">
      <c r="A3466" t="s">
        <v>3148</v>
      </c>
    </row>
    <row r="3467" spans="1:3" outlineLevel="1" x14ac:dyDescent="0.3">
      <c r="B3467" t="s">
        <v>3149</v>
      </c>
    </row>
    <row r="3468" spans="1:3" outlineLevel="1" x14ac:dyDescent="0.3">
      <c r="B3468" t="s">
        <v>3150</v>
      </c>
    </row>
    <row r="3469" spans="1:3" outlineLevel="1" x14ac:dyDescent="0.3">
      <c r="B3469" t="s">
        <v>3151</v>
      </c>
    </row>
    <row r="3470" spans="1:3" hidden="1" outlineLevel="2" x14ac:dyDescent="0.3">
      <c r="C3470" t="s">
        <v>3152</v>
      </c>
    </row>
    <row r="3471" spans="1:3" hidden="1" outlineLevel="2" x14ac:dyDescent="0.3">
      <c r="C3471" t="s">
        <v>3153</v>
      </c>
    </row>
    <row r="3472" spans="1:3" hidden="1" outlineLevel="2" x14ac:dyDescent="0.3">
      <c r="C3472" t="s">
        <v>3154</v>
      </c>
    </row>
    <row r="3473" spans="2:3" outlineLevel="1" collapsed="1" x14ac:dyDescent="0.3">
      <c r="B3473" t="s">
        <v>3155</v>
      </c>
    </row>
    <row r="3474" spans="2:3" outlineLevel="1" x14ac:dyDescent="0.3">
      <c r="B3474" t="s">
        <v>3156</v>
      </c>
    </row>
    <row r="3475" spans="2:3" outlineLevel="1" x14ac:dyDescent="0.3">
      <c r="B3475" t="s">
        <v>3157</v>
      </c>
    </row>
    <row r="3476" spans="2:3" outlineLevel="1" x14ac:dyDescent="0.3">
      <c r="B3476" t="s">
        <v>3158</v>
      </c>
    </row>
    <row r="3477" spans="2:3" outlineLevel="1" x14ac:dyDescent="0.3">
      <c r="B3477" t="s">
        <v>3159</v>
      </c>
    </row>
    <row r="3478" spans="2:3" outlineLevel="1" x14ac:dyDescent="0.3">
      <c r="B3478" t="s">
        <v>3160</v>
      </c>
    </row>
    <row r="3479" spans="2:3" hidden="1" outlineLevel="2" x14ac:dyDescent="0.3">
      <c r="C3479" t="s">
        <v>3161</v>
      </c>
    </row>
    <row r="3480" spans="2:3" hidden="1" outlineLevel="2" x14ac:dyDescent="0.3">
      <c r="C3480" t="s">
        <v>3162</v>
      </c>
    </row>
    <row r="3481" spans="2:3" hidden="1" outlineLevel="2" x14ac:dyDescent="0.3">
      <c r="C3481" t="s">
        <v>3163</v>
      </c>
    </row>
    <row r="3482" spans="2:3" outlineLevel="1" collapsed="1" x14ac:dyDescent="0.3">
      <c r="B3482" t="s">
        <v>3164</v>
      </c>
    </row>
    <row r="3483" spans="2:3" hidden="1" outlineLevel="2" x14ac:dyDescent="0.3">
      <c r="C3483" t="s">
        <v>3165</v>
      </c>
    </row>
    <row r="3484" spans="2:3" hidden="1" outlineLevel="2" x14ac:dyDescent="0.3">
      <c r="C3484" t="s">
        <v>3166</v>
      </c>
    </row>
    <row r="3485" spans="2:3" hidden="1" outlineLevel="2" x14ac:dyDescent="0.3">
      <c r="C3485" t="s">
        <v>3167</v>
      </c>
    </row>
    <row r="3486" spans="2:3" outlineLevel="1" collapsed="1" x14ac:dyDescent="0.3">
      <c r="B3486" t="s">
        <v>3168</v>
      </c>
    </row>
    <row r="3487" spans="2:3" hidden="1" outlineLevel="2" x14ac:dyDescent="0.3">
      <c r="C3487" t="s">
        <v>3169</v>
      </c>
    </row>
    <row r="3488" spans="2:3" hidden="1" outlineLevel="2" x14ac:dyDescent="0.3">
      <c r="C3488" t="s">
        <v>3170</v>
      </c>
    </row>
    <row r="3489" spans="2:3" hidden="1" outlineLevel="2" x14ac:dyDescent="0.3">
      <c r="C3489" t="s">
        <v>3171</v>
      </c>
    </row>
    <row r="3490" spans="2:3" hidden="1" outlineLevel="2" x14ac:dyDescent="0.3">
      <c r="C3490" t="s">
        <v>3172</v>
      </c>
    </row>
    <row r="3491" spans="2:3" outlineLevel="1" collapsed="1" x14ac:dyDescent="0.3">
      <c r="B3491" t="s">
        <v>3173</v>
      </c>
    </row>
    <row r="3492" spans="2:3" hidden="1" outlineLevel="2" x14ac:dyDescent="0.3">
      <c r="C3492" t="s">
        <v>3174</v>
      </c>
    </row>
    <row r="3493" spans="2:3" hidden="1" outlineLevel="2" x14ac:dyDescent="0.3">
      <c r="C3493" t="s">
        <v>3175</v>
      </c>
    </row>
    <row r="3494" spans="2:3" outlineLevel="1" collapsed="1" x14ac:dyDescent="0.3">
      <c r="B3494" t="s">
        <v>3176</v>
      </c>
    </row>
    <row r="3495" spans="2:3" outlineLevel="1" x14ac:dyDescent="0.3">
      <c r="B3495" t="s">
        <v>3177</v>
      </c>
    </row>
    <row r="3496" spans="2:3" hidden="1" outlineLevel="2" x14ac:dyDescent="0.3">
      <c r="C3496" t="s">
        <v>3178</v>
      </c>
    </row>
    <row r="3497" spans="2:3" hidden="1" outlineLevel="2" x14ac:dyDescent="0.3">
      <c r="C3497" t="s">
        <v>3179</v>
      </c>
    </row>
    <row r="3498" spans="2:3" hidden="1" outlineLevel="2" x14ac:dyDescent="0.3">
      <c r="C3498" t="s">
        <v>3180</v>
      </c>
    </row>
    <row r="3499" spans="2:3" hidden="1" outlineLevel="2" x14ac:dyDescent="0.3">
      <c r="C3499" t="s">
        <v>3181</v>
      </c>
    </row>
    <row r="3500" spans="2:3" outlineLevel="1" collapsed="1" x14ac:dyDescent="0.3">
      <c r="B3500" t="s">
        <v>3182</v>
      </c>
    </row>
    <row r="3501" spans="2:3" hidden="1" outlineLevel="2" x14ac:dyDescent="0.3">
      <c r="C3501" t="s">
        <v>3183</v>
      </c>
    </row>
    <row r="3502" spans="2:3" hidden="1" outlineLevel="2" x14ac:dyDescent="0.3">
      <c r="C3502" t="s">
        <v>3184</v>
      </c>
    </row>
    <row r="3503" spans="2:3" outlineLevel="1" collapsed="1" x14ac:dyDescent="0.3">
      <c r="B3503" t="s">
        <v>3185</v>
      </c>
    </row>
    <row r="3504" spans="2:3" outlineLevel="1" x14ac:dyDescent="0.3">
      <c r="B3504" t="s">
        <v>3186</v>
      </c>
    </row>
    <row r="3505" spans="1:3" outlineLevel="1" x14ac:dyDescent="0.3">
      <c r="B3505" t="s">
        <v>3187</v>
      </c>
    </row>
    <row r="3506" spans="1:3" outlineLevel="1" x14ac:dyDescent="0.3">
      <c r="B3506" t="s">
        <v>3188</v>
      </c>
    </row>
    <row r="3507" spans="1:3" outlineLevel="1" x14ac:dyDescent="0.3">
      <c r="B3507" t="s">
        <v>3189</v>
      </c>
    </row>
    <row r="3508" spans="1:3" outlineLevel="1" x14ac:dyDescent="0.3">
      <c r="B3508" t="s">
        <v>3190</v>
      </c>
    </row>
    <row r="3509" spans="1:3" x14ac:dyDescent="0.3">
      <c r="A3509" t="s">
        <v>3191</v>
      </c>
    </row>
    <row r="3510" spans="1:3" outlineLevel="1" x14ac:dyDescent="0.3">
      <c r="B3510" t="s">
        <v>3192</v>
      </c>
    </row>
    <row r="3511" spans="1:3" outlineLevel="1" x14ac:dyDescent="0.3">
      <c r="B3511" t="s">
        <v>3193</v>
      </c>
    </row>
    <row r="3512" spans="1:3" hidden="1" outlineLevel="2" x14ac:dyDescent="0.3">
      <c r="C3512" t="s">
        <v>3194</v>
      </c>
    </row>
    <row r="3513" spans="1:3" hidden="1" outlineLevel="2" x14ac:dyDescent="0.3">
      <c r="C3513" t="s">
        <v>3195</v>
      </c>
    </row>
    <row r="3514" spans="1:3" hidden="1" outlineLevel="2" x14ac:dyDescent="0.3">
      <c r="C3514" t="s">
        <v>3196</v>
      </c>
    </row>
    <row r="3515" spans="1:3" outlineLevel="1" collapsed="1" x14ac:dyDescent="0.3">
      <c r="B3515" t="s">
        <v>3197</v>
      </c>
    </row>
    <row r="3516" spans="1:3" outlineLevel="1" x14ac:dyDescent="0.3">
      <c r="B3516" t="s">
        <v>3198</v>
      </c>
    </row>
    <row r="3517" spans="1:3" outlineLevel="1" x14ac:dyDescent="0.3">
      <c r="B3517" t="s">
        <v>3199</v>
      </c>
    </row>
    <row r="3518" spans="1:3" outlineLevel="1" x14ac:dyDescent="0.3">
      <c r="B3518" t="s">
        <v>3200</v>
      </c>
    </row>
    <row r="3519" spans="1:3" outlineLevel="1" x14ac:dyDescent="0.3">
      <c r="B3519" t="s">
        <v>3201</v>
      </c>
    </row>
    <row r="3520" spans="1:3" hidden="1" outlineLevel="2" x14ac:dyDescent="0.3">
      <c r="C3520" t="s">
        <v>3202</v>
      </c>
    </row>
    <row r="3521" spans="2:3" hidden="1" outlineLevel="2" x14ac:dyDescent="0.3">
      <c r="C3521" t="s">
        <v>3203</v>
      </c>
    </row>
    <row r="3522" spans="2:3" hidden="1" outlineLevel="2" x14ac:dyDescent="0.3">
      <c r="C3522" t="s">
        <v>3204</v>
      </c>
    </row>
    <row r="3523" spans="2:3" outlineLevel="1" collapsed="1" x14ac:dyDescent="0.3">
      <c r="B3523" t="s">
        <v>3205</v>
      </c>
    </row>
    <row r="3524" spans="2:3" hidden="1" outlineLevel="2" x14ac:dyDescent="0.3">
      <c r="C3524" t="s">
        <v>3206</v>
      </c>
    </row>
    <row r="3525" spans="2:3" hidden="1" outlineLevel="2" x14ac:dyDescent="0.3">
      <c r="C3525" t="s">
        <v>3207</v>
      </c>
    </row>
    <row r="3526" spans="2:3" hidden="1" outlineLevel="2" x14ac:dyDescent="0.3">
      <c r="C3526" t="s">
        <v>3208</v>
      </c>
    </row>
    <row r="3527" spans="2:3" outlineLevel="1" collapsed="1" x14ac:dyDescent="0.3">
      <c r="B3527" t="s">
        <v>3209</v>
      </c>
    </row>
    <row r="3528" spans="2:3" hidden="1" outlineLevel="2" x14ac:dyDescent="0.3">
      <c r="C3528" t="s">
        <v>3210</v>
      </c>
    </row>
    <row r="3529" spans="2:3" hidden="1" outlineLevel="2" x14ac:dyDescent="0.3">
      <c r="C3529" t="s">
        <v>3211</v>
      </c>
    </row>
    <row r="3530" spans="2:3" hidden="1" outlineLevel="2" x14ac:dyDescent="0.3">
      <c r="C3530" t="s">
        <v>3212</v>
      </c>
    </row>
    <row r="3531" spans="2:3" hidden="1" outlineLevel="2" x14ac:dyDescent="0.3">
      <c r="C3531" t="s">
        <v>3213</v>
      </c>
    </row>
    <row r="3532" spans="2:3" outlineLevel="1" collapsed="1" x14ac:dyDescent="0.3">
      <c r="B3532" t="s">
        <v>3214</v>
      </c>
    </row>
    <row r="3533" spans="2:3" hidden="1" outlineLevel="2" x14ac:dyDescent="0.3">
      <c r="C3533" t="s">
        <v>3215</v>
      </c>
    </row>
    <row r="3534" spans="2:3" hidden="1" outlineLevel="2" x14ac:dyDescent="0.3">
      <c r="C3534" t="s">
        <v>3216</v>
      </c>
    </row>
    <row r="3535" spans="2:3" outlineLevel="1" collapsed="1" x14ac:dyDescent="0.3">
      <c r="B3535" t="s">
        <v>3217</v>
      </c>
    </row>
    <row r="3536" spans="2:3" outlineLevel="1" x14ac:dyDescent="0.3">
      <c r="B3536" t="s">
        <v>3218</v>
      </c>
    </row>
    <row r="3537" spans="1:3" hidden="1" outlineLevel="2" x14ac:dyDescent="0.3">
      <c r="C3537" t="s">
        <v>3219</v>
      </c>
    </row>
    <row r="3538" spans="1:3" hidden="1" outlineLevel="2" x14ac:dyDescent="0.3">
      <c r="C3538" t="s">
        <v>3220</v>
      </c>
    </row>
    <row r="3539" spans="1:3" hidden="1" outlineLevel="2" x14ac:dyDescent="0.3">
      <c r="C3539" t="s">
        <v>3221</v>
      </c>
    </row>
    <row r="3540" spans="1:3" hidden="1" outlineLevel="2" x14ac:dyDescent="0.3">
      <c r="C3540" t="s">
        <v>3222</v>
      </c>
    </row>
    <row r="3541" spans="1:3" outlineLevel="1" collapsed="1" x14ac:dyDescent="0.3">
      <c r="B3541" t="s">
        <v>3223</v>
      </c>
    </row>
    <row r="3542" spans="1:3" hidden="1" outlineLevel="2" x14ac:dyDescent="0.3">
      <c r="C3542" t="s">
        <v>3224</v>
      </c>
    </row>
    <row r="3543" spans="1:3" hidden="1" outlineLevel="2" x14ac:dyDescent="0.3">
      <c r="C3543" t="s">
        <v>3225</v>
      </c>
    </row>
    <row r="3544" spans="1:3" hidden="1" outlineLevel="2" x14ac:dyDescent="0.3">
      <c r="C3544" t="s">
        <v>3226</v>
      </c>
    </row>
    <row r="3545" spans="1:3" outlineLevel="1" collapsed="1" x14ac:dyDescent="0.3">
      <c r="B3545" t="s">
        <v>3227</v>
      </c>
    </row>
    <row r="3546" spans="1:3" outlineLevel="1" x14ac:dyDescent="0.3">
      <c r="B3546" t="s">
        <v>3228</v>
      </c>
    </row>
    <row r="3547" spans="1:3" outlineLevel="1" x14ac:dyDescent="0.3">
      <c r="B3547" t="s">
        <v>3229</v>
      </c>
    </row>
    <row r="3548" spans="1:3" outlineLevel="1" x14ac:dyDescent="0.3">
      <c r="B3548" t="s">
        <v>3230</v>
      </c>
    </row>
    <row r="3549" spans="1:3" outlineLevel="1" x14ac:dyDescent="0.3">
      <c r="B3549" t="s">
        <v>3231</v>
      </c>
    </row>
    <row r="3550" spans="1:3" x14ac:dyDescent="0.3">
      <c r="A3550" t="s">
        <v>1697</v>
      </c>
    </row>
    <row r="3551" spans="1:3" x14ac:dyDescent="0.3">
      <c r="A3551" t="s">
        <v>1698</v>
      </c>
    </row>
    <row r="3552" spans="1:3" x14ac:dyDescent="0.3">
      <c r="A3552" t="s">
        <v>1699</v>
      </c>
    </row>
    <row r="3553" spans="1:2" x14ac:dyDescent="0.3">
      <c r="A3553" t="s">
        <v>1700</v>
      </c>
    </row>
    <row r="3554" spans="1:2" x14ac:dyDescent="0.3">
      <c r="A3554" t="s">
        <v>1701</v>
      </c>
    </row>
    <row r="3555" spans="1:2" x14ac:dyDescent="0.3">
      <c r="A3555" t="s">
        <v>1702</v>
      </c>
    </row>
    <row r="3556" spans="1:2" x14ac:dyDescent="0.3">
      <c r="A3556" t="s">
        <v>1703</v>
      </c>
    </row>
    <row r="3557" spans="1:2" outlineLevel="1" x14ac:dyDescent="0.3">
      <c r="B3557" t="s">
        <v>1704</v>
      </c>
    </row>
    <row r="3558" spans="1:2" outlineLevel="1" x14ac:dyDescent="0.3">
      <c r="B3558" t="s">
        <v>1705</v>
      </c>
    </row>
    <row r="3559" spans="1:2" outlineLevel="1" x14ac:dyDescent="0.3">
      <c r="B3559" t="s">
        <v>1706</v>
      </c>
    </row>
    <row r="3560" spans="1:2" outlineLevel="1" x14ac:dyDescent="0.3">
      <c r="B3560" t="s">
        <v>1707</v>
      </c>
    </row>
    <row r="3561" spans="1:2" outlineLevel="1" x14ac:dyDescent="0.3">
      <c r="B3561" t="s">
        <v>1708</v>
      </c>
    </row>
    <row r="3562" spans="1:2" outlineLevel="1" x14ac:dyDescent="0.3">
      <c r="B3562" t="s">
        <v>1709</v>
      </c>
    </row>
    <row r="3563" spans="1:2" outlineLevel="1" x14ac:dyDescent="0.3">
      <c r="B3563" t="s">
        <v>1710</v>
      </c>
    </row>
    <row r="3564" spans="1:2" outlineLevel="1" x14ac:dyDescent="0.3">
      <c r="B3564" t="s">
        <v>1711</v>
      </c>
    </row>
    <row r="3565" spans="1:2" outlineLevel="1" x14ac:dyDescent="0.3">
      <c r="B3565" t="s">
        <v>1712</v>
      </c>
    </row>
    <row r="3566" spans="1:2" outlineLevel="1" x14ac:dyDescent="0.3">
      <c r="B3566" t="s">
        <v>1713</v>
      </c>
    </row>
    <row r="3567" spans="1:2" outlineLevel="1" x14ac:dyDescent="0.3">
      <c r="B3567" t="s">
        <v>1714</v>
      </c>
    </row>
    <row r="3568" spans="1:2" outlineLevel="1" x14ac:dyDescent="0.3">
      <c r="B3568" t="s">
        <v>1715</v>
      </c>
    </row>
    <row r="3569" spans="1:2" outlineLevel="1" x14ac:dyDescent="0.3">
      <c r="B3569" t="s">
        <v>1716</v>
      </c>
    </row>
    <row r="3570" spans="1:2" outlineLevel="1" x14ac:dyDescent="0.3">
      <c r="B3570" t="s">
        <v>1717</v>
      </c>
    </row>
    <row r="3571" spans="1:2" outlineLevel="1" x14ac:dyDescent="0.3">
      <c r="B3571" t="s">
        <v>1718</v>
      </c>
    </row>
    <row r="3572" spans="1:2" x14ac:dyDescent="0.3">
      <c r="A3572" t="s">
        <v>1719</v>
      </c>
    </row>
    <row r="3573" spans="1:2" x14ac:dyDescent="0.3">
      <c r="A3573" t="s">
        <v>1720</v>
      </c>
    </row>
    <row r="3574" spans="1:2" outlineLevel="1" x14ac:dyDescent="0.3">
      <c r="B3574" t="s">
        <v>3232</v>
      </c>
    </row>
    <row r="3575" spans="1:2" outlineLevel="1" x14ac:dyDescent="0.3">
      <c r="B3575" t="s">
        <v>1722</v>
      </c>
    </row>
    <row r="3576" spans="1:2" x14ac:dyDescent="0.3">
      <c r="A3576" t="s">
        <v>1723</v>
      </c>
    </row>
    <row r="3577" spans="1:2" outlineLevel="1" x14ac:dyDescent="0.3">
      <c r="B3577" t="s">
        <v>3233</v>
      </c>
    </row>
    <row r="3578" spans="1:2" outlineLevel="1" x14ac:dyDescent="0.3">
      <c r="B3578" t="s">
        <v>1725</v>
      </c>
    </row>
    <row r="3579" spans="1:2" x14ac:dyDescent="0.3">
      <c r="A3579" t="s">
        <v>1726</v>
      </c>
    </row>
    <row r="3580" spans="1:2" x14ac:dyDescent="0.3">
      <c r="A3580" t="s">
        <v>1727</v>
      </c>
    </row>
    <row r="3581" spans="1:2" x14ac:dyDescent="0.3">
      <c r="A3581" t="s">
        <v>1728</v>
      </c>
    </row>
    <row r="3582" spans="1:2" x14ac:dyDescent="0.3">
      <c r="A3582" t="s">
        <v>1729</v>
      </c>
    </row>
    <row r="3583" spans="1:2" x14ac:dyDescent="0.3">
      <c r="A3583" t="s">
        <v>1730</v>
      </c>
    </row>
    <row r="3584" spans="1:2" x14ac:dyDescent="0.3">
      <c r="A3584" t="s">
        <v>1731</v>
      </c>
    </row>
    <row r="3585" spans="1:2" x14ac:dyDescent="0.3">
      <c r="A3585" t="s">
        <v>1732</v>
      </c>
    </row>
    <row r="3586" spans="1:2" x14ac:dyDescent="0.3">
      <c r="A3586" t="s">
        <v>1733</v>
      </c>
    </row>
    <row r="3587" spans="1:2" x14ac:dyDescent="0.3">
      <c r="A3587" t="s">
        <v>1734</v>
      </c>
    </row>
    <row r="3588" spans="1:2" x14ac:dyDescent="0.3">
      <c r="A3588" t="s">
        <v>1735</v>
      </c>
    </row>
    <row r="3589" spans="1:2" x14ac:dyDescent="0.3">
      <c r="A3589" t="s">
        <v>1736</v>
      </c>
    </row>
    <row r="3590" spans="1:2" outlineLevel="1" x14ac:dyDescent="0.3">
      <c r="B3590" t="s">
        <v>1737</v>
      </c>
    </row>
    <row r="3591" spans="1:2" outlineLevel="1" x14ac:dyDescent="0.3">
      <c r="B3591" t="s">
        <v>1738</v>
      </c>
    </row>
    <row r="3592" spans="1:2" outlineLevel="1" x14ac:dyDescent="0.3">
      <c r="B3592" t="s">
        <v>1739</v>
      </c>
    </row>
    <row r="3593" spans="1:2" outlineLevel="1" x14ac:dyDescent="0.3">
      <c r="B3593" t="s">
        <v>1740</v>
      </c>
    </row>
    <row r="3594" spans="1:2" outlineLevel="1" x14ac:dyDescent="0.3">
      <c r="B3594" t="s">
        <v>1741</v>
      </c>
    </row>
    <row r="3595" spans="1:2" outlineLevel="1" x14ac:dyDescent="0.3">
      <c r="B3595" t="s">
        <v>1742</v>
      </c>
    </row>
    <row r="3596" spans="1:2" outlineLevel="1" x14ac:dyDescent="0.3">
      <c r="B3596" t="s">
        <v>1743</v>
      </c>
    </row>
    <row r="3597" spans="1:2" outlineLevel="1" x14ac:dyDescent="0.3">
      <c r="B3597" t="s">
        <v>1744</v>
      </c>
    </row>
    <row r="3598" spans="1:2" outlineLevel="1" x14ac:dyDescent="0.3">
      <c r="B3598" t="s">
        <v>1745</v>
      </c>
    </row>
    <row r="3599" spans="1:2" outlineLevel="1" x14ac:dyDescent="0.3">
      <c r="B3599" t="s">
        <v>1746</v>
      </c>
    </row>
    <row r="3600" spans="1:2" outlineLevel="1" x14ac:dyDescent="0.3">
      <c r="B3600" t="s">
        <v>1747</v>
      </c>
    </row>
    <row r="3601" spans="1:2" outlineLevel="1" x14ac:dyDescent="0.3">
      <c r="B3601" t="s">
        <v>1748</v>
      </c>
    </row>
    <row r="3602" spans="1:2" outlineLevel="1" x14ac:dyDescent="0.3">
      <c r="B3602" t="s">
        <v>1749</v>
      </c>
    </row>
    <row r="3603" spans="1:2" outlineLevel="1" x14ac:dyDescent="0.3">
      <c r="B3603" t="s">
        <v>1750</v>
      </c>
    </row>
    <row r="3609" spans="1:2" x14ac:dyDescent="0.3">
      <c r="A3609" t="s">
        <v>1751</v>
      </c>
    </row>
    <row r="3610" spans="1:2" outlineLevel="1" x14ac:dyDescent="0.3">
      <c r="B3610" t="s">
        <v>1752</v>
      </c>
    </row>
    <row r="3611" spans="1:2" outlineLevel="1" x14ac:dyDescent="0.3">
      <c r="B3611" t="s">
        <v>1753</v>
      </c>
    </row>
    <row r="3612" spans="1:2" outlineLevel="1" x14ac:dyDescent="0.3">
      <c r="B3612" t="s">
        <v>1754</v>
      </c>
    </row>
    <row r="3613" spans="1:2" outlineLevel="1" x14ac:dyDescent="0.3">
      <c r="B3613" t="s">
        <v>1755</v>
      </c>
    </row>
    <row r="3614" spans="1:2" outlineLevel="1" x14ac:dyDescent="0.3">
      <c r="B3614" t="s">
        <v>1756</v>
      </c>
    </row>
    <row r="3615" spans="1:2" outlineLevel="1" x14ac:dyDescent="0.3">
      <c r="B3615" t="s">
        <v>1757</v>
      </c>
    </row>
    <row r="3616" spans="1:2" outlineLevel="1" x14ac:dyDescent="0.3">
      <c r="B3616" t="s">
        <v>1758</v>
      </c>
    </row>
    <row r="3617" spans="1:2" outlineLevel="1" x14ac:dyDescent="0.3">
      <c r="B3617" t="s">
        <v>1759</v>
      </c>
    </row>
    <row r="3618" spans="1:2" outlineLevel="1" x14ac:dyDescent="0.3">
      <c r="B3618" t="s">
        <v>1760</v>
      </c>
    </row>
    <row r="3619" spans="1:2" outlineLevel="1" x14ac:dyDescent="0.3">
      <c r="B3619" t="s">
        <v>1761</v>
      </c>
    </row>
    <row r="3620" spans="1:2" outlineLevel="1" x14ac:dyDescent="0.3">
      <c r="B3620" t="s">
        <v>1762</v>
      </c>
    </row>
    <row r="3621" spans="1:2" outlineLevel="1" x14ac:dyDescent="0.3">
      <c r="B3621" t="s">
        <v>1763</v>
      </c>
    </row>
    <row r="3622" spans="1:2" x14ac:dyDescent="0.3">
      <c r="A3622" t="s">
        <v>1764</v>
      </c>
    </row>
    <row r="3623" spans="1:2" outlineLevel="1" x14ac:dyDescent="0.3">
      <c r="B3623" t="s">
        <v>1765</v>
      </c>
    </row>
    <row r="3624" spans="1:2" outlineLevel="1" x14ac:dyDescent="0.3">
      <c r="B3624" t="s">
        <v>1766</v>
      </c>
    </row>
    <row r="3625" spans="1:2" outlineLevel="1" x14ac:dyDescent="0.3">
      <c r="B3625" t="s">
        <v>1767</v>
      </c>
    </row>
    <row r="3626" spans="1:2" x14ac:dyDescent="0.3">
      <c r="A3626" t="s">
        <v>1768</v>
      </c>
    </row>
    <row r="3627" spans="1:2" outlineLevel="1" x14ac:dyDescent="0.3">
      <c r="B3627" t="s">
        <v>1769</v>
      </c>
    </row>
    <row r="3628" spans="1:2" outlineLevel="1" x14ac:dyDescent="0.3">
      <c r="B3628" t="s">
        <v>1770</v>
      </c>
    </row>
    <row r="3629" spans="1:2" outlineLevel="1" x14ac:dyDescent="0.3">
      <c r="B3629" t="s">
        <v>1771</v>
      </c>
    </row>
    <row r="3630" spans="1:2" outlineLevel="1" x14ac:dyDescent="0.3">
      <c r="B3630" t="s">
        <v>1772</v>
      </c>
    </row>
    <row r="3631" spans="1:2" outlineLevel="1" x14ac:dyDescent="0.3">
      <c r="B3631" t="s">
        <v>1773</v>
      </c>
    </row>
    <row r="3632" spans="1:2" outlineLevel="1" x14ac:dyDescent="0.3">
      <c r="B3632" t="s">
        <v>1774</v>
      </c>
    </row>
    <row r="3633" spans="1:2" outlineLevel="1" x14ac:dyDescent="0.3">
      <c r="B3633" t="s">
        <v>1775</v>
      </c>
    </row>
    <row r="3634" spans="1:2" outlineLevel="1" x14ac:dyDescent="0.3">
      <c r="B3634" t="s">
        <v>1776</v>
      </c>
    </row>
    <row r="3635" spans="1:2" outlineLevel="1" x14ac:dyDescent="0.3">
      <c r="B3635" t="s">
        <v>1777</v>
      </c>
    </row>
    <row r="3636" spans="1:2" outlineLevel="1" x14ac:dyDescent="0.3">
      <c r="B3636" t="s">
        <v>1778</v>
      </c>
    </row>
    <row r="3637" spans="1:2" outlineLevel="1" x14ac:dyDescent="0.3">
      <c r="B3637" t="s">
        <v>1779</v>
      </c>
    </row>
    <row r="3638" spans="1:2" outlineLevel="1" x14ac:dyDescent="0.3">
      <c r="B3638" t="s">
        <v>1780</v>
      </c>
    </row>
    <row r="3639" spans="1:2" outlineLevel="1" x14ac:dyDescent="0.3">
      <c r="B3639" t="s">
        <v>1781</v>
      </c>
    </row>
    <row r="3640" spans="1:2" outlineLevel="1" x14ac:dyDescent="0.3">
      <c r="B3640" t="s">
        <v>1782</v>
      </c>
    </row>
    <row r="3641" spans="1:2" outlineLevel="1" x14ac:dyDescent="0.3">
      <c r="B3641" t="s">
        <v>1783</v>
      </c>
    </row>
    <row r="3642" spans="1:2" outlineLevel="1" x14ac:dyDescent="0.3">
      <c r="B3642" t="s">
        <v>1784</v>
      </c>
    </row>
    <row r="3643" spans="1:2" outlineLevel="1" x14ac:dyDescent="0.3">
      <c r="B3643" t="s">
        <v>1785</v>
      </c>
    </row>
    <row r="3644" spans="1:2" outlineLevel="1" x14ac:dyDescent="0.3">
      <c r="B3644" t="s">
        <v>1786</v>
      </c>
    </row>
    <row r="3645" spans="1:2" outlineLevel="1" x14ac:dyDescent="0.3">
      <c r="B3645" t="s">
        <v>1787</v>
      </c>
    </row>
    <row r="3646" spans="1:2" outlineLevel="1" x14ac:dyDescent="0.3">
      <c r="B3646" t="s">
        <v>1788</v>
      </c>
    </row>
    <row r="3647" spans="1:2" x14ac:dyDescent="0.3">
      <c r="A3647" t="s">
        <v>1789</v>
      </c>
    </row>
    <row r="3648" spans="1:2" outlineLevel="1" x14ac:dyDescent="0.3">
      <c r="B3648" t="s">
        <v>1790</v>
      </c>
    </row>
    <row r="3649" spans="2:2" outlineLevel="1" x14ac:dyDescent="0.3">
      <c r="B3649" t="s">
        <v>1791</v>
      </c>
    </row>
    <row r="3650" spans="2:2" outlineLevel="1" x14ac:dyDescent="0.3">
      <c r="B3650" t="s">
        <v>1792</v>
      </c>
    </row>
    <row r="3651" spans="2:2" outlineLevel="1" x14ac:dyDescent="0.3">
      <c r="B3651" t="s">
        <v>1793</v>
      </c>
    </row>
    <row r="3652" spans="2:2" outlineLevel="1" x14ac:dyDescent="0.3">
      <c r="B3652" t="s">
        <v>1794</v>
      </c>
    </row>
    <row r="3653" spans="2:2" outlineLevel="1" x14ac:dyDescent="0.3">
      <c r="B3653" t="s">
        <v>1795</v>
      </c>
    </row>
    <row r="3654" spans="2:2" outlineLevel="1" x14ac:dyDescent="0.3">
      <c r="B3654" t="s">
        <v>1796</v>
      </c>
    </row>
    <row r="3655" spans="2:2" outlineLevel="1" x14ac:dyDescent="0.3">
      <c r="B3655" t="s">
        <v>1797</v>
      </c>
    </row>
    <row r="3656" spans="2:2" outlineLevel="1" x14ac:dyDescent="0.3">
      <c r="B3656" t="s">
        <v>1798</v>
      </c>
    </row>
    <row r="3657" spans="2:2" outlineLevel="1" x14ac:dyDescent="0.3">
      <c r="B3657" t="s">
        <v>1799</v>
      </c>
    </row>
    <row r="3658" spans="2:2" outlineLevel="1" x14ac:dyDescent="0.3">
      <c r="B3658" t="s">
        <v>1800</v>
      </c>
    </row>
    <row r="3659" spans="2:2" outlineLevel="1" x14ac:dyDescent="0.3">
      <c r="B3659" t="s">
        <v>1801</v>
      </c>
    </row>
    <row r="3660" spans="2:2" outlineLevel="1" x14ac:dyDescent="0.3">
      <c r="B3660" t="s">
        <v>1802</v>
      </c>
    </row>
    <row r="3661" spans="2:2" outlineLevel="1" x14ac:dyDescent="0.3">
      <c r="B3661" t="s">
        <v>1803</v>
      </c>
    </row>
    <row r="3662" spans="2:2" outlineLevel="1" x14ac:dyDescent="0.3">
      <c r="B3662" t="s">
        <v>1804</v>
      </c>
    </row>
    <row r="3663" spans="2:2" outlineLevel="1" x14ac:dyDescent="0.3">
      <c r="B3663" t="s">
        <v>1805</v>
      </c>
    </row>
    <row r="3664" spans="2:2" outlineLevel="1" x14ac:dyDescent="0.3">
      <c r="B3664" t="s">
        <v>1806</v>
      </c>
    </row>
    <row r="3665" spans="1:2" outlineLevel="1" x14ac:dyDescent="0.3">
      <c r="B3665" t="s">
        <v>1807</v>
      </c>
    </row>
    <row r="3666" spans="1:2" x14ac:dyDescent="0.3">
      <c r="A3666" t="s">
        <v>1808</v>
      </c>
    </row>
    <row r="3667" spans="1:2" outlineLevel="1" x14ac:dyDescent="0.3">
      <c r="B3667" t="s">
        <v>1809</v>
      </c>
    </row>
    <row r="3668" spans="1:2" outlineLevel="1" x14ac:dyDescent="0.3">
      <c r="B3668" t="s">
        <v>1810</v>
      </c>
    </row>
    <row r="3669" spans="1:2" outlineLevel="1" x14ac:dyDescent="0.3">
      <c r="B3669" t="s">
        <v>1811</v>
      </c>
    </row>
    <row r="3670" spans="1:2" outlineLevel="1" x14ac:dyDescent="0.3">
      <c r="B3670" t="s">
        <v>1812</v>
      </c>
    </row>
    <row r="3671" spans="1:2" outlineLevel="1" x14ac:dyDescent="0.3">
      <c r="B3671" t="s">
        <v>1813</v>
      </c>
    </row>
    <row r="3672" spans="1:2" outlineLevel="1" x14ac:dyDescent="0.3">
      <c r="B3672" t="s">
        <v>1814</v>
      </c>
    </row>
    <row r="3673" spans="1:2" outlineLevel="1" x14ac:dyDescent="0.3">
      <c r="B3673" t="s">
        <v>1815</v>
      </c>
    </row>
    <row r="3674" spans="1:2" outlineLevel="1" x14ac:dyDescent="0.3">
      <c r="B3674" t="s">
        <v>1816</v>
      </c>
    </row>
    <row r="3675" spans="1:2" outlineLevel="1" x14ac:dyDescent="0.3">
      <c r="B3675" t="s">
        <v>1817</v>
      </c>
    </row>
    <row r="3676" spans="1:2" outlineLevel="1" x14ac:dyDescent="0.3">
      <c r="B3676" t="s">
        <v>1818</v>
      </c>
    </row>
    <row r="3677" spans="1:2" outlineLevel="1" x14ac:dyDescent="0.3">
      <c r="B3677" t="s">
        <v>1819</v>
      </c>
    </row>
    <row r="3678" spans="1:2" outlineLevel="1" x14ac:dyDescent="0.3">
      <c r="B3678" t="s">
        <v>1820</v>
      </c>
    </row>
    <row r="3679" spans="1:2" outlineLevel="1" x14ac:dyDescent="0.3">
      <c r="B3679" t="s">
        <v>1821</v>
      </c>
    </row>
    <row r="3680" spans="1:2" outlineLevel="1" x14ac:dyDescent="0.3">
      <c r="B3680" t="s">
        <v>1822</v>
      </c>
    </row>
    <row r="3681" spans="1:4" outlineLevel="1" x14ac:dyDescent="0.3">
      <c r="B3681" t="s">
        <v>1823</v>
      </c>
    </row>
    <row r="3682" spans="1:4" outlineLevel="1" x14ac:dyDescent="0.3">
      <c r="B3682" t="s">
        <v>1824</v>
      </c>
    </row>
    <row r="3683" spans="1:4" outlineLevel="1" x14ac:dyDescent="0.3">
      <c r="B3683" t="s">
        <v>1825</v>
      </c>
    </row>
    <row r="3684" spans="1:4" outlineLevel="1" x14ac:dyDescent="0.3">
      <c r="B3684" t="s">
        <v>1826</v>
      </c>
    </row>
    <row r="3685" spans="1:4" outlineLevel="1" x14ac:dyDescent="0.3">
      <c r="B3685" t="s">
        <v>1827</v>
      </c>
    </row>
    <row r="3686" spans="1:4" outlineLevel="1" x14ac:dyDescent="0.3">
      <c r="B3686" t="s">
        <v>1828</v>
      </c>
    </row>
    <row r="3687" spans="1:4" x14ac:dyDescent="0.3">
      <c r="A3687" t="s">
        <v>1829</v>
      </c>
    </row>
    <row r="3688" spans="1:4" outlineLevel="1" x14ac:dyDescent="0.3">
      <c r="B3688" t="s">
        <v>1830</v>
      </c>
    </row>
    <row r="3689" spans="1:4" hidden="1" outlineLevel="2" x14ac:dyDescent="0.3">
      <c r="C3689" t="s">
        <v>1831</v>
      </c>
    </row>
    <row r="3690" spans="1:4" hidden="1" outlineLevel="3" x14ac:dyDescent="0.3">
      <c r="D3690" t="s">
        <v>1832</v>
      </c>
    </row>
    <row r="3691" spans="1:4" hidden="1" outlineLevel="3" x14ac:dyDescent="0.3">
      <c r="D3691" t="s">
        <v>1833</v>
      </c>
    </row>
    <row r="3692" spans="1:4" hidden="1" outlineLevel="3" x14ac:dyDescent="0.3">
      <c r="D3692" t="s">
        <v>1834</v>
      </c>
    </row>
    <row r="3693" spans="1:4" hidden="1" outlineLevel="3" x14ac:dyDescent="0.3">
      <c r="D3693" t="s">
        <v>1835</v>
      </c>
    </row>
    <row r="3694" spans="1:4" hidden="1" outlineLevel="2" x14ac:dyDescent="0.3">
      <c r="C3694" t="s">
        <v>1836</v>
      </c>
    </row>
    <row r="3695" spans="1:4" hidden="1" outlineLevel="2" x14ac:dyDescent="0.3">
      <c r="C3695" t="s">
        <v>1837</v>
      </c>
    </row>
    <row r="3696" spans="1:4" hidden="1" outlineLevel="2" x14ac:dyDescent="0.3">
      <c r="C3696" t="s">
        <v>1838</v>
      </c>
    </row>
    <row r="3697" spans="1:3" hidden="1" outlineLevel="2" x14ac:dyDescent="0.3">
      <c r="C3697" t="s">
        <v>1839</v>
      </c>
    </row>
    <row r="3698" spans="1:3" hidden="1" outlineLevel="2" x14ac:dyDescent="0.3">
      <c r="C3698" t="s">
        <v>1840</v>
      </c>
    </row>
    <row r="3699" spans="1:3" hidden="1" outlineLevel="2" x14ac:dyDescent="0.3">
      <c r="C3699" t="s">
        <v>1841</v>
      </c>
    </row>
    <row r="3700" spans="1:3" outlineLevel="1" collapsed="1" x14ac:dyDescent="0.3">
      <c r="B3700" t="s">
        <v>1842</v>
      </c>
    </row>
    <row r="3701" spans="1:3" outlineLevel="1" x14ac:dyDescent="0.3">
      <c r="B3701" t="s">
        <v>1843</v>
      </c>
    </row>
    <row r="3702" spans="1:3" outlineLevel="1" x14ac:dyDescent="0.3">
      <c r="B3702" t="s">
        <v>1844</v>
      </c>
    </row>
    <row r="3703" spans="1:3" outlineLevel="1" x14ac:dyDescent="0.3">
      <c r="B3703" t="s">
        <v>1845</v>
      </c>
    </row>
    <row r="3704" spans="1:3" outlineLevel="1" x14ac:dyDescent="0.3">
      <c r="B3704" t="s">
        <v>1846</v>
      </c>
    </row>
    <row r="3705" spans="1:3" outlineLevel="1" x14ac:dyDescent="0.3">
      <c r="B3705" t="s">
        <v>1847</v>
      </c>
    </row>
    <row r="3706" spans="1:3" outlineLevel="1" x14ac:dyDescent="0.3">
      <c r="B3706" t="s">
        <v>1848</v>
      </c>
    </row>
    <row r="3707" spans="1:3" outlineLevel="1" x14ac:dyDescent="0.3">
      <c r="B3707" t="s">
        <v>1849</v>
      </c>
    </row>
    <row r="3708" spans="1:3" outlineLevel="1" x14ac:dyDescent="0.3">
      <c r="B3708" t="s">
        <v>1850</v>
      </c>
    </row>
    <row r="3709" spans="1:3" outlineLevel="1" x14ac:dyDescent="0.3">
      <c r="B3709" t="s">
        <v>1851</v>
      </c>
    </row>
    <row r="3710" spans="1:3" outlineLevel="1" x14ac:dyDescent="0.3">
      <c r="B3710" t="s">
        <v>1852</v>
      </c>
    </row>
    <row r="3711" spans="1:3" x14ac:dyDescent="0.3">
      <c r="A3711" t="s">
        <v>1853</v>
      </c>
    </row>
    <row r="3712" spans="1:3" outlineLevel="1" x14ac:dyDescent="0.3">
      <c r="B3712" t="s">
        <v>1854</v>
      </c>
    </row>
    <row r="3713" spans="2:4" hidden="1" outlineLevel="2" x14ac:dyDescent="0.3">
      <c r="C3713" t="s">
        <v>1855</v>
      </c>
    </row>
    <row r="3714" spans="2:4" hidden="1" outlineLevel="3" x14ac:dyDescent="0.3">
      <c r="D3714" t="s">
        <v>1856</v>
      </c>
    </row>
    <row r="3715" spans="2:4" hidden="1" outlineLevel="3" x14ac:dyDescent="0.3">
      <c r="D3715" t="s">
        <v>1857</v>
      </c>
    </row>
    <row r="3716" spans="2:4" hidden="1" outlineLevel="3" x14ac:dyDescent="0.3">
      <c r="D3716" t="s">
        <v>1858</v>
      </c>
    </row>
    <row r="3717" spans="2:4" hidden="1" outlineLevel="2" x14ac:dyDescent="0.3">
      <c r="C3717" t="s">
        <v>1859</v>
      </c>
    </row>
    <row r="3718" spans="2:4" outlineLevel="1" collapsed="1" x14ac:dyDescent="0.3">
      <c r="B3718" t="s">
        <v>1860</v>
      </c>
    </row>
    <row r="3719" spans="2:4" outlineLevel="1" x14ac:dyDescent="0.3">
      <c r="B3719" t="s">
        <v>1861</v>
      </c>
    </row>
    <row r="3720" spans="2:4" outlineLevel="1" x14ac:dyDescent="0.3">
      <c r="B3720" t="s">
        <v>1862</v>
      </c>
    </row>
    <row r="3721" spans="2:4" outlineLevel="1" x14ac:dyDescent="0.3">
      <c r="B3721" t="s">
        <v>1863</v>
      </c>
    </row>
    <row r="3722" spans="2:4" outlineLevel="1" x14ac:dyDescent="0.3">
      <c r="B3722" t="s">
        <v>1864</v>
      </c>
    </row>
    <row r="3723" spans="2:4" outlineLevel="1" x14ac:dyDescent="0.3">
      <c r="B3723" t="s">
        <v>1865</v>
      </c>
    </row>
    <row r="3724" spans="2:4" outlineLevel="1" x14ac:dyDescent="0.3">
      <c r="B3724" t="s">
        <v>1866</v>
      </c>
    </row>
    <row r="3725" spans="2:4" outlineLevel="1" x14ac:dyDescent="0.3">
      <c r="B3725" t="s">
        <v>1867</v>
      </c>
    </row>
    <row r="3726" spans="2:4" outlineLevel="1" x14ac:dyDescent="0.3">
      <c r="B3726" t="s">
        <v>1868</v>
      </c>
    </row>
    <row r="3727" spans="2:4" outlineLevel="1" x14ac:dyDescent="0.3">
      <c r="B3727" t="s">
        <v>1869</v>
      </c>
    </row>
    <row r="3728" spans="2:4" outlineLevel="1" x14ac:dyDescent="0.3">
      <c r="B3728" t="s">
        <v>1870</v>
      </c>
    </row>
    <row r="3729" spans="1:3" outlineLevel="1" x14ac:dyDescent="0.3">
      <c r="B3729" t="s">
        <v>1871</v>
      </c>
    </row>
    <row r="3730" spans="1:3" outlineLevel="1" x14ac:dyDescent="0.3">
      <c r="B3730" t="s">
        <v>1872</v>
      </c>
    </row>
    <row r="3731" spans="1:3" outlineLevel="1" x14ac:dyDescent="0.3">
      <c r="B3731" t="s">
        <v>1873</v>
      </c>
    </row>
    <row r="3732" spans="1:3" outlineLevel="1" x14ac:dyDescent="0.3">
      <c r="B3732" t="s">
        <v>1874</v>
      </c>
    </row>
    <row r="3733" spans="1:3" x14ac:dyDescent="0.3">
      <c r="A3733" t="s">
        <v>1875</v>
      </c>
    </row>
    <row r="3739" spans="1:3" x14ac:dyDescent="0.3">
      <c r="A3739" t="s">
        <v>1876</v>
      </c>
    </row>
    <row r="3740" spans="1:3" outlineLevel="1" x14ac:dyDescent="0.3">
      <c r="B3740" t="s">
        <v>1877</v>
      </c>
    </row>
    <row r="3741" spans="1:3" hidden="1" outlineLevel="2" x14ac:dyDescent="0.3">
      <c r="C3741" t="s">
        <v>3234</v>
      </c>
    </row>
    <row r="3742" spans="1:3" hidden="1" outlineLevel="2" x14ac:dyDescent="0.3">
      <c r="C3742" t="s">
        <v>3235</v>
      </c>
    </row>
    <row r="3743" spans="1:3" outlineLevel="1" collapsed="1" x14ac:dyDescent="0.3">
      <c r="B3743" t="s">
        <v>1882</v>
      </c>
    </row>
    <row r="3744" spans="1:3" hidden="1" outlineLevel="2" x14ac:dyDescent="0.3">
      <c r="C3744" t="s">
        <v>3236</v>
      </c>
    </row>
    <row r="3745" spans="2:3" hidden="1" outlineLevel="2" x14ac:dyDescent="0.3">
      <c r="C3745" t="s">
        <v>3237</v>
      </c>
    </row>
    <row r="3746" spans="2:3" hidden="1" outlineLevel="2" x14ac:dyDescent="0.3">
      <c r="C3746" t="s">
        <v>3238</v>
      </c>
    </row>
    <row r="3747" spans="2:3" hidden="1" outlineLevel="2" x14ac:dyDescent="0.3">
      <c r="C3747" t="s">
        <v>3239</v>
      </c>
    </row>
    <row r="3748" spans="2:3" outlineLevel="1" collapsed="1" x14ac:dyDescent="0.3">
      <c r="B3748" t="s">
        <v>1888</v>
      </c>
    </row>
    <row r="3749" spans="2:3" outlineLevel="1" x14ac:dyDescent="0.3">
      <c r="B3749" t="s">
        <v>1889</v>
      </c>
    </row>
    <row r="3750" spans="2:3" outlineLevel="1" x14ac:dyDescent="0.3">
      <c r="B3750" t="s">
        <v>1890</v>
      </c>
    </row>
    <row r="3751" spans="2:3" hidden="1" outlineLevel="2" x14ac:dyDescent="0.3">
      <c r="C3751" t="s">
        <v>3240</v>
      </c>
    </row>
    <row r="3752" spans="2:3" hidden="1" outlineLevel="2" x14ac:dyDescent="0.3">
      <c r="C3752" t="s">
        <v>3241</v>
      </c>
    </row>
    <row r="3753" spans="2:3" hidden="1" outlineLevel="2" x14ac:dyDescent="0.3">
      <c r="C3753" t="s">
        <v>3242</v>
      </c>
    </row>
    <row r="3754" spans="2:3" hidden="1" outlineLevel="2" x14ac:dyDescent="0.3">
      <c r="C3754" t="s">
        <v>3243</v>
      </c>
    </row>
    <row r="3755" spans="2:3" hidden="1" outlineLevel="2" x14ac:dyDescent="0.3">
      <c r="C3755" t="s">
        <v>3244</v>
      </c>
    </row>
    <row r="3756" spans="2:3" hidden="1" outlineLevel="2" x14ac:dyDescent="0.3">
      <c r="C3756" t="s">
        <v>3245</v>
      </c>
    </row>
    <row r="3757" spans="2:3" hidden="1" outlineLevel="2" x14ac:dyDescent="0.3">
      <c r="C3757" t="s">
        <v>3246</v>
      </c>
    </row>
    <row r="3758" spans="2:3" hidden="1" outlineLevel="2" x14ac:dyDescent="0.3">
      <c r="C3758" t="s">
        <v>3247</v>
      </c>
    </row>
    <row r="3759" spans="2:3" hidden="1" outlineLevel="2" x14ac:dyDescent="0.3">
      <c r="C3759" t="s">
        <v>3248</v>
      </c>
    </row>
    <row r="3760" spans="2:3" hidden="1" outlineLevel="2" x14ac:dyDescent="0.3">
      <c r="C3760" t="s">
        <v>3249</v>
      </c>
    </row>
    <row r="3761" spans="3:4" hidden="1" outlineLevel="2" x14ac:dyDescent="0.3">
      <c r="C3761" t="s">
        <v>3250</v>
      </c>
    </row>
    <row r="3762" spans="3:4" hidden="1" outlineLevel="2" x14ac:dyDescent="0.3">
      <c r="C3762" t="s">
        <v>3251</v>
      </c>
    </row>
    <row r="3763" spans="3:4" hidden="1" outlineLevel="2" x14ac:dyDescent="0.3">
      <c r="C3763" t="s">
        <v>3252</v>
      </c>
    </row>
    <row r="3764" spans="3:4" hidden="1" outlineLevel="3" x14ac:dyDescent="0.3">
      <c r="D3764" t="s">
        <v>3253</v>
      </c>
    </row>
    <row r="3765" spans="3:4" hidden="1" outlineLevel="3" x14ac:dyDescent="0.3">
      <c r="D3765" t="s">
        <v>3254</v>
      </c>
    </row>
    <row r="3766" spans="3:4" hidden="1" outlineLevel="3" x14ac:dyDescent="0.3">
      <c r="D3766" t="s">
        <v>3255</v>
      </c>
    </row>
    <row r="3767" spans="3:4" hidden="1" outlineLevel="2" x14ac:dyDescent="0.3">
      <c r="C3767" t="s">
        <v>3256</v>
      </c>
    </row>
    <row r="3768" spans="3:4" hidden="1" outlineLevel="2" x14ac:dyDescent="0.3">
      <c r="C3768" t="s">
        <v>3257</v>
      </c>
    </row>
    <row r="3769" spans="3:4" hidden="1" outlineLevel="3" x14ac:dyDescent="0.3">
      <c r="D3769" t="s">
        <v>3258</v>
      </c>
    </row>
    <row r="3770" spans="3:4" hidden="1" outlineLevel="3" x14ac:dyDescent="0.3">
      <c r="D3770" t="s">
        <v>3259</v>
      </c>
    </row>
    <row r="3771" spans="3:4" hidden="1" outlineLevel="3" x14ac:dyDescent="0.3">
      <c r="D3771" t="s">
        <v>3260</v>
      </c>
    </row>
    <row r="3772" spans="3:4" hidden="1" outlineLevel="2" x14ac:dyDescent="0.3">
      <c r="C3772" t="s">
        <v>3261</v>
      </c>
    </row>
    <row r="3773" spans="3:4" hidden="1" outlineLevel="2" x14ac:dyDescent="0.3">
      <c r="C3773" t="s">
        <v>3262</v>
      </c>
    </row>
    <row r="3774" spans="3:4" hidden="1" outlineLevel="2" x14ac:dyDescent="0.3">
      <c r="C3774" t="s">
        <v>3263</v>
      </c>
    </row>
    <row r="3775" spans="3:4" hidden="1" outlineLevel="2" x14ac:dyDescent="0.3">
      <c r="C3775" t="s">
        <v>3264</v>
      </c>
    </row>
    <row r="3776" spans="3:4" hidden="1" outlineLevel="2" x14ac:dyDescent="0.3">
      <c r="C3776" t="s">
        <v>3265</v>
      </c>
    </row>
    <row r="3777" spans="3:4" hidden="1" outlineLevel="2" x14ac:dyDescent="0.3">
      <c r="C3777" t="s">
        <v>3266</v>
      </c>
    </row>
    <row r="3778" spans="3:4" hidden="1" outlineLevel="2" x14ac:dyDescent="0.3">
      <c r="C3778" t="s">
        <v>3267</v>
      </c>
    </row>
    <row r="3779" spans="3:4" hidden="1" outlineLevel="3" x14ac:dyDescent="0.3">
      <c r="D3779" t="s">
        <v>3268</v>
      </c>
    </row>
    <row r="3780" spans="3:4" hidden="1" outlineLevel="3" x14ac:dyDescent="0.3">
      <c r="D3780" t="s">
        <v>3269</v>
      </c>
    </row>
    <row r="3781" spans="3:4" hidden="1" outlineLevel="3" x14ac:dyDescent="0.3">
      <c r="D3781" t="s">
        <v>3270</v>
      </c>
    </row>
    <row r="3782" spans="3:4" hidden="1" outlineLevel="3" x14ac:dyDescent="0.3">
      <c r="D3782" t="s">
        <v>3271</v>
      </c>
    </row>
    <row r="3783" spans="3:4" hidden="1" outlineLevel="2" x14ac:dyDescent="0.3">
      <c r="C3783" t="s">
        <v>3272</v>
      </c>
    </row>
    <row r="3784" spans="3:4" hidden="1" outlineLevel="3" x14ac:dyDescent="0.3">
      <c r="D3784" t="s">
        <v>3273</v>
      </c>
    </row>
    <row r="3785" spans="3:4" hidden="1" outlineLevel="3" x14ac:dyDescent="0.3">
      <c r="D3785" t="s">
        <v>3274</v>
      </c>
    </row>
    <row r="3786" spans="3:4" hidden="1" outlineLevel="3" x14ac:dyDescent="0.3">
      <c r="D3786" t="s">
        <v>3275</v>
      </c>
    </row>
    <row r="3787" spans="3:4" hidden="1" outlineLevel="2" x14ac:dyDescent="0.3">
      <c r="C3787" t="s">
        <v>3276</v>
      </c>
    </row>
    <row r="3788" spans="3:4" hidden="1" outlineLevel="3" x14ac:dyDescent="0.3">
      <c r="D3788" t="s">
        <v>3277</v>
      </c>
    </row>
    <row r="3789" spans="3:4" hidden="1" outlineLevel="3" x14ac:dyDescent="0.3">
      <c r="D3789" t="s">
        <v>3278</v>
      </c>
    </row>
    <row r="3790" spans="3:4" hidden="1" outlineLevel="3" x14ac:dyDescent="0.3">
      <c r="D3790" t="s">
        <v>3279</v>
      </c>
    </row>
    <row r="3791" spans="3:4" hidden="1" outlineLevel="3" x14ac:dyDescent="0.3">
      <c r="D3791" t="s">
        <v>3280</v>
      </c>
    </row>
    <row r="3792" spans="3:4" hidden="1" outlineLevel="2" x14ac:dyDescent="0.3">
      <c r="C3792" t="s">
        <v>3281</v>
      </c>
    </row>
    <row r="3793" spans="3:4" hidden="1" outlineLevel="3" x14ac:dyDescent="0.3">
      <c r="D3793" t="s">
        <v>3282</v>
      </c>
    </row>
    <row r="3794" spans="3:4" hidden="1" outlineLevel="3" x14ac:dyDescent="0.3">
      <c r="D3794" t="s">
        <v>3283</v>
      </c>
    </row>
    <row r="3795" spans="3:4" hidden="1" outlineLevel="3" x14ac:dyDescent="0.3">
      <c r="D3795" t="s">
        <v>3284</v>
      </c>
    </row>
    <row r="3796" spans="3:4" hidden="1" outlineLevel="3" x14ac:dyDescent="0.3">
      <c r="D3796" t="s">
        <v>3285</v>
      </c>
    </row>
    <row r="3797" spans="3:4" hidden="1" outlineLevel="3" x14ac:dyDescent="0.3">
      <c r="D3797" t="s">
        <v>3286</v>
      </c>
    </row>
    <row r="3798" spans="3:4" hidden="1" outlineLevel="2" x14ac:dyDescent="0.3">
      <c r="C3798" t="s">
        <v>3287</v>
      </c>
    </row>
    <row r="3799" spans="3:4" hidden="1" outlineLevel="3" x14ac:dyDescent="0.3">
      <c r="D3799" t="s">
        <v>3288</v>
      </c>
    </row>
    <row r="3800" spans="3:4" hidden="1" outlineLevel="3" x14ac:dyDescent="0.3">
      <c r="D3800" t="s">
        <v>3289</v>
      </c>
    </row>
    <row r="3801" spans="3:4" hidden="1" outlineLevel="3" x14ac:dyDescent="0.3">
      <c r="D3801" t="s">
        <v>3290</v>
      </c>
    </row>
    <row r="3802" spans="3:4" hidden="1" outlineLevel="3" x14ac:dyDescent="0.3">
      <c r="D3802" t="s">
        <v>3291</v>
      </c>
    </row>
    <row r="3803" spans="3:4" hidden="1" outlineLevel="2" x14ac:dyDescent="0.3">
      <c r="C3803" t="s">
        <v>3292</v>
      </c>
    </row>
    <row r="3804" spans="3:4" hidden="1" outlineLevel="2" x14ac:dyDescent="0.3">
      <c r="C3804" t="s">
        <v>3293</v>
      </c>
    </row>
    <row r="3805" spans="3:4" hidden="1" outlineLevel="2" x14ac:dyDescent="0.3">
      <c r="C3805" t="s">
        <v>3294</v>
      </c>
    </row>
    <row r="3806" spans="3:4" hidden="1" outlineLevel="2" x14ac:dyDescent="0.3">
      <c r="C3806" t="s">
        <v>3295</v>
      </c>
    </row>
    <row r="3807" spans="3:4" hidden="1" outlineLevel="2" x14ac:dyDescent="0.3">
      <c r="C3807" t="s">
        <v>3296</v>
      </c>
    </row>
    <row r="3808" spans="3:4" hidden="1" outlineLevel="2" x14ac:dyDescent="0.3">
      <c r="C3808" t="s">
        <v>3297</v>
      </c>
    </row>
    <row r="3809" spans="2:3" hidden="1" outlineLevel="2" x14ac:dyDescent="0.3">
      <c r="C3809" t="s">
        <v>3298</v>
      </c>
    </row>
    <row r="3810" spans="2:3" hidden="1" outlineLevel="2" x14ac:dyDescent="0.3">
      <c r="C3810" t="s">
        <v>3299</v>
      </c>
    </row>
    <row r="3811" spans="2:3" hidden="1" outlineLevel="2" x14ac:dyDescent="0.3">
      <c r="C3811" t="s">
        <v>3300</v>
      </c>
    </row>
    <row r="3812" spans="2:3" hidden="1" outlineLevel="2" x14ac:dyDescent="0.3">
      <c r="C3812" t="s">
        <v>3301</v>
      </c>
    </row>
    <row r="3813" spans="2:3" hidden="1" outlineLevel="2" x14ac:dyDescent="0.3">
      <c r="C3813" t="s">
        <v>3302</v>
      </c>
    </row>
    <row r="3814" spans="2:3" hidden="1" outlineLevel="2" x14ac:dyDescent="0.3">
      <c r="C3814" t="s">
        <v>3303</v>
      </c>
    </row>
    <row r="3815" spans="2:3" hidden="1" outlineLevel="2" x14ac:dyDescent="0.3">
      <c r="C3815" t="s">
        <v>3304</v>
      </c>
    </row>
    <row r="3816" spans="2:3" hidden="1" outlineLevel="2" x14ac:dyDescent="0.3">
      <c r="C3816" t="s">
        <v>3305</v>
      </c>
    </row>
    <row r="3817" spans="2:3" hidden="1" outlineLevel="2" x14ac:dyDescent="0.3">
      <c r="C3817" t="s">
        <v>3306</v>
      </c>
    </row>
    <row r="3818" spans="2:3" hidden="1" outlineLevel="2" x14ac:dyDescent="0.3">
      <c r="C3818" t="s">
        <v>3307</v>
      </c>
    </row>
    <row r="3819" spans="2:3" hidden="1" outlineLevel="2" x14ac:dyDescent="0.3">
      <c r="C3819" t="s">
        <v>3308</v>
      </c>
    </row>
    <row r="3820" spans="2:3" hidden="1" outlineLevel="2" x14ac:dyDescent="0.3">
      <c r="C3820" t="s">
        <v>3309</v>
      </c>
    </row>
    <row r="3821" spans="2:3" hidden="1" outlineLevel="2" x14ac:dyDescent="0.3">
      <c r="C3821" t="s">
        <v>3310</v>
      </c>
    </row>
    <row r="3822" spans="2:3" hidden="1" outlineLevel="2" x14ac:dyDescent="0.3">
      <c r="C3822" t="s">
        <v>3311</v>
      </c>
    </row>
    <row r="3823" spans="2:3" hidden="1" outlineLevel="2" x14ac:dyDescent="0.3">
      <c r="C3823" t="s">
        <v>3312</v>
      </c>
    </row>
    <row r="3824" spans="2:3" outlineLevel="1" collapsed="1" x14ac:dyDescent="0.3">
      <c r="B3824" t="s">
        <v>1981</v>
      </c>
    </row>
    <row r="3825" spans="3:4" hidden="1" outlineLevel="2" x14ac:dyDescent="0.3">
      <c r="C3825" t="s">
        <v>3313</v>
      </c>
    </row>
    <row r="3826" spans="3:4" hidden="1" outlineLevel="2" x14ac:dyDescent="0.3">
      <c r="C3826" t="s">
        <v>3314</v>
      </c>
    </row>
    <row r="3827" spans="3:4" hidden="1" outlineLevel="2" x14ac:dyDescent="0.3">
      <c r="C3827" t="s">
        <v>3315</v>
      </c>
    </row>
    <row r="3828" spans="3:4" hidden="1" outlineLevel="2" x14ac:dyDescent="0.3">
      <c r="C3828" t="s">
        <v>3316</v>
      </c>
    </row>
    <row r="3829" spans="3:4" hidden="1" outlineLevel="2" x14ac:dyDescent="0.3">
      <c r="C3829" t="s">
        <v>3317</v>
      </c>
    </row>
    <row r="3830" spans="3:4" hidden="1" outlineLevel="2" x14ac:dyDescent="0.3">
      <c r="C3830" t="s">
        <v>3318</v>
      </c>
    </row>
    <row r="3831" spans="3:4" hidden="1" outlineLevel="2" x14ac:dyDescent="0.3">
      <c r="C3831" t="s">
        <v>3319</v>
      </c>
    </row>
    <row r="3832" spans="3:4" hidden="1" outlineLevel="2" x14ac:dyDescent="0.3">
      <c r="C3832" t="s">
        <v>3320</v>
      </c>
    </row>
    <row r="3833" spans="3:4" hidden="1" outlineLevel="2" x14ac:dyDescent="0.3">
      <c r="C3833" t="s">
        <v>3321</v>
      </c>
    </row>
    <row r="3834" spans="3:4" hidden="1" outlineLevel="2" x14ac:dyDescent="0.3">
      <c r="C3834" t="s">
        <v>3322</v>
      </c>
    </row>
    <row r="3835" spans="3:4" hidden="1" outlineLevel="2" x14ac:dyDescent="0.3">
      <c r="C3835" t="s">
        <v>3323</v>
      </c>
    </row>
    <row r="3836" spans="3:4" hidden="1" outlineLevel="2" x14ac:dyDescent="0.3">
      <c r="C3836" t="s">
        <v>3324</v>
      </c>
    </row>
    <row r="3837" spans="3:4" hidden="1" outlineLevel="2" x14ac:dyDescent="0.3">
      <c r="C3837" t="s">
        <v>3325</v>
      </c>
    </row>
    <row r="3838" spans="3:4" hidden="1" outlineLevel="2" x14ac:dyDescent="0.3">
      <c r="C3838" t="s">
        <v>3326</v>
      </c>
    </row>
    <row r="3839" spans="3:4" hidden="1" outlineLevel="3" x14ac:dyDescent="0.3">
      <c r="D3839" t="s">
        <v>3327</v>
      </c>
    </row>
    <row r="3840" spans="3:4" hidden="1" outlineLevel="3" x14ac:dyDescent="0.3">
      <c r="D3840" t="s">
        <v>3328</v>
      </c>
    </row>
    <row r="3841" spans="3:4" hidden="1" outlineLevel="3" x14ac:dyDescent="0.3">
      <c r="D3841" t="s">
        <v>3329</v>
      </c>
    </row>
    <row r="3842" spans="3:4" hidden="1" outlineLevel="2" x14ac:dyDescent="0.3">
      <c r="C3842" t="s">
        <v>3330</v>
      </c>
    </row>
    <row r="3843" spans="3:4" hidden="1" outlineLevel="2" x14ac:dyDescent="0.3">
      <c r="C3843" t="s">
        <v>3331</v>
      </c>
    </row>
    <row r="3844" spans="3:4" hidden="1" outlineLevel="3" x14ac:dyDescent="0.3">
      <c r="D3844" t="s">
        <v>3332</v>
      </c>
    </row>
    <row r="3845" spans="3:4" hidden="1" outlineLevel="3" x14ac:dyDescent="0.3">
      <c r="D3845" t="s">
        <v>3333</v>
      </c>
    </row>
    <row r="3846" spans="3:4" hidden="1" outlineLevel="3" x14ac:dyDescent="0.3">
      <c r="D3846" t="s">
        <v>3334</v>
      </c>
    </row>
    <row r="3847" spans="3:4" hidden="1" outlineLevel="2" x14ac:dyDescent="0.3">
      <c r="C3847" t="s">
        <v>3335</v>
      </c>
    </row>
    <row r="3848" spans="3:4" hidden="1" outlineLevel="2" x14ac:dyDescent="0.3">
      <c r="C3848" t="s">
        <v>3336</v>
      </c>
    </row>
    <row r="3849" spans="3:4" hidden="1" outlineLevel="2" x14ac:dyDescent="0.3">
      <c r="C3849" t="s">
        <v>3337</v>
      </c>
    </row>
    <row r="3850" spans="3:4" hidden="1" outlineLevel="2" x14ac:dyDescent="0.3">
      <c r="C3850" t="s">
        <v>3338</v>
      </c>
    </row>
    <row r="3851" spans="3:4" hidden="1" outlineLevel="2" x14ac:dyDescent="0.3">
      <c r="C3851" t="s">
        <v>3339</v>
      </c>
    </row>
    <row r="3852" spans="3:4" hidden="1" outlineLevel="2" x14ac:dyDescent="0.3">
      <c r="C3852" t="s">
        <v>3340</v>
      </c>
    </row>
    <row r="3853" spans="3:4" hidden="1" outlineLevel="2" x14ac:dyDescent="0.3">
      <c r="C3853" t="s">
        <v>3341</v>
      </c>
    </row>
    <row r="3854" spans="3:4" hidden="1" outlineLevel="3" x14ac:dyDescent="0.3">
      <c r="D3854" t="s">
        <v>3342</v>
      </c>
    </row>
    <row r="3855" spans="3:4" hidden="1" outlineLevel="3" x14ac:dyDescent="0.3">
      <c r="D3855" t="s">
        <v>3343</v>
      </c>
    </row>
    <row r="3856" spans="3:4" hidden="1" outlineLevel="3" x14ac:dyDescent="0.3">
      <c r="D3856" t="s">
        <v>3344</v>
      </c>
    </row>
    <row r="3857" spans="3:4" hidden="1" outlineLevel="3" x14ac:dyDescent="0.3">
      <c r="D3857" t="s">
        <v>3345</v>
      </c>
    </row>
    <row r="3858" spans="3:4" hidden="1" outlineLevel="2" x14ac:dyDescent="0.3">
      <c r="C3858" t="s">
        <v>3346</v>
      </c>
    </row>
    <row r="3859" spans="3:4" hidden="1" outlineLevel="3" x14ac:dyDescent="0.3">
      <c r="D3859" t="s">
        <v>3347</v>
      </c>
    </row>
    <row r="3860" spans="3:4" hidden="1" outlineLevel="3" x14ac:dyDescent="0.3">
      <c r="D3860" t="s">
        <v>3348</v>
      </c>
    </row>
    <row r="3861" spans="3:4" hidden="1" outlineLevel="3" x14ac:dyDescent="0.3">
      <c r="D3861" t="s">
        <v>3349</v>
      </c>
    </row>
    <row r="3862" spans="3:4" hidden="1" outlineLevel="2" x14ac:dyDescent="0.3">
      <c r="C3862" t="s">
        <v>3350</v>
      </c>
    </row>
    <row r="3863" spans="3:4" hidden="1" outlineLevel="3" x14ac:dyDescent="0.3">
      <c r="D3863" t="s">
        <v>3351</v>
      </c>
    </row>
    <row r="3864" spans="3:4" hidden="1" outlineLevel="3" x14ac:dyDescent="0.3">
      <c r="D3864" t="s">
        <v>3352</v>
      </c>
    </row>
    <row r="3865" spans="3:4" hidden="1" outlineLevel="3" x14ac:dyDescent="0.3">
      <c r="D3865" t="s">
        <v>3353</v>
      </c>
    </row>
    <row r="3866" spans="3:4" hidden="1" outlineLevel="3" x14ac:dyDescent="0.3">
      <c r="D3866" t="s">
        <v>3354</v>
      </c>
    </row>
    <row r="3867" spans="3:4" hidden="1" outlineLevel="2" x14ac:dyDescent="0.3">
      <c r="C3867" t="s">
        <v>3355</v>
      </c>
    </row>
    <row r="3868" spans="3:4" hidden="1" outlineLevel="3" x14ac:dyDescent="0.3">
      <c r="D3868" t="s">
        <v>3356</v>
      </c>
    </row>
    <row r="3869" spans="3:4" hidden="1" outlineLevel="3" x14ac:dyDescent="0.3">
      <c r="D3869" t="s">
        <v>3357</v>
      </c>
    </row>
    <row r="3870" spans="3:4" hidden="1" outlineLevel="3" x14ac:dyDescent="0.3">
      <c r="D3870" t="s">
        <v>3358</v>
      </c>
    </row>
    <row r="3871" spans="3:4" hidden="1" outlineLevel="3" x14ac:dyDescent="0.3">
      <c r="D3871" t="s">
        <v>3359</v>
      </c>
    </row>
    <row r="3872" spans="3:4" hidden="1" outlineLevel="3" x14ac:dyDescent="0.3">
      <c r="D3872" t="s">
        <v>3360</v>
      </c>
    </row>
    <row r="3873" spans="3:4" hidden="1" outlineLevel="2" x14ac:dyDescent="0.3">
      <c r="C3873" t="s">
        <v>3361</v>
      </c>
    </row>
    <row r="3874" spans="3:4" hidden="1" outlineLevel="3" x14ac:dyDescent="0.3">
      <c r="D3874" t="s">
        <v>3362</v>
      </c>
    </row>
    <row r="3875" spans="3:4" hidden="1" outlineLevel="3" x14ac:dyDescent="0.3">
      <c r="D3875" t="s">
        <v>3363</v>
      </c>
    </row>
    <row r="3876" spans="3:4" hidden="1" outlineLevel="3" x14ac:dyDescent="0.3">
      <c r="D3876" t="s">
        <v>3364</v>
      </c>
    </row>
    <row r="3877" spans="3:4" hidden="1" outlineLevel="3" x14ac:dyDescent="0.3">
      <c r="D3877" t="s">
        <v>3365</v>
      </c>
    </row>
    <row r="3878" spans="3:4" hidden="1" outlineLevel="2" x14ac:dyDescent="0.3">
      <c r="C3878" t="s">
        <v>3366</v>
      </c>
    </row>
    <row r="3879" spans="3:4" hidden="1" outlineLevel="2" x14ac:dyDescent="0.3">
      <c r="C3879" t="s">
        <v>3367</v>
      </c>
    </row>
    <row r="3880" spans="3:4" hidden="1" outlineLevel="2" x14ac:dyDescent="0.3">
      <c r="C3880" t="s">
        <v>3368</v>
      </c>
    </row>
    <row r="3881" spans="3:4" hidden="1" outlineLevel="2" x14ac:dyDescent="0.3">
      <c r="C3881" t="s">
        <v>3369</v>
      </c>
    </row>
    <row r="3882" spans="3:4" hidden="1" outlineLevel="2" x14ac:dyDescent="0.3">
      <c r="C3882" t="s">
        <v>3370</v>
      </c>
    </row>
    <row r="3883" spans="3:4" hidden="1" outlineLevel="2" x14ac:dyDescent="0.3">
      <c r="C3883" t="s">
        <v>3371</v>
      </c>
    </row>
    <row r="3884" spans="3:4" hidden="1" outlineLevel="2" x14ac:dyDescent="0.3">
      <c r="C3884" t="s">
        <v>3372</v>
      </c>
    </row>
    <row r="3885" spans="3:4" hidden="1" outlineLevel="2" x14ac:dyDescent="0.3">
      <c r="C3885" t="s">
        <v>3373</v>
      </c>
    </row>
    <row r="3886" spans="3:4" hidden="1" outlineLevel="2" x14ac:dyDescent="0.3">
      <c r="C3886" t="s">
        <v>3374</v>
      </c>
    </row>
    <row r="3887" spans="3:4" hidden="1" outlineLevel="2" x14ac:dyDescent="0.3">
      <c r="C3887" t="s">
        <v>3375</v>
      </c>
    </row>
    <row r="3888" spans="3:4" hidden="1" outlineLevel="2" x14ac:dyDescent="0.3">
      <c r="C3888" t="s">
        <v>3376</v>
      </c>
    </row>
    <row r="3889" spans="2:4" hidden="1" outlineLevel="2" x14ac:dyDescent="0.3">
      <c r="C3889" t="s">
        <v>3377</v>
      </c>
    </row>
    <row r="3890" spans="2:4" hidden="1" outlineLevel="2" x14ac:dyDescent="0.3">
      <c r="C3890" t="s">
        <v>3378</v>
      </c>
    </row>
    <row r="3891" spans="2:4" hidden="1" outlineLevel="2" x14ac:dyDescent="0.3">
      <c r="C3891" t="s">
        <v>3379</v>
      </c>
    </row>
    <row r="3892" spans="2:4" hidden="1" outlineLevel="2" x14ac:dyDescent="0.3">
      <c r="C3892" t="s">
        <v>3380</v>
      </c>
    </row>
    <row r="3893" spans="2:4" hidden="1" outlineLevel="2" x14ac:dyDescent="0.3">
      <c r="C3893" t="s">
        <v>3381</v>
      </c>
    </row>
    <row r="3894" spans="2:4" outlineLevel="1" collapsed="1" x14ac:dyDescent="0.3">
      <c r="B3894" t="s">
        <v>2058</v>
      </c>
    </row>
    <row r="3895" spans="2:4" hidden="1" outlineLevel="2" x14ac:dyDescent="0.3">
      <c r="C3895" t="s">
        <v>2059</v>
      </c>
    </row>
    <row r="3896" spans="2:4" hidden="1" outlineLevel="3" x14ac:dyDescent="0.3">
      <c r="D3896" t="s">
        <v>3382</v>
      </c>
    </row>
    <row r="3897" spans="2:4" hidden="1" outlineLevel="3" x14ac:dyDescent="0.3">
      <c r="D3897" t="s">
        <v>3383</v>
      </c>
    </row>
    <row r="3898" spans="2:4" hidden="1" outlineLevel="3" x14ac:dyDescent="0.3">
      <c r="D3898" t="s">
        <v>3384</v>
      </c>
    </row>
    <row r="3899" spans="2:4" hidden="1" outlineLevel="3" x14ac:dyDescent="0.3">
      <c r="D3899" t="s">
        <v>3385</v>
      </c>
    </row>
    <row r="3900" spans="2:4" hidden="1" outlineLevel="3" x14ac:dyDescent="0.3">
      <c r="D3900" t="s">
        <v>3386</v>
      </c>
    </row>
    <row r="3901" spans="2:4" hidden="1" outlineLevel="3" x14ac:dyDescent="0.3">
      <c r="D3901" t="s">
        <v>3387</v>
      </c>
    </row>
    <row r="3902" spans="2:4" hidden="1" outlineLevel="3" x14ac:dyDescent="0.3">
      <c r="D3902" t="s">
        <v>3388</v>
      </c>
    </row>
    <row r="3903" spans="2:4" hidden="1" outlineLevel="3" x14ac:dyDescent="0.3">
      <c r="D3903" t="s">
        <v>3389</v>
      </c>
    </row>
    <row r="3904" spans="2:4" hidden="1" outlineLevel="3" x14ac:dyDescent="0.3">
      <c r="D3904" t="s">
        <v>3390</v>
      </c>
    </row>
    <row r="3905" spans="4:5" hidden="1" outlineLevel="3" x14ac:dyDescent="0.3">
      <c r="D3905" t="s">
        <v>3391</v>
      </c>
    </row>
    <row r="3906" spans="4:5" hidden="1" outlineLevel="3" x14ac:dyDescent="0.3">
      <c r="D3906" t="s">
        <v>3392</v>
      </c>
    </row>
    <row r="3907" spans="4:5" hidden="1" outlineLevel="3" x14ac:dyDescent="0.3">
      <c r="D3907" t="s">
        <v>3393</v>
      </c>
    </row>
    <row r="3908" spans="4:5" hidden="1" outlineLevel="3" x14ac:dyDescent="0.3">
      <c r="D3908" t="s">
        <v>3394</v>
      </c>
    </row>
    <row r="3909" spans="4:5" hidden="1" outlineLevel="3" x14ac:dyDescent="0.3">
      <c r="D3909" t="s">
        <v>3395</v>
      </c>
    </row>
    <row r="3910" spans="4:5" hidden="1" outlineLevel="3" x14ac:dyDescent="0.3">
      <c r="D3910" t="s">
        <v>3396</v>
      </c>
    </row>
    <row r="3911" spans="4:5" hidden="1" outlineLevel="4" x14ac:dyDescent="0.3">
      <c r="E3911" t="s">
        <v>3397</v>
      </c>
    </row>
    <row r="3912" spans="4:5" hidden="1" outlineLevel="4" x14ac:dyDescent="0.3">
      <c r="E3912" t="s">
        <v>3398</v>
      </c>
    </row>
    <row r="3913" spans="4:5" hidden="1" outlineLevel="4" x14ac:dyDescent="0.3">
      <c r="E3913" t="s">
        <v>3399</v>
      </c>
    </row>
    <row r="3914" spans="4:5" hidden="1" outlineLevel="4" x14ac:dyDescent="0.3">
      <c r="E3914" t="s">
        <v>3400</v>
      </c>
    </row>
    <row r="3915" spans="4:5" hidden="1" outlineLevel="4" x14ac:dyDescent="0.3">
      <c r="E3915" t="s">
        <v>3401</v>
      </c>
    </row>
    <row r="3916" spans="4:5" hidden="1" outlineLevel="4" x14ac:dyDescent="0.3">
      <c r="E3916" t="s">
        <v>3402</v>
      </c>
    </row>
    <row r="3917" spans="4:5" hidden="1" outlineLevel="4" x14ac:dyDescent="0.3">
      <c r="E3917" t="s">
        <v>3403</v>
      </c>
    </row>
    <row r="3918" spans="4:5" hidden="1" outlineLevel="4" x14ac:dyDescent="0.3">
      <c r="E3918" t="s">
        <v>3404</v>
      </c>
    </row>
    <row r="3919" spans="4:5" hidden="1" outlineLevel="4" x14ac:dyDescent="0.3">
      <c r="E3919" t="s">
        <v>3405</v>
      </c>
    </row>
    <row r="3920" spans="4:5" hidden="1" outlineLevel="4" x14ac:dyDescent="0.3">
      <c r="E3920" t="s">
        <v>3406</v>
      </c>
    </row>
    <row r="3921" spans="4:4" hidden="1" outlineLevel="3" x14ac:dyDescent="0.3">
      <c r="D3921" t="s">
        <v>3407</v>
      </c>
    </row>
    <row r="3922" spans="4:4" hidden="1" outlineLevel="3" x14ac:dyDescent="0.3">
      <c r="D3922" t="s">
        <v>3408</v>
      </c>
    </row>
    <row r="3923" spans="4:4" hidden="1" outlineLevel="3" x14ac:dyDescent="0.3">
      <c r="D3923" t="s">
        <v>3409</v>
      </c>
    </row>
    <row r="3924" spans="4:4" hidden="1" outlineLevel="3" x14ac:dyDescent="0.3">
      <c r="D3924" t="s">
        <v>3410</v>
      </c>
    </row>
    <row r="3925" spans="4:4" hidden="1" outlineLevel="3" x14ac:dyDescent="0.3">
      <c r="D3925" t="s">
        <v>3411</v>
      </c>
    </row>
    <row r="3926" spans="4:4" hidden="1" outlineLevel="3" x14ac:dyDescent="0.3">
      <c r="D3926" t="s">
        <v>3412</v>
      </c>
    </row>
    <row r="3927" spans="4:4" hidden="1" outlineLevel="3" x14ac:dyDescent="0.3">
      <c r="D3927" t="s">
        <v>3413</v>
      </c>
    </row>
    <row r="3928" spans="4:4" hidden="1" outlineLevel="3" x14ac:dyDescent="0.3">
      <c r="D3928" t="s">
        <v>3414</v>
      </c>
    </row>
    <row r="3929" spans="4:4" hidden="1" outlineLevel="3" x14ac:dyDescent="0.3">
      <c r="D3929" t="s">
        <v>3415</v>
      </c>
    </row>
    <row r="3930" spans="4:4" hidden="1" outlineLevel="3" x14ac:dyDescent="0.3">
      <c r="D3930" t="s">
        <v>3416</v>
      </c>
    </row>
    <row r="3931" spans="4:4" hidden="1" outlineLevel="3" x14ac:dyDescent="0.3">
      <c r="D3931" t="s">
        <v>3417</v>
      </c>
    </row>
    <row r="3932" spans="4:4" hidden="1" outlineLevel="3" x14ac:dyDescent="0.3">
      <c r="D3932" t="s">
        <v>3418</v>
      </c>
    </row>
    <row r="3933" spans="4:4" hidden="1" outlineLevel="3" x14ac:dyDescent="0.3">
      <c r="D3933" t="s">
        <v>3419</v>
      </c>
    </row>
    <row r="3934" spans="4:4" hidden="1" outlineLevel="3" x14ac:dyDescent="0.3">
      <c r="D3934" t="s">
        <v>3420</v>
      </c>
    </row>
    <row r="3935" spans="4:4" hidden="1" outlineLevel="3" x14ac:dyDescent="0.3">
      <c r="D3935" t="s">
        <v>3421</v>
      </c>
    </row>
    <row r="3936" spans="4:4" hidden="1" outlineLevel="3" x14ac:dyDescent="0.3">
      <c r="D3936" t="s">
        <v>3422</v>
      </c>
    </row>
    <row r="3937" spans="3:4" hidden="1" outlineLevel="2" x14ac:dyDescent="0.3">
      <c r="C3937" t="s">
        <v>2085</v>
      </c>
    </row>
    <row r="3938" spans="3:4" hidden="1" outlineLevel="3" x14ac:dyDescent="0.3">
      <c r="D3938" t="s">
        <v>3423</v>
      </c>
    </row>
    <row r="3939" spans="3:4" hidden="1" outlineLevel="3" x14ac:dyDescent="0.3">
      <c r="D3939" t="s">
        <v>3424</v>
      </c>
    </row>
    <row r="3940" spans="3:4" hidden="1" outlineLevel="3" x14ac:dyDescent="0.3">
      <c r="D3940" t="s">
        <v>3425</v>
      </c>
    </row>
    <row r="3941" spans="3:4" hidden="1" outlineLevel="3" x14ac:dyDescent="0.3">
      <c r="D3941" t="s">
        <v>3426</v>
      </c>
    </row>
    <row r="3942" spans="3:4" hidden="1" outlineLevel="3" x14ac:dyDescent="0.3">
      <c r="D3942" t="s">
        <v>3427</v>
      </c>
    </row>
    <row r="3943" spans="3:4" hidden="1" outlineLevel="3" x14ac:dyDescent="0.3">
      <c r="D3943" t="s">
        <v>3428</v>
      </c>
    </row>
    <row r="3944" spans="3:4" hidden="1" outlineLevel="3" x14ac:dyDescent="0.3">
      <c r="D3944" t="s">
        <v>3429</v>
      </c>
    </row>
    <row r="3945" spans="3:4" hidden="1" outlineLevel="3" x14ac:dyDescent="0.3">
      <c r="D3945" t="s">
        <v>3430</v>
      </c>
    </row>
    <row r="3946" spans="3:4" hidden="1" outlineLevel="3" x14ac:dyDescent="0.3">
      <c r="D3946" t="s">
        <v>3431</v>
      </c>
    </row>
    <row r="3947" spans="3:4" hidden="1" outlineLevel="3" x14ac:dyDescent="0.3">
      <c r="D3947" t="s">
        <v>3432</v>
      </c>
    </row>
    <row r="3948" spans="3:4" hidden="1" outlineLevel="3" x14ac:dyDescent="0.3">
      <c r="D3948" t="s">
        <v>3433</v>
      </c>
    </row>
    <row r="3949" spans="3:4" hidden="1" outlineLevel="3" x14ac:dyDescent="0.3">
      <c r="D3949" t="s">
        <v>3434</v>
      </c>
    </row>
    <row r="3950" spans="3:4" hidden="1" outlineLevel="3" x14ac:dyDescent="0.3">
      <c r="D3950" t="s">
        <v>3435</v>
      </c>
    </row>
    <row r="3951" spans="3:4" hidden="1" outlineLevel="3" x14ac:dyDescent="0.3">
      <c r="D3951" t="s">
        <v>3436</v>
      </c>
    </row>
    <row r="3952" spans="3:4" hidden="1" outlineLevel="3" x14ac:dyDescent="0.3">
      <c r="D3952" t="s">
        <v>3437</v>
      </c>
    </row>
    <row r="3953" spans="3:4" hidden="1" outlineLevel="3" x14ac:dyDescent="0.3">
      <c r="D3953" t="s">
        <v>3438</v>
      </c>
    </row>
    <row r="3954" spans="3:4" hidden="1" outlineLevel="3" x14ac:dyDescent="0.3">
      <c r="D3954" t="s">
        <v>3439</v>
      </c>
    </row>
    <row r="3955" spans="3:4" hidden="1" outlineLevel="3" x14ac:dyDescent="0.3">
      <c r="D3955" t="s">
        <v>3440</v>
      </c>
    </row>
    <row r="3956" spans="3:4" hidden="1" outlineLevel="3" x14ac:dyDescent="0.3">
      <c r="D3956" t="s">
        <v>3441</v>
      </c>
    </row>
    <row r="3957" spans="3:4" hidden="1" outlineLevel="3" x14ac:dyDescent="0.3">
      <c r="D3957" t="s">
        <v>3442</v>
      </c>
    </row>
    <row r="3958" spans="3:4" hidden="1" outlineLevel="3" x14ac:dyDescent="0.3">
      <c r="D3958" t="s">
        <v>3443</v>
      </c>
    </row>
    <row r="3959" spans="3:4" hidden="1" outlineLevel="3" x14ac:dyDescent="0.3">
      <c r="D3959" t="s">
        <v>3444</v>
      </c>
    </row>
    <row r="3960" spans="3:4" hidden="1" outlineLevel="3" x14ac:dyDescent="0.3">
      <c r="D3960" t="s">
        <v>3445</v>
      </c>
    </row>
    <row r="3961" spans="3:4" hidden="1" outlineLevel="3" x14ac:dyDescent="0.3">
      <c r="D3961" t="s">
        <v>3446</v>
      </c>
    </row>
    <row r="3962" spans="3:4" hidden="1" outlineLevel="3" x14ac:dyDescent="0.3">
      <c r="D3962" t="s">
        <v>3447</v>
      </c>
    </row>
    <row r="3963" spans="3:4" hidden="1" outlineLevel="3" x14ac:dyDescent="0.3">
      <c r="D3963" t="s">
        <v>3448</v>
      </c>
    </row>
    <row r="3964" spans="3:4" hidden="1" outlineLevel="3" x14ac:dyDescent="0.3">
      <c r="D3964" t="s">
        <v>3449</v>
      </c>
    </row>
    <row r="3965" spans="3:4" hidden="1" outlineLevel="3" x14ac:dyDescent="0.3">
      <c r="D3965" t="s">
        <v>3450</v>
      </c>
    </row>
    <row r="3966" spans="3:4" hidden="1" outlineLevel="3" x14ac:dyDescent="0.3">
      <c r="D3966" t="s">
        <v>3451</v>
      </c>
    </row>
    <row r="3967" spans="3:4" hidden="1" outlineLevel="3" x14ac:dyDescent="0.3">
      <c r="D3967" t="s">
        <v>3452</v>
      </c>
    </row>
    <row r="3968" spans="3:4" hidden="1" outlineLevel="2" x14ac:dyDescent="0.3">
      <c r="C3968" t="s">
        <v>2117</v>
      </c>
    </row>
    <row r="3969" spans="1:3" hidden="1" outlineLevel="2" x14ac:dyDescent="0.3">
      <c r="C3969" t="s">
        <v>2118</v>
      </c>
    </row>
    <row r="3970" spans="1:3" outlineLevel="1" collapsed="1" x14ac:dyDescent="0.3">
      <c r="B3970" t="s">
        <v>2119</v>
      </c>
    </row>
    <row r="3971" spans="1:3" outlineLevel="1" x14ac:dyDescent="0.3">
      <c r="B3971" t="s">
        <v>2120</v>
      </c>
    </row>
    <row r="3972" spans="1:3" outlineLevel="1" x14ac:dyDescent="0.3">
      <c r="B3972" t="s">
        <v>2121</v>
      </c>
    </row>
    <row r="3973" spans="1:3" outlineLevel="1" x14ac:dyDescent="0.3">
      <c r="B3973" t="s">
        <v>2122</v>
      </c>
    </row>
    <row r="3974" spans="1:3" outlineLevel="1" x14ac:dyDescent="0.3">
      <c r="B3974" t="s">
        <v>2123</v>
      </c>
    </row>
    <row r="3975" spans="1:3" outlineLevel="1" x14ac:dyDescent="0.3">
      <c r="B3975" t="s">
        <v>2124</v>
      </c>
    </row>
    <row r="3976" spans="1:3" outlineLevel="1" x14ac:dyDescent="0.3">
      <c r="B3976" t="s">
        <v>2125</v>
      </c>
    </row>
    <row r="3977" spans="1:3" outlineLevel="1" x14ac:dyDescent="0.3">
      <c r="B3977" t="s">
        <v>2126</v>
      </c>
    </row>
    <row r="3978" spans="1:3" x14ac:dyDescent="0.3">
      <c r="A3978" t="s">
        <v>2127</v>
      </c>
    </row>
    <row r="3979" spans="1:3" outlineLevel="1" x14ac:dyDescent="0.3">
      <c r="B3979" t="s">
        <v>2128</v>
      </c>
    </row>
    <row r="3980" spans="1:3" hidden="1" outlineLevel="2" x14ac:dyDescent="0.3">
      <c r="C3980" t="s">
        <v>3453</v>
      </c>
    </row>
    <row r="3981" spans="1:3" hidden="1" outlineLevel="2" x14ac:dyDescent="0.3">
      <c r="C3981" t="s">
        <v>3454</v>
      </c>
    </row>
    <row r="3982" spans="1:3" hidden="1" outlineLevel="2" x14ac:dyDescent="0.3">
      <c r="C3982" t="s">
        <v>3455</v>
      </c>
    </row>
    <row r="3983" spans="1:3" hidden="1" outlineLevel="2" x14ac:dyDescent="0.3">
      <c r="C3983" t="s">
        <v>3456</v>
      </c>
    </row>
    <row r="3984" spans="1:3" hidden="1" outlineLevel="2" x14ac:dyDescent="0.3">
      <c r="C3984" t="s">
        <v>3457</v>
      </c>
    </row>
    <row r="3985" spans="3:4" hidden="1" outlineLevel="2" x14ac:dyDescent="0.3">
      <c r="C3985" t="s">
        <v>3458</v>
      </c>
    </row>
    <row r="3986" spans="3:4" hidden="1" outlineLevel="2" x14ac:dyDescent="0.3">
      <c r="C3986" t="s">
        <v>3459</v>
      </c>
    </row>
    <row r="3987" spans="3:4" hidden="1" outlineLevel="2" x14ac:dyDescent="0.3">
      <c r="C3987" t="s">
        <v>3460</v>
      </c>
    </row>
    <row r="3988" spans="3:4" hidden="1" outlineLevel="2" x14ac:dyDescent="0.3">
      <c r="C3988" t="s">
        <v>3461</v>
      </c>
    </row>
    <row r="3989" spans="3:4" hidden="1" outlineLevel="2" x14ac:dyDescent="0.3">
      <c r="C3989" t="s">
        <v>3462</v>
      </c>
    </row>
    <row r="3990" spans="3:4" hidden="1" outlineLevel="2" x14ac:dyDescent="0.3">
      <c r="C3990" t="s">
        <v>3463</v>
      </c>
    </row>
    <row r="3991" spans="3:4" hidden="1" outlineLevel="3" x14ac:dyDescent="0.3">
      <c r="D3991" t="s">
        <v>3464</v>
      </c>
    </row>
    <row r="3992" spans="3:4" hidden="1" outlineLevel="3" x14ac:dyDescent="0.3">
      <c r="D3992" t="s">
        <v>3465</v>
      </c>
    </row>
    <row r="3993" spans="3:4" hidden="1" outlineLevel="3" x14ac:dyDescent="0.3">
      <c r="D3993" t="s">
        <v>3466</v>
      </c>
    </row>
    <row r="3994" spans="3:4" hidden="1" outlineLevel="3" x14ac:dyDescent="0.3">
      <c r="D3994" t="s">
        <v>3467</v>
      </c>
    </row>
    <row r="3995" spans="3:4" hidden="1" outlineLevel="3" x14ac:dyDescent="0.3">
      <c r="D3995" t="s">
        <v>3468</v>
      </c>
    </row>
    <row r="3996" spans="3:4" hidden="1" outlineLevel="3" x14ac:dyDescent="0.3">
      <c r="D3996" t="s">
        <v>3469</v>
      </c>
    </row>
    <row r="3997" spans="3:4" hidden="1" outlineLevel="3" x14ac:dyDescent="0.3">
      <c r="D3997" t="s">
        <v>3470</v>
      </c>
    </row>
    <row r="3998" spans="3:4" hidden="1" outlineLevel="3" x14ac:dyDescent="0.3">
      <c r="D3998" t="s">
        <v>3471</v>
      </c>
    </row>
    <row r="3999" spans="3:4" hidden="1" outlineLevel="3" x14ac:dyDescent="0.3">
      <c r="D3999" t="s">
        <v>3472</v>
      </c>
    </row>
    <row r="4000" spans="3:4" hidden="1" outlineLevel="3" x14ac:dyDescent="0.3">
      <c r="D4000" t="s">
        <v>3473</v>
      </c>
    </row>
    <row r="4001" spans="3:4" hidden="1" outlineLevel="3" x14ac:dyDescent="0.3">
      <c r="D4001" t="s">
        <v>3474</v>
      </c>
    </row>
    <row r="4002" spans="3:4" hidden="1" outlineLevel="3" x14ac:dyDescent="0.3">
      <c r="D4002" t="s">
        <v>3475</v>
      </c>
    </row>
    <row r="4003" spans="3:4" hidden="1" outlineLevel="3" x14ac:dyDescent="0.3">
      <c r="D4003" t="s">
        <v>3476</v>
      </c>
    </row>
    <row r="4004" spans="3:4" hidden="1" outlineLevel="3" x14ac:dyDescent="0.3">
      <c r="D4004" t="s">
        <v>3477</v>
      </c>
    </row>
    <row r="4005" spans="3:4" hidden="1" outlineLevel="3" x14ac:dyDescent="0.3">
      <c r="D4005" t="s">
        <v>3478</v>
      </c>
    </row>
    <row r="4006" spans="3:4" hidden="1" outlineLevel="2" x14ac:dyDescent="0.3">
      <c r="C4006" t="s">
        <v>3479</v>
      </c>
    </row>
    <row r="4007" spans="3:4" hidden="1" outlineLevel="2" x14ac:dyDescent="0.3">
      <c r="C4007" t="s">
        <v>3480</v>
      </c>
    </row>
    <row r="4008" spans="3:4" hidden="1" outlineLevel="2" x14ac:dyDescent="0.3">
      <c r="C4008" t="s">
        <v>3481</v>
      </c>
    </row>
    <row r="4009" spans="3:4" hidden="1" outlineLevel="2" x14ac:dyDescent="0.3">
      <c r="C4009" t="s">
        <v>3482</v>
      </c>
    </row>
    <row r="4010" spans="3:4" hidden="1" outlineLevel="2" x14ac:dyDescent="0.3">
      <c r="C4010" t="s">
        <v>3483</v>
      </c>
    </row>
    <row r="4011" spans="3:4" hidden="1" outlineLevel="2" x14ac:dyDescent="0.3">
      <c r="C4011" t="s">
        <v>3484</v>
      </c>
    </row>
    <row r="4012" spans="3:4" hidden="1" outlineLevel="2" x14ac:dyDescent="0.3">
      <c r="C4012" t="s">
        <v>3485</v>
      </c>
    </row>
    <row r="4013" spans="3:4" hidden="1" outlineLevel="2" x14ac:dyDescent="0.3">
      <c r="C4013" t="s">
        <v>3486</v>
      </c>
    </row>
    <row r="4014" spans="3:4" hidden="1" outlineLevel="2" x14ac:dyDescent="0.3">
      <c r="C4014" t="s">
        <v>3487</v>
      </c>
    </row>
    <row r="4015" spans="3:4" hidden="1" outlineLevel="2" x14ac:dyDescent="0.3">
      <c r="C4015" t="s">
        <v>3488</v>
      </c>
    </row>
    <row r="4016" spans="3:4" hidden="1" outlineLevel="2" x14ac:dyDescent="0.3">
      <c r="C4016" t="s">
        <v>3489</v>
      </c>
    </row>
    <row r="4017" spans="2:3" hidden="1" outlineLevel="2" x14ac:dyDescent="0.3">
      <c r="C4017" t="s">
        <v>3490</v>
      </c>
    </row>
    <row r="4018" spans="2:3" hidden="1" outlineLevel="2" x14ac:dyDescent="0.3">
      <c r="C4018" t="s">
        <v>3491</v>
      </c>
    </row>
    <row r="4019" spans="2:3" hidden="1" outlineLevel="2" x14ac:dyDescent="0.3">
      <c r="C4019" t="s">
        <v>3492</v>
      </c>
    </row>
    <row r="4020" spans="2:3" hidden="1" outlineLevel="2" x14ac:dyDescent="0.3">
      <c r="C4020" t="s">
        <v>2194</v>
      </c>
    </row>
    <row r="4021" spans="2:3" outlineLevel="1" collapsed="1" x14ac:dyDescent="0.3">
      <c r="B4021" t="s">
        <v>2195</v>
      </c>
    </row>
    <row r="4022" spans="2:3" hidden="1" outlineLevel="2" x14ac:dyDescent="0.3">
      <c r="C4022" t="s">
        <v>3493</v>
      </c>
    </row>
    <row r="4023" spans="2:3" hidden="1" outlineLevel="2" x14ac:dyDescent="0.3">
      <c r="C4023" t="s">
        <v>3494</v>
      </c>
    </row>
    <row r="4024" spans="2:3" hidden="1" outlineLevel="2" x14ac:dyDescent="0.3">
      <c r="C4024" t="s">
        <v>3495</v>
      </c>
    </row>
    <row r="4025" spans="2:3" hidden="1" outlineLevel="2" x14ac:dyDescent="0.3">
      <c r="C4025" t="s">
        <v>3496</v>
      </c>
    </row>
    <row r="4026" spans="2:3" hidden="1" outlineLevel="2" x14ac:dyDescent="0.3">
      <c r="C4026" t="s">
        <v>3497</v>
      </c>
    </row>
    <row r="4027" spans="2:3" hidden="1" outlineLevel="2" x14ac:dyDescent="0.3">
      <c r="C4027" t="s">
        <v>3498</v>
      </c>
    </row>
    <row r="4028" spans="2:3" hidden="1" outlineLevel="2" x14ac:dyDescent="0.3">
      <c r="C4028" t="s">
        <v>3499</v>
      </c>
    </row>
    <row r="4029" spans="2:3" hidden="1" outlineLevel="2" x14ac:dyDescent="0.3">
      <c r="C4029" t="s">
        <v>3500</v>
      </c>
    </row>
    <row r="4030" spans="2:3" hidden="1" outlineLevel="2" x14ac:dyDescent="0.3">
      <c r="C4030" t="s">
        <v>3501</v>
      </c>
    </row>
    <row r="4031" spans="2:3" hidden="1" outlineLevel="2" x14ac:dyDescent="0.3">
      <c r="C4031" t="s">
        <v>3502</v>
      </c>
    </row>
    <row r="4032" spans="2:3" hidden="1" outlineLevel="2" x14ac:dyDescent="0.3">
      <c r="C4032" t="s">
        <v>3503</v>
      </c>
    </row>
    <row r="4033" spans="3:4" hidden="1" outlineLevel="3" x14ac:dyDescent="0.3">
      <c r="D4033" t="s">
        <v>3504</v>
      </c>
    </row>
    <row r="4034" spans="3:4" hidden="1" outlineLevel="3" x14ac:dyDescent="0.3">
      <c r="D4034" t="s">
        <v>3505</v>
      </c>
    </row>
    <row r="4035" spans="3:4" hidden="1" outlineLevel="3" x14ac:dyDescent="0.3">
      <c r="D4035" t="s">
        <v>3506</v>
      </c>
    </row>
    <row r="4036" spans="3:4" hidden="1" outlineLevel="3" x14ac:dyDescent="0.3">
      <c r="D4036" t="s">
        <v>3507</v>
      </c>
    </row>
    <row r="4037" spans="3:4" hidden="1" outlineLevel="3" x14ac:dyDescent="0.3">
      <c r="D4037" t="s">
        <v>3508</v>
      </c>
    </row>
    <row r="4038" spans="3:4" hidden="1" outlineLevel="3" x14ac:dyDescent="0.3">
      <c r="D4038" t="s">
        <v>3509</v>
      </c>
    </row>
    <row r="4039" spans="3:4" hidden="1" outlineLevel="3" x14ac:dyDescent="0.3">
      <c r="D4039" t="s">
        <v>3510</v>
      </c>
    </row>
    <row r="4040" spans="3:4" hidden="1" outlineLevel="3" x14ac:dyDescent="0.3">
      <c r="D4040" t="s">
        <v>3511</v>
      </c>
    </row>
    <row r="4041" spans="3:4" hidden="1" outlineLevel="3" x14ac:dyDescent="0.3">
      <c r="D4041" t="s">
        <v>3512</v>
      </c>
    </row>
    <row r="4042" spans="3:4" hidden="1" outlineLevel="3" x14ac:dyDescent="0.3">
      <c r="D4042" t="s">
        <v>3513</v>
      </c>
    </row>
    <row r="4043" spans="3:4" hidden="1" outlineLevel="3" x14ac:dyDescent="0.3">
      <c r="D4043" t="s">
        <v>3514</v>
      </c>
    </row>
    <row r="4044" spans="3:4" hidden="1" outlineLevel="3" x14ac:dyDescent="0.3">
      <c r="D4044" t="s">
        <v>3515</v>
      </c>
    </row>
    <row r="4045" spans="3:4" hidden="1" outlineLevel="3" x14ac:dyDescent="0.3">
      <c r="D4045" t="s">
        <v>3516</v>
      </c>
    </row>
    <row r="4046" spans="3:4" hidden="1" outlineLevel="3" x14ac:dyDescent="0.3">
      <c r="D4046" t="s">
        <v>3517</v>
      </c>
    </row>
    <row r="4047" spans="3:4" hidden="1" outlineLevel="3" x14ac:dyDescent="0.3">
      <c r="D4047" t="s">
        <v>3518</v>
      </c>
    </row>
    <row r="4048" spans="3:4" hidden="1" outlineLevel="2" x14ac:dyDescent="0.3">
      <c r="C4048" t="s">
        <v>3519</v>
      </c>
    </row>
    <row r="4049" spans="2:3" hidden="1" outlineLevel="2" x14ac:dyDescent="0.3">
      <c r="C4049" t="s">
        <v>3520</v>
      </c>
    </row>
    <row r="4050" spans="2:3" hidden="1" outlineLevel="2" x14ac:dyDescent="0.3">
      <c r="C4050" t="s">
        <v>3521</v>
      </c>
    </row>
    <row r="4051" spans="2:3" hidden="1" outlineLevel="2" x14ac:dyDescent="0.3">
      <c r="C4051" t="s">
        <v>3522</v>
      </c>
    </row>
    <row r="4052" spans="2:3" hidden="1" outlineLevel="2" x14ac:dyDescent="0.3">
      <c r="C4052" t="s">
        <v>3523</v>
      </c>
    </row>
    <row r="4053" spans="2:3" hidden="1" outlineLevel="2" x14ac:dyDescent="0.3">
      <c r="C4053" t="s">
        <v>3524</v>
      </c>
    </row>
    <row r="4054" spans="2:3" hidden="1" outlineLevel="2" x14ac:dyDescent="0.3">
      <c r="C4054" t="s">
        <v>3525</v>
      </c>
    </row>
    <row r="4055" spans="2:3" hidden="1" outlineLevel="2" x14ac:dyDescent="0.3">
      <c r="C4055" t="s">
        <v>3526</v>
      </c>
    </row>
    <row r="4056" spans="2:3" hidden="1" outlineLevel="2" x14ac:dyDescent="0.3">
      <c r="C4056" t="s">
        <v>3527</v>
      </c>
    </row>
    <row r="4057" spans="2:3" hidden="1" outlineLevel="2" x14ac:dyDescent="0.3">
      <c r="C4057" t="s">
        <v>3528</v>
      </c>
    </row>
    <row r="4058" spans="2:3" hidden="1" outlineLevel="2" x14ac:dyDescent="0.3">
      <c r="C4058" t="s">
        <v>3529</v>
      </c>
    </row>
    <row r="4059" spans="2:3" hidden="1" outlineLevel="2" x14ac:dyDescent="0.3">
      <c r="C4059" t="s">
        <v>3530</v>
      </c>
    </row>
    <row r="4060" spans="2:3" hidden="1" outlineLevel="2" x14ac:dyDescent="0.3">
      <c r="C4060" t="s">
        <v>3531</v>
      </c>
    </row>
    <row r="4061" spans="2:3" hidden="1" outlineLevel="2" x14ac:dyDescent="0.3">
      <c r="C4061" t="s">
        <v>3532</v>
      </c>
    </row>
    <row r="4062" spans="2:3" hidden="1" outlineLevel="2" x14ac:dyDescent="0.3">
      <c r="C4062" t="s">
        <v>2263</v>
      </c>
    </row>
    <row r="4063" spans="2:3" outlineLevel="1" collapsed="1" x14ac:dyDescent="0.3">
      <c r="B4063" t="s">
        <v>2264</v>
      </c>
    </row>
    <row r="4064" spans="2:3" outlineLevel="1" x14ac:dyDescent="0.3">
      <c r="B4064" t="s">
        <v>2265</v>
      </c>
    </row>
    <row r="4065" spans="1:4" outlineLevel="1" x14ac:dyDescent="0.3">
      <c r="B4065" t="s">
        <v>2266</v>
      </c>
    </row>
    <row r="4066" spans="1:4" outlineLevel="1" x14ac:dyDescent="0.3">
      <c r="B4066" t="s">
        <v>2267</v>
      </c>
    </row>
    <row r="4067" spans="1:4" outlineLevel="1" x14ac:dyDescent="0.3">
      <c r="B4067" t="s">
        <v>2268</v>
      </c>
    </row>
    <row r="4068" spans="1:4" outlineLevel="1" x14ac:dyDescent="0.3">
      <c r="B4068" t="s">
        <v>2269</v>
      </c>
    </row>
    <row r="4069" spans="1:4" x14ac:dyDescent="0.3">
      <c r="A4069" t="s">
        <v>2270</v>
      </c>
    </row>
    <row r="4070" spans="1:4" outlineLevel="1" x14ac:dyDescent="0.3">
      <c r="B4070" t="s">
        <v>2271</v>
      </c>
    </row>
    <row r="4071" spans="1:4" hidden="1" outlineLevel="2" x14ac:dyDescent="0.3">
      <c r="C4071" t="s">
        <v>3533</v>
      </c>
    </row>
    <row r="4072" spans="1:4" hidden="1" outlineLevel="2" x14ac:dyDescent="0.3">
      <c r="C4072" t="s">
        <v>3534</v>
      </c>
    </row>
    <row r="4073" spans="1:4" hidden="1" outlineLevel="2" x14ac:dyDescent="0.3">
      <c r="C4073" t="s">
        <v>3535</v>
      </c>
    </row>
    <row r="4074" spans="1:4" hidden="1" outlineLevel="3" x14ac:dyDescent="0.3">
      <c r="D4074" t="s">
        <v>3536</v>
      </c>
    </row>
    <row r="4075" spans="1:4" hidden="1" outlineLevel="3" x14ac:dyDescent="0.3">
      <c r="D4075" t="s">
        <v>3537</v>
      </c>
    </row>
    <row r="4076" spans="1:4" hidden="1" outlineLevel="3" x14ac:dyDescent="0.3">
      <c r="D4076" t="s">
        <v>3538</v>
      </c>
    </row>
    <row r="4077" spans="1:4" hidden="1" outlineLevel="3" x14ac:dyDescent="0.3">
      <c r="D4077" t="s">
        <v>3539</v>
      </c>
    </row>
    <row r="4078" spans="1:4" hidden="1" outlineLevel="2" x14ac:dyDescent="0.3">
      <c r="C4078" t="s">
        <v>3540</v>
      </c>
    </row>
    <row r="4079" spans="1:4" hidden="1" outlineLevel="3" x14ac:dyDescent="0.3">
      <c r="D4079" t="s">
        <v>3541</v>
      </c>
    </row>
    <row r="4080" spans="1:4" hidden="1" outlineLevel="3" x14ac:dyDescent="0.3">
      <c r="D4080" t="s">
        <v>3542</v>
      </c>
    </row>
    <row r="4081" spans="3:4" hidden="1" outlineLevel="3" x14ac:dyDescent="0.3">
      <c r="D4081" t="s">
        <v>3543</v>
      </c>
    </row>
    <row r="4082" spans="3:4" hidden="1" outlineLevel="3" x14ac:dyDescent="0.3">
      <c r="D4082" t="s">
        <v>3544</v>
      </c>
    </row>
    <row r="4083" spans="3:4" hidden="1" outlineLevel="3" x14ac:dyDescent="0.3">
      <c r="D4083" t="s">
        <v>3545</v>
      </c>
    </row>
    <row r="4084" spans="3:4" hidden="1" outlineLevel="3" x14ac:dyDescent="0.3">
      <c r="D4084" t="s">
        <v>3546</v>
      </c>
    </row>
    <row r="4085" spans="3:4" hidden="1" outlineLevel="3" x14ac:dyDescent="0.3">
      <c r="D4085" t="s">
        <v>3547</v>
      </c>
    </row>
    <row r="4086" spans="3:4" hidden="1" outlineLevel="3" x14ac:dyDescent="0.3">
      <c r="D4086" t="s">
        <v>3548</v>
      </c>
    </row>
    <row r="4087" spans="3:4" hidden="1" outlineLevel="3" x14ac:dyDescent="0.3">
      <c r="D4087" t="s">
        <v>3549</v>
      </c>
    </row>
    <row r="4088" spans="3:4" hidden="1" outlineLevel="2" x14ac:dyDescent="0.3">
      <c r="C4088" t="s">
        <v>3550</v>
      </c>
    </row>
    <row r="4089" spans="3:4" hidden="1" outlineLevel="2" x14ac:dyDescent="0.3">
      <c r="C4089" t="s">
        <v>3551</v>
      </c>
    </row>
    <row r="4090" spans="3:4" hidden="1" outlineLevel="2" x14ac:dyDescent="0.3">
      <c r="C4090" t="s">
        <v>3552</v>
      </c>
    </row>
    <row r="4091" spans="3:4" hidden="1" outlineLevel="2" x14ac:dyDescent="0.3">
      <c r="C4091" t="s">
        <v>3553</v>
      </c>
    </row>
    <row r="4092" spans="3:4" hidden="1" outlineLevel="2" x14ac:dyDescent="0.3">
      <c r="C4092" t="s">
        <v>3554</v>
      </c>
    </row>
    <row r="4093" spans="3:4" hidden="1" outlineLevel="2" x14ac:dyDescent="0.3">
      <c r="C4093" t="s">
        <v>3555</v>
      </c>
    </row>
    <row r="4094" spans="3:4" hidden="1" outlineLevel="2" x14ac:dyDescent="0.3">
      <c r="C4094" t="s">
        <v>3556</v>
      </c>
    </row>
    <row r="4095" spans="3:4" hidden="1" outlineLevel="2" x14ac:dyDescent="0.3">
      <c r="C4095" t="s">
        <v>3557</v>
      </c>
    </row>
    <row r="4096" spans="3:4" hidden="1" outlineLevel="2" x14ac:dyDescent="0.3">
      <c r="C4096" t="s">
        <v>3558</v>
      </c>
    </row>
    <row r="4097" spans="2:4" hidden="1" outlineLevel="2" x14ac:dyDescent="0.3">
      <c r="C4097" t="s">
        <v>3559</v>
      </c>
    </row>
    <row r="4098" spans="2:4" hidden="1" outlineLevel="2" x14ac:dyDescent="0.3">
      <c r="C4098" t="s">
        <v>3560</v>
      </c>
    </row>
    <row r="4099" spans="2:4" hidden="1" outlineLevel="2" x14ac:dyDescent="0.3">
      <c r="C4099" t="s">
        <v>3561</v>
      </c>
    </row>
    <row r="4100" spans="2:4" hidden="1" outlineLevel="2" x14ac:dyDescent="0.3">
      <c r="C4100" t="s">
        <v>3562</v>
      </c>
    </row>
    <row r="4101" spans="2:4" hidden="1" outlineLevel="2" x14ac:dyDescent="0.3">
      <c r="C4101" t="s">
        <v>3563</v>
      </c>
    </row>
    <row r="4102" spans="2:4" hidden="1" outlineLevel="2" x14ac:dyDescent="0.3">
      <c r="C4102" t="s">
        <v>3564</v>
      </c>
    </row>
    <row r="4103" spans="2:4" hidden="1" outlineLevel="2" x14ac:dyDescent="0.3">
      <c r="C4103" t="s">
        <v>3565</v>
      </c>
    </row>
    <row r="4104" spans="2:4" hidden="1" outlineLevel="2" x14ac:dyDescent="0.3">
      <c r="C4104" t="s">
        <v>3566</v>
      </c>
    </row>
    <row r="4105" spans="2:4" hidden="1" outlineLevel="2" x14ac:dyDescent="0.3">
      <c r="C4105" t="s">
        <v>3567</v>
      </c>
    </row>
    <row r="4106" spans="2:4" hidden="1" outlineLevel="2" x14ac:dyDescent="0.3">
      <c r="C4106" t="s">
        <v>3568</v>
      </c>
    </row>
    <row r="4107" spans="2:4" hidden="1" outlineLevel="2" x14ac:dyDescent="0.3">
      <c r="C4107" t="s">
        <v>2302</v>
      </c>
    </row>
    <row r="4108" spans="2:4" outlineLevel="1" collapsed="1" x14ac:dyDescent="0.3">
      <c r="B4108" t="s">
        <v>2303</v>
      </c>
    </row>
    <row r="4109" spans="2:4" hidden="1" outlineLevel="2" x14ac:dyDescent="0.3">
      <c r="C4109" t="s">
        <v>3569</v>
      </c>
    </row>
    <row r="4110" spans="2:4" hidden="1" outlineLevel="2" x14ac:dyDescent="0.3">
      <c r="C4110" t="s">
        <v>3570</v>
      </c>
    </row>
    <row r="4111" spans="2:4" hidden="1" outlineLevel="2" x14ac:dyDescent="0.3">
      <c r="C4111" t="s">
        <v>3571</v>
      </c>
    </row>
    <row r="4112" spans="2:4" hidden="1" outlineLevel="3" x14ac:dyDescent="0.3">
      <c r="D4112" t="s">
        <v>3572</v>
      </c>
    </row>
    <row r="4113" spans="3:4" hidden="1" outlineLevel="3" x14ac:dyDescent="0.3">
      <c r="D4113" t="s">
        <v>3573</v>
      </c>
    </row>
    <row r="4114" spans="3:4" hidden="1" outlineLevel="3" x14ac:dyDescent="0.3">
      <c r="D4114" t="s">
        <v>3574</v>
      </c>
    </row>
    <row r="4115" spans="3:4" hidden="1" outlineLevel="3" x14ac:dyDescent="0.3">
      <c r="D4115" t="s">
        <v>3575</v>
      </c>
    </row>
    <row r="4116" spans="3:4" hidden="1" outlineLevel="2" x14ac:dyDescent="0.3">
      <c r="C4116" t="s">
        <v>3576</v>
      </c>
    </row>
    <row r="4117" spans="3:4" hidden="1" outlineLevel="3" x14ac:dyDescent="0.3">
      <c r="D4117" t="s">
        <v>3577</v>
      </c>
    </row>
    <row r="4118" spans="3:4" hidden="1" outlineLevel="3" x14ac:dyDescent="0.3">
      <c r="D4118" t="s">
        <v>3578</v>
      </c>
    </row>
    <row r="4119" spans="3:4" hidden="1" outlineLevel="3" x14ac:dyDescent="0.3">
      <c r="D4119" t="s">
        <v>3579</v>
      </c>
    </row>
    <row r="4120" spans="3:4" hidden="1" outlineLevel="3" x14ac:dyDescent="0.3">
      <c r="D4120" t="s">
        <v>3580</v>
      </c>
    </row>
    <row r="4121" spans="3:4" hidden="1" outlineLevel="3" x14ac:dyDescent="0.3">
      <c r="D4121" t="s">
        <v>3581</v>
      </c>
    </row>
    <row r="4122" spans="3:4" hidden="1" outlineLevel="3" x14ac:dyDescent="0.3">
      <c r="D4122" t="s">
        <v>3582</v>
      </c>
    </row>
    <row r="4123" spans="3:4" hidden="1" outlineLevel="3" x14ac:dyDescent="0.3">
      <c r="D4123" t="s">
        <v>3583</v>
      </c>
    </row>
    <row r="4124" spans="3:4" hidden="1" outlineLevel="3" x14ac:dyDescent="0.3">
      <c r="D4124" t="s">
        <v>3584</v>
      </c>
    </row>
    <row r="4125" spans="3:4" hidden="1" outlineLevel="3" x14ac:dyDescent="0.3">
      <c r="D4125" t="s">
        <v>3585</v>
      </c>
    </row>
    <row r="4126" spans="3:4" hidden="1" outlineLevel="2" x14ac:dyDescent="0.3">
      <c r="C4126" t="s">
        <v>3586</v>
      </c>
    </row>
    <row r="4127" spans="3:4" hidden="1" outlineLevel="2" x14ac:dyDescent="0.3">
      <c r="C4127" t="s">
        <v>3587</v>
      </c>
    </row>
    <row r="4128" spans="3:4" hidden="1" outlineLevel="2" x14ac:dyDescent="0.3">
      <c r="C4128" t="s">
        <v>3588</v>
      </c>
    </row>
    <row r="4129" spans="3:3" hidden="1" outlineLevel="2" x14ac:dyDescent="0.3">
      <c r="C4129" t="s">
        <v>3589</v>
      </c>
    </row>
    <row r="4130" spans="3:3" hidden="1" outlineLevel="2" x14ac:dyDescent="0.3">
      <c r="C4130" t="s">
        <v>3590</v>
      </c>
    </row>
    <row r="4131" spans="3:3" hidden="1" outlineLevel="2" x14ac:dyDescent="0.3">
      <c r="C4131" t="s">
        <v>3591</v>
      </c>
    </row>
    <row r="4132" spans="3:3" hidden="1" outlineLevel="2" x14ac:dyDescent="0.3">
      <c r="C4132" t="s">
        <v>3592</v>
      </c>
    </row>
    <row r="4133" spans="3:3" hidden="1" outlineLevel="2" x14ac:dyDescent="0.3">
      <c r="C4133" t="s">
        <v>3593</v>
      </c>
    </row>
    <row r="4134" spans="3:3" hidden="1" outlineLevel="2" x14ac:dyDescent="0.3">
      <c r="C4134" t="s">
        <v>3594</v>
      </c>
    </row>
    <row r="4135" spans="3:3" hidden="1" outlineLevel="2" x14ac:dyDescent="0.3">
      <c r="C4135" t="s">
        <v>3595</v>
      </c>
    </row>
    <row r="4136" spans="3:3" hidden="1" outlineLevel="2" x14ac:dyDescent="0.3">
      <c r="C4136" t="s">
        <v>3596</v>
      </c>
    </row>
    <row r="4137" spans="3:3" hidden="1" outlineLevel="2" x14ac:dyDescent="0.3">
      <c r="C4137" t="s">
        <v>3597</v>
      </c>
    </row>
    <row r="4138" spans="3:3" hidden="1" outlineLevel="2" x14ac:dyDescent="0.3">
      <c r="C4138" t="s">
        <v>3598</v>
      </c>
    </row>
    <row r="4139" spans="3:3" hidden="1" outlineLevel="2" x14ac:dyDescent="0.3">
      <c r="C4139" t="s">
        <v>3599</v>
      </c>
    </row>
    <row r="4140" spans="3:3" hidden="1" outlineLevel="2" x14ac:dyDescent="0.3">
      <c r="C4140" t="s">
        <v>3600</v>
      </c>
    </row>
    <row r="4141" spans="3:3" hidden="1" outlineLevel="2" x14ac:dyDescent="0.3">
      <c r="C4141" t="s">
        <v>3601</v>
      </c>
    </row>
    <row r="4142" spans="3:3" hidden="1" outlineLevel="2" x14ac:dyDescent="0.3">
      <c r="C4142" t="s">
        <v>3602</v>
      </c>
    </row>
    <row r="4143" spans="3:3" hidden="1" outlineLevel="2" x14ac:dyDescent="0.3">
      <c r="C4143" t="s">
        <v>3603</v>
      </c>
    </row>
    <row r="4144" spans="3:3" hidden="1" outlineLevel="2" x14ac:dyDescent="0.3">
      <c r="C4144" t="s">
        <v>3604</v>
      </c>
    </row>
    <row r="4145" spans="1:3" hidden="1" outlineLevel="2" x14ac:dyDescent="0.3">
      <c r="C4145" t="s">
        <v>3605</v>
      </c>
    </row>
    <row r="4146" spans="1:3" hidden="1" outlineLevel="2" x14ac:dyDescent="0.3">
      <c r="C4146" t="s">
        <v>3606</v>
      </c>
    </row>
    <row r="4147" spans="1:3" hidden="1" outlineLevel="2" x14ac:dyDescent="0.3">
      <c r="C4147" t="s">
        <v>2334</v>
      </c>
    </row>
    <row r="4148" spans="1:3" outlineLevel="1" collapsed="1" x14ac:dyDescent="0.3">
      <c r="B4148" t="s">
        <v>2335</v>
      </c>
    </row>
    <row r="4149" spans="1:3" outlineLevel="1" x14ac:dyDescent="0.3">
      <c r="B4149" t="s">
        <v>2336</v>
      </c>
    </row>
    <row r="4150" spans="1:3" outlineLevel="1" x14ac:dyDescent="0.3">
      <c r="B4150" t="s">
        <v>2337</v>
      </c>
    </row>
    <row r="4151" spans="1:3" outlineLevel="1" x14ac:dyDescent="0.3">
      <c r="B4151" t="s">
        <v>2338</v>
      </c>
    </row>
    <row r="4152" spans="1:3" outlineLevel="1" x14ac:dyDescent="0.3">
      <c r="B4152" t="s">
        <v>2339</v>
      </c>
    </row>
    <row r="4153" spans="1:3" outlineLevel="1" x14ac:dyDescent="0.3">
      <c r="B4153" t="s">
        <v>2340</v>
      </c>
    </row>
    <row r="4154" spans="1:3" x14ac:dyDescent="0.3">
      <c r="A4154" t="s">
        <v>2341</v>
      </c>
    </row>
    <row r="4155" spans="1:3" x14ac:dyDescent="0.3">
      <c r="A4155" t="s">
        <v>2342</v>
      </c>
    </row>
    <row r="4156" spans="1:3" x14ac:dyDescent="0.3">
      <c r="A4156" t="s">
        <v>2343</v>
      </c>
    </row>
    <row r="4157" spans="1:3" x14ac:dyDescent="0.3">
      <c r="A4157" t="s">
        <v>2344</v>
      </c>
    </row>
    <row r="4158" spans="1:3" x14ac:dyDescent="0.3">
      <c r="A4158" t="s">
        <v>2345</v>
      </c>
    </row>
    <row r="4159" spans="1:3" x14ac:dyDescent="0.3">
      <c r="A4159" t="s">
        <v>2346</v>
      </c>
    </row>
    <row r="4169" spans="1:2" x14ac:dyDescent="0.3">
      <c r="A4169" t="s">
        <v>0</v>
      </c>
    </row>
    <row r="4170" spans="1:2" outlineLevel="1" x14ac:dyDescent="0.3">
      <c r="B4170" t="s">
        <v>2379</v>
      </c>
    </row>
    <row r="4171" spans="1:2" outlineLevel="1" x14ac:dyDescent="0.3">
      <c r="B4171" t="s">
        <v>2380</v>
      </c>
    </row>
    <row r="4172" spans="1:2" outlineLevel="1" x14ac:dyDescent="0.3">
      <c r="B4172" t="s">
        <v>2382</v>
      </c>
    </row>
    <row r="4173" spans="1:2" outlineLevel="1" x14ac:dyDescent="0.3">
      <c r="B4173" t="s">
        <v>2383</v>
      </c>
    </row>
    <row r="4174" spans="1:2" outlineLevel="1" x14ac:dyDescent="0.3">
      <c r="B4174" t="s">
        <v>2384</v>
      </c>
    </row>
    <row r="4175" spans="1:2" outlineLevel="1" x14ac:dyDescent="0.3">
      <c r="B4175" t="s">
        <v>2385</v>
      </c>
    </row>
    <row r="4176" spans="1:2" outlineLevel="1" x14ac:dyDescent="0.3">
      <c r="B4176" t="s">
        <v>2386</v>
      </c>
    </row>
    <row r="4177" spans="1:3" outlineLevel="1" x14ac:dyDescent="0.3">
      <c r="B4177" t="s">
        <v>2387</v>
      </c>
    </row>
    <row r="4178" spans="1:3" outlineLevel="1" x14ac:dyDescent="0.3">
      <c r="B4178" t="s">
        <v>2388</v>
      </c>
    </row>
    <row r="4179" spans="1:3" outlineLevel="1" x14ac:dyDescent="0.3">
      <c r="B4179" t="s">
        <v>2389</v>
      </c>
    </row>
    <row r="4180" spans="1:3" outlineLevel="1" x14ac:dyDescent="0.3">
      <c r="B4180" t="s">
        <v>2390</v>
      </c>
    </row>
    <row r="4181" spans="1:3" outlineLevel="1" x14ac:dyDescent="0.3">
      <c r="B4181" t="s">
        <v>2391</v>
      </c>
    </row>
    <row r="4182" spans="1:3" outlineLevel="1" x14ac:dyDescent="0.3">
      <c r="B4182" t="s">
        <v>2392</v>
      </c>
    </row>
    <row r="4183" spans="1:3" outlineLevel="1" x14ac:dyDescent="0.3">
      <c r="B4183" t="s">
        <v>2393</v>
      </c>
    </row>
    <row r="4184" spans="1:3" outlineLevel="1" x14ac:dyDescent="0.3">
      <c r="B4184" t="s">
        <v>2394</v>
      </c>
    </row>
    <row r="4185" spans="1:3" outlineLevel="1" x14ac:dyDescent="0.3">
      <c r="B4185" t="s">
        <v>2395</v>
      </c>
    </row>
    <row r="4186" spans="1:3" outlineLevel="1" x14ac:dyDescent="0.3">
      <c r="B4186" t="s">
        <v>2396</v>
      </c>
    </row>
    <row r="4187" spans="1:3" outlineLevel="1" x14ac:dyDescent="0.3">
      <c r="B4187" t="s">
        <v>2397</v>
      </c>
    </row>
    <row r="4188" spans="1:3" outlineLevel="1" x14ac:dyDescent="0.3">
      <c r="B4188" t="s">
        <v>2398</v>
      </c>
    </row>
    <row r="4189" spans="1:3" outlineLevel="1" x14ac:dyDescent="0.3">
      <c r="B4189" t="s">
        <v>3608</v>
      </c>
    </row>
    <row r="4190" spans="1:3" x14ac:dyDescent="0.3">
      <c r="A4190" t="s">
        <v>26</v>
      </c>
    </row>
    <row r="4191" spans="1:3" outlineLevel="1" x14ac:dyDescent="0.3">
      <c r="B4191" t="s">
        <v>27</v>
      </c>
    </row>
    <row r="4192" spans="1:3" hidden="1" outlineLevel="2" x14ac:dyDescent="0.3">
      <c r="C4192" t="s">
        <v>28</v>
      </c>
    </row>
    <row r="4193" spans="1:3" hidden="1" outlineLevel="2" x14ac:dyDescent="0.3">
      <c r="C4193" t="s">
        <v>29</v>
      </c>
    </row>
    <row r="4194" spans="1:3" hidden="1" outlineLevel="2" x14ac:dyDescent="0.3">
      <c r="C4194" t="s">
        <v>30</v>
      </c>
    </row>
    <row r="4195" spans="1:3" hidden="1" outlineLevel="2" x14ac:dyDescent="0.3">
      <c r="C4195" t="s">
        <v>31</v>
      </c>
    </row>
    <row r="4196" spans="1:3" hidden="1" outlineLevel="2" x14ac:dyDescent="0.3">
      <c r="C4196" t="s">
        <v>32</v>
      </c>
    </row>
    <row r="4197" spans="1:3" hidden="1" outlineLevel="2" x14ac:dyDescent="0.3">
      <c r="C4197" t="s">
        <v>33</v>
      </c>
    </row>
    <row r="4198" spans="1:3" hidden="1" outlineLevel="2" x14ac:dyDescent="0.3">
      <c r="C4198" t="s">
        <v>34</v>
      </c>
    </row>
    <row r="4199" spans="1:3" outlineLevel="1" collapsed="1" x14ac:dyDescent="0.3">
      <c r="B4199" t="s">
        <v>35</v>
      </c>
    </row>
    <row r="4200" spans="1:3" outlineLevel="1" x14ac:dyDescent="0.3">
      <c r="B4200" t="s">
        <v>36</v>
      </c>
    </row>
    <row r="4201" spans="1:3" outlineLevel="1" x14ac:dyDescent="0.3">
      <c r="B4201" t="s">
        <v>520</v>
      </c>
    </row>
    <row r="4202" spans="1:3" x14ac:dyDescent="0.3">
      <c r="A4202" t="s">
        <v>37</v>
      </c>
    </row>
    <row r="4203" spans="1:3" outlineLevel="1" x14ac:dyDescent="0.3">
      <c r="B4203" t="s">
        <v>2400</v>
      </c>
    </row>
    <row r="4204" spans="1:3" outlineLevel="1" x14ac:dyDescent="0.3">
      <c r="B4204" t="s">
        <v>2401</v>
      </c>
    </row>
    <row r="4205" spans="1:3" outlineLevel="1" x14ac:dyDescent="0.3">
      <c r="B4205" t="s">
        <v>2402</v>
      </c>
    </row>
    <row r="4206" spans="1:3" outlineLevel="1" x14ac:dyDescent="0.3">
      <c r="B4206" t="s">
        <v>2404</v>
      </c>
    </row>
    <row r="4207" spans="1:3" outlineLevel="1" x14ac:dyDescent="0.3">
      <c r="B4207" t="s">
        <v>2405</v>
      </c>
    </row>
    <row r="4208" spans="1:3" outlineLevel="1" x14ac:dyDescent="0.3">
      <c r="B4208" t="s">
        <v>3609</v>
      </c>
    </row>
    <row r="4209" spans="1:2" outlineLevel="1" x14ac:dyDescent="0.3">
      <c r="B4209" t="s">
        <v>3610</v>
      </c>
    </row>
    <row r="4210" spans="1:2" outlineLevel="1" x14ac:dyDescent="0.3">
      <c r="B4210" t="s">
        <v>2407</v>
      </c>
    </row>
    <row r="4211" spans="1:2" outlineLevel="1" x14ac:dyDescent="0.3">
      <c r="B4211" t="s">
        <v>2408</v>
      </c>
    </row>
    <row r="4212" spans="1:2" outlineLevel="1" x14ac:dyDescent="0.3">
      <c r="B4212" t="s">
        <v>2409</v>
      </c>
    </row>
    <row r="4213" spans="1:2" outlineLevel="1" x14ac:dyDescent="0.3">
      <c r="B4213" t="s">
        <v>2410</v>
      </c>
    </row>
    <row r="4214" spans="1:2" outlineLevel="1" x14ac:dyDescent="0.3">
      <c r="B4214" t="s">
        <v>2411</v>
      </c>
    </row>
    <row r="4215" spans="1:2" outlineLevel="1" x14ac:dyDescent="0.3">
      <c r="B4215" t="s">
        <v>2412</v>
      </c>
    </row>
    <row r="4216" spans="1:2" outlineLevel="1" x14ac:dyDescent="0.3">
      <c r="B4216" t="s">
        <v>2413</v>
      </c>
    </row>
    <row r="4217" spans="1:2" outlineLevel="1" x14ac:dyDescent="0.3">
      <c r="B4217" t="s">
        <v>3611</v>
      </c>
    </row>
    <row r="4223" spans="1:2" x14ac:dyDescent="0.3">
      <c r="A4223" t="s">
        <v>3612</v>
      </c>
    </row>
    <row r="4224" spans="1:2" outlineLevel="1" x14ac:dyDescent="0.3">
      <c r="B4224" t="s">
        <v>3613</v>
      </c>
    </row>
    <row r="4225" spans="1:2" outlineLevel="1" x14ac:dyDescent="0.3">
      <c r="B4225" t="s">
        <v>3614</v>
      </c>
    </row>
    <row r="4226" spans="1:2" outlineLevel="1" x14ac:dyDescent="0.3">
      <c r="B4226" t="s">
        <v>3615</v>
      </c>
    </row>
    <row r="4227" spans="1:2" outlineLevel="1" x14ac:dyDescent="0.3">
      <c r="B4227" t="s">
        <v>3616</v>
      </c>
    </row>
    <row r="4228" spans="1:2" outlineLevel="1" x14ac:dyDescent="0.3">
      <c r="B4228" t="s">
        <v>3617</v>
      </c>
    </row>
    <row r="4229" spans="1:2" outlineLevel="1" x14ac:dyDescent="0.3">
      <c r="B4229" t="s">
        <v>3618</v>
      </c>
    </row>
    <row r="4230" spans="1:2" outlineLevel="1" x14ac:dyDescent="0.3">
      <c r="B4230" t="s">
        <v>3619</v>
      </c>
    </row>
    <row r="4231" spans="1:2" outlineLevel="1" x14ac:dyDescent="0.3">
      <c r="B4231" t="s">
        <v>3620</v>
      </c>
    </row>
    <row r="4232" spans="1:2" outlineLevel="1" x14ac:dyDescent="0.3">
      <c r="B4232" t="s">
        <v>3621</v>
      </c>
    </row>
    <row r="4233" spans="1:2" outlineLevel="1" x14ac:dyDescent="0.3">
      <c r="B4233" t="s">
        <v>3622</v>
      </c>
    </row>
    <row r="4234" spans="1:2" outlineLevel="1" x14ac:dyDescent="0.3">
      <c r="B4234" t="s">
        <v>3623</v>
      </c>
    </row>
    <row r="4235" spans="1:2" outlineLevel="1" x14ac:dyDescent="0.3">
      <c r="B4235" t="s">
        <v>3624</v>
      </c>
    </row>
    <row r="4236" spans="1:2" x14ac:dyDescent="0.3">
      <c r="A4236" t="s">
        <v>3625</v>
      </c>
    </row>
    <row r="4237" spans="1:2" outlineLevel="1" x14ac:dyDescent="0.3">
      <c r="B4237" t="s">
        <v>3626</v>
      </c>
    </row>
    <row r="4238" spans="1:2" outlineLevel="1" x14ac:dyDescent="0.3">
      <c r="B4238" t="s">
        <v>3627</v>
      </c>
    </row>
    <row r="4239" spans="1:2" outlineLevel="1" x14ac:dyDescent="0.3">
      <c r="B4239" t="s">
        <v>3628</v>
      </c>
    </row>
    <row r="4240" spans="1:2" outlineLevel="1" x14ac:dyDescent="0.3">
      <c r="B4240" t="s">
        <v>3629</v>
      </c>
    </row>
    <row r="4241" spans="2:3" outlineLevel="1" x14ac:dyDescent="0.3">
      <c r="B4241" t="s">
        <v>3630</v>
      </c>
    </row>
    <row r="4242" spans="2:3" outlineLevel="1" x14ac:dyDescent="0.3">
      <c r="B4242" t="s">
        <v>3631</v>
      </c>
    </row>
    <row r="4243" spans="2:3" outlineLevel="1" x14ac:dyDescent="0.3">
      <c r="B4243" t="s">
        <v>3632</v>
      </c>
    </row>
    <row r="4244" spans="2:3" outlineLevel="1" x14ac:dyDescent="0.3">
      <c r="B4244" t="s">
        <v>3633</v>
      </c>
    </row>
    <row r="4245" spans="2:3" hidden="1" outlineLevel="2" x14ac:dyDescent="0.3">
      <c r="C4245" t="s">
        <v>3634</v>
      </c>
    </row>
    <row r="4246" spans="2:3" hidden="1" outlineLevel="2" x14ac:dyDescent="0.3">
      <c r="C4246" t="s">
        <v>3635</v>
      </c>
    </row>
    <row r="4247" spans="2:3" hidden="1" outlineLevel="2" x14ac:dyDescent="0.3">
      <c r="C4247" t="s">
        <v>3636</v>
      </c>
    </row>
    <row r="4248" spans="2:3" hidden="1" outlineLevel="2" x14ac:dyDescent="0.3">
      <c r="C4248" t="s">
        <v>3637</v>
      </c>
    </row>
    <row r="4249" spans="2:3" outlineLevel="1" collapsed="1" x14ac:dyDescent="0.3">
      <c r="B4249" t="s">
        <v>3638</v>
      </c>
    </row>
    <row r="4250" spans="2:3" outlineLevel="1" x14ac:dyDescent="0.3">
      <c r="B4250" t="s">
        <v>3639</v>
      </c>
    </row>
    <row r="4251" spans="2:3" outlineLevel="1" x14ac:dyDescent="0.3">
      <c r="B4251" t="s">
        <v>3640</v>
      </c>
    </row>
    <row r="4252" spans="2:3" outlineLevel="1" x14ac:dyDescent="0.3">
      <c r="B4252" t="s">
        <v>3641</v>
      </c>
    </row>
    <row r="4253" spans="2:3" outlineLevel="1" x14ac:dyDescent="0.3">
      <c r="B4253" t="s">
        <v>3642</v>
      </c>
    </row>
    <row r="4254" spans="2:3" outlineLevel="1" x14ac:dyDescent="0.3">
      <c r="B4254" t="s">
        <v>3643</v>
      </c>
    </row>
    <row r="4255" spans="2:3" outlineLevel="1" x14ac:dyDescent="0.3">
      <c r="B4255" t="s">
        <v>3644</v>
      </c>
    </row>
    <row r="4256" spans="2:3" outlineLevel="1" x14ac:dyDescent="0.3">
      <c r="B4256" t="s">
        <v>3645</v>
      </c>
    </row>
    <row r="4257" spans="1:2" outlineLevel="1" x14ac:dyDescent="0.3">
      <c r="B4257" t="s">
        <v>3646</v>
      </c>
    </row>
    <row r="4258" spans="1:2" x14ac:dyDescent="0.3">
      <c r="A4258" t="s">
        <v>3647</v>
      </c>
    </row>
    <row r="4259" spans="1:2" x14ac:dyDescent="0.3">
      <c r="A4259" t="s">
        <v>99</v>
      </c>
    </row>
    <row r="4260" spans="1:2" x14ac:dyDescent="0.3">
      <c r="A4260" t="s">
        <v>2448</v>
      </c>
    </row>
    <row r="4261" spans="1:2" outlineLevel="1" x14ac:dyDescent="0.3">
      <c r="B4261" t="s">
        <v>3648</v>
      </c>
    </row>
    <row r="4262" spans="1:2" outlineLevel="1" x14ac:dyDescent="0.3">
      <c r="B4262" t="s">
        <v>3649</v>
      </c>
    </row>
    <row r="4263" spans="1:2" outlineLevel="1" x14ac:dyDescent="0.3">
      <c r="B4263" t="s">
        <v>3650</v>
      </c>
    </row>
    <row r="4264" spans="1:2" outlineLevel="1" x14ac:dyDescent="0.3">
      <c r="B4264" t="s">
        <v>3651</v>
      </c>
    </row>
    <row r="4265" spans="1:2" outlineLevel="1" x14ac:dyDescent="0.3">
      <c r="B4265" t="s">
        <v>3652</v>
      </c>
    </row>
    <row r="4266" spans="1:2" outlineLevel="1" x14ac:dyDescent="0.3">
      <c r="B4266" t="s">
        <v>3653</v>
      </c>
    </row>
    <row r="4267" spans="1:2" outlineLevel="1" x14ac:dyDescent="0.3">
      <c r="B4267" t="s">
        <v>3654</v>
      </c>
    </row>
    <row r="4268" spans="1:2" outlineLevel="1" x14ac:dyDescent="0.3">
      <c r="B4268" t="s">
        <v>3655</v>
      </c>
    </row>
    <row r="4269" spans="1:2" outlineLevel="1" x14ac:dyDescent="0.3">
      <c r="B4269" t="s">
        <v>3656</v>
      </c>
    </row>
    <row r="4270" spans="1:2" outlineLevel="1" x14ac:dyDescent="0.3">
      <c r="B4270" t="s">
        <v>3657</v>
      </c>
    </row>
    <row r="4271" spans="1:2" outlineLevel="1" x14ac:dyDescent="0.3">
      <c r="B4271" t="s">
        <v>3658</v>
      </c>
    </row>
    <row r="4272" spans="1:2" outlineLevel="1" x14ac:dyDescent="0.3">
      <c r="B4272" t="s">
        <v>3659</v>
      </c>
    </row>
    <row r="4273" spans="1:2" outlineLevel="1" x14ac:dyDescent="0.3">
      <c r="B4273" t="s">
        <v>3660</v>
      </c>
    </row>
    <row r="4274" spans="1:2" outlineLevel="1" x14ac:dyDescent="0.3">
      <c r="B4274" t="s">
        <v>3661</v>
      </c>
    </row>
    <row r="4275" spans="1:2" outlineLevel="1" x14ac:dyDescent="0.3">
      <c r="B4275" t="s">
        <v>3662</v>
      </c>
    </row>
    <row r="4276" spans="1:2" outlineLevel="1" x14ac:dyDescent="0.3">
      <c r="B4276" t="s">
        <v>3663</v>
      </c>
    </row>
    <row r="4277" spans="1:2" outlineLevel="1" x14ac:dyDescent="0.3">
      <c r="B4277" t="s">
        <v>3664</v>
      </c>
    </row>
    <row r="4278" spans="1:2" outlineLevel="1" x14ac:dyDescent="0.3">
      <c r="B4278" t="s">
        <v>3665</v>
      </c>
    </row>
    <row r="4279" spans="1:2" outlineLevel="1" x14ac:dyDescent="0.3">
      <c r="B4279" t="s">
        <v>3666</v>
      </c>
    </row>
    <row r="4280" spans="1:2" outlineLevel="1" x14ac:dyDescent="0.3">
      <c r="B4280" t="s">
        <v>3667</v>
      </c>
    </row>
    <row r="4281" spans="1:2" outlineLevel="1" x14ac:dyDescent="0.3">
      <c r="B4281" t="s">
        <v>3668</v>
      </c>
    </row>
    <row r="4282" spans="1:2" x14ac:dyDescent="0.3">
      <c r="A4282" t="s">
        <v>2449</v>
      </c>
    </row>
    <row r="4283" spans="1:2" outlineLevel="1" x14ac:dyDescent="0.3">
      <c r="B4283" t="s">
        <v>3669</v>
      </c>
    </row>
    <row r="4284" spans="1:2" outlineLevel="1" x14ac:dyDescent="0.3">
      <c r="B4284" t="s">
        <v>3670</v>
      </c>
    </row>
    <row r="4285" spans="1:2" outlineLevel="1" x14ac:dyDescent="0.3">
      <c r="B4285" t="s">
        <v>3671</v>
      </c>
    </row>
    <row r="4286" spans="1:2" outlineLevel="1" x14ac:dyDescent="0.3">
      <c r="B4286" t="s">
        <v>192</v>
      </c>
    </row>
    <row r="4287" spans="1:2" outlineLevel="1" x14ac:dyDescent="0.3">
      <c r="B4287" t="s">
        <v>3672</v>
      </c>
    </row>
    <row r="4288" spans="1:2" outlineLevel="1" x14ac:dyDescent="0.3">
      <c r="B4288" t="s">
        <v>3673</v>
      </c>
    </row>
    <row r="4289" spans="1:2" outlineLevel="1" x14ac:dyDescent="0.3">
      <c r="B4289" t="s">
        <v>3674</v>
      </c>
    </row>
    <row r="4290" spans="1:2" outlineLevel="1" x14ac:dyDescent="0.3">
      <c r="B4290" t="s">
        <v>3675</v>
      </c>
    </row>
    <row r="4291" spans="1:2" outlineLevel="1" x14ac:dyDescent="0.3">
      <c r="B4291" t="s">
        <v>3676</v>
      </c>
    </row>
    <row r="4292" spans="1:2" outlineLevel="1" x14ac:dyDescent="0.3">
      <c r="B4292" t="s">
        <v>3677</v>
      </c>
    </row>
    <row r="4293" spans="1:2" outlineLevel="1" x14ac:dyDescent="0.3">
      <c r="B4293" t="s">
        <v>3678</v>
      </c>
    </row>
    <row r="4294" spans="1:2" outlineLevel="1" x14ac:dyDescent="0.3">
      <c r="B4294" t="s">
        <v>3679</v>
      </c>
    </row>
    <row r="4295" spans="1:2" outlineLevel="1" x14ac:dyDescent="0.3">
      <c r="B4295" t="s">
        <v>3680</v>
      </c>
    </row>
    <row r="4296" spans="1:2" outlineLevel="1" x14ac:dyDescent="0.3">
      <c r="B4296" t="s">
        <v>3681</v>
      </c>
    </row>
    <row r="4297" spans="1:2" outlineLevel="1" x14ac:dyDescent="0.3">
      <c r="B4297" t="s">
        <v>3682</v>
      </c>
    </row>
    <row r="4298" spans="1:2" outlineLevel="1" x14ac:dyDescent="0.3">
      <c r="B4298" t="s">
        <v>3683</v>
      </c>
    </row>
    <row r="4299" spans="1:2" outlineLevel="1" x14ac:dyDescent="0.3">
      <c r="B4299" t="s">
        <v>3684</v>
      </c>
    </row>
    <row r="4300" spans="1:2" outlineLevel="1" x14ac:dyDescent="0.3">
      <c r="B4300" t="s">
        <v>3685</v>
      </c>
    </row>
    <row r="4301" spans="1:2" x14ac:dyDescent="0.3">
      <c r="A4301" t="s">
        <v>330</v>
      </c>
    </row>
    <row r="4302" spans="1:2" x14ac:dyDescent="0.3">
      <c r="A4302" t="s">
        <v>333</v>
      </c>
    </row>
    <row r="4303" spans="1:2" x14ac:dyDescent="0.3">
      <c r="A4303" t="s">
        <v>336</v>
      </c>
    </row>
    <row r="4304" spans="1:2" x14ac:dyDescent="0.3">
      <c r="A4304" t="s">
        <v>339</v>
      </c>
    </row>
    <row r="4305" spans="1:2" x14ac:dyDescent="0.3">
      <c r="A4305" t="s">
        <v>342</v>
      </c>
    </row>
    <row r="4306" spans="1:2" x14ac:dyDescent="0.3">
      <c r="A4306" t="s">
        <v>345</v>
      </c>
    </row>
    <row r="4307" spans="1:2" x14ac:dyDescent="0.3">
      <c r="A4307" t="s">
        <v>348</v>
      </c>
    </row>
    <row r="4308" spans="1:2" x14ac:dyDescent="0.3">
      <c r="A4308" t="s">
        <v>351</v>
      </c>
    </row>
    <row r="4309" spans="1:2" x14ac:dyDescent="0.3">
      <c r="A4309" t="s">
        <v>354</v>
      </c>
    </row>
    <row r="4310" spans="1:2" outlineLevel="1" x14ac:dyDescent="0.3">
      <c r="B4310" t="s">
        <v>357</v>
      </c>
    </row>
    <row r="4311" spans="1:2" outlineLevel="1" x14ac:dyDescent="0.3">
      <c r="B4311" t="s">
        <v>360</v>
      </c>
    </row>
    <row r="4312" spans="1:2" x14ac:dyDescent="0.3">
      <c r="A4312" t="s">
        <v>363</v>
      </c>
    </row>
    <row r="4313" spans="1:2" outlineLevel="1" x14ac:dyDescent="0.3">
      <c r="B4313" t="s">
        <v>366</v>
      </c>
    </row>
    <row r="4314" spans="1:2" outlineLevel="1" x14ac:dyDescent="0.3">
      <c r="B4314" t="s">
        <v>369</v>
      </c>
    </row>
    <row r="4315" spans="1:2" x14ac:dyDescent="0.3">
      <c r="A4315" t="s">
        <v>372</v>
      </c>
    </row>
    <row r="4316" spans="1:2" x14ac:dyDescent="0.3">
      <c r="A4316" t="s">
        <v>375</v>
      </c>
    </row>
    <row r="4322" spans="1:2" x14ac:dyDescent="0.3">
      <c r="A4322" t="s">
        <v>67</v>
      </c>
    </row>
    <row r="4323" spans="1:2" outlineLevel="1" x14ac:dyDescent="0.3">
      <c r="B4323" t="s">
        <v>70</v>
      </c>
    </row>
    <row r="4324" spans="1:2" outlineLevel="1" x14ac:dyDescent="0.3">
      <c r="B4324" t="s">
        <v>73</v>
      </c>
    </row>
    <row r="4325" spans="1:2" outlineLevel="1" x14ac:dyDescent="0.3">
      <c r="B4325" t="s">
        <v>76</v>
      </c>
    </row>
    <row r="4326" spans="1:2" outlineLevel="1" x14ac:dyDescent="0.3">
      <c r="B4326" t="s">
        <v>79</v>
      </c>
    </row>
    <row r="4327" spans="1:2" outlineLevel="1" x14ac:dyDescent="0.3">
      <c r="B4327" t="s">
        <v>82</v>
      </c>
    </row>
    <row r="4328" spans="1:2" outlineLevel="1" x14ac:dyDescent="0.3">
      <c r="B4328" t="s">
        <v>85</v>
      </c>
    </row>
    <row r="4329" spans="1:2" outlineLevel="1" x14ac:dyDescent="0.3">
      <c r="B4329" t="s">
        <v>88</v>
      </c>
    </row>
    <row r="4330" spans="1:2" outlineLevel="1" x14ac:dyDescent="0.3">
      <c r="B4330" t="s">
        <v>91</v>
      </c>
    </row>
    <row r="4331" spans="1:2" outlineLevel="1" x14ac:dyDescent="0.3">
      <c r="B4331" t="s">
        <v>94</v>
      </c>
    </row>
    <row r="4332" spans="1:2" outlineLevel="1" x14ac:dyDescent="0.3">
      <c r="B4332" t="s">
        <v>97</v>
      </c>
    </row>
    <row r="4333" spans="1:2" outlineLevel="1" x14ac:dyDescent="0.3">
      <c r="B4333" t="s">
        <v>100</v>
      </c>
    </row>
    <row r="4334" spans="1:2" outlineLevel="1" x14ac:dyDescent="0.3">
      <c r="B4334" t="s">
        <v>103</v>
      </c>
    </row>
    <row r="4335" spans="1:2" x14ac:dyDescent="0.3">
      <c r="A4335" t="s">
        <v>106</v>
      </c>
    </row>
    <row r="4336" spans="1:2" outlineLevel="1" x14ac:dyDescent="0.3">
      <c r="B4336" t="s">
        <v>109</v>
      </c>
    </row>
    <row r="4337" spans="1:2" outlineLevel="1" x14ac:dyDescent="0.3">
      <c r="B4337" t="s">
        <v>112</v>
      </c>
    </row>
    <row r="4338" spans="1:2" outlineLevel="1" x14ac:dyDescent="0.3">
      <c r="B4338" t="s">
        <v>115</v>
      </c>
    </row>
    <row r="4339" spans="1:2" x14ac:dyDescent="0.3">
      <c r="A4339" t="s">
        <v>118</v>
      </c>
    </row>
    <row r="4340" spans="1:2" outlineLevel="1" x14ac:dyDescent="0.3">
      <c r="B4340" t="s">
        <v>121</v>
      </c>
    </row>
    <row r="4341" spans="1:2" outlineLevel="1" x14ac:dyDescent="0.3">
      <c r="B4341" t="s">
        <v>124</v>
      </c>
    </row>
    <row r="4342" spans="1:2" outlineLevel="1" x14ac:dyDescent="0.3">
      <c r="B4342" t="s">
        <v>127</v>
      </c>
    </row>
    <row r="4343" spans="1:2" outlineLevel="1" x14ac:dyDescent="0.3">
      <c r="B4343" t="s">
        <v>130</v>
      </c>
    </row>
    <row r="4344" spans="1:2" outlineLevel="1" x14ac:dyDescent="0.3">
      <c r="B4344" t="s">
        <v>133</v>
      </c>
    </row>
    <row r="4345" spans="1:2" outlineLevel="1" x14ac:dyDescent="0.3">
      <c r="B4345" t="s">
        <v>136</v>
      </c>
    </row>
    <row r="4346" spans="1:2" outlineLevel="1" x14ac:dyDescent="0.3">
      <c r="B4346" t="s">
        <v>139</v>
      </c>
    </row>
    <row r="4347" spans="1:2" outlineLevel="1" x14ac:dyDescent="0.3">
      <c r="B4347" t="s">
        <v>142</v>
      </c>
    </row>
    <row r="4348" spans="1:2" outlineLevel="1" x14ac:dyDescent="0.3">
      <c r="B4348" t="s">
        <v>145</v>
      </c>
    </row>
    <row r="4349" spans="1:2" outlineLevel="1" x14ac:dyDescent="0.3">
      <c r="B4349" t="s">
        <v>148</v>
      </c>
    </row>
    <row r="4350" spans="1:2" outlineLevel="1" x14ac:dyDescent="0.3">
      <c r="B4350" t="s">
        <v>151</v>
      </c>
    </row>
    <row r="4351" spans="1:2" outlineLevel="1" x14ac:dyDescent="0.3">
      <c r="B4351" t="s">
        <v>154</v>
      </c>
    </row>
    <row r="4352" spans="1:2" outlineLevel="1" x14ac:dyDescent="0.3">
      <c r="B4352" t="s">
        <v>157</v>
      </c>
    </row>
    <row r="4353" spans="1:2" outlineLevel="1" x14ac:dyDescent="0.3">
      <c r="B4353" t="s">
        <v>160</v>
      </c>
    </row>
    <row r="4354" spans="1:2" outlineLevel="1" x14ac:dyDescent="0.3">
      <c r="B4354" t="s">
        <v>163</v>
      </c>
    </row>
    <row r="4355" spans="1:2" outlineLevel="1" x14ac:dyDescent="0.3">
      <c r="B4355" t="s">
        <v>166</v>
      </c>
    </row>
    <row r="4356" spans="1:2" outlineLevel="1" x14ac:dyDescent="0.3">
      <c r="B4356" t="s">
        <v>169</v>
      </c>
    </row>
    <row r="4357" spans="1:2" outlineLevel="1" x14ac:dyDescent="0.3">
      <c r="B4357" t="s">
        <v>172</v>
      </c>
    </row>
    <row r="4358" spans="1:2" outlineLevel="1" x14ac:dyDescent="0.3">
      <c r="B4358" t="s">
        <v>175</v>
      </c>
    </row>
    <row r="4359" spans="1:2" outlineLevel="1" x14ac:dyDescent="0.3">
      <c r="B4359" t="s">
        <v>178</v>
      </c>
    </row>
    <row r="4360" spans="1:2" x14ac:dyDescent="0.3">
      <c r="A4360" t="s">
        <v>181</v>
      </c>
    </row>
    <row r="4361" spans="1:2" outlineLevel="1" x14ac:dyDescent="0.3">
      <c r="B4361" t="s">
        <v>184</v>
      </c>
    </row>
    <row r="4362" spans="1:2" outlineLevel="1" x14ac:dyDescent="0.3">
      <c r="B4362" t="s">
        <v>187</v>
      </c>
    </row>
    <row r="4363" spans="1:2" outlineLevel="1" x14ac:dyDescent="0.3">
      <c r="B4363" t="s">
        <v>190</v>
      </c>
    </row>
    <row r="4364" spans="1:2" outlineLevel="1" x14ac:dyDescent="0.3">
      <c r="B4364" t="s">
        <v>193</v>
      </c>
    </row>
    <row r="4365" spans="1:2" outlineLevel="1" x14ac:dyDescent="0.3">
      <c r="B4365" t="s">
        <v>196</v>
      </c>
    </row>
    <row r="4366" spans="1:2" outlineLevel="1" x14ac:dyDescent="0.3">
      <c r="B4366" t="s">
        <v>199</v>
      </c>
    </row>
    <row r="4367" spans="1:2" outlineLevel="1" x14ac:dyDescent="0.3">
      <c r="B4367" t="s">
        <v>202</v>
      </c>
    </row>
    <row r="4368" spans="1:2" outlineLevel="1" x14ac:dyDescent="0.3">
      <c r="B4368" t="s">
        <v>205</v>
      </c>
    </row>
    <row r="4369" spans="1:2" outlineLevel="1" x14ac:dyDescent="0.3">
      <c r="B4369" t="s">
        <v>208</v>
      </c>
    </row>
    <row r="4370" spans="1:2" outlineLevel="1" x14ac:dyDescent="0.3">
      <c r="B4370" t="s">
        <v>211</v>
      </c>
    </row>
    <row r="4371" spans="1:2" outlineLevel="1" x14ac:dyDescent="0.3">
      <c r="B4371" t="s">
        <v>214</v>
      </c>
    </row>
    <row r="4372" spans="1:2" outlineLevel="1" x14ac:dyDescent="0.3">
      <c r="B4372" t="s">
        <v>217</v>
      </c>
    </row>
    <row r="4373" spans="1:2" outlineLevel="1" x14ac:dyDescent="0.3">
      <c r="B4373" t="s">
        <v>220</v>
      </c>
    </row>
    <row r="4374" spans="1:2" outlineLevel="1" x14ac:dyDescent="0.3">
      <c r="B4374" t="s">
        <v>223</v>
      </c>
    </row>
    <row r="4375" spans="1:2" outlineLevel="1" x14ac:dyDescent="0.3">
      <c r="B4375" t="s">
        <v>226</v>
      </c>
    </row>
    <row r="4376" spans="1:2" outlineLevel="1" x14ac:dyDescent="0.3">
      <c r="B4376" t="s">
        <v>229</v>
      </c>
    </row>
    <row r="4377" spans="1:2" outlineLevel="1" x14ac:dyDescent="0.3">
      <c r="B4377" t="s">
        <v>232</v>
      </c>
    </row>
    <row r="4378" spans="1:2" outlineLevel="1" x14ac:dyDescent="0.3">
      <c r="B4378" t="s">
        <v>235</v>
      </c>
    </row>
    <row r="4379" spans="1:2" x14ac:dyDescent="0.3">
      <c r="A4379" t="s">
        <v>238</v>
      </c>
    </row>
    <row r="4380" spans="1:2" outlineLevel="1" x14ac:dyDescent="0.3">
      <c r="B4380" t="s">
        <v>241</v>
      </c>
    </row>
    <row r="4381" spans="1:2" outlineLevel="1" x14ac:dyDescent="0.3">
      <c r="B4381" t="s">
        <v>244</v>
      </c>
    </row>
    <row r="4382" spans="1:2" outlineLevel="1" x14ac:dyDescent="0.3">
      <c r="B4382" t="s">
        <v>247</v>
      </c>
    </row>
    <row r="4383" spans="1:2" outlineLevel="1" x14ac:dyDescent="0.3">
      <c r="B4383" t="s">
        <v>250</v>
      </c>
    </row>
    <row r="4384" spans="1:2" outlineLevel="1" x14ac:dyDescent="0.3">
      <c r="B4384" t="s">
        <v>253</v>
      </c>
    </row>
    <row r="4385" spans="1:3" outlineLevel="1" x14ac:dyDescent="0.3">
      <c r="B4385" t="s">
        <v>256</v>
      </c>
    </row>
    <row r="4386" spans="1:3" outlineLevel="1" x14ac:dyDescent="0.3">
      <c r="B4386" t="s">
        <v>259</v>
      </c>
    </row>
    <row r="4387" spans="1:3" outlineLevel="1" x14ac:dyDescent="0.3">
      <c r="B4387" t="s">
        <v>262</v>
      </c>
    </row>
    <row r="4388" spans="1:3" outlineLevel="1" x14ac:dyDescent="0.3">
      <c r="B4388" t="s">
        <v>265</v>
      </c>
    </row>
    <row r="4389" spans="1:3" outlineLevel="1" x14ac:dyDescent="0.3">
      <c r="B4389" t="s">
        <v>268</v>
      </c>
    </row>
    <row r="4390" spans="1:3" outlineLevel="1" x14ac:dyDescent="0.3">
      <c r="B4390" t="s">
        <v>271</v>
      </c>
    </row>
    <row r="4391" spans="1:3" outlineLevel="1" x14ac:dyDescent="0.3">
      <c r="B4391" t="s">
        <v>274</v>
      </c>
    </row>
    <row r="4392" spans="1:3" outlineLevel="1" x14ac:dyDescent="0.3">
      <c r="B4392" t="s">
        <v>277</v>
      </c>
    </row>
    <row r="4393" spans="1:3" outlineLevel="1" x14ac:dyDescent="0.3">
      <c r="B4393" t="s">
        <v>280</v>
      </c>
    </row>
    <row r="4394" spans="1:3" outlineLevel="1" x14ac:dyDescent="0.3">
      <c r="B4394" t="s">
        <v>283</v>
      </c>
    </row>
    <row r="4395" spans="1:3" outlineLevel="1" x14ac:dyDescent="0.3">
      <c r="B4395" t="s">
        <v>286</v>
      </c>
    </row>
    <row r="4396" spans="1:3" outlineLevel="1" x14ac:dyDescent="0.3">
      <c r="B4396" t="s">
        <v>289</v>
      </c>
    </row>
    <row r="4397" spans="1:3" x14ac:dyDescent="0.3">
      <c r="A4397" t="s">
        <v>292</v>
      </c>
    </row>
    <row r="4398" spans="1:3" outlineLevel="1" x14ac:dyDescent="0.3">
      <c r="B4398" t="s">
        <v>295</v>
      </c>
    </row>
    <row r="4399" spans="1:3" hidden="1" outlineLevel="2" x14ac:dyDescent="0.3">
      <c r="C4399" t="s">
        <v>298</v>
      </c>
    </row>
    <row r="4400" spans="1:3" hidden="1" outlineLevel="2" x14ac:dyDescent="0.3">
      <c r="C4400" t="s">
        <v>301</v>
      </c>
    </row>
    <row r="4401" spans="2:3" hidden="1" outlineLevel="2" x14ac:dyDescent="0.3">
      <c r="C4401" t="s">
        <v>304</v>
      </c>
    </row>
    <row r="4402" spans="2:3" hidden="1" outlineLevel="2" x14ac:dyDescent="0.3">
      <c r="C4402" t="s">
        <v>307</v>
      </c>
    </row>
    <row r="4403" spans="2:3" hidden="1" outlineLevel="2" x14ac:dyDescent="0.3">
      <c r="C4403" t="s">
        <v>310</v>
      </c>
    </row>
    <row r="4404" spans="2:3" hidden="1" outlineLevel="2" x14ac:dyDescent="0.3">
      <c r="C4404" t="s">
        <v>313</v>
      </c>
    </row>
    <row r="4405" spans="2:3" hidden="1" outlineLevel="2" x14ac:dyDescent="0.3">
      <c r="C4405" t="s">
        <v>316</v>
      </c>
    </row>
    <row r="4406" spans="2:3" outlineLevel="1" collapsed="1" x14ac:dyDescent="0.3">
      <c r="B4406" t="s">
        <v>319</v>
      </c>
    </row>
    <row r="4407" spans="2:3" outlineLevel="1" x14ac:dyDescent="0.3">
      <c r="B4407" t="s">
        <v>322</v>
      </c>
    </row>
    <row r="4408" spans="2:3" outlineLevel="1" x14ac:dyDescent="0.3">
      <c r="B4408" t="s">
        <v>325</v>
      </c>
    </row>
    <row r="4409" spans="2:3" outlineLevel="1" x14ac:dyDescent="0.3">
      <c r="B4409" t="s">
        <v>328</v>
      </c>
    </row>
    <row r="4410" spans="2:3" outlineLevel="1" x14ac:dyDescent="0.3">
      <c r="B4410" t="s">
        <v>331</v>
      </c>
    </row>
    <row r="4411" spans="2:3" outlineLevel="1" x14ac:dyDescent="0.3">
      <c r="B4411" t="s">
        <v>334</v>
      </c>
    </row>
    <row r="4412" spans="2:3" outlineLevel="1" x14ac:dyDescent="0.3">
      <c r="B4412" t="s">
        <v>337</v>
      </c>
    </row>
    <row r="4413" spans="2:3" outlineLevel="1" x14ac:dyDescent="0.3">
      <c r="B4413" t="s">
        <v>340</v>
      </c>
    </row>
    <row r="4414" spans="2:3" outlineLevel="1" x14ac:dyDescent="0.3">
      <c r="B4414" t="s">
        <v>343</v>
      </c>
    </row>
    <row r="4415" spans="2:3" outlineLevel="1" x14ac:dyDescent="0.3">
      <c r="B4415" t="s">
        <v>346</v>
      </c>
    </row>
    <row r="4416" spans="2:3" outlineLevel="1" x14ac:dyDescent="0.3">
      <c r="B4416" t="s">
        <v>349</v>
      </c>
    </row>
    <row r="4417" spans="1:3" x14ac:dyDescent="0.3">
      <c r="A4417" t="s">
        <v>352</v>
      </c>
    </row>
    <row r="4418" spans="1:3" outlineLevel="1" x14ac:dyDescent="0.3">
      <c r="B4418" t="s">
        <v>355</v>
      </c>
    </row>
    <row r="4419" spans="1:3" hidden="1" outlineLevel="2" x14ac:dyDescent="0.3">
      <c r="C4419" t="s">
        <v>358</v>
      </c>
    </row>
    <row r="4420" spans="1:3" hidden="1" outlineLevel="2" x14ac:dyDescent="0.3">
      <c r="C4420" t="s">
        <v>361</v>
      </c>
    </row>
    <row r="4421" spans="1:3" outlineLevel="1" collapsed="1" x14ac:dyDescent="0.3">
      <c r="B4421" t="s">
        <v>364</v>
      </c>
    </row>
    <row r="4422" spans="1:3" outlineLevel="1" x14ac:dyDescent="0.3">
      <c r="B4422" t="s">
        <v>367</v>
      </c>
    </row>
    <row r="4423" spans="1:3" outlineLevel="1" x14ac:dyDescent="0.3">
      <c r="B4423" t="s">
        <v>370</v>
      </c>
    </row>
    <row r="4424" spans="1:3" outlineLevel="1" x14ac:dyDescent="0.3">
      <c r="B4424" t="s">
        <v>373</v>
      </c>
    </row>
    <row r="4425" spans="1:3" outlineLevel="1" x14ac:dyDescent="0.3">
      <c r="B4425" t="s">
        <v>376</v>
      </c>
    </row>
    <row r="4426" spans="1:3" outlineLevel="1" x14ac:dyDescent="0.3">
      <c r="B4426" t="s">
        <v>378</v>
      </c>
    </row>
    <row r="4427" spans="1:3" outlineLevel="1" x14ac:dyDescent="0.3">
      <c r="B4427" t="s">
        <v>380</v>
      </c>
    </row>
    <row r="4428" spans="1:3" outlineLevel="1" x14ac:dyDescent="0.3">
      <c r="B4428" t="s">
        <v>382</v>
      </c>
    </row>
    <row r="4429" spans="1:3" outlineLevel="1" x14ac:dyDescent="0.3">
      <c r="B4429" t="s">
        <v>523</v>
      </c>
    </row>
    <row r="4430" spans="1:3" outlineLevel="1" x14ac:dyDescent="0.3">
      <c r="B4430" t="s">
        <v>385</v>
      </c>
    </row>
    <row r="4431" spans="1:3" outlineLevel="1" x14ac:dyDescent="0.3">
      <c r="B4431" t="s">
        <v>387</v>
      </c>
    </row>
    <row r="4432" spans="1:3" outlineLevel="1" x14ac:dyDescent="0.3">
      <c r="B4432" t="s">
        <v>389</v>
      </c>
    </row>
    <row r="4433" spans="1:3" outlineLevel="1" x14ac:dyDescent="0.3">
      <c r="B4433" t="s">
        <v>391</v>
      </c>
    </row>
    <row r="4434" spans="1:3" outlineLevel="1" x14ac:dyDescent="0.3">
      <c r="B4434" t="s">
        <v>393</v>
      </c>
    </row>
    <row r="4435" spans="1:3" x14ac:dyDescent="0.3">
      <c r="A4435" t="s">
        <v>395</v>
      </c>
    </row>
    <row r="4441" spans="1:3" x14ac:dyDescent="0.3">
      <c r="A4441" t="s">
        <v>68</v>
      </c>
    </row>
    <row r="4442" spans="1:3" outlineLevel="1" x14ac:dyDescent="0.3">
      <c r="B4442" t="s">
        <v>71</v>
      </c>
    </row>
    <row r="4443" spans="1:3" hidden="1" outlineLevel="2" x14ac:dyDescent="0.3">
      <c r="C4443" t="s">
        <v>2450</v>
      </c>
    </row>
    <row r="4444" spans="1:3" hidden="1" outlineLevel="2" x14ac:dyDescent="0.3">
      <c r="C4444" t="s">
        <v>2451</v>
      </c>
    </row>
    <row r="4445" spans="1:3" outlineLevel="1" collapsed="1" x14ac:dyDescent="0.3">
      <c r="B4445" t="s">
        <v>86</v>
      </c>
    </row>
    <row r="4446" spans="1:3" hidden="1" outlineLevel="2" x14ac:dyDescent="0.3">
      <c r="C4446" t="s">
        <v>2452</v>
      </c>
    </row>
    <row r="4447" spans="1:3" hidden="1" outlineLevel="2" x14ac:dyDescent="0.3">
      <c r="C4447" t="s">
        <v>2453</v>
      </c>
    </row>
    <row r="4448" spans="1:3" hidden="1" outlineLevel="2" x14ac:dyDescent="0.3">
      <c r="C4448" t="s">
        <v>2454</v>
      </c>
    </row>
    <row r="4449" spans="2:3" hidden="1" outlineLevel="2" x14ac:dyDescent="0.3">
      <c r="C4449" t="s">
        <v>2455</v>
      </c>
    </row>
    <row r="4450" spans="2:3" outlineLevel="1" collapsed="1" x14ac:dyDescent="0.3">
      <c r="B4450" t="s">
        <v>104</v>
      </c>
    </row>
    <row r="4451" spans="2:3" outlineLevel="1" x14ac:dyDescent="0.3">
      <c r="B4451" t="s">
        <v>107</v>
      </c>
    </row>
    <row r="4452" spans="2:3" outlineLevel="1" x14ac:dyDescent="0.3">
      <c r="B4452" t="s">
        <v>110</v>
      </c>
    </row>
    <row r="4453" spans="2:3" hidden="1" outlineLevel="2" x14ac:dyDescent="0.3">
      <c r="C4453" t="s">
        <v>2456</v>
      </c>
    </row>
    <row r="4454" spans="2:3" hidden="1" outlineLevel="2" x14ac:dyDescent="0.3">
      <c r="C4454" t="s">
        <v>2457</v>
      </c>
    </row>
    <row r="4455" spans="2:3" hidden="1" outlineLevel="2" x14ac:dyDescent="0.3">
      <c r="C4455" t="s">
        <v>2458</v>
      </c>
    </row>
    <row r="4456" spans="2:3" hidden="1" outlineLevel="2" x14ac:dyDescent="0.3">
      <c r="C4456" t="s">
        <v>2459</v>
      </c>
    </row>
    <row r="4457" spans="2:3" hidden="1" outlineLevel="2" x14ac:dyDescent="0.3">
      <c r="C4457" t="s">
        <v>2460</v>
      </c>
    </row>
    <row r="4458" spans="2:3" hidden="1" outlineLevel="2" x14ac:dyDescent="0.3">
      <c r="C4458" t="s">
        <v>2461</v>
      </c>
    </row>
    <row r="4459" spans="2:3" hidden="1" outlineLevel="2" x14ac:dyDescent="0.3">
      <c r="C4459" t="s">
        <v>2462</v>
      </c>
    </row>
    <row r="4460" spans="2:3" hidden="1" outlineLevel="2" x14ac:dyDescent="0.3">
      <c r="C4460" t="s">
        <v>2463</v>
      </c>
    </row>
    <row r="4461" spans="2:3" hidden="1" outlineLevel="2" x14ac:dyDescent="0.3">
      <c r="C4461" t="s">
        <v>2464</v>
      </c>
    </row>
    <row r="4462" spans="2:3" hidden="1" outlineLevel="2" x14ac:dyDescent="0.3">
      <c r="C4462" t="s">
        <v>2466</v>
      </c>
    </row>
    <row r="4463" spans="2:3" hidden="1" outlineLevel="2" x14ac:dyDescent="0.3">
      <c r="C4463" t="s">
        <v>2467</v>
      </c>
    </row>
    <row r="4464" spans="2:3" hidden="1" outlineLevel="2" x14ac:dyDescent="0.3">
      <c r="C4464" t="s">
        <v>2468</v>
      </c>
    </row>
    <row r="4465" spans="3:3" hidden="1" outlineLevel="2" x14ac:dyDescent="0.3">
      <c r="C4465" t="s">
        <v>2469</v>
      </c>
    </row>
    <row r="4466" spans="3:3" hidden="1" outlineLevel="2" x14ac:dyDescent="0.3">
      <c r="C4466" t="s">
        <v>3686</v>
      </c>
    </row>
    <row r="4467" spans="3:3" hidden="1" outlineLevel="2" x14ac:dyDescent="0.3">
      <c r="C4467" t="s">
        <v>3687</v>
      </c>
    </row>
    <row r="4468" spans="3:3" hidden="1" outlineLevel="2" x14ac:dyDescent="0.3">
      <c r="C4468" t="s">
        <v>3688</v>
      </c>
    </row>
    <row r="4469" spans="3:3" hidden="1" outlineLevel="2" x14ac:dyDescent="0.3">
      <c r="C4469" t="s">
        <v>2470</v>
      </c>
    </row>
    <row r="4470" spans="3:3" hidden="1" outlineLevel="2" x14ac:dyDescent="0.3">
      <c r="C4470" t="s">
        <v>2471</v>
      </c>
    </row>
    <row r="4471" spans="3:3" hidden="1" outlineLevel="2" x14ac:dyDescent="0.3">
      <c r="C4471" t="s">
        <v>2472</v>
      </c>
    </row>
    <row r="4472" spans="3:3" hidden="1" outlineLevel="2" x14ac:dyDescent="0.3">
      <c r="C4472" t="s">
        <v>2473</v>
      </c>
    </row>
    <row r="4473" spans="3:3" hidden="1" outlineLevel="2" x14ac:dyDescent="0.3">
      <c r="C4473" t="s">
        <v>2474</v>
      </c>
    </row>
    <row r="4474" spans="3:3" hidden="1" outlineLevel="2" x14ac:dyDescent="0.3">
      <c r="C4474" t="s">
        <v>2475</v>
      </c>
    </row>
    <row r="4475" spans="3:3" hidden="1" outlineLevel="2" x14ac:dyDescent="0.3">
      <c r="C4475" t="s">
        <v>2476</v>
      </c>
    </row>
    <row r="4476" spans="3:3" hidden="1" outlineLevel="2" x14ac:dyDescent="0.3">
      <c r="C4476" t="s">
        <v>2477</v>
      </c>
    </row>
    <row r="4477" spans="3:3" hidden="1" outlineLevel="2" x14ac:dyDescent="0.3">
      <c r="C4477" t="s">
        <v>2478</v>
      </c>
    </row>
    <row r="4478" spans="3:3" hidden="1" outlineLevel="2" x14ac:dyDescent="0.3">
      <c r="C4478" t="s">
        <v>2479</v>
      </c>
    </row>
    <row r="4479" spans="3:3" hidden="1" outlineLevel="2" x14ac:dyDescent="0.3">
      <c r="C4479" t="s">
        <v>2480</v>
      </c>
    </row>
    <row r="4480" spans="3:3" hidden="1" outlineLevel="2" x14ac:dyDescent="0.3">
      <c r="C4480" t="s">
        <v>2481</v>
      </c>
    </row>
    <row r="4481" spans="2:3" hidden="1" outlineLevel="2" x14ac:dyDescent="0.3">
      <c r="C4481" t="s">
        <v>2482</v>
      </c>
    </row>
    <row r="4482" spans="2:3" hidden="1" outlineLevel="2" x14ac:dyDescent="0.3">
      <c r="C4482" t="s">
        <v>2483</v>
      </c>
    </row>
    <row r="4483" spans="2:3" hidden="1" outlineLevel="2" x14ac:dyDescent="0.3">
      <c r="C4483" t="s">
        <v>2485</v>
      </c>
    </row>
    <row r="4484" spans="2:3" hidden="1" outlineLevel="2" x14ac:dyDescent="0.3">
      <c r="C4484" t="s">
        <v>2486</v>
      </c>
    </row>
    <row r="4485" spans="2:3" hidden="1" outlineLevel="2" x14ac:dyDescent="0.3">
      <c r="C4485" t="s">
        <v>2487</v>
      </c>
    </row>
    <row r="4486" spans="2:3" hidden="1" outlineLevel="2" x14ac:dyDescent="0.3">
      <c r="C4486" t="s">
        <v>2488</v>
      </c>
    </row>
    <row r="4487" spans="2:3" hidden="1" outlineLevel="2" x14ac:dyDescent="0.3">
      <c r="C4487" t="s">
        <v>3689</v>
      </c>
    </row>
    <row r="4488" spans="2:3" hidden="1" outlineLevel="2" x14ac:dyDescent="0.3">
      <c r="C4488" t="s">
        <v>2489</v>
      </c>
    </row>
    <row r="4489" spans="2:3" hidden="1" outlineLevel="2" x14ac:dyDescent="0.3">
      <c r="C4489" t="s">
        <v>2490</v>
      </c>
    </row>
    <row r="4490" spans="2:3" hidden="1" outlineLevel="2" x14ac:dyDescent="0.3">
      <c r="C4490" t="s">
        <v>2491</v>
      </c>
    </row>
    <row r="4491" spans="2:3" hidden="1" outlineLevel="2" x14ac:dyDescent="0.3">
      <c r="C4491" t="s">
        <v>2492</v>
      </c>
    </row>
    <row r="4492" spans="2:3" outlineLevel="1" collapsed="1" x14ac:dyDescent="0.3">
      <c r="B4492" t="s">
        <v>221</v>
      </c>
    </row>
    <row r="4493" spans="2:3" hidden="1" outlineLevel="2" x14ac:dyDescent="0.3">
      <c r="C4493" t="s">
        <v>2493</v>
      </c>
    </row>
    <row r="4494" spans="2:3" hidden="1" outlineLevel="2" x14ac:dyDescent="0.3">
      <c r="C4494" t="s">
        <v>2494</v>
      </c>
    </row>
    <row r="4495" spans="2:3" hidden="1" outlineLevel="2" x14ac:dyDescent="0.3">
      <c r="C4495" t="s">
        <v>2495</v>
      </c>
    </row>
    <row r="4496" spans="2:3" hidden="1" outlineLevel="2" x14ac:dyDescent="0.3">
      <c r="C4496" t="s">
        <v>2496</v>
      </c>
    </row>
    <row r="4497" spans="3:3" hidden="1" outlineLevel="2" x14ac:dyDescent="0.3">
      <c r="C4497" t="s">
        <v>2497</v>
      </c>
    </row>
    <row r="4498" spans="3:3" hidden="1" outlineLevel="2" x14ac:dyDescent="0.3">
      <c r="C4498" t="s">
        <v>2498</v>
      </c>
    </row>
    <row r="4499" spans="3:3" hidden="1" outlineLevel="2" x14ac:dyDescent="0.3">
      <c r="C4499" t="s">
        <v>2499</v>
      </c>
    </row>
    <row r="4500" spans="3:3" hidden="1" outlineLevel="2" x14ac:dyDescent="0.3">
      <c r="C4500" t="s">
        <v>2500</v>
      </c>
    </row>
    <row r="4501" spans="3:3" hidden="1" outlineLevel="2" x14ac:dyDescent="0.3">
      <c r="C4501" t="s">
        <v>2501</v>
      </c>
    </row>
    <row r="4502" spans="3:3" hidden="1" outlineLevel="2" x14ac:dyDescent="0.3">
      <c r="C4502" t="s">
        <v>2503</v>
      </c>
    </row>
    <row r="4503" spans="3:3" hidden="1" outlineLevel="2" x14ac:dyDescent="0.3">
      <c r="C4503" t="s">
        <v>2504</v>
      </c>
    </row>
    <row r="4504" spans="3:3" hidden="1" outlineLevel="2" x14ac:dyDescent="0.3">
      <c r="C4504" t="s">
        <v>2505</v>
      </c>
    </row>
    <row r="4505" spans="3:3" hidden="1" outlineLevel="2" x14ac:dyDescent="0.3">
      <c r="C4505" t="s">
        <v>2506</v>
      </c>
    </row>
    <row r="4506" spans="3:3" hidden="1" outlineLevel="2" x14ac:dyDescent="0.3">
      <c r="C4506" t="s">
        <v>3690</v>
      </c>
    </row>
    <row r="4507" spans="3:3" hidden="1" outlineLevel="2" x14ac:dyDescent="0.3">
      <c r="C4507" t="s">
        <v>3691</v>
      </c>
    </row>
    <row r="4508" spans="3:3" hidden="1" outlineLevel="2" x14ac:dyDescent="0.3">
      <c r="C4508" t="s">
        <v>2507</v>
      </c>
    </row>
    <row r="4509" spans="3:3" hidden="1" outlineLevel="2" x14ac:dyDescent="0.3">
      <c r="C4509" t="s">
        <v>2508</v>
      </c>
    </row>
    <row r="4510" spans="3:3" hidden="1" outlineLevel="2" x14ac:dyDescent="0.3">
      <c r="C4510" t="s">
        <v>2509</v>
      </c>
    </row>
    <row r="4511" spans="3:3" hidden="1" outlineLevel="2" x14ac:dyDescent="0.3">
      <c r="C4511" t="s">
        <v>2510</v>
      </c>
    </row>
    <row r="4512" spans="3:3" hidden="1" outlineLevel="2" x14ac:dyDescent="0.3">
      <c r="C4512" t="s">
        <v>2511</v>
      </c>
    </row>
    <row r="4513" spans="2:3" hidden="1" outlineLevel="2" x14ac:dyDescent="0.3">
      <c r="C4513" t="s">
        <v>2512</v>
      </c>
    </row>
    <row r="4514" spans="2:3" hidden="1" outlineLevel="2" x14ac:dyDescent="0.3">
      <c r="C4514" t="s">
        <v>2513</v>
      </c>
    </row>
    <row r="4515" spans="2:3" hidden="1" outlineLevel="2" x14ac:dyDescent="0.3">
      <c r="C4515" t="s">
        <v>2514</v>
      </c>
    </row>
    <row r="4516" spans="2:3" hidden="1" outlineLevel="2" x14ac:dyDescent="0.3">
      <c r="C4516" t="s">
        <v>2515</v>
      </c>
    </row>
    <row r="4517" spans="2:3" hidden="1" outlineLevel="2" x14ac:dyDescent="0.3">
      <c r="C4517" t="s">
        <v>2517</v>
      </c>
    </row>
    <row r="4518" spans="2:3" hidden="1" outlineLevel="2" x14ac:dyDescent="0.3">
      <c r="C4518" t="s">
        <v>2518</v>
      </c>
    </row>
    <row r="4519" spans="2:3" hidden="1" outlineLevel="2" x14ac:dyDescent="0.3">
      <c r="C4519" t="s">
        <v>2519</v>
      </c>
    </row>
    <row r="4520" spans="2:3" hidden="1" outlineLevel="2" x14ac:dyDescent="0.3">
      <c r="C4520" t="s">
        <v>2520</v>
      </c>
    </row>
    <row r="4521" spans="2:3" hidden="1" outlineLevel="2" x14ac:dyDescent="0.3">
      <c r="C4521" t="s">
        <v>3692</v>
      </c>
    </row>
    <row r="4522" spans="2:3" hidden="1" outlineLevel="2" x14ac:dyDescent="0.3">
      <c r="C4522" t="s">
        <v>2521</v>
      </c>
    </row>
    <row r="4523" spans="2:3" hidden="1" outlineLevel="2" x14ac:dyDescent="0.3">
      <c r="C4523" t="s">
        <v>2522</v>
      </c>
    </row>
    <row r="4524" spans="2:3" hidden="1" outlineLevel="2" x14ac:dyDescent="0.3">
      <c r="C4524" t="s">
        <v>2523</v>
      </c>
    </row>
    <row r="4525" spans="2:3" hidden="1" outlineLevel="2" x14ac:dyDescent="0.3">
      <c r="C4525" t="s">
        <v>2524</v>
      </c>
    </row>
    <row r="4526" spans="2:3" outlineLevel="1" collapsed="1" x14ac:dyDescent="0.3">
      <c r="B4526" t="s">
        <v>311</v>
      </c>
    </row>
    <row r="4527" spans="2:3" hidden="1" outlineLevel="2" x14ac:dyDescent="0.3">
      <c r="C4527" t="s">
        <v>314</v>
      </c>
    </row>
    <row r="4528" spans="2:3" hidden="1" outlineLevel="2" x14ac:dyDescent="0.3">
      <c r="C4528" t="s">
        <v>317</v>
      </c>
    </row>
    <row r="4529" spans="1:3" hidden="1" outlineLevel="2" x14ac:dyDescent="0.3">
      <c r="C4529" t="s">
        <v>320</v>
      </c>
    </row>
    <row r="4530" spans="1:3" hidden="1" outlineLevel="2" x14ac:dyDescent="0.3">
      <c r="C4530" t="s">
        <v>323</v>
      </c>
    </row>
    <row r="4531" spans="1:3" outlineLevel="1" collapsed="1" x14ac:dyDescent="0.3">
      <c r="B4531" t="s">
        <v>326</v>
      </c>
    </row>
    <row r="4532" spans="1:3" outlineLevel="1" x14ac:dyDescent="0.3">
      <c r="B4532" t="s">
        <v>329</v>
      </c>
    </row>
    <row r="4533" spans="1:3" outlineLevel="1" x14ac:dyDescent="0.3">
      <c r="B4533" t="s">
        <v>332</v>
      </c>
    </row>
    <row r="4534" spans="1:3" outlineLevel="1" x14ac:dyDescent="0.3">
      <c r="B4534" t="s">
        <v>335</v>
      </c>
    </row>
    <row r="4535" spans="1:3" outlineLevel="1" x14ac:dyDescent="0.3">
      <c r="B4535" t="s">
        <v>338</v>
      </c>
    </row>
    <row r="4536" spans="1:3" outlineLevel="1" x14ac:dyDescent="0.3">
      <c r="B4536" t="s">
        <v>341</v>
      </c>
    </row>
    <row r="4537" spans="1:3" outlineLevel="1" x14ac:dyDescent="0.3">
      <c r="B4537" t="s">
        <v>344</v>
      </c>
    </row>
    <row r="4538" spans="1:3" outlineLevel="1" x14ac:dyDescent="0.3">
      <c r="B4538" t="s">
        <v>347</v>
      </c>
    </row>
    <row r="4539" spans="1:3" x14ac:dyDescent="0.3">
      <c r="A4539" t="s">
        <v>350</v>
      </c>
    </row>
    <row r="4540" spans="1:3" outlineLevel="1" x14ac:dyDescent="0.3">
      <c r="B4540" t="s">
        <v>353</v>
      </c>
    </row>
    <row r="4541" spans="1:3" hidden="1" outlineLevel="2" x14ac:dyDescent="0.3">
      <c r="C4541" t="s">
        <v>3693</v>
      </c>
    </row>
    <row r="4542" spans="1:3" hidden="1" outlineLevel="2" x14ac:dyDescent="0.3">
      <c r="C4542" t="s">
        <v>3694</v>
      </c>
    </row>
    <row r="4543" spans="1:3" hidden="1" outlineLevel="2" x14ac:dyDescent="0.3">
      <c r="C4543" t="s">
        <v>2526</v>
      </c>
    </row>
    <row r="4544" spans="1:3" hidden="1" outlineLevel="2" x14ac:dyDescent="0.3">
      <c r="C4544" t="s">
        <v>2527</v>
      </c>
    </row>
    <row r="4545" spans="3:3" hidden="1" outlineLevel="2" x14ac:dyDescent="0.3">
      <c r="C4545" t="s">
        <v>2528</v>
      </c>
    </row>
    <row r="4546" spans="3:3" hidden="1" outlineLevel="2" x14ac:dyDescent="0.3">
      <c r="C4546" t="s">
        <v>2529</v>
      </c>
    </row>
    <row r="4547" spans="3:3" hidden="1" outlineLevel="2" x14ac:dyDescent="0.3">
      <c r="C4547" t="s">
        <v>2530</v>
      </c>
    </row>
    <row r="4548" spans="3:3" hidden="1" outlineLevel="2" x14ac:dyDescent="0.3">
      <c r="C4548" t="s">
        <v>2531</v>
      </c>
    </row>
    <row r="4549" spans="3:3" hidden="1" outlineLevel="2" x14ac:dyDescent="0.3">
      <c r="C4549" t="s">
        <v>2532</v>
      </c>
    </row>
    <row r="4550" spans="3:3" hidden="1" outlineLevel="2" x14ac:dyDescent="0.3">
      <c r="C4550" t="s">
        <v>2533</v>
      </c>
    </row>
    <row r="4551" spans="3:3" hidden="1" outlineLevel="2" x14ac:dyDescent="0.3">
      <c r="C4551" t="s">
        <v>2534</v>
      </c>
    </row>
    <row r="4552" spans="3:3" hidden="1" outlineLevel="2" x14ac:dyDescent="0.3">
      <c r="C4552" t="s">
        <v>2535</v>
      </c>
    </row>
    <row r="4553" spans="3:3" hidden="1" outlineLevel="2" x14ac:dyDescent="0.3">
      <c r="C4553" t="s">
        <v>2536</v>
      </c>
    </row>
    <row r="4554" spans="3:3" hidden="1" outlineLevel="2" x14ac:dyDescent="0.3">
      <c r="C4554" t="s">
        <v>2537</v>
      </c>
    </row>
    <row r="4555" spans="3:3" hidden="1" outlineLevel="2" x14ac:dyDescent="0.3">
      <c r="C4555" t="s">
        <v>2538</v>
      </c>
    </row>
    <row r="4556" spans="3:3" hidden="1" outlineLevel="2" x14ac:dyDescent="0.3">
      <c r="C4556" t="s">
        <v>2539</v>
      </c>
    </row>
    <row r="4557" spans="3:3" hidden="1" outlineLevel="2" x14ac:dyDescent="0.3">
      <c r="C4557" t="s">
        <v>3695</v>
      </c>
    </row>
    <row r="4558" spans="3:3" hidden="1" outlineLevel="2" x14ac:dyDescent="0.3">
      <c r="C4558" t="s">
        <v>2541</v>
      </c>
    </row>
    <row r="4559" spans="3:3" hidden="1" outlineLevel="2" x14ac:dyDescent="0.3">
      <c r="C4559" t="s">
        <v>2542</v>
      </c>
    </row>
    <row r="4560" spans="3:3" hidden="1" outlineLevel="2" x14ac:dyDescent="0.3">
      <c r="C4560" t="s">
        <v>2543</v>
      </c>
    </row>
    <row r="4561" spans="2:3" hidden="1" outlineLevel="2" x14ac:dyDescent="0.3">
      <c r="C4561" t="s">
        <v>2544</v>
      </c>
    </row>
    <row r="4562" spans="2:3" hidden="1" outlineLevel="2" x14ac:dyDescent="0.3">
      <c r="C4562" t="s">
        <v>2545</v>
      </c>
    </row>
    <row r="4563" spans="2:3" hidden="1" outlineLevel="2" x14ac:dyDescent="0.3">
      <c r="C4563" t="s">
        <v>2546</v>
      </c>
    </row>
    <row r="4564" spans="2:3" hidden="1" outlineLevel="2" x14ac:dyDescent="0.3">
      <c r="C4564" t="s">
        <v>406</v>
      </c>
    </row>
    <row r="4565" spans="2:3" outlineLevel="1" collapsed="1" x14ac:dyDescent="0.3">
      <c r="B4565" t="s">
        <v>407</v>
      </c>
    </row>
    <row r="4566" spans="2:3" hidden="1" outlineLevel="2" x14ac:dyDescent="0.3">
      <c r="C4566" t="s">
        <v>3696</v>
      </c>
    </row>
    <row r="4567" spans="2:3" hidden="1" outlineLevel="2" x14ac:dyDescent="0.3">
      <c r="C4567" t="s">
        <v>3697</v>
      </c>
    </row>
    <row r="4568" spans="2:3" hidden="1" outlineLevel="2" x14ac:dyDescent="0.3">
      <c r="C4568" t="s">
        <v>2548</v>
      </c>
    </row>
    <row r="4569" spans="2:3" hidden="1" outlineLevel="2" x14ac:dyDescent="0.3">
      <c r="C4569" t="s">
        <v>2549</v>
      </c>
    </row>
    <row r="4570" spans="2:3" hidden="1" outlineLevel="2" x14ac:dyDescent="0.3">
      <c r="C4570" t="s">
        <v>2550</v>
      </c>
    </row>
    <row r="4571" spans="2:3" hidden="1" outlineLevel="2" x14ac:dyDescent="0.3">
      <c r="C4571" t="s">
        <v>2551</v>
      </c>
    </row>
    <row r="4572" spans="2:3" hidden="1" outlineLevel="2" x14ac:dyDescent="0.3">
      <c r="C4572" t="s">
        <v>2552</v>
      </c>
    </row>
    <row r="4573" spans="2:3" hidden="1" outlineLevel="2" x14ac:dyDescent="0.3">
      <c r="C4573" t="s">
        <v>2553</v>
      </c>
    </row>
    <row r="4574" spans="2:3" hidden="1" outlineLevel="2" x14ac:dyDescent="0.3">
      <c r="C4574" t="s">
        <v>2554</v>
      </c>
    </row>
    <row r="4575" spans="2:3" hidden="1" outlineLevel="2" x14ac:dyDescent="0.3">
      <c r="C4575" t="s">
        <v>2555</v>
      </c>
    </row>
    <row r="4576" spans="2:3" hidden="1" outlineLevel="2" x14ac:dyDescent="0.3">
      <c r="C4576" t="s">
        <v>2556</v>
      </c>
    </row>
    <row r="4577" spans="2:3" hidden="1" outlineLevel="2" x14ac:dyDescent="0.3">
      <c r="C4577" t="s">
        <v>2557</v>
      </c>
    </row>
    <row r="4578" spans="2:3" hidden="1" outlineLevel="2" x14ac:dyDescent="0.3">
      <c r="C4578" t="s">
        <v>2558</v>
      </c>
    </row>
    <row r="4579" spans="2:3" hidden="1" outlineLevel="2" x14ac:dyDescent="0.3">
      <c r="C4579" t="s">
        <v>2559</v>
      </c>
    </row>
    <row r="4580" spans="2:3" hidden="1" outlineLevel="2" x14ac:dyDescent="0.3">
      <c r="C4580" t="s">
        <v>2560</v>
      </c>
    </row>
    <row r="4581" spans="2:3" hidden="1" outlineLevel="2" x14ac:dyDescent="0.3">
      <c r="C4581" t="s">
        <v>2561</v>
      </c>
    </row>
    <row r="4582" spans="2:3" hidden="1" outlineLevel="2" x14ac:dyDescent="0.3">
      <c r="C4582" t="s">
        <v>3698</v>
      </c>
    </row>
    <row r="4583" spans="2:3" hidden="1" outlineLevel="2" x14ac:dyDescent="0.3">
      <c r="C4583" t="s">
        <v>2563</v>
      </c>
    </row>
    <row r="4584" spans="2:3" hidden="1" outlineLevel="2" x14ac:dyDescent="0.3">
      <c r="C4584" t="s">
        <v>2564</v>
      </c>
    </row>
    <row r="4585" spans="2:3" hidden="1" outlineLevel="2" x14ac:dyDescent="0.3">
      <c r="C4585" t="s">
        <v>2565</v>
      </c>
    </row>
    <row r="4586" spans="2:3" hidden="1" outlineLevel="2" x14ac:dyDescent="0.3">
      <c r="C4586" t="s">
        <v>2566</v>
      </c>
    </row>
    <row r="4587" spans="2:3" hidden="1" outlineLevel="2" x14ac:dyDescent="0.3">
      <c r="C4587" t="s">
        <v>2567</v>
      </c>
    </row>
    <row r="4588" spans="2:3" hidden="1" outlineLevel="2" x14ac:dyDescent="0.3">
      <c r="C4588" t="s">
        <v>2568</v>
      </c>
    </row>
    <row r="4589" spans="2:3" hidden="1" outlineLevel="2" x14ac:dyDescent="0.3">
      <c r="C4589" t="s">
        <v>435</v>
      </c>
    </row>
    <row r="4590" spans="2:3" outlineLevel="1" collapsed="1" x14ac:dyDescent="0.3">
      <c r="B4590" t="s">
        <v>436</v>
      </c>
    </row>
    <row r="4591" spans="2:3" outlineLevel="1" x14ac:dyDescent="0.3">
      <c r="B4591" t="s">
        <v>437</v>
      </c>
    </row>
    <row r="4592" spans="2:3" outlineLevel="1" x14ac:dyDescent="0.3">
      <c r="B4592" t="s">
        <v>438</v>
      </c>
    </row>
    <row r="4593" spans="1:3" outlineLevel="1" x14ac:dyDescent="0.3">
      <c r="B4593" t="s">
        <v>439</v>
      </c>
    </row>
    <row r="4594" spans="1:3" outlineLevel="1" x14ac:dyDescent="0.3">
      <c r="B4594" t="s">
        <v>440</v>
      </c>
    </row>
    <row r="4595" spans="1:3" outlineLevel="1" x14ac:dyDescent="0.3">
      <c r="B4595" t="s">
        <v>441</v>
      </c>
    </row>
    <row r="4596" spans="1:3" x14ac:dyDescent="0.3">
      <c r="A4596" t="s">
        <v>442</v>
      </c>
    </row>
    <row r="4597" spans="1:3" outlineLevel="1" x14ac:dyDescent="0.3">
      <c r="B4597" t="s">
        <v>443</v>
      </c>
    </row>
    <row r="4598" spans="1:3" hidden="1" outlineLevel="2" x14ac:dyDescent="0.3">
      <c r="C4598" t="s">
        <v>2569</v>
      </c>
    </row>
    <row r="4599" spans="1:3" hidden="1" outlineLevel="2" x14ac:dyDescent="0.3">
      <c r="C4599" t="s">
        <v>2570</v>
      </c>
    </row>
    <row r="4600" spans="1:3" hidden="1" outlineLevel="2" x14ac:dyDescent="0.3">
      <c r="C4600" t="s">
        <v>3699</v>
      </c>
    </row>
    <row r="4601" spans="1:3" hidden="1" outlineLevel="2" x14ac:dyDescent="0.3">
      <c r="C4601" t="s">
        <v>3700</v>
      </c>
    </row>
    <row r="4602" spans="1:3" hidden="1" outlineLevel="2" x14ac:dyDescent="0.3">
      <c r="C4602" t="s">
        <v>2574</v>
      </c>
    </row>
    <row r="4603" spans="1:3" hidden="1" outlineLevel="2" x14ac:dyDescent="0.3">
      <c r="C4603" t="s">
        <v>2575</v>
      </c>
    </row>
    <row r="4604" spans="1:3" hidden="1" outlineLevel="2" x14ac:dyDescent="0.3">
      <c r="C4604" t="s">
        <v>2577</v>
      </c>
    </row>
    <row r="4605" spans="1:3" hidden="1" outlineLevel="2" x14ac:dyDescent="0.3">
      <c r="C4605" t="s">
        <v>2578</v>
      </c>
    </row>
    <row r="4606" spans="1:3" hidden="1" outlineLevel="2" x14ac:dyDescent="0.3">
      <c r="C4606" t="s">
        <v>2579</v>
      </c>
    </row>
    <row r="4607" spans="1:3" hidden="1" outlineLevel="2" x14ac:dyDescent="0.3">
      <c r="C4607" t="s">
        <v>2580</v>
      </c>
    </row>
    <row r="4608" spans="1:3" hidden="1" outlineLevel="2" x14ac:dyDescent="0.3">
      <c r="C4608" t="s">
        <v>2581</v>
      </c>
    </row>
    <row r="4609" spans="2:3" hidden="1" outlineLevel="2" x14ac:dyDescent="0.3">
      <c r="C4609" t="s">
        <v>2582</v>
      </c>
    </row>
    <row r="4610" spans="2:3" hidden="1" outlineLevel="2" x14ac:dyDescent="0.3">
      <c r="C4610" t="s">
        <v>2583</v>
      </c>
    </row>
    <row r="4611" spans="2:3" hidden="1" outlineLevel="2" x14ac:dyDescent="0.3">
      <c r="C4611" t="s">
        <v>2584</v>
      </c>
    </row>
    <row r="4612" spans="2:3" hidden="1" outlineLevel="2" x14ac:dyDescent="0.3">
      <c r="C4612" t="s">
        <v>2586</v>
      </c>
    </row>
    <row r="4613" spans="2:3" hidden="1" outlineLevel="2" x14ac:dyDescent="0.3">
      <c r="C4613" t="s">
        <v>2587</v>
      </c>
    </row>
    <row r="4614" spans="2:3" hidden="1" outlineLevel="2" x14ac:dyDescent="0.3">
      <c r="C4614" t="s">
        <v>2588</v>
      </c>
    </row>
    <row r="4615" spans="2:3" hidden="1" outlineLevel="2" x14ac:dyDescent="0.3">
      <c r="C4615" t="s">
        <v>2589</v>
      </c>
    </row>
    <row r="4616" spans="2:3" hidden="1" outlineLevel="2" x14ac:dyDescent="0.3">
      <c r="C4616" t="s">
        <v>2590</v>
      </c>
    </row>
    <row r="4617" spans="2:3" hidden="1" outlineLevel="2" x14ac:dyDescent="0.3">
      <c r="C4617" t="s">
        <v>2591</v>
      </c>
    </row>
    <row r="4618" spans="2:3" hidden="1" outlineLevel="2" x14ac:dyDescent="0.3">
      <c r="C4618" t="s">
        <v>474</v>
      </c>
    </row>
    <row r="4619" spans="2:3" outlineLevel="1" collapsed="1" x14ac:dyDescent="0.3">
      <c r="B4619" t="s">
        <v>475</v>
      </c>
    </row>
    <row r="4620" spans="2:3" hidden="1" outlineLevel="2" x14ac:dyDescent="0.3">
      <c r="C4620" t="s">
        <v>2592</v>
      </c>
    </row>
    <row r="4621" spans="2:3" hidden="1" outlineLevel="2" x14ac:dyDescent="0.3">
      <c r="C4621" t="s">
        <v>2593</v>
      </c>
    </row>
    <row r="4622" spans="2:3" hidden="1" outlineLevel="2" x14ac:dyDescent="0.3">
      <c r="C4622" t="s">
        <v>3701</v>
      </c>
    </row>
    <row r="4623" spans="2:3" hidden="1" outlineLevel="2" x14ac:dyDescent="0.3">
      <c r="C4623" t="s">
        <v>3702</v>
      </c>
    </row>
    <row r="4624" spans="2:3" hidden="1" outlineLevel="2" x14ac:dyDescent="0.3">
      <c r="C4624" t="s">
        <v>2597</v>
      </c>
    </row>
    <row r="4625" spans="3:3" hidden="1" outlineLevel="2" x14ac:dyDescent="0.3">
      <c r="C4625" t="s">
        <v>2598</v>
      </c>
    </row>
    <row r="4626" spans="3:3" hidden="1" outlineLevel="2" x14ac:dyDescent="0.3">
      <c r="C4626" t="s">
        <v>2600</v>
      </c>
    </row>
    <row r="4627" spans="3:3" hidden="1" outlineLevel="2" x14ac:dyDescent="0.3">
      <c r="C4627" t="s">
        <v>2601</v>
      </c>
    </row>
    <row r="4628" spans="3:3" hidden="1" outlineLevel="2" x14ac:dyDescent="0.3">
      <c r="C4628" t="s">
        <v>2602</v>
      </c>
    </row>
    <row r="4629" spans="3:3" hidden="1" outlineLevel="2" x14ac:dyDescent="0.3">
      <c r="C4629" t="s">
        <v>2603</v>
      </c>
    </row>
    <row r="4630" spans="3:3" hidden="1" outlineLevel="2" x14ac:dyDescent="0.3">
      <c r="C4630" t="s">
        <v>2604</v>
      </c>
    </row>
    <row r="4631" spans="3:3" hidden="1" outlineLevel="2" x14ac:dyDescent="0.3">
      <c r="C4631" t="s">
        <v>2605</v>
      </c>
    </row>
    <row r="4632" spans="3:3" hidden="1" outlineLevel="2" x14ac:dyDescent="0.3">
      <c r="C4632" t="s">
        <v>2606</v>
      </c>
    </row>
    <row r="4633" spans="3:3" hidden="1" outlineLevel="2" x14ac:dyDescent="0.3">
      <c r="C4633" t="s">
        <v>2608</v>
      </c>
    </row>
    <row r="4634" spans="3:3" hidden="1" outlineLevel="2" x14ac:dyDescent="0.3">
      <c r="C4634" t="s">
        <v>2609</v>
      </c>
    </row>
    <row r="4635" spans="3:3" hidden="1" outlineLevel="2" x14ac:dyDescent="0.3">
      <c r="C4635" t="s">
        <v>2610</v>
      </c>
    </row>
    <row r="4636" spans="3:3" hidden="1" outlineLevel="2" x14ac:dyDescent="0.3">
      <c r="C4636" t="s">
        <v>2611</v>
      </c>
    </row>
    <row r="4637" spans="3:3" hidden="1" outlineLevel="2" x14ac:dyDescent="0.3">
      <c r="C4637" t="s">
        <v>2612</v>
      </c>
    </row>
    <row r="4638" spans="3:3" hidden="1" outlineLevel="2" x14ac:dyDescent="0.3">
      <c r="C4638" t="s">
        <v>2613</v>
      </c>
    </row>
    <row r="4639" spans="3:3" hidden="1" outlineLevel="2" x14ac:dyDescent="0.3">
      <c r="C4639" t="s">
        <v>2614</v>
      </c>
    </row>
    <row r="4640" spans="3:3" hidden="1" outlineLevel="2" x14ac:dyDescent="0.3">
      <c r="C4640" t="s">
        <v>2615</v>
      </c>
    </row>
    <row r="4641" spans="1:3" hidden="1" outlineLevel="2" x14ac:dyDescent="0.3">
      <c r="C4641" t="s">
        <v>506</v>
      </c>
    </row>
    <row r="4642" spans="1:3" outlineLevel="1" collapsed="1" x14ac:dyDescent="0.3">
      <c r="B4642" t="s">
        <v>507</v>
      </c>
    </row>
    <row r="4643" spans="1:3" outlineLevel="1" x14ac:dyDescent="0.3">
      <c r="B4643" t="s">
        <v>508</v>
      </c>
    </row>
    <row r="4644" spans="1:3" outlineLevel="1" x14ac:dyDescent="0.3">
      <c r="B4644" t="s">
        <v>509</v>
      </c>
    </row>
    <row r="4645" spans="1:3" outlineLevel="1" x14ac:dyDescent="0.3">
      <c r="B4645" t="s">
        <v>510</v>
      </c>
    </row>
    <row r="4646" spans="1:3" outlineLevel="1" x14ac:dyDescent="0.3">
      <c r="B4646" t="s">
        <v>511</v>
      </c>
    </row>
    <row r="4647" spans="1:3" outlineLevel="1" x14ac:dyDescent="0.3">
      <c r="B4647" t="s">
        <v>512</v>
      </c>
    </row>
    <row r="4648" spans="1:3" x14ac:dyDescent="0.3">
      <c r="A4648" t="s">
        <v>513</v>
      </c>
    </row>
    <row r="4649" spans="1:3" x14ac:dyDescent="0.3">
      <c r="A4649" t="s">
        <v>514</v>
      </c>
    </row>
    <row r="4650" spans="1:3" x14ac:dyDescent="0.3">
      <c r="A4650" t="s">
        <v>515</v>
      </c>
    </row>
    <row r="4651" spans="1:3" x14ac:dyDescent="0.3">
      <c r="A4651" t="s">
        <v>516</v>
      </c>
    </row>
    <row r="4652" spans="1:3" x14ac:dyDescent="0.3">
      <c r="A4652" t="s">
        <v>517</v>
      </c>
    </row>
    <row r="4653" spans="1:3" x14ac:dyDescent="0.3">
      <c r="A4653" t="s">
        <v>518</v>
      </c>
    </row>
    <row r="4659" spans="1:4" x14ac:dyDescent="0.3">
      <c r="A4659" t="s">
        <v>524</v>
      </c>
    </row>
    <row r="4660" spans="1:4" outlineLevel="1" x14ac:dyDescent="0.3">
      <c r="B4660" t="s">
        <v>525</v>
      </c>
    </row>
    <row r="4661" spans="1:4" outlineLevel="1" x14ac:dyDescent="0.3">
      <c r="B4661" t="s">
        <v>2616</v>
      </c>
    </row>
    <row r="4662" spans="1:4" hidden="1" outlineLevel="2" x14ac:dyDescent="0.3">
      <c r="C4662" t="s">
        <v>3703</v>
      </c>
    </row>
    <row r="4663" spans="1:4" hidden="1" outlineLevel="2" x14ac:dyDescent="0.3">
      <c r="C4663" t="s">
        <v>3704</v>
      </c>
    </row>
    <row r="4664" spans="1:4" hidden="1" outlineLevel="3" x14ac:dyDescent="0.3">
      <c r="D4664" t="s">
        <v>3705</v>
      </c>
    </row>
    <row r="4665" spans="1:4" hidden="1" outlineLevel="3" x14ac:dyDescent="0.3">
      <c r="D4665" t="s">
        <v>3706</v>
      </c>
    </row>
    <row r="4666" spans="1:4" hidden="1" outlineLevel="3" x14ac:dyDescent="0.3">
      <c r="D4666" t="s">
        <v>3707</v>
      </c>
    </row>
    <row r="4667" spans="1:4" hidden="1" outlineLevel="3" x14ac:dyDescent="0.3">
      <c r="D4667" t="s">
        <v>3708</v>
      </c>
    </row>
    <row r="4668" spans="1:4" hidden="1" outlineLevel="3" x14ac:dyDescent="0.3">
      <c r="D4668" t="s">
        <v>3709</v>
      </c>
    </row>
    <row r="4669" spans="1:4" hidden="1" outlineLevel="2" x14ac:dyDescent="0.3">
      <c r="C4669" t="s">
        <v>3710</v>
      </c>
    </row>
    <row r="4670" spans="1:4" hidden="1" outlineLevel="2" x14ac:dyDescent="0.3">
      <c r="C4670" t="s">
        <v>2627</v>
      </c>
    </row>
    <row r="4671" spans="1:4" outlineLevel="1" collapsed="1" x14ac:dyDescent="0.3">
      <c r="B4671" t="s">
        <v>2628</v>
      </c>
    </row>
    <row r="4672" spans="1:4" outlineLevel="1" x14ac:dyDescent="0.3">
      <c r="B4672" t="s">
        <v>2629</v>
      </c>
    </row>
    <row r="4673" spans="2:3" outlineLevel="1" x14ac:dyDescent="0.3">
      <c r="B4673" t="s">
        <v>2631</v>
      </c>
    </row>
    <row r="4674" spans="2:3" hidden="1" outlineLevel="2" x14ac:dyDescent="0.3">
      <c r="C4674" t="s">
        <v>2632</v>
      </c>
    </row>
    <row r="4675" spans="2:3" hidden="1" outlineLevel="2" x14ac:dyDescent="0.3">
      <c r="C4675" t="s">
        <v>2633</v>
      </c>
    </row>
    <row r="4676" spans="2:3" hidden="1" outlineLevel="2" x14ac:dyDescent="0.3">
      <c r="C4676" t="s">
        <v>2634</v>
      </c>
    </row>
    <row r="4677" spans="2:3" hidden="1" outlineLevel="2" x14ac:dyDescent="0.3">
      <c r="C4677" t="s">
        <v>2635</v>
      </c>
    </row>
    <row r="4678" spans="2:3" hidden="1" outlineLevel="2" x14ac:dyDescent="0.3">
      <c r="C4678" t="s">
        <v>3711</v>
      </c>
    </row>
    <row r="4679" spans="2:3" hidden="1" outlineLevel="2" x14ac:dyDescent="0.3">
      <c r="C4679" t="s">
        <v>2636</v>
      </c>
    </row>
    <row r="4680" spans="2:3" hidden="1" outlineLevel="2" x14ac:dyDescent="0.3">
      <c r="C4680" t="s">
        <v>3712</v>
      </c>
    </row>
    <row r="4681" spans="2:3" hidden="1" outlineLevel="2" x14ac:dyDescent="0.3">
      <c r="C4681" t="s">
        <v>3713</v>
      </c>
    </row>
    <row r="4682" spans="2:3" hidden="1" outlineLevel="2" x14ac:dyDescent="0.3">
      <c r="C4682" t="s">
        <v>3714</v>
      </c>
    </row>
    <row r="4683" spans="2:3" outlineLevel="1" collapsed="1" x14ac:dyDescent="0.3">
      <c r="B4683" t="s">
        <v>2639</v>
      </c>
    </row>
    <row r="4684" spans="2:3" hidden="1" outlineLevel="2" x14ac:dyDescent="0.3">
      <c r="C4684" t="s">
        <v>2640</v>
      </c>
    </row>
    <row r="4685" spans="2:3" hidden="1" outlineLevel="2" x14ac:dyDescent="0.3">
      <c r="C4685" t="s">
        <v>2641</v>
      </c>
    </row>
    <row r="4686" spans="2:3" hidden="1" outlineLevel="2" x14ac:dyDescent="0.3">
      <c r="C4686" t="s">
        <v>2642</v>
      </c>
    </row>
    <row r="4687" spans="2:3" hidden="1" outlineLevel="2" x14ac:dyDescent="0.3">
      <c r="C4687" t="s">
        <v>2643</v>
      </c>
    </row>
    <row r="4688" spans="2:3" hidden="1" outlineLevel="2" x14ac:dyDescent="0.3">
      <c r="C4688" t="s">
        <v>2644</v>
      </c>
    </row>
    <row r="4689" spans="2:3" outlineLevel="1" collapsed="1" x14ac:dyDescent="0.3">
      <c r="B4689" t="s">
        <v>2645</v>
      </c>
    </row>
    <row r="4690" spans="2:3" hidden="1" outlineLevel="2" x14ac:dyDescent="0.3">
      <c r="C4690" t="s">
        <v>2646</v>
      </c>
    </row>
    <row r="4691" spans="2:3" hidden="1" outlineLevel="2" x14ac:dyDescent="0.3">
      <c r="C4691" t="s">
        <v>2647</v>
      </c>
    </row>
    <row r="4692" spans="2:3" hidden="1" outlineLevel="2" x14ac:dyDescent="0.3">
      <c r="C4692" t="s">
        <v>2648</v>
      </c>
    </row>
    <row r="4693" spans="2:3" hidden="1" outlineLevel="2" x14ac:dyDescent="0.3">
      <c r="C4693" t="s">
        <v>2649</v>
      </c>
    </row>
    <row r="4694" spans="2:3" hidden="1" outlineLevel="2" x14ac:dyDescent="0.3">
      <c r="C4694" t="s">
        <v>2650</v>
      </c>
    </row>
    <row r="4695" spans="2:3" outlineLevel="1" collapsed="1" x14ac:dyDescent="0.3">
      <c r="B4695" t="s">
        <v>2651</v>
      </c>
    </row>
    <row r="4696" spans="2:3" hidden="1" outlineLevel="2" x14ac:dyDescent="0.3">
      <c r="C4696" t="s">
        <v>2652</v>
      </c>
    </row>
    <row r="4697" spans="2:3" hidden="1" outlineLevel="2" x14ac:dyDescent="0.3">
      <c r="C4697" t="s">
        <v>2653</v>
      </c>
    </row>
    <row r="4698" spans="2:3" hidden="1" outlineLevel="2" x14ac:dyDescent="0.3">
      <c r="C4698" t="s">
        <v>2654</v>
      </c>
    </row>
    <row r="4699" spans="2:3" hidden="1" outlineLevel="2" x14ac:dyDescent="0.3">
      <c r="C4699" t="s">
        <v>2655</v>
      </c>
    </row>
    <row r="4700" spans="2:3" hidden="1" outlineLevel="2" x14ac:dyDescent="0.3">
      <c r="C4700" t="s">
        <v>3715</v>
      </c>
    </row>
    <row r="4701" spans="2:3" hidden="1" outlineLevel="2" x14ac:dyDescent="0.3">
      <c r="C4701" t="s">
        <v>2656</v>
      </c>
    </row>
    <row r="4702" spans="2:3" hidden="1" outlineLevel="2" x14ac:dyDescent="0.3">
      <c r="C4702" t="s">
        <v>2657</v>
      </c>
    </row>
    <row r="4703" spans="2:3" hidden="1" outlineLevel="2" x14ac:dyDescent="0.3">
      <c r="C4703" t="s">
        <v>3716</v>
      </c>
    </row>
    <row r="4704" spans="2:3" hidden="1" outlineLevel="2" x14ac:dyDescent="0.3">
      <c r="C4704" t="s">
        <v>3717</v>
      </c>
    </row>
    <row r="4705" spans="2:3" hidden="1" outlineLevel="2" x14ac:dyDescent="0.3">
      <c r="C4705" t="s">
        <v>3718</v>
      </c>
    </row>
    <row r="4706" spans="2:3" hidden="1" outlineLevel="2" x14ac:dyDescent="0.3">
      <c r="C4706" t="s">
        <v>2660</v>
      </c>
    </row>
    <row r="4707" spans="2:3" outlineLevel="1" collapsed="1" x14ac:dyDescent="0.3">
      <c r="B4707" t="s">
        <v>2661</v>
      </c>
    </row>
    <row r="4708" spans="2:3" hidden="1" outlineLevel="2" x14ac:dyDescent="0.3">
      <c r="C4708" t="s">
        <v>2662</v>
      </c>
    </row>
    <row r="4709" spans="2:3" hidden="1" outlineLevel="2" x14ac:dyDescent="0.3">
      <c r="C4709" t="s">
        <v>2663</v>
      </c>
    </row>
    <row r="4710" spans="2:3" hidden="1" outlineLevel="2" x14ac:dyDescent="0.3">
      <c r="C4710" t="s">
        <v>3719</v>
      </c>
    </row>
    <row r="4711" spans="2:3" hidden="1" outlineLevel="2" x14ac:dyDescent="0.3">
      <c r="C4711" t="s">
        <v>3720</v>
      </c>
    </row>
    <row r="4712" spans="2:3" hidden="1" outlineLevel="2" x14ac:dyDescent="0.3">
      <c r="C4712" t="s">
        <v>3721</v>
      </c>
    </row>
    <row r="4713" spans="2:3" hidden="1" outlineLevel="2" x14ac:dyDescent="0.3">
      <c r="C4713" t="s">
        <v>3722</v>
      </c>
    </row>
    <row r="4714" spans="2:3" outlineLevel="1" collapsed="1" x14ac:dyDescent="0.3">
      <c r="B4714" t="s">
        <v>2668</v>
      </c>
    </row>
    <row r="4715" spans="2:3" outlineLevel="1" x14ac:dyDescent="0.3">
      <c r="B4715" t="s">
        <v>2669</v>
      </c>
    </row>
    <row r="4716" spans="2:3" hidden="1" outlineLevel="2" x14ac:dyDescent="0.3">
      <c r="C4716" t="s">
        <v>2670</v>
      </c>
    </row>
    <row r="4717" spans="2:3" hidden="1" outlineLevel="2" x14ac:dyDescent="0.3">
      <c r="C4717" t="s">
        <v>2671</v>
      </c>
    </row>
    <row r="4718" spans="2:3" hidden="1" outlineLevel="2" x14ac:dyDescent="0.3">
      <c r="C4718" t="s">
        <v>2672</v>
      </c>
    </row>
    <row r="4719" spans="2:3" hidden="1" outlineLevel="2" x14ac:dyDescent="0.3">
      <c r="C4719" t="s">
        <v>3723</v>
      </c>
    </row>
    <row r="4720" spans="2:3" outlineLevel="1" collapsed="1" x14ac:dyDescent="0.3">
      <c r="B4720" t="s">
        <v>2674</v>
      </c>
    </row>
    <row r="4721" spans="2:4" outlineLevel="1" x14ac:dyDescent="0.3">
      <c r="B4721" t="s">
        <v>2675</v>
      </c>
    </row>
    <row r="4722" spans="2:4" outlineLevel="1" x14ac:dyDescent="0.3">
      <c r="B4722" t="s">
        <v>2676</v>
      </c>
    </row>
    <row r="4723" spans="2:4" outlineLevel="1" x14ac:dyDescent="0.3">
      <c r="B4723" t="s">
        <v>2677</v>
      </c>
    </row>
    <row r="4724" spans="2:4" outlineLevel="1" x14ac:dyDescent="0.3">
      <c r="B4724" t="s">
        <v>2678</v>
      </c>
    </row>
    <row r="4725" spans="2:4" outlineLevel="1" x14ac:dyDescent="0.3">
      <c r="B4725" t="s">
        <v>2679</v>
      </c>
    </row>
    <row r="4726" spans="2:4" hidden="1" outlineLevel="2" x14ac:dyDescent="0.3">
      <c r="C4726" t="s">
        <v>2680</v>
      </c>
    </row>
    <row r="4727" spans="2:4" hidden="1" outlineLevel="2" x14ac:dyDescent="0.3">
      <c r="C4727" t="s">
        <v>2681</v>
      </c>
    </row>
    <row r="4728" spans="2:4" hidden="1" outlineLevel="2" x14ac:dyDescent="0.3">
      <c r="C4728" t="s">
        <v>3724</v>
      </c>
    </row>
    <row r="4729" spans="2:4" hidden="1" outlineLevel="2" x14ac:dyDescent="0.3">
      <c r="C4729" t="s">
        <v>3725</v>
      </c>
    </row>
    <row r="4730" spans="2:4" hidden="1" outlineLevel="2" x14ac:dyDescent="0.3">
      <c r="C4730" t="s">
        <v>3726</v>
      </c>
    </row>
    <row r="4731" spans="2:4" hidden="1" outlineLevel="2" x14ac:dyDescent="0.3">
      <c r="C4731" t="s">
        <v>3727</v>
      </c>
    </row>
    <row r="4732" spans="2:4" hidden="1" outlineLevel="2" x14ac:dyDescent="0.3">
      <c r="C4732" t="s">
        <v>3728</v>
      </c>
    </row>
    <row r="4733" spans="2:4" hidden="1" outlineLevel="2" x14ac:dyDescent="0.3">
      <c r="C4733" t="s">
        <v>3729</v>
      </c>
    </row>
    <row r="4734" spans="2:4" hidden="1" outlineLevel="2" x14ac:dyDescent="0.3">
      <c r="C4734" t="s">
        <v>3730</v>
      </c>
    </row>
    <row r="4735" spans="2:4" hidden="1" outlineLevel="3" x14ac:dyDescent="0.3">
      <c r="D4735" t="s">
        <v>3731</v>
      </c>
    </row>
    <row r="4736" spans="2:4" hidden="1" outlineLevel="3" x14ac:dyDescent="0.3">
      <c r="D4736" t="s">
        <v>3732</v>
      </c>
    </row>
    <row r="4737" spans="3:4" hidden="1" outlineLevel="3" x14ac:dyDescent="0.3">
      <c r="D4737" t="s">
        <v>3733</v>
      </c>
    </row>
    <row r="4738" spans="3:4" hidden="1" outlineLevel="3" x14ac:dyDescent="0.3">
      <c r="D4738" t="s">
        <v>3734</v>
      </c>
    </row>
    <row r="4739" spans="3:4" hidden="1" outlineLevel="3" x14ac:dyDescent="0.3">
      <c r="D4739" t="s">
        <v>3735</v>
      </c>
    </row>
    <row r="4740" spans="3:4" hidden="1" outlineLevel="3" x14ac:dyDescent="0.3">
      <c r="D4740" t="s">
        <v>3736</v>
      </c>
    </row>
    <row r="4741" spans="3:4" hidden="1" outlineLevel="2" x14ac:dyDescent="0.3">
      <c r="C4741" t="s">
        <v>3737</v>
      </c>
    </row>
    <row r="4742" spans="3:4" hidden="1" outlineLevel="2" x14ac:dyDescent="0.3">
      <c r="C4742" t="s">
        <v>3738</v>
      </c>
    </row>
    <row r="4743" spans="3:4" hidden="1" outlineLevel="2" x14ac:dyDescent="0.3">
      <c r="C4743" t="s">
        <v>3739</v>
      </c>
    </row>
    <row r="4744" spans="3:4" hidden="1" outlineLevel="2" x14ac:dyDescent="0.3">
      <c r="C4744" t="s">
        <v>3740</v>
      </c>
    </row>
    <row r="4745" spans="3:4" hidden="1" outlineLevel="2" x14ac:dyDescent="0.3">
      <c r="C4745" t="s">
        <v>3741</v>
      </c>
    </row>
    <row r="4746" spans="3:4" hidden="1" outlineLevel="2" x14ac:dyDescent="0.3">
      <c r="C4746" t="s">
        <v>3742</v>
      </c>
    </row>
    <row r="4747" spans="3:4" hidden="1" outlineLevel="2" x14ac:dyDescent="0.3">
      <c r="C4747" t="s">
        <v>3743</v>
      </c>
    </row>
    <row r="4748" spans="3:4" hidden="1" outlineLevel="2" x14ac:dyDescent="0.3">
      <c r="C4748" t="s">
        <v>3744</v>
      </c>
    </row>
    <row r="4749" spans="3:4" hidden="1" outlineLevel="2" x14ac:dyDescent="0.3">
      <c r="C4749" t="s">
        <v>3745</v>
      </c>
    </row>
    <row r="4750" spans="3:4" hidden="1" outlineLevel="2" x14ac:dyDescent="0.3">
      <c r="C4750" t="s">
        <v>2723</v>
      </c>
    </row>
    <row r="4751" spans="3:4" hidden="1" outlineLevel="2" x14ac:dyDescent="0.3">
      <c r="C4751" t="s">
        <v>2724</v>
      </c>
    </row>
    <row r="4752" spans="3:4" hidden="1" outlineLevel="2" x14ac:dyDescent="0.3">
      <c r="C4752" t="s">
        <v>3746</v>
      </c>
    </row>
    <row r="4753" spans="2:3" outlineLevel="1" collapsed="1" x14ac:dyDescent="0.3">
      <c r="B4753" t="s">
        <v>2725</v>
      </c>
    </row>
    <row r="4754" spans="2:3" outlineLevel="1" x14ac:dyDescent="0.3">
      <c r="B4754" t="s">
        <v>2726</v>
      </c>
    </row>
    <row r="4755" spans="2:3" outlineLevel="1" x14ac:dyDescent="0.3">
      <c r="B4755" t="s">
        <v>2727</v>
      </c>
    </row>
    <row r="4756" spans="2:3" outlineLevel="1" x14ac:dyDescent="0.3">
      <c r="B4756" t="s">
        <v>2728</v>
      </c>
    </row>
    <row r="4757" spans="2:3" hidden="1" outlineLevel="2" x14ac:dyDescent="0.3">
      <c r="C4757" t="s">
        <v>3747</v>
      </c>
    </row>
    <row r="4758" spans="2:3" hidden="1" outlineLevel="2" x14ac:dyDescent="0.3">
      <c r="C4758" t="s">
        <v>3748</v>
      </c>
    </row>
    <row r="4759" spans="2:3" hidden="1" outlineLevel="2" x14ac:dyDescent="0.3">
      <c r="C4759" t="s">
        <v>3749</v>
      </c>
    </row>
    <row r="4760" spans="2:3" hidden="1" outlineLevel="2" x14ac:dyDescent="0.3">
      <c r="C4760" t="s">
        <v>3750</v>
      </c>
    </row>
    <row r="4761" spans="2:3" hidden="1" outlineLevel="2" x14ac:dyDescent="0.3">
      <c r="C4761" t="s">
        <v>3751</v>
      </c>
    </row>
    <row r="4762" spans="2:3" hidden="1" outlineLevel="2" x14ac:dyDescent="0.3">
      <c r="C4762" t="s">
        <v>2738</v>
      </c>
    </row>
    <row r="4763" spans="2:3" hidden="1" outlineLevel="2" x14ac:dyDescent="0.3">
      <c r="C4763" t="s">
        <v>3752</v>
      </c>
    </row>
    <row r="4764" spans="2:3" hidden="1" outlineLevel="2" x14ac:dyDescent="0.3">
      <c r="C4764" t="s">
        <v>3753</v>
      </c>
    </row>
    <row r="4765" spans="2:3" hidden="1" outlineLevel="2" x14ac:dyDescent="0.3">
      <c r="C4765" t="s">
        <v>3754</v>
      </c>
    </row>
    <row r="4766" spans="2:3" hidden="1" outlineLevel="2" x14ac:dyDescent="0.3">
      <c r="C4766" t="s">
        <v>2742</v>
      </c>
    </row>
    <row r="4767" spans="2:3" hidden="1" outlineLevel="2" x14ac:dyDescent="0.3">
      <c r="C4767" t="s">
        <v>2743</v>
      </c>
    </row>
    <row r="4768" spans="2:3" hidden="1" outlineLevel="2" x14ac:dyDescent="0.3">
      <c r="C4768" t="s">
        <v>3755</v>
      </c>
    </row>
    <row r="4769" spans="2:3" hidden="1" outlineLevel="2" x14ac:dyDescent="0.3">
      <c r="C4769" t="s">
        <v>3756</v>
      </c>
    </row>
    <row r="4770" spans="2:3" hidden="1" outlineLevel="2" x14ac:dyDescent="0.3">
      <c r="C4770" t="s">
        <v>3757</v>
      </c>
    </row>
    <row r="4771" spans="2:3" hidden="1" outlineLevel="2" x14ac:dyDescent="0.3">
      <c r="C4771" t="s">
        <v>3758</v>
      </c>
    </row>
    <row r="4772" spans="2:3" hidden="1" outlineLevel="2" x14ac:dyDescent="0.3">
      <c r="C4772" t="s">
        <v>2748</v>
      </c>
    </row>
    <row r="4773" spans="2:3" hidden="1" outlineLevel="2" x14ac:dyDescent="0.3">
      <c r="C4773" t="s">
        <v>2749</v>
      </c>
    </row>
    <row r="4774" spans="2:3" hidden="1" outlineLevel="2" x14ac:dyDescent="0.3">
      <c r="C4774" t="s">
        <v>2750</v>
      </c>
    </row>
    <row r="4775" spans="2:3" hidden="1" outlineLevel="2" x14ac:dyDescent="0.3">
      <c r="C4775" t="s">
        <v>2751</v>
      </c>
    </row>
    <row r="4776" spans="2:3" outlineLevel="1" collapsed="1" x14ac:dyDescent="0.3">
      <c r="B4776" t="s">
        <v>2752</v>
      </c>
    </row>
    <row r="4777" spans="2:3" outlineLevel="1" x14ac:dyDescent="0.3">
      <c r="B4777" t="s">
        <v>2753</v>
      </c>
    </row>
    <row r="4778" spans="2:3" outlineLevel="1" x14ac:dyDescent="0.3">
      <c r="B4778" t="s">
        <v>2754</v>
      </c>
    </row>
    <row r="4779" spans="2:3" hidden="1" outlineLevel="2" x14ac:dyDescent="0.3">
      <c r="C4779" t="s">
        <v>2755</v>
      </c>
    </row>
    <row r="4780" spans="2:3" hidden="1" outlineLevel="2" x14ac:dyDescent="0.3">
      <c r="C4780" t="s">
        <v>2756</v>
      </c>
    </row>
    <row r="4781" spans="2:3" hidden="1" outlineLevel="2" x14ac:dyDescent="0.3">
      <c r="C4781" t="s">
        <v>2757</v>
      </c>
    </row>
    <row r="4782" spans="2:3" hidden="1" outlineLevel="2" x14ac:dyDescent="0.3">
      <c r="C4782" t="s">
        <v>2758</v>
      </c>
    </row>
    <row r="4783" spans="2:3" hidden="1" outlineLevel="2" x14ac:dyDescent="0.3">
      <c r="C4783" t="s">
        <v>2759</v>
      </c>
    </row>
    <row r="4784" spans="2:3" outlineLevel="1" collapsed="1" x14ac:dyDescent="0.3">
      <c r="B4784" t="s">
        <v>2760</v>
      </c>
    </row>
    <row r="4785" spans="2:3" outlineLevel="1" x14ac:dyDescent="0.3">
      <c r="B4785" t="s">
        <v>2761</v>
      </c>
    </row>
    <row r="4786" spans="2:3" hidden="1" outlineLevel="2" x14ac:dyDescent="0.3">
      <c r="C4786" t="s">
        <v>3759</v>
      </c>
    </row>
    <row r="4787" spans="2:3" hidden="1" outlineLevel="2" x14ac:dyDescent="0.3">
      <c r="C4787" t="s">
        <v>2763</v>
      </c>
    </row>
    <row r="4788" spans="2:3" hidden="1" outlineLevel="2" x14ac:dyDescent="0.3">
      <c r="C4788" t="s">
        <v>2764</v>
      </c>
    </row>
    <row r="4789" spans="2:3" hidden="1" outlineLevel="2" x14ac:dyDescent="0.3">
      <c r="C4789" t="s">
        <v>2765</v>
      </c>
    </row>
    <row r="4790" spans="2:3" hidden="1" outlineLevel="2" x14ac:dyDescent="0.3">
      <c r="C4790" t="s">
        <v>2766</v>
      </c>
    </row>
    <row r="4791" spans="2:3" outlineLevel="1" collapsed="1" x14ac:dyDescent="0.3">
      <c r="B4791" t="s">
        <v>2767</v>
      </c>
    </row>
    <row r="4792" spans="2:3" outlineLevel="1" x14ac:dyDescent="0.3">
      <c r="B4792" t="s">
        <v>2768</v>
      </c>
    </row>
    <row r="4793" spans="2:3" outlineLevel="1" x14ac:dyDescent="0.3">
      <c r="B4793" t="s">
        <v>2769</v>
      </c>
    </row>
    <row r="4794" spans="2:3" outlineLevel="1" x14ac:dyDescent="0.3">
      <c r="B4794" t="s">
        <v>2770</v>
      </c>
    </row>
    <row r="4795" spans="2:3" outlineLevel="1" x14ac:dyDescent="0.3">
      <c r="B4795" t="s">
        <v>2771</v>
      </c>
    </row>
    <row r="4796" spans="2:3" outlineLevel="1" x14ac:dyDescent="0.3">
      <c r="B4796" t="s">
        <v>2772</v>
      </c>
    </row>
    <row r="4797" spans="2:3" hidden="1" outlineLevel="2" x14ac:dyDescent="0.3">
      <c r="C4797" t="s">
        <v>2773</v>
      </c>
    </row>
    <row r="4798" spans="2:3" hidden="1" outlineLevel="2" x14ac:dyDescent="0.3">
      <c r="C4798" t="s">
        <v>2774</v>
      </c>
    </row>
    <row r="4799" spans="2:3" hidden="1" outlineLevel="2" x14ac:dyDescent="0.3">
      <c r="C4799" t="s">
        <v>2775</v>
      </c>
    </row>
    <row r="4800" spans="2:3" hidden="1" outlineLevel="2" x14ac:dyDescent="0.3">
      <c r="C4800" t="s">
        <v>3760</v>
      </c>
    </row>
    <row r="4801" spans="3:4" hidden="1" outlineLevel="2" x14ac:dyDescent="0.3">
      <c r="C4801" t="s">
        <v>3761</v>
      </c>
    </row>
    <row r="4802" spans="3:4" hidden="1" outlineLevel="3" x14ac:dyDescent="0.3">
      <c r="D4802" t="s">
        <v>3762</v>
      </c>
    </row>
    <row r="4803" spans="3:4" hidden="1" outlineLevel="3" x14ac:dyDescent="0.3">
      <c r="D4803" t="s">
        <v>3763</v>
      </c>
    </row>
    <row r="4804" spans="3:4" hidden="1" outlineLevel="3" x14ac:dyDescent="0.3">
      <c r="D4804" t="s">
        <v>3764</v>
      </c>
    </row>
    <row r="4805" spans="3:4" hidden="1" outlineLevel="3" x14ac:dyDescent="0.3">
      <c r="D4805" t="s">
        <v>3765</v>
      </c>
    </row>
    <row r="4806" spans="3:4" hidden="1" outlineLevel="3" x14ac:dyDescent="0.3">
      <c r="D4806" t="s">
        <v>3766</v>
      </c>
    </row>
    <row r="4807" spans="3:4" hidden="1" outlineLevel="3" x14ac:dyDescent="0.3">
      <c r="D4807" t="s">
        <v>3767</v>
      </c>
    </row>
    <row r="4808" spans="3:4" hidden="1" outlineLevel="3" x14ac:dyDescent="0.3">
      <c r="D4808" t="s">
        <v>3768</v>
      </c>
    </row>
    <row r="4809" spans="3:4" hidden="1" outlineLevel="3" x14ac:dyDescent="0.3">
      <c r="D4809" t="s">
        <v>3769</v>
      </c>
    </row>
    <row r="4810" spans="3:4" hidden="1" outlineLevel="2" x14ac:dyDescent="0.3">
      <c r="C4810" t="s">
        <v>3770</v>
      </c>
    </row>
    <row r="4811" spans="3:4" hidden="1" outlineLevel="3" x14ac:dyDescent="0.3">
      <c r="D4811" t="s">
        <v>3771</v>
      </c>
    </row>
    <row r="4812" spans="3:4" hidden="1" outlineLevel="3" x14ac:dyDescent="0.3">
      <c r="D4812" t="s">
        <v>3772</v>
      </c>
    </row>
    <row r="4813" spans="3:4" hidden="1" outlineLevel="3" x14ac:dyDescent="0.3">
      <c r="D4813" t="s">
        <v>3773</v>
      </c>
    </row>
    <row r="4814" spans="3:4" hidden="1" outlineLevel="3" x14ac:dyDescent="0.3">
      <c r="D4814" t="s">
        <v>3774</v>
      </c>
    </row>
    <row r="4815" spans="3:4" hidden="1" outlineLevel="2" x14ac:dyDescent="0.3">
      <c r="C4815" t="s">
        <v>2776</v>
      </c>
    </row>
    <row r="4816" spans="3:4" hidden="1" outlineLevel="2" x14ac:dyDescent="0.3">
      <c r="C4816" t="s">
        <v>2777</v>
      </c>
    </row>
    <row r="4817" spans="3:3" hidden="1" outlineLevel="2" x14ac:dyDescent="0.3">
      <c r="C4817" t="s">
        <v>2778</v>
      </c>
    </row>
    <row r="4818" spans="3:3" hidden="1" outlineLevel="2" x14ac:dyDescent="0.3">
      <c r="C4818" t="s">
        <v>2779</v>
      </c>
    </row>
    <row r="4819" spans="3:3" hidden="1" outlineLevel="2" x14ac:dyDescent="0.3">
      <c r="C4819" t="s">
        <v>2780</v>
      </c>
    </row>
    <row r="4820" spans="3:3" hidden="1" outlineLevel="2" x14ac:dyDescent="0.3">
      <c r="C4820" t="s">
        <v>3775</v>
      </c>
    </row>
    <row r="4821" spans="3:3" hidden="1" outlineLevel="2" x14ac:dyDescent="0.3">
      <c r="C4821" t="s">
        <v>3776</v>
      </c>
    </row>
    <row r="4822" spans="3:3" hidden="1" outlineLevel="2" x14ac:dyDescent="0.3">
      <c r="C4822" t="s">
        <v>3777</v>
      </c>
    </row>
    <row r="4823" spans="3:3" hidden="1" outlineLevel="2" x14ac:dyDescent="0.3">
      <c r="C4823" t="s">
        <v>2784</v>
      </c>
    </row>
    <row r="4824" spans="3:3" hidden="1" outlineLevel="2" x14ac:dyDescent="0.3">
      <c r="C4824" t="s">
        <v>2785</v>
      </c>
    </row>
    <row r="4825" spans="3:3" hidden="1" outlineLevel="2" x14ac:dyDescent="0.3">
      <c r="C4825" t="s">
        <v>2786</v>
      </c>
    </row>
    <row r="4826" spans="3:3" hidden="1" outlineLevel="2" x14ac:dyDescent="0.3">
      <c r="C4826" t="s">
        <v>2787</v>
      </c>
    </row>
    <row r="4827" spans="3:3" hidden="1" outlineLevel="2" x14ac:dyDescent="0.3">
      <c r="C4827" t="s">
        <v>3778</v>
      </c>
    </row>
    <row r="4828" spans="3:3" hidden="1" outlineLevel="2" x14ac:dyDescent="0.3">
      <c r="C4828" t="s">
        <v>3779</v>
      </c>
    </row>
    <row r="4829" spans="3:3" hidden="1" outlineLevel="2" x14ac:dyDescent="0.3">
      <c r="C4829" t="s">
        <v>3780</v>
      </c>
    </row>
    <row r="4830" spans="3:3" hidden="1" outlineLevel="2" x14ac:dyDescent="0.3">
      <c r="C4830" t="s">
        <v>3781</v>
      </c>
    </row>
    <row r="4831" spans="3:3" hidden="1" outlineLevel="2" x14ac:dyDescent="0.3">
      <c r="C4831" t="s">
        <v>2791</v>
      </c>
    </row>
    <row r="4832" spans="3:3" hidden="1" outlineLevel="2" x14ac:dyDescent="0.3">
      <c r="C4832" t="s">
        <v>2792</v>
      </c>
    </row>
    <row r="4833" spans="1:4" hidden="1" outlineLevel="2" x14ac:dyDescent="0.3">
      <c r="C4833" t="s">
        <v>2793</v>
      </c>
    </row>
    <row r="4834" spans="1:4" hidden="1" outlineLevel="2" x14ac:dyDescent="0.3">
      <c r="C4834" t="s">
        <v>2794</v>
      </c>
    </row>
    <row r="4835" spans="1:4" hidden="1" outlineLevel="2" x14ac:dyDescent="0.3">
      <c r="C4835" t="s">
        <v>2795</v>
      </c>
    </row>
    <row r="4836" spans="1:4" hidden="1" outlineLevel="2" x14ac:dyDescent="0.3">
      <c r="C4836" t="s">
        <v>2796</v>
      </c>
    </row>
    <row r="4837" spans="1:4" hidden="1" outlineLevel="2" x14ac:dyDescent="0.3">
      <c r="C4837" t="s">
        <v>2797</v>
      </c>
    </row>
    <row r="4838" spans="1:4" hidden="1" outlineLevel="2" x14ac:dyDescent="0.3">
      <c r="C4838" t="s">
        <v>2798</v>
      </c>
    </row>
    <row r="4839" spans="1:4" outlineLevel="1" collapsed="1" x14ac:dyDescent="0.3">
      <c r="B4839" t="s">
        <v>3782</v>
      </c>
    </row>
    <row r="4840" spans="1:4" x14ac:dyDescent="0.3">
      <c r="A4840" t="s">
        <v>927</v>
      </c>
    </row>
    <row r="4841" spans="1:4" x14ac:dyDescent="0.3">
      <c r="A4841" t="s">
        <v>928</v>
      </c>
    </row>
    <row r="4842" spans="1:4" x14ac:dyDescent="0.3">
      <c r="A4842" t="s">
        <v>929</v>
      </c>
    </row>
    <row r="4843" spans="1:4" x14ac:dyDescent="0.3">
      <c r="A4843" t="s">
        <v>930</v>
      </c>
    </row>
    <row r="4844" spans="1:4" outlineLevel="1" x14ac:dyDescent="0.3">
      <c r="B4844" t="s">
        <v>931</v>
      </c>
    </row>
    <row r="4845" spans="1:4" outlineLevel="1" x14ac:dyDescent="0.3">
      <c r="B4845" t="s">
        <v>932</v>
      </c>
    </row>
    <row r="4846" spans="1:4" outlineLevel="1" x14ac:dyDescent="0.3">
      <c r="B4846" t="s">
        <v>933</v>
      </c>
    </row>
    <row r="4847" spans="1:4" hidden="1" outlineLevel="2" x14ac:dyDescent="0.3">
      <c r="C4847" t="s">
        <v>934</v>
      </c>
    </row>
    <row r="4848" spans="1:4" hidden="1" outlineLevel="3" x14ac:dyDescent="0.3">
      <c r="D4848" t="s">
        <v>935</v>
      </c>
    </row>
    <row r="4849" spans="3:4" hidden="1" outlineLevel="3" x14ac:dyDescent="0.3">
      <c r="D4849" t="s">
        <v>936</v>
      </c>
    </row>
    <row r="4850" spans="3:4" hidden="1" outlineLevel="2" x14ac:dyDescent="0.3">
      <c r="C4850" t="s">
        <v>937</v>
      </c>
    </row>
    <row r="4851" spans="3:4" hidden="1" outlineLevel="2" x14ac:dyDescent="0.3">
      <c r="C4851" t="s">
        <v>938</v>
      </c>
    </row>
    <row r="4852" spans="3:4" hidden="1" outlineLevel="3" x14ac:dyDescent="0.3">
      <c r="D4852" t="s">
        <v>939</v>
      </c>
    </row>
    <row r="4853" spans="3:4" hidden="1" outlineLevel="3" x14ac:dyDescent="0.3">
      <c r="D4853" t="s">
        <v>940</v>
      </c>
    </row>
    <row r="4854" spans="3:4" hidden="1" outlineLevel="3" x14ac:dyDescent="0.3">
      <c r="D4854" t="s">
        <v>941</v>
      </c>
    </row>
    <row r="4855" spans="3:4" hidden="1" outlineLevel="3" x14ac:dyDescent="0.3">
      <c r="D4855" t="s">
        <v>942</v>
      </c>
    </row>
    <row r="4856" spans="3:4" hidden="1" outlineLevel="3" x14ac:dyDescent="0.3">
      <c r="D4856" t="s">
        <v>943</v>
      </c>
    </row>
    <row r="4857" spans="3:4" hidden="1" outlineLevel="3" x14ac:dyDescent="0.3">
      <c r="D4857" t="s">
        <v>944</v>
      </c>
    </row>
    <row r="4858" spans="3:4" hidden="1" outlineLevel="3" x14ac:dyDescent="0.3">
      <c r="D4858" t="s">
        <v>945</v>
      </c>
    </row>
    <row r="4859" spans="3:4" hidden="1" outlineLevel="3" x14ac:dyDescent="0.3">
      <c r="D4859" t="s">
        <v>946</v>
      </c>
    </row>
    <row r="4860" spans="3:4" hidden="1" outlineLevel="3" x14ac:dyDescent="0.3">
      <c r="D4860" t="s">
        <v>947</v>
      </c>
    </row>
    <row r="4861" spans="3:4" hidden="1" outlineLevel="3" x14ac:dyDescent="0.3">
      <c r="D4861" t="s">
        <v>948</v>
      </c>
    </row>
    <row r="4862" spans="3:4" hidden="1" outlineLevel="3" x14ac:dyDescent="0.3">
      <c r="D4862" t="s">
        <v>949</v>
      </c>
    </row>
    <row r="4863" spans="3:4" hidden="1" outlineLevel="3" x14ac:dyDescent="0.3">
      <c r="D4863" t="s">
        <v>950</v>
      </c>
    </row>
    <row r="4864" spans="3:4" hidden="1" outlineLevel="3" x14ac:dyDescent="0.3">
      <c r="D4864" t="s">
        <v>951</v>
      </c>
    </row>
    <row r="4865" spans="3:4" hidden="1" outlineLevel="3" x14ac:dyDescent="0.3">
      <c r="D4865" t="s">
        <v>952</v>
      </c>
    </row>
    <row r="4866" spans="3:4" hidden="1" outlineLevel="3" x14ac:dyDescent="0.3">
      <c r="D4866" t="s">
        <v>953</v>
      </c>
    </row>
    <row r="4867" spans="3:4" hidden="1" outlineLevel="2" x14ac:dyDescent="0.3">
      <c r="C4867" t="s">
        <v>954</v>
      </c>
    </row>
    <row r="4868" spans="3:4" hidden="1" outlineLevel="3" x14ac:dyDescent="0.3">
      <c r="D4868" t="s">
        <v>955</v>
      </c>
    </row>
    <row r="4869" spans="3:4" hidden="1" outlineLevel="3" x14ac:dyDescent="0.3">
      <c r="D4869" t="s">
        <v>956</v>
      </c>
    </row>
    <row r="4870" spans="3:4" hidden="1" outlineLevel="3" x14ac:dyDescent="0.3">
      <c r="D4870" t="s">
        <v>957</v>
      </c>
    </row>
    <row r="4871" spans="3:4" hidden="1" outlineLevel="3" x14ac:dyDescent="0.3">
      <c r="D4871" t="s">
        <v>958</v>
      </c>
    </row>
    <row r="4872" spans="3:4" hidden="1" outlineLevel="3" x14ac:dyDescent="0.3">
      <c r="D4872" t="s">
        <v>959</v>
      </c>
    </row>
    <row r="4873" spans="3:4" hidden="1" outlineLevel="3" x14ac:dyDescent="0.3">
      <c r="D4873" t="s">
        <v>960</v>
      </c>
    </row>
    <row r="4874" spans="3:4" hidden="1" outlineLevel="3" x14ac:dyDescent="0.3">
      <c r="D4874" t="s">
        <v>961</v>
      </c>
    </row>
    <row r="4875" spans="3:4" hidden="1" outlineLevel="3" x14ac:dyDescent="0.3">
      <c r="D4875" t="s">
        <v>962</v>
      </c>
    </row>
    <row r="4876" spans="3:4" hidden="1" outlineLevel="3" x14ac:dyDescent="0.3">
      <c r="D4876" t="s">
        <v>963</v>
      </c>
    </row>
    <row r="4877" spans="3:4" hidden="1" outlineLevel="2" x14ac:dyDescent="0.3">
      <c r="C4877" t="s">
        <v>964</v>
      </c>
    </row>
    <row r="4878" spans="3:4" hidden="1" outlineLevel="3" x14ac:dyDescent="0.3">
      <c r="D4878" t="s">
        <v>965</v>
      </c>
    </row>
    <row r="4879" spans="3:4" hidden="1" outlineLevel="3" x14ac:dyDescent="0.3">
      <c r="D4879" t="s">
        <v>966</v>
      </c>
    </row>
    <row r="4880" spans="3:4" hidden="1" outlineLevel="3" x14ac:dyDescent="0.3">
      <c r="D4880" t="s">
        <v>967</v>
      </c>
    </row>
    <row r="4881" spans="3:4" hidden="1" outlineLevel="3" x14ac:dyDescent="0.3">
      <c r="D4881" t="s">
        <v>968</v>
      </c>
    </row>
    <row r="4882" spans="3:4" hidden="1" outlineLevel="3" x14ac:dyDescent="0.3">
      <c r="D4882" t="s">
        <v>969</v>
      </c>
    </row>
    <row r="4883" spans="3:4" hidden="1" outlineLevel="3" x14ac:dyDescent="0.3">
      <c r="D4883" t="s">
        <v>970</v>
      </c>
    </row>
    <row r="4884" spans="3:4" hidden="1" outlineLevel="3" x14ac:dyDescent="0.3">
      <c r="D4884" t="s">
        <v>971</v>
      </c>
    </row>
    <row r="4885" spans="3:4" hidden="1" outlineLevel="3" x14ac:dyDescent="0.3">
      <c r="D4885" t="s">
        <v>972</v>
      </c>
    </row>
    <row r="4886" spans="3:4" hidden="1" outlineLevel="3" x14ac:dyDescent="0.3">
      <c r="D4886" t="s">
        <v>973</v>
      </c>
    </row>
    <row r="4887" spans="3:4" hidden="1" outlineLevel="3" x14ac:dyDescent="0.3">
      <c r="D4887" t="s">
        <v>974</v>
      </c>
    </row>
    <row r="4888" spans="3:4" hidden="1" outlineLevel="3" x14ac:dyDescent="0.3">
      <c r="D4888" t="s">
        <v>975</v>
      </c>
    </row>
    <row r="4889" spans="3:4" hidden="1" outlineLevel="3" x14ac:dyDescent="0.3">
      <c r="D4889" t="s">
        <v>976</v>
      </c>
    </row>
    <row r="4890" spans="3:4" hidden="1" outlineLevel="3" x14ac:dyDescent="0.3">
      <c r="D4890" t="s">
        <v>977</v>
      </c>
    </row>
    <row r="4891" spans="3:4" hidden="1" outlineLevel="3" x14ac:dyDescent="0.3">
      <c r="D4891" t="s">
        <v>978</v>
      </c>
    </row>
    <row r="4892" spans="3:4" hidden="1" outlineLevel="2" x14ac:dyDescent="0.3">
      <c r="C4892" t="s">
        <v>979</v>
      </c>
    </row>
    <row r="4893" spans="3:4" hidden="1" outlineLevel="2" x14ac:dyDescent="0.3">
      <c r="C4893" t="s">
        <v>980</v>
      </c>
    </row>
    <row r="4894" spans="3:4" hidden="1" outlineLevel="3" x14ac:dyDescent="0.3">
      <c r="D4894" t="s">
        <v>981</v>
      </c>
    </row>
    <row r="4895" spans="3:4" hidden="1" outlineLevel="3" x14ac:dyDescent="0.3">
      <c r="D4895" t="s">
        <v>982</v>
      </c>
    </row>
    <row r="4896" spans="3:4" hidden="1" outlineLevel="3" x14ac:dyDescent="0.3">
      <c r="D4896" t="s">
        <v>983</v>
      </c>
    </row>
    <row r="4897" spans="1:4" hidden="1" outlineLevel="3" x14ac:dyDescent="0.3">
      <c r="D4897" t="s">
        <v>2800</v>
      </c>
    </row>
    <row r="4898" spans="1:4" hidden="1" outlineLevel="3" x14ac:dyDescent="0.3">
      <c r="D4898" t="s">
        <v>985</v>
      </c>
    </row>
    <row r="4899" spans="1:4" hidden="1" outlineLevel="3" x14ac:dyDescent="0.3">
      <c r="D4899" t="s">
        <v>986</v>
      </c>
    </row>
    <row r="4900" spans="1:4" hidden="1" outlineLevel="3" x14ac:dyDescent="0.3">
      <c r="D4900" t="s">
        <v>2801</v>
      </c>
    </row>
    <row r="4901" spans="1:4" hidden="1" outlineLevel="3" x14ac:dyDescent="0.3">
      <c r="D4901" t="s">
        <v>2802</v>
      </c>
    </row>
    <row r="4902" spans="1:4" hidden="1" outlineLevel="3" x14ac:dyDescent="0.3">
      <c r="D4902" t="s">
        <v>993</v>
      </c>
    </row>
    <row r="4903" spans="1:4" hidden="1" outlineLevel="3" x14ac:dyDescent="0.3">
      <c r="D4903" t="s">
        <v>994</v>
      </c>
    </row>
    <row r="4904" spans="1:4" hidden="1" outlineLevel="3" x14ac:dyDescent="0.3">
      <c r="D4904" t="s">
        <v>995</v>
      </c>
    </row>
    <row r="4905" spans="1:4" outlineLevel="1" collapsed="1" x14ac:dyDescent="0.3">
      <c r="B4905" t="s">
        <v>996</v>
      </c>
    </row>
    <row r="4906" spans="1:4" outlineLevel="1" x14ac:dyDescent="0.3">
      <c r="B4906" t="s">
        <v>997</v>
      </c>
    </row>
    <row r="4907" spans="1:4" outlineLevel="1" x14ac:dyDescent="0.3">
      <c r="B4907" t="s">
        <v>998</v>
      </c>
    </row>
    <row r="4908" spans="1:4" x14ac:dyDescent="0.3">
      <c r="A4908" t="s">
        <v>999</v>
      </c>
    </row>
    <row r="4909" spans="1:4" outlineLevel="1" x14ac:dyDescent="0.3">
      <c r="B4909" t="s">
        <v>2803</v>
      </c>
    </row>
    <row r="4910" spans="1:4" outlineLevel="1" x14ac:dyDescent="0.3">
      <c r="B4910" t="s">
        <v>2804</v>
      </c>
    </row>
    <row r="4911" spans="1:4" outlineLevel="1" x14ac:dyDescent="0.3">
      <c r="B4911" t="s">
        <v>2805</v>
      </c>
    </row>
    <row r="4912" spans="1:4" outlineLevel="1" x14ac:dyDescent="0.3">
      <c r="B4912" t="s">
        <v>2806</v>
      </c>
    </row>
    <row r="4913" spans="2:3" outlineLevel="1" x14ac:dyDescent="0.3">
      <c r="B4913" t="s">
        <v>2808</v>
      </c>
    </row>
    <row r="4914" spans="2:3" hidden="1" outlineLevel="2" x14ac:dyDescent="0.3">
      <c r="C4914" t="s">
        <v>2809</v>
      </c>
    </row>
    <row r="4915" spans="2:3" hidden="1" outlineLevel="2" x14ac:dyDescent="0.3">
      <c r="C4915" t="s">
        <v>2810</v>
      </c>
    </row>
    <row r="4916" spans="2:3" hidden="1" outlineLevel="2" x14ac:dyDescent="0.3">
      <c r="C4916" t="s">
        <v>2811</v>
      </c>
    </row>
    <row r="4917" spans="2:3" hidden="1" outlineLevel="2" x14ac:dyDescent="0.3">
      <c r="C4917" t="s">
        <v>2812</v>
      </c>
    </row>
    <row r="4918" spans="2:3" hidden="1" outlineLevel="2" x14ac:dyDescent="0.3">
      <c r="C4918" t="s">
        <v>2813</v>
      </c>
    </row>
    <row r="4919" spans="2:3" outlineLevel="1" collapsed="1" x14ac:dyDescent="0.3">
      <c r="B4919" t="s">
        <v>2814</v>
      </c>
    </row>
    <row r="4920" spans="2:3" hidden="1" outlineLevel="2" x14ac:dyDescent="0.3">
      <c r="C4920" t="s">
        <v>2815</v>
      </c>
    </row>
    <row r="4921" spans="2:3" hidden="1" outlineLevel="2" x14ac:dyDescent="0.3">
      <c r="C4921" t="s">
        <v>2816</v>
      </c>
    </row>
    <row r="4922" spans="2:3" hidden="1" outlineLevel="2" x14ac:dyDescent="0.3">
      <c r="C4922" t="s">
        <v>2817</v>
      </c>
    </row>
    <row r="4923" spans="2:3" hidden="1" outlineLevel="2" x14ac:dyDescent="0.3">
      <c r="C4923" t="s">
        <v>2818</v>
      </c>
    </row>
    <row r="4924" spans="2:3" hidden="1" outlineLevel="2" x14ac:dyDescent="0.3">
      <c r="C4924" t="s">
        <v>2819</v>
      </c>
    </row>
    <row r="4925" spans="2:3" outlineLevel="1" collapsed="1" x14ac:dyDescent="0.3">
      <c r="B4925" t="s">
        <v>3783</v>
      </c>
    </row>
    <row r="4926" spans="2:3" hidden="1" outlineLevel="2" x14ac:dyDescent="0.3">
      <c r="C4926" t="s">
        <v>3784</v>
      </c>
    </row>
    <row r="4927" spans="2:3" hidden="1" outlineLevel="2" x14ac:dyDescent="0.3">
      <c r="C4927" t="s">
        <v>3785</v>
      </c>
    </row>
    <row r="4928" spans="2:3" hidden="1" outlineLevel="2" x14ac:dyDescent="0.3">
      <c r="C4928" t="s">
        <v>3786</v>
      </c>
    </row>
    <row r="4929" spans="2:4" hidden="1" outlineLevel="2" x14ac:dyDescent="0.3">
      <c r="C4929" t="s">
        <v>3787</v>
      </c>
    </row>
    <row r="4930" spans="2:4" hidden="1" outlineLevel="2" x14ac:dyDescent="0.3">
      <c r="C4930" t="s">
        <v>3788</v>
      </c>
    </row>
    <row r="4931" spans="2:4" hidden="1" outlineLevel="3" x14ac:dyDescent="0.3">
      <c r="D4931" t="s">
        <v>3789</v>
      </c>
    </row>
    <row r="4932" spans="2:4" hidden="1" outlineLevel="3" x14ac:dyDescent="0.3">
      <c r="D4932" t="s">
        <v>3790</v>
      </c>
    </row>
    <row r="4933" spans="2:4" hidden="1" outlineLevel="3" x14ac:dyDescent="0.3">
      <c r="D4933" t="s">
        <v>3791</v>
      </c>
    </row>
    <row r="4934" spans="2:4" hidden="1" outlineLevel="3" x14ac:dyDescent="0.3">
      <c r="D4934" t="s">
        <v>3792</v>
      </c>
    </row>
    <row r="4935" spans="2:4" hidden="1" outlineLevel="3" x14ac:dyDescent="0.3">
      <c r="D4935" t="s">
        <v>3793</v>
      </c>
    </row>
    <row r="4936" spans="2:4" hidden="1" outlineLevel="3" x14ac:dyDescent="0.3">
      <c r="D4936" t="s">
        <v>3794</v>
      </c>
    </row>
    <row r="4937" spans="2:4" hidden="1" outlineLevel="3" x14ac:dyDescent="0.3">
      <c r="D4937" t="s">
        <v>3795</v>
      </c>
    </row>
    <row r="4938" spans="2:4" hidden="1" outlineLevel="2" x14ac:dyDescent="0.3">
      <c r="C4938" t="s">
        <v>3796</v>
      </c>
    </row>
    <row r="4939" spans="2:4" hidden="1" outlineLevel="2" x14ac:dyDescent="0.3">
      <c r="C4939" t="s">
        <v>3797</v>
      </c>
    </row>
    <row r="4940" spans="2:4" hidden="1" outlineLevel="2" x14ac:dyDescent="0.3">
      <c r="C4940" t="s">
        <v>3798</v>
      </c>
    </row>
    <row r="4941" spans="2:4" hidden="1" outlineLevel="2" x14ac:dyDescent="0.3">
      <c r="C4941" t="s">
        <v>3799</v>
      </c>
    </row>
    <row r="4942" spans="2:4" outlineLevel="1" collapsed="1" x14ac:dyDescent="0.3">
      <c r="B4942" t="s">
        <v>3800</v>
      </c>
    </row>
    <row r="4943" spans="2:4" hidden="1" outlineLevel="2" x14ac:dyDescent="0.3">
      <c r="C4943" t="s">
        <v>3801</v>
      </c>
    </row>
    <row r="4944" spans="2:4" hidden="1" outlineLevel="2" x14ac:dyDescent="0.3">
      <c r="C4944" t="s">
        <v>3802</v>
      </c>
    </row>
    <row r="4945" spans="2:4" hidden="1" outlineLevel="2" x14ac:dyDescent="0.3">
      <c r="C4945" t="s">
        <v>3803</v>
      </c>
    </row>
    <row r="4946" spans="2:4" hidden="1" outlineLevel="3" x14ac:dyDescent="0.3">
      <c r="D4946" t="s">
        <v>3804</v>
      </c>
    </row>
    <row r="4947" spans="2:4" hidden="1" outlineLevel="3" x14ac:dyDescent="0.3">
      <c r="D4947" t="s">
        <v>3805</v>
      </c>
    </row>
    <row r="4948" spans="2:4" hidden="1" outlineLevel="3" x14ac:dyDescent="0.3">
      <c r="D4948" t="s">
        <v>3806</v>
      </c>
    </row>
    <row r="4949" spans="2:4" hidden="1" outlineLevel="2" x14ac:dyDescent="0.3">
      <c r="C4949" t="s">
        <v>3807</v>
      </c>
    </row>
    <row r="4950" spans="2:4" hidden="1" outlineLevel="3" x14ac:dyDescent="0.3">
      <c r="D4950" t="s">
        <v>3808</v>
      </c>
    </row>
    <row r="4951" spans="2:4" hidden="1" outlineLevel="3" x14ac:dyDescent="0.3">
      <c r="D4951" t="s">
        <v>3809</v>
      </c>
    </row>
    <row r="4952" spans="2:4" hidden="1" outlineLevel="2" x14ac:dyDescent="0.3">
      <c r="C4952" t="s">
        <v>3810</v>
      </c>
    </row>
    <row r="4953" spans="2:4" hidden="1" outlineLevel="2" x14ac:dyDescent="0.3">
      <c r="C4953" t="s">
        <v>3811</v>
      </c>
    </row>
    <row r="4954" spans="2:4" outlineLevel="1" collapsed="1" x14ac:dyDescent="0.3">
      <c r="B4954" t="s">
        <v>2852</v>
      </c>
    </row>
    <row r="4955" spans="2:4" hidden="1" outlineLevel="2" x14ac:dyDescent="0.3">
      <c r="C4955" t="s">
        <v>3812</v>
      </c>
    </row>
    <row r="4956" spans="2:4" hidden="1" outlineLevel="2" x14ac:dyDescent="0.3">
      <c r="C4956" t="s">
        <v>2866</v>
      </c>
    </row>
    <row r="4957" spans="2:4" hidden="1" outlineLevel="2" x14ac:dyDescent="0.3">
      <c r="C4957" t="s">
        <v>3813</v>
      </c>
    </row>
    <row r="4958" spans="2:4" hidden="1" outlineLevel="2" x14ac:dyDescent="0.3">
      <c r="C4958" t="s">
        <v>3814</v>
      </c>
    </row>
    <row r="4959" spans="2:4" hidden="1" outlineLevel="2" x14ac:dyDescent="0.3">
      <c r="C4959" t="s">
        <v>3815</v>
      </c>
    </row>
    <row r="4960" spans="2:4" hidden="1" outlineLevel="2" x14ac:dyDescent="0.3">
      <c r="C4960" t="s">
        <v>3816</v>
      </c>
    </row>
    <row r="4961" spans="2:3" hidden="1" outlineLevel="2" x14ac:dyDescent="0.3">
      <c r="C4961" t="s">
        <v>2881</v>
      </c>
    </row>
    <row r="4962" spans="2:3" hidden="1" outlineLevel="2" x14ac:dyDescent="0.3">
      <c r="C4962" t="s">
        <v>2882</v>
      </c>
    </row>
    <row r="4963" spans="2:3" outlineLevel="1" collapsed="1" x14ac:dyDescent="0.3">
      <c r="B4963" t="s">
        <v>2883</v>
      </c>
    </row>
    <row r="4964" spans="2:3" outlineLevel="1" x14ac:dyDescent="0.3">
      <c r="B4964" t="s">
        <v>2884</v>
      </c>
    </row>
    <row r="4965" spans="2:3" hidden="1" outlineLevel="2" x14ac:dyDescent="0.3">
      <c r="C4965" t="s">
        <v>2885</v>
      </c>
    </row>
    <row r="4966" spans="2:3" hidden="1" outlineLevel="2" x14ac:dyDescent="0.3">
      <c r="C4966" t="s">
        <v>3817</v>
      </c>
    </row>
    <row r="4967" spans="2:3" hidden="1" outlineLevel="2" x14ac:dyDescent="0.3">
      <c r="C4967" t="s">
        <v>2887</v>
      </c>
    </row>
    <row r="4968" spans="2:3" hidden="1" outlineLevel="2" x14ac:dyDescent="0.3">
      <c r="C4968" t="s">
        <v>2888</v>
      </c>
    </row>
    <row r="4969" spans="2:3" hidden="1" outlineLevel="2" x14ac:dyDescent="0.3">
      <c r="C4969" t="s">
        <v>2889</v>
      </c>
    </row>
    <row r="4970" spans="2:3" hidden="1" outlineLevel="2" x14ac:dyDescent="0.3">
      <c r="C4970" t="s">
        <v>2890</v>
      </c>
    </row>
    <row r="4971" spans="2:3" outlineLevel="1" collapsed="1" x14ac:dyDescent="0.3">
      <c r="B4971" t="s">
        <v>2891</v>
      </c>
    </row>
    <row r="4972" spans="2:3" hidden="1" outlineLevel="2" x14ac:dyDescent="0.3">
      <c r="C4972" t="s">
        <v>2892</v>
      </c>
    </row>
    <row r="4973" spans="2:3" hidden="1" outlineLevel="2" x14ac:dyDescent="0.3">
      <c r="C4973" t="s">
        <v>2893</v>
      </c>
    </row>
    <row r="4974" spans="2:3" hidden="1" outlineLevel="2" x14ac:dyDescent="0.3">
      <c r="C4974" t="s">
        <v>2895</v>
      </c>
    </row>
    <row r="4975" spans="2:3" hidden="1" outlineLevel="2" x14ac:dyDescent="0.3">
      <c r="C4975" t="s">
        <v>2896</v>
      </c>
    </row>
    <row r="4976" spans="2:3" hidden="1" outlineLevel="2" x14ac:dyDescent="0.3">
      <c r="C4976" t="s">
        <v>2897</v>
      </c>
    </row>
    <row r="4977" spans="2:4" hidden="1" outlineLevel="2" x14ac:dyDescent="0.3">
      <c r="C4977" t="s">
        <v>2898</v>
      </c>
    </row>
    <row r="4978" spans="2:4" outlineLevel="1" collapsed="1" x14ac:dyDescent="0.3">
      <c r="B4978" t="s">
        <v>2899</v>
      </c>
    </row>
    <row r="4979" spans="2:4" outlineLevel="1" x14ac:dyDescent="0.3">
      <c r="B4979" t="s">
        <v>2900</v>
      </c>
    </row>
    <row r="4980" spans="2:4" outlineLevel="1" x14ac:dyDescent="0.3">
      <c r="B4980" t="s">
        <v>2901</v>
      </c>
    </row>
    <row r="4981" spans="2:4" hidden="1" outlineLevel="2" x14ac:dyDescent="0.3">
      <c r="C4981" t="s">
        <v>3818</v>
      </c>
    </row>
    <row r="4982" spans="2:4" hidden="1" outlineLevel="3" x14ac:dyDescent="0.3">
      <c r="D4982" t="s">
        <v>3819</v>
      </c>
    </row>
    <row r="4983" spans="2:4" hidden="1" outlineLevel="3" x14ac:dyDescent="0.3">
      <c r="D4983" t="s">
        <v>3820</v>
      </c>
    </row>
    <row r="4984" spans="2:4" hidden="1" outlineLevel="3" x14ac:dyDescent="0.3">
      <c r="D4984" t="s">
        <v>3821</v>
      </c>
    </row>
    <row r="4985" spans="2:4" hidden="1" outlineLevel="3" x14ac:dyDescent="0.3">
      <c r="D4985" t="s">
        <v>3822</v>
      </c>
    </row>
    <row r="4986" spans="2:4" hidden="1" outlineLevel="3" x14ac:dyDescent="0.3">
      <c r="D4986" t="s">
        <v>3823</v>
      </c>
    </row>
    <row r="4987" spans="2:4" hidden="1" outlineLevel="3" x14ac:dyDescent="0.3">
      <c r="D4987" t="s">
        <v>3824</v>
      </c>
    </row>
    <row r="4988" spans="2:4" hidden="1" outlineLevel="3" x14ac:dyDescent="0.3">
      <c r="D4988" t="s">
        <v>3825</v>
      </c>
    </row>
    <row r="4989" spans="2:4" hidden="1" outlineLevel="3" x14ac:dyDescent="0.3">
      <c r="D4989" t="s">
        <v>3826</v>
      </c>
    </row>
    <row r="4990" spans="2:4" hidden="1" outlineLevel="3" x14ac:dyDescent="0.3">
      <c r="D4990" t="s">
        <v>3827</v>
      </c>
    </row>
    <row r="4991" spans="2:4" hidden="1" outlineLevel="2" x14ac:dyDescent="0.3">
      <c r="C4991" t="s">
        <v>3828</v>
      </c>
    </row>
    <row r="4992" spans="2:4" hidden="1" outlineLevel="2" x14ac:dyDescent="0.3">
      <c r="C4992" t="s">
        <v>3829</v>
      </c>
    </row>
    <row r="4993" spans="3:4" hidden="1" outlineLevel="2" x14ac:dyDescent="0.3">
      <c r="C4993" t="s">
        <v>2902</v>
      </c>
    </row>
    <row r="4994" spans="3:4" hidden="1" outlineLevel="2" x14ac:dyDescent="0.3">
      <c r="C4994" t="s">
        <v>2907</v>
      </c>
    </row>
    <row r="4995" spans="3:4" hidden="1" outlineLevel="3" x14ac:dyDescent="0.3">
      <c r="D4995" t="s">
        <v>2908</v>
      </c>
    </row>
    <row r="4996" spans="3:4" hidden="1" outlineLevel="3" x14ac:dyDescent="0.3">
      <c r="D4996" t="s">
        <v>2909</v>
      </c>
    </row>
    <row r="4997" spans="3:4" hidden="1" outlineLevel="3" x14ac:dyDescent="0.3">
      <c r="D4997" t="s">
        <v>2910</v>
      </c>
    </row>
    <row r="4998" spans="3:4" hidden="1" outlineLevel="3" x14ac:dyDescent="0.3">
      <c r="D4998" t="s">
        <v>2911</v>
      </c>
    </row>
    <row r="4999" spans="3:4" hidden="1" outlineLevel="2" x14ac:dyDescent="0.3">
      <c r="C4999" t="s">
        <v>2912</v>
      </c>
    </row>
    <row r="5000" spans="3:4" hidden="1" outlineLevel="2" x14ac:dyDescent="0.3">
      <c r="C5000" t="s">
        <v>2913</v>
      </c>
    </row>
    <row r="5001" spans="3:4" hidden="1" outlineLevel="2" x14ac:dyDescent="0.3">
      <c r="C5001" t="s">
        <v>2914</v>
      </c>
    </row>
    <row r="5002" spans="3:4" hidden="1" outlineLevel="2" x14ac:dyDescent="0.3">
      <c r="C5002" t="s">
        <v>2915</v>
      </c>
    </row>
    <row r="5003" spans="3:4" hidden="1" outlineLevel="2" x14ac:dyDescent="0.3">
      <c r="C5003" t="s">
        <v>2916</v>
      </c>
    </row>
    <row r="5004" spans="3:4" hidden="1" outlineLevel="2" x14ac:dyDescent="0.3">
      <c r="C5004" t="s">
        <v>2917</v>
      </c>
    </row>
    <row r="5005" spans="3:4" hidden="1" outlineLevel="2" x14ac:dyDescent="0.3">
      <c r="C5005" t="s">
        <v>2918</v>
      </c>
    </row>
    <row r="5006" spans="3:4" hidden="1" outlineLevel="2" x14ac:dyDescent="0.3">
      <c r="C5006" t="s">
        <v>2919</v>
      </c>
    </row>
    <row r="5007" spans="3:4" hidden="1" outlineLevel="2" x14ac:dyDescent="0.3">
      <c r="C5007" t="s">
        <v>2920</v>
      </c>
    </row>
    <row r="5008" spans="3:4" hidden="1" outlineLevel="2" x14ac:dyDescent="0.3">
      <c r="C5008" t="s">
        <v>3830</v>
      </c>
    </row>
    <row r="5009" spans="1:3" hidden="1" outlineLevel="2" x14ac:dyDescent="0.3">
      <c r="C5009" t="s">
        <v>3831</v>
      </c>
    </row>
    <row r="5010" spans="1:3" hidden="1" outlineLevel="2" x14ac:dyDescent="0.3">
      <c r="C5010" t="s">
        <v>2930</v>
      </c>
    </row>
    <row r="5011" spans="1:3" hidden="1" outlineLevel="2" x14ac:dyDescent="0.3">
      <c r="C5011" t="s">
        <v>2932</v>
      </c>
    </row>
    <row r="5012" spans="1:3" hidden="1" outlineLevel="2" x14ac:dyDescent="0.3">
      <c r="C5012" t="s">
        <v>2933</v>
      </c>
    </row>
    <row r="5013" spans="1:3" outlineLevel="1" collapsed="1" x14ac:dyDescent="0.3">
      <c r="B5013" t="s">
        <v>3832</v>
      </c>
    </row>
    <row r="5019" spans="1:3" x14ac:dyDescent="0.3">
      <c r="A5019" t="s">
        <v>3833</v>
      </c>
    </row>
    <row r="5020" spans="1:3" x14ac:dyDescent="0.3">
      <c r="A5020" t="s">
        <v>3834</v>
      </c>
    </row>
    <row r="5021" spans="1:3" outlineLevel="1" x14ac:dyDescent="0.3">
      <c r="B5021" t="s">
        <v>3835</v>
      </c>
    </row>
    <row r="5022" spans="1:3" hidden="1" outlineLevel="2" x14ac:dyDescent="0.3">
      <c r="C5022" t="s">
        <v>3836</v>
      </c>
    </row>
    <row r="5023" spans="1:3" hidden="1" outlineLevel="2" x14ac:dyDescent="0.3">
      <c r="C5023" t="s">
        <v>3837</v>
      </c>
    </row>
    <row r="5024" spans="1:3" hidden="1" outlineLevel="2" x14ac:dyDescent="0.3">
      <c r="C5024" t="s">
        <v>3838</v>
      </c>
    </row>
    <row r="5025" spans="2:3" hidden="1" outlineLevel="2" x14ac:dyDescent="0.3">
      <c r="C5025" t="s">
        <v>3839</v>
      </c>
    </row>
    <row r="5026" spans="2:3" hidden="1" outlineLevel="2" x14ac:dyDescent="0.3">
      <c r="C5026" t="s">
        <v>3840</v>
      </c>
    </row>
    <row r="5027" spans="2:3" hidden="1" outlineLevel="2" x14ac:dyDescent="0.3">
      <c r="C5027" t="s">
        <v>3841</v>
      </c>
    </row>
    <row r="5028" spans="2:3" outlineLevel="1" collapsed="1" x14ac:dyDescent="0.3">
      <c r="B5028" t="s">
        <v>3842</v>
      </c>
    </row>
    <row r="5029" spans="2:3" hidden="1" outlineLevel="2" x14ac:dyDescent="0.3">
      <c r="C5029" t="s">
        <v>3843</v>
      </c>
    </row>
    <row r="5030" spans="2:3" hidden="1" outlineLevel="2" x14ac:dyDescent="0.3">
      <c r="C5030" t="s">
        <v>3844</v>
      </c>
    </row>
    <row r="5031" spans="2:3" hidden="1" outlineLevel="2" x14ac:dyDescent="0.3">
      <c r="C5031" t="s">
        <v>3845</v>
      </c>
    </row>
    <row r="5032" spans="2:3" hidden="1" outlineLevel="2" x14ac:dyDescent="0.3">
      <c r="C5032" t="s">
        <v>3846</v>
      </c>
    </row>
    <row r="5033" spans="2:3" outlineLevel="1" collapsed="1" x14ac:dyDescent="0.3">
      <c r="B5033" t="s">
        <v>3847</v>
      </c>
    </row>
    <row r="5034" spans="2:3" hidden="1" outlineLevel="2" x14ac:dyDescent="0.3">
      <c r="C5034" t="s">
        <v>3848</v>
      </c>
    </row>
    <row r="5035" spans="2:3" hidden="1" outlineLevel="2" x14ac:dyDescent="0.3">
      <c r="C5035" t="s">
        <v>3849</v>
      </c>
    </row>
    <row r="5036" spans="2:3" outlineLevel="1" collapsed="1" x14ac:dyDescent="0.3">
      <c r="B5036" t="s">
        <v>3850</v>
      </c>
    </row>
    <row r="5037" spans="2:3" hidden="1" outlineLevel="2" x14ac:dyDescent="0.3">
      <c r="C5037" t="s">
        <v>3851</v>
      </c>
    </row>
    <row r="5038" spans="2:3" hidden="1" outlineLevel="2" x14ac:dyDescent="0.3">
      <c r="C5038" t="s">
        <v>3852</v>
      </c>
    </row>
    <row r="5039" spans="2:3" hidden="1" outlineLevel="2" x14ac:dyDescent="0.3">
      <c r="C5039" t="s">
        <v>3853</v>
      </c>
    </row>
    <row r="5040" spans="2:3" hidden="1" outlineLevel="2" x14ac:dyDescent="0.3">
      <c r="C5040" t="s">
        <v>3854</v>
      </c>
    </row>
    <row r="5041" spans="2:4" hidden="1" outlineLevel="3" x14ac:dyDescent="0.3">
      <c r="D5041" t="s">
        <v>3855</v>
      </c>
    </row>
    <row r="5042" spans="2:4" hidden="1" outlineLevel="3" x14ac:dyDescent="0.3">
      <c r="D5042" t="s">
        <v>3856</v>
      </c>
    </row>
    <row r="5043" spans="2:4" hidden="1" outlineLevel="3" x14ac:dyDescent="0.3">
      <c r="D5043" t="s">
        <v>3857</v>
      </c>
    </row>
    <row r="5044" spans="2:4" hidden="1" outlineLevel="3" x14ac:dyDescent="0.3">
      <c r="D5044" t="s">
        <v>3858</v>
      </c>
    </row>
    <row r="5045" spans="2:4" hidden="1" outlineLevel="3" x14ac:dyDescent="0.3">
      <c r="D5045" t="s">
        <v>3859</v>
      </c>
    </row>
    <row r="5046" spans="2:4" hidden="1" outlineLevel="3" x14ac:dyDescent="0.3">
      <c r="D5046" t="s">
        <v>3860</v>
      </c>
    </row>
    <row r="5047" spans="2:4" hidden="1" outlineLevel="2" x14ac:dyDescent="0.3">
      <c r="C5047" t="s">
        <v>3861</v>
      </c>
    </row>
    <row r="5048" spans="2:4" hidden="1" outlineLevel="2" x14ac:dyDescent="0.3">
      <c r="C5048" t="s">
        <v>3862</v>
      </c>
    </row>
    <row r="5049" spans="2:4" hidden="1" outlineLevel="2" x14ac:dyDescent="0.3">
      <c r="C5049" t="s">
        <v>3863</v>
      </c>
    </row>
    <row r="5050" spans="2:4" hidden="1" outlineLevel="2" x14ac:dyDescent="0.3">
      <c r="C5050" t="s">
        <v>3864</v>
      </c>
    </row>
    <row r="5051" spans="2:4" hidden="1" outlineLevel="2" x14ac:dyDescent="0.3">
      <c r="C5051" t="s">
        <v>3865</v>
      </c>
    </row>
    <row r="5052" spans="2:4" outlineLevel="1" collapsed="1" x14ac:dyDescent="0.3">
      <c r="B5052" t="s">
        <v>3866</v>
      </c>
    </row>
    <row r="5053" spans="2:4" outlineLevel="1" x14ac:dyDescent="0.3">
      <c r="B5053" t="s">
        <v>3867</v>
      </c>
    </row>
    <row r="5054" spans="2:4" hidden="1" outlineLevel="2" x14ac:dyDescent="0.3">
      <c r="C5054" t="s">
        <v>3868</v>
      </c>
    </row>
    <row r="5055" spans="2:4" hidden="1" outlineLevel="2" x14ac:dyDescent="0.3">
      <c r="C5055" t="s">
        <v>3869</v>
      </c>
    </row>
    <row r="5056" spans="2:4" hidden="1" outlineLevel="2" x14ac:dyDescent="0.3">
      <c r="C5056" t="s">
        <v>3870</v>
      </c>
    </row>
    <row r="5057" spans="3:4" hidden="1" outlineLevel="2" x14ac:dyDescent="0.3">
      <c r="C5057" t="s">
        <v>3871</v>
      </c>
    </row>
    <row r="5058" spans="3:4" hidden="1" outlineLevel="2" x14ac:dyDescent="0.3">
      <c r="C5058" t="s">
        <v>3872</v>
      </c>
    </row>
    <row r="5059" spans="3:4" hidden="1" outlineLevel="2" x14ac:dyDescent="0.3">
      <c r="C5059" t="s">
        <v>3873</v>
      </c>
    </row>
    <row r="5060" spans="3:4" hidden="1" outlineLevel="2" x14ac:dyDescent="0.3">
      <c r="C5060" t="s">
        <v>3874</v>
      </c>
    </row>
    <row r="5061" spans="3:4" hidden="1" outlineLevel="3" x14ac:dyDescent="0.3">
      <c r="D5061" t="s">
        <v>3875</v>
      </c>
    </row>
    <row r="5062" spans="3:4" hidden="1" outlineLevel="3" x14ac:dyDescent="0.3">
      <c r="D5062" t="s">
        <v>3876</v>
      </c>
    </row>
    <row r="5063" spans="3:4" hidden="1" outlineLevel="2" x14ac:dyDescent="0.3">
      <c r="C5063" t="s">
        <v>3877</v>
      </c>
    </row>
    <row r="5064" spans="3:4" hidden="1" outlineLevel="2" x14ac:dyDescent="0.3">
      <c r="C5064" t="s">
        <v>3878</v>
      </c>
    </row>
    <row r="5065" spans="3:4" hidden="1" outlineLevel="2" x14ac:dyDescent="0.3">
      <c r="C5065" t="s">
        <v>3879</v>
      </c>
    </row>
    <row r="5066" spans="3:4" hidden="1" outlineLevel="2" x14ac:dyDescent="0.3">
      <c r="C5066" t="s">
        <v>3880</v>
      </c>
    </row>
    <row r="5067" spans="3:4" hidden="1" outlineLevel="2" x14ac:dyDescent="0.3">
      <c r="C5067" t="s">
        <v>3881</v>
      </c>
    </row>
    <row r="5068" spans="3:4" hidden="1" outlineLevel="2" x14ac:dyDescent="0.3">
      <c r="C5068" t="s">
        <v>3882</v>
      </c>
    </row>
    <row r="5069" spans="3:4" hidden="1" outlineLevel="2" x14ac:dyDescent="0.3">
      <c r="C5069" t="s">
        <v>3883</v>
      </c>
    </row>
    <row r="5070" spans="3:4" hidden="1" outlineLevel="2" x14ac:dyDescent="0.3">
      <c r="C5070" t="s">
        <v>3884</v>
      </c>
    </row>
    <row r="5071" spans="3:4" hidden="1" outlineLevel="2" x14ac:dyDescent="0.3">
      <c r="C5071" t="s">
        <v>3885</v>
      </c>
    </row>
    <row r="5072" spans="3:4" hidden="1" outlineLevel="2" x14ac:dyDescent="0.3">
      <c r="C5072" t="s">
        <v>3886</v>
      </c>
    </row>
    <row r="5073" spans="2:3" hidden="1" outlineLevel="2" x14ac:dyDescent="0.3">
      <c r="C5073" t="s">
        <v>3887</v>
      </c>
    </row>
    <row r="5074" spans="2:3" hidden="1" outlineLevel="2" x14ac:dyDescent="0.3">
      <c r="C5074" t="s">
        <v>3888</v>
      </c>
    </row>
    <row r="5075" spans="2:3" hidden="1" outlineLevel="2" x14ac:dyDescent="0.3">
      <c r="C5075" t="s">
        <v>3889</v>
      </c>
    </row>
    <row r="5076" spans="2:3" hidden="1" outlineLevel="2" x14ac:dyDescent="0.3">
      <c r="C5076" t="s">
        <v>3890</v>
      </c>
    </row>
    <row r="5077" spans="2:3" hidden="1" outlineLevel="2" x14ac:dyDescent="0.3">
      <c r="C5077" t="s">
        <v>3891</v>
      </c>
    </row>
    <row r="5078" spans="2:3" hidden="1" outlineLevel="2" x14ac:dyDescent="0.3">
      <c r="C5078" t="s">
        <v>3892</v>
      </c>
    </row>
    <row r="5079" spans="2:3" outlineLevel="1" collapsed="1" x14ac:dyDescent="0.3">
      <c r="B5079" t="s">
        <v>3893</v>
      </c>
    </row>
    <row r="5080" spans="2:3" hidden="1" outlineLevel="2" x14ac:dyDescent="0.3">
      <c r="C5080" t="s">
        <v>3894</v>
      </c>
    </row>
    <row r="5081" spans="2:3" hidden="1" outlineLevel="2" x14ac:dyDescent="0.3">
      <c r="C5081" t="s">
        <v>3895</v>
      </c>
    </row>
    <row r="5082" spans="2:3" hidden="1" outlineLevel="2" x14ac:dyDescent="0.3">
      <c r="C5082" t="s">
        <v>3896</v>
      </c>
    </row>
    <row r="5083" spans="2:3" hidden="1" outlineLevel="2" x14ac:dyDescent="0.3">
      <c r="C5083" t="s">
        <v>3897</v>
      </c>
    </row>
    <row r="5084" spans="2:3" hidden="1" outlineLevel="2" x14ac:dyDescent="0.3">
      <c r="C5084" t="s">
        <v>3898</v>
      </c>
    </row>
    <row r="5085" spans="2:3" hidden="1" outlineLevel="2" x14ac:dyDescent="0.3">
      <c r="C5085" t="s">
        <v>3899</v>
      </c>
    </row>
    <row r="5086" spans="2:3" outlineLevel="1" collapsed="1" x14ac:dyDescent="0.3">
      <c r="B5086" t="s">
        <v>3900</v>
      </c>
    </row>
    <row r="5087" spans="2:3" hidden="1" outlineLevel="2" x14ac:dyDescent="0.3">
      <c r="C5087" t="s">
        <v>3901</v>
      </c>
    </row>
    <row r="5088" spans="2:3" hidden="1" outlineLevel="2" x14ac:dyDescent="0.3">
      <c r="C5088" t="s">
        <v>3902</v>
      </c>
    </row>
    <row r="5089" spans="2:4" hidden="1" outlineLevel="2" x14ac:dyDescent="0.3">
      <c r="C5089" t="s">
        <v>3903</v>
      </c>
    </row>
    <row r="5090" spans="2:4" outlineLevel="1" collapsed="1" x14ac:dyDescent="0.3">
      <c r="B5090" t="s">
        <v>3904</v>
      </c>
    </row>
    <row r="5091" spans="2:4" hidden="1" outlineLevel="2" x14ac:dyDescent="0.3">
      <c r="C5091" t="s">
        <v>3905</v>
      </c>
    </row>
    <row r="5092" spans="2:4" hidden="1" outlineLevel="2" x14ac:dyDescent="0.3">
      <c r="C5092" t="s">
        <v>3906</v>
      </c>
    </row>
    <row r="5093" spans="2:4" hidden="1" outlineLevel="2" x14ac:dyDescent="0.3">
      <c r="C5093" t="s">
        <v>3907</v>
      </c>
    </row>
    <row r="5094" spans="2:4" outlineLevel="1" collapsed="1" x14ac:dyDescent="0.3">
      <c r="B5094" t="s">
        <v>3908</v>
      </c>
    </row>
    <row r="5095" spans="2:4" hidden="1" outlineLevel="2" x14ac:dyDescent="0.3">
      <c r="C5095" t="s">
        <v>3909</v>
      </c>
    </row>
    <row r="5096" spans="2:4" hidden="1" outlineLevel="2" x14ac:dyDescent="0.3">
      <c r="C5096" t="s">
        <v>3910</v>
      </c>
    </row>
    <row r="5097" spans="2:4" hidden="1" outlineLevel="2" x14ac:dyDescent="0.3">
      <c r="C5097" t="s">
        <v>3911</v>
      </c>
    </row>
    <row r="5098" spans="2:4" outlineLevel="1" collapsed="1" x14ac:dyDescent="0.3">
      <c r="B5098" t="s">
        <v>3912</v>
      </c>
    </row>
    <row r="5099" spans="2:4" hidden="1" outlineLevel="2" x14ac:dyDescent="0.3">
      <c r="C5099" t="s">
        <v>3913</v>
      </c>
    </row>
    <row r="5100" spans="2:4" hidden="1" outlineLevel="2" x14ac:dyDescent="0.3">
      <c r="C5100" t="s">
        <v>3914</v>
      </c>
    </row>
    <row r="5101" spans="2:4" hidden="1" outlineLevel="2" x14ac:dyDescent="0.3">
      <c r="C5101" t="s">
        <v>3915</v>
      </c>
    </row>
    <row r="5102" spans="2:4" hidden="1" outlineLevel="2" x14ac:dyDescent="0.3">
      <c r="C5102" t="s">
        <v>3916</v>
      </c>
    </row>
    <row r="5103" spans="2:4" hidden="1" outlineLevel="3" x14ac:dyDescent="0.3">
      <c r="D5103" t="s">
        <v>3917</v>
      </c>
    </row>
    <row r="5104" spans="2:4" hidden="1" outlineLevel="3" x14ac:dyDescent="0.3">
      <c r="D5104" t="s">
        <v>3918</v>
      </c>
    </row>
    <row r="5105" spans="1:4" hidden="1" outlineLevel="3" x14ac:dyDescent="0.3">
      <c r="D5105" t="s">
        <v>3919</v>
      </c>
    </row>
    <row r="5106" spans="1:4" hidden="1" outlineLevel="3" x14ac:dyDescent="0.3">
      <c r="D5106" t="s">
        <v>3920</v>
      </c>
    </row>
    <row r="5107" spans="1:4" hidden="1" outlineLevel="3" x14ac:dyDescent="0.3">
      <c r="D5107" t="s">
        <v>3921</v>
      </c>
    </row>
    <row r="5108" spans="1:4" hidden="1" outlineLevel="2" x14ac:dyDescent="0.3">
      <c r="C5108" t="s">
        <v>3922</v>
      </c>
    </row>
    <row r="5109" spans="1:4" outlineLevel="1" collapsed="1" x14ac:dyDescent="0.3">
      <c r="B5109" t="s">
        <v>3923</v>
      </c>
    </row>
    <row r="5110" spans="1:4" hidden="1" outlineLevel="2" x14ac:dyDescent="0.3">
      <c r="C5110" t="s">
        <v>3924</v>
      </c>
    </row>
    <row r="5111" spans="1:4" hidden="1" outlineLevel="2" x14ac:dyDescent="0.3">
      <c r="C5111" t="s">
        <v>3925</v>
      </c>
    </row>
    <row r="5112" spans="1:4" hidden="1" outlineLevel="2" x14ac:dyDescent="0.3">
      <c r="C5112" t="s">
        <v>3926</v>
      </c>
    </row>
    <row r="5113" spans="1:4" hidden="1" outlineLevel="2" x14ac:dyDescent="0.3">
      <c r="C5113" t="s">
        <v>3927</v>
      </c>
    </row>
    <row r="5114" spans="1:4" hidden="1" outlineLevel="2" x14ac:dyDescent="0.3">
      <c r="C5114" t="s">
        <v>3928</v>
      </c>
    </row>
    <row r="5115" spans="1:4" hidden="1" outlineLevel="2" x14ac:dyDescent="0.3">
      <c r="C5115" t="s">
        <v>3929</v>
      </c>
    </row>
    <row r="5116" spans="1:4" x14ac:dyDescent="0.3">
      <c r="A5116" t="s">
        <v>3930</v>
      </c>
    </row>
    <row r="5117" spans="1:4" outlineLevel="1" x14ac:dyDescent="0.3">
      <c r="B5117" t="s">
        <v>3931</v>
      </c>
    </row>
    <row r="5118" spans="1:4" hidden="1" outlineLevel="2" x14ac:dyDescent="0.3">
      <c r="C5118" t="s">
        <v>3932</v>
      </c>
    </row>
    <row r="5119" spans="1:4" hidden="1" outlineLevel="2" x14ac:dyDescent="0.3">
      <c r="C5119" t="s">
        <v>3933</v>
      </c>
    </row>
    <row r="5120" spans="1:4" hidden="1" outlineLevel="2" x14ac:dyDescent="0.3">
      <c r="C5120" t="s">
        <v>3934</v>
      </c>
    </row>
    <row r="5121" spans="2:4" hidden="1" outlineLevel="2" x14ac:dyDescent="0.3">
      <c r="C5121" t="s">
        <v>3935</v>
      </c>
    </row>
    <row r="5122" spans="2:4" hidden="1" outlineLevel="2" x14ac:dyDescent="0.3">
      <c r="C5122" t="s">
        <v>3936</v>
      </c>
    </row>
    <row r="5123" spans="2:4" hidden="1" outlineLevel="3" x14ac:dyDescent="0.3">
      <c r="D5123" t="s">
        <v>3937</v>
      </c>
    </row>
    <row r="5124" spans="2:4" hidden="1" outlineLevel="3" x14ac:dyDescent="0.3">
      <c r="D5124" t="s">
        <v>3938</v>
      </c>
    </row>
    <row r="5125" spans="2:4" hidden="1" outlineLevel="3" x14ac:dyDescent="0.3">
      <c r="D5125" t="s">
        <v>3939</v>
      </c>
    </row>
    <row r="5126" spans="2:4" hidden="1" outlineLevel="3" x14ac:dyDescent="0.3">
      <c r="D5126" t="s">
        <v>3940</v>
      </c>
    </row>
    <row r="5127" spans="2:4" hidden="1" outlineLevel="2" x14ac:dyDescent="0.3">
      <c r="C5127" t="s">
        <v>3941</v>
      </c>
    </row>
    <row r="5128" spans="2:4" hidden="1" outlineLevel="2" x14ac:dyDescent="0.3">
      <c r="C5128" t="s">
        <v>3942</v>
      </c>
    </row>
    <row r="5129" spans="2:4" outlineLevel="1" collapsed="1" x14ac:dyDescent="0.3">
      <c r="B5129" t="s">
        <v>3943</v>
      </c>
    </row>
    <row r="5130" spans="2:4" hidden="1" outlineLevel="2" x14ac:dyDescent="0.3">
      <c r="C5130" t="s">
        <v>3944</v>
      </c>
    </row>
    <row r="5131" spans="2:4" hidden="1" outlineLevel="2" x14ac:dyDescent="0.3">
      <c r="C5131" t="s">
        <v>3945</v>
      </c>
    </row>
    <row r="5132" spans="2:4" hidden="1" outlineLevel="2" x14ac:dyDescent="0.3">
      <c r="C5132" t="s">
        <v>3946</v>
      </c>
    </row>
    <row r="5133" spans="2:4" outlineLevel="1" collapsed="1" x14ac:dyDescent="0.3">
      <c r="B5133" t="s">
        <v>3947</v>
      </c>
    </row>
    <row r="5134" spans="2:4" hidden="1" outlineLevel="2" x14ac:dyDescent="0.3">
      <c r="C5134" t="s">
        <v>3948</v>
      </c>
    </row>
    <row r="5135" spans="2:4" hidden="1" outlineLevel="2" x14ac:dyDescent="0.3">
      <c r="C5135" t="s">
        <v>3949</v>
      </c>
    </row>
    <row r="5136" spans="2:4" hidden="1" outlineLevel="2" x14ac:dyDescent="0.3">
      <c r="C5136" t="s">
        <v>3950</v>
      </c>
    </row>
    <row r="5137" spans="2:3" hidden="1" outlineLevel="2" x14ac:dyDescent="0.3">
      <c r="C5137" t="s">
        <v>3951</v>
      </c>
    </row>
    <row r="5138" spans="2:3" outlineLevel="1" collapsed="1" x14ac:dyDescent="0.3">
      <c r="B5138" t="s">
        <v>3952</v>
      </c>
    </row>
    <row r="5139" spans="2:3" outlineLevel="1" x14ac:dyDescent="0.3">
      <c r="B5139" t="s">
        <v>3953</v>
      </c>
    </row>
    <row r="5140" spans="2:3" hidden="1" outlineLevel="2" x14ac:dyDescent="0.3">
      <c r="C5140" t="s">
        <v>3954</v>
      </c>
    </row>
    <row r="5141" spans="2:3" hidden="1" outlineLevel="2" x14ac:dyDescent="0.3">
      <c r="C5141" t="s">
        <v>3955</v>
      </c>
    </row>
    <row r="5142" spans="2:3" hidden="1" outlineLevel="2" x14ac:dyDescent="0.3">
      <c r="C5142" t="s">
        <v>3956</v>
      </c>
    </row>
    <row r="5143" spans="2:3" hidden="1" outlineLevel="2" x14ac:dyDescent="0.3">
      <c r="C5143" t="s">
        <v>3957</v>
      </c>
    </row>
    <row r="5144" spans="2:3" outlineLevel="1" collapsed="1" x14ac:dyDescent="0.3">
      <c r="B5144" t="s">
        <v>3958</v>
      </c>
    </row>
    <row r="5145" spans="2:3" outlineLevel="1" x14ac:dyDescent="0.3">
      <c r="B5145" t="s">
        <v>3959</v>
      </c>
    </row>
    <row r="5146" spans="2:3" hidden="1" outlineLevel="2" x14ac:dyDescent="0.3">
      <c r="C5146" t="s">
        <v>3960</v>
      </c>
    </row>
    <row r="5147" spans="2:3" hidden="1" outlineLevel="2" x14ac:dyDescent="0.3">
      <c r="C5147" t="s">
        <v>3961</v>
      </c>
    </row>
    <row r="5148" spans="2:3" hidden="1" outlineLevel="2" x14ac:dyDescent="0.3">
      <c r="C5148" t="s">
        <v>3962</v>
      </c>
    </row>
    <row r="5149" spans="2:3" outlineLevel="1" collapsed="1" x14ac:dyDescent="0.3">
      <c r="B5149" t="s">
        <v>3963</v>
      </c>
    </row>
    <row r="5150" spans="2:3" hidden="1" outlineLevel="2" x14ac:dyDescent="0.3">
      <c r="C5150" t="s">
        <v>3964</v>
      </c>
    </row>
    <row r="5151" spans="2:3" hidden="1" outlineLevel="2" x14ac:dyDescent="0.3">
      <c r="C5151" t="s">
        <v>3965</v>
      </c>
    </row>
    <row r="5152" spans="2:3" outlineLevel="1" collapsed="1" x14ac:dyDescent="0.3">
      <c r="B5152" t="s">
        <v>3966</v>
      </c>
    </row>
    <row r="5153" spans="3:4" hidden="1" outlineLevel="2" x14ac:dyDescent="0.3">
      <c r="C5153" t="s">
        <v>3967</v>
      </c>
    </row>
    <row r="5154" spans="3:4" hidden="1" outlineLevel="3" x14ac:dyDescent="0.3">
      <c r="D5154" t="s">
        <v>3968</v>
      </c>
    </row>
    <row r="5155" spans="3:4" hidden="1" outlineLevel="3" x14ac:dyDescent="0.3">
      <c r="D5155" t="s">
        <v>3969</v>
      </c>
    </row>
    <row r="5156" spans="3:4" hidden="1" outlineLevel="3" x14ac:dyDescent="0.3">
      <c r="D5156" t="s">
        <v>3970</v>
      </c>
    </row>
    <row r="5157" spans="3:4" hidden="1" outlineLevel="2" x14ac:dyDescent="0.3">
      <c r="C5157" t="s">
        <v>3971</v>
      </c>
    </row>
    <row r="5158" spans="3:4" hidden="1" outlineLevel="3" x14ac:dyDescent="0.3">
      <c r="D5158" t="s">
        <v>3972</v>
      </c>
    </row>
    <row r="5159" spans="3:4" hidden="1" outlineLevel="3" x14ac:dyDescent="0.3">
      <c r="D5159" t="s">
        <v>3973</v>
      </c>
    </row>
    <row r="5160" spans="3:4" hidden="1" outlineLevel="3" x14ac:dyDescent="0.3">
      <c r="D5160" t="s">
        <v>3974</v>
      </c>
    </row>
    <row r="5161" spans="3:4" hidden="1" outlineLevel="3" x14ac:dyDescent="0.3">
      <c r="D5161" t="s">
        <v>3975</v>
      </c>
    </row>
    <row r="5162" spans="3:4" hidden="1" outlineLevel="3" x14ac:dyDescent="0.3">
      <c r="D5162" t="s">
        <v>3976</v>
      </c>
    </row>
    <row r="5163" spans="3:4" hidden="1" outlineLevel="3" x14ac:dyDescent="0.3">
      <c r="D5163" t="s">
        <v>3977</v>
      </c>
    </row>
    <row r="5164" spans="3:4" hidden="1" outlineLevel="3" x14ac:dyDescent="0.3">
      <c r="D5164" t="s">
        <v>3978</v>
      </c>
    </row>
    <row r="5165" spans="3:4" hidden="1" outlineLevel="3" x14ac:dyDescent="0.3">
      <c r="D5165" t="s">
        <v>3979</v>
      </c>
    </row>
    <row r="5166" spans="3:4" hidden="1" outlineLevel="3" x14ac:dyDescent="0.3">
      <c r="D5166" t="s">
        <v>3980</v>
      </c>
    </row>
    <row r="5167" spans="3:4" hidden="1" outlineLevel="3" x14ac:dyDescent="0.3">
      <c r="D5167" t="s">
        <v>3981</v>
      </c>
    </row>
    <row r="5168" spans="3:4" hidden="1" outlineLevel="3" x14ac:dyDescent="0.3">
      <c r="D5168" t="s">
        <v>3982</v>
      </c>
    </row>
    <row r="5169" spans="4:4" hidden="1" outlineLevel="3" x14ac:dyDescent="0.3">
      <c r="D5169" t="s">
        <v>3983</v>
      </c>
    </row>
    <row r="5170" spans="4:4" hidden="1" outlineLevel="3" x14ac:dyDescent="0.3">
      <c r="D5170" t="s">
        <v>3984</v>
      </c>
    </row>
    <row r="5171" spans="4:4" hidden="1" outlineLevel="3" x14ac:dyDescent="0.3">
      <c r="D5171" t="s">
        <v>3985</v>
      </c>
    </row>
    <row r="5172" spans="4:4" hidden="1" outlineLevel="3" x14ac:dyDescent="0.3">
      <c r="D5172" t="s">
        <v>3986</v>
      </c>
    </row>
    <row r="5173" spans="4:4" hidden="1" outlineLevel="3" x14ac:dyDescent="0.3">
      <c r="D5173" t="s">
        <v>3987</v>
      </c>
    </row>
    <row r="5174" spans="4:4" hidden="1" outlineLevel="3" x14ac:dyDescent="0.3">
      <c r="D5174" t="s">
        <v>3988</v>
      </c>
    </row>
    <row r="5175" spans="4:4" hidden="1" outlineLevel="3" x14ac:dyDescent="0.3">
      <c r="D5175" t="s">
        <v>3989</v>
      </c>
    </row>
    <row r="5176" spans="4:4" hidden="1" outlineLevel="3" x14ac:dyDescent="0.3">
      <c r="D5176" t="s">
        <v>3990</v>
      </c>
    </row>
    <row r="5177" spans="4:4" hidden="1" outlineLevel="3" x14ac:dyDescent="0.3">
      <c r="D5177" t="s">
        <v>3991</v>
      </c>
    </row>
    <row r="5178" spans="4:4" hidden="1" outlineLevel="3" x14ac:dyDescent="0.3">
      <c r="D5178" t="s">
        <v>3992</v>
      </c>
    </row>
    <row r="5179" spans="4:4" hidden="1" outlineLevel="3" x14ac:dyDescent="0.3">
      <c r="D5179" t="s">
        <v>3993</v>
      </c>
    </row>
    <row r="5180" spans="4:4" hidden="1" outlineLevel="3" x14ac:dyDescent="0.3">
      <c r="D5180" t="s">
        <v>3994</v>
      </c>
    </row>
    <row r="5181" spans="4:4" hidden="1" outlineLevel="3" x14ac:dyDescent="0.3">
      <c r="D5181" t="s">
        <v>3995</v>
      </c>
    </row>
    <row r="5182" spans="4:4" hidden="1" outlineLevel="3" x14ac:dyDescent="0.3">
      <c r="D5182" t="s">
        <v>3996</v>
      </c>
    </row>
    <row r="5183" spans="4:4" hidden="1" outlineLevel="3" x14ac:dyDescent="0.3">
      <c r="D5183" t="s">
        <v>3997</v>
      </c>
    </row>
    <row r="5184" spans="4:4" hidden="1" outlineLevel="3" x14ac:dyDescent="0.3">
      <c r="D5184" t="s">
        <v>3998</v>
      </c>
    </row>
    <row r="5185" spans="2:4" hidden="1" outlineLevel="3" x14ac:dyDescent="0.3">
      <c r="D5185" t="s">
        <v>3999</v>
      </c>
    </row>
    <row r="5186" spans="2:4" hidden="1" outlineLevel="3" x14ac:dyDescent="0.3">
      <c r="D5186" t="s">
        <v>4000</v>
      </c>
    </row>
    <row r="5187" spans="2:4" hidden="1" outlineLevel="3" x14ac:dyDescent="0.3">
      <c r="D5187" t="s">
        <v>4001</v>
      </c>
    </row>
    <row r="5188" spans="2:4" hidden="1" outlineLevel="2" x14ac:dyDescent="0.3">
      <c r="C5188" t="s">
        <v>4002</v>
      </c>
    </row>
    <row r="5189" spans="2:4" outlineLevel="1" collapsed="1" x14ac:dyDescent="0.3">
      <c r="B5189" t="s">
        <v>4003</v>
      </c>
    </row>
    <row r="5190" spans="2:4" outlineLevel="1" x14ac:dyDescent="0.3">
      <c r="B5190" t="s">
        <v>4004</v>
      </c>
    </row>
    <row r="5191" spans="2:4" hidden="1" outlineLevel="2" x14ac:dyDescent="0.3">
      <c r="C5191" t="s">
        <v>4005</v>
      </c>
    </row>
    <row r="5192" spans="2:4" hidden="1" outlineLevel="2" x14ac:dyDescent="0.3">
      <c r="C5192" t="s">
        <v>4006</v>
      </c>
    </row>
    <row r="5193" spans="2:4" hidden="1" outlineLevel="2" x14ac:dyDescent="0.3">
      <c r="C5193" t="s">
        <v>4007</v>
      </c>
    </row>
    <row r="5194" spans="2:4" hidden="1" outlineLevel="2" x14ac:dyDescent="0.3">
      <c r="C5194" t="s">
        <v>4008</v>
      </c>
    </row>
    <row r="5195" spans="2:4" hidden="1" outlineLevel="2" x14ac:dyDescent="0.3">
      <c r="C5195" t="s">
        <v>4009</v>
      </c>
    </row>
    <row r="5196" spans="2:4" hidden="1" outlineLevel="2" x14ac:dyDescent="0.3">
      <c r="C5196" t="s">
        <v>4010</v>
      </c>
    </row>
    <row r="5197" spans="2:4" hidden="1" outlineLevel="2" x14ac:dyDescent="0.3">
      <c r="C5197" t="s">
        <v>4011</v>
      </c>
    </row>
    <row r="5198" spans="2:4" hidden="1" outlineLevel="2" x14ac:dyDescent="0.3">
      <c r="C5198" t="s">
        <v>4012</v>
      </c>
    </row>
    <row r="5199" spans="2:4" hidden="1" outlineLevel="2" x14ac:dyDescent="0.3">
      <c r="C5199" t="s">
        <v>4013</v>
      </c>
    </row>
    <row r="5200" spans="2:4" hidden="1" outlineLevel="2" x14ac:dyDescent="0.3">
      <c r="C5200" t="s">
        <v>4014</v>
      </c>
    </row>
    <row r="5201" spans="2:3" hidden="1" outlineLevel="2" x14ac:dyDescent="0.3">
      <c r="C5201" t="s">
        <v>4015</v>
      </c>
    </row>
    <row r="5202" spans="2:3" hidden="1" outlineLevel="2" x14ac:dyDescent="0.3">
      <c r="C5202" t="s">
        <v>4016</v>
      </c>
    </row>
    <row r="5203" spans="2:3" hidden="1" outlineLevel="2" x14ac:dyDescent="0.3">
      <c r="C5203" t="s">
        <v>4017</v>
      </c>
    </row>
    <row r="5204" spans="2:3" hidden="1" outlineLevel="2" x14ac:dyDescent="0.3">
      <c r="C5204" t="s">
        <v>4018</v>
      </c>
    </row>
    <row r="5205" spans="2:3" hidden="1" outlineLevel="2" x14ac:dyDescent="0.3">
      <c r="C5205" t="s">
        <v>4019</v>
      </c>
    </row>
    <row r="5206" spans="2:3" hidden="1" outlineLevel="2" x14ac:dyDescent="0.3">
      <c r="C5206" t="s">
        <v>4020</v>
      </c>
    </row>
    <row r="5207" spans="2:3" hidden="1" outlineLevel="2" x14ac:dyDescent="0.3">
      <c r="C5207" t="s">
        <v>4021</v>
      </c>
    </row>
    <row r="5208" spans="2:3" hidden="1" outlineLevel="2" x14ac:dyDescent="0.3">
      <c r="C5208" t="s">
        <v>4022</v>
      </c>
    </row>
    <row r="5209" spans="2:3" hidden="1" outlineLevel="2" x14ac:dyDescent="0.3">
      <c r="C5209" t="s">
        <v>4023</v>
      </c>
    </row>
    <row r="5210" spans="2:3" hidden="1" outlineLevel="2" x14ac:dyDescent="0.3">
      <c r="C5210" t="s">
        <v>4024</v>
      </c>
    </row>
    <row r="5211" spans="2:3" hidden="1" outlineLevel="2" x14ac:dyDescent="0.3">
      <c r="C5211" t="s">
        <v>4025</v>
      </c>
    </row>
    <row r="5212" spans="2:3" hidden="1" outlineLevel="2" x14ac:dyDescent="0.3">
      <c r="C5212" t="s">
        <v>4026</v>
      </c>
    </row>
    <row r="5213" spans="2:3" hidden="1" outlineLevel="2" x14ac:dyDescent="0.3">
      <c r="C5213" t="s">
        <v>4027</v>
      </c>
    </row>
    <row r="5214" spans="2:3" hidden="1" outlineLevel="2" x14ac:dyDescent="0.3">
      <c r="C5214" t="s">
        <v>4028</v>
      </c>
    </row>
    <row r="5215" spans="2:3" outlineLevel="1" collapsed="1" x14ac:dyDescent="0.3">
      <c r="B5215" t="s">
        <v>4029</v>
      </c>
    </row>
    <row r="5216" spans="2:3" hidden="1" outlineLevel="2" x14ac:dyDescent="0.3">
      <c r="C5216" t="s">
        <v>4030</v>
      </c>
    </row>
    <row r="5217" spans="2:4" hidden="1" outlineLevel="2" x14ac:dyDescent="0.3">
      <c r="C5217" t="s">
        <v>4031</v>
      </c>
    </row>
    <row r="5218" spans="2:4" hidden="1" outlineLevel="2" x14ac:dyDescent="0.3">
      <c r="C5218" t="s">
        <v>4032</v>
      </c>
    </row>
    <row r="5219" spans="2:4" outlineLevel="1" collapsed="1" x14ac:dyDescent="0.3">
      <c r="B5219" t="s">
        <v>4033</v>
      </c>
    </row>
    <row r="5220" spans="2:4" outlineLevel="1" x14ac:dyDescent="0.3">
      <c r="B5220" t="s">
        <v>4034</v>
      </c>
    </row>
    <row r="5221" spans="2:4" hidden="1" outlineLevel="2" x14ac:dyDescent="0.3">
      <c r="C5221" t="s">
        <v>4035</v>
      </c>
    </row>
    <row r="5222" spans="2:4" hidden="1" outlineLevel="2" x14ac:dyDescent="0.3">
      <c r="C5222" t="s">
        <v>4036</v>
      </c>
    </row>
    <row r="5223" spans="2:4" hidden="1" outlineLevel="2" x14ac:dyDescent="0.3">
      <c r="C5223" t="s">
        <v>4037</v>
      </c>
    </row>
    <row r="5224" spans="2:4" hidden="1" outlineLevel="2" x14ac:dyDescent="0.3">
      <c r="C5224" t="s">
        <v>4038</v>
      </c>
    </row>
    <row r="5225" spans="2:4" hidden="1" outlineLevel="2" x14ac:dyDescent="0.3">
      <c r="C5225" t="s">
        <v>4039</v>
      </c>
    </row>
    <row r="5226" spans="2:4" hidden="1" outlineLevel="2" x14ac:dyDescent="0.3">
      <c r="C5226" t="s">
        <v>4040</v>
      </c>
    </row>
    <row r="5227" spans="2:4" hidden="1" outlineLevel="2" x14ac:dyDescent="0.3">
      <c r="C5227" t="s">
        <v>4041</v>
      </c>
    </row>
    <row r="5228" spans="2:4" hidden="1" outlineLevel="3" x14ac:dyDescent="0.3">
      <c r="D5228" t="s">
        <v>4042</v>
      </c>
    </row>
    <row r="5229" spans="2:4" hidden="1" outlineLevel="3" x14ac:dyDescent="0.3">
      <c r="D5229" t="s">
        <v>4043</v>
      </c>
    </row>
    <row r="5230" spans="2:4" hidden="1" outlineLevel="3" x14ac:dyDescent="0.3">
      <c r="D5230" t="s">
        <v>4044</v>
      </c>
    </row>
    <row r="5231" spans="2:4" hidden="1" outlineLevel="2" x14ac:dyDescent="0.3">
      <c r="C5231" t="s">
        <v>4045</v>
      </c>
    </row>
    <row r="5232" spans="2:4" hidden="1" outlineLevel="2" x14ac:dyDescent="0.3">
      <c r="C5232" t="s">
        <v>4046</v>
      </c>
    </row>
    <row r="5233" spans="3:3" hidden="1" outlineLevel="2" x14ac:dyDescent="0.3">
      <c r="C5233" t="s">
        <v>4047</v>
      </c>
    </row>
    <row r="5234" spans="3:3" hidden="1" outlineLevel="2" x14ac:dyDescent="0.3">
      <c r="C5234" t="s">
        <v>4048</v>
      </c>
    </row>
    <row r="5235" spans="3:3" hidden="1" outlineLevel="2" x14ac:dyDescent="0.3">
      <c r="C5235" t="s">
        <v>4049</v>
      </c>
    </row>
    <row r="5236" spans="3:3" hidden="1" outlineLevel="2" x14ac:dyDescent="0.3">
      <c r="C5236" t="s">
        <v>4050</v>
      </c>
    </row>
    <row r="5237" spans="3:3" hidden="1" outlineLevel="2" x14ac:dyDescent="0.3">
      <c r="C5237" t="s">
        <v>4051</v>
      </c>
    </row>
    <row r="5238" spans="3:3" hidden="1" outlineLevel="2" x14ac:dyDescent="0.3">
      <c r="C5238" t="s">
        <v>4052</v>
      </c>
    </row>
    <row r="5239" spans="3:3" hidden="1" outlineLevel="2" x14ac:dyDescent="0.3">
      <c r="C5239" t="s">
        <v>4053</v>
      </c>
    </row>
    <row r="5240" spans="3:3" hidden="1" outlineLevel="2" x14ac:dyDescent="0.3">
      <c r="C5240" t="s">
        <v>4054</v>
      </c>
    </row>
    <row r="5241" spans="3:3" hidden="1" outlineLevel="2" x14ac:dyDescent="0.3">
      <c r="C5241" t="s">
        <v>4055</v>
      </c>
    </row>
    <row r="5242" spans="3:3" hidden="1" outlineLevel="2" x14ac:dyDescent="0.3">
      <c r="C5242" t="s">
        <v>4056</v>
      </c>
    </row>
    <row r="5243" spans="3:3" hidden="1" outlineLevel="2" x14ac:dyDescent="0.3">
      <c r="C5243" t="s">
        <v>4057</v>
      </c>
    </row>
    <row r="5244" spans="3:3" hidden="1" outlineLevel="2" x14ac:dyDescent="0.3">
      <c r="C5244" t="s">
        <v>4058</v>
      </c>
    </row>
    <row r="5245" spans="3:3" hidden="1" outlineLevel="2" x14ac:dyDescent="0.3">
      <c r="C5245" t="s">
        <v>4059</v>
      </c>
    </row>
    <row r="5246" spans="3:3" hidden="1" outlineLevel="2" x14ac:dyDescent="0.3">
      <c r="C5246" t="s">
        <v>4060</v>
      </c>
    </row>
    <row r="5247" spans="3:3" hidden="1" outlineLevel="2" x14ac:dyDescent="0.3">
      <c r="C5247" t="s">
        <v>4061</v>
      </c>
    </row>
    <row r="5248" spans="3:3" hidden="1" outlineLevel="2" x14ac:dyDescent="0.3">
      <c r="C5248" t="s">
        <v>4062</v>
      </c>
    </row>
    <row r="5249" spans="2:3" outlineLevel="1" collapsed="1" x14ac:dyDescent="0.3">
      <c r="B5249" t="s">
        <v>4063</v>
      </c>
    </row>
    <row r="5250" spans="2:3" hidden="1" outlineLevel="2" x14ac:dyDescent="0.3">
      <c r="C5250" t="s">
        <v>4064</v>
      </c>
    </row>
    <row r="5251" spans="2:3" hidden="1" outlineLevel="2" x14ac:dyDescent="0.3">
      <c r="C5251" t="s">
        <v>4065</v>
      </c>
    </row>
    <row r="5252" spans="2:3" hidden="1" outlineLevel="2" x14ac:dyDescent="0.3">
      <c r="C5252" t="s">
        <v>4066</v>
      </c>
    </row>
    <row r="5253" spans="2:3" outlineLevel="1" collapsed="1" x14ac:dyDescent="0.3">
      <c r="B5253" t="s">
        <v>4067</v>
      </c>
    </row>
    <row r="5254" spans="2:3" hidden="1" outlineLevel="2" x14ac:dyDescent="0.3">
      <c r="C5254" t="s">
        <v>4068</v>
      </c>
    </row>
    <row r="5255" spans="2:3" hidden="1" outlineLevel="2" x14ac:dyDescent="0.3">
      <c r="C5255" t="s">
        <v>4069</v>
      </c>
    </row>
    <row r="5256" spans="2:3" hidden="1" outlineLevel="2" x14ac:dyDescent="0.3">
      <c r="C5256" t="s">
        <v>4070</v>
      </c>
    </row>
    <row r="5257" spans="2:3" outlineLevel="1" collapsed="1" x14ac:dyDescent="0.3">
      <c r="B5257" t="s">
        <v>4071</v>
      </c>
    </row>
    <row r="5258" spans="2:3" hidden="1" outlineLevel="2" x14ac:dyDescent="0.3">
      <c r="C5258" t="s">
        <v>4072</v>
      </c>
    </row>
    <row r="5259" spans="2:3" hidden="1" outlineLevel="2" x14ac:dyDescent="0.3">
      <c r="C5259" t="s">
        <v>4073</v>
      </c>
    </row>
    <row r="5260" spans="2:3" hidden="1" outlineLevel="2" x14ac:dyDescent="0.3">
      <c r="C5260" t="s">
        <v>4074</v>
      </c>
    </row>
    <row r="5261" spans="2:3" outlineLevel="1" collapsed="1" x14ac:dyDescent="0.3">
      <c r="B5261" t="s">
        <v>4075</v>
      </c>
    </row>
    <row r="5262" spans="2:3" hidden="1" outlineLevel="2" x14ac:dyDescent="0.3">
      <c r="C5262" t="s">
        <v>4076</v>
      </c>
    </row>
    <row r="5263" spans="2:3" hidden="1" outlineLevel="2" x14ac:dyDescent="0.3">
      <c r="C5263" t="s">
        <v>4077</v>
      </c>
    </row>
    <row r="5264" spans="2:3" hidden="1" outlineLevel="2" x14ac:dyDescent="0.3">
      <c r="C5264" t="s">
        <v>4078</v>
      </c>
    </row>
    <row r="5265" spans="1:3" hidden="1" outlineLevel="2" x14ac:dyDescent="0.3">
      <c r="C5265" t="s">
        <v>4079</v>
      </c>
    </row>
    <row r="5266" spans="1:3" hidden="1" outlineLevel="2" x14ac:dyDescent="0.3">
      <c r="C5266" t="s">
        <v>4080</v>
      </c>
    </row>
    <row r="5267" spans="1:3" hidden="1" outlineLevel="2" x14ac:dyDescent="0.3">
      <c r="C5267" t="s">
        <v>4081</v>
      </c>
    </row>
    <row r="5268" spans="1:3" outlineLevel="1" collapsed="1" x14ac:dyDescent="0.3">
      <c r="B5268" t="s">
        <v>4082</v>
      </c>
    </row>
    <row r="5269" spans="1:3" hidden="1" outlineLevel="2" x14ac:dyDescent="0.3">
      <c r="C5269" t="s">
        <v>4083</v>
      </c>
    </row>
    <row r="5270" spans="1:3" hidden="1" outlineLevel="2" x14ac:dyDescent="0.3">
      <c r="C5270" t="s">
        <v>4084</v>
      </c>
    </row>
    <row r="5271" spans="1:3" hidden="1" outlineLevel="2" x14ac:dyDescent="0.3">
      <c r="C5271" t="s">
        <v>4085</v>
      </c>
    </row>
    <row r="5272" spans="1:3" hidden="1" outlineLevel="2" x14ac:dyDescent="0.3">
      <c r="C5272" t="s">
        <v>4086</v>
      </c>
    </row>
    <row r="5273" spans="1:3" hidden="1" outlineLevel="2" x14ac:dyDescent="0.3">
      <c r="C5273" t="s">
        <v>4087</v>
      </c>
    </row>
    <row r="5274" spans="1:3" hidden="1" outlineLevel="2" x14ac:dyDescent="0.3">
      <c r="C5274" t="s">
        <v>4088</v>
      </c>
    </row>
    <row r="5275" spans="1:3" hidden="1" outlineLevel="2" x14ac:dyDescent="0.3">
      <c r="C5275" t="s">
        <v>4089</v>
      </c>
    </row>
    <row r="5276" spans="1:3" hidden="1" outlineLevel="2" x14ac:dyDescent="0.3">
      <c r="C5276" t="s">
        <v>4090</v>
      </c>
    </row>
    <row r="5277" spans="1:3" x14ac:dyDescent="0.3">
      <c r="A5277" t="s">
        <v>4091</v>
      </c>
    </row>
    <row r="5278" spans="1:3" x14ac:dyDescent="0.3">
      <c r="A5278" t="s">
        <v>1496</v>
      </c>
    </row>
    <row r="5279" spans="1:3" x14ac:dyDescent="0.3">
      <c r="A5279" t="s">
        <v>3148</v>
      </c>
    </row>
    <row r="5280" spans="1:3" outlineLevel="1" x14ac:dyDescent="0.3">
      <c r="B5280" t="s">
        <v>3149</v>
      </c>
    </row>
    <row r="5281" spans="2:3" outlineLevel="1" x14ac:dyDescent="0.3">
      <c r="B5281" t="s">
        <v>3150</v>
      </c>
    </row>
    <row r="5282" spans="2:3" outlineLevel="1" x14ac:dyDescent="0.3">
      <c r="B5282" t="s">
        <v>3151</v>
      </c>
    </row>
    <row r="5283" spans="2:3" hidden="1" outlineLevel="2" x14ac:dyDescent="0.3">
      <c r="C5283" t="s">
        <v>3152</v>
      </c>
    </row>
    <row r="5284" spans="2:3" hidden="1" outlineLevel="2" x14ac:dyDescent="0.3">
      <c r="C5284" t="s">
        <v>3153</v>
      </c>
    </row>
    <row r="5285" spans="2:3" hidden="1" outlineLevel="2" x14ac:dyDescent="0.3">
      <c r="C5285" t="s">
        <v>3154</v>
      </c>
    </row>
    <row r="5286" spans="2:3" outlineLevel="1" collapsed="1" x14ac:dyDescent="0.3">
      <c r="B5286" t="s">
        <v>4092</v>
      </c>
    </row>
    <row r="5287" spans="2:3" outlineLevel="1" x14ac:dyDescent="0.3">
      <c r="B5287" t="s">
        <v>3156</v>
      </c>
    </row>
    <row r="5288" spans="2:3" outlineLevel="1" x14ac:dyDescent="0.3">
      <c r="B5288" t="s">
        <v>4093</v>
      </c>
    </row>
    <row r="5289" spans="2:3" outlineLevel="1" x14ac:dyDescent="0.3">
      <c r="B5289" t="s">
        <v>3158</v>
      </c>
    </row>
    <row r="5290" spans="2:3" outlineLevel="1" x14ac:dyDescent="0.3">
      <c r="B5290" t="s">
        <v>3159</v>
      </c>
    </row>
    <row r="5291" spans="2:3" outlineLevel="1" x14ac:dyDescent="0.3">
      <c r="B5291" t="s">
        <v>3160</v>
      </c>
    </row>
    <row r="5292" spans="2:3" hidden="1" outlineLevel="2" x14ac:dyDescent="0.3">
      <c r="C5292" t="s">
        <v>3161</v>
      </c>
    </row>
    <row r="5293" spans="2:3" hidden="1" outlineLevel="2" x14ac:dyDescent="0.3">
      <c r="C5293" t="s">
        <v>3162</v>
      </c>
    </row>
    <row r="5294" spans="2:3" hidden="1" outlineLevel="2" x14ac:dyDescent="0.3">
      <c r="C5294" t="s">
        <v>3163</v>
      </c>
    </row>
    <row r="5295" spans="2:3" outlineLevel="1" collapsed="1" x14ac:dyDescent="0.3">
      <c r="B5295" t="s">
        <v>3164</v>
      </c>
    </row>
    <row r="5296" spans="2:3" hidden="1" outlineLevel="2" x14ac:dyDescent="0.3">
      <c r="C5296" t="s">
        <v>3165</v>
      </c>
    </row>
    <row r="5297" spans="2:3" hidden="1" outlineLevel="2" x14ac:dyDescent="0.3">
      <c r="C5297" t="s">
        <v>3166</v>
      </c>
    </row>
    <row r="5298" spans="2:3" hidden="1" outlineLevel="2" x14ac:dyDescent="0.3">
      <c r="C5298" t="s">
        <v>3167</v>
      </c>
    </row>
    <row r="5299" spans="2:3" outlineLevel="1" collapsed="1" x14ac:dyDescent="0.3">
      <c r="B5299" t="s">
        <v>3168</v>
      </c>
    </row>
    <row r="5300" spans="2:3" hidden="1" outlineLevel="2" x14ac:dyDescent="0.3">
      <c r="C5300" t="s">
        <v>3169</v>
      </c>
    </row>
    <row r="5301" spans="2:3" hidden="1" outlineLevel="2" x14ac:dyDescent="0.3">
      <c r="C5301" t="s">
        <v>3170</v>
      </c>
    </row>
    <row r="5302" spans="2:3" hidden="1" outlineLevel="2" x14ac:dyDescent="0.3">
      <c r="C5302" t="s">
        <v>3171</v>
      </c>
    </row>
    <row r="5303" spans="2:3" hidden="1" outlineLevel="2" x14ac:dyDescent="0.3">
      <c r="C5303" t="s">
        <v>3172</v>
      </c>
    </row>
    <row r="5304" spans="2:3" outlineLevel="1" collapsed="1" x14ac:dyDescent="0.3">
      <c r="B5304" t="s">
        <v>4094</v>
      </c>
    </row>
    <row r="5305" spans="2:3" hidden="1" outlineLevel="2" x14ac:dyDescent="0.3">
      <c r="C5305" t="s">
        <v>3174</v>
      </c>
    </row>
    <row r="5306" spans="2:3" hidden="1" outlineLevel="2" x14ac:dyDescent="0.3">
      <c r="C5306" t="s">
        <v>3175</v>
      </c>
    </row>
    <row r="5307" spans="2:3" outlineLevel="1" collapsed="1" x14ac:dyDescent="0.3">
      <c r="B5307" t="s">
        <v>3176</v>
      </c>
    </row>
    <row r="5308" spans="2:3" outlineLevel="1" x14ac:dyDescent="0.3">
      <c r="B5308" t="s">
        <v>3177</v>
      </c>
    </row>
    <row r="5309" spans="2:3" hidden="1" outlineLevel="2" x14ac:dyDescent="0.3">
      <c r="C5309" t="s">
        <v>3178</v>
      </c>
    </row>
    <row r="5310" spans="2:3" hidden="1" outlineLevel="2" x14ac:dyDescent="0.3">
      <c r="C5310" t="s">
        <v>3179</v>
      </c>
    </row>
    <row r="5311" spans="2:3" hidden="1" outlineLevel="2" x14ac:dyDescent="0.3">
      <c r="C5311" t="s">
        <v>3180</v>
      </c>
    </row>
    <row r="5312" spans="2:3" hidden="1" outlineLevel="2" x14ac:dyDescent="0.3">
      <c r="C5312" t="s">
        <v>3181</v>
      </c>
    </row>
    <row r="5313" spans="1:3" outlineLevel="1" collapsed="1" x14ac:dyDescent="0.3">
      <c r="B5313" t="s">
        <v>3182</v>
      </c>
    </row>
    <row r="5314" spans="1:3" hidden="1" outlineLevel="2" x14ac:dyDescent="0.3">
      <c r="C5314" t="s">
        <v>3183</v>
      </c>
    </row>
    <row r="5315" spans="1:3" hidden="1" outlineLevel="2" x14ac:dyDescent="0.3">
      <c r="C5315" t="s">
        <v>3184</v>
      </c>
    </row>
    <row r="5316" spans="1:3" outlineLevel="1" collapsed="1" x14ac:dyDescent="0.3">
      <c r="B5316" t="s">
        <v>3185</v>
      </c>
    </row>
    <row r="5317" spans="1:3" outlineLevel="1" x14ac:dyDescent="0.3">
      <c r="B5317" t="s">
        <v>3186</v>
      </c>
    </row>
    <row r="5318" spans="1:3" outlineLevel="1" x14ac:dyDescent="0.3">
      <c r="B5318" t="s">
        <v>3187</v>
      </c>
    </row>
    <row r="5319" spans="1:3" outlineLevel="1" x14ac:dyDescent="0.3">
      <c r="B5319" t="s">
        <v>3188</v>
      </c>
    </row>
    <row r="5320" spans="1:3" outlineLevel="1" x14ac:dyDescent="0.3">
      <c r="B5320" t="s">
        <v>3189</v>
      </c>
    </row>
    <row r="5321" spans="1:3" outlineLevel="1" x14ac:dyDescent="0.3">
      <c r="B5321" t="s">
        <v>3190</v>
      </c>
    </row>
    <row r="5322" spans="1:3" x14ac:dyDescent="0.3">
      <c r="A5322" t="s">
        <v>3191</v>
      </c>
    </row>
    <row r="5323" spans="1:3" outlineLevel="1" x14ac:dyDescent="0.3">
      <c r="B5323" t="s">
        <v>4095</v>
      </c>
    </row>
    <row r="5324" spans="1:3" outlineLevel="1" x14ac:dyDescent="0.3">
      <c r="B5324" t="s">
        <v>4096</v>
      </c>
    </row>
    <row r="5325" spans="1:3" hidden="1" outlineLevel="2" x14ac:dyDescent="0.3">
      <c r="C5325" t="s">
        <v>3194</v>
      </c>
    </row>
    <row r="5326" spans="1:3" hidden="1" outlineLevel="2" x14ac:dyDescent="0.3">
      <c r="C5326" t="s">
        <v>3195</v>
      </c>
    </row>
    <row r="5327" spans="1:3" hidden="1" outlineLevel="2" x14ac:dyDescent="0.3">
      <c r="C5327" t="s">
        <v>3196</v>
      </c>
    </row>
    <row r="5328" spans="1:3" outlineLevel="1" collapsed="1" x14ac:dyDescent="0.3">
      <c r="B5328" t="s">
        <v>3197</v>
      </c>
    </row>
    <row r="5329" spans="2:3" outlineLevel="1" x14ac:dyDescent="0.3">
      <c r="B5329" t="s">
        <v>3198</v>
      </c>
    </row>
    <row r="5330" spans="2:3" outlineLevel="1" x14ac:dyDescent="0.3">
      <c r="B5330" t="s">
        <v>3199</v>
      </c>
    </row>
    <row r="5331" spans="2:3" outlineLevel="1" x14ac:dyDescent="0.3">
      <c r="B5331" t="s">
        <v>3200</v>
      </c>
    </row>
    <row r="5332" spans="2:3" outlineLevel="1" x14ac:dyDescent="0.3">
      <c r="B5332" t="s">
        <v>3201</v>
      </c>
    </row>
    <row r="5333" spans="2:3" hidden="1" outlineLevel="2" x14ac:dyDescent="0.3">
      <c r="C5333" t="s">
        <v>3202</v>
      </c>
    </row>
    <row r="5334" spans="2:3" hidden="1" outlineLevel="2" x14ac:dyDescent="0.3">
      <c r="C5334" t="s">
        <v>3203</v>
      </c>
    </row>
    <row r="5335" spans="2:3" hidden="1" outlineLevel="2" x14ac:dyDescent="0.3">
      <c r="C5335" t="s">
        <v>3204</v>
      </c>
    </row>
    <row r="5336" spans="2:3" outlineLevel="1" collapsed="1" x14ac:dyDescent="0.3">
      <c r="B5336" t="s">
        <v>3205</v>
      </c>
    </row>
    <row r="5337" spans="2:3" hidden="1" outlineLevel="2" x14ac:dyDescent="0.3">
      <c r="C5337" t="s">
        <v>3206</v>
      </c>
    </row>
    <row r="5338" spans="2:3" hidden="1" outlineLevel="2" x14ac:dyDescent="0.3">
      <c r="C5338" t="s">
        <v>3207</v>
      </c>
    </row>
    <row r="5339" spans="2:3" hidden="1" outlineLevel="2" x14ac:dyDescent="0.3">
      <c r="C5339" t="s">
        <v>3208</v>
      </c>
    </row>
    <row r="5340" spans="2:3" outlineLevel="1" collapsed="1" x14ac:dyDescent="0.3">
      <c r="B5340" t="s">
        <v>3209</v>
      </c>
    </row>
    <row r="5341" spans="2:3" hidden="1" outlineLevel="2" x14ac:dyDescent="0.3">
      <c r="C5341" t="s">
        <v>3210</v>
      </c>
    </row>
    <row r="5342" spans="2:3" hidden="1" outlineLevel="2" x14ac:dyDescent="0.3">
      <c r="C5342" t="s">
        <v>3211</v>
      </c>
    </row>
    <row r="5343" spans="2:3" hidden="1" outlineLevel="2" x14ac:dyDescent="0.3">
      <c r="C5343" t="s">
        <v>3212</v>
      </c>
    </row>
    <row r="5344" spans="2:3" hidden="1" outlineLevel="2" x14ac:dyDescent="0.3">
      <c r="C5344" t="s">
        <v>3213</v>
      </c>
    </row>
    <row r="5345" spans="2:3" outlineLevel="1" collapsed="1" x14ac:dyDescent="0.3">
      <c r="B5345" t="s">
        <v>3214</v>
      </c>
    </row>
    <row r="5346" spans="2:3" hidden="1" outlineLevel="2" x14ac:dyDescent="0.3">
      <c r="C5346" t="s">
        <v>3215</v>
      </c>
    </row>
    <row r="5347" spans="2:3" hidden="1" outlineLevel="2" x14ac:dyDescent="0.3">
      <c r="C5347" t="s">
        <v>3216</v>
      </c>
    </row>
    <row r="5348" spans="2:3" outlineLevel="1" collapsed="1" x14ac:dyDescent="0.3">
      <c r="B5348" t="s">
        <v>3217</v>
      </c>
    </row>
    <row r="5349" spans="2:3" outlineLevel="1" x14ac:dyDescent="0.3">
      <c r="B5349" t="s">
        <v>3218</v>
      </c>
    </row>
    <row r="5350" spans="2:3" hidden="1" outlineLevel="2" x14ac:dyDescent="0.3">
      <c r="C5350" t="s">
        <v>3219</v>
      </c>
    </row>
    <row r="5351" spans="2:3" hidden="1" outlineLevel="2" x14ac:dyDescent="0.3">
      <c r="C5351" t="s">
        <v>3220</v>
      </c>
    </row>
    <row r="5352" spans="2:3" hidden="1" outlineLevel="2" x14ac:dyDescent="0.3">
      <c r="C5352" t="s">
        <v>3221</v>
      </c>
    </row>
    <row r="5353" spans="2:3" hidden="1" outlineLevel="2" x14ac:dyDescent="0.3">
      <c r="C5353" t="s">
        <v>3222</v>
      </c>
    </row>
    <row r="5354" spans="2:3" outlineLevel="1" collapsed="1" x14ac:dyDescent="0.3">
      <c r="B5354" t="s">
        <v>3223</v>
      </c>
    </row>
    <row r="5355" spans="2:3" hidden="1" outlineLevel="2" x14ac:dyDescent="0.3">
      <c r="C5355" t="s">
        <v>3224</v>
      </c>
    </row>
    <row r="5356" spans="2:3" hidden="1" outlineLevel="2" x14ac:dyDescent="0.3">
      <c r="C5356" t="s">
        <v>3225</v>
      </c>
    </row>
    <row r="5357" spans="2:3" hidden="1" outlineLevel="2" x14ac:dyDescent="0.3">
      <c r="C5357" t="s">
        <v>3226</v>
      </c>
    </row>
    <row r="5358" spans="2:3" outlineLevel="1" collapsed="1" x14ac:dyDescent="0.3">
      <c r="B5358" t="s">
        <v>3227</v>
      </c>
    </row>
    <row r="5359" spans="2:3" outlineLevel="1" x14ac:dyDescent="0.3">
      <c r="B5359" t="s">
        <v>3228</v>
      </c>
    </row>
    <row r="5360" spans="2:3" outlineLevel="1" x14ac:dyDescent="0.3">
      <c r="B5360" t="s">
        <v>3229</v>
      </c>
    </row>
    <row r="5361" spans="1:2" outlineLevel="1" x14ac:dyDescent="0.3">
      <c r="B5361" t="s">
        <v>3230</v>
      </c>
    </row>
    <row r="5362" spans="1:2" outlineLevel="1" x14ac:dyDescent="0.3">
      <c r="B5362" t="s">
        <v>3231</v>
      </c>
    </row>
    <row r="5363" spans="1:2" x14ac:dyDescent="0.3">
      <c r="A5363" t="s">
        <v>1697</v>
      </c>
    </row>
    <row r="5364" spans="1:2" x14ac:dyDescent="0.3">
      <c r="A5364" t="s">
        <v>1698</v>
      </c>
    </row>
    <row r="5365" spans="1:2" x14ac:dyDescent="0.3">
      <c r="A5365" t="s">
        <v>1699</v>
      </c>
    </row>
    <row r="5366" spans="1:2" x14ac:dyDescent="0.3">
      <c r="A5366" t="s">
        <v>1700</v>
      </c>
    </row>
    <row r="5367" spans="1:2" x14ac:dyDescent="0.3">
      <c r="A5367" t="s">
        <v>1701</v>
      </c>
    </row>
    <row r="5368" spans="1:2" x14ac:dyDescent="0.3">
      <c r="A5368" t="s">
        <v>1702</v>
      </c>
    </row>
    <row r="5369" spans="1:2" x14ac:dyDescent="0.3">
      <c r="A5369" t="s">
        <v>1703</v>
      </c>
    </row>
    <row r="5370" spans="1:2" outlineLevel="1" x14ac:dyDescent="0.3">
      <c r="B5370" t="s">
        <v>1704</v>
      </c>
    </row>
    <row r="5371" spans="1:2" outlineLevel="1" x14ac:dyDescent="0.3">
      <c r="B5371" t="s">
        <v>1705</v>
      </c>
    </row>
    <row r="5372" spans="1:2" outlineLevel="1" x14ac:dyDescent="0.3">
      <c r="B5372" t="s">
        <v>1706</v>
      </c>
    </row>
    <row r="5373" spans="1:2" outlineLevel="1" x14ac:dyDescent="0.3">
      <c r="B5373" t="s">
        <v>1707</v>
      </c>
    </row>
    <row r="5374" spans="1:2" outlineLevel="1" x14ac:dyDescent="0.3">
      <c r="B5374" t="s">
        <v>1708</v>
      </c>
    </row>
    <row r="5375" spans="1:2" outlineLevel="1" x14ac:dyDescent="0.3">
      <c r="B5375" t="s">
        <v>1709</v>
      </c>
    </row>
    <row r="5376" spans="1:2" outlineLevel="1" x14ac:dyDescent="0.3">
      <c r="B5376" t="s">
        <v>1710</v>
      </c>
    </row>
    <row r="5377" spans="1:2" outlineLevel="1" x14ac:dyDescent="0.3">
      <c r="B5377" t="s">
        <v>1711</v>
      </c>
    </row>
    <row r="5378" spans="1:2" outlineLevel="1" x14ac:dyDescent="0.3">
      <c r="B5378" t="s">
        <v>1712</v>
      </c>
    </row>
    <row r="5379" spans="1:2" outlineLevel="1" x14ac:dyDescent="0.3">
      <c r="B5379" t="s">
        <v>1713</v>
      </c>
    </row>
    <row r="5380" spans="1:2" outlineLevel="1" x14ac:dyDescent="0.3">
      <c r="B5380" t="s">
        <v>1714</v>
      </c>
    </row>
    <row r="5381" spans="1:2" outlineLevel="1" x14ac:dyDescent="0.3">
      <c r="B5381" t="s">
        <v>1715</v>
      </c>
    </row>
    <row r="5382" spans="1:2" outlineLevel="1" x14ac:dyDescent="0.3">
      <c r="B5382" t="s">
        <v>1716</v>
      </c>
    </row>
    <row r="5383" spans="1:2" outlineLevel="1" x14ac:dyDescent="0.3">
      <c r="B5383" t="s">
        <v>1717</v>
      </c>
    </row>
    <row r="5384" spans="1:2" outlineLevel="1" x14ac:dyDescent="0.3">
      <c r="B5384" t="s">
        <v>1718</v>
      </c>
    </row>
    <row r="5385" spans="1:2" x14ac:dyDescent="0.3">
      <c r="A5385" t="s">
        <v>1719</v>
      </c>
    </row>
    <row r="5386" spans="1:2" x14ac:dyDescent="0.3">
      <c r="A5386" t="s">
        <v>1720</v>
      </c>
    </row>
    <row r="5387" spans="1:2" outlineLevel="1" x14ac:dyDescent="0.3">
      <c r="B5387" t="s">
        <v>3232</v>
      </c>
    </row>
    <row r="5388" spans="1:2" outlineLevel="1" x14ac:dyDescent="0.3">
      <c r="B5388" t="s">
        <v>1722</v>
      </c>
    </row>
    <row r="5389" spans="1:2" x14ac:dyDescent="0.3">
      <c r="A5389" t="s">
        <v>1723</v>
      </c>
    </row>
    <row r="5390" spans="1:2" outlineLevel="1" x14ac:dyDescent="0.3">
      <c r="B5390" t="s">
        <v>3233</v>
      </c>
    </row>
    <row r="5391" spans="1:2" outlineLevel="1" x14ac:dyDescent="0.3">
      <c r="B5391" t="s">
        <v>1725</v>
      </c>
    </row>
    <row r="5392" spans="1:2" x14ac:dyDescent="0.3">
      <c r="A5392" t="s">
        <v>1726</v>
      </c>
    </row>
    <row r="5393" spans="1:2" x14ac:dyDescent="0.3">
      <c r="A5393" t="s">
        <v>1727</v>
      </c>
    </row>
    <row r="5394" spans="1:2" x14ac:dyDescent="0.3">
      <c r="A5394" t="s">
        <v>1728</v>
      </c>
    </row>
    <row r="5395" spans="1:2" x14ac:dyDescent="0.3">
      <c r="A5395" t="s">
        <v>1729</v>
      </c>
    </row>
    <row r="5396" spans="1:2" x14ac:dyDescent="0.3">
      <c r="A5396" t="s">
        <v>1730</v>
      </c>
    </row>
    <row r="5397" spans="1:2" x14ac:dyDescent="0.3">
      <c r="A5397" t="s">
        <v>1731</v>
      </c>
    </row>
    <row r="5398" spans="1:2" x14ac:dyDescent="0.3">
      <c r="A5398" t="s">
        <v>1732</v>
      </c>
    </row>
    <row r="5399" spans="1:2" x14ac:dyDescent="0.3">
      <c r="A5399" t="s">
        <v>1733</v>
      </c>
    </row>
    <row r="5400" spans="1:2" x14ac:dyDescent="0.3">
      <c r="A5400" t="s">
        <v>1734</v>
      </c>
    </row>
    <row r="5401" spans="1:2" x14ac:dyDescent="0.3">
      <c r="A5401" t="s">
        <v>1735</v>
      </c>
    </row>
    <row r="5402" spans="1:2" x14ac:dyDescent="0.3">
      <c r="A5402" t="s">
        <v>1736</v>
      </c>
    </row>
    <row r="5403" spans="1:2" outlineLevel="1" x14ac:dyDescent="0.3">
      <c r="B5403" t="s">
        <v>1737</v>
      </c>
    </row>
    <row r="5404" spans="1:2" outlineLevel="1" x14ac:dyDescent="0.3">
      <c r="B5404" t="s">
        <v>1738</v>
      </c>
    </row>
    <row r="5405" spans="1:2" outlineLevel="1" x14ac:dyDescent="0.3">
      <c r="B5405" t="s">
        <v>1739</v>
      </c>
    </row>
    <row r="5406" spans="1:2" outlineLevel="1" x14ac:dyDescent="0.3">
      <c r="B5406" t="s">
        <v>1740</v>
      </c>
    </row>
    <row r="5407" spans="1:2" outlineLevel="1" x14ac:dyDescent="0.3">
      <c r="B5407" t="s">
        <v>1741</v>
      </c>
    </row>
    <row r="5408" spans="1:2" outlineLevel="1" x14ac:dyDescent="0.3">
      <c r="B5408" t="s">
        <v>1742</v>
      </c>
    </row>
    <row r="5409" spans="1:2" outlineLevel="1" x14ac:dyDescent="0.3">
      <c r="B5409" t="s">
        <v>1743</v>
      </c>
    </row>
    <row r="5410" spans="1:2" outlineLevel="1" x14ac:dyDescent="0.3">
      <c r="B5410" t="s">
        <v>1744</v>
      </c>
    </row>
    <row r="5411" spans="1:2" outlineLevel="1" x14ac:dyDescent="0.3">
      <c r="B5411" t="s">
        <v>1745</v>
      </c>
    </row>
    <row r="5412" spans="1:2" outlineLevel="1" x14ac:dyDescent="0.3">
      <c r="B5412" t="s">
        <v>1746</v>
      </c>
    </row>
    <row r="5413" spans="1:2" outlineLevel="1" x14ac:dyDescent="0.3">
      <c r="B5413" t="s">
        <v>1747</v>
      </c>
    </row>
    <row r="5414" spans="1:2" outlineLevel="1" x14ac:dyDescent="0.3">
      <c r="B5414" t="s">
        <v>1748</v>
      </c>
    </row>
    <row r="5415" spans="1:2" outlineLevel="1" x14ac:dyDescent="0.3">
      <c r="B5415" t="s">
        <v>1749</v>
      </c>
    </row>
    <row r="5416" spans="1:2" outlineLevel="1" x14ac:dyDescent="0.3">
      <c r="B5416" t="s">
        <v>1750</v>
      </c>
    </row>
    <row r="5422" spans="1:2" x14ac:dyDescent="0.3">
      <c r="A5422" t="s">
        <v>1751</v>
      </c>
    </row>
    <row r="5423" spans="1:2" outlineLevel="1" x14ac:dyDescent="0.3">
      <c r="B5423" t="s">
        <v>1752</v>
      </c>
    </row>
    <row r="5424" spans="1:2" outlineLevel="1" x14ac:dyDescent="0.3">
      <c r="B5424" t="s">
        <v>1753</v>
      </c>
    </row>
    <row r="5425" spans="1:2" outlineLevel="1" x14ac:dyDescent="0.3">
      <c r="B5425" t="s">
        <v>1754</v>
      </c>
    </row>
    <row r="5426" spans="1:2" outlineLevel="1" x14ac:dyDescent="0.3">
      <c r="B5426" t="s">
        <v>1755</v>
      </c>
    </row>
    <row r="5427" spans="1:2" outlineLevel="1" x14ac:dyDescent="0.3">
      <c r="B5427" t="s">
        <v>1756</v>
      </c>
    </row>
    <row r="5428" spans="1:2" outlineLevel="1" x14ac:dyDescent="0.3">
      <c r="B5428" t="s">
        <v>1757</v>
      </c>
    </row>
    <row r="5429" spans="1:2" outlineLevel="1" x14ac:dyDescent="0.3">
      <c r="B5429" t="s">
        <v>1758</v>
      </c>
    </row>
    <row r="5430" spans="1:2" outlineLevel="1" x14ac:dyDescent="0.3">
      <c r="B5430" t="s">
        <v>1759</v>
      </c>
    </row>
    <row r="5431" spans="1:2" outlineLevel="1" x14ac:dyDescent="0.3">
      <c r="B5431" t="s">
        <v>1760</v>
      </c>
    </row>
    <row r="5432" spans="1:2" outlineLevel="1" x14ac:dyDescent="0.3">
      <c r="B5432" t="s">
        <v>1761</v>
      </c>
    </row>
    <row r="5433" spans="1:2" outlineLevel="1" x14ac:dyDescent="0.3">
      <c r="B5433" t="s">
        <v>1762</v>
      </c>
    </row>
    <row r="5434" spans="1:2" outlineLevel="1" x14ac:dyDescent="0.3">
      <c r="B5434" t="s">
        <v>1763</v>
      </c>
    </row>
    <row r="5435" spans="1:2" x14ac:dyDescent="0.3">
      <c r="A5435" t="s">
        <v>1764</v>
      </c>
    </row>
    <row r="5436" spans="1:2" outlineLevel="1" x14ac:dyDescent="0.3">
      <c r="B5436" t="s">
        <v>1765</v>
      </c>
    </row>
    <row r="5437" spans="1:2" outlineLevel="1" x14ac:dyDescent="0.3">
      <c r="B5437" t="s">
        <v>1766</v>
      </c>
    </row>
    <row r="5438" spans="1:2" outlineLevel="1" x14ac:dyDescent="0.3">
      <c r="B5438" t="s">
        <v>1767</v>
      </c>
    </row>
    <row r="5439" spans="1:2" x14ac:dyDescent="0.3">
      <c r="A5439" t="s">
        <v>1768</v>
      </c>
    </row>
    <row r="5440" spans="1:2" outlineLevel="1" x14ac:dyDescent="0.3">
      <c r="B5440" t="s">
        <v>1769</v>
      </c>
    </row>
    <row r="5441" spans="2:2" outlineLevel="1" x14ac:dyDescent="0.3">
      <c r="B5441" t="s">
        <v>1770</v>
      </c>
    </row>
    <row r="5442" spans="2:2" outlineLevel="1" x14ac:dyDescent="0.3">
      <c r="B5442" t="s">
        <v>1771</v>
      </c>
    </row>
    <row r="5443" spans="2:2" outlineLevel="1" x14ac:dyDescent="0.3">
      <c r="B5443" t="s">
        <v>1772</v>
      </c>
    </row>
    <row r="5444" spans="2:2" outlineLevel="1" x14ac:dyDescent="0.3">
      <c r="B5444" t="s">
        <v>1773</v>
      </c>
    </row>
    <row r="5445" spans="2:2" outlineLevel="1" x14ac:dyDescent="0.3">
      <c r="B5445" t="s">
        <v>1774</v>
      </c>
    </row>
    <row r="5446" spans="2:2" outlineLevel="1" x14ac:dyDescent="0.3">
      <c r="B5446" t="s">
        <v>1775</v>
      </c>
    </row>
    <row r="5447" spans="2:2" outlineLevel="1" x14ac:dyDescent="0.3">
      <c r="B5447" t="s">
        <v>1776</v>
      </c>
    </row>
    <row r="5448" spans="2:2" outlineLevel="1" x14ac:dyDescent="0.3">
      <c r="B5448" t="s">
        <v>1777</v>
      </c>
    </row>
    <row r="5449" spans="2:2" outlineLevel="1" x14ac:dyDescent="0.3">
      <c r="B5449" t="s">
        <v>1778</v>
      </c>
    </row>
    <row r="5450" spans="2:2" outlineLevel="1" x14ac:dyDescent="0.3">
      <c r="B5450" t="s">
        <v>1779</v>
      </c>
    </row>
    <row r="5451" spans="2:2" outlineLevel="1" x14ac:dyDescent="0.3">
      <c r="B5451" t="s">
        <v>1780</v>
      </c>
    </row>
    <row r="5452" spans="2:2" outlineLevel="1" x14ac:dyDescent="0.3">
      <c r="B5452" t="s">
        <v>1781</v>
      </c>
    </row>
    <row r="5453" spans="2:2" outlineLevel="1" x14ac:dyDescent="0.3">
      <c r="B5453" t="s">
        <v>1782</v>
      </c>
    </row>
    <row r="5454" spans="2:2" outlineLevel="1" x14ac:dyDescent="0.3">
      <c r="B5454" t="s">
        <v>1783</v>
      </c>
    </row>
    <row r="5455" spans="2:2" outlineLevel="1" x14ac:dyDescent="0.3">
      <c r="B5455" t="s">
        <v>1784</v>
      </c>
    </row>
    <row r="5456" spans="2:2" outlineLevel="1" x14ac:dyDescent="0.3">
      <c r="B5456" t="s">
        <v>1785</v>
      </c>
    </row>
    <row r="5457" spans="1:2" outlineLevel="1" x14ac:dyDescent="0.3">
      <c r="B5457" t="s">
        <v>1786</v>
      </c>
    </row>
    <row r="5458" spans="1:2" outlineLevel="1" x14ac:dyDescent="0.3">
      <c r="B5458" t="s">
        <v>1787</v>
      </c>
    </row>
    <row r="5459" spans="1:2" outlineLevel="1" x14ac:dyDescent="0.3">
      <c r="B5459" t="s">
        <v>1788</v>
      </c>
    </row>
    <row r="5460" spans="1:2" x14ac:dyDescent="0.3">
      <c r="A5460" t="s">
        <v>1789</v>
      </c>
    </row>
    <row r="5461" spans="1:2" outlineLevel="1" x14ac:dyDescent="0.3">
      <c r="B5461" t="s">
        <v>1790</v>
      </c>
    </row>
    <row r="5462" spans="1:2" outlineLevel="1" x14ac:dyDescent="0.3">
      <c r="B5462" t="s">
        <v>1791</v>
      </c>
    </row>
    <row r="5463" spans="1:2" outlineLevel="1" x14ac:dyDescent="0.3">
      <c r="B5463" t="s">
        <v>1792</v>
      </c>
    </row>
    <row r="5464" spans="1:2" outlineLevel="1" x14ac:dyDescent="0.3">
      <c r="B5464" t="s">
        <v>1793</v>
      </c>
    </row>
    <row r="5465" spans="1:2" outlineLevel="1" x14ac:dyDescent="0.3">
      <c r="B5465" t="s">
        <v>1794</v>
      </c>
    </row>
    <row r="5466" spans="1:2" outlineLevel="1" x14ac:dyDescent="0.3">
      <c r="B5466" t="s">
        <v>1795</v>
      </c>
    </row>
    <row r="5467" spans="1:2" outlineLevel="1" x14ac:dyDescent="0.3">
      <c r="B5467" t="s">
        <v>1796</v>
      </c>
    </row>
    <row r="5468" spans="1:2" outlineLevel="1" x14ac:dyDescent="0.3">
      <c r="B5468" t="s">
        <v>1797</v>
      </c>
    </row>
    <row r="5469" spans="1:2" outlineLevel="1" x14ac:dyDescent="0.3">
      <c r="B5469" t="s">
        <v>1798</v>
      </c>
    </row>
    <row r="5470" spans="1:2" outlineLevel="1" x14ac:dyDescent="0.3">
      <c r="B5470" t="s">
        <v>1799</v>
      </c>
    </row>
    <row r="5471" spans="1:2" outlineLevel="1" x14ac:dyDescent="0.3">
      <c r="B5471" t="s">
        <v>1800</v>
      </c>
    </row>
    <row r="5472" spans="1:2" outlineLevel="1" x14ac:dyDescent="0.3">
      <c r="B5472" t="s">
        <v>1801</v>
      </c>
    </row>
    <row r="5473" spans="1:2" outlineLevel="1" x14ac:dyDescent="0.3">
      <c r="B5473" t="s">
        <v>1802</v>
      </c>
    </row>
    <row r="5474" spans="1:2" outlineLevel="1" x14ac:dyDescent="0.3">
      <c r="B5474" t="s">
        <v>1803</v>
      </c>
    </row>
    <row r="5475" spans="1:2" outlineLevel="1" x14ac:dyDescent="0.3">
      <c r="B5475" t="s">
        <v>1804</v>
      </c>
    </row>
    <row r="5476" spans="1:2" outlineLevel="1" x14ac:dyDescent="0.3">
      <c r="B5476" t="s">
        <v>1805</v>
      </c>
    </row>
    <row r="5477" spans="1:2" outlineLevel="1" x14ac:dyDescent="0.3">
      <c r="B5477" t="s">
        <v>1806</v>
      </c>
    </row>
    <row r="5478" spans="1:2" outlineLevel="1" x14ac:dyDescent="0.3">
      <c r="B5478" t="s">
        <v>1807</v>
      </c>
    </row>
    <row r="5479" spans="1:2" x14ac:dyDescent="0.3">
      <c r="A5479" t="s">
        <v>1808</v>
      </c>
    </row>
    <row r="5480" spans="1:2" outlineLevel="1" x14ac:dyDescent="0.3">
      <c r="B5480" t="s">
        <v>1809</v>
      </c>
    </row>
    <row r="5481" spans="1:2" outlineLevel="1" x14ac:dyDescent="0.3">
      <c r="B5481" t="s">
        <v>1810</v>
      </c>
    </row>
    <row r="5482" spans="1:2" outlineLevel="1" x14ac:dyDescent="0.3">
      <c r="B5482" t="s">
        <v>1811</v>
      </c>
    </row>
    <row r="5483" spans="1:2" outlineLevel="1" x14ac:dyDescent="0.3">
      <c r="B5483" t="s">
        <v>1812</v>
      </c>
    </row>
    <row r="5484" spans="1:2" outlineLevel="1" x14ac:dyDescent="0.3">
      <c r="B5484" t="s">
        <v>1813</v>
      </c>
    </row>
    <row r="5485" spans="1:2" outlineLevel="1" x14ac:dyDescent="0.3">
      <c r="B5485" t="s">
        <v>1814</v>
      </c>
    </row>
    <row r="5486" spans="1:2" outlineLevel="1" x14ac:dyDescent="0.3">
      <c r="B5486" t="s">
        <v>1815</v>
      </c>
    </row>
    <row r="5487" spans="1:2" outlineLevel="1" x14ac:dyDescent="0.3">
      <c r="B5487" t="s">
        <v>1816</v>
      </c>
    </row>
    <row r="5488" spans="1:2" outlineLevel="1" x14ac:dyDescent="0.3">
      <c r="B5488" t="s">
        <v>1817</v>
      </c>
    </row>
    <row r="5489" spans="1:4" outlineLevel="1" x14ac:dyDescent="0.3">
      <c r="B5489" t="s">
        <v>1818</v>
      </c>
    </row>
    <row r="5490" spans="1:4" outlineLevel="1" x14ac:dyDescent="0.3">
      <c r="B5490" t="s">
        <v>1819</v>
      </c>
    </row>
    <row r="5491" spans="1:4" outlineLevel="1" x14ac:dyDescent="0.3">
      <c r="B5491" t="s">
        <v>1820</v>
      </c>
    </row>
    <row r="5492" spans="1:4" outlineLevel="1" x14ac:dyDescent="0.3">
      <c r="B5492" t="s">
        <v>1821</v>
      </c>
    </row>
    <row r="5493" spans="1:4" outlineLevel="1" x14ac:dyDescent="0.3">
      <c r="B5493" t="s">
        <v>1822</v>
      </c>
    </row>
    <row r="5494" spans="1:4" outlineLevel="1" x14ac:dyDescent="0.3">
      <c r="B5494" t="s">
        <v>1823</v>
      </c>
    </row>
    <row r="5495" spans="1:4" outlineLevel="1" x14ac:dyDescent="0.3">
      <c r="B5495" t="s">
        <v>1824</v>
      </c>
    </row>
    <row r="5496" spans="1:4" outlineLevel="1" x14ac:dyDescent="0.3">
      <c r="B5496" t="s">
        <v>1825</v>
      </c>
    </row>
    <row r="5497" spans="1:4" outlineLevel="1" x14ac:dyDescent="0.3">
      <c r="B5497" t="s">
        <v>1826</v>
      </c>
    </row>
    <row r="5498" spans="1:4" outlineLevel="1" x14ac:dyDescent="0.3">
      <c r="B5498" t="s">
        <v>1827</v>
      </c>
    </row>
    <row r="5499" spans="1:4" outlineLevel="1" x14ac:dyDescent="0.3">
      <c r="B5499" t="s">
        <v>1828</v>
      </c>
    </row>
    <row r="5500" spans="1:4" x14ac:dyDescent="0.3">
      <c r="A5500" t="s">
        <v>1829</v>
      </c>
    </row>
    <row r="5501" spans="1:4" outlineLevel="1" x14ac:dyDescent="0.3">
      <c r="B5501" t="s">
        <v>1830</v>
      </c>
    </row>
    <row r="5502" spans="1:4" hidden="1" outlineLevel="2" x14ac:dyDescent="0.3">
      <c r="C5502" t="s">
        <v>1831</v>
      </c>
    </row>
    <row r="5503" spans="1:4" hidden="1" outlineLevel="3" x14ac:dyDescent="0.3">
      <c r="D5503" t="s">
        <v>1832</v>
      </c>
    </row>
    <row r="5504" spans="1:4" hidden="1" outlineLevel="3" x14ac:dyDescent="0.3">
      <c r="D5504" t="s">
        <v>1833</v>
      </c>
    </row>
    <row r="5505" spans="2:4" hidden="1" outlineLevel="3" x14ac:dyDescent="0.3">
      <c r="D5505" t="s">
        <v>1834</v>
      </c>
    </row>
    <row r="5506" spans="2:4" hidden="1" outlineLevel="3" x14ac:dyDescent="0.3">
      <c r="D5506" t="s">
        <v>1835</v>
      </c>
    </row>
    <row r="5507" spans="2:4" hidden="1" outlineLevel="2" x14ac:dyDescent="0.3">
      <c r="C5507" t="s">
        <v>1836</v>
      </c>
    </row>
    <row r="5508" spans="2:4" hidden="1" outlineLevel="2" x14ac:dyDescent="0.3">
      <c r="C5508" t="s">
        <v>1837</v>
      </c>
    </row>
    <row r="5509" spans="2:4" hidden="1" outlineLevel="2" x14ac:dyDescent="0.3">
      <c r="C5509" t="s">
        <v>1838</v>
      </c>
    </row>
    <row r="5510" spans="2:4" hidden="1" outlineLevel="2" x14ac:dyDescent="0.3">
      <c r="C5510" t="s">
        <v>1839</v>
      </c>
    </row>
    <row r="5511" spans="2:4" hidden="1" outlineLevel="2" x14ac:dyDescent="0.3">
      <c r="C5511" t="s">
        <v>1840</v>
      </c>
    </row>
    <row r="5512" spans="2:4" hidden="1" outlineLevel="2" x14ac:dyDescent="0.3">
      <c r="C5512" t="s">
        <v>1841</v>
      </c>
    </row>
    <row r="5513" spans="2:4" outlineLevel="1" collapsed="1" x14ac:dyDescent="0.3">
      <c r="B5513" t="s">
        <v>1842</v>
      </c>
    </row>
    <row r="5514" spans="2:4" outlineLevel="1" x14ac:dyDescent="0.3">
      <c r="B5514" t="s">
        <v>1843</v>
      </c>
    </row>
    <row r="5515" spans="2:4" outlineLevel="1" x14ac:dyDescent="0.3">
      <c r="B5515" t="s">
        <v>1844</v>
      </c>
    </row>
    <row r="5516" spans="2:4" outlineLevel="1" x14ac:dyDescent="0.3">
      <c r="B5516" t="s">
        <v>1845</v>
      </c>
    </row>
    <row r="5517" spans="2:4" outlineLevel="1" x14ac:dyDescent="0.3">
      <c r="B5517" t="s">
        <v>1846</v>
      </c>
    </row>
    <row r="5518" spans="2:4" outlineLevel="1" x14ac:dyDescent="0.3">
      <c r="B5518" t="s">
        <v>1847</v>
      </c>
    </row>
    <row r="5519" spans="2:4" outlineLevel="1" x14ac:dyDescent="0.3">
      <c r="B5519" t="s">
        <v>1848</v>
      </c>
    </row>
    <row r="5520" spans="2:4" outlineLevel="1" x14ac:dyDescent="0.3">
      <c r="B5520" t="s">
        <v>1849</v>
      </c>
    </row>
    <row r="5521" spans="1:4" outlineLevel="1" x14ac:dyDescent="0.3">
      <c r="B5521" t="s">
        <v>1850</v>
      </c>
    </row>
    <row r="5522" spans="1:4" outlineLevel="1" x14ac:dyDescent="0.3">
      <c r="B5522" t="s">
        <v>1851</v>
      </c>
    </row>
    <row r="5523" spans="1:4" outlineLevel="1" x14ac:dyDescent="0.3">
      <c r="B5523" t="s">
        <v>1852</v>
      </c>
    </row>
    <row r="5524" spans="1:4" x14ac:dyDescent="0.3">
      <c r="A5524" t="s">
        <v>1853</v>
      </c>
    </row>
    <row r="5525" spans="1:4" outlineLevel="1" x14ac:dyDescent="0.3">
      <c r="B5525" t="s">
        <v>1854</v>
      </c>
    </row>
    <row r="5526" spans="1:4" hidden="1" outlineLevel="2" x14ac:dyDescent="0.3">
      <c r="C5526" t="s">
        <v>1855</v>
      </c>
    </row>
    <row r="5527" spans="1:4" hidden="1" outlineLevel="3" x14ac:dyDescent="0.3">
      <c r="D5527" t="s">
        <v>1856</v>
      </c>
    </row>
    <row r="5528" spans="1:4" hidden="1" outlineLevel="3" x14ac:dyDescent="0.3">
      <c r="D5528" t="s">
        <v>1857</v>
      </c>
    </row>
    <row r="5529" spans="1:4" hidden="1" outlineLevel="3" x14ac:dyDescent="0.3">
      <c r="D5529" t="s">
        <v>1858</v>
      </c>
    </row>
    <row r="5530" spans="1:4" hidden="1" outlineLevel="2" x14ac:dyDescent="0.3">
      <c r="C5530" t="s">
        <v>1859</v>
      </c>
    </row>
    <row r="5531" spans="1:4" outlineLevel="1" collapsed="1" x14ac:dyDescent="0.3">
      <c r="B5531" t="s">
        <v>1860</v>
      </c>
    </row>
    <row r="5532" spans="1:4" outlineLevel="1" x14ac:dyDescent="0.3">
      <c r="B5532" t="s">
        <v>1861</v>
      </c>
    </row>
    <row r="5533" spans="1:4" outlineLevel="1" x14ac:dyDescent="0.3">
      <c r="B5533" t="s">
        <v>1862</v>
      </c>
    </row>
    <row r="5534" spans="1:4" outlineLevel="1" x14ac:dyDescent="0.3">
      <c r="B5534" t="s">
        <v>1863</v>
      </c>
    </row>
    <row r="5535" spans="1:4" outlineLevel="1" x14ac:dyDescent="0.3">
      <c r="B5535" t="s">
        <v>1864</v>
      </c>
    </row>
    <row r="5536" spans="1:4" outlineLevel="1" x14ac:dyDescent="0.3">
      <c r="B5536" t="s">
        <v>1865</v>
      </c>
    </row>
    <row r="5537" spans="1:2" outlineLevel="1" x14ac:dyDescent="0.3">
      <c r="B5537" t="s">
        <v>1866</v>
      </c>
    </row>
    <row r="5538" spans="1:2" outlineLevel="1" x14ac:dyDescent="0.3">
      <c r="B5538" t="s">
        <v>1867</v>
      </c>
    </row>
    <row r="5539" spans="1:2" outlineLevel="1" x14ac:dyDescent="0.3">
      <c r="B5539" t="s">
        <v>1868</v>
      </c>
    </row>
    <row r="5540" spans="1:2" outlineLevel="1" x14ac:dyDescent="0.3">
      <c r="B5540" t="s">
        <v>1869</v>
      </c>
    </row>
    <row r="5541" spans="1:2" outlineLevel="1" x14ac:dyDescent="0.3">
      <c r="B5541" t="s">
        <v>1870</v>
      </c>
    </row>
    <row r="5542" spans="1:2" outlineLevel="1" x14ac:dyDescent="0.3">
      <c r="B5542" t="s">
        <v>1871</v>
      </c>
    </row>
    <row r="5543" spans="1:2" outlineLevel="1" x14ac:dyDescent="0.3">
      <c r="B5543" t="s">
        <v>1872</v>
      </c>
    </row>
    <row r="5544" spans="1:2" outlineLevel="1" x14ac:dyDescent="0.3">
      <c r="B5544" t="s">
        <v>1873</v>
      </c>
    </row>
    <row r="5545" spans="1:2" outlineLevel="1" x14ac:dyDescent="0.3">
      <c r="B5545" t="s">
        <v>1874</v>
      </c>
    </row>
    <row r="5546" spans="1:2" x14ac:dyDescent="0.3">
      <c r="A5546" t="s">
        <v>1875</v>
      </c>
    </row>
    <row r="5552" spans="1:2" x14ac:dyDescent="0.3">
      <c r="A5552" t="s">
        <v>1876</v>
      </c>
    </row>
    <row r="5553" spans="2:3" outlineLevel="1" x14ac:dyDescent="0.3">
      <c r="B5553" t="s">
        <v>1877</v>
      </c>
    </row>
    <row r="5554" spans="2:3" hidden="1" outlineLevel="2" x14ac:dyDescent="0.3">
      <c r="C5554" t="s">
        <v>3234</v>
      </c>
    </row>
    <row r="5555" spans="2:3" hidden="1" outlineLevel="2" x14ac:dyDescent="0.3">
      <c r="C5555" t="s">
        <v>3235</v>
      </c>
    </row>
    <row r="5556" spans="2:3" outlineLevel="1" collapsed="1" x14ac:dyDescent="0.3">
      <c r="B5556" t="s">
        <v>1882</v>
      </c>
    </row>
    <row r="5557" spans="2:3" hidden="1" outlineLevel="2" x14ac:dyDescent="0.3">
      <c r="C5557" t="s">
        <v>3236</v>
      </c>
    </row>
    <row r="5558" spans="2:3" hidden="1" outlineLevel="2" x14ac:dyDescent="0.3">
      <c r="C5558" t="s">
        <v>3237</v>
      </c>
    </row>
    <row r="5559" spans="2:3" hidden="1" outlineLevel="2" x14ac:dyDescent="0.3">
      <c r="C5559" t="s">
        <v>3238</v>
      </c>
    </row>
    <row r="5560" spans="2:3" hidden="1" outlineLevel="2" x14ac:dyDescent="0.3">
      <c r="C5560" t="s">
        <v>3239</v>
      </c>
    </row>
    <row r="5561" spans="2:3" outlineLevel="1" collapsed="1" x14ac:dyDescent="0.3">
      <c r="B5561" t="s">
        <v>1888</v>
      </c>
    </row>
    <row r="5562" spans="2:3" outlineLevel="1" x14ac:dyDescent="0.3">
      <c r="B5562" t="s">
        <v>1889</v>
      </c>
    </row>
    <row r="5563" spans="2:3" outlineLevel="1" x14ac:dyDescent="0.3">
      <c r="B5563" t="s">
        <v>1890</v>
      </c>
    </row>
    <row r="5564" spans="2:3" hidden="1" outlineLevel="2" x14ac:dyDescent="0.3">
      <c r="C5564" t="s">
        <v>3240</v>
      </c>
    </row>
    <row r="5565" spans="2:3" hidden="1" outlineLevel="2" x14ac:dyDescent="0.3">
      <c r="C5565" t="s">
        <v>3241</v>
      </c>
    </row>
    <row r="5566" spans="2:3" hidden="1" outlineLevel="2" x14ac:dyDescent="0.3">
      <c r="C5566" t="s">
        <v>3242</v>
      </c>
    </row>
    <row r="5567" spans="2:3" hidden="1" outlineLevel="2" x14ac:dyDescent="0.3">
      <c r="C5567" t="s">
        <v>3243</v>
      </c>
    </row>
    <row r="5568" spans="2:3" hidden="1" outlineLevel="2" x14ac:dyDescent="0.3">
      <c r="C5568" t="s">
        <v>3244</v>
      </c>
    </row>
    <row r="5569" spans="3:4" hidden="1" outlineLevel="2" x14ac:dyDescent="0.3">
      <c r="C5569" t="s">
        <v>3245</v>
      </c>
    </row>
    <row r="5570" spans="3:4" hidden="1" outlineLevel="2" x14ac:dyDescent="0.3">
      <c r="C5570" t="s">
        <v>3246</v>
      </c>
    </row>
    <row r="5571" spans="3:4" hidden="1" outlineLevel="2" x14ac:dyDescent="0.3">
      <c r="C5571" t="s">
        <v>3247</v>
      </c>
    </row>
    <row r="5572" spans="3:4" hidden="1" outlineLevel="2" x14ac:dyDescent="0.3">
      <c r="C5572" t="s">
        <v>3248</v>
      </c>
    </row>
    <row r="5573" spans="3:4" hidden="1" outlineLevel="2" x14ac:dyDescent="0.3">
      <c r="C5573" t="s">
        <v>3249</v>
      </c>
    </row>
    <row r="5574" spans="3:4" hidden="1" outlineLevel="2" x14ac:dyDescent="0.3">
      <c r="C5574" t="s">
        <v>3250</v>
      </c>
    </row>
    <row r="5575" spans="3:4" hidden="1" outlineLevel="2" x14ac:dyDescent="0.3">
      <c r="C5575" t="s">
        <v>3251</v>
      </c>
    </row>
    <row r="5576" spans="3:4" hidden="1" outlineLevel="2" x14ac:dyDescent="0.3">
      <c r="C5576" t="s">
        <v>3252</v>
      </c>
    </row>
    <row r="5577" spans="3:4" hidden="1" outlineLevel="3" x14ac:dyDescent="0.3">
      <c r="D5577" t="s">
        <v>3253</v>
      </c>
    </row>
    <row r="5578" spans="3:4" hidden="1" outlineLevel="3" x14ac:dyDescent="0.3">
      <c r="D5578" t="s">
        <v>3254</v>
      </c>
    </row>
    <row r="5579" spans="3:4" hidden="1" outlineLevel="3" x14ac:dyDescent="0.3">
      <c r="D5579" t="s">
        <v>3255</v>
      </c>
    </row>
    <row r="5580" spans="3:4" hidden="1" outlineLevel="2" x14ac:dyDescent="0.3">
      <c r="C5580" t="s">
        <v>3257</v>
      </c>
    </row>
    <row r="5581" spans="3:4" hidden="1" outlineLevel="3" x14ac:dyDescent="0.3">
      <c r="D5581" t="s">
        <v>3258</v>
      </c>
    </row>
    <row r="5582" spans="3:4" hidden="1" outlineLevel="3" x14ac:dyDescent="0.3">
      <c r="D5582" t="s">
        <v>3259</v>
      </c>
    </row>
    <row r="5583" spans="3:4" hidden="1" outlineLevel="3" x14ac:dyDescent="0.3">
      <c r="D5583" t="s">
        <v>3260</v>
      </c>
    </row>
    <row r="5584" spans="3:4" hidden="1" outlineLevel="2" x14ac:dyDescent="0.3">
      <c r="C5584" t="s">
        <v>3261</v>
      </c>
    </row>
    <row r="5585" spans="3:4" hidden="1" outlineLevel="2" x14ac:dyDescent="0.3">
      <c r="C5585" t="s">
        <v>3262</v>
      </c>
    </row>
    <row r="5586" spans="3:4" hidden="1" outlineLevel="2" x14ac:dyDescent="0.3">
      <c r="C5586" t="s">
        <v>3263</v>
      </c>
    </row>
    <row r="5587" spans="3:4" hidden="1" outlineLevel="2" x14ac:dyDescent="0.3">
      <c r="C5587" t="s">
        <v>3264</v>
      </c>
    </row>
    <row r="5588" spans="3:4" hidden="1" outlineLevel="2" x14ac:dyDescent="0.3">
      <c r="C5588" t="s">
        <v>3265</v>
      </c>
    </row>
    <row r="5589" spans="3:4" hidden="1" outlineLevel="2" x14ac:dyDescent="0.3">
      <c r="C5589" t="s">
        <v>3266</v>
      </c>
    </row>
    <row r="5590" spans="3:4" hidden="1" outlineLevel="2" x14ac:dyDescent="0.3">
      <c r="C5590" t="s">
        <v>3267</v>
      </c>
    </row>
    <row r="5591" spans="3:4" hidden="1" outlineLevel="3" x14ac:dyDescent="0.3">
      <c r="D5591" t="s">
        <v>3268</v>
      </c>
    </row>
    <row r="5592" spans="3:4" hidden="1" outlineLevel="3" x14ac:dyDescent="0.3">
      <c r="D5592" t="s">
        <v>3269</v>
      </c>
    </row>
    <row r="5593" spans="3:4" hidden="1" outlineLevel="3" x14ac:dyDescent="0.3">
      <c r="D5593" t="s">
        <v>3270</v>
      </c>
    </row>
    <row r="5594" spans="3:4" hidden="1" outlineLevel="3" x14ac:dyDescent="0.3">
      <c r="D5594" t="s">
        <v>3271</v>
      </c>
    </row>
    <row r="5595" spans="3:4" hidden="1" outlineLevel="2" x14ac:dyDescent="0.3">
      <c r="C5595" t="s">
        <v>3272</v>
      </c>
    </row>
    <row r="5596" spans="3:4" hidden="1" outlineLevel="3" x14ac:dyDescent="0.3">
      <c r="D5596" t="s">
        <v>3273</v>
      </c>
    </row>
    <row r="5597" spans="3:4" hidden="1" outlineLevel="3" x14ac:dyDescent="0.3">
      <c r="D5597" t="s">
        <v>3274</v>
      </c>
    </row>
    <row r="5598" spans="3:4" hidden="1" outlineLevel="3" x14ac:dyDescent="0.3">
      <c r="D5598" t="s">
        <v>3275</v>
      </c>
    </row>
    <row r="5599" spans="3:4" hidden="1" outlineLevel="2" x14ac:dyDescent="0.3">
      <c r="C5599" t="s">
        <v>3276</v>
      </c>
    </row>
    <row r="5600" spans="3:4" hidden="1" outlineLevel="3" x14ac:dyDescent="0.3">
      <c r="D5600" t="s">
        <v>3277</v>
      </c>
    </row>
    <row r="5601" spans="3:4" hidden="1" outlineLevel="3" x14ac:dyDescent="0.3">
      <c r="D5601" t="s">
        <v>3278</v>
      </c>
    </row>
    <row r="5602" spans="3:4" hidden="1" outlineLevel="3" x14ac:dyDescent="0.3">
      <c r="D5602" t="s">
        <v>4097</v>
      </c>
    </row>
    <row r="5603" spans="3:4" hidden="1" outlineLevel="3" x14ac:dyDescent="0.3">
      <c r="D5603" t="s">
        <v>3280</v>
      </c>
    </row>
    <row r="5604" spans="3:4" hidden="1" outlineLevel="2" x14ac:dyDescent="0.3">
      <c r="C5604" t="s">
        <v>4098</v>
      </c>
    </row>
    <row r="5605" spans="3:4" hidden="1" outlineLevel="2" x14ac:dyDescent="0.3">
      <c r="C5605" t="s">
        <v>4099</v>
      </c>
    </row>
    <row r="5606" spans="3:4" hidden="1" outlineLevel="3" x14ac:dyDescent="0.3">
      <c r="D5606" t="s">
        <v>4100</v>
      </c>
    </row>
    <row r="5607" spans="3:4" hidden="1" outlineLevel="3" x14ac:dyDescent="0.3">
      <c r="D5607" t="s">
        <v>4101</v>
      </c>
    </row>
    <row r="5608" spans="3:4" hidden="1" outlineLevel="3" x14ac:dyDescent="0.3">
      <c r="D5608" t="s">
        <v>4102</v>
      </c>
    </row>
    <row r="5609" spans="3:4" hidden="1" outlineLevel="3" x14ac:dyDescent="0.3">
      <c r="D5609" t="s">
        <v>4103</v>
      </c>
    </row>
    <row r="5610" spans="3:4" hidden="1" outlineLevel="3" x14ac:dyDescent="0.3">
      <c r="D5610" t="s">
        <v>4104</v>
      </c>
    </row>
    <row r="5611" spans="3:4" hidden="1" outlineLevel="3" x14ac:dyDescent="0.3">
      <c r="D5611" t="s">
        <v>4105</v>
      </c>
    </row>
    <row r="5612" spans="3:4" hidden="1" outlineLevel="2" x14ac:dyDescent="0.3">
      <c r="C5612" t="s">
        <v>4106</v>
      </c>
    </row>
    <row r="5613" spans="3:4" hidden="1" outlineLevel="2" x14ac:dyDescent="0.3">
      <c r="C5613" t="s">
        <v>3281</v>
      </c>
    </row>
    <row r="5614" spans="3:4" hidden="1" outlineLevel="3" x14ac:dyDescent="0.3">
      <c r="D5614" t="s">
        <v>3282</v>
      </c>
    </row>
    <row r="5615" spans="3:4" hidden="1" outlineLevel="3" x14ac:dyDescent="0.3">
      <c r="D5615" t="s">
        <v>3283</v>
      </c>
    </row>
    <row r="5616" spans="3:4" hidden="1" outlineLevel="3" x14ac:dyDescent="0.3">
      <c r="D5616" t="s">
        <v>3284</v>
      </c>
    </row>
    <row r="5617" spans="3:4" hidden="1" outlineLevel="3" x14ac:dyDescent="0.3">
      <c r="D5617" t="s">
        <v>3285</v>
      </c>
    </row>
    <row r="5618" spans="3:4" hidden="1" outlineLevel="3" x14ac:dyDescent="0.3">
      <c r="D5618" t="s">
        <v>3286</v>
      </c>
    </row>
    <row r="5619" spans="3:4" hidden="1" outlineLevel="2" x14ac:dyDescent="0.3">
      <c r="C5619" t="s">
        <v>3287</v>
      </c>
    </row>
    <row r="5620" spans="3:4" hidden="1" outlineLevel="3" x14ac:dyDescent="0.3">
      <c r="D5620" t="s">
        <v>3288</v>
      </c>
    </row>
    <row r="5621" spans="3:4" hidden="1" outlineLevel="3" x14ac:dyDescent="0.3">
      <c r="D5621" t="s">
        <v>3289</v>
      </c>
    </row>
    <row r="5622" spans="3:4" hidden="1" outlineLevel="3" x14ac:dyDescent="0.3">
      <c r="D5622" t="s">
        <v>3290</v>
      </c>
    </row>
    <row r="5623" spans="3:4" hidden="1" outlineLevel="3" x14ac:dyDescent="0.3">
      <c r="D5623" t="s">
        <v>3291</v>
      </c>
    </row>
    <row r="5624" spans="3:4" hidden="1" outlineLevel="2" x14ac:dyDescent="0.3">
      <c r="C5624" t="s">
        <v>3292</v>
      </c>
    </row>
    <row r="5625" spans="3:4" hidden="1" outlineLevel="2" x14ac:dyDescent="0.3">
      <c r="C5625" t="s">
        <v>3293</v>
      </c>
    </row>
    <row r="5626" spans="3:4" hidden="1" outlineLevel="2" x14ac:dyDescent="0.3">
      <c r="C5626" t="s">
        <v>3294</v>
      </c>
    </row>
    <row r="5627" spans="3:4" hidden="1" outlineLevel="2" x14ac:dyDescent="0.3">
      <c r="C5627" t="s">
        <v>3295</v>
      </c>
    </row>
    <row r="5628" spans="3:4" hidden="1" outlineLevel="2" x14ac:dyDescent="0.3">
      <c r="C5628" t="s">
        <v>3296</v>
      </c>
    </row>
    <row r="5629" spans="3:4" hidden="1" outlineLevel="2" x14ac:dyDescent="0.3">
      <c r="C5629" t="s">
        <v>3297</v>
      </c>
    </row>
    <row r="5630" spans="3:4" hidden="1" outlineLevel="2" x14ac:dyDescent="0.3">
      <c r="C5630" t="s">
        <v>3298</v>
      </c>
    </row>
    <row r="5631" spans="3:4" hidden="1" outlineLevel="2" x14ac:dyDescent="0.3">
      <c r="C5631" t="s">
        <v>3299</v>
      </c>
    </row>
    <row r="5632" spans="3:4" hidden="1" outlineLevel="2" x14ac:dyDescent="0.3">
      <c r="C5632" t="s">
        <v>3300</v>
      </c>
    </row>
    <row r="5633" spans="2:3" hidden="1" outlineLevel="2" x14ac:dyDescent="0.3">
      <c r="C5633" t="s">
        <v>3301</v>
      </c>
    </row>
    <row r="5634" spans="2:3" hidden="1" outlineLevel="2" x14ac:dyDescent="0.3">
      <c r="C5634" t="s">
        <v>3302</v>
      </c>
    </row>
    <row r="5635" spans="2:3" hidden="1" outlineLevel="2" x14ac:dyDescent="0.3">
      <c r="C5635" t="s">
        <v>3303</v>
      </c>
    </row>
    <row r="5636" spans="2:3" hidden="1" outlineLevel="2" x14ac:dyDescent="0.3">
      <c r="C5636" t="s">
        <v>3305</v>
      </c>
    </row>
    <row r="5637" spans="2:3" hidden="1" outlineLevel="2" x14ac:dyDescent="0.3">
      <c r="C5637" t="s">
        <v>3306</v>
      </c>
    </row>
    <row r="5638" spans="2:3" hidden="1" outlineLevel="2" x14ac:dyDescent="0.3">
      <c r="C5638" t="s">
        <v>3307</v>
      </c>
    </row>
    <row r="5639" spans="2:3" hidden="1" outlineLevel="2" x14ac:dyDescent="0.3">
      <c r="C5639" t="s">
        <v>3308</v>
      </c>
    </row>
    <row r="5640" spans="2:3" hidden="1" outlineLevel="2" x14ac:dyDescent="0.3">
      <c r="C5640" t="s">
        <v>4107</v>
      </c>
    </row>
    <row r="5641" spans="2:3" hidden="1" outlineLevel="2" x14ac:dyDescent="0.3">
      <c r="C5641" t="s">
        <v>3309</v>
      </c>
    </row>
    <row r="5642" spans="2:3" hidden="1" outlineLevel="2" x14ac:dyDescent="0.3">
      <c r="C5642" t="s">
        <v>3310</v>
      </c>
    </row>
    <row r="5643" spans="2:3" hidden="1" outlineLevel="2" x14ac:dyDescent="0.3">
      <c r="C5643" t="s">
        <v>3311</v>
      </c>
    </row>
    <row r="5644" spans="2:3" hidden="1" outlineLevel="2" x14ac:dyDescent="0.3">
      <c r="C5644" t="s">
        <v>3312</v>
      </c>
    </row>
    <row r="5645" spans="2:3" outlineLevel="1" collapsed="1" x14ac:dyDescent="0.3">
      <c r="B5645" t="s">
        <v>1981</v>
      </c>
    </row>
    <row r="5646" spans="2:3" hidden="1" outlineLevel="2" x14ac:dyDescent="0.3">
      <c r="C5646" t="s">
        <v>3313</v>
      </c>
    </row>
    <row r="5647" spans="2:3" hidden="1" outlineLevel="2" x14ac:dyDescent="0.3">
      <c r="C5647" t="s">
        <v>3314</v>
      </c>
    </row>
    <row r="5648" spans="2:3" hidden="1" outlineLevel="2" x14ac:dyDescent="0.3">
      <c r="C5648" t="s">
        <v>3315</v>
      </c>
    </row>
    <row r="5649" spans="3:4" hidden="1" outlineLevel="2" x14ac:dyDescent="0.3">
      <c r="C5649" t="s">
        <v>3316</v>
      </c>
    </row>
    <row r="5650" spans="3:4" hidden="1" outlineLevel="2" x14ac:dyDescent="0.3">
      <c r="C5650" t="s">
        <v>3317</v>
      </c>
    </row>
    <row r="5651" spans="3:4" hidden="1" outlineLevel="2" x14ac:dyDescent="0.3">
      <c r="C5651" t="s">
        <v>3318</v>
      </c>
    </row>
    <row r="5652" spans="3:4" hidden="1" outlineLevel="2" x14ac:dyDescent="0.3">
      <c r="C5652" t="s">
        <v>3319</v>
      </c>
    </row>
    <row r="5653" spans="3:4" hidden="1" outlineLevel="2" x14ac:dyDescent="0.3">
      <c r="C5653" t="s">
        <v>3320</v>
      </c>
    </row>
    <row r="5654" spans="3:4" hidden="1" outlineLevel="2" x14ac:dyDescent="0.3">
      <c r="C5654" t="s">
        <v>3321</v>
      </c>
    </row>
    <row r="5655" spans="3:4" hidden="1" outlineLevel="2" x14ac:dyDescent="0.3">
      <c r="C5655" t="s">
        <v>3322</v>
      </c>
    </row>
    <row r="5656" spans="3:4" hidden="1" outlineLevel="2" x14ac:dyDescent="0.3">
      <c r="C5656" t="s">
        <v>3323</v>
      </c>
    </row>
    <row r="5657" spans="3:4" hidden="1" outlineLevel="2" x14ac:dyDescent="0.3">
      <c r="C5657" t="s">
        <v>3324</v>
      </c>
    </row>
    <row r="5658" spans="3:4" hidden="1" outlineLevel="2" x14ac:dyDescent="0.3">
      <c r="C5658" t="s">
        <v>3325</v>
      </c>
    </row>
    <row r="5659" spans="3:4" hidden="1" outlineLevel="2" x14ac:dyDescent="0.3">
      <c r="C5659" t="s">
        <v>3326</v>
      </c>
    </row>
    <row r="5660" spans="3:4" hidden="1" outlineLevel="3" x14ac:dyDescent="0.3">
      <c r="D5660" t="s">
        <v>3327</v>
      </c>
    </row>
    <row r="5661" spans="3:4" hidden="1" outlineLevel="3" x14ac:dyDescent="0.3">
      <c r="D5661" t="s">
        <v>3328</v>
      </c>
    </row>
    <row r="5662" spans="3:4" hidden="1" outlineLevel="3" x14ac:dyDescent="0.3">
      <c r="D5662" t="s">
        <v>3329</v>
      </c>
    </row>
    <row r="5663" spans="3:4" hidden="1" outlineLevel="2" x14ac:dyDescent="0.3">
      <c r="C5663" t="s">
        <v>3331</v>
      </c>
    </row>
    <row r="5664" spans="3:4" hidden="1" outlineLevel="3" x14ac:dyDescent="0.3">
      <c r="D5664" t="s">
        <v>3332</v>
      </c>
    </row>
    <row r="5665" spans="3:4" hidden="1" outlineLevel="3" x14ac:dyDescent="0.3">
      <c r="D5665" t="s">
        <v>3333</v>
      </c>
    </row>
    <row r="5666" spans="3:4" hidden="1" outlineLevel="3" x14ac:dyDescent="0.3">
      <c r="D5666" t="s">
        <v>3334</v>
      </c>
    </row>
    <row r="5667" spans="3:4" hidden="1" outlineLevel="2" x14ac:dyDescent="0.3">
      <c r="C5667" t="s">
        <v>3335</v>
      </c>
    </row>
    <row r="5668" spans="3:4" hidden="1" outlineLevel="2" x14ac:dyDescent="0.3">
      <c r="C5668" t="s">
        <v>3336</v>
      </c>
    </row>
    <row r="5669" spans="3:4" hidden="1" outlineLevel="2" x14ac:dyDescent="0.3">
      <c r="C5669" t="s">
        <v>3337</v>
      </c>
    </row>
    <row r="5670" spans="3:4" hidden="1" outlineLevel="2" x14ac:dyDescent="0.3">
      <c r="C5670" t="s">
        <v>3338</v>
      </c>
    </row>
    <row r="5671" spans="3:4" hidden="1" outlineLevel="2" x14ac:dyDescent="0.3">
      <c r="C5671" t="s">
        <v>3339</v>
      </c>
    </row>
    <row r="5672" spans="3:4" hidden="1" outlineLevel="2" x14ac:dyDescent="0.3">
      <c r="C5672" t="s">
        <v>3340</v>
      </c>
    </row>
    <row r="5673" spans="3:4" hidden="1" outlineLevel="2" x14ac:dyDescent="0.3">
      <c r="C5673" t="s">
        <v>3341</v>
      </c>
    </row>
    <row r="5674" spans="3:4" hidden="1" outlineLevel="3" x14ac:dyDescent="0.3">
      <c r="D5674" t="s">
        <v>3342</v>
      </c>
    </row>
    <row r="5675" spans="3:4" hidden="1" outlineLevel="3" x14ac:dyDescent="0.3">
      <c r="D5675" t="s">
        <v>3343</v>
      </c>
    </row>
    <row r="5676" spans="3:4" hidden="1" outlineLevel="3" x14ac:dyDescent="0.3">
      <c r="D5676" t="s">
        <v>3344</v>
      </c>
    </row>
    <row r="5677" spans="3:4" hidden="1" outlineLevel="3" x14ac:dyDescent="0.3">
      <c r="D5677" t="s">
        <v>3345</v>
      </c>
    </row>
    <row r="5678" spans="3:4" hidden="1" outlineLevel="2" x14ac:dyDescent="0.3">
      <c r="C5678" t="s">
        <v>3346</v>
      </c>
    </row>
    <row r="5679" spans="3:4" hidden="1" outlineLevel="3" x14ac:dyDescent="0.3">
      <c r="D5679" t="s">
        <v>3347</v>
      </c>
    </row>
    <row r="5680" spans="3:4" hidden="1" outlineLevel="3" x14ac:dyDescent="0.3">
      <c r="D5680" t="s">
        <v>3348</v>
      </c>
    </row>
    <row r="5681" spans="3:4" hidden="1" outlineLevel="3" x14ac:dyDescent="0.3">
      <c r="D5681" t="s">
        <v>3349</v>
      </c>
    </row>
    <row r="5682" spans="3:4" hidden="1" outlineLevel="2" x14ac:dyDescent="0.3">
      <c r="C5682" t="s">
        <v>3350</v>
      </c>
    </row>
    <row r="5683" spans="3:4" hidden="1" outlineLevel="3" x14ac:dyDescent="0.3">
      <c r="D5683" t="s">
        <v>3351</v>
      </c>
    </row>
    <row r="5684" spans="3:4" hidden="1" outlineLevel="3" x14ac:dyDescent="0.3">
      <c r="D5684" t="s">
        <v>3352</v>
      </c>
    </row>
    <row r="5685" spans="3:4" hidden="1" outlineLevel="3" x14ac:dyDescent="0.3">
      <c r="D5685" t="s">
        <v>3353</v>
      </c>
    </row>
    <row r="5686" spans="3:4" hidden="1" outlineLevel="3" x14ac:dyDescent="0.3">
      <c r="D5686" t="s">
        <v>3354</v>
      </c>
    </row>
    <row r="5687" spans="3:4" hidden="1" outlineLevel="2" x14ac:dyDescent="0.3">
      <c r="C5687" t="s">
        <v>4108</v>
      </c>
    </row>
    <row r="5688" spans="3:4" hidden="1" outlineLevel="3" x14ac:dyDescent="0.3">
      <c r="D5688" t="s">
        <v>4109</v>
      </c>
    </row>
    <row r="5689" spans="3:4" hidden="1" outlineLevel="3" x14ac:dyDescent="0.3">
      <c r="D5689" t="s">
        <v>4110</v>
      </c>
    </row>
    <row r="5690" spans="3:4" hidden="1" outlineLevel="3" x14ac:dyDescent="0.3">
      <c r="D5690" t="s">
        <v>4111</v>
      </c>
    </row>
    <row r="5691" spans="3:4" hidden="1" outlineLevel="3" x14ac:dyDescent="0.3">
      <c r="D5691" t="s">
        <v>4112</v>
      </c>
    </row>
    <row r="5692" spans="3:4" hidden="1" outlineLevel="3" x14ac:dyDescent="0.3">
      <c r="D5692" t="s">
        <v>4113</v>
      </c>
    </row>
    <row r="5693" spans="3:4" hidden="1" outlineLevel="3" x14ac:dyDescent="0.3">
      <c r="D5693" t="s">
        <v>4114</v>
      </c>
    </row>
    <row r="5694" spans="3:4" hidden="1" outlineLevel="2" x14ac:dyDescent="0.3">
      <c r="C5694" t="s">
        <v>4115</v>
      </c>
    </row>
    <row r="5695" spans="3:4" hidden="1" outlineLevel="2" x14ac:dyDescent="0.3">
      <c r="C5695" t="s">
        <v>3355</v>
      </c>
    </row>
    <row r="5696" spans="3:4" hidden="1" outlineLevel="3" x14ac:dyDescent="0.3">
      <c r="D5696" t="s">
        <v>3356</v>
      </c>
    </row>
    <row r="5697" spans="3:4" hidden="1" outlineLevel="3" x14ac:dyDescent="0.3">
      <c r="D5697" t="s">
        <v>3357</v>
      </c>
    </row>
    <row r="5698" spans="3:4" hidden="1" outlineLevel="3" x14ac:dyDescent="0.3">
      <c r="D5698" t="s">
        <v>3358</v>
      </c>
    </row>
    <row r="5699" spans="3:4" hidden="1" outlineLevel="3" x14ac:dyDescent="0.3">
      <c r="D5699" t="s">
        <v>3359</v>
      </c>
    </row>
    <row r="5700" spans="3:4" hidden="1" outlineLevel="3" x14ac:dyDescent="0.3">
      <c r="D5700" t="s">
        <v>3360</v>
      </c>
    </row>
    <row r="5701" spans="3:4" hidden="1" outlineLevel="2" x14ac:dyDescent="0.3">
      <c r="C5701" t="s">
        <v>3361</v>
      </c>
    </row>
    <row r="5702" spans="3:4" hidden="1" outlineLevel="3" x14ac:dyDescent="0.3">
      <c r="D5702" t="s">
        <v>3362</v>
      </c>
    </row>
    <row r="5703" spans="3:4" hidden="1" outlineLevel="3" x14ac:dyDescent="0.3">
      <c r="D5703" t="s">
        <v>3363</v>
      </c>
    </row>
    <row r="5704" spans="3:4" hidden="1" outlineLevel="3" x14ac:dyDescent="0.3">
      <c r="D5704" t="s">
        <v>3364</v>
      </c>
    </row>
    <row r="5705" spans="3:4" hidden="1" outlineLevel="3" x14ac:dyDescent="0.3">
      <c r="D5705" t="s">
        <v>3365</v>
      </c>
    </row>
    <row r="5706" spans="3:4" hidden="1" outlineLevel="2" x14ac:dyDescent="0.3">
      <c r="C5706" t="s">
        <v>3366</v>
      </c>
    </row>
    <row r="5707" spans="3:4" hidden="1" outlineLevel="2" x14ac:dyDescent="0.3">
      <c r="C5707" t="s">
        <v>3367</v>
      </c>
    </row>
    <row r="5708" spans="3:4" hidden="1" outlineLevel="2" x14ac:dyDescent="0.3">
      <c r="C5708" t="s">
        <v>3368</v>
      </c>
    </row>
    <row r="5709" spans="3:4" hidden="1" outlineLevel="2" x14ac:dyDescent="0.3">
      <c r="C5709" t="s">
        <v>3369</v>
      </c>
    </row>
    <row r="5710" spans="3:4" hidden="1" outlineLevel="2" x14ac:dyDescent="0.3">
      <c r="C5710" t="s">
        <v>3370</v>
      </c>
    </row>
    <row r="5711" spans="3:4" hidden="1" outlineLevel="2" x14ac:dyDescent="0.3">
      <c r="C5711" t="s">
        <v>3371</v>
      </c>
    </row>
    <row r="5712" spans="3:4" hidden="1" outlineLevel="2" x14ac:dyDescent="0.3">
      <c r="C5712" t="s">
        <v>3372</v>
      </c>
    </row>
    <row r="5713" spans="2:4" hidden="1" outlineLevel="2" x14ac:dyDescent="0.3">
      <c r="C5713" t="s">
        <v>3374</v>
      </c>
    </row>
    <row r="5714" spans="2:4" hidden="1" outlineLevel="2" x14ac:dyDescent="0.3">
      <c r="C5714" t="s">
        <v>3375</v>
      </c>
    </row>
    <row r="5715" spans="2:4" hidden="1" outlineLevel="2" x14ac:dyDescent="0.3">
      <c r="C5715" t="s">
        <v>3376</v>
      </c>
    </row>
    <row r="5716" spans="2:4" hidden="1" outlineLevel="2" x14ac:dyDescent="0.3">
      <c r="C5716" t="s">
        <v>3377</v>
      </c>
    </row>
    <row r="5717" spans="2:4" hidden="1" outlineLevel="2" x14ac:dyDescent="0.3">
      <c r="C5717" t="s">
        <v>4116</v>
      </c>
    </row>
    <row r="5718" spans="2:4" hidden="1" outlineLevel="2" x14ac:dyDescent="0.3">
      <c r="C5718" t="s">
        <v>3378</v>
      </c>
    </row>
    <row r="5719" spans="2:4" hidden="1" outlineLevel="2" x14ac:dyDescent="0.3">
      <c r="C5719" t="s">
        <v>3379</v>
      </c>
    </row>
    <row r="5720" spans="2:4" hidden="1" outlineLevel="2" x14ac:dyDescent="0.3">
      <c r="C5720" t="s">
        <v>3380</v>
      </c>
    </row>
    <row r="5721" spans="2:4" hidden="1" outlineLevel="2" x14ac:dyDescent="0.3">
      <c r="C5721" t="s">
        <v>3381</v>
      </c>
    </row>
    <row r="5722" spans="2:4" outlineLevel="1" collapsed="1" x14ac:dyDescent="0.3">
      <c r="B5722" t="s">
        <v>2058</v>
      </c>
    </row>
    <row r="5723" spans="2:4" hidden="1" outlineLevel="2" x14ac:dyDescent="0.3">
      <c r="C5723" t="s">
        <v>2059</v>
      </c>
    </row>
    <row r="5724" spans="2:4" hidden="1" outlineLevel="3" x14ac:dyDescent="0.3">
      <c r="D5724" t="s">
        <v>3382</v>
      </c>
    </row>
    <row r="5725" spans="2:4" hidden="1" outlineLevel="3" x14ac:dyDescent="0.3">
      <c r="D5725" t="s">
        <v>3383</v>
      </c>
    </row>
    <row r="5726" spans="2:4" hidden="1" outlineLevel="3" x14ac:dyDescent="0.3">
      <c r="D5726" t="s">
        <v>3384</v>
      </c>
    </row>
    <row r="5727" spans="2:4" hidden="1" outlineLevel="3" x14ac:dyDescent="0.3">
      <c r="D5727" t="s">
        <v>3385</v>
      </c>
    </row>
    <row r="5728" spans="2:4" hidden="1" outlineLevel="3" x14ac:dyDescent="0.3">
      <c r="D5728" t="s">
        <v>3386</v>
      </c>
    </row>
    <row r="5729" spans="4:4" hidden="1" outlineLevel="3" x14ac:dyDescent="0.3">
      <c r="D5729" t="s">
        <v>3387</v>
      </c>
    </row>
    <row r="5730" spans="4:4" hidden="1" outlineLevel="3" x14ac:dyDescent="0.3">
      <c r="D5730" t="s">
        <v>3388</v>
      </c>
    </row>
    <row r="5731" spans="4:4" hidden="1" outlineLevel="3" x14ac:dyDescent="0.3">
      <c r="D5731" t="s">
        <v>3389</v>
      </c>
    </row>
    <row r="5732" spans="4:4" hidden="1" outlineLevel="3" x14ac:dyDescent="0.3">
      <c r="D5732" t="s">
        <v>3390</v>
      </c>
    </row>
    <row r="5733" spans="4:4" hidden="1" outlineLevel="3" x14ac:dyDescent="0.3">
      <c r="D5733" t="s">
        <v>3391</v>
      </c>
    </row>
    <row r="5734" spans="4:4" hidden="1" outlineLevel="3" x14ac:dyDescent="0.3">
      <c r="D5734" t="s">
        <v>3393</v>
      </c>
    </row>
    <row r="5735" spans="4:4" hidden="1" outlineLevel="3" x14ac:dyDescent="0.3">
      <c r="D5735" t="s">
        <v>3394</v>
      </c>
    </row>
    <row r="5736" spans="4:4" hidden="1" outlineLevel="3" x14ac:dyDescent="0.3">
      <c r="D5736" t="s">
        <v>3395</v>
      </c>
    </row>
    <row r="5737" spans="4:4" hidden="1" outlineLevel="3" x14ac:dyDescent="0.3">
      <c r="D5737" t="s">
        <v>3396</v>
      </c>
    </row>
    <row r="5738" spans="4:4" hidden="1" outlineLevel="3" x14ac:dyDescent="0.3">
      <c r="D5738" t="s">
        <v>3407</v>
      </c>
    </row>
    <row r="5739" spans="4:4" hidden="1" outlineLevel="3" x14ac:dyDescent="0.3">
      <c r="D5739" t="s">
        <v>3408</v>
      </c>
    </row>
    <row r="5740" spans="4:4" hidden="1" outlineLevel="3" x14ac:dyDescent="0.3">
      <c r="D5740" t="s">
        <v>3409</v>
      </c>
    </row>
    <row r="5741" spans="4:4" hidden="1" outlineLevel="3" x14ac:dyDescent="0.3">
      <c r="D5741" t="s">
        <v>3410</v>
      </c>
    </row>
    <row r="5742" spans="4:4" hidden="1" outlineLevel="3" x14ac:dyDescent="0.3">
      <c r="D5742" t="s">
        <v>3411</v>
      </c>
    </row>
    <row r="5743" spans="4:4" hidden="1" outlineLevel="3" x14ac:dyDescent="0.3">
      <c r="D5743" t="s">
        <v>4117</v>
      </c>
    </row>
    <row r="5744" spans="4:4" hidden="1" outlineLevel="3" x14ac:dyDescent="0.3">
      <c r="D5744" t="s">
        <v>3412</v>
      </c>
    </row>
    <row r="5745" spans="4:4" hidden="1" outlineLevel="3" x14ac:dyDescent="0.3">
      <c r="D5745" t="s">
        <v>3413</v>
      </c>
    </row>
    <row r="5746" spans="4:4" hidden="1" outlineLevel="3" x14ac:dyDescent="0.3">
      <c r="D5746" t="s">
        <v>3414</v>
      </c>
    </row>
    <row r="5747" spans="4:4" hidden="1" outlineLevel="3" x14ac:dyDescent="0.3">
      <c r="D5747" t="s">
        <v>3415</v>
      </c>
    </row>
    <row r="5748" spans="4:4" hidden="1" outlineLevel="3" x14ac:dyDescent="0.3">
      <c r="D5748" t="s">
        <v>3416</v>
      </c>
    </row>
    <row r="5749" spans="4:4" hidden="1" outlineLevel="3" x14ac:dyDescent="0.3">
      <c r="D5749" t="s">
        <v>3417</v>
      </c>
    </row>
    <row r="5750" spans="4:4" hidden="1" outlineLevel="3" x14ac:dyDescent="0.3">
      <c r="D5750" t="s">
        <v>3418</v>
      </c>
    </row>
    <row r="5751" spans="4:4" hidden="1" outlineLevel="3" x14ac:dyDescent="0.3">
      <c r="D5751" t="s">
        <v>3419</v>
      </c>
    </row>
    <row r="5752" spans="4:4" hidden="1" outlineLevel="3" x14ac:dyDescent="0.3">
      <c r="D5752" t="s">
        <v>4118</v>
      </c>
    </row>
    <row r="5753" spans="4:4" hidden="1" outlineLevel="3" x14ac:dyDescent="0.3">
      <c r="D5753" t="s">
        <v>4119</v>
      </c>
    </row>
    <row r="5754" spans="4:4" hidden="1" outlineLevel="3" x14ac:dyDescent="0.3">
      <c r="D5754" t="s">
        <v>4120</v>
      </c>
    </row>
    <row r="5755" spans="4:4" hidden="1" outlineLevel="3" x14ac:dyDescent="0.3">
      <c r="D5755" t="s">
        <v>4121</v>
      </c>
    </row>
    <row r="5756" spans="4:4" hidden="1" outlineLevel="3" x14ac:dyDescent="0.3">
      <c r="D5756" t="s">
        <v>4122</v>
      </c>
    </row>
    <row r="5757" spans="4:4" hidden="1" outlineLevel="3" x14ac:dyDescent="0.3">
      <c r="D5757" t="s">
        <v>4123</v>
      </c>
    </row>
    <row r="5758" spans="4:4" hidden="1" outlineLevel="3" x14ac:dyDescent="0.3">
      <c r="D5758" t="s">
        <v>3420</v>
      </c>
    </row>
    <row r="5759" spans="4:4" hidden="1" outlineLevel="3" x14ac:dyDescent="0.3">
      <c r="D5759" t="s">
        <v>3421</v>
      </c>
    </row>
    <row r="5760" spans="4:4" hidden="1" outlineLevel="3" x14ac:dyDescent="0.3">
      <c r="D5760" t="s">
        <v>3422</v>
      </c>
    </row>
    <row r="5761" spans="3:4" hidden="1" outlineLevel="2" x14ac:dyDescent="0.3">
      <c r="C5761" t="s">
        <v>2085</v>
      </c>
    </row>
    <row r="5762" spans="3:4" hidden="1" outlineLevel="3" x14ac:dyDescent="0.3">
      <c r="D5762" t="s">
        <v>3423</v>
      </c>
    </row>
    <row r="5763" spans="3:4" hidden="1" outlineLevel="3" x14ac:dyDescent="0.3">
      <c r="D5763" t="s">
        <v>3424</v>
      </c>
    </row>
    <row r="5764" spans="3:4" hidden="1" outlineLevel="3" x14ac:dyDescent="0.3">
      <c r="D5764" t="s">
        <v>3425</v>
      </c>
    </row>
    <row r="5765" spans="3:4" hidden="1" outlineLevel="3" x14ac:dyDescent="0.3">
      <c r="D5765" t="s">
        <v>3426</v>
      </c>
    </row>
    <row r="5766" spans="3:4" hidden="1" outlineLevel="3" x14ac:dyDescent="0.3">
      <c r="D5766" t="s">
        <v>3427</v>
      </c>
    </row>
    <row r="5767" spans="3:4" hidden="1" outlineLevel="3" x14ac:dyDescent="0.3">
      <c r="D5767" t="s">
        <v>3432</v>
      </c>
    </row>
    <row r="5768" spans="3:4" hidden="1" outlineLevel="3" x14ac:dyDescent="0.3">
      <c r="D5768" t="s">
        <v>4124</v>
      </c>
    </row>
    <row r="5769" spans="3:4" hidden="1" outlineLevel="3" x14ac:dyDescent="0.3">
      <c r="D5769" t="s">
        <v>4125</v>
      </c>
    </row>
    <row r="5770" spans="3:4" hidden="1" outlineLevel="3" x14ac:dyDescent="0.3">
      <c r="D5770" t="s">
        <v>4126</v>
      </c>
    </row>
    <row r="5771" spans="3:4" hidden="1" outlineLevel="3" x14ac:dyDescent="0.3">
      <c r="D5771" t="s">
        <v>4127</v>
      </c>
    </row>
    <row r="5772" spans="3:4" hidden="1" outlineLevel="3" x14ac:dyDescent="0.3">
      <c r="D5772" t="s">
        <v>3433</v>
      </c>
    </row>
    <row r="5773" spans="3:4" hidden="1" outlineLevel="3" x14ac:dyDescent="0.3">
      <c r="D5773" t="s">
        <v>3434</v>
      </c>
    </row>
    <row r="5774" spans="3:4" hidden="1" outlineLevel="3" x14ac:dyDescent="0.3">
      <c r="D5774" t="s">
        <v>3435</v>
      </c>
    </row>
    <row r="5775" spans="3:4" hidden="1" outlineLevel="3" x14ac:dyDescent="0.3">
      <c r="D5775" t="s">
        <v>3436</v>
      </c>
    </row>
    <row r="5776" spans="3:4" hidden="1" outlineLevel="3" x14ac:dyDescent="0.3">
      <c r="D5776" t="s">
        <v>3437</v>
      </c>
    </row>
    <row r="5777" spans="4:4" hidden="1" outlineLevel="3" x14ac:dyDescent="0.3">
      <c r="D5777" t="s">
        <v>3438</v>
      </c>
    </row>
    <row r="5778" spans="4:4" hidden="1" outlineLevel="3" x14ac:dyDescent="0.3">
      <c r="D5778" t="s">
        <v>3439</v>
      </c>
    </row>
    <row r="5779" spans="4:4" hidden="1" outlineLevel="3" x14ac:dyDescent="0.3">
      <c r="D5779" t="s">
        <v>3440</v>
      </c>
    </row>
    <row r="5780" spans="4:4" hidden="1" outlineLevel="3" x14ac:dyDescent="0.3">
      <c r="D5780" t="s">
        <v>4128</v>
      </c>
    </row>
    <row r="5781" spans="4:4" hidden="1" outlineLevel="3" x14ac:dyDescent="0.3">
      <c r="D5781" t="s">
        <v>4129</v>
      </c>
    </row>
    <row r="5782" spans="4:4" hidden="1" outlineLevel="3" x14ac:dyDescent="0.3">
      <c r="D5782" t="s">
        <v>4130</v>
      </c>
    </row>
    <row r="5783" spans="4:4" hidden="1" outlineLevel="3" x14ac:dyDescent="0.3">
      <c r="D5783" t="s">
        <v>4131</v>
      </c>
    </row>
    <row r="5784" spans="4:4" hidden="1" outlineLevel="3" x14ac:dyDescent="0.3">
      <c r="D5784" t="s">
        <v>4132</v>
      </c>
    </row>
    <row r="5785" spans="4:4" hidden="1" outlineLevel="3" x14ac:dyDescent="0.3">
      <c r="D5785" t="s">
        <v>4133</v>
      </c>
    </row>
    <row r="5786" spans="4:4" hidden="1" outlineLevel="3" x14ac:dyDescent="0.3">
      <c r="D5786" t="s">
        <v>3444</v>
      </c>
    </row>
    <row r="5787" spans="4:4" hidden="1" outlineLevel="3" x14ac:dyDescent="0.3">
      <c r="D5787" t="s">
        <v>3445</v>
      </c>
    </row>
    <row r="5788" spans="4:4" hidden="1" outlineLevel="3" x14ac:dyDescent="0.3">
      <c r="D5788" t="s">
        <v>3446</v>
      </c>
    </row>
    <row r="5789" spans="4:4" hidden="1" outlineLevel="3" x14ac:dyDescent="0.3">
      <c r="D5789" t="s">
        <v>3447</v>
      </c>
    </row>
    <row r="5790" spans="4:4" hidden="1" outlineLevel="3" x14ac:dyDescent="0.3">
      <c r="D5790" t="s">
        <v>3448</v>
      </c>
    </row>
    <row r="5791" spans="4:4" hidden="1" outlineLevel="3" x14ac:dyDescent="0.3">
      <c r="D5791" t="s">
        <v>3449</v>
      </c>
    </row>
    <row r="5792" spans="4:4" hidden="1" outlineLevel="3" x14ac:dyDescent="0.3">
      <c r="D5792" t="s">
        <v>3450</v>
      </c>
    </row>
    <row r="5793" spans="1:4" hidden="1" outlineLevel="3" x14ac:dyDescent="0.3">
      <c r="D5793" t="s">
        <v>3451</v>
      </c>
    </row>
    <row r="5794" spans="1:4" hidden="1" outlineLevel="3" x14ac:dyDescent="0.3">
      <c r="D5794" t="s">
        <v>3452</v>
      </c>
    </row>
    <row r="5795" spans="1:4" hidden="1" outlineLevel="2" x14ac:dyDescent="0.3">
      <c r="C5795" t="s">
        <v>2117</v>
      </c>
    </row>
    <row r="5796" spans="1:4" hidden="1" outlineLevel="2" x14ac:dyDescent="0.3">
      <c r="C5796" t="s">
        <v>2118</v>
      </c>
    </row>
    <row r="5797" spans="1:4" outlineLevel="1" collapsed="1" x14ac:dyDescent="0.3">
      <c r="B5797" t="s">
        <v>2119</v>
      </c>
    </row>
    <row r="5798" spans="1:4" outlineLevel="1" x14ac:dyDescent="0.3">
      <c r="B5798" t="s">
        <v>2120</v>
      </c>
    </row>
    <row r="5799" spans="1:4" outlineLevel="1" x14ac:dyDescent="0.3">
      <c r="B5799" t="s">
        <v>2121</v>
      </c>
    </row>
    <row r="5800" spans="1:4" outlineLevel="1" x14ac:dyDescent="0.3">
      <c r="B5800" t="s">
        <v>2122</v>
      </c>
    </row>
    <row r="5801" spans="1:4" outlineLevel="1" x14ac:dyDescent="0.3">
      <c r="B5801" t="s">
        <v>2123</v>
      </c>
    </row>
    <row r="5802" spans="1:4" outlineLevel="1" x14ac:dyDescent="0.3">
      <c r="B5802" t="s">
        <v>2124</v>
      </c>
    </row>
    <row r="5803" spans="1:4" outlineLevel="1" x14ac:dyDescent="0.3">
      <c r="B5803" t="s">
        <v>2125</v>
      </c>
    </row>
    <row r="5804" spans="1:4" outlineLevel="1" x14ac:dyDescent="0.3">
      <c r="B5804" t="s">
        <v>2126</v>
      </c>
    </row>
    <row r="5805" spans="1:4" x14ac:dyDescent="0.3">
      <c r="A5805" t="s">
        <v>2127</v>
      </c>
    </row>
    <row r="5806" spans="1:4" outlineLevel="1" x14ac:dyDescent="0.3">
      <c r="B5806" t="s">
        <v>2128</v>
      </c>
    </row>
    <row r="5807" spans="1:4" hidden="1" outlineLevel="2" x14ac:dyDescent="0.3">
      <c r="C5807" t="s">
        <v>4134</v>
      </c>
    </row>
    <row r="5808" spans="1:4" hidden="1" outlineLevel="2" x14ac:dyDescent="0.3">
      <c r="C5808" t="s">
        <v>4135</v>
      </c>
    </row>
    <row r="5809" spans="3:4" hidden="1" outlineLevel="2" x14ac:dyDescent="0.3">
      <c r="C5809" t="s">
        <v>3454</v>
      </c>
    </row>
    <row r="5810" spans="3:4" hidden="1" outlineLevel="2" x14ac:dyDescent="0.3">
      <c r="C5810" t="s">
        <v>3455</v>
      </c>
    </row>
    <row r="5811" spans="3:4" hidden="1" outlineLevel="2" x14ac:dyDescent="0.3">
      <c r="C5811" t="s">
        <v>3456</v>
      </c>
    </row>
    <row r="5812" spans="3:4" hidden="1" outlineLevel="2" x14ac:dyDescent="0.3">
      <c r="C5812" t="s">
        <v>3457</v>
      </c>
    </row>
    <row r="5813" spans="3:4" hidden="1" outlineLevel="2" x14ac:dyDescent="0.3">
      <c r="C5813" t="s">
        <v>3458</v>
      </c>
    </row>
    <row r="5814" spans="3:4" hidden="1" outlineLevel="2" x14ac:dyDescent="0.3">
      <c r="C5814" t="s">
        <v>3459</v>
      </c>
    </row>
    <row r="5815" spans="3:4" hidden="1" outlineLevel="2" x14ac:dyDescent="0.3">
      <c r="C5815" t="s">
        <v>3460</v>
      </c>
    </row>
    <row r="5816" spans="3:4" hidden="1" outlineLevel="2" x14ac:dyDescent="0.3">
      <c r="C5816" t="s">
        <v>3461</v>
      </c>
    </row>
    <row r="5817" spans="3:4" hidden="1" outlineLevel="2" x14ac:dyDescent="0.3">
      <c r="C5817" t="s">
        <v>3462</v>
      </c>
    </row>
    <row r="5818" spans="3:4" hidden="1" outlineLevel="2" x14ac:dyDescent="0.3">
      <c r="C5818" t="s">
        <v>3463</v>
      </c>
    </row>
    <row r="5819" spans="3:4" hidden="1" outlineLevel="3" x14ac:dyDescent="0.3">
      <c r="D5819" t="s">
        <v>3464</v>
      </c>
    </row>
    <row r="5820" spans="3:4" hidden="1" outlineLevel="3" x14ac:dyDescent="0.3">
      <c r="D5820" t="s">
        <v>4136</v>
      </c>
    </row>
    <row r="5821" spans="3:4" hidden="1" outlineLevel="3" x14ac:dyDescent="0.3">
      <c r="D5821" t="s">
        <v>4137</v>
      </c>
    </row>
    <row r="5822" spans="3:4" hidden="1" outlineLevel="3" x14ac:dyDescent="0.3">
      <c r="D5822" t="s">
        <v>4138</v>
      </c>
    </row>
    <row r="5823" spans="3:4" hidden="1" outlineLevel="3" x14ac:dyDescent="0.3">
      <c r="D5823" t="s">
        <v>4139</v>
      </c>
    </row>
    <row r="5824" spans="3:4" hidden="1" outlineLevel="3" x14ac:dyDescent="0.3">
      <c r="D5824" t="s">
        <v>4140</v>
      </c>
    </row>
    <row r="5825" spans="3:4" hidden="1" outlineLevel="3" x14ac:dyDescent="0.3">
      <c r="D5825" t="s">
        <v>3478</v>
      </c>
    </row>
    <row r="5826" spans="3:4" hidden="1" outlineLevel="2" x14ac:dyDescent="0.3">
      <c r="C5826" t="s">
        <v>3479</v>
      </c>
    </row>
    <row r="5827" spans="3:4" hidden="1" outlineLevel="2" x14ac:dyDescent="0.3">
      <c r="C5827" t="s">
        <v>3480</v>
      </c>
    </row>
    <row r="5828" spans="3:4" hidden="1" outlineLevel="2" x14ac:dyDescent="0.3">
      <c r="C5828" t="s">
        <v>3481</v>
      </c>
    </row>
    <row r="5829" spans="3:4" hidden="1" outlineLevel="2" x14ac:dyDescent="0.3">
      <c r="C5829" t="s">
        <v>3482</v>
      </c>
    </row>
    <row r="5830" spans="3:4" hidden="1" outlineLevel="2" x14ac:dyDescent="0.3">
      <c r="C5830" t="s">
        <v>3483</v>
      </c>
    </row>
    <row r="5831" spans="3:4" hidden="1" outlineLevel="2" x14ac:dyDescent="0.3">
      <c r="C5831" t="s">
        <v>3484</v>
      </c>
    </row>
    <row r="5832" spans="3:4" hidden="1" outlineLevel="2" x14ac:dyDescent="0.3">
      <c r="C5832" t="s">
        <v>3485</v>
      </c>
    </row>
    <row r="5833" spans="3:4" hidden="1" outlineLevel="2" x14ac:dyDescent="0.3">
      <c r="C5833" t="s">
        <v>4141</v>
      </c>
    </row>
    <row r="5834" spans="3:4" hidden="1" outlineLevel="2" x14ac:dyDescent="0.3">
      <c r="C5834" t="s">
        <v>3487</v>
      </c>
    </row>
    <row r="5835" spans="3:4" hidden="1" outlineLevel="2" x14ac:dyDescent="0.3">
      <c r="C5835" t="s">
        <v>3488</v>
      </c>
    </row>
    <row r="5836" spans="3:4" hidden="1" outlineLevel="2" x14ac:dyDescent="0.3">
      <c r="C5836" t="s">
        <v>3489</v>
      </c>
    </row>
    <row r="5837" spans="3:4" hidden="1" outlineLevel="2" x14ac:dyDescent="0.3">
      <c r="C5837" t="s">
        <v>3490</v>
      </c>
    </row>
    <row r="5838" spans="3:4" hidden="1" outlineLevel="2" x14ac:dyDescent="0.3">
      <c r="C5838" t="s">
        <v>3491</v>
      </c>
    </row>
    <row r="5839" spans="3:4" hidden="1" outlineLevel="2" x14ac:dyDescent="0.3">
      <c r="C5839" t="s">
        <v>3492</v>
      </c>
    </row>
    <row r="5840" spans="3:4" hidden="1" outlineLevel="2" x14ac:dyDescent="0.3">
      <c r="C5840" t="s">
        <v>2194</v>
      </c>
    </row>
    <row r="5841" spans="2:4" outlineLevel="1" collapsed="1" x14ac:dyDescent="0.3">
      <c r="B5841" t="s">
        <v>2195</v>
      </c>
    </row>
    <row r="5842" spans="2:4" hidden="1" outlineLevel="2" x14ac:dyDescent="0.3">
      <c r="C5842" t="s">
        <v>4142</v>
      </c>
    </row>
    <row r="5843" spans="2:4" hidden="1" outlineLevel="2" x14ac:dyDescent="0.3">
      <c r="C5843" t="s">
        <v>4143</v>
      </c>
    </row>
    <row r="5844" spans="2:4" hidden="1" outlineLevel="2" x14ac:dyDescent="0.3">
      <c r="C5844" t="s">
        <v>3494</v>
      </c>
    </row>
    <row r="5845" spans="2:4" hidden="1" outlineLevel="2" x14ac:dyDescent="0.3">
      <c r="C5845" t="s">
        <v>3495</v>
      </c>
    </row>
    <row r="5846" spans="2:4" hidden="1" outlineLevel="2" x14ac:dyDescent="0.3">
      <c r="C5846" t="s">
        <v>3496</v>
      </c>
    </row>
    <row r="5847" spans="2:4" hidden="1" outlineLevel="2" x14ac:dyDescent="0.3">
      <c r="C5847" t="s">
        <v>3497</v>
      </c>
    </row>
    <row r="5848" spans="2:4" hidden="1" outlineLevel="2" x14ac:dyDescent="0.3">
      <c r="C5848" t="s">
        <v>3498</v>
      </c>
    </row>
    <row r="5849" spans="2:4" hidden="1" outlineLevel="2" x14ac:dyDescent="0.3">
      <c r="C5849" t="s">
        <v>3499</v>
      </c>
    </row>
    <row r="5850" spans="2:4" hidden="1" outlineLevel="2" x14ac:dyDescent="0.3">
      <c r="C5850" t="s">
        <v>3500</v>
      </c>
    </row>
    <row r="5851" spans="2:4" hidden="1" outlineLevel="2" x14ac:dyDescent="0.3">
      <c r="C5851" t="s">
        <v>3501</v>
      </c>
    </row>
    <row r="5852" spans="2:4" hidden="1" outlineLevel="2" x14ac:dyDescent="0.3">
      <c r="C5852" t="s">
        <v>3502</v>
      </c>
    </row>
    <row r="5853" spans="2:4" hidden="1" outlineLevel="2" x14ac:dyDescent="0.3">
      <c r="C5853" t="s">
        <v>3503</v>
      </c>
    </row>
    <row r="5854" spans="2:4" hidden="1" outlineLevel="3" x14ac:dyDescent="0.3">
      <c r="D5854" t="s">
        <v>3504</v>
      </c>
    </row>
    <row r="5855" spans="2:4" hidden="1" outlineLevel="3" x14ac:dyDescent="0.3">
      <c r="D5855" t="s">
        <v>4144</v>
      </c>
    </row>
    <row r="5856" spans="2:4" hidden="1" outlineLevel="3" x14ac:dyDescent="0.3">
      <c r="D5856" t="s">
        <v>4145</v>
      </c>
    </row>
    <row r="5857" spans="3:4" hidden="1" outlineLevel="3" x14ac:dyDescent="0.3">
      <c r="D5857" t="s">
        <v>4146</v>
      </c>
    </row>
    <row r="5858" spans="3:4" hidden="1" outlineLevel="3" x14ac:dyDescent="0.3">
      <c r="D5858" t="s">
        <v>4147</v>
      </c>
    </row>
    <row r="5859" spans="3:4" hidden="1" outlineLevel="3" x14ac:dyDescent="0.3">
      <c r="D5859" t="s">
        <v>4148</v>
      </c>
    </row>
    <row r="5860" spans="3:4" hidden="1" outlineLevel="3" x14ac:dyDescent="0.3">
      <c r="D5860" t="s">
        <v>4149</v>
      </c>
    </row>
    <row r="5861" spans="3:4" hidden="1" outlineLevel="3" x14ac:dyDescent="0.3">
      <c r="D5861" t="s">
        <v>3518</v>
      </c>
    </row>
    <row r="5862" spans="3:4" hidden="1" outlineLevel="2" x14ac:dyDescent="0.3">
      <c r="C5862" t="s">
        <v>3519</v>
      </c>
    </row>
    <row r="5863" spans="3:4" hidden="1" outlineLevel="2" x14ac:dyDescent="0.3">
      <c r="C5863" t="s">
        <v>3520</v>
      </c>
    </row>
    <row r="5864" spans="3:4" hidden="1" outlineLevel="2" x14ac:dyDescent="0.3">
      <c r="C5864" t="s">
        <v>3521</v>
      </c>
    </row>
    <row r="5865" spans="3:4" hidden="1" outlineLevel="2" x14ac:dyDescent="0.3">
      <c r="C5865" t="s">
        <v>3522</v>
      </c>
    </row>
    <row r="5866" spans="3:4" hidden="1" outlineLevel="2" x14ac:dyDescent="0.3">
      <c r="C5866" t="s">
        <v>3523</v>
      </c>
    </row>
    <row r="5867" spans="3:4" hidden="1" outlineLevel="2" x14ac:dyDescent="0.3">
      <c r="C5867" t="s">
        <v>3524</v>
      </c>
    </row>
    <row r="5868" spans="3:4" hidden="1" outlineLevel="2" x14ac:dyDescent="0.3">
      <c r="C5868" t="s">
        <v>3525</v>
      </c>
    </row>
    <row r="5869" spans="3:4" hidden="1" outlineLevel="2" x14ac:dyDescent="0.3">
      <c r="C5869" t="s">
        <v>4150</v>
      </c>
    </row>
    <row r="5870" spans="3:4" hidden="1" outlineLevel="2" x14ac:dyDescent="0.3">
      <c r="C5870" t="s">
        <v>3527</v>
      </c>
    </row>
    <row r="5871" spans="3:4" hidden="1" outlineLevel="2" x14ac:dyDescent="0.3">
      <c r="C5871" t="s">
        <v>3528</v>
      </c>
    </row>
    <row r="5872" spans="3:4" hidden="1" outlineLevel="2" x14ac:dyDescent="0.3">
      <c r="C5872" t="s">
        <v>3529</v>
      </c>
    </row>
    <row r="5873" spans="1:3" hidden="1" outlineLevel="2" x14ac:dyDescent="0.3">
      <c r="C5873" t="s">
        <v>3530</v>
      </c>
    </row>
    <row r="5874" spans="1:3" hidden="1" outlineLevel="2" x14ac:dyDescent="0.3">
      <c r="C5874" t="s">
        <v>3531</v>
      </c>
    </row>
    <row r="5875" spans="1:3" hidden="1" outlineLevel="2" x14ac:dyDescent="0.3">
      <c r="C5875" t="s">
        <v>3532</v>
      </c>
    </row>
    <row r="5876" spans="1:3" hidden="1" outlineLevel="2" x14ac:dyDescent="0.3">
      <c r="C5876" t="s">
        <v>2263</v>
      </c>
    </row>
    <row r="5877" spans="1:3" outlineLevel="1" collapsed="1" x14ac:dyDescent="0.3">
      <c r="B5877" t="s">
        <v>2264</v>
      </c>
    </row>
    <row r="5878" spans="1:3" outlineLevel="1" x14ac:dyDescent="0.3">
      <c r="B5878" t="s">
        <v>2265</v>
      </c>
    </row>
    <row r="5879" spans="1:3" outlineLevel="1" x14ac:dyDescent="0.3">
      <c r="B5879" t="s">
        <v>2266</v>
      </c>
    </row>
    <row r="5880" spans="1:3" outlineLevel="1" x14ac:dyDescent="0.3">
      <c r="B5880" t="s">
        <v>2267</v>
      </c>
    </row>
    <row r="5881" spans="1:3" outlineLevel="1" x14ac:dyDescent="0.3">
      <c r="B5881" t="s">
        <v>2268</v>
      </c>
    </row>
    <row r="5882" spans="1:3" outlineLevel="1" x14ac:dyDescent="0.3">
      <c r="B5882" t="s">
        <v>2269</v>
      </c>
    </row>
    <row r="5883" spans="1:3" x14ac:dyDescent="0.3">
      <c r="A5883" t="s">
        <v>2270</v>
      </c>
    </row>
    <row r="5884" spans="1:3" outlineLevel="1" x14ac:dyDescent="0.3">
      <c r="B5884" t="s">
        <v>2271</v>
      </c>
    </row>
    <row r="5885" spans="1:3" hidden="1" outlineLevel="2" x14ac:dyDescent="0.3">
      <c r="C5885" t="s">
        <v>3533</v>
      </c>
    </row>
    <row r="5886" spans="1:3" hidden="1" outlineLevel="2" x14ac:dyDescent="0.3">
      <c r="C5886" t="s">
        <v>3534</v>
      </c>
    </row>
    <row r="5887" spans="1:3" hidden="1" outlineLevel="2" x14ac:dyDescent="0.3">
      <c r="C5887" t="s">
        <v>4151</v>
      </c>
    </row>
    <row r="5888" spans="1:3" hidden="1" outlineLevel="2" x14ac:dyDescent="0.3">
      <c r="C5888" t="s">
        <v>3548</v>
      </c>
    </row>
    <row r="5889" spans="3:3" hidden="1" outlineLevel="2" x14ac:dyDescent="0.3">
      <c r="C5889" t="s">
        <v>3551</v>
      </c>
    </row>
    <row r="5890" spans="3:3" hidden="1" outlineLevel="2" x14ac:dyDescent="0.3">
      <c r="C5890" t="s">
        <v>3552</v>
      </c>
    </row>
    <row r="5891" spans="3:3" hidden="1" outlineLevel="2" x14ac:dyDescent="0.3">
      <c r="C5891" t="s">
        <v>3554</v>
      </c>
    </row>
    <row r="5892" spans="3:3" hidden="1" outlineLevel="2" x14ac:dyDescent="0.3">
      <c r="C5892" t="s">
        <v>3555</v>
      </c>
    </row>
    <row r="5893" spans="3:3" hidden="1" outlineLevel="2" x14ac:dyDescent="0.3">
      <c r="C5893" t="s">
        <v>3556</v>
      </c>
    </row>
    <row r="5894" spans="3:3" hidden="1" outlineLevel="2" x14ac:dyDescent="0.3">
      <c r="C5894" t="s">
        <v>3557</v>
      </c>
    </row>
    <row r="5895" spans="3:3" hidden="1" outlineLevel="2" x14ac:dyDescent="0.3">
      <c r="C5895" t="s">
        <v>3558</v>
      </c>
    </row>
    <row r="5896" spans="3:3" hidden="1" outlineLevel="2" x14ac:dyDescent="0.3">
      <c r="C5896" t="s">
        <v>3559</v>
      </c>
    </row>
    <row r="5897" spans="3:3" hidden="1" outlineLevel="2" x14ac:dyDescent="0.3">
      <c r="C5897" t="s">
        <v>3560</v>
      </c>
    </row>
    <row r="5898" spans="3:3" hidden="1" outlineLevel="2" x14ac:dyDescent="0.3">
      <c r="C5898" t="s">
        <v>3561</v>
      </c>
    </row>
    <row r="5899" spans="3:3" hidden="1" outlineLevel="2" x14ac:dyDescent="0.3">
      <c r="C5899" t="s">
        <v>3563</v>
      </c>
    </row>
    <row r="5900" spans="3:3" hidden="1" outlineLevel="2" x14ac:dyDescent="0.3">
      <c r="C5900" t="s">
        <v>3564</v>
      </c>
    </row>
    <row r="5901" spans="3:3" hidden="1" outlineLevel="2" x14ac:dyDescent="0.3">
      <c r="C5901" t="s">
        <v>3565</v>
      </c>
    </row>
    <row r="5902" spans="3:3" hidden="1" outlineLevel="2" x14ac:dyDescent="0.3">
      <c r="C5902" t="s">
        <v>3566</v>
      </c>
    </row>
    <row r="5903" spans="3:3" hidden="1" outlineLevel="2" x14ac:dyDescent="0.3">
      <c r="C5903" t="s">
        <v>3567</v>
      </c>
    </row>
    <row r="5904" spans="3:3" hidden="1" outlineLevel="2" x14ac:dyDescent="0.3">
      <c r="C5904" t="s">
        <v>3568</v>
      </c>
    </row>
    <row r="5905" spans="2:3" hidden="1" outlineLevel="2" x14ac:dyDescent="0.3">
      <c r="C5905" t="s">
        <v>2302</v>
      </c>
    </row>
    <row r="5906" spans="2:3" outlineLevel="1" collapsed="1" x14ac:dyDescent="0.3">
      <c r="B5906" t="s">
        <v>2303</v>
      </c>
    </row>
    <row r="5907" spans="2:3" hidden="1" outlineLevel="2" x14ac:dyDescent="0.3">
      <c r="C5907" t="s">
        <v>3569</v>
      </c>
    </row>
    <row r="5908" spans="2:3" hidden="1" outlineLevel="2" x14ac:dyDescent="0.3">
      <c r="C5908" t="s">
        <v>3570</v>
      </c>
    </row>
    <row r="5909" spans="2:3" hidden="1" outlineLevel="2" x14ac:dyDescent="0.3">
      <c r="C5909" t="s">
        <v>4152</v>
      </c>
    </row>
    <row r="5910" spans="2:3" hidden="1" outlineLevel="2" x14ac:dyDescent="0.3">
      <c r="C5910" t="s">
        <v>3584</v>
      </c>
    </row>
    <row r="5911" spans="2:3" hidden="1" outlineLevel="2" x14ac:dyDescent="0.3">
      <c r="C5911" t="s">
        <v>3587</v>
      </c>
    </row>
    <row r="5912" spans="2:3" hidden="1" outlineLevel="2" x14ac:dyDescent="0.3">
      <c r="C5912" t="s">
        <v>3588</v>
      </c>
    </row>
    <row r="5913" spans="2:3" hidden="1" outlineLevel="2" x14ac:dyDescent="0.3">
      <c r="C5913" t="s">
        <v>3590</v>
      </c>
    </row>
    <row r="5914" spans="2:3" hidden="1" outlineLevel="2" x14ac:dyDescent="0.3">
      <c r="C5914" t="s">
        <v>3591</v>
      </c>
    </row>
    <row r="5915" spans="2:3" hidden="1" outlineLevel="2" x14ac:dyDescent="0.3">
      <c r="C5915" t="s">
        <v>3592</v>
      </c>
    </row>
    <row r="5916" spans="2:3" hidden="1" outlineLevel="2" x14ac:dyDescent="0.3">
      <c r="C5916" t="s">
        <v>3593</v>
      </c>
    </row>
    <row r="5917" spans="2:3" hidden="1" outlineLevel="2" x14ac:dyDescent="0.3">
      <c r="C5917" t="s">
        <v>3595</v>
      </c>
    </row>
    <row r="5918" spans="2:3" hidden="1" outlineLevel="2" x14ac:dyDescent="0.3">
      <c r="C5918" t="s">
        <v>3596</v>
      </c>
    </row>
    <row r="5919" spans="2:3" hidden="1" outlineLevel="2" x14ac:dyDescent="0.3">
      <c r="C5919" t="s">
        <v>3597</v>
      </c>
    </row>
    <row r="5920" spans="2:3" hidden="1" outlineLevel="2" x14ac:dyDescent="0.3">
      <c r="C5920" t="s">
        <v>3599</v>
      </c>
    </row>
    <row r="5921" spans="1:3" hidden="1" outlineLevel="2" x14ac:dyDescent="0.3">
      <c r="C5921" t="s">
        <v>3600</v>
      </c>
    </row>
    <row r="5922" spans="1:3" hidden="1" outlineLevel="2" x14ac:dyDescent="0.3">
      <c r="C5922" t="s">
        <v>3601</v>
      </c>
    </row>
    <row r="5923" spans="1:3" hidden="1" outlineLevel="2" x14ac:dyDescent="0.3">
      <c r="C5923" t="s">
        <v>3602</v>
      </c>
    </row>
    <row r="5924" spans="1:3" hidden="1" outlineLevel="2" x14ac:dyDescent="0.3">
      <c r="C5924" t="s">
        <v>3603</v>
      </c>
    </row>
    <row r="5925" spans="1:3" hidden="1" outlineLevel="2" x14ac:dyDescent="0.3">
      <c r="C5925" t="s">
        <v>3604</v>
      </c>
    </row>
    <row r="5926" spans="1:3" hidden="1" outlineLevel="2" x14ac:dyDescent="0.3">
      <c r="C5926" t="s">
        <v>3605</v>
      </c>
    </row>
    <row r="5927" spans="1:3" hidden="1" outlineLevel="2" x14ac:dyDescent="0.3">
      <c r="C5927" t="s">
        <v>3606</v>
      </c>
    </row>
    <row r="5928" spans="1:3" hidden="1" outlineLevel="2" x14ac:dyDescent="0.3">
      <c r="C5928" t="s">
        <v>2334</v>
      </c>
    </row>
    <row r="5929" spans="1:3" outlineLevel="1" collapsed="1" x14ac:dyDescent="0.3">
      <c r="B5929" t="s">
        <v>2335</v>
      </c>
    </row>
    <row r="5930" spans="1:3" outlineLevel="1" x14ac:dyDescent="0.3">
      <c r="B5930" t="s">
        <v>2336</v>
      </c>
    </row>
    <row r="5931" spans="1:3" outlineLevel="1" x14ac:dyDescent="0.3">
      <c r="B5931" t="s">
        <v>2337</v>
      </c>
    </row>
    <row r="5932" spans="1:3" outlineLevel="1" x14ac:dyDescent="0.3">
      <c r="B5932" t="s">
        <v>2338</v>
      </c>
    </row>
    <row r="5933" spans="1:3" outlineLevel="1" x14ac:dyDescent="0.3">
      <c r="B5933" t="s">
        <v>2339</v>
      </c>
    </row>
    <row r="5934" spans="1:3" outlineLevel="1" x14ac:dyDescent="0.3">
      <c r="B5934" t="s">
        <v>2340</v>
      </c>
    </row>
    <row r="5935" spans="1:3" x14ac:dyDescent="0.3">
      <c r="A5935" t="s">
        <v>2341</v>
      </c>
    </row>
    <row r="5936" spans="1:3" x14ac:dyDescent="0.3">
      <c r="A5936" t="s">
        <v>2342</v>
      </c>
    </row>
    <row r="5937" spans="1:2" x14ac:dyDescent="0.3">
      <c r="A5937" t="s">
        <v>2343</v>
      </c>
    </row>
    <row r="5938" spans="1:2" x14ac:dyDescent="0.3">
      <c r="A5938" t="s">
        <v>2344</v>
      </c>
    </row>
    <row r="5939" spans="1:2" x14ac:dyDescent="0.3">
      <c r="A5939" t="s">
        <v>2345</v>
      </c>
    </row>
    <row r="5940" spans="1:2" x14ac:dyDescent="0.3">
      <c r="A5940" t="s">
        <v>2346</v>
      </c>
    </row>
    <row r="5951" spans="1:2" x14ac:dyDescent="0.3">
      <c r="A5951" t="s">
        <v>0</v>
      </c>
    </row>
    <row r="5952" spans="1:2" outlineLevel="1" x14ac:dyDescent="0.3">
      <c r="B5952" t="s">
        <v>2379</v>
      </c>
    </row>
    <row r="5953" spans="2:2" outlineLevel="1" x14ac:dyDescent="0.3">
      <c r="B5953" t="s">
        <v>2380</v>
      </c>
    </row>
    <row r="5954" spans="2:2" outlineLevel="1" x14ac:dyDescent="0.3">
      <c r="B5954" t="s">
        <v>4153</v>
      </c>
    </row>
    <row r="5955" spans="2:2" outlineLevel="1" x14ac:dyDescent="0.3">
      <c r="B5955" t="s">
        <v>2382</v>
      </c>
    </row>
    <row r="5956" spans="2:2" outlineLevel="1" x14ac:dyDescent="0.3">
      <c r="B5956" t="s">
        <v>2383</v>
      </c>
    </row>
    <row r="5957" spans="2:2" outlineLevel="1" x14ac:dyDescent="0.3">
      <c r="B5957" t="s">
        <v>4154</v>
      </c>
    </row>
    <row r="5958" spans="2:2" outlineLevel="1" x14ac:dyDescent="0.3">
      <c r="B5958" t="s">
        <v>2385</v>
      </c>
    </row>
    <row r="5959" spans="2:2" outlineLevel="1" x14ac:dyDescent="0.3">
      <c r="B5959" t="s">
        <v>2386</v>
      </c>
    </row>
    <row r="5960" spans="2:2" outlineLevel="1" x14ac:dyDescent="0.3">
      <c r="B5960" t="s">
        <v>2387</v>
      </c>
    </row>
    <row r="5961" spans="2:2" outlineLevel="1" x14ac:dyDescent="0.3">
      <c r="B5961" t="s">
        <v>2388</v>
      </c>
    </row>
    <row r="5962" spans="2:2" outlineLevel="1" x14ac:dyDescent="0.3">
      <c r="B5962" t="s">
        <v>2389</v>
      </c>
    </row>
    <row r="5963" spans="2:2" outlineLevel="1" x14ac:dyDescent="0.3">
      <c r="B5963" t="s">
        <v>4155</v>
      </c>
    </row>
    <row r="5964" spans="2:2" outlineLevel="1" x14ac:dyDescent="0.3">
      <c r="B5964" t="s">
        <v>2390</v>
      </c>
    </row>
    <row r="5965" spans="2:2" outlineLevel="1" x14ac:dyDescent="0.3">
      <c r="B5965" t="s">
        <v>2391</v>
      </c>
    </row>
    <row r="5966" spans="2:2" outlineLevel="1" x14ac:dyDescent="0.3">
      <c r="B5966" t="s">
        <v>4156</v>
      </c>
    </row>
    <row r="5967" spans="2:2" outlineLevel="1" x14ac:dyDescent="0.3">
      <c r="B5967" t="s">
        <v>2392</v>
      </c>
    </row>
    <row r="5968" spans="2:2" outlineLevel="1" x14ac:dyDescent="0.3">
      <c r="B5968" t="s">
        <v>2393</v>
      </c>
    </row>
    <row r="5969" spans="1:3" outlineLevel="1" x14ac:dyDescent="0.3">
      <c r="B5969" t="s">
        <v>2394</v>
      </c>
    </row>
    <row r="5970" spans="1:3" outlineLevel="1" x14ac:dyDescent="0.3">
      <c r="B5970" t="s">
        <v>2395</v>
      </c>
    </row>
    <row r="5971" spans="1:3" outlineLevel="1" x14ac:dyDescent="0.3">
      <c r="B5971" t="s">
        <v>2396</v>
      </c>
    </row>
    <row r="5972" spans="1:3" outlineLevel="1" x14ac:dyDescent="0.3">
      <c r="B5972" t="s">
        <v>2397</v>
      </c>
    </row>
    <row r="5973" spans="1:3" outlineLevel="1" x14ac:dyDescent="0.3">
      <c r="B5973" t="s">
        <v>2398</v>
      </c>
    </row>
    <row r="5974" spans="1:3" x14ac:dyDescent="0.3">
      <c r="A5974" t="s">
        <v>26</v>
      </c>
    </row>
    <row r="5975" spans="1:3" outlineLevel="1" x14ac:dyDescent="0.3">
      <c r="B5975" t="s">
        <v>27</v>
      </c>
    </row>
    <row r="5976" spans="1:3" hidden="1" outlineLevel="2" x14ac:dyDescent="0.3">
      <c r="C5976" t="s">
        <v>28</v>
      </c>
    </row>
    <row r="5977" spans="1:3" hidden="1" outlineLevel="2" x14ac:dyDescent="0.3">
      <c r="C5977" t="s">
        <v>29</v>
      </c>
    </row>
    <row r="5978" spans="1:3" hidden="1" outlineLevel="2" x14ac:dyDescent="0.3">
      <c r="C5978" t="s">
        <v>30</v>
      </c>
    </row>
    <row r="5979" spans="1:3" hidden="1" outlineLevel="2" x14ac:dyDescent="0.3">
      <c r="C5979" t="s">
        <v>31</v>
      </c>
    </row>
    <row r="5980" spans="1:3" hidden="1" outlineLevel="2" x14ac:dyDescent="0.3">
      <c r="C5980" t="s">
        <v>32</v>
      </c>
    </row>
    <row r="5981" spans="1:3" hidden="1" outlineLevel="2" x14ac:dyDescent="0.3">
      <c r="C5981" t="s">
        <v>33</v>
      </c>
    </row>
    <row r="5982" spans="1:3" hidden="1" outlineLevel="2" x14ac:dyDescent="0.3">
      <c r="C5982" t="s">
        <v>34</v>
      </c>
    </row>
    <row r="5983" spans="1:3" hidden="1" outlineLevel="2" x14ac:dyDescent="0.3">
      <c r="C5983" t="s">
        <v>2399</v>
      </c>
    </row>
    <row r="5984" spans="1:3" outlineLevel="1" collapsed="1" x14ac:dyDescent="0.3">
      <c r="B5984" t="s">
        <v>35</v>
      </c>
    </row>
    <row r="5985" spans="1:2" outlineLevel="1" x14ac:dyDescent="0.3">
      <c r="B5985" t="s">
        <v>36</v>
      </c>
    </row>
    <row r="5986" spans="1:2" outlineLevel="1" x14ac:dyDescent="0.3">
      <c r="B5986" t="s">
        <v>520</v>
      </c>
    </row>
    <row r="5987" spans="1:2" x14ac:dyDescent="0.3">
      <c r="A5987" t="s">
        <v>37</v>
      </c>
    </row>
    <row r="5988" spans="1:2" outlineLevel="1" x14ac:dyDescent="0.3">
      <c r="B5988" t="s">
        <v>2400</v>
      </c>
    </row>
    <row r="5989" spans="1:2" outlineLevel="1" x14ac:dyDescent="0.3">
      <c r="B5989" t="s">
        <v>2401</v>
      </c>
    </row>
    <row r="5990" spans="1:2" outlineLevel="1" x14ac:dyDescent="0.3">
      <c r="B5990" t="s">
        <v>2402</v>
      </c>
    </row>
    <row r="5991" spans="1:2" outlineLevel="1" x14ac:dyDescent="0.3">
      <c r="B5991" t="s">
        <v>2403</v>
      </c>
    </row>
    <row r="5992" spans="1:2" outlineLevel="1" x14ac:dyDescent="0.3">
      <c r="B5992" t="s">
        <v>2404</v>
      </c>
    </row>
    <row r="5993" spans="1:2" outlineLevel="1" x14ac:dyDescent="0.3">
      <c r="B5993" t="s">
        <v>4157</v>
      </c>
    </row>
    <row r="5994" spans="1:2" outlineLevel="1" x14ac:dyDescent="0.3">
      <c r="B5994" t="s">
        <v>2406</v>
      </c>
    </row>
    <row r="5995" spans="1:2" outlineLevel="1" x14ac:dyDescent="0.3">
      <c r="B5995" t="s">
        <v>2407</v>
      </c>
    </row>
    <row r="5996" spans="1:2" outlineLevel="1" x14ac:dyDescent="0.3">
      <c r="B5996" t="s">
        <v>2408</v>
      </c>
    </row>
    <row r="5997" spans="1:2" outlineLevel="1" x14ac:dyDescent="0.3">
      <c r="B5997" t="s">
        <v>2409</v>
      </c>
    </row>
    <row r="5998" spans="1:2" outlineLevel="1" x14ac:dyDescent="0.3">
      <c r="B5998" t="s">
        <v>2410</v>
      </c>
    </row>
    <row r="5999" spans="1:2" outlineLevel="1" x14ac:dyDescent="0.3">
      <c r="B5999" t="s">
        <v>2411</v>
      </c>
    </row>
    <row r="6000" spans="1:2" outlineLevel="1" x14ac:dyDescent="0.3">
      <c r="B6000" t="s">
        <v>2412</v>
      </c>
    </row>
    <row r="6001" spans="1:2" outlineLevel="1" x14ac:dyDescent="0.3">
      <c r="B6001" t="s">
        <v>2413</v>
      </c>
    </row>
    <row r="6002" spans="1:2" outlineLevel="1" x14ac:dyDescent="0.3">
      <c r="B6002" t="s">
        <v>4158</v>
      </c>
    </row>
    <row r="6003" spans="1:2" outlineLevel="1" x14ac:dyDescent="0.3">
      <c r="B6003" t="s">
        <v>4159</v>
      </c>
    </row>
    <row r="6004" spans="1:2" outlineLevel="1" x14ac:dyDescent="0.3">
      <c r="B6004" t="s">
        <v>4160</v>
      </c>
    </row>
    <row r="6005" spans="1:2" outlineLevel="1" x14ac:dyDescent="0.3">
      <c r="B6005" t="s">
        <v>4161</v>
      </c>
    </row>
    <row r="6011" spans="1:2" x14ac:dyDescent="0.3">
      <c r="A6011" t="s">
        <v>2414</v>
      </c>
    </row>
    <row r="6012" spans="1:2" x14ac:dyDescent="0.3">
      <c r="A6012" t="s">
        <v>2415</v>
      </c>
    </row>
    <row r="6013" spans="1:2" outlineLevel="1" x14ac:dyDescent="0.3">
      <c r="B6013" t="s">
        <v>2416</v>
      </c>
    </row>
    <row r="6014" spans="1:2" outlineLevel="1" x14ac:dyDescent="0.3">
      <c r="B6014" t="s">
        <v>2417</v>
      </c>
    </row>
    <row r="6015" spans="1:2" outlineLevel="1" x14ac:dyDescent="0.3">
      <c r="B6015" t="s">
        <v>2418</v>
      </c>
    </row>
    <row r="6016" spans="1:2" x14ac:dyDescent="0.3">
      <c r="A6016" t="s">
        <v>2419</v>
      </c>
    </row>
    <row r="6017" spans="1:2" outlineLevel="1" x14ac:dyDescent="0.3">
      <c r="B6017" t="s">
        <v>2420</v>
      </c>
    </row>
    <row r="6018" spans="1:2" outlineLevel="1" x14ac:dyDescent="0.3">
      <c r="B6018" t="s">
        <v>2421</v>
      </c>
    </row>
    <row r="6019" spans="1:2" x14ac:dyDescent="0.3">
      <c r="A6019" t="s">
        <v>2422</v>
      </c>
    </row>
    <row r="6020" spans="1:2" outlineLevel="1" x14ac:dyDescent="0.3">
      <c r="B6020" t="s">
        <v>2423</v>
      </c>
    </row>
    <row r="6021" spans="1:2" outlineLevel="1" x14ac:dyDescent="0.3">
      <c r="B6021" t="s">
        <v>2424</v>
      </c>
    </row>
    <row r="6022" spans="1:2" outlineLevel="1" x14ac:dyDescent="0.3">
      <c r="B6022" t="s">
        <v>2426</v>
      </c>
    </row>
    <row r="6023" spans="1:2" x14ac:dyDescent="0.3">
      <c r="A6023" t="s">
        <v>2427</v>
      </c>
    </row>
    <row r="6024" spans="1:2" outlineLevel="1" x14ac:dyDescent="0.3">
      <c r="B6024" t="s">
        <v>4162</v>
      </c>
    </row>
    <row r="6025" spans="1:2" outlineLevel="1" x14ac:dyDescent="0.3">
      <c r="B6025" t="s">
        <v>4163</v>
      </c>
    </row>
    <row r="6026" spans="1:2" x14ac:dyDescent="0.3">
      <c r="A6026" t="s">
        <v>2430</v>
      </c>
    </row>
    <row r="6027" spans="1:2" outlineLevel="1" x14ac:dyDescent="0.3">
      <c r="B6027" t="s">
        <v>2431</v>
      </c>
    </row>
    <row r="6028" spans="1:2" outlineLevel="1" x14ac:dyDescent="0.3">
      <c r="B6028" t="s">
        <v>2432</v>
      </c>
    </row>
    <row r="6029" spans="1:2" x14ac:dyDescent="0.3">
      <c r="A6029" t="s">
        <v>2433</v>
      </c>
    </row>
    <row r="6030" spans="1:2" outlineLevel="1" x14ac:dyDescent="0.3">
      <c r="B6030" t="s">
        <v>2434</v>
      </c>
    </row>
    <row r="6031" spans="1:2" outlineLevel="1" x14ac:dyDescent="0.3">
      <c r="B6031" t="s">
        <v>2435</v>
      </c>
    </row>
    <row r="6032" spans="1:2" outlineLevel="1" x14ac:dyDescent="0.3">
      <c r="B6032" t="s">
        <v>4164</v>
      </c>
    </row>
    <row r="6033" spans="1:2" outlineLevel="1" x14ac:dyDescent="0.3">
      <c r="B6033" t="s">
        <v>4165</v>
      </c>
    </row>
    <row r="6034" spans="1:2" outlineLevel="1" x14ac:dyDescent="0.3">
      <c r="B6034" t="s">
        <v>2436</v>
      </c>
    </row>
    <row r="6035" spans="1:2" outlineLevel="1" x14ac:dyDescent="0.3">
      <c r="B6035" t="s">
        <v>2437</v>
      </c>
    </row>
    <row r="6036" spans="1:2" x14ac:dyDescent="0.3">
      <c r="A6036" t="s">
        <v>2438</v>
      </c>
    </row>
    <row r="6037" spans="1:2" outlineLevel="1" x14ac:dyDescent="0.3">
      <c r="B6037" t="s">
        <v>2439</v>
      </c>
    </row>
    <row r="6038" spans="1:2" outlineLevel="1" x14ac:dyDescent="0.3">
      <c r="B6038" t="s">
        <v>2440</v>
      </c>
    </row>
    <row r="6039" spans="1:2" x14ac:dyDescent="0.3">
      <c r="A6039" t="s">
        <v>2441</v>
      </c>
    </row>
    <row r="6040" spans="1:2" x14ac:dyDescent="0.3">
      <c r="A6040" t="s">
        <v>2442</v>
      </c>
    </row>
    <row r="6041" spans="1:2" x14ac:dyDescent="0.3">
      <c r="A6041" t="s">
        <v>2443</v>
      </c>
    </row>
    <row r="6042" spans="1:2" outlineLevel="1" x14ac:dyDescent="0.3">
      <c r="B6042" t="s">
        <v>78</v>
      </c>
    </row>
    <row r="6043" spans="1:2" outlineLevel="1" x14ac:dyDescent="0.3">
      <c r="B6043" t="s">
        <v>2444</v>
      </c>
    </row>
    <row r="6044" spans="1:2" outlineLevel="1" x14ac:dyDescent="0.3">
      <c r="B6044" t="s">
        <v>2445</v>
      </c>
    </row>
    <row r="6045" spans="1:2" outlineLevel="1" x14ac:dyDescent="0.3">
      <c r="B6045" t="s">
        <v>2446</v>
      </c>
    </row>
    <row r="6046" spans="1:2" outlineLevel="1" x14ac:dyDescent="0.3">
      <c r="B6046" t="s">
        <v>93</v>
      </c>
    </row>
    <row r="6047" spans="1:2" outlineLevel="1" x14ac:dyDescent="0.3">
      <c r="B6047" t="s">
        <v>2447</v>
      </c>
    </row>
    <row r="6048" spans="1:2" x14ac:dyDescent="0.3">
      <c r="A6048" t="s">
        <v>99</v>
      </c>
    </row>
    <row r="6049" spans="1:2" x14ac:dyDescent="0.3">
      <c r="A6049" t="s">
        <v>2448</v>
      </c>
    </row>
    <row r="6050" spans="1:2" x14ac:dyDescent="0.3">
      <c r="A6050" t="s">
        <v>2449</v>
      </c>
    </row>
    <row r="6051" spans="1:2" x14ac:dyDescent="0.3">
      <c r="A6051" t="s">
        <v>330</v>
      </c>
    </row>
    <row r="6052" spans="1:2" x14ac:dyDescent="0.3">
      <c r="A6052" t="s">
        <v>333</v>
      </c>
    </row>
    <row r="6053" spans="1:2" x14ac:dyDescent="0.3">
      <c r="A6053" t="s">
        <v>336</v>
      </c>
    </row>
    <row r="6054" spans="1:2" x14ac:dyDescent="0.3">
      <c r="A6054" t="s">
        <v>339</v>
      </c>
    </row>
    <row r="6055" spans="1:2" x14ac:dyDescent="0.3">
      <c r="A6055" t="s">
        <v>342</v>
      </c>
    </row>
    <row r="6056" spans="1:2" x14ac:dyDescent="0.3">
      <c r="A6056" t="s">
        <v>345</v>
      </c>
    </row>
    <row r="6057" spans="1:2" x14ac:dyDescent="0.3">
      <c r="A6057" t="s">
        <v>348</v>
      </c>
    </row>
    <row r="6058" spans="1:2" x14ac:dyDescent="0.3">
      <c r="A6058" t="s">
        <v>351</v>
      </c>
    </row>
    <row r="6059" spans="1:2" x14ac:dyDescent="0.3">
      <c r="A6059" t="s">
        <v>354</v>
      </c>
    </row>
    <row r="6060" spans="1:2" outlineLevel="1" x14ac:dyDescent="0.3">
      <c r="B6060" t="s">
        <v>357</v>
      </c>
    </row>
    <row r="6061" spans="1:2" outlineLevel="1" x14ac:dyDescent="0.3">
      <c r="B6061" t="s">
        <v>360</v>
      </c>
    </row>
    <row r="6062" spans="1:2" x14ac:dyDescent="0.3">
      <c r="A6062" t="s">
        <v>363</v>
      </c>
    </row>
    <row r="6063" spans="1:2" outlineLevel="1" x14ac:dyDescent="0.3">
      <c r="B6063" t="s">
        <v>366</v>
      </c>
    </row>
    <row r="6064" spans="1:2" outlineLevel="1" x14ac:dyDescent="0.3">
      <c r="B6064" t="s">
        <v>369</v>
      </c>
    </row>
    <row r="6065" spans="1:2" x14ac:dyDescent="0.3">
      <c r="A6065" t="s">
        <v>372</v>
      </c>
    </row>
    <row r="6066" spans="1:2" x14ac:dyDescent="0.3">
      <c r="A6066" t="s">
        <v>375</v>
      </c>
    </row>
    <row r="6072" spans="1:2" x14ac:dyDescent="0.3">
      <c r="A6072" t="s">
        <v>67</v>
      </c>
    </row>
    <row r="6073" spans="1:2" outlineLevel="1" x14ac:dyDescent="0.3">
      <c r="B6073" t="s">
        <v>70</v>
      </c>
    </row>
    <row r="6074" spans="1:2" outlineLevel="1" x14ac:dyDescent="0.3">
      <c r="B6074" t="s">
        <v>73</v>
      </c>
    </row>
    <row r="6075" spans="1:2" outlineLevel="1" x14ac:dyDescent="0.3">
      <c r="B6075" t="s">
        <v>76</v>
      </c>
    </row>
    <row r="6076" spans="1:2" outlineLevel="1" x14ac:dyDescent="0.3">
      <c r="B6076" t="s">
        <v>79</v>
      </c>
    </row>
    <row r="6077" spans="1:2" outlineLevel="1" x14ac:dyDescent="0.3">
      <c r="B6077" t="s">
        <v>82</v>
      </c>
    </row>
    <row r="6078" spans="1:2" outlineLevel="1" x14ac:dyDescent="0.3">
      <c r="B6078" t="s">
        <v>85</v>
      </c>
    </row>
    <row r="6079" spans="1:2" outlineLevel="1" x14ac:dyDescent="0.3">
      <c r="B6079" t="s">
        <v>88</v>
      </c>
    </row>
    <row r="6080" spans="1:2" outlineLevel="1" x14ac:dyDescent="0.3">
      <c r="B6080" t="s">
        <v>91</v>
      </c>
    </row>
    <row r="6081" spans="1:2" outlineLevel="1" x14ac:dyDescent="0.3">
      <c r="B6081" t="s">
        <v>94</v>
      </c>
    </row>
    <row r="6082" spans="1:2" outlineLevel="1" x14ac:dyDescent="0.3">
      <c r="B6082" t="s">
        <v>97</v>
      </c>
    </row>
    <row r="6083" spans="1:2" outlineLevel="1" x14ac:dyDescent="0.3">
      <c r="B6083" t="s">
        <v>100</v>
      </c>
    </row>
    <row r="6084" spans="1:2" outlineLevel="1" x14ac:dyDescent="0.3">
      <c r="B6084" t="s">
        <v>103</v>
      </c>
    </row>
    <row r="6085" spans="1:2" x14ac:dyDescent="0.3">
      <c r="A6085" t="s">
        <v>106</v>
      </c>
    </row>
    <row r="6086" spans="1:2" outlineLevel="1" x14ac:dyDescent="0.3">
      <c r="B6086" t="s">
        <v>109</v>
      </c>
    </row>
    <row r="6087" spans="1:2" outlineLevel="1" x14ac:dyDescent="0.3">
      <c r="B6087" t="s">
        <v>112</v>
      </c>
    </row>
    <row r="6088" spans="1:2" outlineLevel="1" x14ac:dyDescent="0.3">
      <c r="B6088" t="s">
        <v>115</v>
      </c>
    </row>
    <row r="6089" spans="1:2" x14ac:dyDescent="0.3">
      <c r="A6089" t="s">
        <v>118</v>
      </c>
    </row>
    <row r="6090" spans="1:2" outlineLevel="1" x14ac:dyDescent="0.3">
      <c r="B6090" t="s">
        <v>121</v>
      </c>
    </row>
    <row r="6091" spans="1:2" outlineLevel="1" x14ac:dyDescent="0.3">
      <c r="B6091" t="s">
        <v>124</v>
      </c>
    </row>
    <row r="6092" spans="1:2" outlineLevel="1" x14ac:dyDescent="0.3">
      <c r="B6092" t="s">
        <v>127</v>
      </c>
    </row>
    <row r="6093" spans="1:2" outlineLevel="1" x14ac:dyDescent="0.3">
      <c r="B6093" t="s">
        <v>130</v>
      </c>
    </row>
    <row r="6094" spans="1:2" outlineLevel="1" x14ac:dyDescent="0.3">
      <c r="B6094" t="s">
        <v>133</v>
      </c>
    </row>
    <row r="6095" spans="1:2" outlineLevel="1" x14ac:dyDescent="0.3">
      <c r="B6095" t="s">
        <v>136</v>
      </c>
    </row>
    <row r="6096" spans="1:2" outlineLevel="1" x14ac:dyDescent="0.3">
      <c r="B6096" t="s">
        <v>139</v>
      </c>
    </row>
    <row r="6097" spans="1:2" outlineLevel="1" x14ac:dyDescent="0.3">
      <c r="B6097" t="s">
        <v>142</v>
      </c>
    </row>
    <row r="6098" spans="1:2" outlineLevel="1" x14ac:dyDescent="0.3">
      <c r="B6098" t="s">
        <v>145</v>
      </c>
    </row>
    <row r="6099" spans="1:2" outlineLevel="1" x14ac:dyDescent="0.3">
      <c r="B6099" t="s">
        <v>148</v>
      </c>
    </row>
    <row r="6100" spans="1:2" outlineLevel="1" x14ac:dyDescent="0.3">
      <c r="B6100" t="s">
        <v>151</v>
      </c>
    </row>
    <row r="6101" spans="1:2" outlineLevel="1" x14ac:dyDescent="0.3">
      <c r="B6101" t="s">
        <v>154</v>
      </c>
    </row>
    <row r="6102" spans="1:2" outlineLevel="1" x14ac:dyDescent="0.3">
      <c r="B6102" t="s">
        <v>157</v>
      </c>
    </row>
    <row r="6103" spans="1:2" outlineLevel="1" x14ac:dyDescent="0.3">
      <c r="B6103" t="s">
        <v>160</v>
      </c>
    </row>
    <row r="6104" spans="1:2" outlineLevel="1" x14ac:dyDescent="0.3">
      <c r="B6104" t="s">
        <v>163</v>
      </c>
    </row>
    <row r="6105" spans="1:2" outlineLevel="1" x14ac:dyDescent="0.3">
      <c r="B6105" t="s">
        <v>166</v>
      </c>
    </row>
    <row r="6106" spans="1:2" outlineLevel="1" x14ac:dyDescent="0.3">
      <c r="B6106" t="s">
        <v>169</v>
      </c>
    </row>
    <row r="6107" spans="1:2" outlineLevel="1" x14ac:dyDescent="0.3">
      <c r="B6107" t="s">
        <v>172</v>
      </c>
    </row>
    <row r="6108" spans="1:2" outlineLevel="1" x14ac:dyDescent="0.3">
      <c r="B6108" t="s">
        <v>175</v>
      </c>
    </row>
    <row r="6109" spans="1:2" outlineLevel="1" x14ac:dyDescent="0.3">
      <c r="B6109" t="s">
        <v>178</v>
      </c>
    </row>
    <row r="6110" spans="1:2" x14ac:dyDescent="0.3">
      <c r="A6110" t="s">
        <v>181</v>
      </c>
    </row>
    <row r="6111" spans="1:2" outlineLevel="1" x14ac:dyDescent="0.3">
      <c r="B6111" t="s">
        <v>184</v>
      </c>
    </row>
    <row r="6112" spans="1:2" outlineLevel="1" x14ac:dyDescent="0.3">
      <c r="B6112" t="s">
        <v>187</v>
      </c>
    </row>
    <row r="6113" spans="2:2" outlineLevel="1" x14ac:dyDescent="0.3">
      <c r="B6113" t="s">
        <v>190</v>
      </c>
    </row>
    <row r="6114" spans="2:2" outlineLevel="1" x14ac:dyDescent="0.3">
      <c r="B6114" t="s">
        <v>193</v>
      </c>
    </row>
    <row r="6115" spans="2:2" outlineLevel="1" x14ac:dyDescent="0.3">
      <c r="B6115" t="s">
        <v>196</v>
      </c>
    </row>
    <row r="6116" spans="2:2" outlineLevel="1" x14ac:dyDescent="0.3">
      <c r="B6116" t="s">
        <v>199</v>
      </c>
    </row>
    <row r="6117" spans="2:2" outlineLevel="1" x14ac:dyDescent="0.3">
      <c r="B6117" t="s">
        <v>202</v>
      </c>
    </row>
    <row r="6118" spans="2:2" outlineLevel="1" x14ac:dyDescent="0.3">
      <c r="B6118" t="s">
        <v>205</v>
      </c>
    </row>
    <row r="6119" spans="2:2" outlineLevel="1" x14ac:dyDescent="0.3">
      <c r="B6119" t="s">
        <v>208</v>
      </c>
    </row>
    <row r="6120" spans="2:2" outlineLevel="1" x14ac:dyDescent="0.3">
      <c r="B6120" t="s">
        <v>211</v>
      </c>
    </row>
    <row r="6121" spans="2:2" outlineLevel="1" x14ac:dyDescent="0.3">
      <c r="B6121" t="s">
        <v>214</v>
      </c>
    </row>
    <row r="6122" spans="2:2" outlineLevel="1" x14ac:dyDescent="0.3">
      <c r="B6122" t="s">
        <v>217</v>
      </c>
    </row>
    <row r="6123" spans="2:2" outlineLevel="1" x14ac:dyDescent="0.3">
      <c r="B6123" t="s">
        <v>220</v>
      </c>
    </row>
    <row r="6124" spans="2:2" outlineLevel="1" x14ac:dyDescent="0.3">
      <c r="B6124" t="s">
        <v>223</v>
      </c>
    </row>
    <row r="6125" spans="2:2" outlineLevel="1" x14ac:dyDescent="0.3">
      <c r="B6125" t="s">
        <v>226</v>
      </c>
    </row>
    <row r="6126" spans="2:2" outlineLevel="1" x14ac:dyDescent="0.3">
      <c r="B6126" t="s">
        <v>229</v>
      </c>
    </row>
    <row r="6127" spans="2:2" outlineLevel="1" x14ac:dyDescent="0.3">
      <c r="B6127" t="s">
        <v>232</v>
      </c>
    </row>
    <row r="6128" spans="2:2" outlineLevel="1" x14ac:dyDescent="0.3">
      <c r="B6128" t="s">
        <v>235</v>
      </c>
    </row>
    <row r="6129" spans="1:2" x14ac:dyDescent="0.3">
      <c r="A6129" t="s">
        <v>238</v>
      </c>
    </row>
    <row r="6130" spans="1:2" outlineLevel="1" x14ac:dyDescent="0.3">
      <c r="B6130" t="s">
        <v>241</v>
      </c>
    </row>
    <row r="6131" spans="1:2" outlineLevel="1" x14ac:dyDescent="0.3">
      <c r="B6131" t="s">
        <v>244</v>
      </c>
    </row>
    <row r="6132" spans="1:2" outlineLevel="1" x14ac:dyDescent="0.3">
      <c r="B6132" t="s">
        <v>247</v>
      </c>
    </row>
    <row r="6133" spans="1:2" outlineLevel="1" x14ac:dyDescent="0.3">
      <c r="B6133" t="s">
        <v>250</v>
      </c>
    </row>
    <row r="6134" spans="1:2" outlineLevel="1" x14ac:dyDescent="0.3">
      <c r="B6134" t="s">
        <v>253</v>
      </c>
    </row>
    <row r="6135" spans="1:2" outlineLevel="1" x14ac:dyDescent="0.3">
      <c r="B6135" t="s">
        <v>256</v>
      </c>
    </row>
    <row r="6136" spans="1:2" outlineLevel="1" x14ac:dyDescent="0.3">
      <c r="B6136" t="s">
        <v>259</v>
      </c>
    </row>
    <row r="6137" spans="1:2" outlineLevel="1" x14ac:dyDescent="0.3">
      <c r="B6137" t="s">
        <v>262</v>
      </c>
    </row>
    <row r="6138" spans="1:2" outlineLevel="1" x14ac:dyDescent="0.3">
      <c r="B6138" t="s">
        <v>265</v>
      </c>
    </row>
    <row r="6139" spans="1:2" outlineLevel="1" x14ac:dyDescent="0.3">
      <c r="B6139" t="s">
        <v>268</v>
      </c>
    </row>
    <row r="6140" spans="1:2" outlineLevel="1" x14ac:dyDescent="0.3">
      <c r="B6140" t="s">
        <v>271</v>
      </c>
    </row>
    <row r="6141" spans="1:2" outlineLevel="1" x14ac:dyDescent="0.3">
      <c r="B6141" t="s">
        <v>274</v>
      </c>
    </row>
    <row r="6142" spans="1:2" outlineLevel="1" x14ac:dyDescent="0.3">
      <c r="B6142" t="s">
        <v>277</v>
      </c>
    </row>
    <row r="6143" spans="1:2" outlineLevel="1" x14ac:dyDescent="0.3">
      <c r="B6143" t="s">
        <v>280</v>
      </c>
    </row>
    <row r="6144" spans="1:2" outlineLevel="1" x14ac:dyDescent="0.3">
      <c r="B6144" t="s">
        <v>283</v>
      </c>
    </row>
    <row r="6145" spans="1:3" outlineLevel="1" x14ac:dyDescent="0.3">
      <c r="B6145" t="s">
        <v>286</v>
      </c>
    </row>
    <row r="6146" spans="1:3" outlineLevel="1" x14ac:dyDescent="0.3">
      <c r="B6146" t="s">
        <v>289</v>
      </c>
    </row>
    <row r="6147" spans="1:3" x14ac:dyDescent="0.3">
      <c r="A6147" t="s">
        <v>292</v>
      </c>
    </row>
    <row r="6148" spans="1:3" outlineLevel="1" x14ac:dyDescent="0.3">
      <c r="B6148" t="s">
        <v>295</v>
      </c>
    </row>
    <row r="6149" spans="1:3" hidden="1" outlineLevel="2" x14ac:dyDescent="0.3">
      <c r="C6149" t="s">
        <v>298</v>
      </c>
    </row>
    <row r="6150" spans="1:3" hidden="1" outlineLevel="2" x14ac:dyDescent="0.3">
      <c r="C6150" t="s">
        <v>301</v>
      </c>
    </row>
    <row r="6151" spans="1:3" hidden="1" outlineLevel="2" x14ac:dyDescent="0.3">
      <c r="C6151" t="s">
        <v>304</v>
      </c>
    </row>
    <row r="6152" spans="1:3" hidden="1" outlineLevel="2" x14ac:dyDescent="0.3">
      <c r="C6152" t="s">
        <v>307</v>
      </c>
    </row>
    <row r="6153" spans="1:3" hidden="1" outlineLevel="2" x14ac:dyDescent="0.3">
      <c r="C6153" t="s">
        <v>310</v>
      </c>
    </row>
    <row r="6154" spans="1:3" hidden="1" outlineLevel="2" x14ac:dyDescent="0.3">
      <c r="C6154" t="s">
        <v>313</v>
      </c>
    </row>
    <row r="6155" spans="1:3" hidden="1" outlineLevel="2" x14ac:dyDescent="0.3">
      <c r="C6155" t="s">
        <v>316</v>
      </c>
    </row>
    <row r="6156" spans="1:3" outlineLevel="1" collapsed="1" x14ac:dyDescent="0.3">
      <c r="B6156" t="s">
        <v>319</v>
      </c>
    </row>
    <row r="6157" spans="1:3" outlineLevel="1" x14ac:dyDescent="0.3">
      <c r="B6157" t="s">
        <v>322</v>
      </c>
    </row>
    <row r="6158" spans="1:3" outlineLevel="1" x14ac:dyDescent="0.3">
      <c r="B6158" t="s">
        <v>325</v>
      </c>
    </row>
    <row r="6159" spans="1:3" outlineLevel="1" x14ac:dyDescent="0.3">
      <c r="B6159" t="s">
        <v>328</v>
      </c>
    </row>
    <row r="6160" spans="1:3" outlineLevel="1" x14ac:dyDescent="0.3">
      <c r="B6160" t="s">
        <v>331</v>
      </c>
    </row>
    <row r="6161" spans="1:3" outlineLevel="1" x14ac:dyDescent="0.3">
      <c r="B6161" t="s">
        <v>334</v>
      </c>
    </row>
    <row r="6162" spans="1:3" outlineLevel="1" x14ac:dyDescent="0.3">
      <c r="B6162" t="s">
        <v>337</v>
      </c>
    </row>
    <row r="6163" spans="1:3" outlineLevel="1" x14ac:dyDescent="0.3">
      <c r="B6163" t="s">
        <v>340</v>
      </c>
    </row>
    <row r="6164" spans="1:3" outlineLevel="1" x14ac:dyDescent="0.3">
      <c r="B6164" t="s">
        <v>343</v>
      </c>
    </row>
    <row r="6165" spans="1:3" outlineLevel="1" x14ac:dyDescent="0.3">
      <c r="B6165" t="s">
        <v>346</v>
      </c>
    </row>
    <row r="6166" spans="1:3" outlineLevel="1" x14ac:dyDescent="0.3">
      <c r="B6166" t="s">
        <v>349</v>
      </c>
    </row>
    <row r="6167" spans="1:3" x14ac:dyDescent="0.3">
      <c r="A6167" t="s">
        <v>352</v>
      </c>
    </row>
    <row r="6168" spans="1:3" outlineLevel="1" x14ac:dyDescent="0.3">
      <c r="B6168" t="s">
        <v>355</v>
      </c>
    </row>
    <row r="6169" spans="1:3" hidden="1" outlineLevel="2" x14ac:dyDescent="0.3">
      <c r="C6169" t="s">
        <v>358</v>
      </c>
    </row>
    <row r="6170" spans="1:3" hidden="1" outlineLevel="2" x14ac:dyDescent="0.3">
      <c r="C6170" t="s">
        <v>361</v>
      </c>
    </row>
    <row r="6171" spans="1:3" outlineLevel="1" collapsed="1" x14ac:dyDescent="0.3">
      <c r="B6171" t="s">
        <v>364</v>
      </c>
    </row>
    <row r="6172" spans="1:3" outlineLevel="1" x14ac:dyDescent="0.3">
      <c r="B6172" t="s">
        <v>367</v>
      </c>
    </row>
    <row r="6173" spans="1:3" outlineLevel="1" x14ac:dyDescent="0.3">
      <c r="B6173" t="s">
        <v>370</v>
      </c>
    </row>
    <row r="6174" spans="1:3" outlineLevel="1" x14ac:dyDescent="0.3">
      <c r="B6174" t="s">
        <v>373</v>
      </c>
    </row>
    <row r="6175" spans="1:3" outlineLevel="1" x14ac:dyDescent="0.3">
      <c r="B6175" t="s">
        <v>376</v>
      </c>
    </row>
    <row r="6176" spans="1:3" outlineLevel="1" x14ac:dyDescent="0.3">
      <c r="B6176" t="s">
        <v>378</v>
      </c>
    </row>
    <row r="6177" spans="1:3" outlineLevel="1" x14ac:dyDescent="0.3">
      <c r="B6177" t="s">
        <v>380</v>
      </c>
    </row>
    <row r="6178" spans="1:3" outlineLevel="1" x14ac:dyDescent="0.3">
      <c r="B6178" t="s">
        <v>523</v>
      </c>
    </row>
    <row r="6179" spans="1:3" outlineLevel="1" x14ac:dyDescent="0.3">
      <c r="B6179" t="s">
        <v>385</v>
      </c>
    </row>
    <row r="6180" spans="1:3" outlineLevel="1" x14ac:dyDescent="0.3">
      <c r="B6180" t="s">
        <v>387</v>
      </c>
    </row>
    <row r="6181" spans="1:3" outlineLevel="1" x14ac:dyDescent="0.3">
      <c r="B6181" t="s">
        <v>389</v>
      </c>
    </row>
    <row r="6182" spans="1:3" outlineLevel="1" x14ac:dyDescent="0.3">
      <c r="B6182" t="s">
        <v>391</v>
      </c>
    </row>
    <row r="6183" spans="1:3" outlineLevel="1" x14ac:dyDescent="0.3">
      <c r="B6183" t="s">
        <v>393</v>
      </c>
    </row>
    <row r="6184" spans="1:3" x14ac:dyDescent="0.3">
      <c r="A6184" t="s">
        <v>395</v>
      </c>
    </row>
    <row r="6190" spans="1:3" x14ac:dyDescent="0.3">
      <c r="A6190" t="s">
        <v>68</v>
      </c>
    </row>
    <row r="6191" spans="1:3" outlineLevel="1" x14ac:dyDescent="0.3">
      <c r="B6191" t="s">
        <v>71</v>
      </c>
    </row>
    <row r="6192" spans="1:3" hidden="1" outlineLevel="2" x14ac:dyDescent="0.3">
      <c r="C6192" t="s">
        <v>2450</v>
      </c>
    </row>
    <row r="6193" spans="2:3" hidden="1" outlineLevel="2" x14ac:dyDescent="0.3">
      <c r="C6193" t="s">
        <v>2451</v>
      </c>
    </row>
    <row r="6194" spans="2:3" outlineLevel="1" collapsed="1" x14ac:dyDescent="0.3">
      <c r="B6194" t="s">
        <v>86</v>
      </c>
    </row>
    <row r="6195" spans="2:3" hidden="1" outlineLevel="2" x14ac:dyDescent="0.3">
      <c r="C6195" t="s">
        <v>2452</v>
      </c>
    </row>
    <row r="6196" spans="2:3" hidden="1" outlineLevel="2" x14ac:dyDescent="0.3">
      <c r="C6196" t="s">
        <v>2453</v>
      </c>
    </row>
    <row r="6197" spans="2:3" hidden="1" outlineLevel="2" x14ac:dyDescent="0.3">
      <c r="C6197" t="s">
        <v>2454</v>
      </c>
    </row>
    <row r="6198" spans="2:3" hidden="1" outlineLevel="2" x14ac:dyDescent="0.3">
      <c r="C6198" t="s">
        <v>2455</v>
      </c>
    </row>
    <row r="6199" spans="2:3" outlineLevel="1" collapsed="1" x14ac:dyDescent="0.3">
      <c r="B6199" t="s">
        <v>104</v>
      </c>
    </row>
    <row r="6200" spans="2:3" outlineLevel="1" x14ac:dyDescent="0.3">
      <c r="B6200" t="s">
        <v>107</v>
      </c>
    </row>
    <row r="6201" spans="2:3" outlineLevel="1" x14ac:dyDescent="0.3">
      <c r="B6201" t="s">
        <v>110</v>
      </c>
    </row>
    <row r="6202" spans="2:3" hidden="1" outlineLevel="2" x14ac:dyDescent="0.3">
      <c r="C6202" t="s">
        <v>2456</v>
      </c>
    </row>
    <row r="6203" spans="2:3" hidden="1" outlineLevel="2" x14ac:dyDescent="0.3">
      <c r="C6203" t="s">
        <v>2457</v>
      </c>
    </row>
    <row r="6204" spans="2:3" hidden="1" outlineLevel="2" x14ac:dyDescent="0.3">
      <c r="C6204" t="s">
        <v>2458</v>
      </c>
    </row>
    <row r="6205" spans="2:3" hidden="1" outlineLevel="2" x14ac:dyDescent="0.3">
      <c r="C6205" t="s">
        <v>2459</v>
      </c>
    </row>
    <row r="6206" spans="2:3" hidden="1" outlineLevel="2" x14ac:dyDescent="0.3">
      <c r="C6206" t="s">
        <v>2460</v>
      </c>
    </row>
    <row r="6207" spans="2:3" hidden="1" outlineLevel="2" x14ac:dyDescent="0.3">
      <c r="C6207" t="s">
        <v>2461</v>
      </c>
    </row>
    <row r="6208" spans="2:3" hidden="1" outlineLevel="2" x14ac:dyDescent="0.3">
      <c r="C6208" t="s">
        <v>2462</v>
      </c>
    </row>
    <row r="6209" spans="3:3" hidden="1" outlineLevel="2" x14ac:dyDescent="0.3">
      <c r="C6209" t="s">
        <v>2463</v>
      </c>
    </row>
    <row r="6210" spans="3:3" hidden="1" outlineLevel="2" x14ac:dyDescent="0.3">
      <c r="C6210" t="s">
        <v>2464</v>
      </c>
    </row>
    <row r="6211" spans="3:3" hidden="1" outlineLevel="2" x14ac:dyDescent="0.3">
      <c r="C6211" t="s">
        <v>4166</v>
      </c>
    </row>
    <row r="6212" spans="3:3" hidden="1" outlineLevel="2" x14ac:dyDescent="0.3">
      <c r="C6212" t="s">
        <v>4167</v>
      </c>
    </row>
    <row r="6213" spans="3:3" hidden="1" outlineLevel="2" x14ac:dyDescent="0.3">
      <c r="C6213" t="s">
        <v>2466</v>
      </c>
    </row>
    <row r="6214" spans="3:3" hidden="1" outlineLevel="2" x14ac:dyDescent="0.3">
      <c r="C6214" t="s">
        <v>4168</v>
      </c>
    </row>
    <row r="6215" spans="3:3" hidden="1" outlineLevel="2" x14ac:dyDescent="0.3">
      <c r="C6215" t="s">
        <v>4169</v>
      </c>
    </row>
    <row r="6216" spans="3:3" hidden="1" outlineLevel="2" x14ac:dyDescent="0.3">
      <c r="C6216" t="s">
        <v>4170</v>
      </c>
    </row>
    <row r="6217" spans="3:3" hidden="1" outlineLevel="2" x14ac:dyDescent="0.3">
      <c r="C6217" t="s">
        <v>2467</v>
      </c>
    </row>
    <row r="6218" spans="3:3" hidden="1" outlineLevel="2" x14ac:dyDescent="0.3">
      <c r="C6218" t="s">
        <v>2468</v>
      </c>
    </row>
    <row r="6219" spans="3:3" hidden="1" outlineLevel="2" x14ac:dyDescent="0.3">
      <c r="C6219" t="s">
        <v>2469</v>
      </c>
    </row>
    <row r="6220" spans="3:3" hidden="1" outlineLevel="2" x14ac:dyDescent="0.3">
      <c r="C6220" t="s">
        <v>2470</v>
      </c>
    </row>
    <row r="6221" spans="3:3" hidden="1" outlineLevel="2" x14ac:dyDescent="0.3">
      <c r="C6221" t="s">
        <v>2471</v>
      </c>
    </row>
    <row r="6222" spans="3:3" hidden="1" outlineLevel="2" x14ac:dyDescent="0.3">
      <c r="C6222" t="s">
        <v>2472</v>
      </c>
    </row>
    <row r="6223" spans="3:3" hidden="1" outlineLevel="2" x14ac:dyDescent="0.3">
      <c r="C6223" t="s">
        <v>2473</v>
      </c>
    </row>
    <row r="6224" spans="3:3" hidden="1" outlineLevel="2" x14ac:dyDescent="0.3">
      <c r="C6224" t="s">
        <v>2474</v>
      </c>
    </row>
    <row r="6225" spans="3:3" hidden="1" outlineLevel="2" x14ac:dyDescent="0.3">
      <c r="C6225" t="s">
        <v>2475</v>
      </c>
    </row>
    <row r="6226" spans="3:3" hidden="1" outlineLevel="2" x14ac:dyDescent="0.3">
      <c r="C6226" t="s">
        <v>2476</v>
      </c>
    </row>
    <row r="6227" spans="3:3" hidden="1" outlineLevel="2" x14ac:dyDescent="0.3">
      <c r="C6227" t="s">
        <v>2477</v>
      </c>
    </row>
    <row r="6228" spans="3:3" hidden="1" outlineLevel="2" x14ac:dyDescent="0.3">
      <c r="C6228" t="s">
        <v>2478</v>
      </c>
    </row>
    <row r="6229" spans="3:3" hidden="1" outlineLevel="2" x14ac:dyDescent="0.3">
      <c r="C6229" t="s">
        <v>2479</v>
      </c>
    </row>
    <row r="6230" spans="3:3" hidden="1" outlineLevel="2" x14ac:dyDescent="0.3">
      <c r="C6230" t="s">
        <v>2480</v>
      </c>
    </row>
    <row r="6231" spans="3:3" hidden="1" outlineLevel="2" x14ac:dyDescent="0.3">
      <c r="C6231" t="s">
        <v>2481</v>
      </c>
    </row>
    <row r="6232" spans="3:3" hidden="1" outlineLevel="2" x14ac:dyDescent="0.3">
      <c r="C6232" t="s">
        <v>2482</v>
      </c>
    </row>
    <row r="6233" spans="3:3" hidden="1" outlineLevel="2" x14ac:dyDescent="0.3">
      <c r="C6233" t="s">
        <v>4171</v>
      </c>
    </row>
    <row r="6234" spans="3:3" hidden="1" outlineLevel="2" x14ac:dyDescent="0.3">
      <c r="C6234" t="s">
        <v>2483</v>
      </c>
    </row>
    <row r="6235" spans="3:3" hidden="1" outlineLevel="2" x14ac:dyDescent="0.3">
      <c r="C6235" t="s">
        <v>2485</v>
      </c>
    </row>
    <row r="6236" spans="3:3" hidden="1" outlineLevel="2" x14ac:dyDescent="0.3">
      <c r="C6236" t="s">
        <v>2486</v>
      </c>
    </row>
    <row r="6237" spans="3:3" hidden="1" outlineLevel="2" x14ac:dyDescent="0.3">
      <c r="C6237" t="s">
        <v>2487</v>
      </c>
    </row>
    <row r="6238" spans="3:3" hidden="1" outlineLevel="2" x14ac:dyDescent="0.3">
      <c r="C6238" t="s">
        <v>2488</v>
      </c>
    </row>
    <row r="6239" spans="3:3" hidden="1" outlineLevel="2" x14ac:dyDescent="0.3">
      <c r="C6239" t="s">
        <v>2489</v>
      </c>
    </row>
    <row r="6240" spans="3:3" hidden="1" outlineLevel="2" x14ac:dyDescent="0.3">
      <c r="C6240" t="s">
        <v>2490</v>
      </c>
    </row>
    <row r="6241" spans="2:3" hidden="1" outlineLevel="2" x14ac:dyDescent="0.3">
      <c r="C6241" t="s">
        <v>2491</v>
      </c>
    </row>
    <row r="6242" spans="2:3" hidden="1" outlineLevel="2" x14ac:dyDescent="0.3">
      <c r="C6242" t="s">
        <v>2492</v>
      </c>
    </row>
    <row r="6243" spans="2:3" outlineLevel="1" collapsed="1" x14ac:dyDescent="0.3">
      <c r="B6243" t="s">
        <v>221</v>
      </c>
    </row>
    <row r="6244" spans="2:3" hidden="1" outlineLevel="2" x14ac:dyDescent="0.3">
      <c r="C6244" t="s">
        <v>2493</v>
      </c>
    </row>
    <row r="6245" spans="2:3" hidden="1" outlineLevel="2" x14ac:dyDescent="0.3">
      <c r="C6245" t="s">
        <v>2494</v>
      </c>
    </row>
    <row r="6246" spans="2:3" hidden="1" outlineLevel="2" x14ac:dyDescent="0.3">
      <c r="C6246" t="s">
        <v>2495</v>
      </c>
    </row>
    <row r="6247" spans="2:3" hidden="1" outlineLevel="2" x14ac:dyDescent="0.3">
      <c r="C6247" t="s">
        <v>2496</v>
      </c>
    </row>
    <row r="6248" spans="2:3" hidden="1" outlineLevel="2" x14ac:dyDescent="0.3">
      <c r="C6248" t="s">
        <v>2497</v>
      </c>
    </row>
    <row r="6249" spans="2:3" hidden="1" outlineLevel="2" x14ac:dyDescent="0.3">
      <c r="C6249" t="s">
        <v>2498</v>
      </c>
    </row>
    <row r="6250" spans="2:3" hidden="1" outlineLevel="2" x14ac:dyDescent="0.3">
      <c r="C6250" t="s">
        <v>2499</v>
      </c>
    </row>
    <row r="6251" spans="2:3" hidden="1" outlineLevel="2" x14ac:dyDescent="0.3">
      <c r="C6251" t="s">
        <v>2500</v>
      </c>
    </row>
    <row r="6252" spans="2:3" hidden="1" outlineLevel="2" x14ac:dyDescent="0.3">
      <c r="C6252" t="s">
        <v>2501</v>
      </c>
    </row>
    <row r="6253" spans="2:3" hidden="1" outlineLevel="2" x14ac:dyDescent="0.3">
      <c r="C6253" t="s">
        <v>4172</v>
      </c>
    </row>
    <row r="6254" spans="2:3" hidden="1" outlineLevel="2" x14ac:dyDescent="0.3">
      <c r="C6254" t="s">
        <v>4173</v>
      </c>
    </row>
    <row r="6255" spans="2:3" hidden="1" outlineLevel="2" x14ac:dyDescent="0.3">
      <c r="C6255" t="s">
        <v>2503</v>
      </c>
    </row>
    <row r="6256" spans="2:3" hidden="1" outlineLevel="2" x14ac:dyDescent="0.3">
      <c r="C6256" t="s">
        <v>4174</v>
      </c>
    </row>
    <row r="6257" spans="3:3" hidden="1" outlineLevel="2" x14ac:dyDescent="0.3">
      <c r="C6257" t="s">
        <v>4175</v>
      </c>
    </row>
    <row r="6258" spans="3:3" hidden="1" outlineLevel="2" x14ac:dyDescent="0.3">
      <c r="C6258" t="s">
        <v>4176</v>
      </c>
    </row>
    <row r="6259" spans="3:3" hidden="1" outlineLevel="2" x14ac:dyDescent="0.3">
      <c r="C6259" t="s">
        <v>4177</v>
      </c>
    </row>
    <row r="6260" spans="3:3" hidden="1" outlineLevel="2" x14ac:dyDescent="0.3">
      <c r="C6260" t="s">
        <v>2504</v>
      </c>
    </row>
    <row r="6261" spans="3:3" hidden="1" outlineLevel="2" x14ac:dyDescent="0.3">
      <c r="C6261" t="s">
        <v>2505</v>
      </c>
    </row>
    <row r="6262" spans="3:3" hidden="1" outlineLevel="2" x14ac:dyDescent="0.3">
      <c r="C6262" t="s">
        <v>2506</v>
      </c>
    </row>
    <row r="6263" spans="3:3" hidden="1" outlineLevel="2" x14ac:dyDescent="0.3">
      <c r="C6263" t="s">
        <v>4178</v>
      </c>
    </row>
    <row r="6264" spans="3:3" hidden="1" outlineLevel="2" x14ac:dyDescent="0.3">
      <c r="C6264" t="s">
        <v>2507</v>
      </c>
    </row>
    <row r="6265" spans="3:3" hidden="1" outlineLevel="2" x14ac:dyDescent="0.3">
      <c r="C6265" t="s">
        <v>2508</v>
      </c>
    </row>
    <row r="6266" spans="3:3" hidden="1" outlineLevel="2" x14ac:dyDescent="0.3">
      <c r="C6266" t="s">
        <v>2509</v>
      </c>
    </row>
    <row r="6267" spans="3:3" hidden="1" outlineLevel="2" x14ac:dyDescent="0.3">
      <c r="C6267" t="s">
        <v>2510</v>
      </c>
    </row>
    <row r="6268" spans="3:3" hidden="1" outlineLevel="2" x14ac:dyDescent="0.3">
      <c r="C6268" t="s">
        <v>2511</v>
      </c>
    </row>
    <row r="6269" spans="3:3" hidden="1" outlineLevel="2" x14ac:dyDescent="0.3">
      <c r="C6269" t="s">
        <v>2512</v>
      </c>
    </row>
    <row r="6270" spans="3:3" hidden="1" outlineLevel="2" x14ac:dyDescent="0.3">
      <c r="C6270" t="s">
        <v>2513</v>
      </c>
    </row>
    <row r="6271" spans="3:3" hidden="1" outlineLevel="2" x14ac:dyDescent="0.3">
      <c r="C6271" t="s">
        <v>2514</v>
      </c>
    </row>
    <row r="6272" spans="3:3" hidden="1" outlineLevel="2" x14ac:dyDescent="0.3">
      <c r="C6272" t="s">
        <v>4179</v>
      </c>
    </row>
    <row r="6273" spans="2:3" hidden="1" outlineLevel="2" x14ac:dyDescent="0.3">
      <c r="C6273" t="s">
        <v>2515</v>
      </c>
    </row>
    <row r="6274" spans="2:3" hidden="1" outlineLevel="2" x14ac:dyDescent="0.3">
      <c r="C6274" t="s">
        <v>2517</v>
      </c>
    </row>
    <row r="6275" spans="2:3" hidden="1" outlineLevel="2" x14ac:dyDescent="0.3">
      <c r="C6275" t="s">
        <v>2518</v>
      </c>
    </row>
    <row r="6276" spans="2:3" hidden="1" outlineLevel="2" x14ac:dyDescent="0.3">
      <c r="C6276" t="s">
        <v>2519</v>
      </c>
    </row>
    <row r="6277" spans="2:3" hidden="1" outlineLevel="2" x14ac:dyDescent="0.3">
      <c r="C6277" t="s">
        <v>2520</v>
      </c>
    </row>
    <row r="6278" spans="2:3" hidden="1" outlineLevel="2" x14ac:dyDescent="0.3">
      <c r="C6278" t="s">
        <v>2521</v>
      </c>
    </row>
    <row r="6279" spans="2:3" hidden="1" outlineLevel="2" x14ac:dyDescent="0.3">
      <c r="C6279" t="s">
        <v>2522</v>
      </c>
    </row>
    <row r="6280" spans="2:3" hidden="1" outlineLevel="2" x14ac:dyDescent="0.3">
      <c r="C6280" t="s">
        <v>2523</v>
      </c>
    </row>
    <row r="6281" spans="2:3" hidden="1" outlineLevel="2" x14ac:dyDescent="0.3">
      <c r="C6281" t="s">
        <v>2524</v>
      </c>
    </row>
    <row r="6282" spans="2:3" outlineLevel="1" collapsed="1" x14ac:dyDescent="0.3">
      <c r="B6282" t="s">
        <v>311</v>
      </c>
    </row>
    <row r="6283" spans="2:3" hidden="1" outlineLevel="2" x14ac:dyDescent="0.3">
      <c r="C6283" t="s">
        <v>314</v>
      </c>
    </row>
    <row r="6284" spans="2:3" hidden="1" outlineLevel="2" x14ac:dyDescent="0.3">
      <c r="C6284" t="s">
        <v>317</v>
      </c>
    </row>
    <row r="6285" spans="2:3" hidden="1" outlineLevel="2" x14ac:dyDescent="0.3">
      <c r="C6285" t="s">
        <v>320</v>
      </c>
    </row>
    <row r="6286" spans="2:3" hidden="1" outlineLevel="2" x14ac:dyDescent="0.3">
      <c r="C6286" t="s">
        <v>323</v>
      </c>
    </row>
    <row r="6287" spans="2:3" outlineLevel="1" collapsed="1" x14ac:dyDescent="0.3">
      <c r="B6287" t="s">
        <v>326</v>
      </c>
    </row>
    <row r="6288" spans="2:3" outlineLevel="1" x14ac:dyDescent="0.3">
      <c r="B6288" t="s">
        <v>329</v>
      </c>
    </row>
    <row r="6289" spans="1:3" outlineLevel="1" x14ac:dyDescent="0.3">
      <c r="B6289" t="s">
        <v>332</v>
      </c>
    </row>
    <row r="6290" spans="1:3" outlineLevel="1" x14ac:dyDescent="0.3">
      <c r="B6290" t="s">
        <v>335</v>
      </c>
    </row>
    <row r="6291" spans="1:3" outlineLevel="1" x14ac:dyDescent="0.3">
      <c r="B6291" t="s">
        <v>338</v>
      </c>
    </row>
    <row r="6292" spans="1:3" outlineLevel="1" x14ac:dyDescent="0.3">
      <c r="B6292" t="s">
        <v>341</v>
      </c>
    </row>
    <row r="6293" spans="1:3" outlineLevel="1" x14ac:dyDescent="0.3">
      <c r="B6293" t="s">
        <v>344</v>
      </c>
    </row>
    <row r="6294" spans="1:3" outlineLevel="1" x14ac:dyDescent="0.3">
      <c r="B6294" t="s">
        <v>347</v>
      </c>
    </row>
    <row r="6295" spans="1:3" x14ac:dyDescent="0.3">
      <c r="A6295" t="s">
        <v>350</v>
      </c>
    </row>
    <row r="6296" spans="1:3" outlineLevel="1" x14ac:dyDescent="0.3">
      <c r="B6296" t="s">
        <v>353</v>
      </c>
    </row>
    <row r="6297" spans="1:3" hidden="1" outlineLevel="2" x14ac:dyDescent="0.3">
      <c r="C6297" t="s">
        <v>3693</v>
      </c>
    </row>
    <row r="6298" spans="1:3" hidden="1" outlineLevel="2" x14ac:dyDescent="0.3">
      <c r="C6298" t="s">
        <v>2525</v>
      </c>
    </row>
    <row r="6299" spans="1:3" hidden="1" outlineLevel="2" x14ac:dyDescent="0.3">
      <c r="C6299" t="s">
        <v>2526</v>
      </c>
    </row>
    <row r="6300" spans="1:3" hidden="1" outlineLevel="2" x14ac:dyDescent="0.3">
      <c r="C6300" t="s">
        <v>2527</v>
      </c>
    </row>
    <row r="6301" spans="1:3" hidden="1" outlineLevel="2" x14ac:dyDescent="0.3">
      <c r="C6301" t="s">
        <v>2528</v>
      </c>
    </row>
    <row r="6302" spans="1:3" hidden="1" outlineLevel="2" x14ac:dyDescent="0.3">
      <c r="C6302" t="s">
        <v>2529</v>
      </c>
    </row>
    <row r="6303" spans="1:3" hidden="1" outlineLevel="2" x14ac:dyDescent="0.3">
      <c r="C6303" t="s">
        <v>2530</v>
      </c>
    </row>
    <row r="6304" spans="1:3" hidden="1" outlineLevel="2" x14ac:dyDescent="0.3">
      <c r="C6304" t="s">
        <v>2531</v>
      </c>
    </row>
    <row r="6305" spans="3:3" hidden="1" outlineLevel="2" x14ac:dyDescent="0.3">
      <c r="C6305" t="s">
        <v>4180</v>
      </c>
    </row>
    <row r="6306" spans="3:3" hidden="1" outlineLevel="2" x14ac:dyDescent="0.3">
      <c r="C6306" t="s">
        <v>2532</v>
      </c>
    </row>
    <row r="6307" spans="3:3" hidden="1" outlineLevel="2" x14ac:dyDescent="0.3">
      <c r="C6307" t="s">
        <v>2533</v>
      </c>
    </row>
    <row r="6308" spans="3:3" hidden="1" outlineLevel="2" x14ac:dyDescent="0.3">
      <c r="C6308" t="s">
        <v>4181</v>
      </c>
    </row>
    <row r="6309" spans="3:3" hidden="1" outlineLevel="2" x14ac:dyDescent="0.3">
      <c r="C6309" t="s">
        <v>2534</v>
      </c>
    </row>
    <row r="6310" spans="3:3" hidden="1" outlineLevel="2" x14ac:dyDescent="0.3">
      <c r="C6310" t="s">
        <v>2535</v>
      </c>
    </row>
    <row r="6311" spans="3:3" hidden="1" outlineLevel="2" x14ac:dyDescent="0.3">
      <c r="C6311" t="s">
        <v>2536</v>
      </c>
    </row>
    <row r="6312" spans="3:3" hidden="1" outlineLevel="2" x14ac:dyDescent="0.3">
      <c r="C6312" t="s">
        <v>2537</v>
      </c>
    </row>
    <row r="6313" spans="3:3" hidden="1" outlineLevel="2" x14ac:dyDescent="0.3">
      <c r="C6313" t="s">
        <v>2538</v>
      </c>
    </row>
    <row r="6314" spans="3:3" hidden="1" outlineLevel="2" x14ac:dyDescent="0.3">
      <c r="C6314" t="s">
        <v>2539</v>
      </c>
    </row>
    <row r="6315" spans="3:3" hidden="1" outlineLevel="2" x14ac:dyDescent="0.3">
      <c r="C6315" t="s">
        <v>4182</v>
      </c>
    </row>
    <row r="6316" spans="3:3" hidden="1" outlineLevel="2" x14ac:dyDescent="0.3">
      <c r="C6316" t="s">
        <v>4183</v>
      </c>
    </row>
    <row r="6317" spans="3:3" hidden="1" outlineLevel="2" x14ac:dyDescent="0.3">
      <c r="C6317" t="s">
        <v>2541</v>
      </c>
    </row>
    <row r="6318" spans="3:3" hidden="1" outlineLevel="2" x14ac:dyDescent="0.3">
      <c r="C6318" t="s">
        <v>2542</v>
      </c>
    </row>
    <row r="6319" spans="3:3" hidden="1" outlineLevel="2" x14ac:dyDescent="0.3">
      <c r="C6319" t="s">
        <v>2543</v>
      </c>
    </row>
    <row r="6320" spans="3:3" hidden="1" outlineLevel="2" x14ac:dyDescent="0.3">
      <c r="C6320" t="s">
        <v>2544</v>
      </c>
    </row>
    <row r="6321" spans="2:3" hidden="1" outlineLevel="2" x14ac:dyDescent="0.3">
      <c r="C6321" t="s">
        <v>2545</v>
      </c>
    </row>
    <row r="6322" spans="2:3" hidden="1" outlineLevel="2" x14ac:dyDescent="0.3">
      <c r="C6322" t="s">
        <v>2546</v>
      </c>
    </row>
    <row r="6323" spans="2:3" hidden="1" outlineLevel="2" x14ac:dyDescent="0.3">
      <c r="C6323" t="s">
        <v>406</v>
      </c>
    </row>
    <row r="6324" spans="2:3" outlineLevel="1" collapsed="1" x14ac:dyDescent="0.3">
      <c r="B6324" t="s">
        <v>407</v>
      </c>
    </row>
    <row r="6325" spans="2:3" hidden="1" outlineLevel="2" x14ac:dyDescent="0.3">
      <c r="C6325" t="s">
        <v>3696</v>
      </c>
    </row>
    <row r="6326" spans="2:3" hidden="1" outlineLevel="2" x14ac:dyDescent="0.3">
      <c r="C6326" t="s">
        <v>2547</v>
      </c>
    </row>
    <row r="6327" spans="2:3" hidden="1" outlineLevel="2" x14ac:dyDescent="0.3">
      <c r="C6327" t="s">
        <v>2548</v>
      </c>
    </row>
    <row r="6328" spans="2:3" hidden="1" outlineLevel="2" x14ac:dyDescent="0.3">
      <c r="C6328" t="s">
        <v>2549</v>
      </c>
    </row>
    <row r="6329" spans="2:3" hidden="1" outlineLevel="2" x14ac:dyDescent="0.3">
      <c r="C6329" t="s">
        <v>2550</v>
      </c>
    </row>
    <row r="6330" spans="2:3" hidden="1" outlineLevel="2" x14ac:dyDescent="0.3">
      <c r="C6330" t="s">
        <v>2551</v>
      </c>
    </row>
    <row r="6331" spans="2:3" hidden="1" outlineLevel="2" x14ac:dyDescent="0.3">
      <c r="C6331" t="s">
        <v>2552</v>
      </c>
    </row>
    <row r="6332" spans="2:3" hidden="1" outlineLevel="2" x14ac:dyDescent="0.3">
      <c r="C6332" t="s">
        <v>2553</v>
      </c>
    </row>
    <row r="6333" spans="2:3" hidden="1" outlineLevel="2" x14ac:dyDescent="0.3">
      <c r="C6333" t="s">
        <v>4184</v>
      </c>
    </row>
    <row r="6334" spans="2:3" hidden="1" outlineLevel="2" x14ac:dyDescent="0.3">
      <c r="C6334" t="s">
        <v>2554</v>
      </c>
    </row>
    <row r="6335" spans="2:3" hidden="1" outlineLevel="2" x14ac:dyDescent="0.3">
      <c r="C6335" t="s">
        <v>2555</v>
      </c>
    </row>
    <row r="6336" spans="2:3" hidden="1" outlineLevel="2" x14ac:dyDescent="0.3">
      <c r="C6336" t="s">
        <v>4185</v>
      </c>
    </row>
    <row r="6337" spans="2:3" hidden="1" outlineLevel="2" x14ac:dyDescent="0.3">
      <c r="C6337" t="s">
        <v>2556</v>
      </c>
    </row>
    <row r="6338" spans="2:3" hidden="1" outlineLevel="2" x14ac:dyDescent="0.3">
      <c r="C6338" t="s">
        <v>2557</v>
      </c>
    </row>
    <row r="6339" spans="2:3" hidden="1" outlineLevel="2" x14ac:dyDescent="0.3">
      <c r="C6339" t="s">
        <v>2558</v>
      </c>
    </row>
    <row r="6340" spans="2:3" hidden="1" outlineLevel="2" x14ac:dyDescent="0.3">
      <c r="C6340" t="s">
        <v>2559</v>
      </c>
    </row>
    <row r="6341" spans="2:3" hidden="1" outlineLevel="2" x14ac:dyDescent="0.3">
      <c r="C6341" t="s">
        <v>2560</v>
      </c>
    </row>
    <row r="6342" spans="2:3" hidden="1" outlineLevel="2" x14ac:dyDescent="0.3">
      <c r="C6342" t="s">
        <v>2561</v>
      </c>
    </row>
    <row r="6343" spans="2:3" hidden="1" outlineLevel="2" x14ac:dyDescent="0.3">
      <c r="C6343" t="s">
        <v>4186</v>
      </c>
    </row>
    <row r="6344" spans="2:3" hidden="1" outlineLevel="2" x14ac:dyDescent="0.3">
      <c r="C6344" t="s">
        <v>4187</v>
      </c>
    </row>
    <row r="6345" spans="2:3" hidden="1" outlineLevel="2" x14ac:dyDescent="0.3">
      <c r="C6345" t="s">
        <v>2563</v>
      </c>
    </row>
    <row r="6346" spans="2:3" hidden="1" outlineLevel="2" x14ac:dyDescent="0.3">
      <c r="C6346" t="s">
        <v>2564</v>
      </c>
    </row>
    <row r="6347" spans="2:3" hidden="1" outlineLevel="2" x14ac:dyDescent="0.3">
      <c r="C6347" t="s">
        <v>2565</v>
      </c>
    </row>
    <row r="6348" spans="2:3" hidden="1" outlineLevel="2" x14ac:dyDescent="0.3">
      <c r="C6348" t="s">
        <v>2566</v>
      </c>
    </row>
    <row r="6349" spans="2:3" hidden="1" outlineLevel="2" x14ac:dyDescent="0.3">
      <c r="C6349" t="s">
        <v>2567</v>
      </c>
    </row>
    <row r="6350" spans="2:3" hidden="1" outlineLevel="2" x14ac:dyDescent="0.3">
      <c r="C6350" t="s">
        <v>2568</v>
      </c>
    </row>
    <row r="6351" spans="2:3" hidden="1" outlineLevel="2" x14ac:dyDescent="0.3">
      <c r="C6351" t="s">
        <v>435</v>
      </c>
    </row>
    <row r="6352" spans="2:3" outlineLevel="1" collapsed="1" x14ac:dyDescent="0.3">
      <c r="B6352" t="s">
        <v>436</v>
      </c>
    </row>
    <row r="6353" spans="1:3" outlineLevel="1" x14ac:dyDescent="0.3">
      <c r="B6353" t="s">
        <v>437</v>
      </c>
    </row>
    <row r="6354" spans="1:3" outlineLevel="1" x14ac:dyDescent="0.3">
      <c r="B6354" t="s">
        <v>438</v>
      </c>
    </row>
    <row r="6355" spans="1:3" outlineLevel="1" x14ac:dyDescent="0.3">
      <c r="B6355" t="s">
        <v>439</v>
      </c>
    </row>
    <row r="6356" spans="1:3" outlineLevel="1" x14ac:dyDescent="0.3">
      <c r="B6356" t="s">
        <v>440</v>
      </c>
    </row>
    <row r="6357" spans="1:3" outlineLevel="1" x14ac:dyDescent="0.3">
      <c r="B6357" t="s">
        <v>441</v>
      </c>
    </row>
    <row r="6358" spans="1:3" x14ac:dyDescent="0.3">
      <c r="A6358" t="s">
        <v>442</v>
      </c>
    </row>
    <row r="6359" spans="1:3" outlineLevel="1" x14ac:dyDescent="0.3">
      <c r="B6359" t="s">
        <v>443</v>
      </c>
    </row>
    <row r="6360" spans="1:3" hidden="1" outlineLevel="2" x14ac:dyDescent="0.3">
      <c r="C6360" t="s">
        <v>2569</v>
      </c>
    </row>
    <row r="6361" spans="1:3" hidden="1" outlineLevel="2" x14ac:dyDescent="0.3">
      <c r="C6361" t="s">
        <v>2570</v>
      </c>
    </row>
    <row r="6362" spans="1:3" hidden="1" outlineLevel="2" x14ac:dyDescent="0.3">
      <c r="C6362" t="s">
        <v>4188</v>
      </c>
    </row>
    <row r="6363" spans="1:3" hidden="1" outlineLevel="2" x14ac:dyDescent="0.3">
      <c r="C6363" t="s">
        <v>3699</v>
      </c>
    </row>
    <row r="6364" spans="1:3" hidden="1" outlineLevel="2" x14ac:dyDescent="0.3">
      <c r="C6364" t="s">
        <v>4189</v>
      </c>
    </row>
    <row r="6365" spans="1:3" hidden="1" outlineLevel="2" x14ac:dyDescent="0.3">
      <c r="C6365" t="s">
        <v>4190</v>
      </c>
    </row>
    <row r="6366" spans="1:3" hidden="1" outlineLevel="2" x14ac:dyDescent="0.3">
      <c r="C6366" t="s">
        <v>4191</v>
      </c>
    </row>
    <row r="6367" spans="1:3" hidden="1" outlineLevel="2" x14ac:dyDescent="0.3">
      <c r="C6367" t="s">
        <v>4192</v>
      </c>
    </row>
    <row r="6368" spans="1:3" hidden="1" outlineLevel="2" x14ac:dyDescent="0.3">
      <c r="C6368" t="s">
        <v>4193</v>
      </c>
    </row>
    <row r="6369" spans="3:3" hidden="1" outlineLevel="2" x14ac:dyDescent="0.3">
      <c r="C6369" t="s">
        <v>4194</v>
      </c>
    </row>
    <row r="6370" spans="3:3" hidden="1" outlineLevel="2" x14ac:dyDescent="0.3">
      <c r="C6370" t="s">
        <v>4195</v>
      </c>
    </row>
    <row r="6371" spans="3:3" hidden="1" outlineLevel="2" x14ac:dyDescent="0.3">
      <c r="C6371" t="s">
        <v>4196</v>
      </c>
    </row>
    <row r="6372" spans="3:3" hidden="1" outlineLevel="2" x14ac:dyDescent="0.3">
      <c r="C6372" t="s">
        <v>2574</v>
      </c>
    </row>
    <row r="6373" spans="3:3" hidden="1" outlineLevel="2" x14ac:dyDescent="0.3">
      <c r="C6373" t="s">
        <v>2575</v>
      </c>
    </row>
    <row r="6374" spans="3:3" hidden="1" outlineLevel="2" x14ac:dyDescent="0.3">
      <c r="C6374" t="s">
        <v>2577</v>
      </c>
    </row>
    <row r="6375" spans="3:3" hidden="1" outlineLevel="2" x14ac:dyDescent="0.3">
      <c r="C6375" t="s">
        <v>2578</v>
      </c>
    </row>
    <row r="6376" spans="3:3" hidden="1" outlineLevel="2" x14ac:dyDescent="0.3">
      <c r="C6376" t="s">
        <v>2579</v>
      </c>
    </row>
    <row r="6377" spans="3:3" hidden="1" outlineLevel="2" x14ac:dyDescent="0.3">
      <c r="C6377" t="s">
        <v>2580</v>
      </c>
    </row>
    <row r="6378" spans="3:3" hidden="1" outlineLevel="2" x14ac:dyDescent="0.3">
      <c r="C6378" t="s">
        <v>2581</v>
      </c>
    </row>
    <row r="6379" spans="3:3" hidden="1" outlineLevel="2" x14ac:dyDescent="0.3">
      <c r="C6379" t="s">
        <v>2582</v>
      </c>
    </row>
    <row r="6380" spans="3:3" hidden="1" outlineLevel="2" x14ac:dyDescent="0.3">
      <c r="C6380" t="s">
        <v>2583</v>
      </c>
    </row>
    <row r="6381" spans="3:3" hidden="1" outlineLevel="2" x14ac:dyDescent="0.3">
      <c r="C6381" t="s">
        <v>2584</v>
      </c>
    </row>
    <row r="6382" spans="3:3" hidden="1" outlineLevel="2" x14ac:dyDescent="0.3">
      <c r="C6382" t="s">
        <v>2586</v>
      </c>
    </row>
    <row r="6383" spans="3:3" hidden="1" outlineLevel="2" x14ac:dyDescent="0.3">
      <c r="C6383" t="s">
        <v>2587</v>
      </c>
    </row>
    <row r="6384" spans="3:3" hidden="1" outlineLevel="2" x14ac:dyDescent="0.3">
      <c r="C6384" t="s">
        <v>2588</v>
      </c>
    </row>
    <row r="6385" spans="2:3" hidden="1" outlineLevel="2" x14ac:dyDescent="0.3">
      <c r="C6385" t="s">
        <v>2589</v>
      </c>
    </row>
    <row r="6386" spans="2:3" hidden="1" outlineLevel="2" x14ac:dyDescent="0.3">
      <c r="C6386" t="s">
        <v>2590</v>
      </c>
    </row>
    <row r="6387" spans="2:3" hidden="1" outlineLevel="2" x14ac:dyDescent="0.3">
      <c r="C6387" t="s">
        <v>2591</v>
      </c>
    </row>
    <row r="6388" spans="2:3" hidden="1" outlineLevel="2" x14ac:dyDescent="0.3">
      <c r="C6388" t="s">
        <v>474</v>
      </c>
    </row>
    <row r="6389" spans="2:3" outlineLevel="1" collapsed="1" x14ac:dyDescent="0.3">
      <c r="B6389" t="s">
        <v>475</v>
      </c>
    </row>
    <row r="6390" spans="2:3" hidden="1" outlineLevel="2" x14ac:dyDescent="0.3">
      <c r="C6390" t="s">
        <v>2592</v>
      </c>
    </row>
    <row r="6391" spans="2:3" hidden="1" outlineLevel="2" x14ac:dyDescent="0.3">
      <c r="C6391" t="s">
        <v>2593</v>
      </c>
    </row>
    <row r="6392" spans="2:3" hidden="1" outlineLevel="2" x14ac:dyDescent="0.3">
      <c r="C6392" t="s">
        <v>4197</v>
      </c>
    </row>
    <row r="6393" spans="2:3" hidden="1" outlineLevel="2" x14ac:dyDescent="0.3">
      <c r="C6393" t="s">
        <v>3701</v>
      </c>
    </row>
    <row r="6394" spans="2:3" hidden="1" outlineLevel="2" x14ac:dyDescent="0.3">
      <c r="C6394" t="s">
        <v>4198</v>
      </c>
    </row>
    <row r="6395" spans="2:3" hidden="1" outlineLevel="2" x14ac:dyDescent="0.3">
      <c r="C6395" t="s">
        <v>4199</v>
      </c>
    </row>
    <row r="6396" spans="2:3" hidden="1" outlineLevel="2" x14ac:dyDescent="0.3">
      <c r="C6396" t="s">
        <v>4200</v>
      </c>
    </row>
    <row r="6397" spans="2:3" hidden="1" outlineLevel="2" x14ac:dyDescent="0.3">
      <c r="C6397" t="s">
        <v>4201</v>
      </c>
    </row>
    <row r="6398" spans="2:3" hidden="1" outlineLevel="2" x14ac:dyDescent="0.3">
      <c r="C6398" t="s">
        <v>4202</v>
      </c>
    </row>
    <row r="6399" spans="2:3" hidden="1" outlineLevel="2" x14ac:dyDescent="0.3">
      <c r="C6399" t="s">
        <v>4203</v>
      </c>
    </row>
    <row r="6400" spans="2:3" hidden="1" outlineLevel="2" x14ac:dyDescent="0.3">
      <c r="C6400" t="s">
        <v>4204</v>
      </c>
    </row>
    <row r="6401" spans="3:3" hidden="1" outlineLevel="2" x14ac:dyDescent="0.3">
      <c r="C6401" t="s">
        <v>4205</v>
      </c>
    </row>
    <row r="6402" spans="3:3" hidden="1" outlineLevel="2" x14ac:dyDescent="0.3">
      <c r="C6402" t="s">
        <v>2597</v>
      </c>
    </row>
    <row r="6403" spans="3:3" hidden="1" outlineLevel="2" x14ac:dyDescent="0.3">
      <c r="C6403" t="s">
        <v>2598</v>
      </c>
    </row>
    <row r="6404" spans="3:3" hidden="1" outlineLevel="2" x14ac:dyDescent="0.3">
      <c r="C6404" t="s">
        <v>2600</v>
      </c>
    </row>
    <row r="6405" spans="3:3" hidden="1" outlineLevel="2" x14ac:dyDescent="0.3">
      <c r="C6405" t="s">
        <v>2601</v>
      </c>
    </row>
    <row r="6406" spans="3:3" hidden="1" outlineLevel="2" x14ac:dyDescent="0.3">
      <c r="C6406" t="s">
        <v>2602</v>
      </c>
    </row>
    <row r="6407" spans="3:3" hidden="1" outlineLevel="2" x14ac:dyDescent="0.3">
      <c r="C6407" t="s">
        <v>2603</v>
      </c>
    </row>
    <row r="6408" spans="3:3" hidden="1" outlineLevel="2" x14ac:dyDescent="0.3">
      <c r="C6408" t="s">
        <v>2604</v>
      </c>
    </row>
    <row r="6409" spans="3:3" hidden="1" outlineLevel="2" x14ac:dyDescent="0.3">
      <c r="C6409" t="s">
        <v>2605</v>
      </c>
    </row>
    <row r="6410" spans="3:3" hidden="1" outlineLevel="2" x14ac:dyDescent="0.3">
      <c r="C6410" t="s">
        <v>2606</v>
      </c>
    </row>
    <row r="6411" spans="3:3" hidden="1" outlineLevel="2" x14ac:dyDescent="0.3">
      <c r="C6411" t="s">
        <v>2608</v>
      </c>
    </row>
    <row r="6412" spans="3:3" hidden="1" outlineLevel="2" x14ac:dyDescent="0.3">
      <c r="C6412" t="s">
        <v>2609</v>
      </c>
    </row>
    <row r="6413" spans="3:3" hidden="1" outlineLevel="2" x14ac:dyDescent="0.3">
      <c r="C6413" t="s">
        <v>2610</v>
      </c>
    </row>
    <row r="6414" spans="3:3" hidden="1" outlineLevel="2" x14ac:dyDescent="0.3">
      <c r="C6414" t="s">
        <v>2611</v>
      </c>
    </row>
    <row r="6415" spans="3:3" hidden="1" outlineLevel="2" x14ac:dyDescent="0.3">
      <c r="C6415" t="s">
        <v>2612</v>
      </c>
    </row>
    <row r="6416" spans="3:3" hidden="1" outlineLevel="2" x14ac:dyDescent="0.3">
      <c r="C6416" t="s">
        <v>2613</v>
      </c>
    </row>
    <row r="6417" spans="1:3" hidden="1" outlineLevel="2" x14ac:dyDescent="0.3">
      <c r="C6417" t="s">
        <v>2614</v>
      </c>
    </row>
    <row r="6418" spans="1:3" hidden="1" outlineLevel="2" x14ac:dyDescent="0.3">
      <c r="C6418" t="s">
        <v>2615</v>
      </c>
    </row>
    <row r="6419" spans="1:3" hidden="1" outlineLevel="2" x14ac:dyDescent="0.3">
      <c r="C6419" t="s">
        <v>506</v>
      </c>
    </row>
    <row r="6420" spans="1:3" outlineLevel="1" collapsed="1" x14ac:dyDescent="0.3">
      <c r="B6420" t="s">
        <v>507</v>
      </c>
    </row>
    <row r="6421" spans="1:3" outlineLevel="1" x14ac:dyDescent="0.3">
      <c r="B6421" t="s">
        <v>508</v>
      </c>
    </row>
    <row r="6422" spans="1:3" outlineLevel="1" x14ac:dyDescent="0.3">
      <c r="B6422" t="s">
        <v>509</v>
      </c>
    </row>
    <row r="6423" spans="1:3" outlineLevel="1" x14ac:dyDescent="0.3">
      <c r="B6423" t="s">
        <v>510</v>
      </c>
    </row>
    <row r="6424" spans="1:3" outlineLevel="1" x14ac:dyDescent="0.3">
      <c r="B6424" t="s">
        <v>511</v>
      </c>
    </row>
    <row r="6425" spans="1:3" outlineLevel="1" x14ac:dyDescent="0.3">
      <c r="B6425" t="s">
        <v>512</v>
      </c>
    </row>
    <row r="6426" spans="1:3" x14ac:dyDescent="0.3">
      <c r="A6426" t="s">
        <v>513</v>
      </c>
    </row>
    <row r="6427" spans="1:3" x14ac:dyDescent="0.3">
      <c r="A6427" t="s">
        <v>514</v>
      </c>
    </row>
    <row r="6428" spans="1:3" x14ac:dyDescent="0.3">
      <c r="A6428" t="s">
        <v>515</v>
      </c>
    </row>
    <row r="6429" spans="1:3" x14ac:dyDescent="0.3">
      <c r="A6429" t="s">
        <v>516</v>
      </c>
    </row>
    <row r="6430" spans="1:3" x14ac:dyDescent="0.3">
      <c r="A6430" t="s">
        <v>517</v>
      </c>
    </row>
    <row r="6431" spans="1:3" x14ac:dyDescent="0.3">
      <c r="A6431" t="s">
        <v>518</v>
      </c>
    </row>
    <row r="6437" spans="1:4" x14ac:dyDescent="0.3">
      <c r="A6437" t="s">
        <v>524</v>
      </c>
    </row>
    <row r="6438" spans="1:4" outlineLevel="1" x14ac:dyDescent="0.3">
      <c r="B6438" t="s">
        <v>525</v>
      </c>
    </row>
    <row r="6439" spans="1:4" outlineLevel="1" x14ac:dyDescent="0.3">
      <c r="B6439" t="s">
        <v>2616</v>
      </c>
    </row>
    <row r="6440" spans="1:4" hidden="1" outlineLevel="2" x14ac:dyDescent="0.3">
      <c r="C6440" t="s">
        <v>2617</v>
      </c>
    </row>
    <row r="6441" spans="1:4" hidden="1" outlineLevel="3" x14ac:dyDescent="0.3">
      <c r="D6441" t="s">
        <v>4206</v>
      </c>
    </row>
    <row r="6442" spans="1:4" hidden="1" outlineLevel="3" x14ac:dyDescent="0.3">
      <c r="D6442" t="s">
        <v>4207</v>
      </c>
    </row>
    <row r="6443" spans="1:4" hidden="1" outlineLevel="3" x14ac:dyDescent="0.3">
      <c r="D6443" t="s">
        <v>3706</v>
      </c>
    </row>
    <row r="6444" spans="1:4" hidden="1" outlineLevel="3" x14ac:dyDescent="0.3">
      <c r="D6444" t="s">
        <v>4208</v>
      </c>
    </row>
    <row r="6445" spans="1:4" hidden="1" outlineLevel="3" x14ac:dyDescent="0.3">
      <c r="D6445" t="s">
        <v>3708</v>
      </c>
    </row>
    <row r="6446" spans="1:4" hidden="1" outlineLevel="3" x14ac:dyDescent="0.3">
      <c r="D6446" t="s">
        <v>3709</v>
      </c>
    </row>
    <row r="6447" spans="1:4" hidden="1" outlineLevel="3" x14ac:dyDescent="0.3">
      <c r="D6447" t="s">
        <v>4209</v>
      </c>
    </row>
    <row r="6448" spans="1:4" hidden="1" outlineLevel="3" x14ac:dyDescent="0.3">
      <c r="D6448" t="s">
        <v>4210</v>
      </c>
    </row>
    <row r="6449" spans="3:5" hidden="1" outlineLevel="3" x14ac:dyDescent="0.3">
      <c r="D6449" t="s">
        <v>4211</v>
      </c>
    </row>
    <row r="6450" spans="3:5" hidden="1" outlineLevel="3" x14ac:dyDescent="0.3">
      <c r="D6450" t="s">
        <v>4212</v>
      </c>
    </row>
    <row r="6451" spans="3:5" hidden="1" outlineLevel="3" x14ac:dyDescent="0.3">
      <c r="D6451" t="s">
        <v>4213</v>
      </c>
    </row>
    <row r="6452" spans="3:5" hidden="1" outlineLevel="2" x14ac:dyDescent="0.3">
      <c r="C6452" t="s">
        <v>4214</v>
      </c>
    </row>
    <row r="6453" spans="3:5" hidden="1" outlineLevel="3" x14ac:dyDescent="0.3">
      <c r="D6453" t="s">
        <v>4215</v>
      </c>
    </row>
    <row r="6454" spans="3:5" hidden="1" outlineLevel="3" x14ac:dyDescent="0.3">
      <c r="D6454" t="s">
        <v>4216</v>
      </c>
    </row>
    <row r="6455" spans="3:5" hidden="1" outlineLevel="4" x14ac:dyDescent="0.3">
      <c r="E6455" t="s">
        <v>4217</v>
      </c>
    </row>
    <row r="6456" spans="3:5" hidden="1" outlineLevel="4" x14ac:dyDescent="0.3">
      <c r="E6456" t="s">
        <v>4218</v>
      </c>
    </row>
    <row r="6457" spans="3:5" hidden="1" outlineLevel="3" x14ac:dyDescent="0.3">
      <c r="D6457" t="s">
        <v>4219</v>
      </c>
    </row>
    <row r="6458" spans="3:5" hidden="1" outlineLevel="3" x14ac:dyDescent="0.3">
      <c r="D6458" t="s">
        <v>4220</v>
      </c>
    </row>
    <row r="6459" spans="3:5" hidden="1" outlineLevel="3" x14ac:dyDescent="0.3">
      <c r="D6459" t="s">
        <v>4221</v>
      </c>
    </row>
    <row r="6460" spans="3:5" hidden="1" outlineLevel="3" x14ac:dyDescent="0.3">
      <c r="D6460" t="s">
        <v>4222</v>
      </c>
    </row>
    <row r="6461" spans="3:5" hidden="1" outlineLevel="3" x14ac:dyDescent="0.3">
      <c r="D6461" t="s">
        <v>4223</v>
      </c>
    </row>
    <row r="6462" spans="3:5" hidden="1" outlineLevel="3" x14ac:dyDescent="0.3">
      <c r="D6462" t="s">
        <v>4224</v>
      </c>
    </row>
    <row r="6463" spans="3:5" hidden="1" outlineLevel="3" x14ac:dyDescent="0.3">
      <c r="D6463" t="s">
        <v>4225</v>
      </c>
    </row>
    <row r="6464" spans="3:5" hidden="1" outlineLevel="2" x14ac:dyDescent="0.3">
      <c r="C6464" t="s">
        <v>2627</v>
      </c>
    </row>
    <row r="6465" spans="2:4" outlineLevel="1" collapsed="1" x14ac:dyDescent="0.3">
      <c r="B6465" t="s">
        <v>2628</v>
      </c>
    </row>
    <row r="6466" spans="2:4" outlineLevel="1" x14ac:dyDescent="0.3">
      <c r="B6466" t="s">
        <v>2629</v>
      </c>
    </row>
    <row r="6467" spans="2:4" outlineLevel="1" x14ac:dyDescent="0.3">
      <c r="B6467" t="s">
        <v>4226</v>
      </c>
    </row>
    <row r="6468" spans="2:4" hidden="1" outlineLevel="2" x14ac:dyDescent="0.3">
      <c r="C6468" t="s">
        <v>4227</v>
      </c>
    </row>
    <row r="6469" spans="2:4" hidden="1" outlineLevel="2" x14ac:dyDescent="0.3">
      <c r="C6469" t="s">
        <v>4228</v>
      </c>
    </row>
    <row r="6470" spans="2:4" hidden="1" outlineLevel="2" x14ac:dyDescent="0.3">
      <c r="C6470" t="s">
        <v>4229</v>
      </c>
    </row>
    <row r="6471" spans="2:4" outlineLevel="1" collapsed="1" x14ac:dyDescent="0.3">
      <c r="B6471" t="s">
        <v>2631</v>
      </c>
    </row>
    <row r="6472" spans="2:4" hidden="1" outlineLevel="2" x14ac:dyDescent="0.3">
      <c r="C6472" t="s">
        <v>2632</v>
      </c>
    </row>
    <row r="6473" spans="2:4" hidden="1" outlineLevel="2" x14ac:dyDescent="0.3">
      <c r="C6473" t="s">
        <v>2633</v>
      </c>
    </row>
    <row r="6474" spans="2:4" hidden="1" outlineLevel="2" x14ac:dyDescent="0.3">
      <c r="C6474" t="s">
        <v>2634</v>
      </c>
    </row>
    <row r="6475" spans="2:4" hidden="1" outlineLevel="2" x14ac:dyDescent="0.3">
      <c r="C6475" t="s">
        <v>3711</v>
      </c>
    </row>
    <row r="6476" spans="2:4" hidden="1" outlineLevel="2" x14ac:dyDescent="0.3">
      <c r="C6476" t="s">
        <v>2636</v>
      </c>
    </row>
    <row r="6477" spans="2:4" hidden="1" outlineLevel="3" x14ac:dyDescent="0.3">
      <c r="D6477" t="s">
        <v>4230</v>
      </c>
    </row>
    <row r="6478" spans="2:4" hidden="1" outlineLevel="3" x14ac:dyDescent="0.3">
      <c r="D6478" t="s">
        <v>4231</v>
      </c>
    </row>
    <row r="6479" spans="2:4" hidden="1" outlineLevel="2" x14ac:dyDescent="0.3">
      <c r="C6479" t="s">
        <v>2637</v>
      </c>
    </row>
    <row r="6480" spans="2:4" hidden="1" outlineLevel="2" x14ac:dyDescent="0.3">
      <c r="C6480" t="s">
        <v>4232</v>
      </c>
    </row>
    <row r="6481" spans="2:4" hidden="1" outlineLevel="2" x14ac:dyDescent="0.3">
      <c r="C6481" t="s">
        <v>4233</v>
      </c>
    </row>
    <row r="6482" spans="2:4" hidden="1" outlineLevel="2" x14ac:dyDescent="0.3">
      <c r="C6482" t="s">
        <v>4234</v>
      </c>
    </row>
    <row r="6483" spans="2:4" outlineLevel="1" collapsed="1" x14ac:dyDescent="0.3">
      <c r="B6483" t="s">
        <v>2639</v>
      </c>
    </row>
    <row r="6484" spans="2:4" hidden="1" outlineLevel="2" x14ac:dyDescent="0.3">
      <c r="C6484" t="s">
        <v>2640</v>
      </c>
    </row>
    <row r="6485" spans="2:4" hidden="1" outlineLevel="2" x14ac:dyDescent="0.3">
      <c r="C6485" t="s">
        <v>2641</v>
      </c>
    </row>
    <row r="6486" spans="2:4" hidden="1" outlineLevel="2" x14ac:dyDescent="0.3">
      <c r="C6486" t="s">
        <v>2642</v>
      </c>
    </row>
    <row r="6487" spans="2:4" hidden="1" outlineLevel="2" x14ac:dyDescent="0.3">
      <c r="C6487" t="s">
        <v>2643</v>
      </c>
    </row>
    <row r="6488" spans="2:4" hidden="1" outlineLevel="2" x14ac:dyDescent="0.3">
      <c r="C6488" t="s">
        <v>2644</v>
      </c>
    </row>
    <row r="6489" spans="2:4" outlineLevel="1" collapsed="1" x14ac:dyDescent="0.3">
      <c r="B6489" t="s">
        <v>4235</v>
      </c>
    </row>
    <row r="6490" spans="2:4" hidden="1" outlineLevel="2" x14ac:dyDescent="0.3">
      <c r="C6490" t="s">
        <v>4236</v>
      </c>
    </row>
    <row r="6491" spans="2:4" hidden="1" outlineLevel="2" x14ac:dyDescent="0.3">
      <c r="C6491" t="s">
        <v>2645</v>
      </c>
    </row>
    <row r="6492" spans="2:4" hidden="1" outlineLevel="3" x14ac:dyDescent="0.3">
      <c r="D6492" t="s">
        <v>2646</v>
      </c>
    </row>
    <row r="6493" spans="2:4" hidden="1" outlineLevel="3" x14ac:dyDescent="0.3">
      <c r="D6493" t="s">
        <v>2647</v>
      </c>
    </row>
    <row r="6494" spans="2:4" hidden="1" outlineLevel="3" x14ac:dyDescent="0.3">
      <c r="D6494" t="s">
        <v>2648</v>
      </c>
    </row>
    <row r="6495" spans="2:4" hidden="1" outlineLevel="3" x14ac:dyDescent="0.3">
      <c r="D6495" t="s">
        <v>2649</v>
      </c>
    </row>
    <row r="6496" spans="2:4" hidden="1" outlineLevel="3" x14ac:dyDescent="0.3">
      <c r="D6496" t="s">
        <v>2650</v>
      </c>
    </row>
    <row r="6497" spans="2:3" outlineLevel="1" collapsed="1" x14ac:dyDescent="0.3">
      <c r="B6497" t="s">
        <v>2651</v>
      </c>
    </row>
    <row r="6498" spans="2:3" hidden="1" outlineLevel="2" x14ac:dyDescent="0.3">
      <c r="C6498" t="s">
        <v>2652</v>
      </c>
    </row>
    <row r="6499" spans="2:3" hidden="1" outlineLevel="2" x14ac:dyDescent="0.3">
      <c r="C6499" t="s">
        <v>2653</v>
      </c>
    </row>
    <row r="6500" spans="2:3" hidden="1" outlineLevel="2" x14ac:dyDescent="0.3">
      <c r="C6500" t="s">
        <v>2654</v>
      </c>
    </row>
    <row r="6501" spans="2:3" hidden="1" outlineLevel="2" x14ac:dyDescent="0.3">
      <c r="C6501" t="s">
        <v>4237</v>
      </c>
    </row>
    <row r="6502" spans="2:3" hidden="1" outlineLevel="2" x14ac:dyDescent="0.3">
      <c r="C6502" t="s">
        <v>3715</v>
      </c>
    </row>
    <row r="6503" spans="2:3" hidden="1" outlineLevel="2" x14ac:dyDescent="0.3">
      <c r="C6503" t="s">
        <v>2656</v>
      </c>
    </row>
    <row r="6504" spans="2:3" hidden="1" outlineLevel="2" x14ac:dyDescent="0.3">
      <c r="C6504" t="s">
        <v>2657</v>
      </c>
    </row>
    <row r="6505" spans="2:3" hidden="1" outlineLevel="2" x14ac:dyDescent="0.3">
      <c r="C6505" t="s">
        <v>2658</v>
      </c>
    </row>
    <row r="6506" spans="2:3" hidden="1" outlineLevel="2" x14ac:dyDescent="0.3">
      <c r="C6506" t="s">
        <v>4238</v>
      </c>
    </row>
    <row r="6507" spans="2:3" hidden="1" outlineLevel="2" x14ac:dyDescent="0.3">
      <c r="C6507" t="s">
        <v>4239</v>
      </c>
    </row>
    <row r="6508" spans="2:3" hidden="1" outlineLevel="2" x14ac:dyDescent="0.3">
      <c r="C6508" t="s">
        <v>2659</v>
      </c>
    </row>
    <row r="6509" spans="2:3" outlineLevel="1" collapsed="1" x14ac:dyDescent="0.3">
      <c r="B6509" t="s">
        <v>2660</v>
      </c>
    </row>
    <row r="6510" spans="2:3" outlineLevel="1" x14ac:dyDescent="0.3">
      <c r="B6510" t="s">
        <v>2661</v>
      </c>
    </row>
    <row r="6511" spans="2:3" hidden="1" outlineLevel="2" x14ac:dyDescent="0.3">
      <c r="C6511" t="s">
        <v>2662</v>
      </c>
    </row>
    <row r="6512" spans="2:3" hidden="1" outlineLevel="2" x14ac:dyDescent="0.3">
      <c r="C6512" t="s">
        <v>2663</v>
      </c>
    </row>
    <row r="6513" spans="2:3" hidden="1" outlineLevel="2" x14ac:dyDescent="0.3">
      <c r="C6513" t="s">
        <v>3720</v>
      </c>
    </row>
    <row r="6514" spans="2:3" hidden="1" outlineLevel="2" x14ac:dyDescent="0.3">
      <c r="C6514" t="s">
        <v>2665</v>
      </c>
    </row>
    <row r="6515" spans="2:3" hidden="1" outlineLevel="2" x14ac:dyDescent="0.3">
      <c r="C6515" t="s">
        <v>2667</v>
      </c>
    </row>
    <row r="6516" spans="2:3" outlineLevel="1" collapsed="1" x14ac:dyDescent="0.3">
      <c r="B6516" t="s">
        <v>2668</v>
      </c>
    </row>
    <row r="6517" spans="2:3" outlineLevel="1" x14ac:dyDescent="0.3">
      <c r="B6517" t="s">
        <v>2669</v>
      </c>
    </row>
    <row r="6518" spans="2:3" hidden="1" outlineLevel="2" x14ac:dyDescent="0.3">
      <c r="C6518" t="s">
        <v>2670</v>
      </c>
    </row>
    <row r="6519" spans="2:3" hidden="1" outlineLevel="2" x14ac:dyDescent="0.3">
      <c r="C6519" t="s">
        <v>2671</v>
      </c>
    </row>
    <row r="6520" spans="2:3" hidden="1" outlineLevel="2" x14ac:dyDescent="0.3">
      <c r="C6520" t="s">
        <v>2672</v>
      </c>
    </row>
    <row r="6521" spans="2:3" hidden="1" outlineLevel="2" x14ac:dyDescent="0.3">
      <c r="C6521" t="s">
        <v>2673</v>
      </c>
    </row>
    <row r="6522" spans="2:3" outlineLevel="1" collapsed="1" x14ac:dyDescent="0.3">
      <c r="B6522" t="s">
        <v>2674</v>
      </c>
    </row>
    <row r="6523" spans="2:3" outlineLevel="1" x14ac:dyDescent="0.3">
      <c r="B6523" t="s">
        <v>2675</v>
      </c>
    </row>
    <row r="6524" spans="2:3" outlineLevel="1" x14ac:dyDescent="0.3">
      <c r="B6524" t="s">
        <v>2676</v>
      </c>
    </row>
    <row r="6525" spans="2:3" outlineLevel="1" x14ac:dyDescent="0.3">
      <c r="B6525" t="s">
        <v>2677</v>
      </c>
    </row>
    <row r="6526" spans="2:3" outlineLevel="1" x14ac:dyDescent="0.3">
      <c r="B6526" t="s">
        <v>2678</v>
      </c>
    </row>
    <row r="6527" spans="2:3" outlineLevel="1" x14ac:dyDescent="0.3">
      <c r="B6527" t="s">
        <v>2679</v>
      </c>
    </row>
    <row r="6528" spans="2:3" hidden="1" outlineLevel="2" x14ac:dyDescent="0.3">
      <c r="C6528" t="s">
        <v>2680</v>
      </c>
    </row>
    <row r="6529" spans="3:4" hidden="1" outlineLevel="2" x14ac:dyDescent="0.3">
      <c r="C6529" t="s">
        <v>2681</v>
      </c>
    </row>
    <row r="6530" spans="3:4" hidden="1" outlineLevel="2" x14ac:dyDescent="0.3">
      <c r="C6530" t="s">
        <v>4240</v>
      </c>
    </row>
    <row r="6531" spans="3:4" hidden="1" outlineLevel="2" x14ac:dyDescent="0.3">
      <c r="C6531" t="s">
        <v>4241</v>
      </c>
    </row>
    <row r="6532" spans="3:4" hidden="1" outlineLevel="3" x14ac:dyDescent="0.3">
      <c r="D6532" t="s">
        <v>4242</v>
      </c>
    </row>
    <row r="6533" spans="3:4" hidden="1" outlineLevel="3" x14ac:dyDescent="0.3">
      <c r="D6533" t="s">
        <v>4243</v>
      </c>
    </row>
    <row r="6534" spans="3:4" hidden="1" outlineLevel="3" x14ac:dyDescent="0.3">
      <c r="D6534" t="s">
        <v>4244</v>
      </c>
    </row>
    <row r="6535" spans="3:4" hidden="1" outlineLevel="3" x14ac:dyDescent="0.3">
      <c r="D6535" t="s">
        <v>4245</v>
      </c>
    </row>
    <row r="6536" spans="3:4" hidden="1" outlineLevel="3" x14ac:dyDescent="0.3">
      <c r="D6536" t="s">
        <v>4246</v>
      </c>
    </row>
    <row r="6537" spans="3:4" hidden="1" outlineLevel="3" x14ac:dyDescent="0.3">
      <c r="D6537" t="s">
        <v>4247</v>
      </c>
    </row>
    <row r="6538" spans="3:4" hidden="1" outlineLevel="3" x14ac:dyDescent="0.3">
      <c r="D6538" t="s">
        <v>4248</v>
      </c>
    </row>
    <row r="6539" spans="3:4" hidden="1" outlineLevel="3" x14ac:dyDescent="0.3">
      <c r="D6539" t="s">
        <v>4249</v>
      </c>
    </row>
    <row r="6540" spans="3:4" hidden="1" outlineLevel="2" x14ac:dyDescent="0.3">
      <c r="C6540" t="s">
        <v>2692</v>
      </c>
    </row>
    <row r="6541" spans="3:4" hidden="1" outlineLevel="2" x14ac:dyDescent="0.3">
      <c r="C6541" t="s">
        <v>2693</v>
      </c>
    </row>
    <row r="6542" spans="3:4" hidden="1" outlineLevel="2" x14ac:dyDescent="0.3">
      <c r="C6542" t="s">
        <v>4250</v>
      </c>
    </row>
    <row r="6543" spans="3:4" hidden="1" outlineLevel="2" x14ac:dyDescent="0.3">
      <c r="C6543" t="s">
        <v>4251</v>
      </c>
    </row>
    <row r="6544" spans="3:4" hidden="1" outlineLevel="2" x14ac:dyDescent="0.3">
      <c r="C6544" t="s">
        <v>4252</v>
      </c>
    </row>
    <row r="6545" spans="3:4" hidden="1" outlineLevel="2" x14ac:dyDescent="0.3">
      <c r="C6545" t="s">
        <v>4253</v>
      </c>
    </row>
    <row r="6546" spans="3:4" hidden="1" outlineLevel="2" x14ac:dyDescent="0.3">
      <c r="C6546" t="s">
        <v>4254</v>
      </c>
    </row>
    <row r="6547" spans="3:4" hidden="1" outlineLevel="2" x14ac:dyDescent="0.3">
      <c r="C6547" t="s">
        <v>4255</v>
      </c>
    </row>
    <row r="6548" spans="3:4" hidden="1" outlineLevel="2" x14ac:dyDescent="0.3">
      <c r="C6548" t="s">
        <v>4256</v>
      </c>
    </row>
    <row r="6549" spans="3:4" hidden="1" outlineLevel="2" x14ac:dyDescent="0.3">
      <c r="C6549" t="s">
        <v>4257</v>
      </c>
    </row>
    <row r="6550" spans="3:4" hidden="1" outlineLevel="2" x14ac:dyDescent="0.3">
      <c r="C6550" t="s">
        <v>4258</v>
      </c>
    </row>
    <row r="6551" spans="3:4" hidden="1" outlineLevel="2" x14ac:dyDescent="0.3">
      <c r="C6551" t="s">
        <v>4259</v>
      </c>
    </row>
    <row r="6552" spans="3:4" hidden="1" outlineLevel="2" x14ac:dyDescent="0.3">
      <c r="C6552" t="s">
        <v>4260</v>
      </c>
    </row>
    <row r="6553" spans="3:4" hidden="1" outlineLevel="3" x14ac:dyDescent="0.3">
      <c r="D6553" t="s">
        <v>4261</v>
      </c>
    </row>
    <row r="6554" spans="3:4" hidden="1" outlineLevel="3" x14ac:dyDescent="0.3">
      <c r="D6554" t="s">
        <v>4262</v>
      </c>
    </row>
    <row r="6555" spans="3:4" hidden="1" outlineLevel="3" x14ac:dyDescent="0.3">
      <c r="D6555" t="s">
        <v>4263</v>
      </c>
    </row>
    <row r="6556" spans="3:4" hidden="1" outlineLevel="3" x14ac:dyDescent="0.3">
      <c r="D6556" t="s">
        <v>4264</v>
      </c>
    </row>
    <row r="6557" spans="3:4" hidden="1" outlineLevel="3" x14ac:dyDescent="0.3">
      <c r="D6557" t="s">
        <v>4265</v>
      </c>
    </row>
    <row r="6558" spans="3:4" hidden="1" outlineLevel="2" x14ac:dyDescent="0.3">
      <c r="C6558" t="s">
        <v>4266</v>
      </c>
    </row>
    <row r="6559" spans="3:4" hidden="1" outlineLevel="2" x14ac:dyDescent="0.3">
      <c r="C6559" t="s">
        <v>4267</v>
      </c>
    </row>
    <row r="6560" spans="3:4" hidden="1" outlineLevel="2" x14ac:dyDescent="0.3">
      <c r="C6560" t="s">
        <v>4268</v>
      </c>
    </row>
    <row r="6561" spans="2:3" hidden="1" outlineLevel="2" x14ac:dyDescent="0.3">
      <c r="C6561" t="s">
        <v>4269</v>
      </c>
    </row>
    <row r="6562" spans="2:3" hidden="1" outlineLevel="2" x14ac:dyDescent="0.3">
      <c r="C6562" t="s">
        <v>4270</v>
      </c>
    </row>
    <row r="6563" spans="2:3" hidden="1" outlineLevel="2" x14ac:dyDescent="0.3">
      <c r="C6563" t="s">
        <v>2718</v>
      </c>
    </row>
    <row r="6564" spans="2:3" hidden="1" outlineLevel="2" x14ac:dyDescent="0.3">
      <c r="C6564" t="s">
        <v>2719</v>
      </c>
    </row>
    <row r="6565" spans="2:3" hidden="1" outlineLevel="2" x14ac:dyDescent="0.3">
      <c r="C6565" t="s">
        <v>2723</v>
      </c>
    </row>
    <row r="6566" spans="2:3" hidden="1" outlineLevel="2" x14ac:dyDescent="0.3">
      <c r="C6566" t="s">
        <v>2724</v>
      </c>
    </row>
    <row r="6567" spans="2:3" outlineLevel="1" collapsed="1" x14ac:dyDescent="0.3">
      <c r="B6567" t="s">
        <v>4271</v>
      </c>
    </row>
    <row r="6568" spans="2:3" outlineLevel="1" x14ac:dyDescent="0.3">
      <c r="B6568" t="s">
        <v>4272</v>
      </c>
    </row>
    <row r="6569" spans="2:3" hidden="1" outlineLevel="2" x14ac:dyDescent="0.3">
      <c r="C6569" t="s">
        <v>4273</v>
      </c>
    </row>
    <row r="6570" spans="2:3" hidden="1" outlineLevel="2" x14ac:dyDescent="0.3">
      <c r="C6570" t="s">
        <v>4274</v>
      </c>
    </row>
    <row r="6571" spans="2:3" hidden="1" outlineLevel="2" x14ac:dyDescent="0.3">
      <c r="C6571" t="s">
        <v>4275</v>
      </c>
    </row>
    <row r="6572" spans="2:3" hidden="1" outlineLevel="2" x14ac:dyDescent="0.3">
      <c r="C6572" t="s">
        <v>4276</v>
      </c>
    </row>
    <row r="6573" spans="2:3" hidden="1" outlineLevel="2" x14ac:dyDescent="0.3">
      <c r="C6573" t="s">
        <v>4277</v>
      </c>
    </row>
    <row r="6574" spans="2:3" outlineLevel="1" collapsed="1" x14ac:dyDescent="0.3">
      <c r="B6574" t="s">
        <v>2725</v>
      </c>
    </row>
    <row r="6575" spans="2:3" outlineLevel="1" x14ac:dyDescent="0.3">
      <c r="B6575" t="s">
        <v>2726</v>
      </c>
    </row>
    <row r="6576" spans="2:3" outlineLevel="1" x14ac:dyDescent="0.3">
      <c r="B6576" t="s">
        <v>2727</v>
      </c>
    </row>
    <row r="6577" spans="2:3" outlineLevel="1" x14ac:dyDescent="0.3">
      <c r="B6577" t="s">
        <v>2728</v>
      </c>
    </row>
    <row r="6578" spans="2:3" hidden="1" outlineLevel="2" x14ac:dyDescent="0.3">
      <c r="C6578" t="s">
        <v>3747</v>
      </c>
    </row>
    <row r="6579" spans="2:3" hidden="1" outlineLevel="2" x14ac:dyDescent="0.3">
      <c r="C6579" t="s">
        <v>3748</v>
      </c>
    </row>
    <row r="6580" spans="2:3" hidden="1" outlineLevel="2" x14ac:dyDescent="0.3">
      <c r="C6580" t="s">
        <v>3749</v>
      </c>
    </row>
    <row r="6581" spans="2:3" hidden="1" outlineLevel="2" x14ac:dyDescent="0.3">
      <c r="C6581" t="s">
        <v>3750</v>
      </c>
    </row>
    <row r="6582" spans="2:3" hidden="1" outlineLevel="2" x14ac:dyDescent="0.3">
      <c r="C6582" t="s">
        <v>3751</v>
      </c>
    </row>
    <row r="6583" spans="2:3" hidden="1" outlineLevel="2" x14ac:dyDescent="0.3">
      <c r="C6583" t="s">
        <v>2738</v>
      </c>
    </row>
    <row r="6584" spans="2:3" hidden="1" outlineLevel="2" x14ac:dyDescent="0.3">
      <c r="C6584" t="s">
        <v>4278</v>
      </c>
    </row>
    <row r="6585" spans="2:3" hidden="1" outlineLevel="2" x14ac:dyDescent="0.3">
      <c r="C6585" t="s">
        <v>4279</v>
      </c>
    </row>
    <row r="6586" spans="2:3" hidden="1" outlineLevel="2" x14ac:dyDescent="0.3">
      <c r="C6586" t="s">
        <v>4280</v>
      </c>
    </row>
    <row r="6587" spans="2:3" hidden="1" outlineLevel="2" x14ac:dyDescent="0.3">
      <c r="C6587" t="s">
        <v>2742</v>
      </c>
    </row>
    <row r="6588" spans="2:3" hidden="1" outlineLevel="2" x14ac:dyDescent="0.3">
      <c r="C6588" t="s">
        <v>2743</v>
      </c>
    </row>
    <row r="6589" spans="2:3" hidden="1" outlineLevel="2" x14ac:dyDescent="0.3">
      <c r="C6589" t="s">
        <v>4281</v>
      </c>
    </row>
    <row r="6590" spans="2:3" hidden="1" outlineLevel="2" x14ac:dyDescent="0.3">
      <c r="C6590" t="s">
        <v>4282</v>
      </c>
    </row>
    <row r="6591" spans="2:3" hidden="1" outlineLevel="2" x14ac:dyDescent="0.3">
      <c r="C6591" t="s">
        <v>4283</v>
      </c>
    </row>
    <row r="6592" spans="2:3" hidden="1" outlineLevel="2" x14ac:dyDescent="0.3">
      <c r="C6592" t="s">
        <v>4284</v>
      </c>
    </row>
    <row r="6593" spans="2:3" hidden="1" outlineLevel="2" x14ac:dyDescent="0.3">
      <c r="C6593" t="s">
        <v>4285</v>
      </c>
    </row>
    <row r="6594" spans="2:3" hidden="1" outlineLevel="2" x14ac:dyDescent="0.3">
      <c r="C6594" t="s">
        <v>4286</v>
      </c>
    </row>
    <row r="6595" spans="2:3" hidden="1" outlineLevel="2" x14ac:dyDescent="0.3">
      <c r="C6595" t="s">
        <v>4287</v>
      </c>
    </row>
    <row r="6596" spans="2:3" hidden="1" outlineLevel="2" x14ac:dyDescent="0.3">
      <c r="C6596" t="s">
        <v>2748</v>
      </c>
    </row>
    <row r="6597" spans="2:3" hidden="1" outlineLevel="2" x14ac:dyDescent="0.3">
      <c r="C6597" t="s">
        <v>2749</v>
      </c>
    </row>
    <row r="6598" spans="2:3" hidden="1" outlineLevel="2" x14ac:dyDescent="0.3">
      <c r="C6598" t="s">
        <v>2750</v>
      </c>
    </row>
    <row r="6599" spans="2:3" hidden="1" outlineLevel="2" x14ac:dyDescent="0.3">
      <c r="C6599" t="s">
        <v>2751</v>
      </c>
    </row>
    <row r="6600" spans="2:3" outlineLevel="1" collapsed="1" x14ac:dyDescent="0.3">
      <c r="B6600" t="s">
        <v>4288</v>
      </c>
    </row>
    <row r="6601" spans="2:3" outlineLevel="1" x14ac:dyDescent="0.3">
      <c r="B6601" t="s">
        <v>4289</v>
      </c>
    </row>
    <row r="6602" spans="2:3" outlineLevel="1" x14ac:dyDescent="0.3">
      <c r="B6602" t="s">
        <v>4290</v>
      </c>
    </row>
    <row r="6603" spans="2:3" outlineLevel="1" x14ac:dyDescent="0.3">
      <c r="B6603" t="s">
        <v>4291</v>
      </c>
    </row>
    <row r="6604" spans="2:3" hidden="1" outlineLevel="2" x14ac:dyDescent="0.3">
      <c r="C6604" t="s">
        <v>4292</v>
      </c>
    </row>
    <row r="6605" spans="2:3" hidden="1" outlineLevel="2" x14ac:dyDescent="0.3">
      <c r="C6605" t="s">
        <v>4293</v>
      </c>
    </row>
    <row r="6606" spans="2:3" hidden="1" outlineLevel="2" x14ac:dyDescent="0.3">
      <c r="C6606" t="s">
        <v>4294</v>
      </c>
    </row>
    <row r="6607" spans="2:3" hidden="1" outlineLevel="2" x14ac:dyDescent="0.3">
      <c r="C6607" t="s">
        <v>4295</v>
      </c>
    </row>
    <row r="6608" spans="2:3" outlineLevel="1" collapsed="1" x14ac:dyDescent="0.3">
      <c r="B6608" t="s">
        <v>2752</v>
      </c>
    </row>
    <row r="6609" spans="2:3" outlineLevel="1" x14ac:dyDescent="0.3">
      <c r="B6609" t="s">
        <v>2753</v>
      </c>
    </row>
    <row r="6610" spans="2:3" outlineLevel="1" x14ac:dyDescent="0.3">
      <c r="B6610" t="s">
        <v>2754</v>
      </c>
    </row>
    <row r="6611" spans="2:3" hidden="1" outlineLevel="2" x14ac:dyDescent="0.3">
      <c r="C6611" t="s">
        <v>2755</v>
      </c>
    </row>
    <row r="6612" spans="2:3" hidden="1" outlineLevel="2" x14ac:dyDescent="0.3">
      <c r="C6612" t="s">
        <v>2756</v>
      </c>
    </row>
    <row r="6613" spans="2:3" hidden="1" outlineLevel="2" x14ac:dyDescent="0.3">
      <c r="C6613" t="s">
        <v>2757</v>
      </c>
    </row>
    <row r="6614" spans="2:3" hidden="1" outlineLevel="2" x14ac:dyDescent="0.3">
      <c r="C6614" t="s">
        <v>2758</v>
      </c>
    </row>
    <row r="6615" spans="2:3" hidden="1" outlineLevel="2" x14ac:dyDescent="0.3">
      <c r="C6615" t="s">
        <v>2759</v>
      </c>
    </row>
    <row r="6616" spans="2:3" outlineLevel="1" collapsed="1" x14ac:dyDescent="0.3">
      <c r="B6616" t="s">
        <v>2760</v>
      </c>
    </row>
    <row r="6617" spans="2:3" outlineLevel="1" x14ac:dyDescent="0.3">
      <c r="B6617" t="s">
        <v>2761</v>
      </c>
    </row>
    <row r="6618" spans="2:3" hidden="1" outlineLevel="2" x14ac:dyDescent="0.3">
      <c r="C6618" t="s">
        <v>3759</v>
      </c>
    </row>
    <row r="6619" spans="2:3" hidden="1" outlineLevel="2" x14ac:dyDescent="0.3">
      <c r="C6619" t="s">
        <v>2763</v>
      </c>
    </row>
    <row r="6620" spans="2:3" hidden="1" outlineLevel="2" x14ac:dyDescent="0.3">
      <c r="C6620" t="s">
        <v>2764</v>
      </c>
    </row>
    <row r="6621" spans="2:3" hidden="1" outlineLevel="2" x14ac:dyDescent="0.3">
      <c r="C6621" t="s">
        <v>2765</v>
      </c>
    </row>
    <row r="6622" spans="2:3" hidden="1" outlineLevel="2" x14ac:dyDescent="0.3">
      <c r="C6622" t="s">
        <v>2766</v>
      </c>
    </row>
    <row r="6623" spans="2:3" outlineLevel="1" collapsed="1" x14ac:dyDescent="0.3">
      <c r="B6623" t="s">
        <v>2767</v>
      </c>
    </row>
    <row r="6624" spans="2:3" outlineLevel="1" x14ac:dyDescent="0.3">
      <c r="B6624" t="s">
        <v>2768</v>
      </c>
    </row>
    <row r="6625" spans="2:4" outlineLevel="1" x14ac:dyDescent="0.3">
      <c r="B6625" t="s">
        <v>2769</v>
      </c>
    </row>
    <row r="6626" spans="2:4" outlineLevel="1" x14ac:dyDescent="0.3">
      <c r="B6626" t="s">
        <v>2770</v>
      </c>
    </row>
    <row r="6627" spans="2:4" outlineLevel="1" x14ac:dyDescent="0.3">
      <c r="B6627" t="s">
        <v>2771</v>
      </c>
    </row>
    <row r="6628" spans="2:4" outlineLevel="1" x14ac:dyDescent="0.3">
      <c r="B6628" t="s">
        <v>2772</v>
      </c>
    </row>
    <row r="6629" spans="2:4" hidden="1" outlineLevel="2" x14ac:dyDescent="0.3">
      <c r="C6629" t="s">
        <v>2773</v>
      </c>
    </row>
    <row r="6630" spans="2:4" hidden="1" outlineLevel="2" x14ac:dyDescent="0.3">
      <c r="C6630" t="s">
        <v>2774</v>
      </c>
    </row>
    <row r="6631" spans="2:4" hidden="1" outlineLevel="3" x14ac:dyDescent="0.3">
      <c r="D6631" t="s">
        <v>4296</v>
      </c>
    </row>
    <row r="6632" spans="2:4" hidden="1" outlineLevel="3" x14ac:dyDescent="0.3">
      <c r="D6632" t="s">
        <v>4297</v>
      </c>
    </row>
    <row r="6633" spans="2:4" hidden="1" outlineLevel="3" x14ac:dyDescent="0.3">
      <c r="D6633" t="s">
        <v>4298</v>
      </c>
    </row>
    <row r="6634" spans="2:4" hidden="1" outlineLevel="3" x14ac:dyDescent="0.3">
      <c r="D6634" t="s">
        <v>4299</v>
      </c>
    </row>
    <row r="6635" spans="2:4" hidden="1" outlineLevel="3" x14ac:dyDescent="0.3">
      <c r="D6635" t="s">
        <v>4300</v>
      </c>
    </row>
    <row r="6636" spans="2:4" hidden="1" outlineLevel="3" x14ac:dyDescent="0.3">
      <c r="D6636" t="s">
        <v>4301</v>
      </c>
    </row>
    <row r="6637" spans="2:4" hidden="1" outlineLevel="2" x14ac:dyDescent="0.3">
      <c r="C6637" t="s">
        <v>2776</v>
      </c>
    </row>
    <row r="6638" spans="2:4" hidden="1" outlineLevel="2" x14ac:dyDescent="0.3">
      <c r="C6638" t="s">
        <v>2777</v>
      </c>
    </row>
    <row r="6639" spans="2:4" hidden="1" outlineLevel="3" x14ac:dyDescent="0.3">
      <c r="D6639" t="s">
        <v>4302</v>
      </c>
    </row>
    <row r="6640" spans="2:4" hidden="1" outlineLevel="3" x14ac:dyDescent="0.3">
      <c r="D6640" t="s">
        <v>4303</v>
      </c>
    </row>
    <row r="6641" spans="3:4" hidden="1" outlineLevel="3" x14ac:dyDescent="0.3">
      <c r="D6641" t="s">
        <v>4304</v>
      </c>
    </row>
    <row r="6642" spans="3:4" hidden="1" outlineLevel="3" x14ac:dyDescent="0.3">
      <c r="D6642" t="s">
        <v>4305</v>
      </c>
    </row>
    <row r="6643" spans="3:4" hidden="1" outlineLevel="3" x14ac:dyDescent="0.3">
      <c r="D6643" t="s">
        <v>4306</v>
      </c>
    </row>
    <row r="6644" spans="3:4" hidden="1" outlineLevel="3" x14ac:dyDescent="0.3">
      <c r="D6644" t="s">
        <v>4307</v>
      </c>
    </row>
    <row r="6645" spans="3:4" hidden="1" outlineLevel="3" x14ac:dyDescent="0.3">
      <c r="D6645" t="s">
        <v>4308</v>
      </c>
    </row>
    <row r="6646" spans="3:4" hidden="1" outlineLevel="2" x14ac:dyDescent="0.3">
      <c r="C6646" t="s">
        <v>2778</v>
      </c>
    </row>
    <row r="6647" spans="3:4" hidden="1" outlineLevel="3" x14ac:dyDescent="0.3">
      <c r="D6647" t="s">
        <v>4309</v>
      </c>
    </row>
    <row r="6648" spans="3:4" hidden="1" outlineLevel="3" x14ac:dyDescent="0.3">
      <c r="D6648" t="s">
        <v>4310</v>
      </c>
    </row>
    <row r="6649" spans="3:4" hidden="1" outlineLevel="3" x14ac:dyDescent="0.3">
      <c r="D6649" t="s">
        <v>4311</v>
      </c>
    </row>
    <row r="6650" spans="3:4" hidden="1" outlineLevel="2" x14ac:dyDescent="0.3">
      <c r="C6650" t="s">
        <v>2779</v>
      </c>
    </row>
    <row r="6651" spans="3:4" hidden="1" outlineLevel="2" x14ac:dyDescent="0.3">
      <c r="C6651" t="s">
        <v>2780</v>
      </c>
    </row>
    <row r="6652" spans="3:4" hidden="1" outlineLevel="2" x14ac:dyDescent="0.3">
      <c r="C6652" t="s">
        <v>2781</v>
      </c>
    </row>
    <row r="6653" spans="3:4" hidden="1" outlineLevel="2" x14ac:dyDescent="0.3">
      <c r="C6653" t="s">
        <v>2782</v>
      </c>
    </row>
    <row r="6654" spans="3:4" hidden="1" outlineLevel="2" x14ac:dyDescent="0.3">
      <c r="C6654" t="s">
        <v>2783</v>
      </c>
    </row>
    <row r="6655" spans="3:4" hidden="1" outlineLevel="2" x14ac:dyDescent="0.3">
      <c r="C6655" t="s">
        <v>2784</v>
      </c>
    </row>
    <row r="6656" spans="3:4" hidden="1" outlineLevel="2" x14ac:dyDescent="0.3">
      <c r="C6656" t="s">
        <v>2785</v>
      </c>
    </row>
    <row r="6657" spans="3:4" hidden="1" outlineLevel="2" x14ac:dyDescent="0.3">
      <c r="C6657" t="s">
        <v>2786</v>
      </c>
    </row>
    <row r="6658" spans="3:4" hidden="1" outlineLevel="2" x14ac:dyDescent="0.3">
      <c r="C6658" t="s">
        <v>2787</v>
      </c>
    </row>
    <row r="6659" spans="3:4" hidden="1" outlineLevel="2" x14ac:dyDescent="0.3">
      <c r="C6659" t="s">
        <v>4312</v>
      </c>
    </row>
    <row r="6660" spans="3:4" hidden="1" outlineLevel="2" x14ac:dyDescent="0.3">
      <c r="C6660" t="s">
        <v>4313</v>
      </c>
    </row>
    <row r="6661" spans="3:4" hidden="1" outlineLevel="3" x14ac:dyDescent="0.3">
      <c r="D6661" t="s">
        <v>4314</v>
      </c>
    </row>
    <row r="6662" spans="3:4" hidden="1" outlineLevel="3" x14ac:dyDescent="0.3">
      <c r="D6662" t="s">
        <v>4315</v>
      </c>
    </row>
    <row r="6663" spans="3:4" hidden="1" outlineLevel="3" x14ac:dyDescent="0.3">
      <c r="D6663" t="s">
        <v>4316</v>
      </c>
    </row>
    <row r="6664" spans="3:4" hidden="1" outlineLevel="2" x14ac:dyDescent="0.3">
      <c r="C6664" t="s">
        <v>2791</v>
      </c>
    </row>
    <row r="6665" spans="3:4" hidden="1" outlineLevel="3" x14ac:dyDescent="0.3">
      <c r="D6665" t="s">
        <v>4317</v>
      </c>
    </row>
    <row r="6666" spans="3:4" hidden="1" outlineLevel="3" x14ac:dyDescent="0.3">
      <c r="D6666" t="s">
        <v>4318</v>
      </c>
    </row>
    <row r="6667" spans="3:4" hidden="1" outlineLevel="3" x14ac:dyDescent="0.3">
      <c r="D6667" t="s">
        <v>4319</v>
      </c>
    </row>
    <row r="6668" spans="3:4" hidden="1" outlineLevel="3" x14ac:dyDescent="0.3">
      <c r="D6668" t="s">
        <v>4320</v>
      </c>
    </row>
    <row r="6669" spans="3:4" hidden="1" outlineLevel="2" x14ac:dyDescent="0.3">
      <c r="C6669" t="s">
        <v>2792</v>
      </c>
    </row>
    <row r="6670" spans="3:4" hidden="1" outlineLevel="2" x14ac:dyDescent="0.3">
      <c r="C6670" t="s">
        <v>2793</v>
      </c>
    </row>
    <row r="6671" spans="3:4" hidden="1" outlineLevel="2" x14ac:dyDescent="0.3">
      <c r="C6671" t="s">
        <v>2794</v>
      </c>
    </row>
    <row r="6672" spans="3:4" hidden="1" outlineLevel="2" x14ac:dyDescent="0.3">
      <c r="C6672" t="s">
        <v>2795</v>
      </c>
    </row>
    <row r="6673" spans="1:4" hidden="1" outlineLevel="2" x14ac:dyDescent="0.3">
      <c r="C6673" t="s">
        <v>2796</v>
      </c>
    </row>
    <row r="6674" spans="1:4" hidden="1" outlineLevel="2" x14ac:dyDescent="0.3">
      <c r="C6674" t="s">
        <v>2797</v>
      </c>
    </row>
    <row r="6675" spans="1:4" hidden="1" outlineLevel="2" x14ac:dyDescent="0.3">
      <c r="C6675" t="s">
        <v>2798</v>
      </c>
    </row>
    <row r="6676" spans="1:4" x14ac:dyDescent="0.3">
      <c r="A6676" t="s">
        <v>927</v>
      </c>
    </row>
    <row r="6677" spans="1:4" x14ac:dyDescent="0.3">
      <c r="A6677" t="s">
        <v>928</v>
      </c>
    </row>
    <row r="6678" spans="1:4" x14ac:dyDescent="0.3">
      <c r="A6678" t="s">
        <v>929</v>
      </c>
    </row>
    <row r="6679" spans="1:4" x14ac:dyDescent="0.3">
      <c r="A6679" t="s">
        <v>930</v>
      </c>
    </row>
    <row r="6680" spans="1:4" outlineLevel="1" x14ac:dyDescent="0.3">
      <c r="B6680" t="s">
        <v>931</v>
      </c>
    </row>
    <row r="6681" spans="1:4" outlineLevel="1" x14ac:dyDescent="0.3">
      <c r="B6681" t="s">
        <v>932</v>
      </c>
    </row>
    <row r="6682" spans="1:4" outlineLevel="1" x14ac:dyDescent="0.3">
      <c r="B6682" t="s">
        <v>933</v>
      </c>
    </row>
    <row r="6683" spans="1:4" hidden="1" outlineLevel="2" x14ac:dyDescent="0.3">
      <c r="C6683" t="s">
        <v>934</v>
      </c>
    </row>
    <row r="6684" spans="1:4" hidden="1" outlineLevel="3" x14ac:dyDescent="0.3">
      <c r="D6684" t="s">
        <v>935</v>
      </c>
    </row>
    <row r="6685" spans="1:4" hidden="1" outlineLevel="3" x14ac:dyDescent="0.3">
      <c r="D6685" t="s">
        <v>936</v>
      </c>
    </row>
    <row r="6686" spans="1:4" hidden="1" outlineLevel="2" x14ac:dyDescent="0.3">
      <c r="C6686" t="s">
        <v>937</v>
      </c>
    </row>
    <row r="6687" spans="1:4" hidden="1" outlineLevel="2" x14ac:dyDescent="0.3">
      <c r="C6687" t="s">
        <v>938</v>
      </c>
    </row>
    <row r="6688" spans="1:4" hidden="1" outlineLevel="3" x14ac:dyDescent="0.3">
      <c r="D6688" t="s">
        <v>939</v>
      </c>
    </row>
    <row r="6689" spans="3:4" hidden="1" outlineLevel="3" x14ac:dyDescent="0.3">
      <c r="D6689" t="s">
        <v>940</v>
      </c>
    </row>
    <row r="6690" spans="3:4" hidden="1" outlineLevel="3" x14ac:dyDescent="0.3">
      <c r="D6690" t="s">
        <v>941</v>
      </c>
    </row>
    <row r="6691" spans="3:4" hidden="1" outlineLevel="3" x14ac:dyDescent="0.3">
      <c r="D6691" t="s">
        <v>942</v>
      </c>
    </row>
    <row r="6692" spans="3:4" hidden="1" outlineLevel="3" x14ac:dyDescent="0.3">
      <c r="D6692" t="s">
        <v>943</v>
      </c>
    </row>
    <row r="6693" spans="3:4" hidden="1" outlineLevel="3" x14ac:dyDescent="0.3">
      <c r="D6693" t="s">
        <v>944</v>
      </c>
    </row>
    <row r="6694" spans="3:4" hidden="1" outlineLevel="3" x14ac:dyDescent="0.3">
      <c r="D6694" t="s">
        <v>945</v>
      </c>
    </row>
    <row r="6695" spans="3:4" hidden="1" outlineLevel="3" x14ac:dyDescent="0.3">
      <c r="D6695" t="s">
        <v>946</v>
      </c>
    </row>
    <row r="6696" spans="3:4" hidden="1" outlineLevel="3" x14ac:dyDescent="0.3">
      <c r="D6696" t="s">
        <v>947</v>
      </c>
    </row>
    <row r="6697" spans="3:4" hidden="1" outlineLevel="3" x14ac:dyDescent="0.3">
      <c r="D6697" t="s">
        <v>948</v>
      </c>
    </row>
    <row r="6698" spans="3:4" hidden="1" outlineLevel="3" x14ac:dyDescent="0.3">
      <c r="D6698" t="s">
        <v>949</v>
      </c>
    </row>
    <row r="6699" spans="3:4" hidden="1" outlineLevel="3" x14ac:dyDescent="0.3">
      <c r="D6699" t="s">
        <v>950</v>
      </c>
    </row>
    <row r="6700" spans="3:4" hidden="1" outlineLevel="3" x14ac:dyDescent="0.3">
      <c r="D6700" t="s">
        <v>951</v>
      </c>
    </row>
    <row r="6701" spans="3:4" hidden="1" outlineLevel="3" x14ac:dyDescent="0.3">
      <c r="D6701" t="s">
        <v>952</v>
      </c>
    </row>
    <row r="6702" spans="3:4" hidden="1" outlineLevel="3" x14ac:dyDescent="0.3">
      <c r="D6702" t="s">
        <v>953</v>
      </c>
    </row>
    <row r="6703" spans="3:4" hidden="1" outlineLevel="2" x14ac:dyDescent="0.3">
      <c r="C6703" t="s">
        <v>954</v>
      </c>
    </row>
    <row r="6704" spans="3:4" hidden="1" outlineLevel="3" x14ac:dyDescent="0.3">
      <c r="D6704" t="s">
        <v>955</v>
      </c>
    </row>
    <row r="6705" spans="3:4" hidden="1" outlineLevel="3" x14ac:dyDescent="0.3">
      <c r="D6705" t="s">
        <v>956</v>
      </c>
    </row>
    <row r="6706" spans="3:4" hidden="1" outlineLevel="3" x14ac:dyDescent="0.3">
      <c r="D6706" t="s">
        <v>957</v>
      </c>
    </row>
    <row r="6707" spans="3:4" hidden="1" outlineLevel="3" x14ac:dyDescent="0.3">
      <c r="D6707" t="s">
        <v>958</v>
      </c>
    </row>
    <row r="6708" spans="3:4" hidden="1" outlineLevel="3" x14ac:dyDescent="0.3">
      <c r="D6708" t="s">
        <v>959</v>
      </c>
    </row>
    <row r="6709" spans="3:4" hidden="1" outlineLevel="3" x14ac:dyDescent="0.3">
      <c r="D6709" t="s">
        <v>960</v>
      </c>
    </row>
    <row r="6710" spans="3:4" hidden="1" outlineLevel="3" x14ac:dyDescent="0.3">
      <c r="D6710" t="s">
        <v>961</v>
      </c>
    </row>
    <row r="6711" spans="3:4" hidden="1" outlineLevel="3" x14ac:dyDescent="0.3">
      <c r="D6711" t="s">
        <v>962</v>
      </c>
    </row>
    <row r="6712" spans="3:4" hidden="1" outlineLevel="3" x14ac:dyDescent="0.3">
      <c r="D6712" t="s">
        <v>963</v>
      </c>
    </row>
    <row r="6713" spans="3:4" hidden="1" outlineLevel="2" x14ac:dyDescent="0.3">
      <c r="C6713" t="s">
        <v>964</v>
      </c>
    </row>
    <row r="6714" spans="3:4" hidden="1" outlineLevel="3" x14ac:dyDescent="0.3">
      <c r="D6714" t="s">
        <v>965</v>
      </c>
    </row>
    <row r="6715" spans="3:4" hidden="1" outlineLevel="3" x14ac:dyDescent="0.3">
      <c r="D6715" t="s">
        <v>966</v>
      </c>
    </row>
    <row r="6716" spans="3:4" hidden="1" outlineLevel="3" x14ac:dyDescent="0.3">
      <c r="D6716" t="s">
        <v>967</v>
      </c>
    </row>
    <row r="6717" spans="3:4" hidden="1" outlineLevel="3" x14ac:dyDescent="0.3">
      <c r="D6717" t="s">
        <v>968</v>
      </c>
    </row>
    <row r="6718" spans="3:4" hidden="1" outlineLevel="3" x14ac:dyDescent="0.3">
      <c r="D6718" t="s">
        <v>969</v>
      </c>
    </row>
    <row r="6719" spans="3:4" hidden="1" outlineLevel="3" x14ac:dyDescent="0.3">
      <c r="D6719" t="s">
        <v>970</v>
      </c>
    </row>
    <row r="6720" spans="3:4" hidden="1" outlineLevel="3" x14ac:dyDescent="0.3">
      <c r="D6720" t="s">
        <v>971</v>
      </c>
    </row>
    <row r="6721" spans="3:4" hidden="1" outlineLevel="3" x14ac:dyDescent="0.3">
      <c r="D6721" t="s">
        <v>972</v>
      </c>
    </row>
    <row r="6722" spans="3:4" hidden="1" outlineLevel="3" x14ac:dyDescent="0.3">
      <c r="D6722" t="s">
        <v>973</v>
      </c>
    </row>
    <row r="6723" spans="3:4" hidden="1" outlineLevel="3" x14ac:dyDescent="0.3">
      <c r="D6723" t="s">
        <v>974</v>
      </c>
    </row>
    <row r="6724" spans="3:4" hidden="1" outlineLevel="3" x14ac:dyDescent="0.3">
      <c r="D6724" t="s">
        <v>975</v>
      </c>
    </row>
    <row r="6725" spans="3:4" hidden="1" outlineLevel="3" x14ac:dyDescent="0.3">
      <c r="D6725" t="s">
        <v>976</v>
      </c>
    </row>
    <row r="6726" spans="3:4" hidden="1" outlineLevel="3" x14ac:dyDescent="0.3">
      <c r="D6726" t="s">
        <v>977</v>
      </c>
    </row>
    <row r="6727" spans="3:4" hidden="1" outlineLevel="3" x14ac:dyDescent="0.3">
      <c r="D6727" t="s">
        <v>978</v>
      </c>
    </row>
    <row r="6728" spans="3:4" hidden="1" outlineLevel="2" x14ac:dyDescent="0.3">
      <c r="C6728" t="s">
        <v>979</v>
      </c>
    </row>
    <row r="6729" spans="3:4" hidden="1" outlineLevel="2" x14ac:dyDescent="0.3">
      <c r="C6729" t="s">
        <v>980</v>
      </c>
    </row>
    <row r="6730" spans="3:4" hidden="1" outlineLevel="2" x14ac:dyDescent="0.3">
      <c r="C6730" t="s">
        <v>2799</v>
      </c>
    </row>
    <row r="6731" spans="3:4" hidden="1" outlineLevel="3" x14ac:dyDescent="0.3">
      <c r="D6731" t="s">
        <v>981</v>
      </c>
    </row>
    <row r="6732" spans="3:4" hidden="1" outlineLevel="3" x14ac:dyDescent="0.3">
      <c r="D6732" t="s">
        <v>982</v>
      </c>
    </row>
    <row r="6733" spans="3:4" hidden="1" outlineLevel="3" x14ac:dyDescent="0.3">
      <c r="D6733" t="s">
        <v>4321</v>
      </c>
    </row>
    <row r="6734" spans="3:4" hidden="1" outlineLevel="3" x14ac:dyDescent="0.3">
      <c r="D6734" t="s">
        <v>4322</v>
      </c>
    </row>
    <row r="6735" spans="3:4" hidden="1" outlineLevel="3" x14ac:dyDescent="0.3">
      <c r="D6735" t="s">
        <v>983</v>
      </c>
    </row>
    <row r="6736" spans="3:4" hidden="1" outlineLevel="3" x14ac:dyDescent="0.3">
      <c r="D6736" t="s">
        <v>2800</v>
      </c>
    </row>
    <row r="6737" spans="1:4" hidden="1" outlineLevel="3" x14ac:dyDescent="0.3">
      <c r="D6737" t="s">
        <v>985</v>
      </c>
    </row>
    <row r="6738" spans="1:4" hidden="1" outlineLevel="3" x14ac:dyDescent="0.3">
      <c r="D6738" t="s">
        <v>986</v>
      </c>
    </row>
    <row r="6739" spans="1:4" hidden="1" outlineLevel="3" x14ac:dyDescent="0.3">
      <c r="D6739" t="s">
        <v>2801</v>
      </c>
    </row>
    <row r="6740" spans="1:4" hidden="1" outlineLevel="3" x14ac:dyDescent="0.3">
      <c r="D6740" t="s">
        <v>2802</v>
      </c>
    </row>
    <row r="6741" spans="1:4" hidden="1" outlineLevel="3" x14ac:dyDescent="0.3">
      <c r="D6741" t="s">
        <v>993</v>
      </c>
    </row>
    <row r="6742" spans="1:4" hidden="1" outlineLevel="3" x14ac:dyDescent="0.3">
      <c r="D6742" t="s">
        <v>994</v>
      </c>
    </row>
    <row r="6743" spans="1:4" hidden="1" outlineLevel="3" x14ac:dyDescent="0.3">
      <c r="D6743" t="s">
        <v>995</v>
      </c>
    </row>
    <row r="6744" spans="1:4" outlineLevel="1" collapsed="1" x14ac:dyDescent="0.3">
      <c r="B6744" t="s">
        <v>996</v>
      </c>
    </row>
    <row r="6745" spans="1:4" outlineLevel="1" x14ac:dyDescent="0.3">
      <c r="B6745" t="s">
        <v>997</v>
      </c>
    </row>
    <row r="6746" spans="1:4" outlineLevel="1" x14ac:dyDescent="0.3">
      <c r="B6746" t="s">
        <v>998</v>
      </c>
    </row>
    <row r="6747" spans="1:4" x14ac:dyDescent="0.3">
      <c r="A6747" t="s">
        <v>999</v>
      </c>
    </row>
    <row r="6748" spans="1:4" outlineLevel="1" x14ac:dyDescent="0.3">
      <c r="B6748" t="s">
        <v>2803</v>
      </c>
    </row>
    <row r="6749" spans="1:4" outlineLevel="1" x14ac:dyDescent="0.3">
      <c r="B6749" t="s">
        <v>2804</v>
      </c>
    </row>
    <row r="6750" spans="1:4" outlineLevel="1" x14ac:dyDescent="0.3">
      <c r="B6750" t="s">
        <v>2805</v>
      </c>
    </row>
    <row r="6751" spans="1:4" hidden="1" outlineLevel="2" x14ac:dyDescent="0.3">
      <c r="C6751" t="s">
        <v>4323</v>
      </c>
    </row>
    <row r="6752" spans="1:4" hidden="1" outlineLevel="2" x14ac:dyDescent="0.3">
      <c r="C6752" t="s">
        <v>4324</v>
      </c>
    </row>
    <row r="6753" spans="2:3" hidden="1" outlineLevel="2" x14ac:dyDescent="0.3">
      <c r="C6753" t="s">
        <v>4325</v>
      </c>
    </row>
    <row r="6754" spans="2:3" outlineLevel="1" collapsed="1" x14ac:dyDescent="0.3">
      <c r="B6754" t="s">
        <v>2806</v>
      </c>
    </row>
    <row r="6755" spans="2:3" outlineLevel="1" x14ac:dyDescent="0.3">
      <c r="B6755" t="s">
        <v>2807</v>
      </c>
    </row>
    <row r="6756" spans="2:3" hidden="1" outlineLevel="2" x14ac:dyDescent="0.3">
      <c r="C6756" t="s">
        <v>4326</v>
      </c>
    </row>
    <row r="6757" spans="2:3" hidden="1" outlineLevel="2" x14ac:dyDescent="0.3">
      <c r="C6757" t="s">
        <v>4327</v>
      </c>
    </row>
    <row r="6758" spans="2:3" hidden="1" outlineLevel="2" x14ac:dyDescent="0.3">
      <c r="C6758" t="s">
        <v>4328</v>
      </c>
    </row>
    <row r="6759" spans="2:3" hidden="1" outlineLevel="2" x14ac:dyDescent="0.3">
      <c r="C6759" t="s">
        <v>4329</v>
      </c>
    </row>
    <row r="6760" spans="2:3" outlineLevel="1" collapsed="1" x14ac:dyDescent="0.3">
      <c r="B6760" t="s">
        <v>2808</v>
      </c>
    </row>
    <row r="6761" spans="2:3" hidden="1" outlineLevel="2" x14ac:dyDescent="0.3">
      <c r="C6761" t="s">
        <v>2809</v>
      </c>
    </row>
    <row r="6762" spans="2:3" hidden="1" outlineLevel="2" x14ac:dyDescent="0.3">
      <c r="C6762" t="s">
        <v>2810</v>
      </c>
    </row>
    <row r="6763" spans="2:3" hidden="1" outlineLevel="2" x14ac:dyDescent="0.3">
      <c r="C6763" t="s">
        <v>2811</v>
      </c>
    </row>
    <row r="6764" spans="2:3" hidden="1" outlineLevel="2" x14ac:dyDescent="0.3">
      <c r="C6764" t="s">
        <v>2812</v>
      </c>
    </row>
    <row r="6765" spans="2:3" hidden="1" outlineLevel="2" x14ac:dyDescent="0.3">
      <c r="C6765" t="s">
        <v>2813</v>
      </c>
    </row>
    <row r="6766" spans="2:3" outlineLevel="1" collapsed="1" x14ac:dyDescent="0.3">
      <c r="B6766" t="s">
        <v>4330</v>
      </c>
    </row>
    <row r="6767" spans="2:3" hidden="1" outlineLevel="2" x14ac:dyDescent="0.3">
      <c r="C6767" t="s">
        <v>4331</v>
      </c>
    </row>
    <row r="6768" spans="2:3" hidden="1" outlineLevel="2" x14ac:dyDescent="0.3">
      <c r="C6768" t="s">
        <v>2814</v>
      </c>
    </row>
    <row r="6769" spans="2:4" hidden="1" outlineLevel="3" x14ac:dyDescent="0.3">
      <c r="D6769" t="s">
        <v>2815</v>
      </c>
    </row>
    <row r="6770" spans="2:4" hidden="1" outlineLevel="3" x14ac:dyDescent="0.3">
      <c r="D6770" t="s">
        <v>2816</v>
      </c>
    </row>
    <row r="6771" spans="2:4" hidden="1" outlineLevel="3" x14ac:dyDescent="0.3">
      <c r="D6771" t="s">
        <v>2817</v>
      </c>
    </row>
    <row r="6772" spans="2:4" hidden="1" outlineLevel="3" x14ac:dyDescent="0.3">
      <c r="D6772" t="s">
        <v>2818</v>
      </c>
    </row>
    <row r="6773" spans="2:4" hidden="1" outlineLevel="3" x14ac:dyDescent="0.3">
      <c r="D6773" t="s">
        <v>2819</v>
      </c>
    </row>
    <row r="6774" spans="2:4" outlineLevel="1" collapsed="1" x14ac:dyDescent="0.3">
      <c r="B6774" t="s">
        <v>2820</v>
      </c>
    </row>
    <row r="6775" spans="2:4" hidden="1" outlineLevel="2" x14ac:dyDescent="0.3">
      <c r="C6775" t="s">
        <v>4332</v>
      </c>
    </row>
    <row r="6776" spans="2:4" hidden="1" outlineLevel="3" x14ac:dyDescent="0.3">
      <c r="D6776" t="s">
        <v>4333</v>
      </c>
    </row>
    <row r="6777" spans="2:4" hidden="1" outlineLevel="3" x14ac:dyDescent="0.3">
      <c r="D6777" t="s">
        <v>4334</v>
      </c>
    </row>
    <row r="6778" spans="2:4" hidden="1" outlineLevel="3" x14ac:dyDescent="0.3">
      <c r="D6778" t="s">
        <v>4335</v>
      </c>
    </row>
    <row r="6779" spans="2:4" hidden="1" outlineLevel="3" x14ac:dyDescent="0.3">
      <c r="D6779" t="s">
        <v>4336</v>
      </c>
    </row>
    <row r="6780" spans="2:4" hidden="1" outlineLevel="3" x14ac:dyDescent="0.3">
      <c r="D6780" t="s">
        <v>4337</v>
      </c>
    </row>
    <row r="6781" spans="2:4" hidden="1" outlineLevel="3" x14ac:dyDescent="0.3">
      <c r="D6781" t="s">
        <v>4338</v>
      </c>
    </row>
    <row r="6782" spans="2:4" hidden="1" outlineLevel="3" x14ac:dyDescent="0.3">
      <c r="D6782" t="s">
        <v>4339</v>
      </c>
    </row>
    <row r="6783" spans="2:4" hidden="1" outlineLevel="2" x14ac:dyDescent="0.3">
      <c r="C6783" t="s">
        <v>4340</v>
      </c>
    </row>
    <row r="6784" spans="2:4" hidden="1" outlineLevel="2" x14ac:dyDescent="0.3">
      <c r="C6784" t="s">
        <v>4341</v>
      </c>
    </row>
    <row r="6785" spans="2:4" hidden="1" outlineLevel="3" x14ac:dyDescent="0.3">
      <c r="D6785" t="s">
        <v>4342</v>
      </c>
    </row>
    <row r="6786" spans="2:4" hidden="1" outlineLevel="3" x14ac:dyDescent="0.3">
      <c r="D6786" t="s">
        <v>4343</v>
      </c>
    </row>
    <row r="6787" spans="2:4" hidden="1" outlineLevel="3" x14ac:dyDescent="0.3">
      <c r="D6787" t="s">
        <v>4344</v>
      </c>
    </row>
    <row r="6788" spans="2:4" hidden="1" outlineLevel="2" x14ac:dyDescent="0.3">
      <c r="C6788" t="s">
        <v>4345</v>
      </c>
    </row>
    <row r="6789" spans="2:4" hidden="1" outlineLevel="2" x14ac:dyDescent="0.3">
      <c r="C6789" t="s">
        <v>2851</v>
      </c>
    </row>
    <row r="6790" spans="2:4" outlineLevel="1" collapsed="1" x14ac:dyDescent="0.3">
      <c r="B6790" t="s">
        <v>2852</v>
      </c>
    </row>
    <row r="6791" spans="2:4" hidden="1" outlineLevel="2" x14ac:dyDescent="0.3">
      <c r="C6791" t="s">
        <v>4346</v>
      </c>
    </row>
    <row r="6792" spans="2:4" hidden="1" outlineLevel="3" x14ac:dyDescent="0.3">
      <c r="D6792" t="s">
        <v>2853</v>
      </c>
    </row>
    <row r="6793" spans="2:4" hidden="1" outlineLevel="3" x14ac:dyDescent="0.3">
      <c r="D6793" t="s">
        <v>4347</v>
      </c>
    </row>
    <row r="6794" spans="2:4" hidden="1" outlineLevel="3" x14ac:dyDescent="0.3">
      <c r="D6794" t="s">
        <v>4348</v>
      </c>
    </row>
    <row r="6795" spans="2:4" hidden="1" outlineLevel="3" x14ac:dyDescent="0.3">
      <c r="D6795" t="s">
        <v>4349</v>
      </c>
    </row>
    <row r="6796" spans="2:4" hidden="1" outlineLevel="3" x14ac:dyDescent="0.3">
      <c r="D6796" t="s">
        <v>4350</v>
      </c>
    </row>
    <row r="6797" spans="2:4" hidden="1" outlineLevel="3" x14ac:dyDescent="0.3">
      <c r="D6797" t="s">
        <v>4351</v>
      </c>
    </row>
    <row r="6798" spans="2:4" hidden="1" outlineLevel="3" x14ac:dyDescent="0.3">
      <c r="D6798" t="s">
        <v>4352</v>
      </c>
    </row>
    <row r="6799" spans="2:4" hidden="1" outlineLevel="3" x14ac:dyDescent="0.3">
      <c r="D6799" t="s">
        <v>4353</v>
      </c>
    </row>
    <row r="6800" spans="2:4" hidden="1" outlineLevel="3" x14ac:dyDescent="0.3">
      <c r="D6800" t="s">
        <v>4354</v>
      </c>
    </row>
    <row r="6801" spans="3:4" hidden="1" outlineLevel="2" x14ac:dyDescent="0.3">
      <c r="C6801" t="s">
        <v>2857</v>
      </c>
    </row>
    <row r="6802" spans="3:4" hidden="1" outlineLevel="2" x14ac:dyDescent="0.3">
      <c r="C6802" t="s">
        <v>4355</v>
      </c>
    </row>
    <row r="6803" spans="3:4" hidden="1" outlineLevel="2" x14ac:dyDescent="0.3">
      <c r="C6803" t="s">
        <v>4356</v>
      </c>
    </row>
    <row r="6804" spans="3:4" hidden="1" outlineLevel="2" x14ac:dyDescent="0.3">
      <c r="C6804" t="s">
        <v>4357</v>
      </c>
    </row>
    <row r="6805" spans="3:4" hidden="1" outlineLevel="2" x14ac:dyDescent="0.3">
      <c r="C6805" t="s">
        <v>4358</v>
      </c>
    </row>
    <row r="6806" spans="3:4" hidden="1" outlineLevel="2" x14ac:dyDescent="0.3">
      <c r="C6806" t="s">
        <v>4359</v>
      </c>
    </row>
    <row r="6807" spans="3:4" hidden="1" outlineLevel="3" x14ac:dyDescent="0.3">
      <c r="D6807" t="s">
        <v>4360</v>
      </c>
    </row>
    <row r="6808" spans="3:4" hidden="1" outlineLevel="3" x14ac:dyDescent="0.3">
      <c r="D6808" t="s">
        <v>4361</v>
      </c>
    </row>
    <row r="6809" spans="3:4" hidden="1" outlineLevel="3" x14ac:dyDescent="0.3">
      <c r="D6809" t="s">
        <v>4362</v>
      </c>
    </row>
    <row r="6810" spans="3:4" hidden="1" outlineLevel="3" x14ac:dyDescent="0.3">
      <c r="D6810" t="s">
        <v>4363</v>
      </c>
    </row>
    <row r="6811" spans="3:4" hidden="1" outlineLevel="3" x14ac:dyDescent="0.3">
      <c r="D6811" t="s">
        <v>4364</v>
      </c>
    </row>
    <row r="6812" spans="3:4" hidden="1" outlineLevel="3" x14ac:dyDescent="0.3">
      <c r="D6812" t="s">
        <v>4365</v>
      </c>
    </row>
    <row r="6813" spans="3:4" hidden="1" outlineLevel="3" x14ac:dyDescent="0.3">
      <c r="D6813" t="s">
        <v>4366</v>
      </c>
    </row>
    <row r="6814" spans="3:4" hidden="1" outlineLevel="3" x14ac:dyDescent="0.3">
      <c r="D6814" t="s">
        <v>4367</v>
      </c>
    </row>
    <row r="6815" spans="3:4" hidden="1" outlineLevel="2" x14ac:dyDescent="0.3">
      <c r="C6815" t="s">
        <v>4368</v>
      </c>
    </row>
    <row r="6816" spans="3:4" hidden="1" outlineLevel="2" x14ac:dyDescent="0.3">
      <c r="C6816" t="s">
        <v>4369</v>
      </c>
    </row>
    <row r="6817" spans="2:3" hidden="1" outlineLevel="2" x14ac:dyDescent="0.3">
      <c r="C6817" t="s">
        <v>2881</v>
      </c>
    </row>
    <row r="6818" spans="2:3" hidden="1" outlineLevel="2" x14ac:dyDescent="0.3">
      <c r="C6818" t="s">
        <v>2882</v>
      </c>
    </row>
    <row r="6819" spans="2:3" outlineLevel="1" collapsed="1" x14ac:dyDescent="0.3">
      <c r="B6819" t="s">
        <v>2883</v>
      </c>
    </row>
    <row r="6820" spans="2:3" outlineLevel="1" x14ac:dyDescent="0.3">
      <c r="B6820" t="s">
        <v>2884</v>
      </c>
    </row>
    <row r="6821" spans="2:3" hidden="1" outlineLevel="2" x14ac:dyDescent="0.3">
      <c r="C6821" t="s">
        <v>2885</v>
      </c>
    </row>
    <row r="6822" spans="2:3" hidden="1" outlineLevel="2" x14ac:dyDescent="0.3">
      <c r="C6822" t="s">
        <v>2886</v>
      </c>
    </row>
    <row r="6823" spans="2:3" hidden="1" outlineLevel="2" x14ac:dyDescent="0.3">
      <c r="C6823" t="s">
        <v>2887</v>
      </c>
    </row>
    <row r="6824" spans="2:3" hidden="1" outlineLevel="2" x14ac:dyDescent="0.3">
      <c r="C6824" t="s">
        <v>2888</v>
      </c>
    </row>
    <row r="6825" spans="2:3" hidden="1" outlineLevel="2" x14ac:dyDescent="0.3">
      <c r="C6825" t="s">
        <v>2889</v>
      </c>
    </row>
    <row r="6826" spans="2:3" hidden="1" outlineLevel="2" x14ac:dyDescent="0.3">
      <c r="C6826" t="s">
        <v>2890</v>
      </c>
    </row>
    <row r="6827" spans="2:3" outlineLevel="1" collapsed="1" x14ac:dyDescent="0.3">
      <c r="B6827" t="s">
        <v>2891</v>
      </c>
    </row>
    <row r="6828" spans="2:3" hidden="1" outlineLevel="2" x14ac:dyDescent="0.3">
      <c r="C6828" t="s">
        <v>2892</v>
      </c>
    </row>
    <row r="6829" spans="2:3" hidden="1" outlineLevel="2" x14ac:dyDescent="0.3">
      <c r="C6829" t="s">
        <v>2893</v>
      </c>
    </row>
    <row r="6830" spans="2:3" hidden="1" outlineLevel="2" x14ac:dyDescent="0.3">
      <c r="C6830" t="s">
        <v>2895</v>
      </c>
    </row>
    <row r="6831" spans="2:3" hidden="1" outlineLevel="2" x14ac:dyDescent="0.3">
      <c r="C6831" t="s">
        <v>2896</v>
      </c>
    </row>
    <row r="6832" spans="2:3" hidden="1" outlineLevel="2" x14ac:dyDescent="0.3">
      <c r="C6832" t="s">
        <v>2898</v>
      </c>
    </row>
    <row r="6833" spans="2:4" outlineLevel="1" collapsed="1" x14ac:dyDescent="0.3">
      <c r="B6833" t="s">
        <v>2899</v>
      </c>
    </row>
    <row r="6834" spans="2:4" outlineLevel="1" x14ac:dyDescent="0.3">
      <c r="B6834" t="s">
        <v>2900</v>
      </c>
    </row>
    <row r="6835" spans="2:4" outlineLevel="1" x14ac:dyDescent="0.3">
      <c r="B6835" t="s">
        <v>2901</v>
      </c>
    </row>
    <row r="6836" spans="2:4" hidden="1" outlineLevel="2" x14ac:dyDescent="0.3">
      <c r="C6836" t="s">
        <v>2902</v>
      </c>
    </row>
    <row r="6837" spans="2:4" hidden="1" outlineLevel="2" x14ac:dyDescent="0.3">
      <c r="C6837" t="s">
        <v>2907</v>
      </c>
    </row>
    <row r="6838" spans="2:4" hidden="1" outlineLevel="3" x14ac:dyDescent="0.3">
      <c r="D6838" t="s">
        <v>2908</v>
      </c>
    </row>
    <row r="6839" spans="2:4" hidden="1" outlineLevel="3" x14ac:dyDescent="0.3">
      <c r="D6839" t="s">
        <v>2909</v>
      </c>
    </row>
    <row r="6840" spans="2:4" hidden="1" outlineLevel="3" x14ac:dyDescent="0.3">
      <c r="D6840" t="s">
        <v>2910</v>
      </c>
    </row>
    <row r="6841" spans="2:4" hidden="1" outlineLevel="3" x14ac:dyDescent="0.3">
      <c r="D6841" t="s">
        <v>2911</v>
      </c>
    </row>
    <row r="6842" spans="2:4" hidden="1" outlineLevel="2" x14ac:dyDescent="0.3">
      <c r="C6842" t="s">
        <v>2912</v>
      </c>
    </row>
    <row r="6843" spans="2:4" hidden="1" outlineLevel="2" x14ac:dyDescent="0.3">
      <c r="C6843" t="s">
        <v>2913</v>
      </c>
    </row>
    <row r="6844" spans="2:4" hidden="1" outlineLevel="2" x14ac:dyDescent="0.3">
      <c r="C6844" t="s">
        <v>2914</v>
      </c>
    </row>
    <row r="6845" spans="2:4" hidden="1" outlineLevel="2" x14ac:dyDescent="0.3">
      <c r="C6845" t="s">
        <v>2915</v>
      </c>
    </row>
    <row r="6846" spans="2:4" hidden="1" outlineLevel="2" x14ac:dyDescent="0.3">
      <c r="C6846" t="s">
        <v>2916</v>
      </c>
    </row>
    <row r="6847" spans="2:4" hidden="1" outlineLevel="2" x14ac:dyDescent="0.3">
      <c r="C6847" t="s">
        <v>2917</v>
      </c>
    </row>
    <row r="6848" spans="2:4" hidden="1" outlineLevel="2" x14ac:dyDescent="0.3">
      <c r="C6848" t="s">
        <v>2918</v>
      </c>
    </row>
    <row r="6849" spans="2:3" hidden="1" outlineLevel="2" x14ac:dyDescent="0.3">
      <c r="C6849" t="s">
        <v>2919</v>
      </c>
    </row>
    <row r="6850" spans="2:3" hidden="1" outlineLevel="2" x14ac:dyDescent="0.3">
      <c r="C6850" t="s">
        <v>2920</v>
      </c>
    </row>
    <row r="6851" spans="2:3" hidden="1" outlineLevel="2" x14ac:dyDescent="0.3">
      <c r="C6851" t="s">
        <v>2927</v>
      </c>
    </row>
    <row r="6852" spans="2:3" hidden="1" outlineLevel="2" x14ac:dyDescent="0.3">
      <c r="C6852" t="s">
        <v>4370</v>
      </c>
    </row>
    <row r="6853" spans="2:3" hidden="1" outlineLevel="2" x14ac:dyDescent="0.3">
      <c r="C6853" t="s">
        <v>2929</v>
      </c>
    </row>
    <row r="6854" spans="2:3" hidden="1" outlineLevel="2" x14ac:dyDescent="0.3">
      <c r="C6854" t="s">
        <v>2930</v>
      </c>
    </row>
    <row r="6855" spans="2:3" hidden="1" outlineLevel="2" x14ac:dyDescent="0.3">
      <c r="C6855" t="s">
        <v>2932</v>
      </c>
    </row>
    <row r="6856" spans="2:3" hidden="1" outlineLevel="2" x14ac:dyDescent="0.3">
      <c r="C6856" t="s">
        <v>2933</v>
      </c>
    </row>
    <row r="6857" spans="2:3" outlineLevel="1" collapsed="1" x14ac:dyDescent="0.3">
      <c r="B6857" t="s">
        <v>4371</v>
      </c>
    </row>
    <row r="6858" spans="2:3" outlineLevel="1" x14ac:dyDescent="0.3">
      <c r="B6858" t="s">
        <v>4372</v>
      </c>
    </row>
    <row r="6859" spans="2:3" outlineLevel="1" x14ac:dyDescent="0.3">
      <c r="B6859" t="s">
        <v>4373</v>
      </c>
    </row>
    <row r="6860" spans="2:3" outlineLevel="1" x14ac:dyDescent="0.3">
      <c r="B6860" t="s">
        <v>4374</v>
      </c>
    </row>
    <row r="6866" spans="1:3" x14ac:dyDescent="0.3">
      <c r="A6866" t="s">
        <v>2934</v>
      </c>
    </row>
    <row r="6867" spans="1:3" outlineLevel="1" x14ac:dyDescent="0.3">
      <c r="B6867" t="s">
        <v>2935</v>
      </c>
    </row>
    <row r="6868" spans="1:3" hidden="1" outlineLevel="2" x14ac:dyDescent="0.3">
      <c r="C6868" t="s">
        <v>2938</v>
      </c>
    </row>
    <row r="6869" spans="1:3" hidden="1" outlineLevel="2" x14ac:dyDescent="0.3">
      <c r="C6869" t="s">
        <v>2939</v>
      </c>
    </row>
    <row r="6870" spans="1:3" hidden="1" outlineLevel="2" x14ac:dyDescent="0.3">
      <c r="C6870" t="s">
        <v>2940</v>
      </c>
    </row>
    <row r="6871" spans="1:3" hidden="1" outlineLevel="2" x14ac:dyDescent="0.3">
      <c r="C6871" t="s">
        <v>2941</v>
      </c>
    </row>
    <row r="6872" spans="1:3" hidden="1" outlineLevel="2" x14ac:dyDescent="0.3">
      <c r="C6872" t="s">
        <v>2943</v>
      </c>
    </row>
    <row r="6873" spans="1:3" hidden="1" outlineLevel="2" x14ac:dyDescent="0.3">
      <c r="C6873" t="s">
        <v>2944</v>
      </c>
    </row>
    <row r="6874" spans="1:3" hidden="1" outlineLevel="2" x14ac:dyDescent="0.3">
      <c r="C6874" t="s">
        <v>2948</v>
      </c>
    </row>
    <row r="6875" spans="1:3" hidden="1" outlineLevel="2" x14ac:dyDescent="0.3">
      <c r="C6875" t="s">
        <v>2949</v>
      </c>
    </row>
    <row r="6876" spans="1:3" hidden="1" outlineLevel="2" x14ac:dyDescent="0.3">
      <c r="C6876" t="s">
        <v>4375</v>
      </c>
    </row>
    <row r="6877" spans="1:3" hidden="1" outlineLevel="2" x14ac:dyDescent="0.3">
      <c r="C6877" t="s">
        <v>2950</v>
      </c>
    </row>
    <row r="6878" spans="1:3" hidden="1" outlineLevel="2" x14ac:dyDescent="0.3">
      <c r="C6878" t="s">
        <v>4376</v>
      </c>
    </row>
    <row r="6879" spans="1:3" hidden="1" outlineLevel="2" x14ac:dyDescent="0.3">
      <c r="C6879" t="s">
        <v>4377</v>
      </c>
    </row>
    <row r="6880" spans="1:3" hidden="1" outlineLevel="2" x14ac:dyDescent="0.3">
      <c r="C6880" t="s">
        <v>4378</v>
      </c>
    </row>
    <row r="6881" spans="2:3" hidden="1" outlineLevel="2" x14ac:dyDescent="0.3">
      <c r="C6881" t="s">
        <v>4379</v>
      </c>
    </row>
    <row r="6882" spans="2:3" hidden="1" outlineLevel="2" x14ac:dyDescent="0.3">
      <c r="C6882" t="s">
        <v>4380</v>
      </c>
    </row>
    <row r="6883" spans="2:3" hidden="1" outlineLevel="2" x14ac:dyDescent="0.3">
      <c r="C6883" t="s">
        <v>4381</v>
      </c>
    </row>
    <row r="6884" spans="2:3" hidden="1" outlineLevel="2" x14ac:dyDescent="0.3">
      <c r="C6884" t="s">
        <v>4382</v>
      </c>
    </row>
    <row r="6885" spans="2:3" hidden="1" outlineLevel="2" x14ac:dyDescent="0.3">
      <c r="C6885" t="s">
        <v>4383</v>
      </c>
    </row>
    <row r="6886" spans="2:3" hidden="1" outlineLevel="2" x14ac:dyDescent="0.3">
      <c r="C6886" t="s">
        <v>4384</v>
      </c>
    </row>
    <row r="6887" spans="2:3" hidden="1" outlineLevel="2" x14ac:dyDescent="0.3">
      <c r="C6887" t="s">
        <v>2959</v>
      </c>
    </row>
    <row r="6888" spans="2:3" hidden="1" outlineLevel="2" x14ac:dyDescent="0.3">
      <c r="C6888" t="s">
        <v>4385</v>
      </c>
    </row>
    <row r="6889" spans="2:3" hidden="1" outlineLevel="2" x14ac:dyDescent="0.3">
      <c r="C6889" t="s">
        <v>4386</v>
      </c>
    </row>
    <row r="6890" spans="2:3" hidden="1" outlineLevel="2" x14ac:dyDescent="0.3">
      <c r="C6890" t="s">
        <v>2962</v>
      </c>
    </row>
    <row r="6891" spans="2:3" hidden="1" outlineLevel="2" x14ac:dyDescent="0.3">
      <c r="C6891" t="s">
        <v>2963</v>
      </c>
    </row>
    <row r="6892" spans="2:3" hidden="1" outlineLevel="2" x14ac:dyDescent="0.3">
      <c r="C6892" t="s">
        <v>2964</v>
      </c>
    </row>
    <row r="6893" spans="2:3" outlineLevel="1" collapsed="1" x14ac:dyDescent="0.3">
      <c r="B6893" t="s">
        <v>2965</v>
      </c>
    </row>
    <row r="6894" spans="2:3" hidden="1" outlineLevel="2" x14ac:dyDescent="0.3">
      <c r="C6894" t="s">
        <v>2966</v>
      </c>
    </row>
    <row r="6895" spans="2:3" hidden="1" outlineLevel="2" x14ac:dyDescent="0.3">
      <c r="C6895" t="s">
        <v>2967</v>
      </c>
    </row>
    <row r="6896" spans="2:3" hidden="1" outlineLevel="2" x14ac:dyDescent="0.3">
      <c r="C6896" t="s">
        <v>2968</v>
      </c>
    </row>
    <row r="6897" spans="1:3" hidden="1" outlineLevel="2" x14ac:dyDescent="0.3">
      <c r="C6897" t="s">
        <v>2974</v>
      </c>
    </row>
    <row r="6898" spans="1:3" hidden="1" outlineLevel="2" x14ac:dyDescent="0.3">
      <c r="C6898" t="s">
        <v>4387</v>
      </c>
    </row>
    <row r="6899" spans="1:3" hidden="1" outlineLevel="2" x14ac:dyDescent="0.3">
      <c r="C6899" t="s">
        <v>4388</v>
      </c>
    </row>
    <row r="6900" spans="1:3" hidden="1" outlineLevel="2" x14ac:dyDescent="0.3">
      <c r="C6900" t="s">
        <v>4389</v>
      </c>
    </row>
    <row r="6901" spans="1:3" hidden="1" outlineLevel="2" x14ac:dyDescent="0.3">
      <c r="C6901" t="s">
        <v>4390</v>
      </c>
    </row>
    <row r="6902" spans="1:3" hidden="1" outlineLevel="2" x14ac:dyDescent="0.3">
      <c r="C6902" t="s">
        <v>4391</v>
      </c>
    </row>
    <row r="6903" spans="1:3" hidden="1" outlineLevel="2" x14ac:dyDescent="0.3">
      <c r="C6903" t="s">
        <v>2975</v>
      </c>
    </row>
    <row r="6904" spans="1:3" hidden="1" outlineLevel="2" x14ac:dyDescent="0.3">
      <c r="C6904" t="s">
        <v>2976</v>
      </c>
    </row>
    <row r="6905" spans="1:3" hidden="1" outlineLevel="2" x14ac:dyDescent="0.3">
      <c r="C6905" t="s">
        <v>4392</v>
      </c>
    </row>
    <row r="6906" spans="1:3" hidden="1" outlineLevel="2" x14ac:dyDescent="0.3">
      <c r="C6906" t="s">
        <v>2978</v>
      </c>
    </row>
    <row r="6907" spans="1:3" hidden="1" outlineLevel="2" x14ac:dyDescent="0.3">
      <c r="C6907" t="s">
        <v>2981</v>
      </c>
    </row>
    <row r="6908" spans="1:3" outlineLevel="1" collapsed="1" x14ac:dyDescent="0.3">
      <c r="B6908" t="s">
        <v>2982</v>
      </c>
    </row>
    <row r="6909" spans="1:3" x14ac:dyDescent="0.3">
      <c r="A6909" t="s">
        <v>2983</v>
      </c>
    </row>
    <row r="6910" spans="1:3" outlineLevel="1" x14ac:dyDescent="0.3">
      <c r="B6910" t="s">
        <v>2984</v>
      </c>
    </row>
    <row r="6911" spans="1:3" hidden="1" outlineLevel="2" x14ac:dyDescent="0.3">
      <c r="C6911" t="s">
        <v>4393</v>
      </c>
    </row>
    <row r="6912" spans="1:3" hidden="1" outlineLevel="2" x14ac:dyDescent="0.3">
      <c r="C6912" t="s">
        <v>4394</v>
      </c>
    </row>
    <row r="6913" spans="1:3" hidden="1" outlineLevel="2" x14ac:dyDescent="0.3">
      <c r="C6913" t="s">
        <v>4395</v>
      </c>
    </row>
    <row r="6914" spans="1:3" hidden="1" outlineLevel="2" x14ac:dyDescent="0.3">
      <c r="C6914" t="s">
        <v>4396</v>
      </c>
    </row>
    <row r="6915" spans="1:3" hidden="1" outlineLevel="2" x14ac:dyDescent="0.3">
      <c r="C6915" t="s">
        <v>4397</v>
      </c>
    </row>
    <row r="6916" spans="1:3" hidden="1" outlineLevel="2" x14ac:dyDescent="0.3">
      <c r="C6916" t="s">
        <v>4398</v>
      </c>
    </row>
    <row r="6917" spans="1:3" hidden="1" outlineLevel="2" x14ac:dyDescent="0.3">
      <c r="C6917" t="s">
        <v>4399</v>
      </c>
    </row>
    <row r="6918" spans="1:3" hidden="1" outlineLevel="2" x14ac:dyDescent="0.3">
      <c r="C6918" t="s">
        <v>4400</v>
      </c>
    </row>
    <row r="6919" spans="1:3" hidden="1" outlineLevel="2" x14ac:dyDescent="0.3">
      <c r="C6919" t="s">
        <v>4401</v>
      </c>
    </row>
    <row r="6920" spans="1:3" hidden="1" outlineLevel="2" x14ac:dyDescent="0.3">
      <c r="C6920" t="s">
        <v>4402</v>
      </c>
    </row>
    <row r="6921" spans="1:3" hidden="1" outlineLevel="2" x14ac:dyDescent="0.3">
      <c r="C6921" t="s">
        <v>4403</v>
      </c>
    </row>
    <row r="6922" spans="1:3" hidden="1" outlineLevel="2" x14ac:dyDescent="0.3">
      <c r="C6922" t="s">
        <v>4404</v>
      </c>
    </row>
    <row r="6923" spans="1:3" outlineLevel="1" collapsed="1" x14ac:dyDescent="0.3">
      <c r="B6923" t="s">
        <v>2990</v>
      </c>
    </row>
    <row r="6924" spans="1:3" hidden="1" outlineLevel="2" x14ac:dyDescent="0.3">
      <c r="C6924" t="s">
        <v>4405</v>
      </c>
    </row>
    <row r="6925" spans="1:3" hidden="1" outlineLevel="2" x14ac:dyDescent="0.3">
      <c r="C6925" t="s">
        <v>4406</v>
      </c>
    </row>
    <row r="6926" spans="1:3" hidden="1" outlineLevel="2" x14ac:dyDescent="0.3">
      <c r="C6926" t="s">
        <v>4407</v>
      </c>
    </row>
    <row r="6927" spans="1:3" x14ac:dyDescent="0.3">
      <c r="A6927" t="s">
        <v>2994</v>
      </c>
    </row>
    <row r="6928" spans="1:3" outlineLevel="1" x14ac:dyDescent="0.3">
      <c r="B6928" t="s">
        <v>2995</v>
      </c>
    </row>
    <row r="6929" spans="3:5" hidden="1" outlineLevel="2" x14ac:dyDescent="0.3">
      <c r="C6929" t="s">
        <v>2996</v>
      </c>
    </row>
    <row r="6930" spans="3:5" hidden="1" outlineLevel="2" x14ac:dyDescent="0.3">
      <c r="C6930" t="s">
        <v>2997</v>
      </c>
    </row>
    <row r="6931" spans="3:5" hidden="1" outlineLevel="2" x14ac:dyDescent="0.3">
      <c r="C6931" t="s">
        <v>2998</v>
      </c>
    </row>
    <row r="6932" spans="3:5" hidden="1" outlineLevel="2" x14ac:dyDescent="0.3">
      <c r="C6932" t="s">
        <v>2999</v>
      </c>
    </row>
    <row r="6933" spans="3:5" hidden="1" outlineLevel="2" x14ac:dyDescent="0.3">
      <c r="C6933" t="s">
        <v>3000</v>
      </c>
    </row>
    <row r="6934" spans="3:5" hidden="1" outlineLevel="2" x14ac:dyDescent="0.3">
      <c r="C6934" t="s">
        <v>3001</v>
      </c>
    </row>
    <row r="6935" spans="3:5" hidden="1" outlineLevel="2" x14ac:dyDescent="0.3">
      <c r="C6935" t="s">
        <v>3002</v>
      </c>
    </row>
    <row r="6936" spans="3:5" hidden="1" outlineLevel="3" x14ac:dyDescent="0.3">
      <c r="D6936" t="s">
        <v>3003</v>
      </c>
    </row>
    <row r="6937" spans="3:5" hidden="1" outlineLevel="3" x14ac:dyDescent="0.3">
      <c r="D6937" t="s">
        <v>3004</v>
      </c>
    </row>
    <row r="6938" spans="3:5" hidden="1" outlineLevel="3" x14ac:dyDescent="0.3">
      <c r="D6938" t="s">
        <v>3005</v>
      </c>
    </row>
    <row r="6939" spans="3:5" hidden="1" outlineLevel="2" x14ac:dyDescent="0.3">
      <c r="C6939" t="s">
        <v>4408</v>
      </c>
    </row>
    <row r="6940" spans="3:5" hidden="1" outlineLevel="3" x14ac:dyDescent="0.3">
      <c r="D6940" t="s">
        <v>4409</v>
      </c>
    </row>
    <row r="6941" spans="3:5" hidden="1" outlineLevel="4" x14ac:dyDescent="0.3">
      <c r="E6941" t="s">
        <v>4410</v>
      </c>
    </row>
    <row r="6942" spans="3:5" hidden="1" outlineLevel="4" x14ac:dyDescent="0.3">
      <c r="E6942" t="s">
        <v>4411</v>
      </c>
    </row>
    <row r="6943" spans="3:5" hidden="1" outlineLevel="4" x14ac:dyDescent="0.3">
      <c r="E6943" t="s">
        <v>4412</v>
      </c>
    </row>
    <row r="6944" spans="3:5" hidden="1" outlineLevel="3" x14ac:dyDescent="0.3">
      <c r="D6944" t="s">
        <v>4413</v>
      </c>
    </row>
    <row r="6945" spans="3:5" hidden="1" outlineLevel="4" x14ac:dyDescent="0.3">
      <c r="E6945" t="s">
        <v>4414</v>
      </c>
    </row>
    <row r="6946" spans="3:5" hidden="1" outlineLevel="4" x14ac:dyDescent="0.3">
      <c r="E6946" t="s">
        <v>4415</v>
      </c>
    </row>
    <row r="6947" spans="3:5" hidden="1" outlineLevel="4" x14ac:dyDescent="0.3">
      <c r="E6947" t="s">
        <v>4416</v>
      </c>
    </row>
    <row r="6948" spans="3:5" hidden="1" outlineLevel="3" x14ac:dyDescent="0.3">
      <c r="D6948" t="s">
        <v>4417</v>
      </c>
    </row>
    <row r="6949" spans="3:5" hidden="1" outlineLevel="4" x14ac:dyDescent="0.3">
      <c r="E6949" t="s">
        <v>4418</v>
      </c>
    </row>
    <row r="6950" spans="3:5" hidden="1" outlineLevel="4" x14ac:dyDescent="0.3">
      <c r="E6950" t="s">
        <v>4419</v>
      </c>
    </row>
    <row r="6951" spans="3:5" hidden="1" outlineLevel="4" x14ac:dyDescent="0.3">
      <c r="E6951" t="s">
        <v>4420</v>
      </c>
    </row>
    <row r="6952" spans="3:5" hidden="1" outlineLevel="3" x14ac:dyDescent="0.3">
      <c r="D6952" t="s">
        <v>4421</v>
      </c>
    </row>
    <row r="6953" spans="3:5" hidden="1" outlineLevel="2" x14ac:dyDescent="0.3">
      <c r="C6953" t="s">
        <v>3006</v>
      </c>
    </row>
    <row r="6954" spans="3:5" hidden="1" outlineLevel="2" x14ac:dyDescent="0.3">
      <c r="C6954" t="s">
        <v>3007</v>
      </c>
    </row>
    <row r="6955" spans="3:5" hidden="1" outlineLevel="3" x14ac:dyDescent="0.3">
      <c r="D6955" t="s">
        <v>4422</v>
      </c>
    </row>
    <row r="6956" spans="3:5" hidden="1" outlineLevel="3" x14ac:dyDescent="0.3">
      <c r="D6956" t="s">
        <v>4423</v>
      </c>
    </row>
    <row r="6957" spans="3:5" hidden="1" outlineLevel="3" x14ac:dyDescent="0.3">
      <c r="D6957" t="s">
        <v>4424</v>
      </c>
    </row>
    <row r="6958" spans="3:5" hidden="1" outlineLevel="3" x14ac:dyDescent="0.3">
      <c r="D6958" t="s">
        <v>4425</v>
      </c>
    </row>
    <row r="6959" spans="3:5" hidden="1" outlineLevel="3" x14ac:dyDescent="0.3">
      <c r="D6959" t="s">
        <v>4426</v>
      </c>
    </row>
    <row r="6960" spans="3:5" hidden="1" outlineLevel="3" x14ac:dyDescent="0.3">
      <c r="D6960" t="s">
        <v>4427</v>
      </c>
    </row>
    <row r="6961" spans="3:4" hidden="1" outlineLevel="2" x14ac:dyDescent="0.3">
      <c r="C6961" t="s">
        <v>4428</v>
      </c>
    </row>
    <row r="6962" spans="3:4" hidden="1" outlineLevel="3" x14ac:dyDescent="0.3">
      <c r="D6962" t="s">
        <v>4429</v>
      </c>
    </row>
    <row r="6963" spans="3:4" hidden="1" outlineLevel="3" x14ac:dyDescent="0.3">
      <c r="D6963" t="s">
        <v>4430</v>
      </c>
    </row>
    <row r="6964" spans="3:4" hidden="1" outlineLevel="3" x14ac:dyDescent="0.3">
      <c r="D6964" t="s">
        <v>4431</v>
      </c>
    </row>
    <row r="6965" spans="3:4" hidden="1" outlineLevel="3" x14ac:dyDescent="0.3">
      <c r="D6965" t="s">
        <v>4432</v>
      </c>
    </row>
    <row r="6966" spans="3:4" hidden="1" outlineLevel="3" x14ac:dyDescent="0.3">
      <c r="D6966" t="s">
        <v>4433</v>
      </c>
    </row>
    <row r="6967" spans="3:4" hidden="1" outlineLevel="3" x14ac:dyDescent="0.3">
      <c r="D6967" t="s">
        <v>4434</v>
      </c>
    </row>
    <row r="6968" spans="3:4" hidden="1" outlineLevel="2" x14ac:dyDescent="0.3">
      <c r="C6968" t="s">
        <v>3009</v>
      </c>
    </row>
    <row r="6969" spans="3:4" hidden="1" outlineLevel="2" x14ac:dyDescent="0.3">
      <c r="C6969" t="s">
        <v>3010</v>
      </c>
    </row>
    <row r="6970" spans="3:4" hidden="1" outlineLevel="2" x14ac:dyDescent="0.3">
      <c r="C6970" t="s">
        <v>3011</v>
      </c>
    </row>
    <row r="6971" spans="3:4" hidden="1" outlineLevel="2" x14ac:dyDescent="0.3">
      <c r="C6971" t="s">
        <v>3012</v>
      </c>
    </row>
    <row r="6972" spans="3:4" hidden="1" outlineLevel="2" x14ac:dyDescent="0.3">
      <c r="C6972" t="s">
        <v>3013</v>
      </c>
    </row>
    <row r="6973" spans="3:4" hidden="1" outlineLevel="2" x14ac:dyDescent="0.3">
      <c r="C6973" t="s">
        <v>3014</v>
      </c>
    </row>
    <row r="6974" spans="3:4" hidden="1" outlineLevel="2" x14ac:dyDescent="0.3">
      <c r="C6974" t="s">
        <v>3015</v>
      </c>
    </row>
    <row r="6975" spans="3:4" hidden="1" outlineLevel="2" x14ac:dyDescent="0.3">
      <c r="C6975" t="s">
        <v>3016</v>
      </c>
    </row>
    <row r="6976" spans="3:4" hidden="1" outlineLevel="2" x14ac:dyDescent="0.3">
      <c r="C6976" t="s">
        <v>3017</v>
      </c>
    </row>
    <row r="6977" spans="3:5" hidden="1" outlineLevel="2" x14ac:dyDescent="0.3">
      <c r="C6977" t="s">
        <v>3018</v>
      </c>
    </row>
    <row r="6978" spans="3:5" hidden="1" outlineLevel="2" x14ac:dyDescent="0.3">
      <c r="C6978" t="s">
        <v>3019</v>
      </c>
    </row>
    <row r="6979" spans="3:5" hidden="1" outlineLevel="2" x14ac:dyDescent="0.3">
      <c r="C6979" t="s">
        <v>3020</v>
      </c>
    </row>
    <row r="6980" spans="3:5" hidden="1" outlineLevel="2" x14ac:dyDescent="0.3">
      <c r="C6980" t="s">
        <v>3021</v>
      </c>
    </row>
    <row r="6981" spans="3:5" hidden="1" outlineLevel="2" x14ac:dyDescent="0.3">
      <c r="C6981" t="s">
        <v>3022</v>
      </c>
    </row>
    <row r="6982" spans="3:5" hidden="1" outlineLevel="2" x14ac:dyDescent="0.3">
      <c r="C6982" t="s">
        <v>3023</v>
      </c>
    </row>
    <row r="6983" spans="3:5" hidden="1" outlineLevel="2" x14ac:dyDescent="0.3">
      <c r="C6983" t="s">
        <v>3024</v>
      </c>
    </row>
    <row r="6984" spans="3:5" hidden="1" outlineLevel="2" x14ac:dyDescent="0.3">
      <c r="C6984" t="s">
        <v>3025</v>
      </c>
    </row>
    <row r="6985" spans="3:5" hidden="1" outlineLevel="2" x14ac:dyDescent="0.3">
      <c r="C6985" t="s">
        <v>3026</v>
      </c>
    </row>
    <row r="6986" spans="3:5" hidden="1" outlineLevel="2" x14ac:dyDescent="0.3">
      <c r="C6986" t="s">
        <v>3027</v>
      </c>
    </row>
    <row r="6987" spans="3:5" hidden="1" outlineLevel="2" x14ac:dyDescent="0.3">
      <c r="C6987" t="s">
        <v>3028</v>
      </c>
    </row>
    <row r="6988" spans="3:5" hidden="1" outlineLevel="2" x14ac:dyDescent="0.3">
      <c r="C6988" t="s">
        <v>4435</v>
      </c>
    </row>
    <row r="6989" spans="3:5" hidden="1" outlineLevel="2" x14ac:dyDescent="0.3">
      <c r="C6989" t="s">
        <v>4436</v>
      </c>
    </row>
    <row r="6990" spans="3:5" hidden="1" outlineLevel="2" x14ac:dyDescent="0.3">
      <c r="C6990" t="s">
        <v>4437</v>
      </c>
    </row>
    <row r="6991" spans="3:5" hidden="1" outlineLevel="3" x14ac:dyDescent="0.3">
      <c r="D6991" t="s">
        <v>4438</v>
      </c>
    </row>
    <row r="6992" spans="3:5" hidden="1" outlineLevel="4" x14ac:dyDescent="0.3">
      <c r="E6992" t="s">
        <v>4439</v>
      </c>
    </row>
    <row r="6993" spans="2:5" hidden="1" outlineLevel="4" x14ac:dyDescent="0.3">
      <c r="E6993" t="s">
        <v>4440</v>
      </c>
    </row>
    <row r="6994" spans="2:5" hidden="1" outlineLevel="4" x14ac:dyDescent="0.3">
      <c r="E6994" t="s">
        <v>4441</v>
      </c>
    </row>
    <row r="6995" spans="2:5" hidden="1" outlineLevel="3" x14ac:dyDescent="0.3">
      <c r="D6995" t="s">
        <v>4442</v>
      </c>
    </row>
    <row r="6996" spans="2:5" hidden="1" outlineLevel="4" x14ac:dyDescent="0.3">
      <c r="E6996" t="s">
        <v>4443</v>
      </c>
    </row>
    <row r="6997" spans="2:5" hidden="1" outlineLevel="4" x14ac:dyDescent="0.3">
      <c r="E6997" t="s">
        <v>4444</v>
      </c>
    </row>
    <row r="6998" spans="2:5" hidden="1" outlineLevel="4" x14ac:dyDescent="0.3">
      <c r="E6998" t="s">
        <v>4445</v>
      </c>
    </row>
    <row r="6999" spans="2:5" hidden="1" outlineLevel="3" x14ac:dyDescent="0.3">
      <c r="D6999" t="s">
        <v>4446</v>
      </c>
    </row>
    <row r="7000" spans="2:5" hidden="1" outlineLevel="4" x14ac:dyDescent="0.3">
      <c r="E7000" t="s">
        <v>4447</v>
      </c>
    </row>
    <row r="7001" spans="2:5" hidden="1" outlineLevel="4" x14ac:dyDescent="0.3">
      <c r="E7001" t="s">
        <v>4448</v>
      </c>
    </row>
    <row r="7002" spans="2:5" hidden="1" outlineLevel="4" x14ac:dyDescent="0.3">
      <c r="E7002" t="s">
        <v>4449</v>
      </c>
    </row>
    <row r="7003" spans="2:5" hidden="1" outlineLevel="3" x14ac:dyDescent="0.3">
      <c r="D7003" t="s">
        <v>4450</v>
      </c>
    </row>
    <row r="7004" spans="2:5" hidden="1" outlineLevel="2" x14ac:dyDescent="0.3">
      <c r="C7004" t="s">
        <v>3030</v>
      </c>
    </row>
    <row r="7005" spans="2:5" hidden="1" outlineLevel="2" x14ac:dyDescent="0.3">
      <c r="C7005" t="s">
        <v>3031</v>
      </c>
    </row>
    <row r="7006" spans="2:5" outlineLevel="1" collapsed="1" x14ac:dyDescent="0.3">
      <c r="B7006" t="s">
        <v>3032</v>
      </c>
    </row>
    <row r="7007" spans="2:5" hidden="1" outlineLevel="2" x14ac:dyDescent="0.3">
      <c r="C7007" t="s">
        <v>3033</v>
      </c>
    </row>
    <row r="7008" spans="2:5" hidden="1" outlineLevel="2" x14ac:dyDescent="0.3">
      <c r="C7008" t="s">
        <v>3034</v>
      </c>
    </row>
    <row r="7009" spans="3:5" hidden="1" outlineLevel="2" x14ac:dyDescent="0.3">
      <c r="C7009" t="s">
        <v>3035</v>
      </c>
    </row>
    <row r="7010" spans="3:5" hidden="1" outlineLevel="2" x14ac:dyDescent="0.3">
      <c r="C7010" t="s">
        <v>3036</v>
      </c>
    </row>
    <row r="7011" spans="3:5" hidden="1" outlineLevel="2" x14ac:dyDescent="0.3">
      <c r="C7011" t="s">
        <v>3037</v>
      </c>
    </row>
    <row r="7012" spans="3:5" hidden="1" outlineLevel="2" x14ac:dyDescent="0.3">
      <c r="C7012" t="s">
        <v>3038</v>
      </c>
    </row>
    <row r="7013" spans="3:5" hidden="1" outlineLevel="2" x14ac:dyDescent="0.3">
      <c r="C7013" t="s">
        <v>3039</v>
      </c>
    </row>
    <row r="7014" spans="3:5" hidden="1" outlineLevel="3" x14ac:dyDescent="0.3">
      <c r="D7014" t="s">
        <v>3040</v>
      </c>
    </row>
    <row r="7015" spans="3:5" hidden="1" outlineLevel="3" x14ac:dyDescent="0.3">
      <c r="D7015" t="s">
        <v>3041</v>
      </c>
    </row>
    <row r="7016" spans="3:5" hidden="1" outlineLevel="3" x14ac:dyDescent="0.3">
      <c r="D7016" t="s">
        <v>3042</v>
      </c>
    </row>
    <row r="7017" spans="3:5" hidden="1" outlineLevel="2" x14ac:dyDescent="0.3">
      <c r="C7017" t="s">
        <v>4451</v>
      </c>
    </row>
    <row r="7018" spans="3:5" hidden="1" outlineLevel="3" x14ac:dyDescent="0.3">
      <c r="D7018" t="s">
        <v>4452</v>
      </c>
    </row>
    <row r="7019" spans="3:5" hidden="1" outlineLevel="4" x14ac:dyDescent="0.3">
      <c r="E7019" t="s">
        <v>4453</v>
      </c>
    </row>
    <row r="7020" spans="3:5" hidden="1" outlineLevel="4" x14ac:dyDescent="0.3">
      <c r="E7020" t="s">
        <v>4454</v>
      </c>
    </row>
    <row r="7021" spans="3:5" hidden="1" outlineLevel="4" x14ac:dyDescent="0.3">
      <c r="E7021" t="s">
        <v>4455</v>
      </c>
    </row>
    <row r="7022" spans="3:5" hidden="1" outlineLevel="3" x14ac:dyDescent="0.3">
      <c r="D7022" t="s">
        <v>4456</v>
      </c>
    </row>
    <row r="7023" spans="3:5" hidden="1" outlineLevel="4" x14ac:dyDescent="0.3">
      <c r="E7023" t="s">
        <v>4457</v>
      </c>
    </row>
    <row r="7024" spans="3:5" hidden="1" outlineLevel="4" x14ac:dyDescent="0.3">
      <c r="E7024" t="s">
        <v>4458</v>
      </c>
    </row>
    <row r="7025" spans="3:5" hidden="1" outlineLevel="4" x14ac:dyDescent="0.3">
      <c r="E7025" t="s">
        <v>4459</v>
      </c>
    </row>
    <row r="7026" spans="3:5" hidden="1" outlineLevel="3" x14ac:dyDescent="0.3">
      <c r="D7026" t="s">
        <v>4460</v>
      </c>
    </row>
    <row r="7027" spans="3:5" hidden="1" outlineLevel="4" x14ac:dyDescent="0.3">
      <c r="E7027" t="s">
        <v>4461</v>
      </c>
    </row>
    <row r="7028" spans="3:5" hidden="1" outlineLevel="4" x14ac:dyDescent="0.3">
      <c r="E7028" t="s">
        <v>4462</v>
      </c>
    </row>
    <row r="7029" spans="3:5" hidden="1" outlineLevel="4" x14ac:dyDescent="0.3">
      <c r="E7029" t="s">
        <v>4463</v>
      </c>
    </row>
    <row r="7030" spans="3:5" hidden="1" outlineLevel="3" x14ac:dyDescent="0.3">
      <c r="D7030" t="s">
        <v>4464</v>
      </c>
    </row>
    <row r="7031" spans="3:5" hidden="1" outlineLevel="2" x14ac:dyDescent="0.3">
      <c r="C7031" t="s">
        <v>3043</v>
      </c>
    </row>
    <row r="7032" spans="3:5" hidden="1" outlineLevel="2" x14ac:dyDescent="0.3">
      <c r="C7032" t="s">
        <v>3044</v>
      </c>
    </row>
    <row r="7033" spans="3:5" hidden="1" outlineLevel="3" x14ac:dyDescent="0.3">
      <c r="D7033" t="s">
        <v>4465</v>
      </c>
    </row>
    <row r="7034" spans="3:5" hidden="1" outlineLevel="3" x14ac:dyDescent="0.3">
      <c r="D7034" t="s">
        <v>4466</v>
      </c>
    </row>
    <row r="7035" spans="3:5" hidden="1" outlineLevel="3" x14ac:dyDescent="0.3">
      <c r="D7035" t="s">
        <v>4467</v>
      </c>
    </row>
    <row r="7036" spans="3:5" hidden="1" outlineLevel="3" x14ac:dyDescent="0.3">
      <c r="D7036" t="s">
        <v>4468</v>
      </c>
    </row>
    <row r="7037" spans="3:5" hidden="1" outlineLevel="3" x14ac:dyDescent="0.3">
      <c r="D7037" t="s">
        <v>4469</v>
      </c>
    </row>
    <row r="7038" spans="3:5" hidden="1" outlineLevel="3" x14ac:dyDescent="0.3">
      <c r="D7038" t="s">
        <v>4470</v>
      </c>
    </row>
    <row r="7039" spans="3:5" hidden="1" outlineLevel="3" x14ac:dyDescent="0.3">
      <c r="D7039" t="s">
        <v>4471</v>
      </c>
    </row>
    <row r="7040" spans="3:5" hidden="1" outlineLevel="2" x14ac:dyDescent="0.3">
      <c r="C7040" t="s">
        <v>4472</v>
      </c>
    </row>
    <row r="7041" spans="3:4" hidden="1" outlineLevel="3" x14ac:dyDescent="0.3">
      <c r="D7041" t="s">
        <v>4473</v>
      </c>
    </row>
    <row r="7042" spans="3:4" hidden="1" outlineLevel="3" x14ac:dyDescent="0.3">
      <c r="D7042" t="s">
        <v>4474</v>
      </c>
    </row>
    <row r="7043" spans="3:4" hidden="1" outlineLevel="3" x14ac:dyDescent="0.3">
      <c r="D7043" t="s">
        <v>4475</v>
      </c>
    </row>
    <row r="7044" spans="3:4" hidden="1" outlineLevel="3" x14ac:dyDescent="0.3">
      <c r="D7044" t="s">
        <v>4476</v>
      </c>
    </row>
    <row r="7045" spans="3:4" hidden="1" outlineLevel="3" x14ac:dyDescent="0.3">
      <c r="D7045" t="s">
        <v>4477</v>
      </c>
    </row>
    <row r="7046" spans="3:4" hidden="1" outlineLevel="3" x14ac:dyDescent="0.3">
      <c r="D7046" t="s">
        <v>4478</v>
      </c>
    </row>
    <row r="7047" spans="3:4" hidden="1" outlineLevel="2" x14ac:dyDescent="0.3">
      <c r="C7047" t="s">
        <v>3046</v>
      </c>
    </row>
    <row r="7048" spans="3:4" hidden="1" outlineLevel="2" x14ac:dyDescent="0.3">
      <c r="C7048" t="s">
        <v>3047</v>
      </c>
    </row>
    <row r="7049" spans="3:4" hidden="1" outlineLevel="2" x14ac:dyDescent="0.3">
      <c r="C7049" t="s">
        <v>3048</v>
      </c>
    </row>
    <row r="7050" spans="3:4" hidden="1" outlineLevel="2" x14ac:dyDescent="0.3">
      <c r="C7050" t="s">
        <v>3049</v>
      </c>
    </row>
    <row r="7051" spans="3:4" hidden="1" outlineLevel="2" x14ac:dyDescent="0.3">
      <c r="C7051" t="s">
        <v>3050</v>
      </c>
    </row>
    <row r="7052" spans="3:4" hidden="1" outlineLevel="2" x14ac:dyDescent="0.3">
      <c r="C7052" t="s">
        <v>3051</v>
      </c>
    </row>
    <row r="7053" spans="3:4" hidden="1" outlineLevel="2" x14ac:dyDescent="0.3">
      <c r="C7053" t="s">
        <v>3052</v>
      </c>
    </row>
    <row r="7054" spans="3:4" hidden="1" outlineLevel="2" x14ac:dyDescent="0.3">
      <c r="C7054" t="s">
        <v>3053</v>
      </c>
    </row>
    <row r="7055" spans="3:4" hidden="1" outlineLevel="2" x14ac:dyDescent="0.3">
      <c r="C7055" t="s">
        <v>3054</v>
      </c>
    </row>
    <row r="7056" spans="3:4" hidden="1" outlineLevel="2" x14ac:dyDescent="0.3">
      <c r="C7056" t="s">
        <v>3055</v>
      </c>
    </row>
    <row r="7057" spans="3:5" hidden="1" outlineLevel="2" x14ac:dyDescent="0.3">
      <c r="C7057" t="s">
        <v>3056</v>
      </c>
    </row>
    <row r="7058" spans="3:5" hidden="1" outlineLevel="2" x14ac:dyDescent="0.3">
      <c r="C7058" t="s">
        <v>3057</v>
      </c>
    </row>
    <row r="7059" spans="3:5" hidden="1" outlineLevel="2" x14ac:dyDescent="0.3">
      <c r="C7059" t="s">
        <v>3058</v>
      </c>
    </row>
    <row r="7060" spans="3:5" hidden="1" outlineLevel="2" x14ac:dyDescent="0.3">
      <c r="C7060" t="s">
        <v>3059</v>
      </c>
    </row>
    <row r="7061" spans="3:5" hidden="1" outlineLevel="2" x14ac:dyDescent="0.3">
      <c r="C7061" t="s">
        <v>3060</v>
      </c>
    </row>
    <row r="7062" spans="3:5" hidden="1" outlineLevel="2" x14ac:dyDescent="0.3">
      <c r="C7062" t="s">
        <v>3061</v>
      </c>
    </row>
    <row r="7063" spans="3:5" hidden="1" outlineLevel="2" x14ac:dyDescent="0.3">
      <c r="C7063" t="s">
        <v>3062</v>
      </c>
    </row>
    <row r="7064" spans="3:5" hidden="1" outlineLevel="2" x14ac:dyDescent="0.3">
      <c r="C7064" t="s">
        <v>3063</v>
      </c>
    </row>
    <row r="7065" spans="3:5" hidden="1" outlineLevel="2" x14ac:dyDescent="0.3">
      <c r="C7065" t="s">
        <v>3064</v>
      </c>
    </row>
    <row r="7066" spans="3:5" hidden="1" outlineLevel="2" x14ac:dyDescent="0.3">
      <c r="C7066" t="s">
        <v>4479</v>
      </c>
    </row>
    <row r="7067" spans="3:5" hidden="1" outlineLevel="2" x14ac:dyDescent="0.3">
      <c r="C7067" t="s">
        <v>4480</v>
      </c>
    </row>
    <row r="7068" spans="3:5" hidden="1" outlineLevel="2" x14ac:dyDescent="0.3">
      <c r="C7068" t="s">
        <v>4481</v>
      </c>
    </row>
    <row r="7069" spans="3:5" hidden="1" outlineLevel="3" x14ac:dyDescent="0.3">
      <c r="D7069" t="s">
        <v>4482</v>
      </c>
    </row>
    <row r="7070" spans="3:5" hidden="1" outlineLevel="4" x14ac:dyDescent="0.3">
      <c r="E7070" t="s">
        <v>4483</v>
      </c>
    </row>
    <row r="7071" spans="3:5" hidden="1" outlineLevel="4" x14ac:dyDescent="0.3">
      <c r="E7071" t="s">
        <v>4484</v>
      </c>
    </row>
    <row r="7072" spans="3:5" hidden="1" outlineLevel="4" x14ac:dyDescent="0.3">
      <c r="E7072" t="s">
        <v>4485</v>
      </c>
    </row>
    <row r="7073" spans="1:5" hidden="1" outlineLevel="3" x14ac:dyDescent="0.3">
      <c r="D7073" t="s">
        <v>4486</v>
      </c>
    </row>
    <row r="7074" spans="1:5" hidden="1" outlineLevel="4" x14ac:dyDescent="0.3">
      <c r="E7074" t="s">
        <v>4487</v>
      </c>
    </row>
    <row r="7075" spans="1:5" hidden="1" outlineLevel="4" x14ac:dyDescent="0.3">
      <c r="E7075" t="s">
        <v>4488</v>
      </c>
    </row>
    <row r="7076" spans="1:5" hidden="1" outlineLevel="4" x14ac:dyDescent="0.3">
      <c r="E7076" t="s">
        <v>4489</v>
      </c>
    </row>
    <row r="7077" spans="1:5" hidden="1" outlineLevel="3" x14ac:dyDescent="0.3">
      <c r="D7077" t="s">
        <v>4490</v>
      </c>
    </row>
    <row r="7078" spans="1:5" hidden="1" outlineLevel="4" x14ac:dyDescent="0.3">
      <c r="E7078" t="s">
        <v>4491</v>
      </c>
    </row>
    <row r="7079" spans="1:5" hidden="1" outlineLevel="4" x14ac:dyDescent="0.3">
      <c r="E7079" t="s">
        <v>4492</v>
      </c>
    </row>
    <row r="7080" spans="1:5" hidden="1" outlineLevel="4" x14ac:dyDescent="0.3">
      <c r="E7080" t="s">
        <v>4493</v>
      </c>
    </row>
    <row r="7081" spans="1:5" hidden="1" outlineLevel="3" x14ac:dyDescent="0.3">
      <c r="D7081" t="s">
        <v>4494</v>
      </c>
    </row>
    <row r="7082" spans="1:5" hidden="1" outlineLevel="2" x14ac:dyDescent="0.3">
      <c r="C7082" t="s">
        <v>3066</v>
      </c>
    </row>
    <row r="7083" spans="1:5" hidden="1" outlineLevel="2" x14ac:dyDescent="0.3">
      <c r="C7083" t="s">
        <v>3067</v>
      </c>
    </row>
    <row r="7084" spans="1:5" outlineLevel="1" collapsed="1" x14ac:dyDescent="0.3">
      <c r="B7084" t="s">
        <v>3075</v>
      </c>
    </row>
    <row r="7085" spans="1:5" x14ac:dyDescent="0.3">
      <c r="A7085" t="s">
        <v>3076</v>
      </c>
    </row>
    <row r="7086" spans="1:5" outlineLevel="1" x14ac:dyDescent="0.3">
      <c r="B7086" t="s">
        <v>4495</v>
      </c>
    </row>
    <row r="7087" spans="1:5" hidden="1" outlineLevel="2" x14ac:dyDescent="0.3">
      <c r="C7087" t="s">
        <v>4496</v>
      </c>
    </row>
    <row r="7088" spans="1:5" hidden="1" outlineLevel="3" x14ac:dyDescent="0.3">
      <c r="D7088" t="s">
        <v>4497</v>
      </c>
    </row>
    <row r="7089" spans="2:4" hidden="1" outlineLevel="3" x14ac:dyDescent="0.3">
      <c r="D7089" t="s">
        <v>4498</v>
      </c>
    </row>
    <row r="7090" spans="2:4" hidden="1" outlineLevel="3" x14ac:dyDescent="0.3">
      <c r="D7090" t="s">
        <v>4499</v>
      </c>
    </row>
    <row r="7091" spans="2:4" hidden="1" outlineLevel="3" x14ac:dyDescent="0.3">
      <c r="D7091" t="s">
        <v>4500</v>
      </c>
    </row>
    <row r="7092" spans="2:4" hidden="1" outlineLevel="2" x14ac:dyDescent="0.3">
      <c r="C7092" t="s">
        <v>4501</v>
      </c>
    </row>
    <row r="7093" spans="2:4" hidden="1" outlineLevel="3" x14ac:dyDescent="0.3">
      <c r="D7093" t="s">
        <v>4502</v>
      </c>
    </row>
    <row r="7094" spans="2:4" hidden="1" outlineLevel="3" x14ac:dyDescent="0.3">
      <c r="D7094" t="s">
        <v>4503</v>
      </c>
    </row>
    <row r="7095" spans="2:4" hidden="1" outlineLevel="3" x14ac:dyDescent="0.3">
      <c r="D7095" t="s">
        <v>4504</v>
      </c>
    </row>
    <row r="7096" spans="2:4" hidden="1" outlineLevel="3" x14ac:dyDescent="0.3">
      <c r="D7096" t="s">
        <v>4505</v>
      </c>
    </row>
    <row r="7097" spans="2:4" hidden="1" outlineLevel="2" x14ac:dyDescent="0.3">
      <c r="C7097" t="s">
        <v>4506</v>
      </c>
    </row>
    <row r="7098" spans="2:4" hidden="1" outlineLevel="3" x14ac:dyDescent="0.3">
      <c r="D7098" t="s">
        <v>4507</v>
      </c>
    </row>
    <row r="7099" spans="2:4" hidden="1" outlineLevel="3" x14ac:dyDescent="0.3">
      <c r="D7099" t="s">
        <v>4508</v>
      </c>
    </row>
    <row r="7100" spans="2:4" hidden="1" outlineLevel="3" x14ac:dyDescent="0.3">
      <c r="D7100" t="s">
        <v>4509</v>
      </c>
    </row>
    <row r="7101" spans="2:4" hidden="1" outlineLevel="2" x14ac:dyDescent="0.3">
      <c r="C7101" t="s">
        <v>4510</v>
      </c>
    </row>
    <row r="7102" spans="2:4" outlineLevel="1" collapsed="1" x14ac:dyDescent="0.3">
      <c r="B7102" t="s">
        <v>4511</v>
      </c>
    </row>
    <row r="7103" spans="2:4" hidden="1" outlineLevel="2" x14ac:dyDescent="0.3">
      <c r="C7103" t="s">
        <v>4512</v>
      </c>
    </row>
    <row r="7104" spans="2:4" hidden="1" outlineLevel="3" x14ac:dyDescent="0.3">
      <c r="D7104" t="s">
        <v>4513</v>
      </c>
    </row>
    <row r="7105" spans="1:4" hidden="1" outlineLevel="3" x14ac:dyDescent="0.3">
      <c r="D7105" t="s">
        <v>4514</v>
      </c>
    </row>
    <row r="7106" spans="1:4" hidden="1" outlineLevel="3" x14ac:dyDescent="0.3">
      <c r="D7106" t="s">
        <v>4515</v>
      </c>
    </row>
    <row r="7107" spans="1:4" hidden="1" outlineLevel="3" x14ac:dyDescent="0.3">
      <c r="D7107" t="s">
        <v>4516</v>
      </c>
    </row>
    <row r="7108" spans="1:4" hidden="1" outlineLevel="2" x14ac:dyDescent="0.3">
      <c r="C7108" t="s">
        <v>4517</v>
      </c>
    </row>
    <row r="7109" spans="1:4" hidden="1" outlineLevel="3" x14ac:dyDescent="0.3">
      <c r="D7109" t="s">
        <v>4518</v>
      </c>
    </row>
    <row r="7110" spans="1:4" hidden="1" outlineLevel="3" x14ac:dyDescent="0.3">
      <c r="D7110" t="s">
        <v>4519</v>
      </c>
    </row>
    <row r="7111" spans="1:4" hidden="1" outlineLevel="3" x14ac:dyDescent="0.3">
      <c r="D7111" t="s">
        <v>4520</v>
      </c>
    </row>
    <row r="7112" spans="1:4" hidden="1" outlineLevel="3" x14ac:dyDescent="0.3">
      <c r="D7112" t="s">
        <v>4521</v>
      </c>
    </row>
    <row r="7113" spans="1:4" hidden="1" outlineLevel="2" x14ac:dyDescent="0.3">
      <c r="C7113" t="s">
        <v>4522</v>
      </c>
    </row>
    <row r="7114" spans="1:4" hidden="1" outlineLevel="3" x14ac:dyDescent="0.3">
      <c r="D7114" t="s">
        <v>4523</v>
      </c>
    </row>
    <row r="7115" spans="1:4" hidden="1" outlineLevel="3" x14ac:dyDescent="0.3">
      <c r="D7115" t="s">
        <v>4524</v>
      </c>
    </row>
    <row r="7116" spans="1:4" hidden="1" outlineLevel="3" x14ac:dyDescent="0.3">
      <c r="D7116" t="s">
        <v>4525</v>
      </c>
    </row>
    <row r="7117" spans="1:4" hidden="1" outlineLevel="2" x14ac:dyDescent="0.3">
      <c r="C7117" t="s">
        <v>4526</v>
      </c>
    </row>
    <row r="7118" spans="1:4" x14ac:dyDescent="0.3">
      <c r="A7118" t="s">
        <v>3085</v>
      </c>
    </row>
    <row r="7119" spans="1:4" outlineLevel="1" x14ac:dyDescent="0.3">
      <c r="B7119" t="s">
        <v>3086</v>
      </c>
    </row>
    <row r="7120" spans="1:4" hidden="1" outlineLevel="2" x14ac:dyDescent="0.3">
      <c r="C7120" t="s">
        <v>3087</v>
      </c>
    </row>
    <row r="7121" spans="1:3" hidden="1" outlineLevel="2" x14ac:dyDescent="0.3">
      <c r="C7121" t="s">
        <v>3088</v>
      </c>
    </row>
    <row r="7122" spans="1:3" hidden="1" outlineLevel="2" x14ac:dyDescent="0.3">
      <c r="C7122" t="s">
        <v>3089</v>
      </c>
    </row>
    <row r="7123" spans="1:3" outlineLevel="1" collapsed="1" x14ac:dyDescent="0.3">
      <c r="B7123" t="s">
        <v>3090</v>
      </c>
    </row>
    <row r="7124" spans="1:3" hidden="1" outlineLevel="2" x14ac:dyDescent="0.3">
      <c r="C7124" t="s">
        <v>3091</v>
      </c>
    </row>
    <row r="7125" spans="1:3" hidden="1" outlineLevel="2" x14ac:dyDescent="0.3">
      <c r="C7125" t="s">
        <v>3092</v>
      </c>
    </row>
    <row r="7126" spans="1:3" hidden="1" outlineLevel="2" x14ac:dyDescent="0.3">
      <c r="C7126" t="s">
        <v>3093</v>
      </c>
    </row>
    <row r="7127" spans="1:3" x14ac:dyDescent="0.3">
      <c r="A7127" t="s">
        <v>3094</v>
      </c>
    </row>
    <row r="7128" spans="1:3" outlineLevel="1" x14ac:dyDescent="0.3">
      <c r="B7128" t="s">
        <v>4527</v>
      </c>
    </row>
    <row r="7129" spans="1:3" hidden="1" outlineLevel="2" x14ac:dyDescent="0.3">
      <c r="C7129" t="s">
        <v>3096</v>
      </c>
    </row>
    <row r="7130" spans="1:3" hidden="1" outlineLevel="2" x14ac:dyDescent="0.3">
      <c r="C7130" t="s">
        <v>3097</v>
      </c>
    </row>
    <row r="7131" spans="1:3" hidden="1" outlineLevel="2" x14ac:dyDescent="0.3">
      <c r="C7131" t="s">
        <v>3098</v>
      </c>
    </row>
    <row r="7132" spans="1:3" outlineLevel="1" collapsed="1" x14ac:dyDescent="0.3">
      <c r="B7132" t="s">
        <v>3099</v>
      </c>
    </row>
    <row r="7133" spans="1:3" hidden="1" outlineLevel="2" x14ac:dyDescent="0.3">
      <c r="C7133" t="s">
        <v>3100</v>
      </c>
    </row>
    <row r="7134" spans="1:3" hidden="1" outlineLevel="2" x14ac:dyDescent="0.3">
      <c r="C7134" t="s">
        <v>3101</v>
      </c>
    </row>
    <row r="7135" spans="1:3" hidden="1" outlineLevel="2" x14ac:dyDescent="0.3">
      <c r="C7135" t="s">
        <v>3102</v>
      </c>
    </row>
    <row r="7136" spans="1:3" outlineLevel="1" collapsed="1" x14ac:dyDescent="0.3">
      <c r="B7136" t="s">
        <v>4528</v>
      </c>
    </row>
    <row r="7137" spans="2:4" hidden="1" outlineLevel="2" x14ac:dyDescent="0.3">
      <c r="C7137" t="s">
        <v>4529</v>
      </c>
    </row>
    <row r="7138" spans="2:4" hidden="1" outlineLevel="2" x14ac:dyDescent="0.3">
      <c r="C7138" t="s">
        <v>4530</v>
      </c>
    </row>
    <row r="7139" spans="2:4" hidden="1" outlineLevel="2" x14ac:dyDescent="0.3">
      <c r="C7139" t="s">
        <v>4531</v>
      </c>
    </row>
    <row r="7140" spans="2:4" hidden="1" outlineLevel="2" x14ac:dyDescent="0.3">
      <c r="C7140" t="s">
        <v>4532</v>
      </c>
    </row>
    <row r="7141" spans="2:4" outlineLevel="1" collapsed="1" x14ac:dyDescent="0.3">
      <c r="B7141" t="s">
        <v>4533</v>
      </c>
    </row>
    <row r="7142" spans="2:4" hidden="1" outlineLevel="2" x14ac:dyDescent="0.3">
      <c r="C7142" t="s">
        <v>4534</v>
      </c>
    </row>
    <row r="7143" spans="2:4" hidden="1" outlineLevel="2" x14ac:dyDescent="0.3">
      <c r="C7143" t="s">
        <v>4535</v>
      </c>
    </row>
    <row r="7144" spans="2:4" hidden="1" outlineLevel="2" x14ac:dyDescent="0.3">
      <c r="C7144" t="s">
        <v>4536</v>
      </c>
    </row>
    <row r="7145" spans="2:4" outlineLevel="1" collapsed="1" x14ac:dyDescent="0.3">
      <c r="B7145" t="s">
        <v>3103</v>
      </c>
    </row>
    <row r="7146" spans="2:4" hidden="1" outlineLevel="2" x14ac:dyDescent="0.3">
      <c r="C7146" t="s">
        <v>3104</v>
      </c>
    </row>
    <row r="7147" spans="2:4" hidden="1" outlineLevel="3" x14ac:dyDescent="0.3">
      <c r="D7147" t="s">
        <v>4537</v>
      </c>
    </row>
    <row r="7148" spans="2:4" hidden="1" outlineLevel="3" x14ac:dyDescent="0.3">
      <c r="D7148" t="s">
        <v>4538</v>
      </c>
    </row>
    <row r="7149" spans="2:4" hidden="1" outlineLevel="2" x14ac:dyDescent="0.3">
      <c r="C7149" t="s">
        <v>4539</v>
      </c>
    </row>
    <row r="7150" spans="2:4" hidden="1" outlineLevel="3" x14ac:dyDescent="0.3">
      <c r="D7150" t="s">
        <v>4540</v>
      </c>
    </row>
    <row r="7151" spans="2:4" hidden="1" outlineLevel="3" x14ac:dyDescent="0.3">
      <c r="D7151" t="s">
        <v>4541</v>
      </c>
    </row>
    <row r="7152" spans="2:4" hidden="1" outlineLevel="2" x14ac:dyDescent="0.3">
      <c r="C7152" t="s">
        <v>4542</v>
      </c>
    </row>
    <row r="7153" spans="1:3" hidden="1" outlineLevel="2" x14ac:dyDescent="0.3">
      <c r="C7153" t="s">
        <v>3105</v>
      </c>
    </row>
    <row r="7154" spans="1:3" outlineLevel="1" collapsed="1" x14ac:dyDescent="0.3">
      <c r="B7154" t="s">
        <v>3106</v>
      </c>
    </row>
    <row r="7155" spans="1:3" hidden="1" outlineLevel="2" x14ac:dyDescent="0.3">
      <c r="C7155" t="s">
        <v>3107</v>
      </c>
    </row>
    <row r="7156" spans="1:3" hidden="1" outlineLevel="2" x14ac:dyDescent="0.3">
      <c r="C7156" t="s">
        <v>4543</v>
      </c>
    </row>
    <row r="7157" spans="1:3" hidden="1" outlineLevel="2" x14ac:dyDescent="0.3">
      <c r="C7157" t="s">
        <v>3108</v>
      </c>
    </row>
    <row r="7158" spans="1:3" x14ac:dyDescent="0.3">
      <c r="A7158" t="s">
        <v>3109</v>
      </c>
    </row>
    <row r="7159" spans="1:3" outlineLevel="1" x14ac:dyDescent="0.3">
      <c r="B7159" t="s">
        <v>3110</v>
      </c>
    </row>
    <row r="7160" spans="1:3" hidden="1" outlineLevel="2" x14ac:dyDescent="0.3">
      <c r="C7160" t="s">
        <v>4544</v>
      </c>
    </row>
    <row r="7161" spans="1:3" hidden="1" outlineLevel="2" x14ac:dyDescent="0.3">
      <c r="C7161" t="s">
        <v>3112</v>
      </c>
    </row>
    <row r="7162" spans="1:3" hidden="1" outlineLevel="2" x14ac:dyDescent="0.3">
      <c r="C7162" t="s">
        <v>3115</v>
      </c>
    </row>
    <row r="7163" spans="1:3" hidden="1" outlineLevel="2" x14ac:dyDescent="0.3">
      <c r="C7163" t="s">
        <v>3117</v>
      </c>
    </row>
    <row r="7164" spans="1:3" hidden="1" outlineLevel="2" x14ac:dyDescent="0.3">
      <c r="C7164" t="s">
        <v>4545</v>
      </c>
    </row>
    <row r="7165" spans="1:3" hidden="1" outlineLevel="2" x14ac:dyDescent="0.3">
      <c r="C7165" t="s">
        <v>4546</v>
      </c>
    </row>
    <row r="7166" spans="1:3" hidden="1" outlineLevel="2" x14ac:dyDescent="0.3">
      <c r="C7166" t="s">
        <v>4547</v>
      </c>
    </row>
    <row r="7167" spans="1:3" hidden="1" outlineLevel="2" x14ac:dyDescent="0.3">
      <c r="C7167" t="s">
        <v>3120</v>
      </c>
    </row>
    <row r="7168" spans="1:3" outlineLevel="1" collapsed="1" x14ac:dyDescent="0.3">
      <c r="B7168" t="s">
        <v>3121</v>
      </c>
    </row>
    <row r="7169" spans="1:3" hidden="1" outlineLevel="2" x14ac:dyDescent="0.3">
      <c r="C7169" t="s">
        <v>4548</v>
      </c>
    </row>
    <row r="7170" spans="1:3" hidden="1" outlineLevel="2" x14ac:dyDescent="0.3">
      <c r="C7170" t="s">
        <v>3125</v>
      </c>
    </row>
    <row r="7171" spans="1:3" hidden="1" outlineLevel="2" x14ac:dyDescent="0.3">
      <c r="C7171" t="s">
        <v>3128</v>
      </c>
    </row>
    <row r="7172" spans="1:3" hidden="1" outlineLevel="2" x14ac:dyDescent="0.3">
      <c r="C7172" t="s">
        <v>3130</v>
      </c>
    </row>
    <row r="7173" spans="1:3" hidden="1" outlineLevel="2" x14ac:dyDescent="0.3">
      <c r="C7173" t="s">
        <v>3133</v>
      </c>
    </row>
    <row r="7174" spans="1:3" x14ac:dyDescent="0.3">
      <c r="A7174" t="s">
        <v>3134</v>
      </c>
    </row>
    <row r="7175" spans="1:3" x14ac:dyDescent="0.3">
      <c r="A7175" t="s">
        <v>3135</v>
      </c>
    </row>
    <row r="7176" spans="1:3" x14ac:dyDescent="0.3">
      <c r="A7176" t="s">
        <v>3136</v>
      </c>
    </row>
    <row r="7177" spans="1:3" outlineLevel="1" x14ac:dyDescent="0.3">
      <c r="B7177" t="s">
        <v>1394</v>
      </c>
    </row>
    <row r="7178" spans="1:3" outlineLevel="1" x14ac:dyDescent="0.3">
      <c r="B7178" t="s">
        <v>1395</v>
      </c>
    </row>
    <row r="7179" spans="1:3" outlineLevel="1" x14ac:dyDescent="0.3">
      <c r="B7179" t="s">
        <v>3137</v>
      </c>
    </row>
    <row r="7180" spans="1:3" outlineLevel="1" x14ac:dyDescent="0.3">
      <c r="B7180" t="s">
        <v>1397</v>
      </c>
    </row>
    <row r="7181" spans="1:3" outlineLevel="1" x14ac:dyDescent="0.3">
      <c r="B7181" t="s">
        <v>1398</v>
      </c>
    </row>
    <row r="7182" spans="1:3" outlineLevel="1" x14ac:dyDescent="0.3">
      <c r="B7182" t="s">
        <v>3138</v>
      </c>
    </row>
    <row r="7183" spans="1:3" outlineLevel="1" x14ac:dyDescent="0.3">
      <c r="B7183" t="s">
        <v>1400</v>
      </c>
    </row>
    <row r="7184" spans="1:3" outlineLevel="1" x14ac:dyDescent="0.3">
      <c r="B7184" t="s">
        <v>1401</v>
      </c>
    </row>
    <row r="7185" spans="2:2" outlineLevel="1" x14ac:dyDescent="0.3">
      <c r="B7185" t="s">
        <v>1402</v>
      </c>
    </row>
    <row r="7186" spans="2:2" outlineLevel="1" x14ac:dyDescent="0.3">
      <c r="B7186" t="s">
        <v>3139</v>
      </c>
    </row>
    <row r="7187" spans="2:2" outlineLevel="1" x14ac:dyDescent="0.3">
      <c r="B7187" t="s">
        <v>1404</v>
      </c>
    </row>
    <row r="7188" spans="2:2" outlineLevel="1" x14ac:dyDescent="0.3">
      <c r="B7188" t="s">
        <v>1405</v>
      </c>
    </row>
    <row r="7189" spans="2:2" outlineLevel="1" x14ac:dyDescent="0.3">
      <c r="B7189" t="s">
        <v>1406</v>
      </c>
    </row>
    <row r="7190" spans="2:2" outlineLevel="1" x14ac:dyDescent="0.3">
      <c r="B7190" t="s">
        <v>3140</v>
      </c>
    </row>
    <row r="7191" spans="2:2" outlineLevel="1" x14ac:dyDescent="0.3">
      <c r="B7191" t="s">
        <v>3141</v>
      </c>
    </row>
    <row r="7192" spans="2:2" outlineLevel="1" x14ac:dyDescent="0.3">
      <c r="B7192" t="s">
        <v>1410</v>
      </c>
    </row>
    <row r="7193" spans="2:2" outlineLevel="1" x14ac:dyDescent="0.3">
      <c r="B7193" t="s">
        <v>3142</v>
      </c>
    </row>
    <row r="7194" spans="2:2" outlineLevel="1" x14ac:dyDescent="0.3">
      <c r="B7194" t="s">
        <v>1412</v>
      </c>
    </row>
    <row r="7195" spans="2:2" outlineLevel="1" x14ac:dyDescent="0.3">
      <c r="B7195" t="s">
        <v>3143</v>
      </c>
    </row>
    <row r="7196" spans="2:2" outlineLevel="1" x14ac:dyDescent="0.3">
      <c r="B7196" t="s">
        <v>1417</v>
      </c>
    </row>
    <row r="7197" spans="2:2" outlineLevel="1" x14ac:dyDescent="0.3">
      <c r="B7197" t="s">
        <v>1420</v>
      </c>
    </row>
    <row r="7198" spans="2:2" outlineLevel="1" x14ac:dyDescent="0.3">
      <c r="B7198" t="s">
        <v>1434</v>
      </c>
    </row>
    <row r="7199" spans="2:2" outlineLevel="1" x14ac:dyDescent="0.3">
      <c r="B7199" t="s">
        <v>3144</v>
      </c>
    </row>
    <row r="7200" spans="2:2" outlineLevel="1" x14ac:dyDescent="0.3">
      <c r="B7200" t="s">
        <v>3145</v>
      </c>
    </row>
    <row r="7201" spans="1:3" outlineLevel="1" x14ac:dyDescent="0.3">
      <c r="B7201" t="s">
        <v>3146</v>
      </c>
    </row>
    <row r="7202" spans="1:3" outlineLevel="1" x14ac:dyDescent="0.3">
      <c r="B7202" t="s">
        <v>1444</v>
      </c>
    </row>
    <row r="7203" spans="1:3" outlineLevel="1" x14ac:dyDescent="0.3">
      <c r="B7203" t="s">
        <v>3147</v>
      </c>
    </row>
    <row r="7204" spans="1:3" x14ac:dyDescent="0.3">
      <c r="A7204" t="s">
        <v>1496</v>
      </c>
    </row>
    <row r="7205" spans="1:3" x14ac:dyDescent="0.3">
      <c r="A7205" t="s">
        <v>3148</v>
      </c>
    </row>
    <row r="7206" spans="1:3" outlineLevel="1" x14ac:dyDescent="0.3">
      <c r="B7206" t="s">
        <v>3149</v>
      </c>
    </row>
    <row r="7207" spans="1:3" outlineLevel="1" x14ac:dyDescent="0.3">
      <c r="B7207" t="s">
        <v>3150</v>
      </c>
    </row>
    <row r="7208" spans="1:3" outlineLevel="1" x14ac:dyDescent="0.3">
      <c r="B7208" t="s">
        <v>3151</v>
      </c>
    </row>
    <row r="7209" spans="1:3" hidden="1" outlineLevel="2" x14ac:dyDescent="0.3">
      <c r="C7209" t="s">
        <v>3152</v>
      </c>
    </row>
    <row r="7210" spans="1:3" hidden="1" outlineLevel="2" x14ac:dyDescent="0.3">
      <c r="C7210" t="s">
        <v>3153</v>
      </c>
    </row>
    <row r="7211" spans="1:3" hidden="1" outlineLevel="2" x14ac:dyDescent="0.3">
      <c r="C7211" t="s">
        <v>3154</v>
      </c>
    </row>
    <row r="7212" spans="1:3" outlineLevel="1" collapsed="1" x14ac:dyDescent="0.3">
      <c r="B7212" t="s">
        <v>4092</v>
      </c>
    </row>
    <row r="7213" spans="1:3" outlineLevel="1" x14ac:dyDescent="0.3">
      <c r="B7213" t="s">
        <v>3156</v>
      </c>
    </row>
    <row r="7214" spans="1:3" outlineLevel="1" x14ac:dyDescent="0.3">
      <c r="B7214" t="s">
        <v>3157</v>
      </c>
    </row>
    <row r="7215" spans="1:3" outlineLevel="1" x14ac:dyDescent="0.3">
      <c r="B7215" t="s">
        <v>3158</v>
      </c>
    </row>
    <row r="7216" spans="1:3" outlineLevel="1" x14ac:dyDescent="0.3">
      <c r="B7216" t="s">
        <v>3159</v>
      </c>
    </row>
    <row r="7217" spans="2:3" outlineLevel="1" x14ac:dyDescent="0.3">
      <c r="B7217" t="s">
        <v>3160</v>
      </c>
    </row>
    <row r="7218" spans="2:3" hidden="1" outlineLevel="2" x14ac:dyDescent="0.3">
      <c r="C7218" t="s">
        <v>3161</v>
      </c>
    </row>
    <row r="7219" spans="2:3" hidden="1" outlineLevel="2" x14ac:dyDescent="0.3">
      <c r="C7219" t="s">
        <v>3162</v>
      </c>
    </row>
    <row r="7220" spans="2:3" hidden="1" outlineLevel="2" x14ac:dyDescent="0.3">
      <c r="C7220" t="s">
        <v>3163</v>
      </c>
    </row>
    <row r="7221" spans="2:3" outlineLevel="1" collapsed="1" x14ac:dyDescent="0.3">
      <c r="B7221" t="s">
        <v>3164</v>
      </c>
    </row>
    <row r="7222" spans="2:3" hidden="1" outlineLevel="2" x14ac:dyDescent="0.3">
      <c r="C7222" t="s">
        <v>3165</v>
      </c>
    </row>
    <row r="7223" spans="2:3" hidden="1" outlineLevel="2" x14ac:dyDescent="0.3">
      <c r="C7223" t="s">
        <v>3166</v>
      </c>
    </row>
    <row r="7224" spans="2:3" hidden="1" outlineLevel="2" x14ac:dyDescent="0.3">
      <c r="C7224" t="s">
        <v>3167</v>
      </c>
    </row>
    <row r="7225" spans="2:3" outlineLevel="1" collapsed="1" x14ac:dyDescent="0.3">
      <c r="B7225" t="s">
        <v>3168</v>
      </c>
    </row>
    <row r="7226" spans="2:3" hidden="1" outlineLevel="2" x14ac:dyDescent="0.3">
      <c r="C7226" t="s">
        <v>3169</v>
      </c>
    </row>
    <row r="7227" spans="2:3" hidden="1" outlineLevel="2" x14ac:dyDescent="0.3">
      <c r="C7227" t="s">
        <v>3170</v>
      </c>
    </row>
    <row r="7228" spans="2:3" hidden="1" outlineLevel="2" x14ac:dyDescent="0.3">
      <c r="C7228" t="s">
        <v>3171</v>
      </c>
    </row>
    <row r="7229" spans="2:3" hidden="1" outlineLevel="2" x14ac:dyDescent="0.3">
      <c r="C7229" t="s">
        <v>3172</v>
      </c>
    </row>
    <row r="7230" spans="2:3" outlineLevel="1" collapsed="1" x14ac:dyDescent="0.3">
      <c r="B7230" t="s">
        <v>4094</v>
      </c>
    </row>
    <row r="7231" spans="2:3" hidden="1" outlineLevel="2" x14ac:dyDescent="0.3">
      <c r="C7231" t="s">
        <v>3174</v>
      </c>
    </row>
    <row r="7232" spans="2:3" hidden="1" outlineLevel="2" x14ac:dyDescent="0.3">
      <c r="C7232" t="s">
        <v>3175</v>
      </c>
    </row>
    <row r="7233" spans="1:3" outlineLevel="1" collapsed="1" x14ac:dyDescent="0.3">
      <c r="B7233" t="s">
        <v>3176</v>
      </c>
    </row>
    <row r="7234" spans="1:3" outlineLevel="1" x14ac:dyDescent="0.3">
      <c r="B7234" t="s">
        <v>3177</v>
      </c>
    </row>
    <row r="7235" spans="1:3" hidden="1" outlineLevel="2" x14ac:dyDescent="0.3">
      <c r="C7235" t="s">
        <v>3178</v>
      </c>
    </row>
    <row r="7236" spans="1:3" hidden="1" outlineLevel="2" x14ac:dyDescent="0.3">
      <c r="C7236" t="s">
        <v>3179</v>
      </c>
    </row>
    <row r="7237" spans="1:3" hidden="1" outlineLevel="2" x14ac:dyDescent="0.3">
      <c r="C7237" t="s">
        <v>3180</v>
      </c>
    </row>
    <row r="7238" spans="1:3" hidden="1" outlineLevel="2" x14ac:dyDescent="0.3">
      <c r="C7238" t="s">
        <v>3181</v>
      </c>
    </row>
    <row r="7239" spans="1:3" outlineLevel="1" collapsed="1" x14ac:dyDescent="0.3">
      <c r="B7239" t="s">
        <v>3182</v>
      </c>
    </row>
    <row r="7240" spans="1:3" hidden="1" outlineLevel="2" x14ac:dyDescent="0.3">
      <c r="C7240" t="s">
        <v>3183</v>
      </c>
    </row>
    <row r="7241" spans="1:3" hidden="1" outlineLevel="2" x14ac:dyDescent="0.3">
      <c r="C7241" t="s">
        <v>3184</v>
      </c>
    </row>
    <row r="7242" spans="1:3" outlineLevel="1" collapsed="1" x14ac:dyDescent="0.3">
      <c r="B7242" t="s">
        <v>3185</v>
      </c>
    </row>
    <row r="7243" spans="1:3" outlineLevel="1" x14ac:dyDescent="0.3">
      <c r="B7243" t="s">
        <v>3186</v>
      </c>
    </row>
    <row r="7244" spans="1:3" outlineLevel="1" x14ac:dyDescent="0.3">
      <c r="B7244" t="s">
        <v>3187</v>
      </c>
    </row>
    <row r="7245" spans="1:3" outlineLevel="1" x14ac:dyDescent="0.3">
      <c r="B7245" t="s">
        <v>3188</v>
      </c>
    </row>
    <row r="7246" spans="1:3" outlineLevel="1" x14ac:dyDescent="0.3">
      <c r="B7246" t="s">
        <v>3189</v>
      </c>
    </row>
    <row r="7247" spans="1:3" outlineLevel="1" x14ac:dyDescent="0.3">
      <c r="B7247" t="s">
        <v>3190</v>
      </c>
    </row>
    <row r="7248" spans="1:3" x14ac:dyDescent="0.3">
      <c r="A7248" t="s">
        <v>3191</v>
      </c>
    </row>
    <row r="7249" spans="2:3" outlineLevel="1" x14ac:dyDescent="0.3">
      <c r="B7249" t="s">
        <v>3192</v>
      </c>
    </row>
    <row r="7250" spans="2:3" outlineLevel="1" x14ac:dyDescent="0.3">
      <c r="B7250" t="s">
        <v>3193</v>
      </c>
    </row>
    <row r="7251" spans="2:3" hidden="1" outlineLevel="2" x14ac:dyDescent="0.3">
      <c r="C7251" t="s">
        <v>3194</v>
      </c>
    </row>
    <row r="7252" spans="2:3" hidden="1" outlineLevel="2" x14ac:dyDescent="0.3">
      <c r="C7252" t="s">
        <v>3195</v>
      </c>
    </row>
    <row r="7253" spans="2:3" hidden="1" outlineLevel="2" x14ac:dyDescent="0.3">
      <c r="C7253" t="s">
        <v>3196</v>
      </c>
    </row>
    <row r="7254" spans="2:3" outlineLevel="1" collapsed="1" x14ac:dyDescent="0.3">
      <c r="B7254" t="s">
        <v>3197</v>
      </c>
    </row>
    <row r="7255" spans="2:3" outlineLevel="1" x14ac:dyDescent="0.3">
      <c r="B7255" t="s">
        <v>3198</v>
      </c>
    </row>
    <row r="7256" spans="2:3" outlineLevel="1" x14ac:dyDescent="0.3">
      <c r="B7256" t="s">
        <v>4549</v>
      </c>
    </row>
    <row r="7257" spans="2:3" outlineLevel="1" x14ac:dyDescent="0.3">
      <c r="B7257" t="s">
        <v>3200</v>
      </c>
    </row>
    <row r="7258" spans="2:3" outlineLevel="1" x14ac:dyDescent="0.3">
      <c r="B7258" t="s">
        <v>3201</v>
      </c>
    </row>
    <row r="7259" spans="2:3" hidden="1" outlineLevel="2" x14ac:dyDescent="0.3">
      <c r="C7259" t="s">
        <v>3202</v>
      </c>
    </row>
    <row r="7260" spans="2:3" hidden="1" outlineLevel="2" x14ac:dyDescent="0.3">
      <c r="C7260" t="s">
        <v>3203</v>
      </c>
    </row>
    <row r="7261" spans="2:3" hidden="1" outlineLevel="2" x14ac:dyDescent="0.3">
      <c r="C7261" t="s">
        <v>3204</v>
      </c>
    </row>
    <row r="7262" spans="2:3" outlineLevel="1" collapsed="1" x14ac:dyDescent="0.3">
      <c r="B7262" t="s">
        <v>3205</v>
      </c>
    </row>
    <row r="7263" spans="2:3" hidden="1" outlineLevel="2" x14ac:dyDescent="0.3">
      <c r="C7263" t="s">
        <v>3206</v>
      </c>
    </row>
    <row r="7264" spans="2:3" hidden="1" outlineLevel="2" x14ac:dyDescent="0.3">
      <c r="C7264" t="s">
        <v>3207</v>
      </c>
    </row>
    <row r="7265" spans="2:3" hidden="1" outlineLevel="2" x14ac:dyDescent="0.3">
      <c r="C7265" t="s">
        <v>3208</v>
      </c>
    </row>
    <row r="7266" spans="2:3" outlineLevel="1" collapsed="1" x14ac:dyDescent="0.3">
      <c r="B7266" t="s">
        <v>3209</v>
      </c>
    </row>
    <row r="7267" spans="2:3" hidden="1" outlineLevel="2" x14ac:dyDescent="0.3">
      <c r="C7267" t="s">
        <v>3210</v>
      </c>
    </row>
    <row r="7268" spans="2:3" hidden="1" outlineLevel="2" x14ac:dyDescent="0.3">
      <c r="C7268" t="s">
        <v>3211</v>
      </c>
    </row>
    <row r="7269" spans="2:3" hidden="1" outlineLevel="2" x14ac:dyDescent="0.3">
      <c r="C7269" t="s">
        <v>3212</v>
      </c>
    </row>
    <row r="7270" spans="2:3" hidden="1" outlineLevel="2" x14ac:dyDescent="0.3">
      <c r="C7270" t="s">
        <v>3213</v>
      </c>
    </row>
    <row r="7271" spans="2:3" outlineLevel="1" collapsed="1" x14ac:dyDescent="0.3">
      <c r="B7271" t="s">
        <v>3214</v>
      </c>
    </row>
    <row r="7272" spans="2:3" hidden="1" outlineLevel="2" x14ac:dyDescent="0.3">
      <c r="C7272" t="s">
        <v>3215</v>
      </c>
    </row>
    <row r="7273" spans="2:3" hidden="1" outlineLevel="2" x14ac:dyDescent="0.3">
      <c r="C7273" t="s">
        <v>3216</v>
      </c>
    </row>
    <row r="7274" spans="2:3" outlineLevel="1" collapsed="1" x14ac:dyDescent="0.3">
      <c r="B7274" t="s">
        <v>3217</v>
      </c>
    </row>
    <row r="7275" spans="2:3" outlineLevel="1" x14ac:dyDescent="0.3">
      <c r="B7275" t="s">
        <v>3218</v>
      </c>
    </row>
    <row r="7276" spans="2:3" hidden="1" outlineLevel="2" x14ac:dyDescent="0.3">
      <c r="C7276" t="s">
        <v>3219</v>
      </c>
    </row>
    <row r="7277" spans="2:3" hidden="1" outlineLevel="2" x14ac:dyDescent="0.3">
      <c r="C7277" t="s">
        <v>3220</v>
      </c>
    </row>
    <row r="7278" spans="2:3" hidden="1" outlineLevel="2" x14ac:dyDescent="0.3">
      <c r="C7278" t="s">
        <v>3221</v>
      </c>
    </row>
    <row r="7279" spans="2:3" hidden="1" outlineLevel="2" x14ac:dyDescent="0.3">
      <c r="C7279" t="s">
        <v>3222</v>
      </c>
    </row>
    <row r="7280" spans="2:3" outlineLevel="1" collapsed="1" x14ac:dyDescent="0.3">
      <c r="B7280" t="s">
        <v>3223</v>
      </c>
    </row>
    <row r="7281" spans="1:3" hidden="1" outlineLevel="2" x14ac:dyDescent="0.3">
      <c r="C7281" t="s">
        <v>3224</v>
      </c>
    </row>
    <row r="7282" spans="1:3" hidden="1" outlineLevel="2" x14ac:dyDescent="0.3">
      <c r="C7282" t="s">
        <v>3225</v>
      </c>
    </row>
    <row r="7283" spans="1:3" hidden="1" outlineLevel="2" x14ac:dyDescent="0.3">
      <c r="C7283" t="s">
        <v>3226</v>
      </c>
    </row>
    <row r="7284" spans="1:3" outlineLevel="1" collapsed="1" x14ac:dyDescent="0.3">
      <c r="B7284" t="s">
        <v>3227</v>
      </c>
    </row>
    <row r="7285" spans="1:3" outlineLevel="1" x14ac:dyDescent="0.3">
      <c r="B7285" t="s">
        <v>3228</v>
      </c>
    </row>
    <row r="7286" spans="1:3" outlineLevel="1" x14ac:dyDescent="0.3">
      <c r="B7286" t="s">
        <v>3229</v>
      </c>
    </row>
    <row r="7287" spans="1:3" outlineLevel="1" x14ac:dyDescent="0.3">
      <c r="B7287" t="s">
        <v>3230</v>
      </c>
    </row>
    <row r="7288" spans="1:3" outlineLevel="1" x14ac:dyDescent="0.3">
      <c r="B7288" t="s">
        <v>3231</v>
      </c>
    </row>
    <row r="7289" spans="1:3" x14ac:dyDescent="0.3">
      <c r="A7289" t="s">
        <v>1697</v>
      </c>
    </row>
    <row r="7290" spans="1:3" x14ac:dyDescent="0.3">
      <c r="A7290" t="s">
        <v>1698</v>
      </c>
    </row>
    <row r="7291" spans="1:3" x14ac:dyDescent="0.3">
      <c r="A7291" t="s">
        <v>1699</v>
      </c>
    </row>
    <row r="7292" spans="1:3" x14ac:dyDescent="0.3">
      <c r="A7292" t="s">
        <v>1700</v>
      </c>
    </row>
    <row r="7293" spans="1:3" x14ac:dyDescent="0.3">
      <c r="A7293" t="s">
        <v>1701</v>
      </c>
    </row>
    <row r="7294" spans="1:3" x14ac:dyDescent="0.3">
      <c r="A7294" t="s">
        <v>1702</v>
      </c>
    </row>
    <row r="7295" spans="1:3" x14ac:dyDescent="0.3">
      <c r="A7295" t="s">
        <v>1703</v>
      </c>
    </row>
    <row r="7296" spans="1:3" outlineLevel="1" x14ac:dyDescent="0.3">
      <c r="B7296" t="s">
        <v>1704</v>
      </c>
    </row>
    <row r="7297" spans="1:2" outlineLevel="1" x14ac:dyDescent="0.3">
      <c r="B7297" t="s">
        <v>1705</v>
      </c>
    </row>
    <row r="7298" spans="1:2" outlineLevel="1" x14ac:dyDescent="0.3">
      <c r="B7298" t="s">
        <v>1706</v>
      </c>
    </row>
    <row r="7299" spans="1:2" outlineLevel="1" x14ac:dyDescent="0.3">
      <c r="B7299" t="s">
        <v>1707</v>
      </c>
    </row>
    <row r="7300" spans="1:2" outlineLevel="1" x14ac:dyDescent="0.3">
      <c r="B7300" t="s">
        <v>1708</v>
      </c>
    </row>
    <row r="7301" spans="1:2" outlineLevel="1" x14ac:dyDescent="0.3">
      <c r="B7301" t="s">
        <v>1709</v>
      </c>
    </row>
    <row r="7302" spans="1:2" outlineLevel="1" x14ac:dyDescent="0.3">
      <c r="B7302" t="s">
        <v>1710</v>
      </c>
    </row>
    <row r="7303" spans="1:2" outlineLevel="1" x14ac:dyDescent="0.3">
      <c r="B7303" t="s">
        <v>1711</v>
      </c>
    </row>
    <row r="7304" spans="1:2" outlineLevel="1" x14ac:dyDescent="0.3">
      <c r="B7304" t="s">
        <v>1712</v>
      </c>
    </row>
    <row r="7305" spans="1:2" outlineLevel="1" x14ac:dyDescent="0.3">
      <c r="B7305" t="s">
        <v>1713</v>
      </c>
    </row>
    <row r="7306" spans="1:2" outlineLevel="1" x14ac:dyDescent="0.3">
      <c r="B7306" t="s">
        <v>1714</v>
      </c>
    </row>
    <row r="7307" spans="1:2" outlineLevel="1" x14ac:dyDescent="0.3">
      <c r="B7307" t="s">
        <v>1715</v>
      </c>
    </row>
    <row r="7308" spans="1:2" outlineLevel="1" x14ac:dyDescent="0.3">
      <c r="B7308" t="s">
        <v>1716</v>
      </c>
    </row>
    <row r="7309" spans="1:2" outlineLevel="1" x14ac:dyDescent="0.3">
      <c r="B7309" t="s">
        <v>1717</v>
      </c>
    </row>
    <row r="7310" spans="1:2" outlineLevel="1" x14ac:dyDescent="0.3">
      <c r="B7310" t="s">
        <v>1718</v>
      </c>
    </row>
    <row r="7311" spans="1:2" x14ac:dyDescent="0.3">
      <c r="A7311" t="s">
        <v>1719</v>
      </c>
    </row>
    <row r="7312" spans="1:2" x14ac:dyDescent="0.3">
      <c r="A7312" t="s">
        <v>1720</v>
      </c>
    </row>
    <row r="7313" spans="1:2" outlineLevel="1" x14ac:dyDescent="0.3">
      <c r="B7313" t="s">
        <v>3232</v>
      </c>
    </row>
    <row r="7314" spans="1:2" outlineLevel="1" x14ac:dyDescent="0.3">
      <c r="B7314" t="s">
        <v>1722</v>
      </c>
    </row>
    <row r="7315" spans="1:2" x14ac:dyDescent="0.3">
      <c r="A7315" t="s">
        <v>1723</v>
      </c>
    </row>
    <row r="7316" spans="1:2" outlineLevel="1" x14ac:dyDescent="0.3">
      <c r="B7316" t="s">
        <v>3233</v>
      </c>
    </row>
    <row r="7317" spans="1:2" outlineLevel="1" x14ac:dyDescent="0.3">
      <c r="B7317" t="s">
        <v>1725</v>
      </c>
    </row>
    <row r="7318" spans="1:2" x14ac:dyDescent="0.3">
      <c r="A7318" t="s">
        <v>1726</v>
      </c>
    </row>
    <row r="7319" spans="1:2" x14ac:dyDescent="0.3">
      <c r="A7319" t="s">
        <v>1727</v>
      </c>
    </row>
    <row r="7320" spans="1:2" x14ac:dyDescent="0.3">
      <c r="A7320" t="s">
        <v>1728</v>
      </c>
    </row>
    <row r="7321" spans="1:2" x14ac:dyDescent="0.3">
      <c r="A7321" t="s">
        <v>1729</v>
      </c>
    </row>
    <row r="7322" spans="1:2" x14ac:dyDescent="0.3">
      <c r="A7322" t="s">
        <v>1730</v>
      </c>
    </row>
    <row r="7323" spans="1:2" x14ac:dyDescent="0.3">
      <c r="A7323" t="s">
        <v>1731</v>
      </c>
    </row>
    <row r="7324" spans="1:2" x14ac:dyDescent="0.3">
      <c r="A7324" t="s">
        <v>1732</v>
      </c>
    </row>
    <row r="7325" spans="1:2" x14ac:dyDescent="0.3">
      <c r="A7325" t="s">
        <v>1733</v>
      </c>
    </row>
    <row r="7326" spans="1:2" x14ac:dyDescent="0.3">
      <c r="A7326" t="s">
        <v>1734</v>
      </c>
    </row>
    <row r="7327" spans="1:2" x14ac:dyDescent="0.3">
      <c r="A7327" t="s">
        <v>1735</v>
      </c>
    </row>
    <row r="7328" spans="1:2" outlineLevel="1" x14ac:dyDescent="0.3">
      <c r="A7328" t="s">
        <v>1736</v>
      </c>
    </row>
    <row r="7329" spans="2:2" outlineLevel="1" x14ac:dyDescent="0.3">
      <c r="B7329" t="s">
        <v>1737</v>
      </c>
    </row>
    <row r="7330" spans="2:2" outlineLevel="1" x14ac:dyDescent="0.3">
      <c r="B7330" t="s">
        <v>1738</v>
      </c>
    </row>
    <row r="7331" spans="2:2" outlineLevel="1" x14ac:dyDescent="0.3">
      <c r="B7331" t="s">
        <v>1739</v>
      </c>
    </row>
    <row r="7332" spans="2:2" outlineLevel="1" x14ac:dyDescent="0.3">
      <c r="B7332" t="s">
        <v>1740</v>
      </c>
    </row>
    <row r="7333" spans="2:2" outlineLevel="1" x14ac:dyDescent="0.3">
      <c r="B7333" t="s">
        <v>1741</v>
      </c>
    </row>
    <row r="7334" spans="2:2" outlineLevel="1" x14ac:dyDescent="0.3">
      <c r="B7334" t="s">
        <v>1742</v>
      </c>
    </row>
    <row r="7335" spans="2:2" outlineLevel="1" x14ac:dyDescent="0.3">
      <c r="B7335" t="s">
        <v>1743</v>
      </c>
    </row>
    <row r="7336" spans="2:2" outlineLevel="1" x14ac:dyDescent="0.3">
      <c r="B7336" t="s">
        <v>1744</v>
      </c>
    </row>
    <row r="7337" spans="2:2" outlineLevel="1" x14ac:dyDescent="0.3">
      <c r="B7337" t="s">
        <v>1745</v>
      </c>
    </row>
    <row r="7338" spans="2:2" outlineLevel="1" x14ac:dyDescent="0.3">
      <c r="B7338" t="s">
        <v>1746</v>
      </c>
    </row>
    <row r="7339" spans="2:2" outlineLevel="1" x14ac:dyDescent="0.3">
      <c r="B7339" t="s">
        <v>1747</v>
      </c>
    </row>
    <row r="7340" spans="2:2" outlineLevel="1" x14ac:dyDescent="0.3">
      <c r="B7340" t="s">
        <v>1748</v>
      </c>
    </row>
    <row r="7341" spans="2:2" outlineLevel="1" x14ac:dyDescent="0.3">
      <c r="B7341" t="s">
        <v>1749</v>
      </c>
    </row>
    <row r="7342" spans="2:2" outlineLevel="1" x14ac:dyDescent="0.3">
      <c r="B7342" t="s">
        <v>1750</v>
      </c>
    </row>
    <row r="7348" spans="1:2" x14ac:dyDescent="0.3">
      <c r="A7348" t="s">
        <v>1751</v>
      </c>
    </row>
    <row r="7349" spans="1:2" outlineLevel="1" x14ac:dyDescent="0.3">
      <c r="B7349" t="s">
        <v>1752</v>
      </c>
    </row>
    <row r="7350" spans="1:2" outlineLevel="1" x14ac:dyDescent="0.3">
      <c r="B7350" t="s">
        <v>1753</v>
      </c>
    </row>
    <row r="7351" spans="1:2" outlineLevel="1" x14ac:dyDescent="0.3">
      <c r="B7351" t="s">
        <v>1754</v>
      </c>
    </row>
    <row r="7352" spans="1:2" outlineLevel="1" x14ac:dyDescent="0.3">
      <c r="B7352" t="s">
        <v>1755</v>
      </c>
    </row>
    <row r="7353" spans="1:2" outlineLevel="1" x14ac:dyDescent="0.3">
      <c r="B7353" t="s">
        <v>1756</v>
      </c>
    </row>
    <row r="7354" spans="1:2" outlineLevel="1" x14ac:dyDescent="0.3">
      <c r="B7354" t="s">
        <v>1757</v>
      </c>
    </row>
    <row r="7355" spans="1:2" outlineLevel="1" x14ac:dyDescent="0.3">
      <c r="B7355" t="s">
        <v>1758</v>
      </c>
    </row>
    <row r="7356" spans="1:2" outlineLevel="1" x14ac:dyDescent="0.3">
      <c r="B7356" t="s">
        <v>1759</v>
      </c>
    </row>
    <row r="7357" spans="1:2" outlineLevel="1" x14ac:dyDescent="0.3">
      <c r="B7357" t="s">
        <v>1760</v>
      </c>
    </row>
    <row r="7358" spans="1:2" outlineLevel="1" x14ac:dyDescent="0.3">
      <c r="B7358" t="s">
        <v>1761</v>
      </c>
    </row>
    <row r="7359" spans="1:2" outlineLevel="1" x14ac:dyDescent="0.3">
      <c r="B7359" t="s">
        <v>1762</v>
      </c>
    </row>
    <row r="7360" spans="1:2" outlineLevel="1" x14ac:dyDescent="0.3">
      <c r="B7360" t="s">
        <v>1763</v>
      </c>
    </row>
    <row r="7361" spans="1:2" x14ac:dyDescent="0.3">
      <c r="A7361" t="s">
        <v>1764</v>
      </c>
    </row>
    <row r="7362" spans="1:2" outlineLevel="1" x14ac:dyDescent="0.3">
      <c r="B7362" t="s">
        <v>1765</v>
      </c>
    </row>
    <row r="7363" spans="1:2" outlineLevel="1" x14ac:dyDescent="0.3">
      <c r="B7363" t="s">
        <v>1766</v>
      </c>
    </row>
    <row r="7364" spans="1:2" outlineLevel="1" x14ac:dyDescent="0.3">
      <c r="B7364" t="s">
        <v>1767</v>
      </c>
    </row>
    <row r="7365" spans="1:2" x14ac:dyDescent="0.3">
      <c r="A7365" t="s">
        <v>1768</v>
      </c>
    </row>
    <row r="7366" spans="1:2" outlineLevel="1" x14ac:dyDescent="0.3">
      <c r="B7366" t="s">
        <v>1769</v>
      </c>
    </row>
    <row r="7367" spans="1:2" outlineLevel="1" x14ac:dyDescent="0.3">
      <c r="B7367" t="s">
        <v>1770</v>
      </c>
    </row>
    <row r="7368" spans="1:2" outlineLevel="1" x14ac:dyDescent="0.3">
      <c r="B7368" t="s">
        <v>1771</v>
      </c>
    </row>
    <row r="7369" spans="1:2" outlineLevel="1" x14ac:dyDescent="0.3">
      <c r="B7369" t="s">
        <v>1772</v>
      </c>
    </row>
    <row r="7370" spans="1:2" outlineLevel="1" x14ac:dyDescent="0.3">
      <c r="B7370" t="s">
        <v>1773</v>
      </c>
    </row>
    <row r="7371" spans="1:2" outlineLevel="1" x14ac:dyDescent="0.3">
      <c r="B7371" t="s">
        <v>1774</v>
      </c>
    </row>
    <row r="7372" spans="1:2" outlineLevel="1" x14ac:dyDescent="0.3">
      <c r="B7372" t="s">
        <v>1775</v>
      </c>
    </row>
    <row r="7373" spans="1:2" outlineLevel="1" x14ac:dyDescent="0.3">
      <c r="B7373" t="s">
        <v>1776</v>
      </c>
    </row>
    <row r="7374" spans="1:2" outlineLevel="1" x14ac:dyDescent="0.3">
      <c r="B7374" t="s">
        <v>1777</v>
      </c>
    </row>
    <row r="7375" spans="1:2" outlineLevel="1" x14ac:dyDescent="0.3">
      <c r="B7375" t="s">
        <v>1778</v>
      </c>
    </row>
    <row r="7376" spans="1:2" outlineLevel="1" x14ac:dyDescent="0.3">
      <c r="B7376" t="s">
        <v>1779</v>
      </c>
    </row>
    <row r="7377" spans="1:2" outlineLevel="1" x14ac:dyDescent="0.3">
      <c r="B7377" t="s">
        <v>1780</v>
      </c>
    </row>
    <row r="7378" spans="1:2" outlineLevel="1" x14ac:dyDescent="0.3">
      <c r="B7378" t="s">
        <v>1781</v>
      </c>
    </row>
    <row r="7379" spans="1:2" outlineLevel="1" x14ac:dyDescent="0.3">
      <c r="B7379" t="s">
        <v>1782</v>
      </c>
    </row>
    <row r="7380" spans="1:2" outlineLevel="1" x14ac:dyDescent="0.3">
      <c r="B7380" t="s">
        <v>1783</v>
      </c>
    </row>
    <row r="7381" spans="1:2" outlineLevel="1" x14ac:dyDescent="0.3">
      <c r="B7381" t="s">
        <v>1784</v>
      </c>
    </row>
    <row r="7382" spans="1:2" outlineLevel="1" x14ac:dyDescent="0.3">
      <c r="B7382" t="s">
        <v>1785</v>
      </c>
    </row>
    <row r="7383" spans="1:2" outlineLevel="1" x14ac:dyDescent="0.3">
      <c r="B7383" t="s">
        <v>1786</v>
      </c>
    </row>
    <row r="7384" spans="1:2" outlineLevel="1" x14ac:dyDescent="0.3">
      <c r="B7384" t="s">
        <v>1787</v>
      </c>
    </row>
    <row r="7385" spans="1:2" outlineLevel="1" x14ac:dyDescent="0.3">
      <c r="B7385" t="s">
        <v>1788</v>
      </c>
    </row>
    <row r="7386" spans="1:2" x14ac:dyDescent="0.3">
      <c r="A7386" t="s">
        <v>1789</v>
      </c>
    </row>
    <row r="7387" spans="1:2" outlineLevel="1" x14ac:dyDescent="0.3">
      <c r="B7387" t="s">
        <v>1790</v>
      </c>
    </row>
    <row r="7388" spans="1:2" outlineLevel="1" x14ac:dyDescent="0.3">
      <c r="B7388" t="s">
        <v>1791</v>
      </c>
    </row>
    <row r="7389" spans="1:2" outlineLevel="1" x14ac:dyDescent="0.3">
      <c r="B7389" t="s">
        <v>1792</v>
      </c>
    </row>
    <row r="7390" spans="1:2" outlineLevel="1" x14ac:dyDescent="0.3">
      <c r="B7390" t="s">
        <v>1793</v>
      </c>
    </row>
    <row r="7391" spans="1:2" outlineLevel="1" x14ac:dyDescent="0.3">
      <c r="B7391" t="s">
        <v>1794</v>
      </c>
    </row>
    <row r="7392" spans="1:2" outlineLevel="1" x14ac:dyDescent="0.3">
      <c r="B7392" t="s">
        <v>1795</v>
      </c>
    </row>
    <row r="7393" spans="1:2" outlineLevel="1" x14ac:dyDescent="0.3">
      <c r="B7393" t="s">
        <v>1796</v>
      </c>
    </row>
    <row r="7394" spans="1:2" outlineLevel="1" x14ac:dyDescent="0.3">
      <c r="B7394" t="s">
        <v>1797</v>
      </c>
    </row>
    <row r="7395" spans="1:2" outlineLevel="1" x14ac:dyDescent="0.3">
      <c r="B7395" t="s">
        <v>1798</v>
      </c>
    </row>
    <row r="7396" spans="1:2" outlineLevel="1" x14ac:dyDescent="0.3">
      <c r="B7396" t="s">
        <v>1799</v>
      </c>
    </row>
    <row r="7397" spans="1:2" outlineLevel="1" x14ac:dyDescent="0.3">
      <c r="B7397" t="s">
        <v>1800</v>
      </c>
    </row>
    <row r="7398" spans="1:2" outlineLevel="1" x14ac:dyDescent="0.3">
      <c r="B7398" t="s">
        <v>1801</v>
      </c>
    </row>
    <row r="7399" spans="1:2" outlineLevel="1" x14ac:dyDescent="0.3">
      <c r="B7399" t="s">
        <v>1802</v>
      </c>
    </row>
    <row r="7400" spans="1:2" outlineLevel="1" x14ac:dyDescent="0.3">
      <c r="B7400" t="s">
        <v>1803</v>
      </c>
    </row>
    <row r="7401" spans="1:2" outlineLevel="1" x14ac:dyDescent="0.3">
      <c r="B7401" t="s">
        <v>1804</v>
      </c>
    </row>
    <row r="7402" spans="1:2" outlineLevel="1" x14ac:dyDescent="0.3">
      <c r="B7402" t="s">
        <v>1805</v>
      </c>
    </row>
    <row r="7403" spans="1:2" outlineLevel="1" x14ac:dyDescent="0.3">
      <c r="B7403" t="s">
        <v>1806</v>
      </c>
    </row>
    <row r="7404" spans="1:2" outlineLevel="1" x14ac:dyDescent="0.3">
      <c r="B7404" t="s">
        <v>1807</v>
      </c>
    </row>
    <row r="7405" spans="1:2" x14ac:dyDescent="0.3">
      <c r="A7405" t="s">
        <v>1808</v>
      </c>
    </row>
    <row r="7406" spans="1:2" outlineLevel="1" x14ac:dyDescent="0.3">
      <c r="B7406" t="s">
        <v>1809</v>
      </c>
    </row>
    <row r="7407" spans="1:2" outlineLevel="1" x14ac:dyDescent="0.3">
      <c r="B7407" t="s">
        <v>1810</v>
      </c>
    </row>
    <row r="7408" spans="1:2" outlineLevel="1" x14ac:dyDescent="0.3">
      <c r="B7408" t="s">
        <v>1811</v>
      </c>
    </row>
    <row r="7409" spans="2:2" outlineLevel="1" x14ac:dyDescent="0.3">
      <c r="B7409" t="s">
        <v>1812</v>
      </c>
    </row>
    <row r="7410" spans="2:2" outlineLevel="1" x14ac:dyDescent="0.3">
      <c r="B7410" t="s">
        <v>1813</v>
      </c>
    </row>
    <row r="7411" spans="2:2" outlineLevel="1" x14ac:dyDescent="0.3">
      <c r="B7411" t="s">
        <v>1814</v>
      </c>
    </row>
    <row r="7412" spans="2:2" outlineLevel="1" x14ac:dyDescent="0.3">
      <c r="B7412" t="s">
        <v>1815</v>
      </c>
    </row>
    <row r="7413" spans="2:2" outlineLevel="1" x14ac:dyDescent="0.3">
      <c r="B7413" t="s">
        <v>1816</v>
      </c>
    </row>
    <row r="7414" spans="2:2" outlineLevel="1" x14ac:dyDescent="0.3">
      <c r="B7414" t="s">
        <v>1817</v>
      </c>
    </row>
    <row r="7415" spans="2:2" outlineLevel="1" x14ac:dyDescent="0.3">
      <c r="B7415" t="s">
        <v>1818</v>
      </c>
    </row>
    <row r="7416" spans="2:2" outlineLevel="1" x14ac:dyDescent="0.3">
      <c r="B7416" t="s">
        <v>1819</v>
      </c>
    </row>
    <row r="7417" spans="2:2" outlineLevel="1" x14ac:dyDescent="0.3">
      <c r="B7417" t="s">
        <v>1820</v>
      </c>
    </row>
    <row r="7418" spans="2:2" outlineLevel="1" x14ac:dyDescent="0.3">
      <c r="B7418" t="s">
        <v>1821</v>
      </c>
    </row>
    <row r="7419" spans="2:2" outlineLevel="1" x14ac:dyDescent="0.3">
      <c r="B7419" t="s">
        <v>1822</v>
      </c>
    </row>
    <row r="7420" spans="2:2" outlineLevel="1" x14ac:dyDescent="0.3">
      <c r="B7420" t="s">
        <v>1823</v>
      </c>
    </row>
    <row r="7421" spans="2:2" outlineLevel="1" x14ac:dyDescent="0.3">
      <c r="B7421" t="s">
        <v>1824</v>
      </c>
    </row>
    <row r="7422" spans="2:2" outlineLevel="1" x14ac:dyDescent="0.3">
      <c r="B7422" t="s">
        <v>1825</v>
      </c>
    </row>
    <row r="7423" spans="2:2" outlineLevel="1" x14ac:dyDescent="0.3">
      <c r="B7423" t="s">
        <v>1826</v>
      </c>
    </row>
    <row r="7424" spans="2:2" outlineLevel="1" x14ac:dyDescent="0.3">
      <c r="B7424" t="s">
        <v>1827</v>
      </c>
    </row>
    <row r="7425" spans="1:4" outlineLevel="1" x14ac:dyDescent="0.3">
      <c r="B7425" t="s">
        <v>1828</v>
      </c>
    </row>
    <row r="7426" spans="1:4" x14ac:dyDescent="0.3">
      <c r="A7426" t="s">
        <v>1829</v>
      </c>
    </row>
    <row r="7427" spans="1:4" outlineLevel="1" x14ac:dyDescent="0.3">
      <c r="B7427" t="s">
        <v>1830</v>
      </c>
    </row>
    <row r="7428" spans="1:4" hidden="1" outlineLevel="2" x14ac:dyDescent="0.3">
      <c r="C7428" t="s">
        <v>1831</v>
      </c>
    </row>
    <row r="7429" spans="1:4" hidden="1" outlineLevel="3" x14ac:dyDescent="0.3">
      <c r="D7429" t="s">
        <v>1832</v>
      </c>
    </row>
    <row r="7430" spans="1:4" hidden="1" outlineLevel="3" x14ac:dyDescent="0.3">
      <c r="D7430" t="s">
        <v>1833</v>
      </c>
    </row>
    <row r="7431" spans="1:4" hidden="1" outlineLevel="3" x14ac:dyDescent="0.3">
      <c r="D7431" t="s">
        <v>1834</v>
      </c>
    </row>
    <row r="7432" spans="1:4" hidden="1" outlineLevel="3" x14ac:dyDescent="0.3">
      <c r="D7432" t="s">
        <v>1835</v>
      </c>
    </row>
    <row r="7433" spans="1:4" hidden="1" outlineLevel="2" x14ac:dyDescent="0.3">
      <c r="C7433" t="s">
        <v>1836</v>
      </c>
    </row>
    <row r="7434" spans="1:4" hidden="1" outlineLevel="2" x14ac:dyDescent="0.3">
      <c r="C7434" t="s">
        <v>1837</v>
      </c>
    </row>
    <row r="7435" spans="1:4" hidden="1" outlineLevel="2" x14ac:dyDescent="0.3">
      <c r="C7435" t="s">
        <v>1838</v>
      </c>
    </row>
    <row r="7436" spans="1:4" hidden="1" outlineLevel="2" x14ac:dyDescent="0.3">
      <c r="C7436" t="s">
        <v>1839</v>
      </c>
    </row>
    <row r="7437" spans="1:4" hidden="1" outlineLevel="2" x14ac:dyDescent="0.3">
      <c r="C7437" t="s">
        <v>1840</v>
      </c>
    </row>
    <row r="7438" spans="1:4" hidden="1" outlineLevel="2" x14ac:dyDescent="0.3">
      <c r="C7438" t="s">
        <v>1841</v>
      </c>
    </row>
    <row r="7439" spans="1:4" outlineLevel="1" collapsed="1" x14ac:dyDescent="0.3">
      <c r="B7439" t="s">
        <v>1842</v>
      </c>
    </row>
    <row r="7440" spans="1:4" outlineLevel="1" x14ac:dyDescent="0.3">
      <c r="B7440" t="s">
        <v>1843</v>
      </c>
    </row>
    <row r="7441" spans="1:4" outlineLevel="1" x14ac:dyDescent="0.3">
      <c r="B7441" t="s">
        <v>1844</v>
      </c>
    </row>
    <row r="7442" spans="1:4" outlineLevel="1" x14ac:dyDescent="0.3">
      <c r="B7442" t="s">
        <v>1845</v>
      </c>
    </row>
    <row r="7443" spans="1:4" outlineLevel="1" x14ac:dyDescent="0.3">
      <c r="B7443" t="s">
        <v>1846</v>
      </c>
    </row>
    <row r="7444" spans="1:4" outlineLevel="1" x14ac:dyDescent="0.3">
      <c r="B7444" t="s">
        <v>1847</v>
      </c>
    </row>
    <row r="7445" spans="1:4" outlineLevel="1" x14ac:dyDescent="0.3">
      <c r="B7445" t="s">
        <v>1848</v>
      </c>
    </row>
    <row r="7446" spans="1:4" outlineLevel="1" x14ac:dyDescent="0.3">
      <c r="B7446" t="s">
        <v>1849</v>
      </c>
    </row>
    <row r="7447" spans="1:4" outlineLevel="1" x14ac:dyDescent="0.3">
      <c r="B7447" t="s">
        <v>1850</v>
      </c>
    </row>
    <row r="7448" spans="1:4" outlineLevel="1" x14ac:dyDescent="0.3">
      <c r="B7448" t="s">
        <v>1851</v>
      </c>
    </row>
    <row r="7449" spans="1:4" outlineLevel="1" x14ac:dyDescent="0.3">
      <c r="B7449" t="s">
        <v>1852</v>
      </c>
    </row>
    <row r="7450" spans="1:4" x14ac:dyDescent="0.3">
      <c r="A7450" t="s">
        <v>1853</v>
      </c>
    </row>
    <row r="7451" spans="1:4" outlineLevel="1" x14ac:dyDescent="0.3">
      <c r="B7451" t="s">
        <v>1854</v>
      </c>
    </row>
    <row r="7452" spans="1:4" hidden="1" outlineLevel="2" x14ac:dyDescent="0.3">
      <c r="C7452" t="s">
        <v>1855</v>
      </c>
    </row>
    <row r="7453" spans="1:4" hidden="1" outlineLevel="3" x14ac:dyDescent="0.3">
      <c r="D7453" t="s">
        <v>1856</v>
      </c>
    </row>
    <row r="7454" spans="1:4" hidden="1" outlineLevel="3" x14ac:dyDescent="0.3">
      <c r="D7454" t="s">
        <v>1857</v>
      </c>
    </row>
    <row r="7455" spans="1:4" hidden="1" outlineLevel="3" x14ac:dyDescent="0.3">
      <c r="D7455" t="s">
        <v>1858</v>
      </c>
    </row>
    <row r="7456" spans="1:4" hidden="1" outlineLevel="2" x14ac:dyDescent="0.3">
      <c r="C7456" t="s">
        <v>1859</v>
      </c>
    </row>
    <row r="7457" spans="1:2" outlineLevel="1" collapsed="1" x14ac:dyDescent="0.3">
      <c r="B7457" t="s">
        <v>1860</v>
      </c>
    </row>
    <row r="7458" spans="1:2" outlineLevel="1" x14ac:dyDescent="0.3">
      <c r="B7458" t="s">
        <v>1861</v>
      </c>
    </row>
    <row r="7459" spans="1:2" outlineLevel="1" x14ac:dyDescent="0.3">
      <c r="B7459" t="s">
        <v>1862</v>
      </c>
    </row>
    <row r="7460" spans="1:2" outlineLevel="1" x14ac:dyDescent="0.3">
      <c r="B7460" t="s">
        <v>1863</v>
      </c>
    </row>
    <row r="7461" spans="1:2" outlineLevel="1" x14ac:dyDescent="0.3">
      <c r="B7461" t="s">
        <v>1864</v>
      </c>
    </row>
    <row r="7462" spans="1:2" outlineLevel="1" x14ac:dyDescent="0.3">
      <c r="B7462" t="s">
        <v>1865</v>
      </c>
    </row>
    <row r="7463" spans="1:2" outlineLevel="1" x14ac:dyDescent="0.3">
      <c r="B7463" t="s">
        <v>1866</v>
      </c>
    </row>
    <row r="7464" spans="1:2" outlineLevel="1" x14ac:dyDescent="0.3">
      <c r="B7464" t="s">
        <v>1867</v>
      </c>
    </row>
    <row r="7465" spans="1:2" outlineLevel="1" x14ac:dyDescent="0.3">
      <c r="B7465" t="s">
        <v>1868</v>
      </c>
    </row>
    <row r="7466" spans="1:2" outlineLevel="1" x14ac:dyDescent="0.3">
      <c r="B7466" t="s">
        <v>1869</v>
      </c>
    </row>
    <row r="7467" spans="1:2" outlineLevel="1" x14ac:dyDescent="0.3">
      <c r="B7467" t="s">
        <v>1870</v>
      </c>
    </row>
    <row r="7468" spans="1:2" outlineLevel="1" x14ac:dyDescent="0.3">
      <c r="B7468" t="s">
        <v>1871</v>
      </c>
    </row>
    <row r="7469" spans="1:2" outlineLevel="1" x14ac:dyDescent="0.3">
      <c r="B7469" t="s">
        <v>1872</v>
      </c>
    </row>
    <row r="7470" spans="1:2" outlineLevel="1" x14ac:dyDescent="0.3">
      <c r="B7470" t="s">
        <v>1873</v>
      </c>
    </row>
    <row r="7471" spans="1:2" outlineLevel="1" x14ac:dyDescent="0.3">
      <c r="B7471" t="s">
        <v>1874</v>
      </c>
    </row>
    <row r="7472" spans="1:2" x14ac:dyDescent="0.3">
      <c r="A7472" t="s">
        <v>1875</v>
      </c>
    </row>
    <row r="7478" spans="1:3" x14ac:dyDescent="0.3">
      <c r="A7478" t="s">
        <v>1876</v>
      </c>
    </row>
    <row r="7479" spans="1:3" outlineLevel="1" x14ac:dyDescent="0.3">
      <c r="B7479" t="s">
        <v>1877</v>
      </c>
    </row>
    <row r="7480" spans="1:3" hidden="1" outlineLevel="2" x14ac:dyDescent="0.3">
      <c r="C7480" t="s">
        <v>3234</v>
      </c>
    </row>
    <row r="7481" spans="1:3" hidden="1" outlineLevel="2" x14ac:dyDescent="0.3">
      <c r="C7481" t="s">
        <v>3235</v>
      </c>
    </row>
    <row r="7482" spans="1:3" outlineLevel="1" collapsed="1" x14ac:dyDescent="0.3">
      <c r="B7482" t="s">
        <v>1882</v>
      </c>
    </row>
    <row r="7483" spans="1:3" hidden="1" outlineLevel="2" x14ac:dyDescent="0.3">
      <c r="C7483" t="s">
        <v>3236</v>
      </c>
    </row>
    <row r="7484" spans="1:3" hidden="1" outlineLevel="2" x14ac:dyDescent="0.3">
      <c r="C7484" t="s">
        <v>3237</v>
      </c>
    </row>
    <row r="7485" spans="1:3" hidden="1" outlineLevel="2" x14ac:dyDescent="0.3">
      <c r="C7485" t="s">
        <v>3238</v>
      </c>
    </row>
    <row r="7486" spans="1:3" hidden="1" outlineLevel="2" x14ac:dyDescent="0.3">
      <c r="C7486" t="s">
        <v>3239</v>
      </c>
    </row>
    <row r="7487" spans="1:3" outlineLevel="1" collapsed="1" x14ac:dyDescent="0.3">
      <c r="B7487" t="s">
        <v>1888</v>
      </c>
    </row>
    <row r="7488" spans="1:3" outlineLevel="1" x14ac:dyDescent="0.3">
      <c r="B7488" t="s">
        <v>1889</v>
      </c>
    </row>
    <row r="7489" spans="2:4" outlineLevel="1" x14ac:dyDescent="0.3">
      <c r="B7489" t="s">
        <v>1890</v>
      </c>
    </row>
    <row r="7490" spans="2:4" hidden="1" outlineLevel="2" x14ac:dyDescent="0.3">
      <c r="C7490" t="s">
        <v>3240</v>
      </c>
    </row>
    <row r="7491" spans="2:4" hidden="1" outlineLevel="2" x14ac:dyDescent="0.3">
      <c r="C7491" t="s">
        <v>3241</v>
      </c>
    </row>
    <row r="7492" spans="2:4" hidden="1" outlineLevel="2" x14ac:dyDescent="0.3">
      <c r="C7492" t="s">
        <v>3242</v>
      </c>
    </row>
    <row r="7493" spans="2:4" hidden="1" outlineLevel="2" x14ac:dyDescent="0.3">
      <c r="C7493" t="s">
        <v>3243</v>
      </c>
    </row>
    <row r="7494" spans="2:4" hidden="1" outlineLevel="2" x14ac:dyDescent="0.3">
      <c r="C7494" t="s">
        <v>3244</v>
      </c>
    </row>
    <row r="7495" spans="2:4" hidden="1" outlineLevel="2" x14ac:dyDescent="0.3">
      <c r="C7495" t="s">
        <v>3245</v>
      </c>
    </row>
    <row r="7496" spans="2:4" hidden="1" outlineLevel="2" x14ac:dyDescent="0.3">
      <c r="C7496" t="s">
        <v>3246</v>
      </c>
    </row>
    <row r="7497" spans="2:4" hidden="1" outlineLevel="2" x14ac:dyDescent="0.3">
      <c r="C7497" t="s">
        <v>3247</v>
      </c>
    </row>
    <row r="7498" spans="2:4" hidden="1" outlineLevel="2" x14ac:dyDescent="0.3">
      <c r="C7498" t="s">
        <v>3248</v>
      </c>
    </row>
    <row r="7499" spans="2:4" hidden="1" outlineLevel="2" x14ac:dyDescent="0.3">
      <c r="C7499" t="s">
        <v>3249</v>
      </c>
    </row>
    <row r="7500" spans="2:4" hidden="1" outlineLevel="2" x14ac:dyDescent="0.3">
      <c r="C7500" t="s">
        <v>3250</v>
      </c>
    </row>
    <row r="7501" spans="2:4" hidden="1" outlineLevel="2" x14ac:dyDescent="0.3">
      <c r="C7501" t="s">
        <v>3251</v>
      </c>
    </row>
    <row r="7502" spans="2:4" hidden="1" outlineLevel="2" x14ac:dyDescent="0.3">
      <c r="C7502" t="s">
        <v>3252</v>
      </c>
    </row>
    <row r="7503" spans="2:4" hidden="1" outlineLevel="3" x14ac:dyDescent="0.3">
      <c r="D7503" t="s">
        <v>3253</v>
      </c>
    </row>
    <row r="7504" spans="2:4" hidden="1" outlineLevel="3" x14ac:dyDescent="0.3">
      <c r="D7504" t="s">
        <v>3254</v>
      </c>
    </row>
    <row r="7505" spans="3:4" hidden="1" outlineLevel="3" x14ac:dyDescent="0.3">
      <c r="D7505" t="s">
        <v>3255</v>
      </c>
    </row>
    <row r="7506" spans="3:4" hidden="1" outlineLevel="2" x14ac:dyDescent="0.3">
      <c r="C7506" t="s">
        <v>4550</v>
      </c>
    </row>
    <row r="7507" spans="3:4" hidden="1" outlineLevel="2" x14ac:dyDescent="0.3">
      <c r="C7507" t="s">
        <v>4551</v>
      </c>
    </row>
    <row r="7508" spans="3:4" hidden="1" outlineLevel="2" x14ac:dyDescent="0.3">
      <c r="C7508" t="s">
        <v>3257</v>
      </c>
    </row>
    <row r="7509" spans="3:4" hidden="1" outlineLevel="3" x14ac:dyDescent="0.3">
      <c r="D7509" t="s">
        <v>3258</v>
      </c>
    </row>
    <row r="7510" spans="3:4" hidden="1" outlineLevel="3" x14ac:dyDescent="0.3">
      <c r="D7510" t="s">
        <v>3259</v>
      </c>
    </row>
    <row r="7511" spans="3:4" hidden="1" outlineLevel="3" x14ac:dyDescent="0.3">
      <c r="D7511" t="s">
        <v>3260</v>
      </c>
    </row>
    <row r="7512" spans="3:4" hidden="1" outlineLevel="2" x14ac:dyDescent="0.3">
      <c r="C7512" t="s">
        <v>4552</v>
      </c>
    </row>
    <row r="7513" spans="3:4" hidden="1" outlineLevel="2" x14ac:dyDescent="0.3">
      <c r="C7513" t="s">
        <v>4553</v>
      </c>
    </row>
    <row r="7514" spans="3:4" hidden="1" outlineLevel="2" x14ac:dyDescent="0.3">
      <c r="C7514" t="s">
        <v>4554</v>
      </c>
    </row>
    <row r="7515" spans="3:4" hidden="1" outlineLevel="2" x14ac:dyDescent="0.3">
      <c r="C7515" t="s">
        <v>3261</v>
      </c>
    </row>
    <row r="7516" spans="3:4" hidden="1" outlineLevel="2" x14ac:dyDescent="0.3">
      <c r="C7516" t="s">
        <v>3262</v>
      </c>
    </row>
    <row r="7517" spans="3:4" hidden="1" outlineLevel="2" x14ac:dyDescent="0.3">
      <c r="C7517" t="s">
        <v>3263</v>
      </c>
    </row>
    <row r="7518" spans="3:4" hidden="1" outlineLevel="2" x14ac:dyDescent="0.3">
      <c r="C7518" t="s">
        <v>3264</v>
      </c>
    </row>
    <row r="7519" spans="3:4" hidden="1" outlineLevel="2" x14ac:dyDescent="0.3">
      <c r="C7519" t="s">
        <v>3265</v>
      </c>
    </row>
    <row r="7520" spans="3:4" hidden="1" outlineLevel="2" x14ac:dyDescent="0.3">
      <c r="C7520" t="s">
        <v>3266</v>
      </c>
    </row>
    <row r="7521" spans="3:4" hidden="1" outlineLevel="2" x14ac:dyDescent="0.3">
      <c r="C7521" t="s">
        <v>3267</v>
      </c>
    </row>
    <row r="7522" spans="3:4" hidden="1" outlineLevel="3" x14ac:dyDescent="0.3">
      <c r="D7522" t="s">
        <v>3268</v>
      </c>
    </row>
    <row r="7523" spans="3:4" hidden="1" outlineLevel="3" x14ac:dyDescent="0.3">
      <c r="D7523" t="s">
        <v>3269</v>
      </c>
    </row>
    <row r="7524" spans="3:4" hidden="1" outlineLevel="3" x14ac:dyDescent="0.3">
      <c r="D7524" t="s">
        <v>3270</v>
      </c>
    </row>
    <row r="7525" spans="3:4" hidden="1" outlineLevel="3" x14ac:dyDescent="0.3">
      <c r="D7525" t="s">
        <v>3271</v>
      </c>
    </row>
    <row r="7526" spans="3:4" hidden="1" outlineLevel="2" x14ac:dyDescent="0.3">
      <c r="C7526" t="s">
        <v>3272</v>
      </c>
    </row>
    <row r="7527" spans="3:4" hidden="1" outlineLevel="3" x14ac:dyDescent="0.3">
      <c r="D7527" t="s">
        <v>3273</v>
      </c>
    </row>
    <row r="7528" spans="3:4" hidden="1" outlineLevel="3" x14ac:dyDescent="0.3">
      <c r="D7528" t="s">
        <v>3274</v>
      </c>
    </row>
    <row r="7529" spans="3:4" hidden="1" outlineLevel="3" x14ac:dyDescent="0.3">
      <c r="D7529" t="s">
        <v>3275</v>
      </c>
    </row>
    <row r="7530" spans="3:4" hidden="1" outlineLevel="2" x14ac:dyDescent="0.3">
      <c r="C7530" t="s">
        <v>3276</v>
      </c>
    </row>
    <row r="7531" spans="3:4" hidden="1" outlineLevel="3" x14ac:dyDescent="0.3">
      <c r="D7531" t="s">
        <v>3277</v>
      </c>
    </row>
    <row r="7532" spans="3:4" hidden="1" outlineLevel="3" x14ac:dyDescent="0.3">
      <c r="D7532" t="s">
        <v>3278</v>
      </c>
    </row>
    <row r="7533" spans="3:4" hidden="1" outlineLevel="3" x14ac:dyDescent="0.3">
      <c r="D7533" t="s">
        <v>4097</v>
      </c>
    </row>
    <row r="7534" spans="3:4" hidden="1" outlineLevel="3" x14ac:dyDescent="0.3">
      <c r="D7534" t="s">
        <v>3280</v>
      </c>
    </row>
    <row r="7535" spans="3:4" hidden="1" outlineLevel="2" x14ac:dyDescent="0.3">
      <c r="C7535" t="s">
        <v>3281</v>
      </c>
    </row>
    <row r="7536" spans="3:4" hidden="1" outlineLevel="3" x14ac:dyDescent="0.3">
      <c r="D7536" t="s">
        <v>3282</v>
      </c>
    </row>
    <row r="7537" spans="3:4" hidden="1" outlineLevel="3" x14ac:dyDescent="0.3">
      <c r="D7537" t="s">
        <v>3283</v>
      </c>
    </row>
    <row r="7538" spans="3:4" hidden="1" outlineLevel="3" x14ac:dyDescent="0.3">
      <c r="D7538" t="s">
        <v>3284</v>
      </c>
    </row>
    <row r="7539" spans="3:4" hidden="1" outlineLevel="3" x14ac:dyDescent="0.3">
      <c r="D7539" t="s">
        <v>3285</v>
      </c>
    </row>
    <row r="7540" spans="3:4" hidden="1" outlineLevel="3" x14ac:dyDescent="0.3">
      <c r="D7540" t="s">
        <v>3286</v>
      </c>
    </row>
    <row r="7541" spans="3:4" hidden="1" outlineLevel="2" x14ac:dyDescent="0.3">
      <c r="C7541" t="s">
        <v>3287</v>
      </c>
    </row>
    <row r="7542" spans="3:4" hidden="1" outlineLevel="3" x14ac:dyDescent="0.3">
      <c r="D7542" t="s">
        <v>3288</v>
      </c>
    </row>
    <row r="7543" spans="3:4" hidden="1" outlineLevel="3" x14ac:dyDescent="0.3">
      <c r="D7543" t="s">
        <v>3289</v>
      </c>
    </row>
    <row r="7544" spans="3:4" hidden="1" outlineLevel="3" x14ac:dyDescent="0.3">
      <c r="D7544" t="s">
        <v>3290</v>
      </c>
    </row>
    <row r="7545" spans="3:4" hidden="1" outlineLevel="3" x14ac:dyDescent="0.3">
      <c r="D7545" t="s">
        <v>3291</v>
      </c>
    </row>
    <row r="7546" spans="3:4" hidden="1" outlineLevel="2" x14ac:dyDescent="0.3">
      <c r="C7546" t="s">
        <v>3292</v>
      </c>
    </row>
    <row r="7547" spans="3:4" hidden="1" outlineLevel="2" x14ac:dyDescent="0.3">
      <c r="C7547" t="s">
        <v>3293</v>
      </c>
    </row>
    <row r="7548" spans="3:4" hidden="1" outlineLevel="2" x14ac:dyDescent="0.3">
      <c r="C7548" t="s">
        <v>3294</v>
      </c>
    </row>
    <row r="7549" spans="3:4" hidden="1" outlineLevel="2" x14ac:dyDescent="0.3">
      <c r="C7549" t="s">
        <v>3295</v>
      </c>
    </row>
    <row r="7550" spans="3:4" hidden="1" outlineLevel="2" x14ac:dyDescent="0.3">
      <c r="C7550" t="s">
        <v>3296</v>
      </c>
    </row>
    <row r="7551" spans="3:4" hidden="1" outlineLevel="2" x14ac:dyDescent="0.3">
      <c r="C7551" t="s">
        <v>3297</v>
      </c>
    </row>
    <row r="7552" spans="3:4" hidden="1" outlineLevel="2" x14ac:dyDescent="0.3">
      <c r="C7552" t="s">
        <v>3298</v>
      </c>
    </row>
    <row r="7553" spans="2:3" hidden="1" outlineLevel="2" x14ac:dyDescent="0.3">
      <c r="C7553" t="s">
        <v>3299</v>
      </c>
    </row>
    <row r="7554" spans="2:3" hidden="1" outlineLevel="2" x14ac:dyDescent="0.3">
      <c r="C7554" t="s">
        <v>3300</v>
      </c>
    </row>
    <row r="7555" spans="2:3" hidden="1" outlineLevel="2" x14ac:dyDescent="0.3">
      <c r="C7555" t="s">
        <v>3301</v>
      </c>
    </row>
    <row r="7556" spans="2:3" hidden="1" outlineLevel="2" x14ac:dyDescent="0.3">
      <c r="C7556" t="s">
        <v>3302</v>
      </c>
    </row>
    <row r="7557" spans="2:3" hidden="1" outlineLevel="2" x14ac:dyDescent="0.3">
      <c r="C7557" t="s">
        <v>4555</v>
      </c>
    </row>
    <row r="7558" spans="2:3" hidden="1" outlineLevel="2" x14ac:dyDescent="0.3">
      <c r="C7558" t="s">
        <v>3303</v>
      </c>
    </row>
    <row r="7559" spans="2:3" hidden="1" outlineLevel="2" x14ac:dyDescent="0.3">
      <c r="C7559" t="s">
        <v>3305</v>
      </c>
    </row>
    <row r="7560" spans="2:3" hidden="1" outlineLevel="2" x14ac:dyDescent="0.3">
      <c r="C7560" t="s">
        <v>3306</v>
      </c>
    </row>
    <row r="7561" spans="2:3" hidden="1" outlineLevel="2" x14ac:dyDescent="0.3">
      <c r="C7561" t="s">
        <v>3307</v>
      </c>
    </row>
    <row r="7562" spans="2:3" hidden="1" outlineLevel="2" x14ac:dyDescent="0.3">
      <c r="C7562" t="s">
        <v>3308</v>
      </c>
    </row>
    <row r="7563" spans="2:3" hidden="1" outlineLevel="2" x14ac:dyDescent="0.3">
      <c r="C7563" t="s">
        <v>3309</v>
      </c>
    </row>
    <row r="7564" spans="2:3" hidden="1" outlineLevel="2" x14ac:dyDescent="0.3">
      <c r="C7564" t="s">
        <v>3310</v>
      </c>
    </row>
    <row r="7565" spans="2:3" hidden="1" outlineLevel="2" x14ac:dyDescent="0.3">
      <c r="C7565" t="s">
        <v>3311</v>
      </c>
    </row>
    <row r="7566" spans="2:3" hidden="1" outlineLevel="2" x14ac:dyDescent="0.3">
      <c r="C7566" t="s">
        <v>3312</v>
      </c>
    </row>
    <row r="7567" spans="2:3" outlineLevel="1" collapsed="1" x14ac:dyDescent="0.3">
      <c r="B7567" t="s">
        <v>1981</v>
      </c>
    </row>
    <row r="7568" spans="2:3" hidden="1" outlineLevel="2" x14ac:dyDescent="0.3">
      <c r="C7568" t="s">
        <v>3313</v>
      </c>
    </row>
    <row r="7569" spans="3:4" hidden="1" outlineLevel="2" x14ac:dyDescent="0.3">
      <c r="C7569" t="s">
        <v>3314</v>
      </c>
    </row>
    <row r="7570" spans="3:4" hidden="1" outlineLevel="2" x14ac:dyDescent="0.3">
      <c r="C7570" t="s">
        <v>3315</v>
      </c>
    </row>
    <row r="7571" spans="3:4" hidden="1" outlineLevel="2" x14ac:dyDescent="0.3">
      <c r="C7571" t="s">
        <v>3316</v>
      </c>
    </row>
    <row r="7572" spans="3:4" hidden="1" outlineLevel="2" x14ac:dyDescent="0.3">
      <c r="C7572" t="s">
        <v>3317</v>
      </c>
    </row>
    <row r="7573" spans="3:4" hidden="1" outlineLevel="2" x14ac:dyDescent="0.3">
      <c r="C7573" t="s">
        <v>3318</v>
      </c>
    </row>
    <row r="7574" spans="3:4" hidden="1" outlineLevel="2" x14ac:dyDescent="0.3">
      <c r="C7574" t="s">
        <v>3319</v>
      </c>
    </row>
    <row r="7575" spans="3:4" hidden="1" outlineLevel="2" x14ac:dyDescent="0.3">
      <c r="C7575" t="s">
        <v>3320</v>
      </c>
    </row>
    <row r="7576" spans="3:4" hidden="1" outlineLevel="2" x14ac:dyDescent="0.3">
      <c r="C7576" t="s">
        <v>3321</v>
      </c>
    </row>
    <row r="7577" spans="3:4" hidden="1" outlineLevel="2" x14ac:dyDescent="0.3">
      <c r="C7577" t="s">
        <v>3322</v>
      </c>
    </row>
    <row r="7578" spans="3:4" hidden="1" outlineLevel="2" x14ac:dyDescent="0.3">
      <c r="C7578" t="s">
        <v>3323</v>
      </c>
    </row>
    <row r="7579" spans="3:4" hidden="1" outlineLevel="2" x14ac:dyDescent="0.3">
      <c r="C7579" t="s">
        <v>3324</v>
      </c>
    </row>
    <row r="7580" spans="3:4" hidden="1" outlineLevel="2" x14ac:dyDescent="0.3">
      <c r="C7580" t="s">
        <v>3325</v>
      </c>
    </row>
    <row r="7581" spans="3:4" hidden="1" outlineLevel="2" x14ac:dyDescent="0.3">
      <c r="C7581" t="s">
        <v>3326</v>
      </c>
    </row>
    <row r="7582" spans="3:4" hidden="1" outlineLevel="3" x14ac:dyDescent="0.3">
      <c r="D7582" t="s">
        <v>3327</v>
      </c>
    </row>
    <row r="7583" spans="3:4" hidden="1" outlineLevel="3" x14ac:dyDescent="0.3">
      <c r="D7583" t="s">
        <v>3328</v>
      </c>
    </row>
    <row r="7584" spans="3:4" hidden="1" outlineLevel="3" x14ac:dyDescent="0.3">
      <c r="D7584" t="s">
        <v>3329</v>
      </c>
    </row>
    <row r="7585" spans="3:4" hidden="1" outlineLevel="2" x14ac:dyDescent="0.3">
      <c r="C7585" t="s">
        <v>4556</v>
      </c>
    </row>
    <row r="7586" spans="3:4" hidden="1" outlineLevel="2" x14ac:dyDescent="0.3">
      <c r="C7586" t="s">
        <v>4557</v>
      </c>
    </row>
    <row r="7587" spans="3:4" hidden="1" outlineLevel="2" x14ac:dyDescent="0.3">
      <c r="C7587" t="s">
        <v>3331</v>
      </c>
    </row>
    <row r="7588" spans="3:4" hidden="1" outlineLevel="3" x14ac:dyDescent="0.3">
      <c r="D7588" t="s">
        <v>3332</v>
      </c>
    </row>
    <row r="7589" spans="3:4" hidden="1" outlineLevel="3" x14ac:dyDescent="0.3">
      <c r="D7589" t="s">
        <v>3333</v>
      </c>
    </row>
    <row r="7590" spans="3:4" hidden="1" outlineLevel="3" x14ac:dyDescent="0.3">
      <c r="D7590" t="s">
        <v>3334</v>
      </c>
    </row>
    <row r="7591" spans="3:4" hidden="1" outlineLevel="2" x14ac:dyDescent="0.3">
      <c r="C7591" t="s">
        <v>4558</v>
      </c>
    </row>
    <row r="7592" spans="3:4" hidden="1" outlineLevel="2" x14ac:dyDescent="0.3">
      <c r="C7592" t="s">
        <v>4559</v>
      </c>
    </row>
    <row r="7593" spans="3:4" hidden="1" outlineLevel="2" x14ac:dyDescent="0.3">
      <c r="C7593" t="s">
        <v>4560</v>
      </c>
    </row>
    <row r="7594" spans="3:4" hidden="1" outlineLevel="2" x14ac:dyDescent="0.3">
      <c r="C7594" t="s">
        <v>4561</v>
      </c>
    </row>
    <row r="7595" spans="3:4" hidden="1" outlineLevel="2" x14ac:dyDescent="0.3">
      <c r="C7595" t="s">
        <v>3335</v>
      </c>
    </row>
    <row r="7596" spans="3:4" hidden="1" outlineLevel="2" x14ac:dyDescent="0.3">
      <c r="C7596" t="s">
        <v>3336</v>
      </c>
    </row>
    <row r="7597" spans="3:4" hidden="1" outlineLevel="2" x14ac:dyDescent="0.3">
      <c r="C7597" t="s">
        <v>3337</v>
      </c>
    </row>
    <row r="7598" spans="3:4" hidden="1" outlineLevel="2" x14ac:dyDescent="0.3">
      <c r="C7598" t="s">
        <v>3338</v>
      </c>
    </row>
    <row r="7599" spans="3:4" hidden="1" outlineLevel="2" x14ac:dyDescent="0.3">
      <c r="C7599" t="s">
        <v>3339</v>
      </c>
    </row>
    <row r="7600" spans="3:4" hidden="1" outlineLevel="2" x14ac:dyDescent="0.3">
      <c r="C7600" t="s">
        <v>3340</v>
      </c>
    </row>
    <row r="7601" spans="3:4" hidden="1" outlineLevel="2" x14ac:dyDescent="0.3">
      <c r="C7601" t="s">
        <v>3341</v>
      </c>
    </row>
    <row r="7602" spans="3:4" hidden="1" outlineLevel="3" x14ac:dyDescent="0.3">
      <c r="D7602" t="s">
        <v>3342</v>
      </c>
    </row>
    <row r="7603" spans="3:4" hidden="1" outlineLevel="3" x14ac:dyDescent="0.3">
      <c r="D7603" t="s">
        <v>3343</v>
      </c>
    </row>
    <row r="7604" spans="3:4" hidden="1" outlineLevel="3" x14ac:dyDescent="0.3">
      <c r="D7604" t="s">
        <v>3344</v>
      </c>
    </row>
    <row r="7605" spans="3:4" hidden="1" outlineLevel="3" x14ac:dyDescent="0.3">
      <c r="D7605" t="s">
        <v>3345</v>
      </c>
    </row>
    <row r="7606" spans="3:4" hidden="1" outlineLevel="2" x14ac:dyDescent="0.3">
      <c r="C7606" t="s">
        <v>3346</v>
      </c>
    </row>
    <row r="7607" spans="3:4" hidden="1" outlineLevel="3" x14ac:dyDescent="0.3">
      <c r="D7607" t="s">
        <v>3347</v>
      </c>
    </row>
    <row r="7608" spans="3:4" hidden="1" outlineLevel="3" x14ac:dyDescent="0.3">
      <c r="D7608" t="s">
        <v>3348</v>
      </c>
    </row>
    <row r="7609" spans="3:4" hidden="1" outlineLevel="3" x14ac:dyDescent="0.3">
      <c r="D7609" t="s">
        <v>3349</v>
      </c>
    </row>
    <row r="7610" spans="3:4" hidden="1" outlineLevel="2" x14ac:dyDescent="0.3">
      <c r="C7610" t="s">
        <v>3350</v>
      </c>
    </row>
    <row r="7611" spans="3:4" hidden="1" outlineLevel="3" x14ac:dyDescent="0.3">
      <c r="D7611" t="s">
        <v>3351</v>
      </c>
    </row>
    <row r="7612" spans="3:4" hidden="1" outlineLevel="3" x14ac:dyDescent="0.3">
      <c r="D7612" t="s">
        <v>3352</v>
      </c>
    </row>
    <row r="7613" spans="3:4" hidden="1" outlineLevel="3" x14ac:dyDescent="0.3">
      <c r="D7613" t="s">
        <v>3353</v>
      </c>
    </row>
    <row r="7614" spans="3:4" hidden="1" outlineLevel="3" x14ac:dyDescent="0.3">
      <c r="D7614" t="s">
        <v>3354</v>
      </c>
    </row>
    <row r="7615" spans="3:4" hidden="1" outlineLevel="2" x14ac:dyDescent="0.3">
      <c r="C7615" t="s">
        <v>4562</v>
      </c>
    </row>
    <row r="7616" spans="3:4" hidden="1" outlineLevel="2" x14ac:dyDescent="0.3">
      <c r="C7616" t="s">
        <v>3355</v>
      </c>
    </row>
    <row r="7617" spans="3:4" hidden="1" outlineLevel="3" x14ac:dyDescent="0.3">
      <c r="D7617" t="s">
        <v>3356</v>
      </c>
    </row>
    <row r="7618" spans="3:4" hidden="1" outlineLevel="3" x14ac:dyDescent="0.3">
      <c r="D7618" t="s">
        <v>3357</v>
      </c>
    </row>
    <row r="7619" spans="3:4" hidden="1" outlineLevel="3" x14ac:dyDescent="0.3">
      <c r="D7619" t="s">
        <v>3358</v>
      </c>
    </row>
    <row r="7620" spans="3:4" hidden="1" outlineLevel="3" x14ac:dyDescent="0.3">
      <c r="D7620" t="s">
        <v>3359</v>
      </c>
    </row>
    <row r="7621" spans="3:4" hidden="1" outlineLevel="3" x14ac:dyDescent="0.3">
      <c r="D7621" t="s">
        <v>3360</v>
      </c>
    </row>
    <row r="7622" spans="3:4" hidden="1" outlineLevel="2" x14ac:dyDescent="0.3">
      <c r="C7622" t="s">
        <v>3361</v>
      </c>
    </row>
    <row r="7623" spans="3:4" hidden="1" outlineLevel="3" x14ac:dyDescent="0.3">
      <c r="D7623" t="s">
        <v>3362</v>
      </c>
    </row>
    <row r="7624" spans="3:4" hidden="1" outlineLevel="3" x14ac:dyDescent="0.3">
      <c r="D7624" t="s">
        <v>3363</v>
      </c>
    </row>
    <row r="7625" spans="3:4" hidden="1" outlineLevel="3" x14ac:dyDescent="0.3">
      <c r="D7625" t="s">
        <v>3364</v>
      </c>
    </row>
    <row r="7626" spans="3:4" hidden="1" outlineLevel="3" x14ac:dyDescent="0.3">
      <c r="D7626" t="s">
        <v>3365</v>
      </c>
    </row>
    <row r="7627" spans="3:4" hidden="1" outlineLevel="2" x14ac:dyDescent="0.3">
      <c r="C7627" t="s">
        <v>3366</v>
      </c>
    </row>
    <row r="7628" spans="3:4" hidden="1" outlineLevel="2" x14ac:dyDescent="0.3">
      <c r="C7628" t="s">
        <v>3367</v>
      </c>
    </row>
    <row r="7629" spans="3:4" hidden="1" outlineLevel="2" x14ac:dyDescent="0.3">
      <c r="C7629" t="s">
        <v>3368</v>
      </c>
    </row>
    <row r="7630" spans="3:4" hidden="1" outlineLevel="2" x14ac:dyDescent="0.3">
      <c r="C7630" t="s">
        <v>3369</v>
      </c>
    </row>
    <row r="7631" spans="3:4" hidden="1" outlineLevel="2" x14ac:dyDescent="0.3">
      <c r="C7631" t="s">
        <v>3370</v>
      </c>
    </row>
    <row r="7632" spans="3:4" hidden="1" outlineLevel="2" x14ac:dyDescent="0.3">
      <c r="C7632" t="s">
        <v>3371</v>
      </c>
    </row>
    <row r="7633" spans="2:4" hidden="1" outlineLevel="2" x14ac:dyDescent="0.3">
      <c r="C7633" t="s">
        <v>4563</v>
      </c>
    </row>
    <row r="7634" spans="2:4" hidden="1" outlineLevel="2" x14ac:dyDescent="0.3">
      <c r="C7634" t="s">
        <v>3372</v>
      </c>
    </row>
    <row r="7635" spans="2:4" hidden="1" outlineLevel="2" x14ac:dyDescent="0.3">
      <c r="C7635" t="s">
        <v>3374</v>
      </c>
    </row>
    <row r="7636" spans="2:4" hidden="1" outlineLevel="2" x14ac:dyDescent="0.3">
      <c r="C7636" t="s">
        <v>3375</v>
      </c>
    </row>
    <row r="7637" spans="2:4" hidden="1" outlineLevel="2" x14ac:dyDescent="0.3">
      <c r="C7637" t="s">
        <v>3376</v>
      </c>
    </row>
    <row r="7638" spans="2:4" hidden="1" outlineLevel="2" x14ac:dyDescent="0.3">
      <c r="C7638" t="s">
        <v>3377</v>
      </c>
    </row>
    <row r="7639" spans="2:4" hidden="1" outlineLevel="2" x14ac:dyDescent="0.3">
      <c r="C7639" t="s">
        <v>3378</v>
      </c>
    </row>
    <row r="7640" spans="2:4" hidden="1" outlineLevel="2" x14ac:dyDescent="0.3">
      <c r="C7640" t="s">
        <v>3379</v>
      </c>
    </row>
    <row r="7641" spans="2:4" hidden="1" outlineLevel="2" x14ac:dyDescent="0.3">
      <c r="C7641" t="s">
        <v>3380</v>
      </c>
    </row>
    <row r="7642" spans="2:4" hidden="1" outlineLevel="2" x14ac:dyDescent="0.3">
      <c r="C7642" t="s">
        <v>3381</v>
      </c>
    </row>
    <row r="7643" spans="2:4" outlineLevel="1" collapsed="1" x14ac:dyDescent="0.3">
      <c r="B7643" t="s">
        <v>2058</v>
      </c>
    </row>
    <row r="7644" spans="2:4" hidden="1" outlineLevel="2" x14ac:dyDescent="0.3">
      <c r="C7644" t="s">
        <v>2059</v>
      </c>
    </row>
    <row r="7645" spans="2:4" hidden="1" outlineLevel="3" x14ac:dyDescent="0.3">
      <c r="D7645" t="s">
        <v>3382</v>
      </c>
    </row>
    <row r="7646" spans="2:4" hidden="1" outlineLevel="3" x14ac:dyDescent="0.3">
      <c r="D7646" t="s">
        <v>3383</v>
      </c>
    </row>
    <row r="7647" spans="2:4" hidden="1" outlineLevel="3" x14ac:dyDescent="0.3">
      <c r="D7647" t="s">
        <v>3384</v>
      </c>
    </row>
    <row r="7648" spans="2:4" hidden="1" outlineLevel="3" x14ac:dyDescent="0.3">
      <c r="D7648" t="s">
        <v>3385</v>
      </c>
    </row>
    <row r="7649" spans="4:5" hidden="1" outlineLevel="3" x14ac:dyDescent="0.3">
      <c r="D7649" t="s">
        <v>3386</v>
      </c>
    </row>
    <row r="7650" spans="4:5" hidden="1" outlineLevel="3" x14ac:dyDescent="0.3">
      <c r="D7650" t="s">
        <v>3387</v>
      </c>
    </row>
    <row r="7651" spans="4:5" hidden="1" outlineLevel="3" x14ac:dyDescent="0.3">
      <c r="D7651" t="s">
        <v>3388</v>
      </c>
    </row>
    <row r="7652" spans="4:5" hidden="1" outlineLevel="3" x14ac:dyDescent="0.3">
      <c r="D7652" t="s">
        <v>3389</v>
      </c>
    </row>
    <row r="7653" spans="4:5" hidden="1" outlineLevel="3" x14ac:dyDescent="0.3">
      <c r="D7653" t="s">
        <v>3390</v>
      </c>
    </row>
    <row r="7654" spans="4:5" hidden="1" outlineLevel="3" x14ac:dyDescent="0.3">
      <c r="D7654" t="s">
        <v>3391</v>
      </c>
    </row>
    <row r="7655" spans="4:5" hidden="1" outlineLevel="3" x14ac:dyDescent="0.3">
      <c r="D7655" t="s">
        <v>3392</v>
      </c>
    </row>
    <row r="7656" spans="4:5" hidden="1" outlineLevel="3" x14ac:dyDescent="0.3">
      <c r="D7656" t="s">
        <v>3393</v>
      </c>
    </row>
    <row r="7657" spans="4:5" hidden="1" outlineLevel="3" x14ac:dyDescent="0.3">
      <c r="D7657" t="s">
        <v>3394</v>
      </c>
    </row>
    <row r="7658" spans="4:5" hidden="1" outlineLevel="3" x14ac:dyDescent="0.3">
      <c r="D7658" t="s">
        <v>3395</v>
      </c>
    </row>
    <row r="7659" spans="4:5" hidden="1" outlineLevel="3" x14ac:dyDescent="0.3">
      <c r="D7659" t="s">
        <v>4564</v>
      </c>
    </row>
    <row r="7660" spans="4:5" hidden="1" outlineLevel="3" x14ac:dyDescent="0.3">
      <c r="D7660" t="s">
        <v>3396</v>
      </c>
    </row>
    <row r="7661" spans="4:5" hidden="1" outlineLevel="4" x14ac:dyDescent="0.3">
      <c r="E7661" t="s">
        <v>3397</v>
      </c>
    </row>
    <row r="7662" spans="4:5" hidden="1" outlineLevel="4" x14ac:dyDescent="0.3">
      <c r="E7662" t="s">
        <v>3401</v>
      </c>
    </row>
    <row r="7663" spans="4:5" hidden="1" outlineLevel="4" x14ac:dyDescent="0.3">
      <c r="E7663" t="s">
        <v>3402</v>
      </c>
    </row>
    <row r="7664" spans="4:5" hidden="1" outlineLevel="4" x14ac:dyDescent="0.3">
      <c r="E7664" t="s">
        <v>3405</v>
      </c>
    </row>
    <row r="7665" spans="4:5" hidden="1" outlineLevel="4" x14ac:dyDescent="0.3">
      <c r="E7665" t="s">
        <v>4565</v>
      </c>
    </row>
    <row r="7666" spans="4:5" hidden="1" outlineLevel="4" x14ac:dyDescent="0.3">
      <c r="E7666" t="s">
        <v>4566</v>
      </c>
    </row>
    <row r="7667" spans="4:5" hidden="1" outlineLevel="4" x14ac:dyDescent="0.3">
      <c r="E7667" t="s">
        <v>4567</v>
      </c>
    </row>
    <row r="7668" spans="4:5" hidden="1" outlineLevel="4" x14ac:dyDescent="0.3">
      <c r="E7668" t="s">
        <v>4568</v>
      </c>
    </row>
    <row r="7669" spans="4:5" hidden="1" outlineLevel="4" x14ac:dyDescent="0.3">
      <c r="E7669" t="s">
        <v>3406</v>
      </c>
    </row>
    <row r="7670" spans="4:5" hidden="1" outlineLevel="3" x14ac:dyDescent="0.3">
      <c r="D7670" t="s">
        <v>4569</v>
      </c>
    </row>
    <row r="7671" spans="4:5" hidden="1" outlineLevel="3" x14ac:dyDescent="0.3">
      <c r="D7671" t="s">
        <v>4570</v>
      </c>
    </row>
    <row r="7672" spans="4:5" hidden="1" outlineLevel="4" x14ac:dyDescent="0.3">
      <c r="E7672" t="s">
        <v>4571</v>
      </c>
    </row>
    <row r="7673" spans="4:5" hidden="1" outlineLevel="4" x14ac:dyDescent="0.3">
      <c r="E7673" t="s">
        <v>4572</v>
      </c>
    </row>
    <row r="7674" spans="4:5" hidden="1" outlineLevel="4" x14ac:dyDescent="0.3">
      <c r="E7674" t="s">
        <v>4573</v>
      </c>
    </row>
    <row r="7675" spans="4:5" hidden="1" outlineLevel="4" x14ac:dyDescent="0.3">
      <c r="E7675" t="s">
        <v>4574</v>
      </c>
    </row>
    <row r="7676" spans="4:5" hidden="1" outlineLevel="3" x14ac:dyDescent="0.3">
      <c r="D7676" t="s">
        <v>3407</v>
      </c>
    </row>
    <row r="7677" spans="4:5" hidden="1" outlineLevel="3" x14ac:dyDescent="0.3">
      <c r="D7677" t="s">
        <v>3408</v>
      </c>
    </row>
    <row r="7678" spans="4:5" hidden="1" outlineLevel="3" x14ac:dyDescent="0.3">
      <c r="D7678" t="s">
        <v>3409</v>
      </c>
    </row>
    <row r="7679" spans="4:5" hidden="1" outlineLevel="3" x14ac:dyDescent="0.3">
      <c r="D7679" t="s">
        <v>3410</v>
      </c>
    </row>
    <row r="7680" spans="4:5" hidden="1" outlineLevel="3" x14ac:dyDescent="0.3">
      <c r="D7680" t="s">
        <v>3411</v>
      </c>
    </row>
    <row r="7681" spans="3:4" hidden="1" outlineLevel="3" x14ac:dyDescent="0.3">
      <c r="D7681" t="s">
        <v>3412</v>
      </c>
    </row>
    <row r="7682" spans="3:4" hidden="1" outlineLevel="3" x14ac:dyDescent="0.3">
      <c r="D7682" t="s">
        <v>3413</v>
      </c>
    </row>
    <row r="7683" spans="3:4" hidden="1" outlineLevel="3" x14ac:dyDescent="0.3">
      <c r="D7683" t="s">
        <v>3414</v>
      </c>
    </row>
    <row r="7684" spans="3:4" hidden="1" outlineLevel="3" x14ac:dyDescent="0.3">
      <c r="D7684" t="s">
        <v>3415</v>
      </c>
    </row>
    <row r="7685" spans="3:4" hidden="1" outlineLevel="3" x14ac:dyDescent="0.3">
      <c r="D7685" t="s">
        <v>3416</v>
      </c>
    </row>
    <row r="7686" spans="3:4" hidden="1" outlineLevel="3" x14ac:dyDescent="0.3">
      <c r="D7686" t="s">
        <v>3417</v>
      </c>
    </row>
    <row r="7687" spans="3:4" hidden="1" outlineLevel="3" x14ac:dyDescent="0.3">
      <c r="D7687" t="s">
        <v>3418</v>
      </c>
    </row>
    <row r="7688" spans="3:4" hidden="1" outlineLevel="3" x14ac:dyDescent="0.3">
      <c r="D7688" t="s">
        <v>3419</v>
      </c>
    </row>
    <row r="7689" spans="3:4" hidden="1" outlineLevel="3" x14ac:dyDescent="0.3">
      <c r="D7689" t="s">
        <v>4575</v>
      </c>
    </row>
    <row r="7690" spans="3:4" hidden="1" outlineLevel="3" x14ac:dyDescent="0.3">
      <c r="D7690" t="s">
        <v>4576</v>
      </c>
    </row>
    <row r="7691" spans="3:4" hidden="1" outlineLevel="3" x14ac:dyDescent="0.3">
      <c r="D7691" t="s">
        <v>3420</v>
      </c>
    </row>
    <row r="7692" spans="3:4" hidden="1" outlineLevel="3" x14ac:dyDescent="0.3">
      <c r="D7692" t="s">
        <v>3421</v>
      </c>
    </row>
    <row r="7693" spans="3:4" hidden="1" outlineLevel="3" x14ac:dyDescent="0.3">
      <c r="D7693" t="s">
        <v>3422</v>
      </c>
    </row>
    <row r="7694" spans="3:4" hidden="1" outlineLevel="2" x14ac:dyDescent="0.3">
      <c r="C7694" t="s">
        <v>2085</v>
      </c>
    </row>
    <row r="7695" spans="3:4" hidden="1" outlineLevel="3" x14ac:dyDescent="0.3">
      <c r="D7695" t="s">
        <v>3423</v>
      </c>
    </row>
    <row r="7696" spans="3:4" hidden="1" outlineLevel="3" x14ac:dyDescent="0.3">
      <c r="D7696" t="s">
        <v>3424</v>
      </c>
    </row>
    <row r="7697" spans="4:5" hidden="1" outlineLevel="3" x14ac:dyDescent="0.3">
      <c r="D7697" t="s">
        <v>3425</v>
      </c>
    </row>
    <row r="7698" spans="4:5" hidden="1" outlineLevel="3" x14ac:dyDescent="0.3">
      <c r="D7698" t="s">
        <v>3426</v>
      </c>
    </row>
    <row r="7699" spans="4:5" hidden="1" outlineLevel="3" x14ac:dyDescent="0.3">
      <c r="D7699" t="s">
        <v>3427</v>
      </c>
    </row>
    <row r="7700" spans="4:5" hidden="1" outlineLevel="3" x14ac:dyDescent="0.3">
      <c r="D7700" t="s">
        <v>4577</v>
      </c>
    </row>
    <row r="7701" spans="4:5" hidden="1" outlineLevel="4" x14ac:dyDescent="0.3">
      <c r="E7701" t="s">
        <v>4578</v>
      </c>
    </row>
    <row r="7702" spans="4:5" hidden="1" outlineLevel="4" x14ac:dyDescent="0.3">
      <c r="E7702" t="s">
        <v>4579</v>
      </c>
    </row>
    <row r="7703" spans="4:5" hidden="1" outlineLevel="4" x14ac:dyDescent="0.3">
      <c r="E7703" t="s">
        <v>4580</v>
      </c>
    </row>
    <row r="7704" spans="4:5" hidden="1" outlineLevel="4" x14ac:dyDescent="0.3">
      <c r="E7704" t="s">
        <v>4581</v>
      </c>
    </row>
    <row r="7705" spans="4:5" hidden="1" outlineLevel="4" x14ac:dyDescent="0.3">
      <c r="E7705" t="s">
        <v>4582</v>
      </c>
    </row>
    <row r="7706" spans="4:5" hidden="1" outlineLevel="4" x14ac:dyDescent="0.3">
      <c r="E7706" t="s">
        <v>4583</v>
      </c>
    </row>
    <row r="7707" spans="4:5" hidden="1" outlineLevel="3" x14ac:dyDescent="0.3">
      <c r="D7707" t="s">
        <v>4584</v>
      </c>
    </row>
    <row r="7708" spans="4:5" hidden="1" outlineLevel="4" x14ac:dyDescent="0.3">
      <c r="E7708" t="s">
        <v>4585</v>
      </c>
    </row>
    <row r="7709" spans="4:5" hidden="1" outlineLevel="4" x14ac:dyDescent="0.3">
      <c r="E7709" t="s">
        <v>3429</v>
      </c>
    </row>
    <row r="7710" spans="4:5" hidden="1" outlineLevel="4" x14ac:dyDescent="0.3">
      <c r="E7710" t="s">
        <v>4586</v>
      </c>
    </row>
    <row r="7711" spans="4:5" hidden="1" outlineLevel="4" x14ac:dyDescent="0.3">
      <c r="E7711" t="s">
        <v>4587</v>
      </c>
    </row>
    <row r="7712" spans="4:5" hidden="1" outlineLevel="4" x14ac:dyDescent="0.3">
      <c r="E7712" t="s">
        <v>4588</v>
      </c>
    </row>
    <row r="7713" spans="4:5" hidden="1" outlineLevel="4" x14ac:dyDescent="0.3">
      <c r="E7713" t="s">
        <v>4589</v>
      </c>
    </row>
    <row r="7714" spans="4:5" hidden="1" outlineLevel="4" x14ac:dyDescent="0.3">
      <c r="E7714" t="s">
        <v>3431</v>
      </c>
    </row>
    <row r="7715" spans="4:5" hidden="1" outlineLevel="3" x14ac:dyDescent="0.3">
      <c r="D7715" t="s">
        <v>3432</v>
      </c>
    </row>
    <row r="7716" spans="4:5" hidden="1" outlineLevel="3" x14ac:dyDescent="0.3">
      <c r="D7716" t="s">
        <v>3433</v>
      </c>
    </row>
    <row r="7717" spans="4:5" hidden="1" outlineLevel="3" x14ac:dyDescent="0.3">
      <c r="D7717" t="s">
        <v>4590</v>
      </c>
    </row>
    <row r="7718" spans="4:5" hidden="1" outlineLevel="3" x14ac:dyDescent="0.3">
      <c r="D7718" t="s">
        <v>3434</v>
      </c>
    </row>
    <row r="7719" spans="4:5" hidden="1" outlineLevel="3" x14ac:dyDescent="0.3">
      <c r="D7719" t="s">
        <v>3435</v>
      </c>
    </row>
    <row r="7720" spans="4:5" hidden="1" outlineLevel="3" x14ac:dyDescent="0.3">
      <c r="D7720" t="s">
        <v>3436</v>
      </c>
    </row>
    <row r="7721" spans="4:5" hidden="1" outlineLevel="3" x14ac:dyDescent="0.3">
      <c r="D7721" t="s">
        <v>3437</v>
      </c>
    </row>
    <row r="7722" spans="4:5" hidden="1" outlineLevel="3" x14ac:dyDescent="0.3">
      <c r="D7722" t="s">
        <v>3438</v>
      </c>
    </row>
    <row r="7723" spans="4:5" hidden="1" outlineLevel="3" x14ac:dyDescent="0.3">
      <c r="D7723" t="s">
        <v>3439</v>
      </c>
    </row>
    <row r="7724" spans="4:5" hidden="1" outlineLevel="3" x14ac:dyDescent="0.3">
      <c r="D7724" t="s">
        <v>3440</v>
      </c>
    </row>
    <row r="7725" spans="4:5" hidden="1" outlineLevel="3" x14ac:dyDescent="0.3">
      <c r="D7725" t="s">
        <v>3442</v>
      </c>
    </row>
    <row r="7726" spans="4:5" hidden="1" outlineLevel="3" x14ac:dyDescent="0.3">
      <c r="D7726" t="s">
        <v>4591</v>
      </c>
    </row>
    <row r="7727" spans="4:5" hidden="1" outlineLevel="3" x14ac:dyDescent="0.3">
      <c r="D7727" t="s">
        <v>3444</v>
      </c>
    </row>
    <row r="7728" spans="4:5" hidden="1" outlineLevel="3" x14ac:dyDescent="0.3">
      <c r="D7728" t="s">
        <v>3445</v>
      </c>
    </row>
    <row r="7729" spans="2:4" hidden="1" outlineLevel="3" x14ac:dyDescent="0.3">
      <c r="D7729" t="s">
        <v>3446</v>
      </c>
    </row>
    <row r="7730" spans="2:4" hidden="1" outlineLevel="3" x14ac:dyDescent="0.3">
      <c r="D7730" t="s">
        <v>3447</v>
      </c>
    </row>
    <row r="7731" spans="2:4" hidden="1" outlineLevel="3" x14ac:dyDescent="0.3">
      <c r="D7731" t="s">
        <v>3448</v>
      </c>
    </row>
    <row r="7732" spans="2:4" hidden="1" outlineLevel="3" x14ac:dyDescent="0.3">
      <c r="D7732" t="s">
        <v>3449</v>
      </c>
    </row>
    <row r="7733" spans="2:4" hidden="1" outlineLevel="3" x14ac:dyDescent="0.3">
      <c r="D7733" t="s">
        <v>3450</v>
      </c>
    </row>
    <row r="7734" spans="2:4" hidden="1" outlineLevel="3" x14ac:dyDescent="0.3">
      <c r="D7734" t="s">
        <v>3451</v>
      </c>
    </row>
    <row r="7735" spans="2:4" hidden="1" outlineLevel="3" x14ac:dyDescent="0.3">
      <c r="D7735" t="s">
        <v>3452</v>
      </c>
    </row>
    <row r="7736" spans="2:4" hidden="1" outlineLevel="2" x14ac:dyDescent="0.3">
      <c r="C7736" t="s">
        <v>2117</v>
      </c>
    </row>
    <row r="7737" spans="2:4" hidden="1" outlineLevel="2" x14ac:dyDescent="0.3">
      <c r="C7737" t="s">
        <v>2118</v>
      </c>
    </row>
    <row r="7738" spans="2:4" outlineLevel="1" collapsed="1" x14ac:dyDescent="0.3">
      <c r="B7738" t="s">
        <v>2119</v>
      </c>
    </row>
    <row r="7739" spans="2:4" outlineLevel="1" x14ac:dyDescent="0.3">
      <c r="B7739" t="s">
        <v>2120</v>
      </c>
    </row>
    <row r="7740" spans="2:4" outlineLevel="1" x14ac:dyDescent="0.3">
      <c r="B7740" t="s">
        <v>2121</v>
      </c>
    </row>
    <row r="7741" spans="2:4" outlineLevel="1" x14ac:dyDescent="0.3">
      <c r="B7741" t="s">
        <v>2122</v>
      </c>
    </row>
    <row r="7742" spans="2:4" outlineLevel="1" x14ac:dyDescent="0.3">
      <c r="B7742" t="s">
        <v>2123</v>
      </c>
    </row>
    <row r="7743" spans="2:4" outlineLevel="1" x14ac:dyDescent="0.3">
      <c r="B7743" t="s">
        <v>2124</v>
      </c>
    </row>
    <row r="7744" spans="2:4" outlineLevel="1" x14ac:dyDescent="0.3">
      <c r="B7744" t="s">
        <v>2125</v>
      </c>
    </row>
    <row r="7745" spans="1:3" outlineLevel="1" x14ac:dyDescent="0.3">
      <c r="B7745" t="s">
        <v>2126</v>
      </c>
    </row>
    <row r="7746" spans="1:3" x14ac:dyDescent="0.3">
      <c r="A7746" t="s">
        <v>2127</v>
      </c>
    </row>
    <row r="7747" spans="1:3" outlineLevel="1" x14ac:dyDescent="0.3">
      <c r="B7747" t="s">
        <v>2128</v>
      </c>
    </row>
    <row r="7748" spans="1:3" hidden="1" outlineLevel="2" x14ac:dyDescent="0.3">
      <c r="C7748" t="s">
        <v>4134</v>
      </c>
    </row>
    <row r="7749" spans="1:3" hidden="1" outlineLevel="2" x14ac:dyDescent="0.3">
      <c r="C7749" t="s">
        <v>3453</v>
      </c>
    </row>
    <row r="7750" spans="1:3" hidden="1" outlineLevel="2" x14ac:dyDescent="0.3">
      <c r="C7750" t="s">
        <v>3454</v>
      </c>
    </row>
    <row r="7751" spans="1:3" hidden="1" outlineLevel="2" x14ac:dyDescent="0.3">
      <c r="C7751" t="s">
        <v>3455</v>
      </c>
    </row>
    <row r="7752" spans="1:3" hidden="1" outlineLevel="2" x14ac:dyDescent="0.3">
      <c r="C7752" t="s">
        <v>3456</v>
      </c>
    </row>
    <row r="7753" spans="1:3" hidden="1" outlineLevel="2" x14ac:dyDescent="0.3">
      <c r="C7753" t="s">
        <v>3457</v>
      </c>
    </row>
    <row r="7754" spans="1:3" hidden="1" outlineLevel="2" x14ac:dyDescent="0.3">
      <c r="C7754" t="s">
        <v>3458</v>
      </c>
    </row>
    <row r="7755" spans="1:3" hidden="1" outlineLevel="2" x14ac:dyDescent="0.3">
      <c r="C7755" t="s">
        <v>3459</v>
      </c>
    </row>
    <row r="7756" spans="1:3" hidden="1" outlineLevel="2" x14ac:dyDescent="0.3">
      <c r="C7756" t="s">
        <v>3460</v>
      </c>
    </row>
    <row r="7757" spans="1:3" hidden="1" outlineLevel="2" x14ac:dyDescent="0.3">
      <c r="C7757" t="s">
        <v>3461</v>
      </c>
    </row>
    <row r="7758" spans="1:3" hidden="1" outlineLevel="2" x14ac:dyDescent="0.3">
      <c r="C7758" t="s">
        <v>3462</v>
      </c>
    </row>
    <row r="7759" spans="1:3" hidden="1" outlineLevel="2" x14ac:dyDescent="0.3">
      <c r="C7759" t="s">
        <v>4592</v>
      </c>
    </row>
    <row r="7760" spans="1:3" hidden="1" outlineLevel="2" x14ac:dyDescent="0.3">
      <c r="C7760" t="s">
        <v>3463</v>
      </c>
    </row>
    <row r="7761" spans="3:4" hidden="1" outlineLevel="3" x14ac:dyDescent="0.3">
      <c r="D7761" t="s">
        <v>3464</v>
      </c>
    </row>
    <row r="7762" spans="3:4" hidden="1" outlineLevel="3" x14ac:dyDescent="0.3">
      <c r="D7762" t="s">
        <v>3469</v>
      </c>
    </row>
    <row r="7763" spans="3:4" hidden="1" outlineLevel="3" x14ac:dyDescent="0.3">
      <c r="D7763" t="s">
        <v>4593</v>
      </c>
    </row>
    <row r="7764" spans="3:4" hidden="1" outlineLevel="3" x14ac:dyDescent="0.3">
      <c r="D7764" t="s">
        <v>3476</v>
      </c>
    </row>
    <row r="7765" spans="3:4" hidden="1" outlineLevel="3" x14ac:dyDescent="0.3">
      <c r="D7765" t="s">
        <v>4594</v>
      </c>
    </row>
    <row r="7766" spans="3:4" hidden="1" outlineLevel="3" x14ac:dyDescent="0.3">
      <c r="D7766" t="s">
        <v>4595</v>
      </c>
    </row>
    <row r="7767" spans="3:4" hidden="1" outlineLevel="3" x14ac:dyDescent="0.3">
      <c r="D7767" t="s">
        <v>4596</v>
      </c>
    </row>
    <row r="7768" spans="3:4" hidden="1" outlineLevel="3" x14ac:dyDescent="0.3">
      <c r="D7768" t="s">
        <v>4597</v>
      </c>
    </row>
    <row r="7769" spans="3:4" hidden="1" outlineLevel="3" x14ac:dyDescent="0.3">
      <c r="D7769" t="s">
        <v>4598</v>
      </c>
    </row>
    <row r="7770" spans="3:4" hidden="1" outlineLevel="3" x14ac:dyDescent="0.3">
      <c r="D7770" t="s">
        <v>3478</v>
      </c>
    </row>
    <row r="7771" spans="3:4" hidden="1" outlineLevel="2" x14ac:dyDescent="0.3">
      <c r="C7771" t="s">
        <v>3479</v>
      </c>
    </row>
    <row r="7772" spans="3:4" hidden="1" outlineLevel="2" x14ac:dyDescent="0.3">
      <c r="C7772" t="s">
        <v>4599</v>
      </c>
    </row>
    <row r="7773" spans="3:4" hidden="1" outlineLevel="2" x14ac:dyDescent="0.3">
      <c r="C7773" t="s">
        <v>3480</v>
      </c>
    </row>
    <row r="7774" spans="3:4" hidden="1" outlineLevel="2" x14ac:dyDescent="0.3">
      <c r="C7774" t="s">
        <v>3481</v>
      </c>
    </row>
    <row r="7775" spans="3:4" hidden="1" outlineLevel="2" x14ac:dyDescent="0.3">
      <c r="C7775" t="s">
        <v>3482</v>
      </c>
    </row>
    <row r="7776" spans="3:4" hidden="1" outlineLevel="2" x14ac:dyDescent="0.3">
      <c r="C7776" t="s">
        <v>3483</v>
      </c>
    </row>
    <row r="7777" spans="2:3" hidden="1" outlineLevel="2" x14ac:dyDescent="0.3">
      <c r="C7777" t="s">
        <v>3484</v>
      </c>
    </row>
    <row r="7778" spans="2:3" hidden="1" outlineLevel="2" x14ac:dyDescent="0.3">
      <c r="C7778" t="s">
        <v>3485</v>
      </c>
    </row>
    <row r="7779" spans="2:3" hidden="1" outlineLevel="2" x14ac:dyDescent="0.3">
      <c r="C7779" t="s">
        <v>4600</v>
      </c>
    </row>
    <row r="7780" spans="2:3" hidden="1" outlineLevel="2" x14ac:dyDescent="0.3">
      <c r="C7780" t="s">
        <v>4601</v>
      </c>
    </row>
    <row r="7781" spans="2:3" hidden="1" outlineLevel="2" x14ac:dyDescent="0.3">
      <c r="C7781" t="s">
        <v>3487</v>
      </c>
    </row>
    <row r="7782" spans="2:3" hidden="1" outlineLevel="2" x14ac:dyDescent="0.3">
      <c r="C7782" t="s">
        <v>3488</v>
      </c>
    </row>
    <row r="7783" spans="2:3" hidden="1" outlineLevel="2" x14ac:dyDescent="0.3">
      <c r="C7783" t="s">
        <v>3489</v>
      </c>
    </row>
    <row r="7784" spans="2:3" hidden="1" outlineLevel="2" x14ac:dyDescent="0.3">
      <c r="C7784" t="s">
        <v>3490</v>
      </c>
    </row>
    <row r="7785" spans="2:3" hidden="1" outlineLevel="2" x14ac:dyDescent="0.3">
      <c r="C7785" t="s">
        <v>3491</v>
      </c>
    </row>
    <row r="7786" spans="2:3" hidden="1" outlineLevel="2" x14ac:dyDescent="0.3">
      <c r="C7786" t="s">
        <v>3492</v>
      </c>
    </row>
    <row r="7787" spans="2:3" hidden="1" outlineLevel="2" x14ac:dyDescent="0.3">
      <c r="C7787" t="s">
        <v>2194</v>
      </c>
    </row>
    <row r="7788" spans="2:3" outlineLevel="1" collapsed="1" x14ac:dyDescent="0.3">
      <c r="B7788" t="s">
        <v>2195</v>
      </c>
    </row>
    <row r="7789" spans="2:3" hidden="1" outlineLevel="2" x14ac:dyDescent="0.3">
      <c r="C7789" t="s">
        <v>4142</v>
      </c>
    </row>
    <row r="7790" spans="2:3" hidden="1" outlineLevel="2" x14ac:dyDescent="0.3">
      <c r="C7790" t="s">
        <v>3493</v>
      </c>
    </row>
    <row r="7791" spans="2:3" hidden="1" outlineLevel="2" x14ac:dyDescent="0.3">
      <c r="C7791" t="s">
        <v>3494</v>
      </c>
    </row>
    <row r="7792" spans="2:3" hidden="1" outlineLevel="2" x14ac:dyDescent="0.3">
      <c r="C7792" t="s">
        <v>3495</v>
      </c>
    </row>
    <row r="7793" spans="3:4" hidden="1" outlineLevel="2" x14ac:dyDescent="0.3">
      <c r="C7793" t="s">
        <v>3496</v>
      </c>
    </row>
    <row r="7794" spans="3:4" hidden="1" outlineLevel="2" x14ac:dyDescent="0.3">
      <c r="C7794" t="s">
        <v>3497</v>
      </c>
    </row>
    <row r="7795" spans="3:4" hidden="1" outlineLevel="2" x14ac:dyDescent="0.3">
      <c r="C7795" t="s">
        <v>3498</v>
      </c>
    </row>
    <row r="7796" spans="3:4" hidden="1" outlineLevel="2" x14ac:dyDescent="0.3">
      <c r="C7796" t="s">
        <v>3499</v>
      </c>
    </row>
    <row r="7797" spans="3:4" hidden="1" outlineLevel="2" x14ac:dyDescent="0.3">
      <c r="C7797" t="s">
        <v>3500</v>
      </c>
    </row>
    <row r="7798" spans="3:4" hidden="1" outlineLevel="2" x14ac:dyDescent="0.3">
      <c r="C7798" t="s">
        <v>3501</v>
      </c>
    </row>
    <row r="7799" spans="3:4" hidden="1" outlineLevel="2" x14ac:dyDescent="0.3">
      <c r="C7799" t="s">
        <v>3502</v>
      </c>
    </row>
    <row r="7800" spans="3:4" hidden="1" outlineLevel="2" x14ac:dyDescent="0.3">
      <c r="C7800" t="s">
        <v>4602</v>
      </c>
    </row>
    <row r="7801" spans="3:4" hidden="1" outlineLevel="2" x14ac:dyDescent="0.3">
      <c r="C7801" t="s">
        <v>3503</v>
      </c>
    </row>
    <row r="7802" spans="3:4" hidden="1" outlineLevel="3" x14ac:dyDescent="0.3">
      <c r="D7802" t="s">
        <v>3504</v>
      </c>
    </row>
    <row r="7803" spans="3:4" hidden="1" outlineLevel="3" x14ac:dyDescent="0.3">
      <c r="D7803" t="s">
        <v>3509</v>
      </c>
    </row>
    <row r="7804" spans="3:4" hidden="1" outlineLevel="3" x14ac:dyDescent="0.3">
      <c r="D7804" t="s">
        <v>4603</v>
      </c>
    </row>
    <row r="7805" spans="3:4" hidden="1" outlineLevel="3" x14ac:dyDescent="0.3">
      <c r="D7805" t="s">
        <v>3516</v>
      </c>
    </row>
    <row r="7806" spans="3:4" hidden="1" outlineLevel="3" x14ac:dyDescent="0.3">
      <c r="D7806" t="s">
        <v>4604</v>
      </c>
    </row>
    <row r="7807" spans="3:4" hidden="1" outlineLevel="3" x14ac:dyDescent="0.3">
      <c r="D7807" t="s">
        <v>4605</v>
      </c>
    </row>
    <row r="7808" spans="3:4" hidden="1" outlineLevel="3" x14ac:dyDescent="0.3">
      <c r="D7808" t="s">
        <v>4606</v>
      </c>
    </row>
    <row r="7809" spans="3:4" hidden="1" outlineLevel="3" x14ac:dyDescent="0.3">
      <c r="D7809" t="s">
        <v>4607</v>
      </c>
    </row>
    <row r="7810" spans="3:4" hidden="1" outlineLevel="3" x14ac:dyDescent="0.3">
      <c r="D7810" t="s">
        <v>4608</v>
      </c>
    </row>
    <row r="7811" spans="3:4" hidden="1" outlineLevel="3" x14ac:dyDescent="0.3">
      <c r="D7811" t="s">
        <v>3518</v>
      </c>
    </row>
    <row r="7812" spans="3:4" hidden="1" outlineLevel="2" x14ac:dyDescent="0.3">
      <c r="C7812" t="s">
        <v>3519</v>
      </c>
    </row>
    <row r="7813" spans="3:4" hidden="1" outlineLevel="2" x14ac:dyDescent="0.3">
      <c r="C7813" t="s">
        <v>4609</v>
      </c>
    </row>
    <row r="7814" spans="3:4" hidden="1" outlineLevel="2" x14ac:dyDescent="0.3">
      <c r="C7814" t="s">
        <v>3520</v>
      </c>
    </row>
    <row r="7815" spans="3:4" hidden="1" outlineLevel="2" x14ac:dyDescent="0.3">
      <c r="C7815" t="s">
        <v>3521</v>
      </c>
    </row>
    <row r="7816" spans="3:4" hidden="1" outlineLevel="2" x14ac:dyDescent="0.3">
      <c r="C7816" t="s">
        <v>3522</v>
      </c>
    </row>
    <row r="7817" spans="3:4" hidden="1" outlineLevel="2" x14ac:dyDescent="0.3">
      <c r="C7817" t="s">
        <v>3523</v>
      </c>
    </row>
    <row r="7818" spans="3:4" hidden="1" outlineLevel="2" x14ac:dyDescent="0.3">
      <c r="C7818" t="s">
        <v>3524</v>
      </c>
    </row>
    <row r="7819" spans="3:4" hidden="1" outlineLevel="2" x14ac:dyDescent="0.3">
      <c r="C7819" t="s">
        <v>3525</v>
      </c>
    </row>
    <row r="7820" spans="3:4" hidden="1" outlineLevel="2" x14ac:dyDescent="0.3">
      <c r="C7820" t="s">
        <v>4610</v>
      </c>
    </row>
    <row r="7821" spans="3:4" hidden="1" outlineLevel="2" x14ac:dyDescent="0.3">
      <c r="C7821" t="s">
        <v>4611</v>
      </c>
    </row>
    <row r="7822" spans="3:4" hidden="1" outlineLevel="2" x14ac:dyDescent="0.3">
      <c r="C7822" t="s">
        <v>3527</v>
      </c>
    </row>
    <row r="7823" spans="3:4" hidden="1" outlineLevel="2" x14ac:dyDescent="0.3">
      <c r="C7823" t="s">
        <v>3528</v>
      </c>
    </row>
    <row r="7824" spans="3:4" hidden="1" outlineLevel="2" x14ac:dyDescent="0.3">
      <c r="C7824" t="s">
        <v>3529</v>
      </c>
    </row>
    <row r="7825" spans="1:3" hidden="1" outlineLevel="2" x14ac:dyDescent="0.3">
      <c r="C7825" t="s">
        <v>3530</v>
      </c>
    </row>
    <row r="7826" spans="1:3" hidden="1" outlineLevel="2" x14ac:dyDescent="0.3">
      <c r="C7826" t="s">
        <v>3531</v>
      </c>
    </row>
    <row r="7827" spans="1:3" hidden="1" outlineLevel="2" x14ac:dyDescent="0.3">
      <c r="C7827" t="s">
        <v>3532</v>
      </c>
    </row>
    <row r="7828" spans="1:3" hidden="1" outlineLevel="2" x14ac:dyDescent="0.3">
      <c r="C7828" t="s">
        <v>2263</v>
      </c>
    </row>
    <row r="7829" spans="1:3" outlineLevel="1" collapsed="1" x14ac:dyDescent="0.3">
      <c r="B7829" t="s">
        <v>2264</v>
      </c>
    </row>
    <row r="7830" spans="1:3" outlineLevel="1" x14ac:dyDescent="0.3">
      <c r="B7830" t="s">
        <v>2265</v>
      </c>
    </row>
    <row r="7831" spans="1:3" outlineLevel="1" x14ac:dyDescent="0.3">
      <c r="B7831" t="s">
        <v>2266</v>
      </c>
    </row>
    <row r="7832" spans="1:3" outlineLevel="1" x14ac:dyDescent="0.3">
      <c r="B7832" t="s">
        <v>2267</v>
      </c>
    </row>
    <row r="7833" spans="1:3" outlineLevel="1" x14ac:dyDescent="0.3">
      <c r="B7833" t="s">
        <v>2268</v>
      </c>
    </row>
    <row r="7834" spans="1:3" outlineLevel="1" x14ac:dyDescent="0.3">
      <c r="B7834" t="s">
        <v>2269</v>
      </c>
    </row>
    <row r="7835" spans="1:3" x14ac:dyDescent="0.3">
      <c r="A7835" t="s">
        <v>2270</v>
      </c>
    </row>
    <row r="7836" spans="1:3" outlineLevel="1" x14ac:dyDescent="0.3">
      <c r="B7836" t="s">
        <v>2271</v>
      </c>
    </row>
    <row r="7837" spans="1:3" hidden="1" outlineLevel="2" x14ac:dyDescent="0.3">
      <c r="C7837" t="s">
        <v>3533</v>
      </c>
    </row>
    <row r="7838" spans="1:3" hidden="1" outlineLevel="2" x14ac:dyDescent="0.3">
      <c r="C7838" t="s">
        <v>3534</v>
      </c>
    </row>
    <row r="7839" spans="1:3" hidden="1" outlineLevel="2" x14ac:dyDescent="0.3">
      <c r="C7839" t="s">
        <v>4612</v>
      </c>
    </row>
    <row r="7840" spans="1:3" hidden="1" outlineLevel="2" x14ac:dyDescent="0.3">
      <c r="C7840" t="s">
        <v>4151</v>
      </c>
    </row>
    <row r="7841" spans="3:3" hidden="1" outlineLevel="2" x14ac:dyDescent="0.3">
      <c r="C7841" t="s">
        <v>3543</v>
      </c>
    </row>
    <row r="7842" spans="3:3" hidden="1" outlineLevel="2" x14ac:dyDescent="0.3">
      <c r="C7842" t="s">
        <v>3545</v>
      </c>
    </row>
    <row r="7843" spans="3:3" hidden="1" outlineLevel="2" x14ac:dyDescent="0.3">
      <c r="C7843" t="s">
        <v>4613</v>
      </c>
    </row>
    <row r="7844" spans="3:3" hidden="1" outlineLevel="2" x14ac:dyDescent="0.3">
      <c r="C7844" t="s">
        <v>4614</v>
      </c>
    </row>
    <row r="7845" spans="3:3" hidden="1" outlineLevel="2" x14ac:dyDescent="0.3">
      <c r="C7845" t="s">
        <v>4615</v>
      </c>
    </row>
    <row r="7846" spans="3:3" hidden="1" outlineLevel="2" x14ac:dyDescent="0.3">
      <c r="C7846" t="s">
        <v>4616</v>
      </c>
    </row>
    <row r="7847" spans="3:3" hidden="1" outlineLevel="2" x14ac:dyDescent="0.3">
      <c r="C7847" t="s">
        <v>4617</v>
      </c>
    </row>
    <row r="7848" spans="3:3" hidden="1" outlineLevel="2" x14ac:dyDescent="0.3">
      <c r="C7848" t="s">
        <v>4618</v>
      </c>
    </row>
    <row r="7849" spans="3:3" hidden="1" outlineLevel="2" x14ac:dyDescent="0.3">
      <c r="C7849" t="s">
        <v>3551</v>
      </c>
    </row>
    <row r="7850" spans="3:3" hidden="1" outlineLevel="2" x14ac:dyDescent="0.3">
      <c r="C7850" t="s">
        <v>3552</v>
      </c>
    </row>
    <row r="7851" spans="3:3" hidden="1" outlineLevel="2" x14ac:dyDescent="0.3">
      <c r="C7851" t="s">
        <v>3554</v>
      </c>
    </row>
    <row r="7852" spans="3:3" hidden="1" outlineLevel="2" x14ac:dyDescent="0.3">
      <c r="C7852" t="s">
        <v>3555</v>
      </c>
    </row>
    <row r="7853" spans="3:3" hidden="1" outlineLevel="2" x14ac:dyDescent="0.3">
      <c r="C7853" t="s">
        <v>3556</v>
      </c>
    </row>
    <row r="7854" spans="3:3" hidden="1" outlineLevel="2" x14ac:dyDescent="0.3">
      <c r="C7854" t="s">
        <v>3557</v>
      </c>
    </row>
    <row r="7855" spans="3:3" hidden="1" outlineLevel="2" x14ac:dyDescent="0.3">
      <c r="C7855" t="s">
        <v>3558</v>
      </c>
    </row>
    <row r="7856" spans="3:3" hidden="1" outlineLevel="2" x14ac:dyDescent="0.3">
      <c r="C7856" t="s">
        <v>3559</v>
      </c>
    </row>
    <row r="7857" spans="2:3" hidden="1" outlineLevel="2" x14ac:dyDescent="0.3">
      <c r="C7857" t="s">
        <v>3560</v>
      </c>
    </row>
    <row r="7858" spans="2:3" hidden="1" outlineLevel="2" x14ac:dyDescent="0.3">
      <c r="C7858" t="s">
        <v>3561</v>
      </c>
    </row>
    <row r="7859" spans="2:3" hidden="1" outlineLevel="2" x14ac:dyDescent="0.3">
      <c r="C7859" t="s">
        <v>3563</v>
      </c>
    </row>
    <row r="7860" spans="2:3" hidden="1" outlineLevel="2" x14ac:dyDescent="0.3">
      <c r="C7860" t="s">
        <v>3564</v>
      </c>
    </row>
    <row r="7861" spans="2:3" hidden="1" outlineLevel="2" x14ac:dyDescent="0.3">
      <c r="C7861" t="s">
        <v>3565</v>
      </c>
    </row>
    <row r="7862" spans="2:3" hidden="1" outlineLevel="2" x14ac:dyDescent="0.3">
      <c r="C7862" t="s">
        <v>3566</v>
      </c>
    </row>
    <row r="7863" spans="2:3" hidden="1" outlineLevel="2" x14ac:dyDescent="0.3">
      <c r="C7863" t="s">
        <v>3567</v>
      </c>
    </row>
    <row r="7864" spans="2:3" hidden="1" outlineLevel="2" x14ac:dyDescent="0.3">
      <c r="C7864" t="s">
        <v>3568</v>
      </c>
    </row>
    <row r="7865" spans="2:3" hidden="1" outlineLevel="2" x14ac:dyDescent="0.3">
      <c r="C7865" t="s">
        <v>2302</v>
      </c>
    </row>
    <row r="7866" spans="2:3" outlineLevel="1" collapsed="1" x14ac:dyDescent="0.3">
      <c r="B7866" t="s">
        <v>2303</v>
      </c>
    </row>
    <row r="7867" spans="2:3" hidden="1" outlineLevel="2" x14ac:dyDescent="0.3">
      <c r="C7867" t="s">
        <v>3569</v>
      </c>
    </row>
    <row r="7868" spans="2:3" hidden="1" outlineLevel="2" x14ac:dyDescent="0.3">
      <c r="C7868" t="s">
        <v>3570</v>
      </c>
    </row>
    <row r="7869" spans="2:3" hidden="1" outlineLevel="2" x14ac:dyDescent="0.3">
      <c r="C7869" t="s">
        <v>4619</v>
      </c>
    </row>
    <row r="7870" spans="2:3" hidden="1" outlineLevel="2" x14ac:dyDescent="0.3">
      <c r="C7870" t="s">
        <v>4152</v>
      </c>
    </row>
    <row r="7871" spans="2:3" hidden="1" outlineLevel="2" x14ac:dyDescent="0.3">
      <c r="C7871" t="s">
        <v>4620</v>
      </c>
    </row>
    <row r="7872" spans="2:3" hidden="1" outlineLevel="2" x14ac:dyDescent="0.3">
      <c r="C7872" t="s">
        <v>3581</v>
      </c>
    </row>
    <row r="7873" spans="3:3" hidden="1" outlineLevel="2" x14ac:dyDescent="0.3">
      <c r="C7873" t="s">
        <v>4621</v>
      </c>
    </row>
    <row r="7874" spans="3:3" hidden="1" outlineLevel="2" x14ac:dyDescent="0.3">
      <c r="C7874" t="s">
        <v>4622</v>
      </c>
    </row>
    <row r="7875" spans="3:3" hidden="1" outlineLevel="2" x14ac:dyDescent="0.3">
      <c r="C7875" t="s">
        <v>4623</v>
      </c>
    </row>
    <row r="7876" spans="3:3" hidden="1" outlineLevel="2" x14ac:dyDescent="0.3">
      <c r="C7876" t="s">
        <v>4624</v>
      </c>
    </row>
    <row r="7877" spans="3:3" hidden="1" outlineLevel="2" x14ac:dyDescent="0.3">
      <c r="C7877" t="s">
        <v>4625</v>
      </c>
    </row>
    <row r="7878" spans="3:3" hidden="1" outlineLevel="2" x14ac:dyDescent="0.3">
      <c r="C7878" t="s">
        <v>4626</v>
      </c>
    </row>
    <row r="7879" spans="3:3" hidden="1" outlineLevel="2" x14ac:dyDescent="0.3">
      <c r="C7879" t="s">
        <v>3587</v>
      </c>
    </row>
    <row r="7880" spans="3:3" hidden="1" outlineLevel="2" x14ac:dyDescent="0.3">
      <c r="C7880" t="s">
        <v>3588</v>
      </c>
    </row>
    <row r="7881" spans="3:3" hidden="1" outlineLevel="2" x14ac:dyDescent="0.3">
      <c r="C7881" t="s">
        <v>3590</v>
      </c>
    </row>
    <row r="7882" spans="3:3" hidden="1" outlineLevel="2" x14ac:dyDescent="0.3">
      <c r="C7882" t="s">
        <v>3591</v>
      </c>
    </row>
    <row r="7883" spans="3:3" hidden="1" outlineLevel="2" x14ac:dyDescent="0.3">
      <c r="C7883" t="s">
        <v>3592</v>
      </c>
    </row>
    <row r="7884" spans="3:3" hidden="1" outlineLevel="2" x14ac:dyDescent="0.3">
      <c r="C7884" t="s">
        <v>3593</v>
      </c>
    </row>
    <row r="7885" spans="3:3" hidden="1" outlineLevel="2" x14ac:dyDescent="0.3">
      <c r="C7885" t="s">
        <v>3594</v>
      </c>
    </row>
    <row r="7886" spans="3:3" hidden="1" outlineLevel="2" x14ac:dyDescent="0.3">
      <c r="C7886" t="s">
        <v>3595</v>
      </c>
    </row>
    <row r="7887" spans="3:3" hidden="1" outlineLevel="2" x14ac:dyDescent="0.3">
      <c r="C7887" t="s">
        <v>3596</v>
      </c>
    </row>
    <row r="7888" spans="3:3" hidden="1" outlineLevel="2" x14ac:dyDescent="0.3">
      <c r="C7888" t="s">
        <v>3597</v>
      </c>
    </row>
    <row r="7889" spans="1:3" hidden="1" outlineLevel="2" x14ac:dyDescent="0.3">
      <c r="C7889" t="s">
        <v>3599</v>
      </c>
    </row>
    <row r="7890" spans="1:3" hidden="1" outlineLevel="2" x14ac:dyDescent="0.3">
      <c r="C7890" t="s">
        <v>3600</v>
      </c>
    </row>
    <row r="7891" spans="1:3" hidden="1" outlineLevel="2" x14ac:dyDescent="0.3">
      <c r="C7891" t="s">
        <v>3601</v>
      </c>
    </row>
    <row r="7892" spans="1:3" hidden="1" outlineLevel="2" x14ac:dyDescent="0.3">
      <c r="C7892" t="s">
        <v>3602</v>
      </c>
    </row>
    <row r="7893" spans="1:3" hidden="1" outlineLevel="2" x14ac:dyDescent="0.3">
      <c r="C7893" t="s">
        <v>3603</v>
      </c>
    </row>
    <row r="7894" spans="1:3" hidden="1" outlineLevel="2" x14ac:dyDescent="0.3">
      <c r="C7894" t="s">
        <v>3604</v>
      </c>
    </row>
    <row r="7895" spans="1:3" hidden="1" outlineLevel="2" x14ac:dyDescent="0.3">
      <c r="C7895" t="s">
        <v>3605</v>
      </c>
    </row>
    <row r="7896" spans="1:3" hidden="1" outlineLevel="2" x14ac:dyDescent="0.3">
      <c r="C7896" t="s">
        <v>3606</v>
      </c>
    </row>
    <row r="7897" spans="1:3" hidden="1" outlineLevel="2" x14ac:dyDescent="0.3">
      <c r="C7897" t="s">
        <v>2334</v>
      </c>
    </row>
    <row r="7898" spans="1:3" outlineLevel="1" collapsed="1" x14ac:dyDescent="0.3">
      <c r="B7898" t="s">
        <v>2335</v>
      </c>
    </row>
    <row r="7899" spans="1:3" outlineLevel="1" x14ac:dyDescent="0.3">
      <c r="B7899" t="s">
        <v>2336</v>
      </c>
    </row>
    <row r="7900" spans="1:3" outlineLevel="1" x14ac:dyDescent="0.3">
      <c r="B7900" t="s">
        <v>2337</v>
      </c>
    </row>
    <row r="7901" spans="1:3" outlineLevel="1" x14ac:dyDescent="0.3">
      <c r="B7901" t="s">
        <v>2338</v>
      </c>
    </row>
    <row r="7902" spans="1:3" outlineLevel="1" x14ac:dyDescent="0.3">
      <c r="B7902" t="s">
        <v>2339</v>
      </c>
    </row>
    <row r="7903" spans="1:3" outlineLevel="1" x14ac:dyDescent="0.3">
      <c r="B7903" t="s">
        <v>2340</v>
      </c>
    </row>
    <row r="7904" spans="1:3" x14ac:dyDescent="0.3">
      <c r="A7904" t="s">
        <v>2341</v>
      </c>
    </row>
    <row r="7905" spans="1:1" x14ac:dyDescent="0.3">
      <c r="A7905" t="s">
        <v>2342</v>
      </c>
    </row>
    <row r="7906" spans="1:1" x14ac:dyDescent="0.3">
      <c r="A7906" t="s">
        <v>2343</v>
      </c>
    </row>
    <row r="7907" spans="1:1" x14ac:dyDescent="0.3">
      <c r="A7907" t="s">
        <v>2344</v>
      </c>
    </row>
    <row r="7908" spans="1:1" x14ac:dyDescent="0.3">
      <c r="A7908" t="s">
        <v>2345</v>
      </c>
    </row>
    <row r="7909" spans="1:1" x14ac:dyDescent="0.3">
      <c r="A7909" t="s">
        <v>2346</v>
      </c>
    </row>
    <row r="7920" spans="1:1" x14ac:dyDescent="0.3">
      <c r="A7920" t="s">
        <v>524</v>
      </c>
    </row>
    <row r="7921" spans="2:4" outlineLevel="1" x14ac:dyDescent="0.3">
      <c r="B7921" t="s">
        <v>2616</v>
      </c>
    </row>
    <row r="7922" spans="2:4" hidden="1" outlineLevel="2" x14ac:dyDescent="0.3">
      <c r="C7922" t="s">
        <v>2617</v>
      </c>
    </row>
    <row r="7923" spans="2:4" hidden="1" outlineLevel="2" x14ac:dyDescent="0.3">
      <c r="C7923" t="s">
        <v>2618</v>
      </c>
    </row>
    <row r="7924" spans="2:4" hidden="1" outlineLevel="2" x14ac:dyDescent="0.3">
      <c r="C7924" t="s">
        <v>4214</v>
      </c>
    </row>
    <row r="7925" spans="2:4" hidden="1" outlineLevel="3" x14ac:dyDescent="0.3">
      <c r="D7925" t="s">
        <v>4627</v>
      </c>
    </row>
    <row r="7926" spans="2:4" hidden="1" outlineLevel="3" x14ac:dyDescent="0.3">
      <c r="D7926" t="s">
        <v>4628</v>
      </c>
    </row>
    <row r="7927" spans="2:4" hidden="1" outlineLevel="3" x14ac:dyDescent="0.3">
      <c r="D7927" t="s">
        <v>4629</v>
      </c>
    </row>
    <row r="7928" spans="2:4" hidden="1" outlineLevel="3" x14ac:dyDescent="0.3">
      <c r="D7928" t="s">
        <v>4630</v>
      </c>
    </row>
    <row r="7929" spans="2:4" hidden="1" outlineLevel="3" x14ac:dyDescent="0.3">
      <c r="D7929" t="s">
        <v>2620</v>
      </c>
    </row>
    <row r="7930" spans="2:4" hidden="1" outlineLevel="3" x14ac:dyDescent="0.3">
      <c r="D7930" t="s">
        <v>4631</v>
      </c>
    </row>
    <row r="7931" spans="2:4" hidden="1" outlineLevel="3" x14ac:dyDescent="0.3">
      <c r="D7931" t="s">
        <v>4225</v>
      </c>
    </row>
    <row r="7932" spans="2:4" hidden="1" outlineLevel="2" x14ac:dyDescent="0.3">
      <c r="C7932" t="s">
        <v>2627</v>
      </c>
    </row>
    <row r="7933" spans="2:4" outlineLevel="1" collapsed="1" x14ac:dyDescent="0.3">
      <c r="B7933" t="s">
        <v>2628</v>
      </c>
    </row>
    <row r="7934" spans="2:4" outlineLevel="1" x14ac:dyDescent="0.3">
      <c r="B7934" t="s">
        <v>2629</v>
      </c>
    </row>
    <row r="7935" spans="2:4" outlineLevel="1" x14ac:dyDescent="0.3">
      <c r="B7935" t="s">
        <v>2631</v>
      </c>
    </row>
    <row r="7936" spans="2:4" hidden="1" outlineLevel="2" x14ac:dyDescent="0.3">
      <c r="C7936" t="s">
        <v>2632</v>
      </c>
    </row>
    <row r="7937" spans="2:3" hidden="1" outlineLevel="2" x14ac:dyDescent="0.3">
      <c r="C7937" t="s">
        <v>2633</v>
      </c>
    </row>
    <row r="7938" spans="2:3" hidden="1" outlineLevel="2" x14ac:dyDescent="0.3">
      <c r="C7938" t="s">
        <v>2634</v>
      </c>
    </row>
    <row r="7939" spans="2:3" hidden="1" outlineLevel="2" x14ac:dyDescent="0.3">
      <c r="C7939" t="s">
        <v>2635</v>
      </c>
    </row>
    <row r="7940" spans="2:3" hidden="1" outlineLevel="2" x14ac:dyDescent="0.3">
      <c r="C7940" t="s">
        <v>2636</v>
      </c>
    </row>
    <row r="7941" spans="2:3" hidden="1" outlineLevel="2" x14ac:dyDescent="0.3">
      <c r="C7941" t="s">
        <v>2638</v>
      </c>
    </row>
    <row r="7942" spans="2:3" outlineLevel="1" collapsed="1" x14ac:dyDescent="0.3">
      <c r="B7942" t="s">
        <v>4632</v>
      </c>
    </row>
    <row r="7943" spans="2:3" hidden="1" outlineLevel="2" x14ac:dyDescent="0.3">
      <c r="C7943" t="s">
        <v>4633</v>
      </c>
    </row>
    <row r="7944" spans="2:3" hidden="1" outlineLevel="2" x14ac:dyDescent="0.3">
      <c r="C7944" t="s">
        <v>4634</v>
      </c>
    </row>
    <row r="7945" spans="2:3" hidden="1" outlineLevel="2" x14ac:dyDescent="0.3">
      <c r="C7945" t="s">
        <v>4635</v>
      </c>
    </row>
    <row r="7946" spans="2:3" hidden="1" outlineLevel="2" x14ac:dyDescent="0.3">
      <c r="C7946" t="s">
        <v>4636</v>
      </c>
    </row>
    <row r="7947" spans="2:3" hidden="1" outlineLevel="2" x14ac:dyDescent="0.3">
      <c r="C7947" t="s">
        <v>4637</v>
      </c>
    </row>
    <row r="7948" spans="2:3" outlineLevel="1" collapsed="1" x14ac:dyDescent="0.3">
      <c r="B7948" t="s">
        <v>2651</v>
      </c>
    </row>
    <row r="7949" spans="2:3" hidden="1" outlineLevel="2" x14ac:dyDescent="0.3">
      <c r="C7949" t="s">
        <v>2652</v>
      </c>
    </row>
    <row r="7950" spans="2:3" hidden="1" outlineLevel="2" x14ac:dyDescent="0.3">
      <c r="C7950" t="s">
        <v>2653</v>
      </c>
    </row>
    <row r="7951" spans="2:3" hidden="1" outlineLevel="2" x14ac:dyDescent="0.3">
      <c r="C7951" t="s">
        <v>2654</v>
      </c>
    </row>
    <row r="7952" spans="2:3" hidden="1" outlineLevel="2" x14ac:dyDescent="0.3">
      <c r="C7952" t="s">
        <v>2655</v>
      </c>
    </row>
    <row r="7953" spans="2:3" hidden="1" outlineLevel="2" x14ac:dyDescent="0.3">
      <c r="C7953" t="s">
        <v>2656</v>
      </c>
    </row>
    <row r="7954" spans="2:3" hidden="1" outlineLevel="2" x14ac:dyDescent="0.3">
      <c r="C7954" t="s">
        <v>2657</v>
      </c>
    </row>
    <row r="7955" spans="2:3" hidden="1" outlineLevel="2" x14ac:dyDescent="0.3">
      <c r="C7955" t="s">
        <v>2659</v>
      </c>
    </row>
    <row r="7956" spans="2:3" outlineLevel="1" collapsed="1" x14ac:dyDescent="0.3">
      <c r="B7956" t="s">
        <v>2660</v>
      </c>
    </row>
    <row r="7957" spans="2:3" outlineLevel="1" x14ac:dyDescent="0.3">
      <c r="B7957" t="s">
        <v>2661</v>
      </c>
    </row>
    <row r="7958" spans="2:3" hidden="1" outlineLevel="2" x14ac:dyDescent="0.3">
      <c r="C7958" t="s">
        <v>2662</v>
      </c>
    </row>
    <row r="7959" spans="2:3" hidden="1" outlineLevel="2" x14ac:dyDescent="0.3">
      <c r="C7959" t="s">
        <v>2663</v>
      </c>
    </row>
    <row r="7960" spans="2:3" hidden="1" outlineLevel="2" x14ac:dyDescent="0.3">
      <c r="C7960" t="s">
        <v>3719</v>
      </c>
    </row>
    <row r="7961" spans="2:3" hidden="1" outlineLevel="2" x14ac:dyDescent="0.3">
      <c r="C7961" t="s">
        <v>4638</v>
      </c>
    </row>
    <row r="7962" spans="2:3" hidden="1" outlineLevel="2" x14ac:dyDescent="0.3">
      <c r="C7962" t="s">
        <v>2667</v>
      </c>
    </row>
    <row r="7963" spans="2:3" outlineLevel="1" collapsed="1" x14ac:dyDescent="0.3">
      <c r="B7963" t="s">
        <v>2668</v>
      </c>
    </row>
    <row r="7964" spans="2:3" outlineLevel="1" x14ac:dyDescent="0.3">
      <c r="B7964" t="s">
        <v>2669</v>
      </c>
    </row>
    <row r="7965" spans="2:3" hidden="1" outlineLevel="2" x14ac:dyDescent="0.3">
      <c r="C7965" t="s">
        <v>2670</v>
      </c>
    </row>
    <row r="7966" spans="2:3" hidden="1" outlineLevel="2" x14ac:dyDescent="0.3">
      <c r="C7966" t="s">
        <v>2671</v>
      </c>
    </row>
    <row r="7967" spans="2:3" hidden="1" outlineLevel="2" x14ac:dyDescent="0.3">
      <c r="C7967" t="s">
        <v>2672</v>
      </c>
    </row>
    <row r="7968" spans="2:3" hidden="1" outlineLevel="2" x14ac:dyDescent="0.3">
      <c r="C7968" t="s">
        <v>2673</v>
      </c>
    </row>
    <row r="7969" spans="2:4" outlineLevel="1" collapsed="1" x14ac:dyDescent="0.3">
      <c r="B7969" t="s">
        <v>2675</v>
      </c>
    </row>
    <row r="7970" spans="2:4" outlineLevel="1" x14ac:dyDescent="0.3">
      <c r="B7970" t="s">
        <v>2676</v>
      </c>
    </row>
    <row r="7971" spans="2:4" outlineLevel="1" x14ac:dyDescent="0.3">
      <c r="B7971" t="s">
        <v>2677</v>
      </c>
    </row>
    <row r="7972" spans="2:4" outlineLevel="1" x14ac:dyDescent="0.3">
      <c r="B7972" t="s">
        <v>2678</v>
      </c>
    </row>
    <row r="7973" spans="2:4" outlineLevel="1" x14ac:dyDescent="0.3">
      <c r="B7973" t="s">
        <v>2679</v>
      </c>
    </row>
    <row r="7974" spans="2:4" hidden="1" outlineLevel="2" x14ac:dyDescent="0.3">
      <c r="C7974" t="s">
        <v>2680</v>
      </c>
    </row>
    <row r="7975" spans="2:4" hidden="1" outlineLevel="2" x14ac:dyDescent="0.3">
      <c r="C7975" t="s">
        <v>2681</v>
      </c>
    </row>
    <row r="7976" spans="2:4" hidden="1" outlineLevel="2" x14ac:dyDescent="0.3">
      <c r="C7976" t="s">
        <v>4639</v>
      </c>
    </row>
    <row r="7977" spans="2:4" hidden="1" outlineLevel="2" x14ac:dyDescent="0.3">
      <c r="C7977" t="s">
        <v>4640</v>
      </c>
    </row>
    <row r="7978" spans="2:4" hidden="1" outlineLevel="2" x14ac:dyDescent="0.3">
      <c r="C7978" t="s">
        <v>4641</v>
      </c>
    </row>
    <row r="7979" spans="2:4" hidden="1" outlineLevel="2" x14ac:dyDescent="0.3">
      <c r="C7979" t="s">
        <v>4642</v>
      </c>
    </row>
    <row r="7980" spans="2:4" hidden="1" outlineLevel="2" x14ac:dyDescent="0.3">
      <c r="C7980" t="s">
        <v>4643</v>
      </c>
    </row>
    <row r="7981" spans="2:4" hidden="1" outlineLevel="2" x14ac:dyDescent="0.3">
      <c r="C7981" t="s">
        <v>4644</v>
      </c>
    </row>
    <row r="7982" spans="2:4" hidden="1" outlineLevel="3" x14ac:dyDescent="0.3">
      <c r="D7982" t="s">
        <v>4645</v>
      </c>
    </row>
    <row r="7983" spans="2:4" hidden="1" outlineLevel="3" x14ac:dyDescent="0.3">
      <c r="D7983" t="s">
        <v>4646</v>
      </c>
    </row>
    <row r="7984" spans="2:4" hidden="1" outlineLevel="3" x14ac:dyDescent="0.3">
      <c r="D7984" t="s">
        <v>4647</v>
      </c>
    </row>
    <row r="7985" spans="4:4" hidden="1" outlineLevel="3" x14ac:dyDescent="0.3">
      <c r="D7985" t="s">
        <v>4648</v>
      </c>
    </row>
    <row r="7986" spans="4:4" hidden="1" outlineLevel="3" x14ac:dyDescent="0.3">
      <c r="D7986" t="s">
        <v>4649</v>
      </c>
    </row>
    <row r="7987" spans="4:4" hidden="1" outlineLevel="3" x14ac:dyDescent="0.3">
      <c r="D7987" t="s">
        <v>4650</v>
      </c>
    </row>
    <row r="7988" spans="4:4" hidden="1" outlineLevel="3" x14ac:dyDescent="0.3">
      <c r="D7988" t="s">
        <v>4651</v>
      </c>
    </row>
    <row r="7989" spans="4:4" hidden="1" outlineLevel="3" x14ac:dyDescent="0.3">
      <c r="D7989" t="s">
        <v>4652</v>
      </c>
    </row>
    <row r="7990" spans="4:4" hidden="1" outlineLevel="3" x14ac:dyDescent="0.3">
      <c r="D7990" t="s">
        <v>4653</v>
      </c>
    </row>
    <row r="7991" spans="4:4" hidden="1" outlineLevel="3" x14ac:dyDescent="0.3">
      <c r="D7991" t="s">
        <v>4654</v>
      </c>
    </row>
    <row r="7992" spans="4:4" hidden="1" outlineLevel="3" x14ac:dyDescent="0.3">
      <c r="D7992" t="s">
        <v>4655</v>
      </c>
    </row>
    <row r="7993" spans="4:4" hidden="1" outlineLevel="3" x14ac:dyDescent="0.3">
      <c r="D7993" t="s">
        <v>4656</v>
      </c>
    </row>
    <row r="7994" spans="4:4" hidden="1" outlineLevel="3" x14ac:dyDescent="0.3">
      <c r="D7994" t="s">
        <v>4657</v>
      </c>
    </row>
    <row r="7995" spans="4:4" hidden="1" outlineLevel="3" x14ac:dyDescent="0.3">
      <c r="D7995" t="s">
        <v>4658</v>
      </c>
    </row>
    <row r="7996" spans="4:4" hidden="1" outlineLevel="3" x14ac:dyDescent="0.3">
      <c r="D7996" t="s">
        <v>4659</v>
      </c>
    </row>
    <row r="7997" spans="4:4" hidden="1" outlineLevel="3" x14ac:dyDescent="0.3">
      <c r="D7997" t="s">
        <v>4660</v>
      </c>
    </row>
    <row r="7998" spans="4:4" hidden="1" outlineLevel="3" x14ac:dyDescent="0.3">
      <c r="D7998" t="s">
        <v>4661</v>
      </c>
    </row>
    <row r="7999" spans="4:4" hidden="1" outlineLevel="3" x14ac:dyDescent="0.3">
      <c r="D7999" t="s">
        <v>4662</v>
      </c>
    </row>
    <row r="8000" spans="4:4" hidden="1" outlineLevel="3" x14ac:dyDescent="0.3">
      <c r="D8000" t="s">
        <v>4663</v>
      </c>
    </row>
    <row r="8001" spans="2:3" hidden="1" outlineLevel="2" x14ac:dyDescent="0.3">
      <c r="C8001" t="s">
        <v>2723</v>
      </c>
    </row>
    <row r="8002" spans="2:3" hidden="1" outlineLevel="2" x14ac:dyDescent="0.3">
      <c r="C8002" t="s">
        <v>2724</v>
      </c>
    </row>
    <row r="8003" spans="2:3" hidden="1" outlineLevel="2" x14ac:dyDescent="0.3">
      <c r="C8003" t="s">
        <v>3746</v>
      </c>
    </row>
    <row r="8004" spans="2:3" outlineLevel="1" collapsed="1" x14ac:dyDescent="0.3">
      <c r="B8004" t="s">
        <v>2725</v>
      </c>
    </row>
    <row r="8005" spans="2:3" outlineLevel="1" x14ac:dyDescent="0.3">
      <c r="B8005" t="s">
        <v>2726</v>
      </c>
    </row>
    <row r="8006" spans="2:3" outlineLevel="1" x14ac:dyDescent="0.3">
      <c r="B8006" t="s">
        <v>2727</v>
      </c>
    </row>
    <row r="8007" spans="2:3" outlineLevel="1" x14ac:dyDescent="0.3">
      <c r="B8007" t="s">
        <v>2728</v>
      </c>
    </row>
    <row r="8008" spans="2:3" hidden="1" outlineLevel="2" x14ac:dyDescent="0.3">
      <c r="C8008" t="s">
        <v>3747</v>
      </c>
    </row>
    <row r="8009" spans="2:3" hidden="1" outlineLevel="2" x14ac:dyDescent="0.3">
      <c r="C8009" t="s">
        <v>3748</v>
      </c>
    </row>
    <row r="8010" spans="2:3" hidden="1" outlineLevel="2" x14ac:dyDescent="0.3">
      <c r="C8010" t="s">
        <v>3749</v>
      </c>
    </row>
    <row r="8011" spans="2:3" hidden="1" outlineLevel="2" x14ac:dyDescent="0.3">
      <c r="C8011" t="s">
        <v>3750</v>
      </c>
    </row>
    <row r="8012" spans="2:3" hidden="1" outlineLevel="2" x14ac:dyDescent="0.3">
      <c r="C8012" t="s">
        <v>3751</v>
      </c>
    </row>
    <row r="8013" spans="2:3" hidden="1" outlineLevel="2" x14ac:dyDescent="0.3">
      <c r="C8013" t="s">
        <v>4664</v>
      </c>
    </row>
    <row r="8014" spans="2:3" hidden="1" outlineLevel="2" x14ac:dyDescent="0.3">
      <c r="C8014" t="s">
        <v>4665</v>
      </c>
    </row>
    <row r="8015" spans="2:3" hidden="1" outlineLevel="2" x14ac:dyDescent="0.3">
      <c r="C8015" t="s">
        <v>2738</v>
      </c>
    </row>
    <row r="8016" spans="2:3" hidden="1" outlineLevel="2" x14ac:dyDescent="0.3">
      <c r="C8016" t="s">
        <v>2742</v>
      </c>
    </row>
    <row r="8017" spans="2:3" hidden="1" outlineLevel="2" x14ac:dyDescent="0.3">
      <c r="C8017" t="s">
        <v>2743</v>
      </c>
    </row>
    <row r="8018" spans="2:3" hidden="1" outlineLevel="2" x14ac:dyDescent="0.3">
      <c r="C8018" t="s">
        <v>2748</v>
      </c>
    </row>
    <row r="8019" spans="2:3" hidden="1" outlineLevel="2" x14ac:dyDescent="0.3">
      <c r="C8019" t="s">
        <v>2749</v>
      </c>
    </row>
    <row r="8020" spans="2:3" hidden="1" outlineLevel="2" x14ac:dyDescent="0.3">
      <c r="C8020" t="s">
        <v>2750</v>
      </c>
    </row>
    <row r="8021" spans="2:3" hidden="1" outlineLevel="2" x14ac:dyDescent="0.3">
      <c r="C8021" t="s">
        <v>2751</v>
      </c>
    </row>
    <row r="8022" spans="2:3" outlineLevel="1" collapsed="1" x14ac:dyDescent="0.3">
      <c r="B8022" t="s">
        <v>2752</v>
      </c>
    </row>
    <row r="8023" spans="2:3" outlineLevel="1" x14ac:dyDescent="0.3">
      <c r="B8023" t="s">
        <v>2753</v>
      </c>
    </row>
    <row r="8024" spans="2:3" outlineLevel="1" x14ac:dyDescent="0.3">
      <c r="B8024" t="s">
        <v>2754</v>
      </c>
    </row>
    <row r="8025" spans="2:3" hidden="1" outlineLevel="2" x14ac:dyDescent="0.3">
      <c r="C8025" t="s">
        <v>2755</v>
      </c>
    </row>
    <row r="8026" spans="2:3" hidden="1" outlineLevel="2" x14ac:dyDescent="0.3">
      <c r="C8026" t="s">
        <v>2756</v>
      </c>
    </row>
    <row r="8027" spans="2:3" hidden="1" outlineLevel="2" x14ac:dyDescent="0.3">
      <c r="C8027" t="s">
        <v>2757</v>
      </c>
    </row>
    <row r="8028" spans="2:3" hidden="1" outlineLevel="2" x14ac:dyDescent="0.3">
      <c r="C8028" t="s">
        <v>2758</v>
      </c>
    </row>
    <row r="8029" spans="2:3" hidden="1" outlineLevel="2" x14ac:dyDescent="0.3">
      <c r="C8029" t="s">
        <v>2759</v>
      </c>
    </row>
    <row r="8030" spans="2:3" outlineLevel="1" collapsed="1" x14ac:dyDescent="0.3">
      <c r="B8030" t="s">
        <v>2760</v>
      </c>
    </row>
    <row r="8031" spans="2:3" outlineLevel="1" x14ac:dyDescent="0.3">
      <c r="B8031" t="s">
        <v>2761</v>
      </c>
    </row>
    <row r="8032" spans="2:3" hidden="1" outlineLevel="2" x14ac:dyDescent="0.3">
      <c r="C8032" t="s">
        <v>3759</v>
      </c>
    </row>
    <row r="8033" spans="2:3" hidden="1" outlineLevel="2" x14ac:dyDescent="0.3">
      <c r="C8033" t="s">
        <v>2763</v>
      </c>
    </row>
    <row r="8034" spans="2:3" hidden="1" outlineLevel="2" x14ac:dyDescent="0.3">
      <c r="C8034" t="s">
        <v>2764</v>
      </c>
    </row>
    <row r="8035" spans="2:3" hidden="1" outlineLevel="2" x14ac:dyDescent="0.3">
      <c r="C8035" t="s">
        <v>2765</v>
      </c>
    </row>
    <row r="8036" spans="2:3" hidden="1" outlineLevel="2" x14ac:dyDescent="0.3">
      <c r="C8036" t="s">
        <v>2766</v>
      </c>
    </row>
    <row r="8037" spans="2:3" outlineLevel="1" collapsed="1" x14ac:dyDescent="0.3">
      <c r="B8037" t="s">
        <v>2767</v>
      </c>
    </row>
    <row r="8038" spans="2:3" outlineLevel="1" x14ac:dyDescent="0.3">
      <c r="B8038" t="s">
        <v>2768</v>
      </c>
    </row>
    <row r="8039" spans="2:3" outlineLevel="1" x14ac:dyDescent="0.3">
      <c r="B8039" t="s">
        <v>2769</v>
      </c>
    </row>
    <row r="8040" spans="2:3" outlineLevel="1" x14ac:dyDescent="0.3">
      <c r="B8040" t="s">
        <v>2770</v>
      </c>
    </row>
    <row r="8041" spans="2:3" outlineLevel="1" x14ac:dyDescent="0.3">
      <c r="B8041" t="s">
        <v>2771</v>
      </c>
    </row>
    <row r="8042" spans="2:3" outlineLevel="1" x14ac:dyDescent="0.3">
      <c r="B8042" t="s">
        <v>2772</v>
      </c>
    </row>
    <row r="8043" spans="2:3" hidden="1" outlineLevel="2" x14ac:dyDescent="0.3">
      <c r="C8043" t="s">
        <v>2773</v>
      </c>
    </row>
    <row r="8044" spans="2:3" hidden="1" outlineLevel="2" x14ac:dyDescent="0.3">
      <c r="C8044" t="s">
        <v>2774</v>
      </c>
    </row>
    <row r="8045" spans="2:3" hidden="1" outlineLevel="2" x14ac:dyDescent="0.3">
      <c r="C8045" t="s">
        <v>2775</v>
      </c>
    </row>
    <row r="8046" spans="2:3" hidden="1" outlineLevel="2" x14ac:dyDescent="0.3">
      <c r="C8046" t="s">
        <v>2776</v>
      </c>
    </row>
    <row r="8047" spans="2:3" hidden="1" outlineLevel="2" x14ac:dyDescent="0.3">
      <c r="C8047" t="s">
        <v>2777</v>
      </c>
    </row>
    <row r="8048" spans="2:3" hidden="1" outlineLevel="2" x14ac:dyDescent="0.3">
      <c r="C8048" t="s">
        <v>2778</v>
      </c>
    </row>
    <row r="8049" spans="3:3" hidden="1" outlineLevel="2" x14ac:dyDescent="0.3">
      <c r="C8049" t="s">
        <v>2779</v>
      </c>
    </row>
    <row r="8050" spans="3:3" hidden="1" outlineLevel="2" x14ac:dyDescent="0.3">
      <c r="C8050" t="s">
        <v>2780</v>
      </c>
    </row>
    <row r="8051" spans="3:3" hidden="1" outlineLevel="2" x14ac:dyDescent="0.3">
      <c r="C8051" t="s">
        <v>3775</v>
      </c>
    </row>
    <row r="8052" spans="3:3" hidden="1" outlineLevel="2" x14ac:dyDescent="0.3">
      <c r="C8052" t="s">
        <v>3776</v>
      </c>
    </row>
    <row r="8053" spans="3:3" hidden="1" outlineLevel="2" x14ac:dyDescent="0.3">
      <c r="C8053" t="s">
        <v>3777</v>
      </c>
    </row>
    <row r="8054" spans="3:3" hidden="1" outlineLevel="2" x14ac:dyDescent="0.3">
      <c r="C8054" t="s">
        <v>2784</v>
      </c>
    </row>
    <row r="8055" spans="3:3" hidden="1" outlineLevel="2" x14ac:dyDescent="0.3">
      <c r="C8055" t="s">
        <v>2785</v>
      </c>
    </row>
    <row r="8056" spans="3:3" hidden="1" outlineLevel="2" x14ac:dyDescent="0.3">
      <c r="C8056" t="s">
        <v>2786</v>
      </c>
    </row>
    <row r="8057" spans="3:3" hidden="1" outlineLevel="2" x14ac:dyDescent="0.3">
      <c r="C8057" t="s">
        <v>2787</v>
      </c>
    </row>
    <row r="8058" spans="3:3" hidden="1" outlineLevel="2" x14ac:dyDescent="0.3">
      <c r="C8058" t="s">
        <v>2788</v>
      </c>
    </row>
    <row r="8059" spans="3:3" hidden="1" outlineLevel="2" x14ac:dyDescent="0.3">
      <c r="C8059" t="s">
        <v>2789</v>
      </c>
    </row>
    <row r="8060" spans="3:3" hidden="1" outlineLevel="2" x14ac:dyDescent="0.3">
      <c r="C8060" t="s">
        <v>2791</v>
      </c>
    </row>
    <row r="8061" spans="3:3" hidden="1" outlineLevel="2" x14ac:dyDescent="0.3">
      <c r="C8061" t="s">
        <v>2792</v>
      </c>
    </row>
    <row r="8062" spans="3:3" hidden="1" outlineLevel="2" x14ac:dyDescent="0.3">
      <c r="C8062" t="s">
        <v>2793</v>
      </c>
    </row>
    <row r="8063" spans="3:3" hidden="1" outlineLevel="2" x14ac:dyDescent="0.3">
      <c r="C8063" t="s">
        <v>2794</v>
      </c>
    </row>
    <row r="8064" spans="3:3" hidden="1" outlineLevel="2" x14ac:dyDescent="0.3">
      <c r="C8064" t="s">
        <v>2796</v>
      </c>
    </row>
    <row r="8065" spans="1:4" hidden="1" outlineLevel="2" x14ac:dyDescent="0.3">
      <c r="C8065" t="s">
        <v>2797</v>
      </c>
    </row>
    <row r="8066" spans="1:4" hidden="1" outlineLevel="2" x14ac:dyDescent="0.3">
      <c r="C8066" t="s">
        <v>2798</v>
      </c>
    </row>
    <row r="8067" spans="1:4" x14ac:dyDescent="0.3">
      <c r="A8067" t="s">
        <v>927</v>
      </c>
    </row>
    <row r="8068" spans="1:4" x14ac:dyDescent="0.3">
      <c r="A8068" t="s">
        <v>928</v>
      </c>
    </row>
    <row r="8069" spans="1:4" x14ac:dyDescent="0.3">
      <c r="A8069" t="s">
        <v>929</v>
      </c>
    </row>
    <row r="8070" spans="1:4" x14ac:dyDescent="0.3">
      <c r="A8070" t="s">
        <v>930</v>
      </c>
    </row>
    <row r="8071" spans="1:4" outlineLevel="1" x14ac:dyDescent="0.3">
      <c r="B8071" t="s">
        <v>931</v>
      </c>
    </row>
    <row r="8072" spans="1:4" outlineLevel="1" x14ac:dyDescent="0.3">
      <c r="B8072" t="s">
        <v>932</v>
      </c>
    </row>
    <row r="8073" spans="1:4" outlineLevel="1" x14ac:dyDescent="0.3">
      <c r="B8073" t="s">
        <v>933</v>
      </c>
    </row>
    <row r="8074" spans="1:4" hidden="1" outlineLevel="2" x14ac:dyDescent="0.3">
      <c r="C8074" t="s">
        <v>934</v>
      </c>
    </row>
    <row r="8075" spans="1:4" hidden="1" outlineLevel="3" x14ac:dyDescent="0.3">
      <c r="D8075" t="s">
        <v>935</v>
      </c>
    </row>
    <row r="8076" spans="1:4" hidden="1" outlineLevel="3" x14ac:dyDescent="0.3">
      <c r="D8076" t="s">
        <v>936</v>
      </c>
    </row>
    <row r="8077" spans="1:4" hidden="1" outlineLevel="2" x14ac:dyDescent="0.3">
      <c r="C8077" t="s">
        <v>937</v>
      </c>
    </row>
    <row r="8078" spans="1:4" hidden="1" outlineLevel="2" x14ac:dyDescent="0.3">
      <c r="C8078" t="s">
        <v>938</v>
      </c>
    </row>
    <row r="8079" spans="1:4" hidden="1" outlineLevel="3" x14ac:dyDescent="0.3">
      <c r="D8079" t="s">
        <v>939</v>
      </c>
    </row>
    <row r="8080" spans="1:4" hidden="1" outlineLevel="3" x14ac:dyDescent="0.3">
      <c r="D8080" t="s">
        <v>940</v>
      </c>
    </row>
    <row r="8081" spans="3:4" hidden="1" outlineLevel="3" x14ac:dyDescent="0.3">
      <c r="D8081" t="s">
        <v>941</v>
      </c>
    </row>
    <row r="8082" spans="3:4" hidden="1" outlineLevel="3" x14ac:dyDescent="0.3">
      <c r="D8082" t="s">
        <v>942</v>
      </c>
    </row>
    <row r="8083" spans="3:4" hidden="1" outlineLevel="3" x14ac:dyDescent="0.3">
      <c r="D8083" t="s">
        <v>943</v>
      </c>
    </row>
    <row r="8084" spans="3:4" hidden="1" outlineLevel="3" x14ac:dyDescent="0.3">
      <c r="D8084" t="s">
        <v>944</v>
      </c>
    </row>
    <row r="8085" spans="3:4" hidden="1" outlineLevel="3" x14ac:dyDescent="0.3">
      <c r="D8085" t="s">
        <v>945</v>
      </c>
    </row>
    <row r="8086" spans="3:4" hidden="1" outlineLevel="3" x14ac:dyDescent="0.3">
      <c r="D8086" t="s">
        <v>946</v>
      </c>
    </row>
    <row r="8087" spans="3:4" hidden="1" outlineLevel="3" x14ac:dyDescent="0.3">
      <c r="D8087" t="s">
        <v>947</v>
      </c>
    </row>
    <row r="8088" spans="3:4" hidden="1" outlineLevel="3" x14ac:dyDescent="0.3">
      <c r="D8088" t="s">
        <v>948</v>
      </c>
    </row>
    <row r="8089" spans="3:4" hidden="1" outlineLevel="3" x14ac:dyDescent="0.3">
      <c r="D8089" t="s">
        <v>949</v>
      </c>
    </row>
    <row r="8090" spans="3:4" hidden="1" outlineLevel="3" x14ac:dyDescent="0.3">
      <c r="D8090" t="s">
        <v>950</v>
      </c>
    </row>
    <row r="8091" spans="3:4" hidden="1" outlineLevel="3" x14ac:dyDescent="0.3">
      <c r="D8091" t="s">
        <v>951</v>
      </c>
    </row>
    <row r="8092" spans="3:4" hidden="1" outlineLevel="3" x14ac:dyDescent="0.3">
      <c r="D8092" t="s">
        <v>952</v>
      </c>
    </row>
    <row r="8093" spans="3:4" hidden="1" outlineLevel="3" x14ac:dyDescent="0.3">
      <c r="D8093" t="s">
        <v>953</v>
      </c>
    </row>
    <row r="8094" spans="3:4" hidden="1" outlineLevel="2" x14ac:dyDescent="0.3">
      <c r="C8094" t="s">
        <v>954</v>
      </c>
    </row>
    <row r="8095" spans="3:4" hidden="1" outlineLevel="3" x14ac:dyDescent="0.3">
      <c r="D8095" t="s">
        <v>955</v>
      </c>
    </row>
    <row r="8096" spans="3:4" hidden="1" outlineLevel="3" x14ac:dyDescent="0.3">
      <c r="D8096" t="s">
        <v>956</v>
      </c>
    </row>
    <row r="8097" spans="3:4" hidden="1" outlineLevel="3" x14ac:dyDescent="0.3">
      <c r="D8097" t="s">
        <v>957</v>
      </c>
    </row>
    <row r="8098" spans="3:4" hidden="1" outlineLevel="3" x14ac:dyDescent="0.3">
      <c r="D8098" t="s">
        <v>958</v>
      </c>
    </row>
    <row r="8099" spans="3:4" hidden="1" outlineLevel="3" x14ac:dyDescent="0.3">
      <c r="D8099" t="s">
        <v>959</v>
      </c>
    </row>
    <row r="8100" spans="3:4" hidden="1" outlineLevel="3" x14ac:dyDescent="0.3">
      <c r="D8100" t="s">
        <v>960</v>
      </c>
    </row>
    <row r="8101" spans="3:4" hidden="1" outlineLevel="3" x14ac:dyDescent="0.3">
      <c r="D8101" t="s">
        <v>961</v>
      </c>
    </row>
    <row r="8102" spans="3:4" hidden="1" outlineLevel="3" x14ac:dyDescent="0.3">
      <c r="D8102" t="s">
        <v>962</v>
      </c>
    </row>
    <row r="8103" spans="3:4" hidden="1" outlineLevel="3" x14ac:dyDescent="0.3">
      <c r="D8103" t="s">
        <v>963</v>
      </c>
    </row>
    <row r="8104" spans="3:4" hidden="1" outlineLevel="2" x14ac:dyDescent="0.3">
      <c r="C8104" t="s">
        <v>964</v>
      </c>
    </row>
    <row r="8105" spans="3:4" hidden="1" outlineLevel="3" x14ac:dyDescent="0.3">
      <c r="D8105" t="s">
        <v>965</v>
      </c>
    </row>
    <row r="8106" spans="3:4" hidden="1" outlineLevel="3" x14ac:dyDescent="0.3">
      <c r="D8106" t="s">
        <v>966</v>
      </c>
    </row>
    <row r="8107" spans="3:4" hidden="1" outlineLevel="3" x14ac:dyDescent="0.3">
      <c r="D8107" t="s">
        <v>967</v>
      </c>
    </row>
    <row r="8108" spans="3:4" hidden="1" outlineLevel="3" x14ac:dyDescent="0.3">
      <c r="D8108" t="s">
        <v>968</v>
      </c>
    </row>
    <row r="8109" spans="3:4" hidden="1" outlineLevel="3" x14ac:dyDescent="0.3">
      <c r="D8109" t="s">
        <v>969</v>
      </c>
    </row>
    <row r="8110" spans="3:4" hidden="1" outlineLevel="3" x14ac:dyDescent="0.3">
      <c r="D8110" t="s">
        <v>970</v>
      </c>
    </row>
    <row r="8111" spans="3:4" hidden="1" outlineLevel="3" x14ac:dyDescent="0.3">
      <c r="D8111" t="s">
        <v>971</v>
      </c>
    </row>
    <row r="8112" spans="3:4" hidden="1" outlineLevel="3" x14ac:dyDescent="0.3">
      <c r="D8112" t="s">
        <v>972</v>
      </c>
    </row>
    <row r="8113" spans="3:4" hidden="1" outlineLevel="3" x14ac:dyDescent="0.3">
      <c r="D8113" t="s">
        <v>973</v>
      </c>
    </row>
    <row r="8114" spans="3:4" hidden="1" outlineLevel="3" x14ac:dyDescent="0.3">
      <c r="D8114" t="s">
        <v>974</v>
      </c>
    </row>
    <row r="8115" spans="3:4" hidden="1" outlineLevel="3" x14ac:dyDescent="0.3">
      <c r="D8115" t="s">
        <v>975</v>
      </c>
    </row>
    <row r="8116" spans="3:4" hidden="1" outlineLevel="3" x14ac:dyDescent="0.3">
      <c r="D8116" t="s">
        <v>976</v>
      </c>
    </row>
    <row r="8117" spans="3:4" hidden="1" outlineLevel="3" x14ac:dyDescent="0.3">
      <c r="D8117" t="s">
        <v>977</v>
      </c>
    </row>
    <row r="8118" spans="3:4" hidden="1" outlineLevel="3" x14ac:dyDescent="0.3">
      <c r="D8118" t="s">
        <v>978</v>
      </c>
    </row>
    <row r="8119" spans="3:4" hidden="1" outlineLevel="2" x14ac:dyDescent="0.3">
      <c r="C8119" t="s">
        <v>979</v>
      </c>
    </row>
    <row r="8120" spans="3:4" hidden="1" outlineLevel="2" x14ac:dyDescent="0.3">
      <c r="C8120" t="s">
        <v>980</v>
      </c>
    </row>
    <row r="8121" spans="3:4" hidden="1" outlineLevel="2" x14ac:dyDescent="0.3">
      <c r="C8121" t="s">
        <v>2799</v>
      </c>
    </row>
    <row r="8122" spans="3:4" hidden="1" outlineLevel="3" x14ac:dyDescent="0.3">
      <c r="D8122" t="s">
        <v>981</v>
      </c>
    </row>
    <row r="8123" spans="3:4" hidden="1" outlineLevel="3" x14ac:dyDescent="0.3">
      <c r="D8123" t="s">
        <v>982</v>
      </c>
    </row>
    <row r="8124" spans="3:4" hidden="1" outlineLevel="3" x14ac:dyDescent="0.3">
      <c r="D8124" t="s">
        <v>983</v>
      </c>
    </row>
    <row r="8125" spans="3:4" hidden="1" outlineLevel="3" x14ac:dyDescent="0.3">
      <c r="D8125" t="s">
        <v>2800</v>
      </c>
    </row>
    <row r="8126" spans="3:4" hidden="1" outlineLevel="3" x14ac:dyDescent="0.3">
      <c r="D8126" t="s">
        <v>985</v>
      </c>
    </row>
    <row r="8127" spans="3:4" hidden="1" outlineLevel="3" x14ac:dyDescent="0.3">
      <c r="D8127" t="s">
        <v>986</v>
      </c>
    </row>
    <row r="8128" spans="3:4" hidden="1" outlineLevel="3" x14ac:dyDescent="0.3">
      <c r="D8128" t="s">
        <v>2802</v>
      </c>
    </row>
    <row r="8129" spans="1:4" hidden="1" outlineLevel="3" x14ac:dyDescent="0.3">
      <c r="D8129" t="s">
        <v>993</v>
      </c>
    </row>
    <row r="8130" spans="1:4" hidden="1" outlineLevel="3" x14ac:dyDescent="0.3">
      <c r="D8130" t="s">
        <v>994</v>
      </c>
    </row>
    <row r="8131" spans="1:4" hidden="1" outlineLevel="3" x14ac:dyDescent="0.3">
      <c r="D8131" t="s">
        <v>995</v>
      </c>
    </row>
    <row r="8132" spans="1:4" outlineLevel="1" collapsed="1" x14ac:dyDescent="0.3">
      <c r="B8132" t="s">
        <v>996</v>
      </c>
    </row>
    <row r="8133" spans="1:4" outlineLevel="1" x14ac:dyDescent="0.3">
      <c r="B8133" t="s">
        <v>997</v>
      </c>
    </row>
    <row r="8134" spans="1:4" outlineLevel="1" x14ac:dyDescent="0.3">
      <c r="B8134" t="s">
        <v>998</v>
      </c>
    </row>
    <row r="8135" spans="1:4" x14ac:dyDescent="0.3">
      <c r="A8135" t="s">
        <v>999</v>
      </c>
    </row>
    <row r="8136" spans="1:4" outlineLevel="1" x14ac:dyDescent="0.3">
      <c r="B8136" t="s">
        <v>2803</v>
      </c>
    </row>
    <row r="8137" spans="1:4" outlineLevel="1" x14ac:dyDescent="0.3">
      <c r="B8137" t="s">
        <v>2804</v>
      </c>
    </row>
    <row r="8138" spans="1:4" outlineLevel="1" x14ac:dyDescent="0.3">
      <c r="B8138" t="s">
        <v>2806</v>
      </c>
    </row>
    <row r="8139" spans="1:4" outlineLevel="1" x14ac:dyDescent="0.3">
      <c r="B8139" t="s">
        <v>4666</v>
      </c>
    </row>
    <row r="8140" spans="1:4" hidden="1" outlineLevel="2" x14ac:dyDescent="0.3">
      <c r="C8140" t="s">
        <v>4667</v>
      </c>
    </row>
    <row r="8141" spans="1:4" hidden="1" outlineLevel="2" x14ac:dyDescent="0.3">
      <c r="C8141" t="s">
        <v>4668</v>
      </c>
    </row>
    <row r="8142" spans="1:4" hidden="1" outlineLevel="2" x14ac:dyDescent="0.3">
      <c r="C8142" t="s">
        <v>4669</v>
      </c>
    </row>
    <row r="8143" spans="1:4" hidden="1" outlineLevel="2" x14ac:dyDescent="0.3">
      <c r="C8143" t="s">
        <v>4670</v>
      </c>
    </row>
    <row r="8144" spans="1:4" hidden="1" outlineLevel="2" x14ac:dyDescent="0.3">
      <c r="C8144" t="s">
        <v>4671</v>
      </c>
    </row>
    <row r="8145" spans="2:4" outlineLevel="1" collapsed="1" x14ac:dyDescent="0.3">
      <c r="B8145" t="s">
        <v>2820</v>
      </c>
    </row>
    <row r="8146" spans="2:4" hidden="1" outlineLevel="2" x14ac:dyDescent="0.3">
      <c r="C8146" t="s">
        <v>4672</v>
      </c>
    </row>
    <row r="8147" spans="2:4" hidden="1" outlineLevel="3" x14ac:dyDescent="0.3">
      <c r="D8147" t="s">
        <v>4673</v>
      </c>
    </row>
    <row r="8148" spans="2:4" hidden="1" outlineLevel="3" x14ac:dyDescent="0.3">
      <c r="D8148" t="s">
        <v>4674</v>
      </c>
    </row>
    <row r="8149" spans="2:4" hidden="1" outlineLevel="3" x14ac:dyDescent="0.3">
      <c r="D8149" t="s">
        <v>4675</v>
      </c>
    </row>
    <row r="8150" spans="2:4" hidden="1" outlineLevel="3" x14ac:dyDescent="0.3">
      <c r="D8150" t="s">
        <v>4676</v>
      </c>
    </row>
    <row r="8151" spans="2:4" hidden="1" outlineLevel="3" x14ac:dyDescent="0.3">
      <c r="D8151" t="s">
        <v>4677</v>
      </c>
    </row>
    <row r="8152" spans="2:4" hidden="1" outlineLevel="3" x14ac:dyDescent="0.3">
      <c r="D8152" t="s">
        <v>4678</v>
      </c>
    </row>
    <row r="8153" spans="2:4" hidden="1" outlineLevel="3" x14ac:dyDescent="0.3">
      <c r="D8153" t="s">
        <v>4679</v>
      </c>
    </row>
    <row r="8154" spans="2:4" hidden="1" outlineLevel="3" x14ac:dyDescent="0.3">
      <c r="D8154" t="s">
        <v>4680</v>
      </c>
    </row>
    <row r="8155" spans="2:4" hidden="1" outlineLevel="3" x14ac:dyDescent="0.3">
      <c r="D8155" t="s">
        <v>4681</v>
      </c>
    </row>
    <row r="8156" spans="2:4" hidden="1" outlineLevel="3" x14ac:dyDescent="0.3">
      <c r="D8156" t="s">
        <v>4682</v>
      </c>
    </row>
    <row r="8157" spans="2:4" hidden="1" outlineLevel="2" x14ac:dyDescent="0.3">
      <c r="C8157" t="s">
        <v>4683</v>
      </c>
    </row>
    <row r="8158" spans="2:4" hidden="1" outlineLevel="2" x14ac:dyDescent="0.3">
      <c r="C8158" t="s">
        <v>2851</v>
      </c>
    </row>
    <row r="8159" spans="2:4" outlineLevel="1" collapsed="1" x14ac:dyDescent="0.3">
      <c r="B8159" t="s">
        <v>2852</v>
      </c>
    </row>
    <row r="8160" spans="2:4" hidden="1" outlineLevel="2" x14ac:dyDescent="0.3">
      <c r="C8160" t="s">
        <v>2853</v>
      </c>
    </row>
    <row r="8161" spans="2:3" hidden="1" outlineLevel="2" x14ac:dyDescent="0.3">
      <c r="C8161" t="s">
        <v>4684</v>
      </c>
    </row>
    <row r="8162" spans="2:3" hidden="1" outlineLevel="2" x14ac:dyDescent="0.3">
      <c r="C8162" t="s">
        <v>4685</v>
      </c>
    </row>
    <row r="8163" spans="2:3" hidden="1" outlineLevel="2" x14ac:dyDescent="0.3">
      <c r="C8163" t="s">
        <v>4686</v>
      </c>
    </row>
    <row r="8164" spans="2:3" hidden="1" outlineLevel="2" x14ac:dyDescent="0.3">
      <c r="C8164" t="s">
        <v>4687</v>
      </c>
    </row>
    <row r="8165" spans="2:3" hidden="1" outlineLevel="2" x14ac:dyDescent="0.3">
      <c r="C8165" t="s">
        <v>4354</v>
      </c>
    </row>
    <row r="8166" spans="2:3" hidden="1" outlineLevel="2" x14ac:dyDescent="0.3">
      <c r="C8166" t="s">
        <v>2866</v>
      </c>
    </row>
    <row r="8167" spans="2:3" hidden="1" outlineLevel="2" x14ac:dyDescent="0.3">
      <c r="C8167" t="s">
        <v>3813</v>
      </c>
    </row>
    <row r="8168" spans="2:3" hidden="1" outlineLevel="2" x14ac:dyDescent="0.3">
      <c r="C8168" t="s">
        <v>3814</v>
      </c>
    </row>
    <row r="8169" spans="2:3" hidden="1" outlineLevel="2" x14ac:dyDescent="0.3">
      <c r="C8169" t="s">
        <v>3815</v>
      </c>
    </row>
    <row r="8170" spans="2:3" hidden="1" outlineLevel="2" x14ac:dyDescent="0.3">
      <c r="C8170" t="s">
        <v>3816</v>
      </c>
    </row>
    <row r="8171" spans="2:3" hidden="1" outlineLevel="2" x14ac:dyDescent="0.3">
      <c r="C8171" t="s">
        <v>2882</v>
      </c>
    </row>
    <row r="8172" spans="2:3" outlineLevel="1" collapsed="1" x14ac:dyDescent="0.3">
      <c r="B8172" t="s">
        <v>2883</v>
      </c>
    </row>
    <row r="8173" spans="2:3" outlineLevel="1" x14ac:dyDescent="0.3">
      <c r="B8173" t="s">
        <v>2884</v>
      </c>
    </row>
    <row r="8174" spans="2:3" hidden="1" outlineLevel="2" x14ac:dyDescent="0.3">
      <c r="C8174" t="s">
        <v>2885</v>
      </c>
    </row>
    <row r="8175" spans="2:3" hidden="1" outlineLevel="2" x14ac:dyDescent="0.3">
      <c r="C8175" t="s">
        <v>2886</v>
      </c>
    </row>
    <row r="8176" spans="2:3" hidden="1" outlineLevel="2" x14ac:dyDescent="0.3">
      <c r="C8176" t="s">
        <v>2887</v>
      </c>
    </row>
    <row r="8177" spans="2:3" hidden="1" outlineLevel="2" x14ac:dyDescent="0.3">
      <c r="C8177" t="s">
        <v>2888</v>
      </c>
    </row>
    <row r="8178" spans="2:3" hidden="1" outlineLevel="2" x14ac:dyDescent="0.3">
      <c r="C8178" t="s">
        <v>2889</v>
      </c>
    </row>
    <row r="8179" spans="2:3" hidden="1" outlineLevel="2" x14ac:dyDescent="0.3">
      <c r="C8179" t="s">
        <v>2890</v>
      </c>
    </row>
    <row r="8180" spans="2:3" outlineLevel="1" collapsed="1" x14ac:dyDescent="0.3">
      <c r="B8180" t="s">
        <v>2891</v>
      </c>
    </row>
    <row r="8181" spans="2:3" hidden="1" outlineLevel="2" x14ac:dyDescent="0.3">
      <c r="C8181" t="s">
        <v>2892</v>
      </c>
    </row>
    <row r="8182" spans="2:3" hidden="1" outlineLevel="2" x14ac:dyDescent="0.3">
      <c r="C8182" t="s">
        <v>2893</v>
      </c>
    </row>
    <row r="8183" spans="2:3" hidden="1" outlineLevel="2" x14ac:dyDescent="0.3">
      <c r="C8183" t="s">
        <v>2894</v>
      </c>
    </row>
    <row r="8184" spans="2:3" hidden="1" outlineLevel="2" x14ac:dyDescent="0.3">
      <c r="C8184" t="s">
        <v>2895</v>
      </c>
    </row>
    <row r="8185" spans="2:3" hidden="1" outlineLevel="2" x14ac:dyDescent="0.3">
      <c r="C8185" t="s">
        <v>2896</v>
      </c>
    </row>
    <row r="8186" spans="2:3" hidden="1" outlineLevel="2" x14ac:dyDescent="0.3">
      <c r="C8186" t="s">
        <v>2898</v>
      </c>
    </row>
    <row r="8187" spans="2:3" outlineLevel="1" collapsed="1" x14ac:dyDescent="0.3">
      <c r="B8187" t="s">
        <v>2899</v>
      </c>
    </row>
    <row r="8188" spans="2:3" outlineLevel="1" x14ac:dyDescent="0.3">
      <c r="B8188" t="s">
        <v>2900</v>
      </c>
    </row>
    <row r="8189" spans="2:3" outlineLevel="1" x14ac:dyDescent="0.3">
      <c r="B8189" t="s">
        <v>2901</v>
      </c>
    </row>
    <row r="8190" spans="2:3" hidden="1" outlineLevel="2" x14ac:dyDescent="0.3">
      <c r="C8190" t="s">
        <v>2902</v>
      </c>
    </row>
    <row r="8191" spans="2:3" hidden="1" outlineLevel="2" x14ac:dyDescent="0.3">
      <c r="C8191" t="s">
        <v>2903</v>
      </c>
    </row>
    <row r="8192" spans="2:3" hidden="1" outlineLevel="2" x14ac:dyDescent="0.3">
      <c r="C8192" t="s">
        <v>2904</v>
      </c>
    </row>
    <row r="8193" spans="3:4" hidden="1" outlineLevel="2" x14ac:dyDescent="0.3">
      <c r="C8193" t="s">
        <v>2905</v>
      </c>
    </row>
    <row r="8194" spans="3:4" hidden="1" outlineLevel="2" x14ac:dyDescent="0.3">
      <c r="C8194" t="s">
        <v>2907</v>
      </c>
    </row>
    <row r="8195" spans="3:4" hidden="1" outlineLevel="3" x14ac:dyDescent="0.3">
      <c r="D8195" t="s">
        <v>2908</v>
      </c>
    </row>
    <row r="8196" spans="3:4" hidden="1" outlineLevel="3" x14ac:dyDescent="0.3">
      <c r="D8196" t="s">
        <v>2909</v>
      </c>
    </row>
    <row r="8197" spans="3:4" hidden="1" outlineLevel="3" x14ac:dyDescent="0.3">
      <c r="D8197" t="s">
        <v>2910</v>
      </c>
    </row>
    <row r="8198" spans="3:4" hidden="1" outlineLevel="3" x14ac:dyDescent="0.3">
      <c r="D8198" t="s">
        <v>2911</v>
      </c>
    </row>
    <row r="8199" spans="3:4" hidden="1" outlineLevel="2" x14ac:dyDescent="0.3">
      <c r="C8199" t="s">
        <v>2912</v>
      </c>
    </row>
    <row r="8200" spans="3:4" hidden="1" outlineLevel="2" x14ac:dyDescent="0.3">
      <c r="C8200" t="s">
        <v>2913</v>
      </c>
    </row>
    <row r="8201" spans="3:4" hidden="1" outlineLevel="2" x14ac:dyDescent="0.3">
      <c r="C8201" t="s">
        <v>4688</v>
      </c>
    </row>
    <row r="8202" spans="3:4" hidden="1" outlineLevel="2" x14ac:dyDescent="0.3">
      <c r="C8202" t="s">
        <v>2915</v>
      </c>
    </row>
    <row r="8203" spans="3:4" hidden="1" outlineLevel="2" x14ac:dyDescent="0.3">
      <c r="C8203" t="s">
        <v>2916</v>
      </c>
    </row>
    <row r="8204" spans="3:4" hidden="1" outlineLevel="2" x14ac:dyDescent="0.3">
      <c r="C8204" t="s">
        <v>2917</v>
      </c>
    </row>
    <row r="8205" spans="3:4" hidden="1" outlineLevel="2" x14ac:dyDescent="0.3">
      <c r="C8205" t="s">
        <v>2918</v>
      </c>
    </row>
    <row r="8206" spans="3:4" hidden="1" outlineLevel="2" x14ac:dyDescent="0.3">
      <c r="C8206" t="s">
        <v>2919</v>
      </c>
    </row>
    <row r="8207" spans="3:4" hidden="1" outlineLevel="2" x14ac:dyDescent="0.3">
      <c r="C8207" t="s">
        <v>2920</v>
      </c>
    </row>
    <row r="8208" spans="3:4" hidden="1" outlineLevel="2" x14ac:dyDescent="0.3">
      <c r="C8208" t="s">
        <v>2926</v>
      </c>
    </row>
    <row r="8209" spans="1:4" hidden="1" outlineLevel="2" x14ac:dyDescent="0.3">
      <c r="C8209" t="s">
        <v>2932</v>
      </c>
    </row>
    <row r="8215" spans="1:4" x14ac:dyDescent="0.3">
      <c r="A8215" t="s">
        <v>2934</v>
      </c>
    </row>
    <row r="8216" spans="1:4" outlineLevel="1" x14ac:dyDescent="0.3">
      <c r="B8216" t="s">
        <v>2935</v>
      </c>
    </row>
    <row r="8217" spans="1:4" hidden="1" outlineLevel="2" x14ac:dyDescent="0.3">
      <c r="C8217" t="s">
        <v>2938</v>
      </c>
    </row>
    <row r="8218" spans="1:4" hidden="1" outlineLevel="2" x14ac:dyDescent="0.3">
      <c r="C8218" t="s">
        <v>2939</v>
      </c>
    </row>
    <row r="8219" spans="1:4" hidden="1" outlineLevel="2" x14ac:dyDescent="0.3">
      <c r="C8219" t="s">
        <v>2940</v>
      </c>
    </row>
    <row r="8220" spans="1:4" hidden="1" outlineLevel="2" x14ac:dyDescent="0.3">
      <c r="C8220" t="s">
        <v>2941</v>
      </c>
    </row>
    <row r="8221" spans="1:4" hidden="1" outlineLevel="3" x14ac:dyDescent="0.3">
      <c r="D8221" t="s">
        <v>2942</v>
      </c>
    </row>
    <row r="8222" spans="1:4" hidden="1" outlineLevel="3" x14ac:dyDescent="0.3">
      <c r="D8222" t="s">
        <v>2943</v>
      </c>
    </row>
    <row r="8223" spans="1:4" hidden="1" outlineLevel="3" x14ac:dyDescent="0.3">
      <c r="D8223" t="s">
        <v>2944</v>
      </c>
    </row>
    <row r="8224" spans="1:4" hidden="1" outlineLevel="3" x14ac:dyDescent="0.3">
      <c r="D8224" t="s">
        <v>2945</v>
      </c>
    </row>
    <row r="8225" spans="3:5" hidden="1" outlineLevel="3" x14ac:dyDescent="0.3">
      <c r="D8225" t="s">
        <v>2946</v>
      </c>
    </row>
    <row r="8226" spans="3:5" hidden="1" outlineLevel="3" x14ac:dyDescent="0.3">
      <c r="D8226" t="s">
        <v>2947</v>
      </c>
    </row>
    <row r="8227" spans="3:5" hidden="1" outlineLevel="2" x14ac:dyDescent="0.3">
      <c r="C8227" t="s">
        <v>2948</v>
      </c>
    </row>
    <row r="8228" spans="3:5" hidden="1" outlineLevel="2" x14ac:dyDescent="0.3">
      <c r="C8228" t="s">
        <v>2949</v>
      </c>
    </row>
    <row r="8229" spans="3:5" hidden="1" outlineLevel="3" x14ac:dyDescent="0.3">
      <c r="D8229" t="s">
        <v>2950</v>
      </c>
    </row>
    <row r="8230" spans="3:5" hidden="1" outlineLevel="4" x14ac:dyDescent="0.3">
      <c r="E8230" t="s">
        <v>4689</v>
      </c>
    </row>
    <row r="8231" spans="3:5" hidden="1" outlineLevel="4" x14ac:dyDescent="0.3">
      <c r="E8231" t="s">
        <v>4690</v>
      </c>
    </row>
    <row r="8232" spans="3:5" hidden="1" outlineLevel="4" x14ac:dyDescent="0.3">
      <c r="E8232" t="s">
        <v>4691</v>
      </c>
    </row>
    <row r="8233" spans="3:5" hidden="1" outlineLevel="4" x14ac:dyDescent="0.3">
      <c r="E8233" t="s">
        <v>4692</v>
      </c>
    </row>
    <row r="8234" spans="3:5" hidden="1" outlineLevel="4" x14ac:dyDescent="0.3">
      <c r="E8234" t="s">
        <v>4693</v>
      </c>
    </row>
    <row r="8235" spans="3:5" hidden="1" outlineLevel="4" x14ac:dyDescent="0.3">
      <c r="E8235" t="s">
        <v>4694</v>
      </c>
    </row>
    <row r="8236" spans="3:5" hidden="1" outlineLevel="4" x14ac:dyDescent="0.3">
      <c r="E8236" t="s">
        <v>4695</v>
      </c>
    </row>
    <row r="8237" spans="3:5" hidden="1" outlineLevel="3" x14ac:dyDescent="0.3">
      <c r="D8237" t="s">
        <v>4384</v>
      </c>
    </row>
    <row r="8238" spans="3:5" hidden="1" outlineLevel="3" x14ac:dyDescent="0.3">
      <c r="D8238" t="s">
        <v>4696</v>
      </c>
    </row>
    <row r="8239" spans="3:5" hidden="1" outlineLevel="3" x14ac:dyDescent="0.3">
      <c r="D8239" t="s">
        <v>2961</v>
      </c>
    </row>
    <row r="8240" spans="3:5" hidden="1" outlineLevel="2" x14ac:dyDescent="0.3">
      <c r="C8240" t="s">
        <v>2963</v>
      </c>
    </row>
    <row r="8241" spans="2:5" hidden="1" outlineLevel="2" x14ac:dyDescent="0.3">
      <c r="C8241" t="s">
        <v>2964</v>
      </c>
    </row>
    <row r="8242" spans="2:5" hidden="1" outlineLevel="3" x14ac:dyDescent="0.3">
      <c r="D8242" t="s">
        <v>4697</v>
      </c>
    </row>
    <row r="8243" spans="2:5" outlineLevel="1" collapsed="1" x14ac:dyDescent="0.3">
      <c r="B8243" t="s">
        <v>2965</v>
      </c>
    </row>
    <row r="8244" spans="2:5" hidden="1" outlineLevel="2" x14ac:dyDescent="0.3">
      <c r="C8244" t="s">
        <v>2966</v>
      </c>
    </row>
    <row r="8245" spans="2:5" hidden="1" outlineLevel="2" x14ac:dyDescent="0.3">
      <c r="C8245" t="s">
        <v>2967</v>
      </c>
    </row>
    <row r="8246" spans="2:5" hidden="1" outlineLevel="2" x14ac:dyDescent="0.3">
      <c r="C8246" t="s">
        <v>2968</v>
      </c>
    </row>
    <row r="8247" spans="2:5" hidden="1" outlineLevel="3" x14ac:dyDescent="0.3">
      <c r="D8247" t="s">
        <v>4698</v>
      </c>
    </row>
    <row r="8248" spans="2:5" hidden="1" outlineLevel="3" x14ac:dyDescent="0.3">
      <c r="D8248" t="s">
        <v>4699</v>
      </c>
    </row>
    <row r="8249" spans="2:5" hidden="1" outlineLevel="3" x14ac:dyDescent="0.3">
      <c r="D8249" t="s">
        <v>4700</v>
      </c>
    </row>
    <row r="8250" spans="2:5" hidden="1" outlineLevel="3" x14ac:dyDescent="0.3">
      <c r="D8250" t="s">
        <v>2972</v>
      </c>
    </row>
    <row r="8251" spans="2:5" hidden="1" outlineLevel="2" x14ac:dyDescent="0.3">
      <c r="C8251" t="s">
        <v>2973</v>
      </c>
    </row>
    <row r="8252" spans="2:5" hidden="1" outlineLevel="3" x14ac:dyDescent="0.3">
      <c r="D8252" t="s">
        <v>4701</v>
      </c>
    </row>
    <row r="8253" spans="2:5" hidden="1" outlineLevel="4" x14ac:dyDescent="0.3">
      <c r="E8253" t="s">
        <v>4702</v>
      </c>
    </row>
    <row r="8254" spans="2:5" hidden="1" outlineLevel="4" x14ac:dyDescent="0.3">
      <c r="E8254" t="s">
        <v>4703</v>
      </c>
    </row>
    <row r="8255" spans="2:5" hidden="1" outlineLevel="4" x14ac:dyDescent="0.3">
      <c r="E8255" t="s">
        <v>4704</v>
      </c>
    </row>
    <row r="8256" spans="2:5" hidden="1" outlineLevel="4" x14ac:dyDescent="0.3">
      <c r="E8256" t="s">
        <v>4705</v>
      </c>
    </row>
    <row r="8257" spans="1:5" hidden="1" outlineLevel="4" x14ac:dyDescent="0.3">
      <c r="E8257" t="s">
        <v>4706</v>
      </c>
    </row>
    <row r="8258" spans="1:5" hidden="1" outlineLevel="3" x14ac:dyDescent="0.3">
      <c r="D8258" t="s">
        <v>2975</v>
      </c>
    </row>
    <row r="8259" spans="1:5" hidden="1" outlineLevel="3" x14ac:dyDescent="0.3">
      <c r="D8259" t="s">
        <v>2976</v>
      </c>
    </row>
    <row r="8260" spans="1:5" hidden="1" outlineLevel="3" x14ac:dyDescent="0.3">
      <c r="D8260" t="s">
        <v>2979</v>
      </c>
    </row>
    <row r="8261" spans="1:5" hidden="1" outlineLevel="2" x14ac:dyDescent="0.3">
      <c r="C8261" t="s">
        <v>2981</v>
      </c>
    </row>
    <row r="8262" spans="1:5" outlineLevel="1" collapsed="1" x14ac:dyDescent="0.3">
      <c r="B8262" t="s">
        <v>2982</v>
      </c>
    </row>
    <row r="8263" spans="1:5" x14ac:dyDescent="0.3">
      <c r="A8263" t="s">
        <v>2983</v>
      </c>
    </row>
    <row r="8264" spans="1:5" outlineLevel="1" x14ac:dyDescent="0.3">
      <c r="B8264" t="s">
        <v>2984</v>
      </c>
    </row>
    <row r="8265" spans="1:5" hidden="1" outlineLevel="2" x14ac:dyDescent="0.3">
      <c r="C8265" t="s">
        <v>4707</v>
      </c>
    </row>
    <row r="8266" spans="1:5" hidden="1" outlineLevel="2" x14ac:dyDescent="0.3">
      <c r="C8266" t="s">
        <v>4708</v>
      </c>
    </row>
    <row r="8267" spans="1:5" hidden="1" outlineLevel="2" x14ac:dyDescent="0.3">
      <c r="C8267" t="s">
        <v>2988</v>
      </c>
    </row>
    <row r="8268" spans="1:5" hidden="1" outlineLevel="2" x14ac:dyDescent="0.3">
      <c r="C8268" t="s">
        <v>2989</v>
      </c>
    </row>
    <row r="8269" spans="1:5" outlineLevel="1" collapsed="1" x14ac:dyDescent="0.3">
      <c r="B8269" t="s">
        <v>2990</v>
      </c>
    </row>
    <row r="8270" spans="1:5" hidden="1" outlineLevel="2" x14ac:dyDescent="0.3">
      <c r="C8270" t="s">
        <v>4709</v>
      </c>
    </row>
    <row r="8271" spans="1:5" hidden="1" outlineLevel="2" x14ac:dyDescent="0.3">
      <c r="C8271" t="s">
        <v>2993</v>
      </c>
    </row>
    <row r="8272" spans="1:5" x14ac:dyDescent="0.3">
      <c r="A8272" t="s">
        <v>2994</v>
      </c>
    </row>
    <row r="8273" spans="2:3" outlineLevel="1" x14ac:dyDescent="0.3">
      <c r="B8273" t="s">
        <v>2995</v>
      </c>
    </row>
    <row r="8274" spans="2:3" hidden="1" outlineLevel="2" x14ac:dyDescent="0.3">
      <c r="C8274" t="s">
        <v>2996</v>
      </c>
    </row>
    <row r="8275" spans="2:3" hidden="1" outlineLevel="2" x14ac:dyDescent="0.3">
      <c r="C8275" t="s">
        <v>2997</v>
      </c>
    </row>
    <row r="8276" spans="2:3" hidden="1" outlineLevel="2" x14ac:dyDescent="0.3">
      <c r="C8276" t="s">
        <v>2998</v>
      </c>
    </row>
    <row r="8277" spans="2:3" hidden="1" outlineLevel="2" x14ac:dyDescent="0.3">
      <c r="C8277" t="s">
        <v>2999</v>
      </c>
    </row>
    <row r="8278" spans="2:3" hidden="1" outlineLevel="2" x14ac:dyDescent="0.3">
      <c r="C8278" t="s">
        <v>3000</v>
      </c>
    </row>
    <row r="8279" spans="2:3" hidden="1" outlineLevel="2" x14ac:dyDescent="0.3">
      <c r="C8279" t="s">
        <v>3001</v>
      </c>
    </row>
    <row r="8280" spans="2:3" hidden="1" outlineLevel="2" x14ac:dyDescent="0.3">
      <c r="C8280" t="s">
        <v>3007</v>
      </c>
    </row>
    <row r="8281" spans="2:3" hidden="1" outlineLevel="2" x14ac:dyDescent="0.3">
      <c r="C8281" t="s">
        <v>3008</v>
      </c>
    </row>
    <row r="8282" spans="2:3" hidden="1" outlineLevel="2" x14ac:dyDescent="0.3">
      <c r="C8282" t="s">
        <v>3010</v>
      </c>
    </row>
    <row r="8283" spans="2:3" hidden="1" outlineLevel="2" x14ac:dyDescent="0.3">
      <c r="C8283" t="s">
        <v>3012</v>
      </c>
    </row>
    <row r="8284" spans="2:3" hidden="1" outlineLevel="2" x14ac:dyDescent="0.3">
      <c r="C8284" t="s">
        <v>3013</v>
      </c>
    </row>
    <row r="8285" spans="2:3" hidden="1" outlineLevel="2" x14ac:dyDescent="0.3">
      <c r="C8285" t="s">
        <v>3014</v>
      </c>
    </row>
    <row r="8286" spans="2:3" hidden="1" outlineLevel="2" x14ac:dyDescent="0.3">
      <c r="C8286" t="s">
        <v>3015</v>
      </c>
    </row>
    <row r="8287" spans="2:3" hidden="1" outlineLevel="2" x14ac:dyDescent="0.3">
      <c r="C8287" t="s">
        <v>3016</v>
      </c>
    </row>
    <row r="8288" spans="2:3" hidden="1" outlineLevel="2" x14ac:dyDescent="0.3">
      <c r="C8288" t="s">
        <v>3017</v>
      </c>
    </row>
    <row r="8289" spans="2:3" hidden="1" outlineLevel="2" x14ac:dyDescent="0.3">
      <c r="C8289" t="s">
        <v>3018</v>
      </c>
    </row>
    <row r="8290" spans="2:3" hidden="1" outlineLevel="2" x14ac:dyDescent="0.3">
      <c r="C8290" t="s">
        <v>3019</v>
      </c>
    </row>
    <row r="8291" spans="2:3" hidden="1" outlineLevel="2" x14ac:dyDescent="0.3">
      <c r="C8291" t="s">
        <v>3020</v>
      </c>
    </row>
    <row r="8292" spans="2:3" hidden="1" outlineLevel="2" x14ac:dyDescent="0.3">
      <c r="C8292" t="s">
        <v>3024</v>
      </c>
    </row>
    <row r="8293" spans="2:3" hidden="1" outlineLevel="2" x14ac:dyDescent="0.3">
      <c r="C8293" t="s">
        <v>3025</v>
      </c>
    </row>
    <row r="8294" spans="2:3" hidden="1" outlineLevel="2" x14ac:dyDescent="0.3">
      <c r="C8294" t="s">
        <v>3026</v>
      </c>
    </row>
    <row r="8295" spans="2:3" hidden="1" outlineLevel="2" x14ac:dyDescent="0.3">
      <c r="C8295" t="s">
        <v>3030</v>
      </c>
    </row>
    <row r="8296" spans="2:3" hidden="1" outlineLevel="2" x14ac:dyDescent="0.3">
      <c r="C8296" t="s">
        <v>3031</v>
      </c>
    </row>
    <row r="8297" spans="2:3" outlineLevel="1" collapsed="1" x14ac:dyDescent="0.3">
      <c r="B8297" t="s">
        <v>3032</v>
      </c>
    </row>
    <row r="8298" spans="2:3" hidden="1" outlineLevel="2" x14ac:dyDescent="0.3">
      <c r="C8298" t="s">
        <v>3033</v>
      </c>
    </row>
    <row r="8299" spans="2:3" hidden="1" outlineLevel="2" x14ac:dyDescent="0.3">
      <c r="C8299" t="s">
        <v>3034</v>
      </c>
    </row>
    <row r="8300" spans="2:3" hidden="1" outlineLevel="2" x14ac:dyDescent="0.3">
      <c r="C8300" t="s">
        <v>3035</v>
      </c>
    </row>
    <row r="8301" spans="2:3" hidden="1" outlineLevel="2" x14ac:dyDescent="0.3">
      <c r="C8301" t="s">
        <v>3036</v>
      </c>
    </row>
    <row r="8302" spans="2:3" hidden="1" outlineLevel="2" x14ac:dyDescent="0.3">
      <c r="C8302" t="s">
        <v>3037</v>
      </c>
    </row>
    <row r="8303" spans="2:3" hidden="1" outlineLevel="2" x14ac:dyDescent="0.3">
      <c r="C8303" t="s">
        <v>3038</v>
      </c>
    </row>
    <row r="8304" spans="2:3" hidden="1" outlineLevel="2" x14ac:dyDescent="0.3">
      <c r="C8304" t="s">
        <v>3044</v>
      </c>
    </row>
    <row r="8305" spans="2:3" hidden="1" outlineLevel="2" x14ac:dyDescent="0.3">
      <c r="C8305" t="s">
        <v>3045</v>
      </c>
    </row>
    <row r="8306" spans="2:3" hidden="1" outlineLevel="2" x14ac:dyDescent="0.3">
      <c r="C8306" t="s">
        <v>3047</v>
      </c>
    </row>
    <row r="8307" spans="2:3" hidden="1" outlineLevel="2" x14ac:dyDescent="0.3">
      <c r="C8307" t="s">
        <v>3049</v>
      </c>
    </row>
    <row r="8308" spans="2:3" hidden="1" outlineLevel="2" x14ac:dyDescent="0.3">
      <c r="C8308" t="s">
        <v>3050</v>
      </c>
    </row>
    <row r="8309" spans="2:3" hidden="1" outlineLevel="2" x14ac:dyDescent="0.3">
      <c r="C8309" t="s">
        <v>3051</v>
      </c>
    </row>
    <row r="8310" spans="2:3" hidden="1" outlineLevel="2" x14ac:dyDescent="0.3">
      <c r="C8310" t="s">
        <v>3052</v>
      </c>
    </row>
    <row r="8311" spans="2:3" hidden="1" outlineLevel="2" x14ac:dyDescent="0.3">
      <c r="C8311" t="s">
        <v>3053</v>
      </c>
    </row>
    <row r="8312" spans="2:3" hidden="1" outlineLevel="2" x14ac:dyDescent="0.3">
      <c r="C8312" t="s">
        <v>3054</v>
      </c>
    </row>
    <row r="8313" spans="2:3" hidden="1" outlineLevel="2" x14ac:dyDescent="0.3">
      <c r="C8313" t="s">
        <v>3055</v>
      </c>
    </row>
    <row r="8314" spans="2:3" hidden="1" outlineLevel="2" x14ac:dyDescent="0.3">
      <c r="C8314" t="s">
        <v>3056</v>
      </c>
    </row>
    <row r="8315" spans="2:3" hidden="1" outlineLevel="2" x14ac:dyDescent="0.3">
      <c r="C8315" t="s">
        <v>3060</v>
      </c>
    </row>
    <row r="8316" spans="2:3" hidden="1" outlineLevel="2" x14ac:dyDescent="0.3">
      <c r="C8316" t="s">
        <v>3061</v>
      </c>
    </row>
    <row r="8317" spans="2:3" hidden="1" outlineLevel="2" x14ac:dyDescent="0.3">
      <c r="C8317" t="s">
        <v>3062</v>
      </c>
    </row>
    <row r="8318" spans="2:3" hidden="1" outlineLevel="2" x14ac:dyDescent="0.3">
      <c r="C8318" t="s">
        <v>3066</v>
      </c>
    </row>
    <row r="8319" spans="2:3" hidden="1" outlineLevel="2" x14ac:dyDescent="0.3">
      <c r="C8319" t="s">
        <v>3067</v>
      </c>
    </row>
    <row r="8320" spans="2:3" outlineLevel="1" collapsed="1" x14ac:dyDescent="0.3">
      <c r="B8320" t="s">
        <v>3068</v>
      </c>
    </row>
    <row r="8321" spans="1:3" hidden="1" outlineLevel="2" x14ac:dyDescent="0.3">
      <c r="C8321" t="s">
        <v>3069</v>
      </c>
    </row>
    <row r="8322" spans="1:3" hidden="1" outlineLevel="2" x14ac:dyDescent="0.3">
      <c r="C8322" t="s">
        <v>3070</v>
      </c>
    </row>
    <row r="8323" spans="1:3" hidden="1" outlineLevel="2" x14ac:dyDescent="0.3">
      <c r="C8323" t="s">
        <v>3071</v>
      </c>
    </row>
    <row r="8324" spans="1:3" hidden="1" outlineLevel="2" x14ac:dyDescent="0.3">
      <c r="C8324" t="s">
        <v>3072</v>
      </c>
    </row>
    <row r="8325" spans="1:3" hidden="1" outlineLevel="2" x14ac:dyDescent="0.3">
      <c r="C8325" t="s">
        <v>3073</v>
      </c>
    </row>
    <row r="8326" spans="1:3" hidden="1" outlineLevel="2" x14ac:dyDescent="0.3">
      <c r="C8326" t="s">
        <v>3074</v>
      </c>
    </row>
    <row r="8327" spans="1:3" outlineLevel="1" collapsed="1" x14ac:dyDescent="0.3">
      <c r="B8327" t="s">
        <v>3075</v>
      </c>
    </row>
    <row r="8328" spans="1:3" x14ac:dyDescent="0.3">
      <c r="A8328" t="s">
        <v>4710</v>
      </c>
    </row>
    <row r="8329" spans="1:3" outlineLevel="1" x14ac:dyDescent="0.3">
      <c r="B8329" t="s">
        <v>4711</v>
      </c>
    </row>
    <row r="8330" spans="1:3" hidden="1" outlineLevel="2" x14ac:dyDescent="0.3">
      <c r="C8330" t="s">
        <v>4712</v>
      </c>
    </row>
    <row r="8331" spans="1:3" hidden="1" outlineLevel="2" x14ac:dyDescent="0.3">
      <c r="C8331" t="s">
        <v>4713</v>
      </c>
    </row>
    <row r="8332" spans="1:3" hidden="1" outlineLevel="2" x14ac:dyDescent="0.3">
      <c r="C8332" t="s">
        <v>4714</v>
      </c>
    </row>
    <row r="8333" spans="1:3" outlineLevel="1" collapsed="1" x14ac:dyDescent="0.3">
      <c r="B8333" t="s">
        <v>3081</v>
      </c>
    </row>
    <row r="8334" spans="1:3" hidden="1" outlineLevel="2" x14ac:dyDescent="0.3">
      <c r="C8334" t="s">
        <v>4715</v>
      </c>
    </row>
    <row r="8335" spans="1:3" hidden="1" outlineLevel="2" x14ac:dyDescent="0.3">
      <c r="C8335" t="s">
        <v>4716</v>
      </c>
    </row>
    <row r="8336" spans="1:3" hidden="1" outlineLevel="2" x14ac:dyDescent="0.3">
      <c r="C8336" t="s">
        <v>4717</v>
      </c>
    </row>
    <row r="8337" spans="1:3" x14ac:dyDescent="0.3">
      <c r="A8337" t="s">
        <v>3085</v>
      </c>
    </row>
    <row r="8338" spans="1:3" outlineLevel="1" x14ac:dyDescent="0.3">
      <c r="B8338" t="s">
        <v>3086</v>
      </c>
    </row>
    <row r="8339" spans="1:3" hidden="1" outlineLevel="2" x14ac:dyDescent="0.3">
      <c r="C8339" t="s">
        <v>3087</v>
      </c>
    </row>
    <row r="8340" spans="1:3" hidden="1" outlineLevel="2" x14ac:dyDescent="0.3">
      <c r="C8340" t="s">
        <v>3088</v>
      </c>
    </row>
    <row r="8341" spans="1:3" hidden="1" outlineLevel="2" x14ac:dyDescent="0.3">
      <c r="C8341" t="s">
        <v>3089</v>
      </c>
    </row>
    <row r="8342" spans="1:3" outlineLevel="1" collapsed="1" x14ac:dyDescent="0.3">
      <c r="B8342" t="s">
        <v>3090</v>
      </c>
    </row>
    <row r="8343" spans="1:3" hidden="1" outlineLevel="2" x14ac:dyDescent="0.3">
      <c r="C8343" t="s">
        <v>3091</v>
      </c>
    </row>
    <row r="8344" spans="1:3" hidden="1" outlineLevel="2" x14ac:dyDescent="0.3">
      <c r="C8344" t="s">
        <v>3092</v>
      </c>
    </row>
    <row r="8345" spans="1:3" hidden="1" outlineLevel="2" x14ac:dyDescent="0.3">
      <c r="C8345" t="s">
        <v>3093</v>
      </c>
    </row>
    <row r="8346" spans="1:3" x14ac:dyDescent="0.3">
      <c r="A8346" t="s">
        <v>3094</v>
      </c>
    </row>
    <row r="8347" spans="1:3" outlineLevel="1" x14ac:dyDescent="0.3">
      <c r="B8347" t="s">
        <v>4527</v>
      </c>
    </row>
    <row r="8348" spans="1:3" hidden="1" outlineLevel="2" x14ac:dyDescent="0.3">
      <c r="C8348" t="s">
        <v>3096</v>
      </c>
    </row>
    <row r="8349" spans="1:3" hidden="1" outlineLevel="2" x14ac:dyDescent="0.3">
      <c r="C8349" t="s">
        <v>3097</v>
      </c>
    </row>
    <row r="8350" spans="1:3" hidden="1" outlineLevel="2" x14ac:dyDescent="0.3">
      <c r="C8350" t="s">
        <v>3098</v>
      </c>
    </row>
    <row r="8351" spans="1:3" outlineLevel="1" collapsed="1" x14ac:dyDescent="0.3">
      <c r="B8351" t="s">
        <v>3099</v>
      </c>
    </row>
    <row r="8352" spans="1:3" hidden="1" outlineLevel="2" x14ac:dyDescent="0.3">
      <c r="C8352" t="s">
        <v>3100</v>
      </c>
    </row>
    <row r="8353" spans="1:3" hidden="1" outlineLevel="2" x14ac:dyDescent="0.3">
      <c r="C8353" t="s">
        <v>3101</v>
      </c>
    </row>
    <row r="8354" spans="1:3" hidden="1" outlineLevel="2" x14ac:dyDescent="0.3">
      <c r="C8354" t="s">
        <v>3102</v>
      </c>
    </row>
    <row r="8355" spans="1:3" x14ac:dyDescent="0.3">
      <c r="A8355" t="s">
        <v>3109</v>
      </c>
    </row>
    <row r="8356" spans="1:3" outlineLevel="1" x14ac:dyDescent="0.3">
      <c r="B8356" t="s">
        <v>3110</v>
      </c>
    </row>
    <row r="8357" spans="1:3" hidden="1" outlineLevel="2" x14ac:dyDescent="0.3">
      <c r="C8357" t="s">
        <v>3117</v>
      </c>
    </row>
    <row r="8358" spans="1:3" hidden="1" outlineLevel="2" x14ac:dyDescent="0.3">
      <c r="C8358" t="s">
        <v>4718</v>
      </c>
    </row>
    <row r="8359" spans="1:3" hidden="1" outlineLevel="2" x14ac:dyDescent="0.3">
      <c r="C8359" t="s">
        <v>4719</v>
      </c>
    </row>
    <row r="8360" spans="1:3" hidden="1" outlineLevel="2" x14ac:dyDescent="0.3">
      <c r="C8360" t="s">
        <v>3120</v>
      </c>
    </row>
    <row r="8361" spans="1:3" outlineLevel="1" collapsed="1" x14ac:dyDescent="0.3">
      <c r="B8361" t="s">
        <v>3121</v>
      </c>
    </row>
    <row r="8362" spans="1:3" hidden="1" outlineLevel="2" x14ac:dyDescent="0.3">
      <c r="C8362" t="s">
        <v>3130</v>
      </c>
    </row>
    <row r="8363" spans="1:3" hidden="1" outlineLevel="2" x14ac:dyDescent="0.3">
      <c r="C8363" t="s">
        <v>4720</v>
      </c>
    </row>
    <row r="8364" spans="1:3" hidden="1" outlineLevel="2" x14ac:dyDescent="0.3">
      <c r="C8364" t="s">
        <v>4721</v>
      </c>
    </row>
    <row r="8365" spans="1:3" hidden="1" outlineLevel="2" x14ac:dyDescent="0.3">
      <c r="C8365" t="s">
        <v>3133</v>
      </c>
    </row>
    <row r="8366" spans="1:3" x14ac:dyDescent="0.3">
      <c r="A8366" t="s">
        <v>3134</v>
      </c>
    </row>
    <row r="8367" spans="1:3" x14ac:dyDescent="0.3">
      <c r="A8367" t="s">
        <v>3135</v>
      </c>
    </row>
    <row r="8368" spans="1:3" x14ac:dyDescent="0.3">
      <c r="A8368" t="s">
        <v>3136</v>
      </c>
    </row>
    <row r="8369" spans="2:2" outlineLevel="1" x14ac:dyDescent="0.3">
      <c r="B8369" t="s">
        <v>1394</v>
      </c>
    </row>
    <row r="8370" spans="2:2" outlineLevel="1" x14ac:dyDescent="0.3">
      <c r="B8370" t="s">
        <v>1395</v>
      </c>
    </row>
    <row r="8371" spans="2:2" outlineLevel="1" x14ac:dyDescent="0.3">
      <c r="B8371" t="s">
        <v>3137</v>
      </c>
    </row>
    <row r="8372" spans="2:2" outlineLevel="1" x14ac:dyDescent="0.3">
      <c r="B8372" t="s">
        <v>1397</v>
      </c>
    </row>
    <row r="8373" spans="2:2" outlineLevel="1" x14ac:dyDescent="0.3">
      <c r="B8373" t="s">
        <v>1398</v>
      </c>
    </row>
    <row r="8374" spans="2:2" outlineLevel="1" x14ac:dyDescent="0.3">
      <c r="B8374" t="s">
        <v>3138</v>
      </c>
    </row>
    <row r="8375" spans="2:2" outlineLevel="1" x14ac:dyDescent="0.3">
      <c r="B8375" t="s">
        <v>1400</v>
      </c>
    </row>
    <row r="8376" spans="2:2" outlineLevel="1" x14ac:dyDescent="0.3">
      <c r="B8376" t="s">
        <v>1401</v>
      </c>
    </row>
    <row r="8377" spans="2:2" outlineLevel="1" x14ac:dyDescent="0.3">
      <c r="B8377" t="s">
        <v>1402</v>
      </c>
    </row>
    <row r="8378" spans="2:2" outlineLevel="1" x14ac:dyDescent="0.3">
      <c r="B8378" t="s">
        <v>3139</v>
      </c>
    </row>
    <row r="8379" spans="2:2" outlineLevel="1" x14ac:dyDescent="0.3">
      <c r="B8379" t="s">
        <v>1404</v>
      </c>
    </row>
    <row r="8380" spans="2:2" outlineLevel="1" x14ac:dyDescent="0.3">
      <c r="B8380" t="s">
        <v>1405</v>
      </c>
    </row>
    <row r="8381" spans="2:2" outlineLevel="1" x14ac:dyDescent="0.3">
      <c r="B8381" t="s">
        <v>1406</v>
      </c>
    </row>
    <row r="8382" spans="2:2" outlineLevel="1" x14ac:dyDescent="0.3">
      <c r="B8382" t="s">
        <v>3140</v>
      </c>
    </row>
    <row r="8383" spans="2:2" outlineLevel="1" x14ac:dyDescent="0.3">
      <c r="B8383" t="s">
        <v>3141</v>
      </c>
    </row>
    <row r="8384" spans="2:2" outlineLevel="1" x14ac:dyDescent="0.3">
      <c r="B8384" t="s">
        <v>1410</v>
      </c>
    </row>
    <row r="8385" spans="1:2" outlineLevel="1" x14ac:dyDescent="0.3">
      <c r="B8385" t="s">
        <v>3142</v>
      </c>
    </row>
    <row r="8386" spans="1:2" outlineLevel="1" x14ac:dyDescent="0.3">
      <c r="B8386" t="s">
        <v>1412</v>
      </c>
    </row>
    <row r="8387" spans="1:2" outlineLevel="1" x14ac:dyDescent="0.3">
      <c r="B8387" t="s">
        <v>3143</v>
      </c>
    </row>
    <row r="8388" spans="1:2" outlineLevel="1" x14ac:dyDescent="0.3">
      <c r="B8388" t="s">
        <v>1417</v>
      </c>
    </row>
    <row r="8389" spans="1:2" outlineLevel="1" x14ac:dyDescent="0.3">
      <c r="B8389" t="s">
        <v>1420</v>
      </c>
    </row>
    <row r="8390" spans="1:2" outlineLevel="1" x14ac:dyDescent="0.3">
      <c r="B8390" t="s">
        <v>4722</v>
      </c>
    </row>
    <row r="8391" spans="1:2" outlineLevel="1" x14ac:dyDescent="0.3">
      <c r="B8391" t="s">
        <v>1434</v>
      </c>
    </row>
    <row r="8392" spans="1:2" outlineLevel="1" x14ac:dyDescent="0.3">
      <c r="B8392" t="s">
        <v>3144</v>
      </c>
    </row>
    <row r="8393" spans="1:2" outlineLevel="1" x14ac:dyDescent="0.3">
      <c r="B8393" t="s">
        <v>3145</v>
      </c>
    </row>
    <row r="8394" spans="1:2" outlineLevel="1" x14ac:dyDescent="0.3">
      <c r="B8394" t="s">
        <v>3146</v>
      </c>
    </row>
    <row r="8395" spans="1:2" outlineLevel="1" x14ac:dyDescent="0.3">
      <c r="B8395" t="s">
        <v>1444</v>
      </c>
    </row>
    <row r="8396" spans="1:2" outlineLevel="1" x14ac:dyDescent="0.3">
      <c r="B8396" t="s">
        <v>4723</v>
      </c>
    </row>
    <row r="8397" spans="1:2" outlineLevel="1" x14ac:dyDescent="0.3">
      <c r="B8397" t="s">
        <v>3147</v>
      </c>
    </row>
    <row r="8398" spans="1:2" x14ac:dyDescent="0.3">
      <c r="A8398" t="s">
        <v>4724</v>
      </c>
    </row>
    <row r="8399" spans="1:2" x14ac:dyDescent="0.3">
      <c r="A8399" t="s">
        <v>3148</v>
      </c>
    </row>
    <row r="8400" spans="1:2" outlineLevel="1" x14ac:dyDescent="0.3">
      <c r="B8400" t="s">
        <v>3149</v>
      </c>
    </row>
    <row r="8401" spans="2:3" outlineLevel="1" x14ac:dyDescent="0.3">
      <c r="B8401" t="s">
        <v>3150</v>
      </c>
    </row>
    <row r="8402" spans="2:3" outlineLevel="1" x14ac:dyDescent="0.3">
      <c r="B8402" t="s">
        <v>3151</v>
      </c>
    </row>
    <row r="8403" spans="2:3" hidden="1" outlineLevel="2" x14ac:dyDescent="0.3">
      <c r="C8403" t="s">
        <v>3152</v>
      </c>
    </row>
    <row r="8404" spans="2:3" hidden="1" outlineLevel="2" x14ac:dyDescent="0.3">
      <c r="C8404" t="s">
        <v>3153</v>
      </c>
    </row>
    <row r="8405" spans="2:3" hidden="1" outlineLevel="2" x14ac:dyDescent="0.3">
      <c r="C8405" t="s">
        <v>3154</v>
      </c>
    </row>
    <row r="8406" spans="2:3" outlineLevel="1" collapsed="1" x14ac:dyDescent="0.3">
      <c r="B8406" t="s">
        <v>3155</v>
      </c>
    </row>
    <row r="8407" spans="2:3" outlineLevel="1" x14ac:dyDescent="0.3">
      <c r="B8407" t="s">
        <v>3156</v>
      </c>
    </row>
    <row r="8408" spans="2:3" outlineLevel="1" x14ac:dyDescent="0.3">
      <c r="B8408" t="s">
        <v>3157</v>
      </c>
    </row>
    <row r="8409" spans="2:3" outlineLevel="1" x14ac:dyDescent="0.3">
      <c r="B8409" t="s">
        <v>3158</v>
      </c>
    </row>
    <row r="8410" spans="2:3" outlineLevel="1" x14ac:dyDescent="0.3">
      <c r="B8410" t="s">
        <v>3159</v>
      </c>
    </row>
    <row r="8411" spans="2:3" outlineLevel="1" x14ac:dyDescent="0.3">
      <c r="B8411" t="s">
        <v>3160</v>
      </c>
    </row>
    <row r="8412" spans="2:3" hidden="1" outlineLevel="2" x14ac:dyDescent="0.3">
      <c r="C8412" t="s">
        <v>3161</v>
      </c>
    </row>
    <row r="8413" spans="2:3" hidden="1" outlineLevel="2" x14ac:dyDescent="0.3">
      <c r="C8413" t="s">
        <v>3162</v>
      </c>
    </row>
    <row r="8414" spans="2:3" hidden="1" outlineLevel="2" x14ac:dyDescent="0.3">
      <c r="C8414" t="s">
        <v>3163</v>
      </c>
    </row>
    <row r="8415" spans="2:3" outlineLevel="1" collapsed="1" x14ac:dyDescent="0.3">
      <c r="B8415" t="s">
        <v>3164</v>
      </c>
    </row>
    <row r="8416" spans="2:3" hidden="1" outlineLevel="2" x14ac:dyDescent="0.3">
      <c r="C8416" t="s">
        <v>3165</v>
      </c>
    </row>
    <row r="8417" spans="2:3" hidden="1" outlineLevel="2" x14ac:dyDescent="0.3">
      <c r="C8417" t="s">
        <v>3166</v>
      </c>
    </row>
    <row r="8418" spans="2:3" hidden="1" outlineLevel="2" x14ac:dyDescent="0.3">
      <c r="C8418" t="s">
        <v>3167</v>
      </c>
    </row>
    <row r="8419" spans="2:3" outlineLevel="1" collapsed="1" x14ac:dyDescent="0.3">
      <c r="B8419" t="s">
        <v>3168</v>
      </c>
    </row>
    <row r="8420" spans="2:3" hidden="1" outlineLevel="2" x14ac:dyDescent="0.3">
      <c r="C8420" t="s">
        <v>3169</v>
      </c>
    </row>
    <row r="8421" spans="2:3" hidden="1" outlineLevel="2" x14ac:dyDescent="0.3">
      <c r="C8421" t="s">
        <v>3170</v>
      </c>
    </row>
    <row r="8422" spans="2:3" hidden="1" outlineLevel="2" x14ac:dyDescent="0.3">
      <c r="C8422" t="s">
        <v>3171</v>
      </c>
    </row>
    <row r="8423" spans="2:3" hidden="1" outlineLevel="2" x14ac:dyDescent="0.3">
      <c r="C8423" t="s">
        <v>3172</v>
      </c>
    </row>
    <row r="8424" spans="2:3" outlineLevel="1" collapsed="1" x14ac:dyDescent="0.3">
      <c r="B8424" t="s">
        <v>3173</v>
      </c>
    </row>
    <row r="8425" spans="2:3" hidden="1" outlineLevel="2" x14ac:dyDescent="0.3">
      <c r="C8425" t="s">
        <v>3174</v>
      </c>
    </row>
    <row r="8426" spans="2:3" hidden="1" outlineLevel="2" x14ac:dyDescent="0.3">
      <c r="C8426" t="s">
        <v>3175</v>
      </c>
    </row>
    <row r="8427" spans="2:3" outlineLevel="1" collapsed="1" x14ac:dyDescent="0.3">
      <c r="B8427" t="s">
        <v>3176</v>
      </c>
    </row>
    <row r="8428" spans="2:3" outlineLevel="1" x14ac:dyDescent="0.3">
      <c r="B8428" t="s">
        <v>3177</v>
      </c>
    </row>
    <row r="8429" spans="2:3" hidden="1" outlineLevel="2" x14ac:dyDescent="0.3">
      <c r="C8429" t="s">
        <v>3178</v>
      </c>
    </row>
    <row r="8430" spans="2:3" hidden="1" outlineLevel="2" x14ac:dyDescent="0.3">
      <c r="C8430" t="s">
        <v>3179</v>
      </c>
    </row>
    <row r="8431" spans="2:3" hidden="1" outlineLevel="2" x14ac:dyDescent="0.3">
      <c r="C8431" t="s">
        <v>3181</v>
      </c>
    </row>
    <row r="8432" spans="2:3" outlineLevel="1" collapsed="1" x14ac:dyDescent="0.3">
      <c r="B8432" t="s">
        <v>3182</v>
      </c>
    </row>
    <row r="8433" spans="1:3" hidden="1" outlineLevel="2" x14ac:dyDescent="0.3">
      <c r="C8433" t="s">
        <v>3183</v>
      </c>
    </row>
    <row r="8434" spans="1:3" hidden="1" outlineLevel="2" x14ac:dyDescent="0.3">
      <c r="C8434" t="s">
        <v>3184</v>
      </c>
    </row>
    <row r="8435" spans="1:3" outlineLevel="1" collapsed="1" x14ac:dyDescent="0.3">
      <c r="B8435" t="s">
        <v>3185</v>
      </c>
    </row>
    <row r="8436" spans="1:3" outlineLevel="1" x14ac:dyDescent="0.3">
      <c r="B8436" t="s">
        <v>3186</v>
      </c>
    </row>
    <row r="8437" spans="1:3" outlineLevel="1" x14ac:dyDescent="0.3">
      <c r="B8437" t="s">
        <v>3187</v>
      </c>
    </row>
    <row r="8438" spans="1:3" outlineLevel="1" x14ac:dyDescent="0.3">
      <c r="B8438" t="s">
        <v>3188</v>
      </c>
    </row>
    <row r="8439" spans="1:3" outlineLevel="1" x14ac:dyDescent="0.3">
      <c r="B8439" t="s">
        <v>3190</v>
      </c>
    </row>
    <row r="8440" spans="1:3" x14ac:dyDescent="0.3">
      <c r="A8440" t="s">
        <v>3191</v>
      </c>
    </row>
    <row r="8441" spans="1:3" outlineLevel="1" x14ac:dyDescent="0.3">
      <c r="B8441" t="s">
        <v>3192</v>
      </c>
    </row>
    <row r="8442" spans="1:3" outlineLevel="1" x14ac:dyDescent="0.3">
      <c r="B8442" t="s">
        <v>3193</v>
      </c>
    </row>
    <row r="8443" spans="1:3" hidden="1" outlineLevel="2" x14ac:dyDescent="0.3">
      <c r="C8443" t="s">
        <v>3194</v>
      </c>
    </row>
    <row r="8444" spans="1:3" hidden="1" outlineLevel="2" x14ac:dyDescent="0.3">
      <c r="C8444" t="s">
        <v>3195</v>
      </c>
    </row>
    <row r="8445" spans="1:3" hidden="1" outlineLevel="2" x14ac:dyDescent="0.3">
      <c r="C8445" t="s">
        <v>3196</v>
      </c>
    </row>
    <row r="8446" spans="1:3" outlineLevel="1" collapsed="1" x14ac:dyDescent="0.3">
      <c r="B8446" t="s">
        <v>3197</v>
      </c>
    </row>
    <row r="8447" spans="1:3" outlineLevel="1" x14ac:dyDescent="0.3">
      <c r="B8447" t="s">
        <v>3198</v>
      </c>
    </row>
    <row r="8448" spans="1:3" outlineLevel="1" x14ac:dyDescent="0.3">
      <c r="B8448" t="s">
        <v>3199</v>
      </c>
    </row>
    <row r="8449" spans="2:3" outlineLevel="1" x14ac:dyDescent="0.3">
      <c r="B8449" t="s">
        <v>3200</v>
      </c>
    </row>
    <row r="8450" spans="2:3" outlineLevel="1" x14ac:dyDescent="0.3">
      <c r="B8450" t="s">
        <v>3201</v>
      </c>
    </row>
    <row r="8451" spans="2:3" hidden="1" outlineLevel="2" x14ac:dyDescent="0.3">
      <c r="C8451" t="s">
        <v>3202</v>
      </c>
    </row>
    <row r="8452" spans="2:3" hidden="1" outlineLevel="2" x14ac:dyDescent="0.3">
      <c r="C8452" t="s">
        <v>3203</v>
      </c>
    </row>
    <row r="8453" spans="2:3" hidden="1" outlineLevel="2" x14ac:dyDescent="0.3">
      <c r="C8453" t="s">
        <v>3204</v>
      </c>
    </row>
    <row r="8454" spans="2:3" outlineLevel="1" collapsed="1" x14ac:dyDescent="0.3">
      <c r="B8454" t="s">
        <v>3205</v>
      </c>
    </row>
    <row r="8455" spans="2:3" hidden="1" outlineLevel="2" x14ac:dyDescent="0.3">
      <c r="C8455" t="s">
        <v>3206</v>
      </c>
    </row>
    <row r="8456" spans="2:3" hidden="1" outlineLevel="2" x14ac:dyDescent="0.3">
      <c r="C8456" t="s">
        <v>3207</v>
      </c>
    </row>
    <row r="8457" spans="2:3" hidden="1" outlineLevel="2" x14ac:dyDescent="0.3">
      <c r="C8457" t="s">
        <v>3208</v>
      </c>
    </row>
    <row r="8458" spans="2:3" outlineLevel="1" collapsed="1" x14ac:dyDescent="0.3">
      <c r="B8458" t="s">
        <v>3209</v>
      </c>
    </row>
    <row r="8459" spans="2:3" hidden="1" outlineLevel="2" x14ac:dyDescent="0.3">
      <c r="C8459" t="s">
        <v>3210</v>
      </c>
    </row>
    <row r="8460" spans="2:3" hidden="1" outlineLevel="2" x14ac:dyDescent="0.3">
      <c r="C8460" t="s">
        <v>3211</v>
      </c>
    </row>
    <row r="8461" spans="2:3" hidden="1" outlineLevel="2" x14ac:dyDescent="0.3">
      <c r="C8461" t="s">
        <v>3212</v>
      </c>
    </row>
    <row r="8462" spans="2:3" hidden="1" outlineLevel="2" x14ac:dyDescent="0.3">
      <c r="C8462" t="s">
        <v>3213</v>
      </c>
    </row>
    <row r="8463" spans="2:3" outlineLevel="1" collapsed="1" x14ac:dyDescent="0.3">
      <c r="B8463" t="s">
        <v>3214</v>
      </c>
    </row>
    <row r="8464" spans="2:3" hidden="1" outlineLevel="2" x14ac:dyDescent="0.3">
      <c r="C8464" t="s">
        <v>3215</v>
      </c>
    </row>
    <row r="8465" spans="1:3" hidden="1" outlineLevel="2" x14ac:dyDescent="0.3">
      <c r="C8465" t="s">
        <v>3216</v>
      </c>
    </row>
    <row r="8466" spans="1:3" outlineLevel="1" collapsed="1" x14ac:dyDescent="0.3">
      <c r="B8466" t="s">
        <v>3217</v>
      </c>
    </row>
    <row r="8467" spans="1:3" outlineLevel="1" x14ac:dyDescent="0.3">
      <c r="B8467" t="s">
        <v>3218</v>
      </c>
    </row>
    <row r="8468" spans="1:3" hidden="1" outlineLevel="2" x14ac:dyDescent="0.3">
      <c r="C8468" t="s">
        <v>3219</v>
      </c>
    </row>
    <row r="8469" spans="1:3" hidden="1" outlineLevel="2" x14ac:dyDescent="0.3">
      <c r="C8469" t="s">
        <v>3220</v>
      </c>
    </row>
    <row r="8470" spans="1:3" hidden="1" outlineLevel="2" x14ac:dyDescent="0.3">
      <c r="C8470" t="s">
        <v>3222</v>
      </c>
    </row>
    <row r="8471" spans="1:3" outlineLevel="1" collapsed="1" x14ac:dyDescent="0.3">
      <c r="B8471" t="s">
        <v>3223</v>
      </c>
    </row>
    <row r="8472" spans="1:3" hidden="1" outlineLevel="2" x14ac:dyDescent="0.3">
      <c r="C8472" t="s">
        <v>3224</v>
      </c>
    </row>
    <row r="8473" spans="1:3" hidden="1" outlineLevel="2" x14ac:dyDescent="0.3">
      <c r="C8473" t="s">
        <v>3225</v>
      </c>
    </row>
    <row r="8474" spans="1:3" hidden="1" outlineLevel="2" x14ac:dyDescent="0.3">
      <c r="C8474" t="s">
        <v>3226</v>
      </c>
    </row>
    <row r="8475" spans="1:3" outlineLevel="1" collapsed="1" x14ac:dyDescent="0.3">
      <c r="B8475" t="s">
        <v>3227</v>
      </c>
    </row>
    <row r="8476" spans="1:3" outlineLevel="1" x14ac:dyDescent="0.3">
      <c r="B8476" t="s">
        <v>3228</v>
      </c>
    </row>
    <row r="8477" spans="1:3" outlineLevel="1" x14ac:dyDescent="0.3">
      <c r="B8477" t="s">
        <v>3229</v>
      </c>
    </row>
    <row r="8478" spans="1:3" outlineLevel="1" x14ac:dyDescent="0.3">
      <c r="B8478" t="s">
        <v>3231</v>
      </c>
    </row>
    <row r="8479" spans="1:3" x14ac:dyDescent="0.3">
      <c r="A8479" t="s">
        <v>1697</v>
      </c>
    </row>
    <row r="8480" spans="1:3" x14ac:dyDescent="0.3">
      <c r="A8480" t="s">
        <v>1698</v>
      </c>
    </row>
    <row r="8481" spans="1:2" x14ac:dyDescent="0.3">
      <c r="A8481" t="s">
        <v>1699</v>
      </c>
    </row>
    <row r="8482" spans="1:2" x14ac:dyDescent="0.3">
      <c r="A8482" t="s">
        <v>1700</v>
      </c>
    </row>
    <row r="8483" spans="1:2" x14ac:dyDescent="0.3">
      <c r="A8483" t="s">
        <v>1701</v>
      </c>
    </row>
    <row r="8484" spans="1:2" x14ac:dyDescent="0.3">
      <c r="A8484" t="s">
        <v>1702</v>
      </c>
    </row>
    <row r="8485" spans="1:2" x14ac:dyDescent="0.3">
      <c r="A8485" t="s">
        <v>1703</v>
      </c>
    </row>
    <row r="8486" spans="1:2" outlineLevel="1" x14ac:dyDescent="0.3">
      <c r="B8486" t="s">
        <v>1704</v>
      </c>
    </row>
    <row r="8487" spans="1:2" outlineLevel="1" x14ac:dyDescent="0.3">
      <c r="B8487" t="s">
        <v>1705</v>
      </c>
    </row>
    <row r="8488" spans="1:2" outlineLevel="1" x14ac:dyDescent="0.3">
      <c r="B8488" t="s">
        <v>1706</v>
      </c>
    </row>
    <row r="8489" spans="1:2" outlineLevel="1" x14ac:dyDescent="0.3">
      <c r="B8489" t="s">
        <v>1707</v>
      </c>
    </row>
    <row r="8490" spans="1:2" outlineLevel="1" x14ac:dyDescent="0.3">
      <c r="B8490" t="s">
        <v>1708</v>
      </c>
    </row>
    <row r="8491" spans="1:2" outlineLevel="1" x14ac:dyDescent="0.3">
      <c r="B8491" t="s">
        <v>1709</v>
      </c>
    </row>
    <row r="8492" spans="1:2" outlineLevel="1" x14ac:dyDescent="0.3">
      <c r="B8492" t="s">
        <v>1710</v>
      </c>
    </row>
    <row r="8493" spans="1:2" outlineLevel="1" x14ac:dyDescent="0.3">
      <c r="B8493" t="s">
        <v>1711</v>
      </c>
    </row>
    <row r="8494" spans="1:2" outlineLevel="1" x14ac:dyDescent="0.3">
      <c r="B8494" t="s">
        <v>1712</v>
      </c>
    </row>
    <row r="8495" spans="1:2" outlineLevel="1" x14ac:dyDescent="0.3">
      <c r="B8495" t="s">
        <v>1713</v>
      </c>
    </row>
    <row r="8496" spans="1:2" outlineLevel="1" x14ac:dyDescent="0.3">
      <c r="B8496" t="s">
        <v>1714</v>
      </c>
    </row>
    <row r="8497" spans="1:2" outlineLevel="1" x14ac:dyDescent="0.3">
      <c r="B8497" t="s">
        <v>1715</v>
      </c>
    </row>
    <row r="8498" spans="1:2" outlineLevel="1" x14ac:dyDescent="0.3">
      <c r="B8498" t="s">
        <v>1716</v>
      </c>
    </row>
    <row r="8499" spans="1:2" outlineLevel="1" x14ac:dyDescent="0.3">
      <c r="B8499" t="s">
        <v>1717</v>
      </c>
    </row>
    <row r="8500" spans="1:2" outlineLevel="1" x14ac:dyDescent="0.3">
      <c r="B8500" t="s">
        <v>1718</v>
      </c>
    </row>
    <row r="8501" spans="1:2" x14ac:dyDescent="0.3">
      <c r="A8501" t="s">
        <v>1719</v>
      </c>
    </row>
    <row r="8502" spans="1:2" x14ac:dyDescent="0.3">
      <c r="A8502" t="s">
        <v>1720</v>
      </c>
    </row>
    <row r="8503" spans="1:2" outlineLevel="1" x14ac:dyDescent="0.3">
      <c r="B8503" t="s">
        <v>3232</v>
      </c>
    </row>
    <row r="8504" spans="1:2" outlineLevel="1" x14ac:dyDescent="0.3">
      <c r="B8504" t="s">
        <v>1722</v>
      </c>
    </row>
    <row r="8505" spans="1:2" x14ac:dyDescent="0.3">
      <c r="A8505" t="s">
        <v>1723</v>
      </c>
    </row>
    <row r="8506" spans="1:2" outlineLevel="1" x14ac:dyDescent="0.3">
      <c r="B8506" t="s">
        <v>3233</v>
      </c>
    </row>
    <row r="8507" spans="1:2" outlineLevel="1" x14ac:dyDescent="0.3">
      <c r="B8507" t="s">
        <v>1725</v>
      </c>
    </row>
    <row r="8508" spans="1:2" x14ac:dyDescent="0.3">
      <c r="A8508" t="s">
        <v>1726</v>
      </c>
    </row>
    <row r="8509" spans="1:2" x14ac:dyDescent="0.3">
      <c r="A8509" t="s">
        <v>1727</v>
      </c>
    </row>
    <row r="8510" spans="1:2" x14ac:dyDescent="0.3">
      <c r="A8510" t="s">
        <v>1728</v>
      </c>
    </row>
    <row r="8511" spans="1:2" x14ac:dyDescent="0.3">
      <c r="A8511" t="s">
        <v>1729</v>
      </c>
    </row>
    <row r="8512" spans="1:2" x14ac:dyDescent="0.3">
      <c r="A8512" t="s">
        <v>1730</v>
      </c>
    </row>
    <row r="8513" spans="1:2" x14ac:dyDescent="0.3">
      <c r="A8513" t="s">
        <v>1731</v>
      </c>
    </row>
    <row r="8514" spans="1:2" x14ac:dyDescent="0.3">
      <c r="A8514" t="s">
        <v>1732</v>
      </c>
    </row>
    <row r="8515" spans="1:2" x14ac:dyDescent="0.3">
      <c r="A8515" t="s">
        <v>1733</v>
      </c>
    </row>
    <row r="8516" spans="1:2" x14ac:dyDescent="0.3">
      <c r="A8516" t="s">
        <v>1734</v>
      </c>
    </row>
    <row r="8517" spans="1:2" x14ac:dyDescent="0.3">
      <c r="A8517" t="s">
        <v>1735</v>
      </c>
    </row>
    <row r="8518" spans="1:2" x14ac:dyDescent="0.3">
      <c r="A8518" t="s">
        <v>1736</v>
      </c>
    </row>
    <row r="8519" spans="1:2" outlineLevel="1" x14ac:dyDescent="0.3">
      <c r="B8519" t="s">
        <v>1737</v>
      </c>
    </row>
    <row r="8520" spans="1:2" outlineLevel="1" x14ac:dyDescent="0.3">
      <c r="B8520" t="s">
        <v>1738</v>
      </c>
    </row>
    <row r="8521" spans="1:2" outlineLevel="1" x14ac:dyDescent="0.3">
      <c r="B8521" t="s">
        <v>1739</v>
      </c>
    </row>
    <row r="8522" spans="1:2" outlineLevel="1" x14ac:dyDescent="0.3">
      <c r="B8522" t="s">
        <v>1740</v>
      </c>
    </row>
    <row r="8523" spans="1:2" outlineLevel="1" x14ac:dyDescent="0.3">
      <c r="B8523" t="s">
        <v>1741</v>
      </c>
    </row>
    <row r="8524" spans="1:2" outlineLevel="1" x14ac:dyDescent="0.3">
      <c r="B8524" t="s">
        <v>1742</v>
      </c>
    </row>
    <row r="8525" spans="1:2" outlineLevel="1" x14ac:dyDescent="0.3">
      <c r="B8525" t="s">
        <v>1743</v>
      </c>
    </row>
    <row r="8526" spans="1:2" outlineLevel="1" x14ac:dyDescent="0.3">
      <c r="B8526" t="s">
        <v>1744</v>
      </c>
    </row>
    <row r="8527" spans="1:2" outlineLevel="1" x14ac:dyDescent="0.3">
      <c r="B8527" t="s">
        <v>1745</v>
      </c>
    </row>
    <row r="8528" spans="1:2" outlineLevel="1" x14ac:dyDescent="0.3">
      <c r="B8528" t="s">
        <v>1746</v>
      </c>
    </row>
    <row r="8529" spans="1:2" outlineLevel="1" x14ac:dyDescent="0.3">
      <c r="B8529" t="s">
        <v>1747</v>
      </c>
    </row>
    <row r="8530" spans="1:2" outlineLevel="1" x14ac:dyDescent="0.3">
      <c r="B8530" t="s">
        <v>1748</v>
      </c>
    </row>
    <row r="8531" spans="1:2" outlineLevel="1" x14ac:dyDescent="0.3">
      <c r="B8531" t="s">
        <v>1749</v>
      </c>
    </row>
    <row r="8532" spans="1:2" outlineLevel="1" x14ac:dyDescent="0.3">
      <c r="B8532" t="s">
        <v>1750</v>
      </c>
    </row>
    <row r="8538" spans="1:2" x14ac:dyDescent="0.3">
      <c r="A8538" t="s">
        <v>1751</v>
      </c>
    </row>
    <row r="8539" spans="1:2" outlineLevel="1" x14ac:dyDescent="0.3">
      <c r="B8539" t="s">
        <v>1752</v>
      </c>
    </row>
    <row r="8540" spans="1:2" outlineLevel="1" x14ac:dyDescent="0.3">
      <c r="B8540" t="s">
        <v>1753</v>
      </c>
    </row>
    <row r="8541" spans="1:2" outlineLevel="1" x14ac:dyDescent="0.3">
      <c r="B8541" t="s">
        <v>1754</v>
      </c>
    </row>
    <row r="8542" spans="1:2" outlineLevel="1" x14ac:dyDescent="0.3">
      <c r="B8542" t="s">
        <v>1755</v>
      </c>
    </row>
    <row r="8543" spans="1:2" outlineLevel="1" x14ac:dyDescent="0.3">
      <c r="B8543" t="s">
        <v>1756</v>
      </c>
    </row>
    <row r="8544" spans="1:2" outlineLevel="1" x14ac:dyDescent="0.3">
      <c r="B8544" t="s">
        <v>1757</v>
      </c>
    </row>
    <row r="8545" spans="1:2" outlineLevel="1" x14ac:dyDescent="0.3">
      <c r="B8545" t="s">
        <v>1758</v>
      </c>
    </row>
    <row r="8546" spans="1:2" outlineLevel="1" x14ac:dyDescent="0.3">
      <c r="B8546" t="s">
        <v>1759</v>
      </c>
    </row>
    <row r="8547" spans="1:2" outlineLevel="1" x14ac:dyDescent="0.3">
      <c r="B8547" t="s">
        <v>1760</v>
      </c>
    </row>
    <row r="8548" spans="1:2" outlineLevel="1" x14ac:dyDescent="0.3">
      <c r="B8548" t="s">
        <v>1761</v>
      </c>
    </row>
    <row r="8549" spans="1:2" outlineLevel="1" x14ac:dyDescent="0.3">
      <c r="B8549" t="s">
        <v>1762</v>
      </c>
    </row>
    <row r="8550" spans="1:2" outlineLevel="1" x14ac:dyDescent="0.3">
      <c r="B8550" t="s">
        <v>1763</v>
      </c>
    </row>
    <row r="8551" spans="1:2" x14ac:dyDescent="0.3">
      <c r="A8551" t="s">
        <v>1764</v>
      </c>
    </row>
    <row r="8552" spans="1:2" outlineLevel="1" x14ac:dyDescent="0.3">
      <c r="B8552" t="s">
        <v>1765</v>
      </c>
    </row>
    <row r="8553" spans="1:2" outlineLevel="1" x14ac:dyDescent="0.3">
      <c r="B8553" t="s">
        <v>1766</v>
      </c>
    </row>
    <row r="8554" spans="1:2" outlineLevel="1" x14ac:dyDescent="0.3">
      <c r="B8554" t="s">
        <v>1767</v>
      </c>
    </row>
    <row r="8555" spans="1:2" x14ac:dyDescent="0.3">
      <c r="A8555" t="s">
        <v>1768</v>
      </c>
    </row>
    <row r="8556" spans="1:2" outlineLevel="1" x14ac:dyDescent="0.3">
      <c r="B8556" t="s">
        <v>1769</v>
      </c>
    </row>
    <row r="8557" spans="1:2" outlineLevel="1" x14ac:dyDescent="0.3">
      <c r="B8557" t="s">
        <v>1770</v>
      </c>
    </row>
    <row r="8558" spans="1:2" outlineLevel="1" x14ac:dyDescent="0.3">
      <c r="B8558" t="s">
        <v>1771</v>
      </c>
    </row>
    <row r="8559" spans="1:2" outlineLevel="1" x14ac:dyDescent="0.3">
      <c r="B8559" t="s">
        <v>1772</v>
      </c>
    </row>
    <row r="8560" spans="1:2" outlineLevel="1" x14ac:dyDescent="0.3">
      <c r="B8560" t="s">
        <v>1773</v>
      </c>
    </row>
    <row r="8561" spans="1:2" outlineLevel="1" x14ac:dyDescent="0.3">
      <c r="B8561" t="s">
        <v>1774</v>
      </c>
    </row>
    <row r="8562" spans="1:2" outlineLevel="1" x14ac:dyDescent="0.3">
      <c r="B8562" t="s">
        <v>1775</v>
      </c>
    </row>
    <row r="8563" spans="1:2" outlineLevel="1" x14ac:dyDescent="0.3">
      <c r="B8563" t="s">
        <v>1776</v>
      </c>
    </row>
    <row r="8564" spans="1:2" outlineLevel="1" x14ac:dyDescent="0.3">
      <c r="B8564" t="s">
        <v>1777</v>
      </c>
    </row>
    <row r="8565" spans="1:2" outlineLevel="1" x14ac:dyDescent="0.3">
      <c r="B8565" t="s">
        <v>1778</v>
      </c>
    </row>
    <row r="8566" spans="1:2" outlineLevel="1" x14ac:dyDescent="0.3">
      <c r="B8566" t="s">
        <v>1779</v>
      </c>
    </row>
    <row r="8567" spans="1:2" outlineLevel="1" x14ac:dyDescent="0.3">
      <c r="B8567" t="s">
        <v>1780</v>
      </c>
    </row>
    <row r="8568" spans="1:2" outlineLevel="1" x14ac:dyDescent="0.3">
      <c r="B8568" t="s">
        <v>1781</v>
      </c>
    </row>
    <row r="8569" spans="1:2" outlineLevel="1" x14ac:dyDescent="0.3">
      <c r="B8569" t="s">
        <v>1782</v>
      </c>
    </row>
    <row r="8570" spans="1:2" outlineLevel="1" x14ac:dyDescent="0.3">
      <c r="B8570" t="s">
        <v>1783</v>
      </c>
    </row>
    <row r="8571" spans="1:2" outlineLevel="1" x14ac:dyDescent="0.3">
      <c r="B8571" t="s">
        <v>1784</v>
      </c>
    </row>
    <row r="8572" spans="1:2" outlineLevel="1" x14ac:dyDescent="0.3">
      <c r="B8572" t="s">
        <v>1785</v>
      </c>
    </row>
    <row r="8573" spans="1:2" outlineLevel="1" x14ac:dyDescent="0.3">
      <c r="B8573" t="s">
        <v>1786</v>
      </c>
    </row>
    <row r="8574" spans="1:2" outlineLevel="1" x14ac:dyDescent="0.3">
      <c r="B8574" t="s">
        <v>1787</v>
      </c>
    </row>
    <row r="8575" spans="1:2" outlineLevel="1" x14ac:dyDescent="0.3">
      <c r="B8575" t="s">
        <v>1788</v>
      </c>
    </row>
    <row r="8576" spans="1:2" x14ac:dyDescent="0.3">
      <c r="A8576" t="s">
        <v>1789</v>
      </c>
    </row>
    <row r="8577" spans="2:2" outlineLevel="1" x14ac:dyDescent="0.3">
      <c r="B8577" t="s">
        <v>1790</v>
      </c>
    </row>
    <row r="8578" spans="2:2" outlineLevel="1" x14ac:dyDescent="0.3">
      <c r="B8578" t="s">
        <v>1791</v>
      </c>
    </row>
    <row r="8579" spans="2:2" outlineLevel="1" x14ac:dyDescent="0.3">
      <c r="B8579" t="s">
        <v>1792</v>
      </c>
    </row>
    <row r="8580" spans="2:2" outlineLevel="1" x14ac:dyDescent="0.3">
      <c r="B8580" t="s">
        <v>1793</v>
      </c>
    </row>
    <row r="8581" spans="2:2" outlineLevel="1" x14ac:dyDescent="0.3">
      <c r="B8581" t="s">
        <v>1794</v>
      </c>
    </row>
    <row r="8582" spans="2:2" outlineLevel="1" x14ac:dyDescent="0.3">
      <c r="B8582" t="s">
        <v>1795</v>
      </c>
    </row>
    <row r="8583" spans="2:2" outlineLevel="1" x14ac:dyDescent="0.3">
      <c r="B8583" t="s">
        <v>1796</v>
      </c>
    </row>
    <row r="8584" spans="2:2" outlineLevel="1" x14ac:dyDescent="0.3">
      <c r="B8584" t="s">
        <v>1797</v>
      </c>
    </row>
    <row r="8585" spans="2:2" outlineLevel="1" x14ac:dyDescent="0.3">
      <c r="B8585" t="s">
        <v>1798</v>
      </c>
    </row>
    <row r="8586" spans="2:2" outlineLevel="1" x14ac:dyDescent="0.3">
      <c r="B8586" t="s">
        <v>1799</v>
      </c>
    </row>
    <row r="8587" spans="2:2" outlineLevel="1" x14ac:dyDescent="0.3">
      <c r="B8587" t="s">
        <v>1800</v>
      </c>
    </row>
    <row r="8588" spans="2:2" outlineLevel="1" x14ac:dyDescent="0.3">
      <c r="B8588" t="s">
        <v>1801</v>
      </c>
    </row>
    <row r="8589" spans="2:2" outlineLevel="1" x14ac:dyDescent="0.3">
      <c r="B8589" t="s">
        <v>1802</v>
      </c>
    </row>
    <row r="8590" spans="2:2" outlineLevel="1" x14ac:dyDescent="0.3">
      <c r="B8590" t="s">
        <v>1803</v>
      </c>
    </row>
    <row r="8591" spans="2:2" outlineLevel="1" x14ac:dyDescent="0.3">
      <c r="B8591" t="s">
        <v>1804</v>
      </c>
    </row>
    <row r="8592" spans="2:2" outlineLevel="1" x14ac:dyDescent="0.3">
      <c r="B8592" t="s">
        <v>1805</v>
      </c>
    </row>
    <row r="8593" spans="1:2" outlineLevel="1" x14ac:dyDescent="0.3">
      <c r="B8593" t="s">
        <v>1806</v>
      </c>
    </row>
    <row r="8594" spans="1:2" outlineLevel="1" x14ac:dyDescent="0.3">
      <c r="B8594" t="s">
        <v>1807</v>
      </c>
    </row>
    <row r="8595" spans="1:2" x14ac:dyDescent="0.3">
      <c r="A8595" t="s">
        <v>1808</v>
      </c>
    </row>
    <row r="8596" spans="1:2" outlineLevel="1" x14ac:dyDescent="0.3">
      <c r="B8596" t="s">
        <v>1809</v>
      </c>
    </row>
    <row r="8597" spans="1:2" outlineLevel="1" x14ac:dyDescent="0.3">
      <c r="B8597" t="s">
        <v>1810</v>
      </c>
    </row>
    <row r="8598" spans="1:2" outlineLevel="1" x14ac:dyDescent="0.3">
      <c r="B8598" t="s">
        <v>1811</v>
      </c>
    </row>
    <row r="8599" spans="1:2" outlineLevel="1" x14ac:dyDescent="0.3">
      <c r="B8599" t="s">
        <v>1812</v>
      </c>
    </row>
    <row r="8600" spans="1:2" outlineLevel="1" x14ac:dyDescent="0.3">
      <c r="B8600" t="s">
        <v>1813</v>
      </c>
    </row>
    <row r="8601" spans="1:2" outlineLevel="1" x14ac:dyDescent="0.3">
      <c r="B8601" t="s">
        <v>1814</v>
      </c>
    </row>
    <row r="8602" spans="1:2" outlineLevel="1" x14ac:dyDescent="0.3">
      <c r="B8602" t="s">
        <v>1815</v>
      </c>
    </row>
    <row r="8603" spans="1:2" outlineLevel="1" x14ac:dyDescent="0.3">
      <c r="B8603" t="s">
        <v>1816</v>
      </c>
    </row>
    <row r="8604" spans="1:2" outlineLevel="1" x14ac:dyDescent="0.3">
      <c r="B8604" t="s">
        <v>1817</v>
      </c>
    </row>
    <row r="8605" spans="1:2" outlineLevel="1" x14ac:dyDescent="0.3">
      <c r="B8605" t="s">
        <v>1818</v>
      </c>
    </row>
    <row r="8606" spans="1:2" outlineLevel="1" x14ac:dyDescent="0.3">
      <c r="B8606" t="s">
        <v>1819</v>
      </c>
    </row>
    <row r="8607" spans="1:2" outlineLevel="1" x14ac:dyDescent="0.3">
      <c r="B8607" t="s">
        <v>1820</v>
      </c>
    </row>
    <row r="8608" spans="1:2" outlineLevel="1" x14ac:dyDescent="0.3">
      <c r="B8608" t="s">
        <v>1821</v>
      </c>
    </row>
    <row r="8609" spans="1:4" outlineLevel="1" x14ac:dyDescent="0.3">
      <c r="B8609" t="s">
        <v>1822</v>
      </c>
    </row>
    <row r="8610" spans="1:4" outlineLevel="1" x14ac:dyDescent="0.3">
      <c r="B8610" t="s">
        <v>1823</v>
      </c>
    </row>
    <row r="8611" spans="1:4" outlineLevel="1" x14ac:dyDescent="0.3">
      <c r="B8611" t="s">
        <v>1824</v>
      </c>
    </row>
    <row r="8612" spans="1:4" outlineLevel="1" x14ac:dyDescent="0.3">
      <c r="B8612" t="s">
        <v>1825</v>
      </c>
    </row>
    <row r="8613" spans="1:4" outlineLevel="1" x14ac:dyDescent="0.3">
      <c r="B8613" t="s">
        <v>1826</v>
      </c>
    </row>
    <row r="8614" spans="1:4" outlineLevel="1" x14ac:dyDescent="0.3">
      <c r="B8614" t="s">
        <v>1827</v>
      </c>
    </row>
    <row r="8615" spans="1:4" outlineLevel="1" x14ac:dyDescent="0.3">
      <c r="B8615" t="s">
        <v>1828</v>
      </c>
    </row>
    <row r="8616" spans="1:4" x14ac:dyDescent="0.3">
      <c r="A8616" t="s">
        <v>1829</v>
      </c>
    </row>
    <row r="8617" spans="1:4" outlineLevel="1" x14ac:dyDescent="0.3">
      <c r="B8617" t="s">
        <v>1830</v>
      </c>
    </row>
    <row r="8618" spans="1:4" hidden="1" outlineLevel="2" x14ac:dyDescent="0.3">
      <c r="C8618" t="s">
        <v>1831</v>
      </c>
    </row>
    <row r="8619" spans="1:4" hidden="1" outlineLevel="3" x14ac:dyDescent="0.3">
      <c r="D8619" t="s">
        <v>1832</v>
      </c>
    </row>
    <row r="8620" spans="1:4" hidden="1" outlineLevel="3" x14ac:dyDescent="0.3">
      <c r="D8620" t="s">
        <v>1833</v>
      </c>
    </row>
    <row r="8621" spans="1:4" hidden="1" outlineLevel="3" x14ac:dyDescent="0.3">
      <c r="D8621" t="s">
        <v>1834</v>
      </c>
    </row>
    <row r="8622" spans="1:4" hidden="1" outlineLevel="3" x14ac:dyDescent="0.3">
      <c r="D8622" t="s">
        <v>1835</v>
      </c>
    </row>
    <row r="8623" spans="1:4" hidden="1" outlineLevel="2" x14ac:dyDescent="0.3">
      <c r="C8623" t="s">
        <v>1836</v>
      </c>
    </row>
    <row r="8624" spans="1:4" hidden="1" outlineLevel="2" x14ac:dyDescent="0.3">
      <c r="C8624" t="s">
        <v>1837</v>
      </c>
    </row>
    <row r="8625" spans="1:3" hidden="1" outlineLevel="2" x14ac:dyDescent="0.3">
      <c r="C8625" t="s">
        <v>1838</v>
      </c>
    </row>
    <row r="8626" spans="1:3" hidden="1" outlineLevel="2" x14ac:dyDescent="0.3">
      <c r="C8626" t="s">
        <v>1839</v>
      </c>
    </row>
    <row r="8627" spans="1:3" hidden="1" outlineLevel="2" x14ac:dyDescent="0.3">
      <c r="C8627" t="s">
        <v>1840</v>
      </c>
    </row>
    <row r="8628" spans="1:3" hidden="1" outlineLevel="2" x14ac:dyDescent="0.3">
      <c r="C8628" t="s">
        <v>1841</v>
      </c>
    </row>
    <row r="8629" spans="1:3" outlineLevel="1" collapsed="1" x14ac:dyDescent="0.3">
      <c r="B8629" t="s">
        <v>1842</v>
      </c>
    </row>
    <row r="8630" spans="1:3" outlineLevel="1" x14ac:dyDescent="0.3">
      <c r="B8630" t="s">
        <v>1843</v>
      </c>
    </row>
    <row r="8631" spans="1:3" outlineLevel="1" x14ac:dyDescent="0.3">
      <c r="B8631" t="s">
        <v>1844</v>
      </c>
    </row>
    <row r="8632" spans="1:3" outlineLevel="1" x14ac:dyDescent="0.3">
      <c r="B8632" t="s">
        <v>1845</v>
      </c>
    </row>
    <row r="8633" spans="1:3" outlineLevel="1" x14ac:dyDescent="0.3">
      <c r="B8633" t="s">
        <v>1846</v>
      </c>
    </row>
    <row r="8634" spans="1:3" outlineLevel="1" x14ac:dyDescent="0.3">
      <c r="B8634" t="s">
        <v>1847</v>
      </c>
    </row>
    <row r="8635" spans="1:3" outlineLevel="1" x14ac:dyDescent="0.3">
      <c r="B8635" t="s">
        <v>1848</v>
      </c>
    </row>
    <row r="8636" spans="1:3" outlineLevel="1" x14ac:dyDescent="0.3">
      <c r="B8636" t="s">
        <v>1849</v>
      </c>
    </row>
    <row r="8637" spans="1:3" outlineLevel="1" x14ac:dyDescent="0.3">
      <c r="B8637" t="s">
        <v>1850</v>
      </c>
    </row>
    <row r="8638" spans="1:3" outlineLevel="1" x14ac:dyDescent="0.3">
      <c r="B8638" t="s">
        <v>1851</v>
      </c>
    </row>
    <row r="8639" spans="1:3" outlineLevel="1" x14ac:dyDescent="0.3">
      <c r="B8639" t="s">
        <v>1852</v>
      </c>
    </row>
    <row r="8640" spans="1:3" x14ac:dyDescent="0.3">
      <c r="A8640" t="s">
        <v>1853</v>
      </c>
    </row>
    <row r="8641" spans="2:4" outlineLevel="1" x14ac:dyDescent="0.3">
      <c r="B8641" t="s">
        <v>1854</v>
      </c>
    </row>
    <row r="8642" spans="2:4" hidden="1" outlineLevel="2" x14ac:dyDescent="0.3">
      <c r="C8642" t="s">
        <v>1855</v>
      </c>
    </row>
    <row r="8643" spans="2:4" hidden="1" outlineLevel="3" x14ac:dyDescent="0.3">
      <c r="D8643" t="s">
        <v>1856</v>
      </c>
    </row>
    <row r="8644" spans="2:4" hidden="1" outlineLevel="3" x14ac:dyDescent="0.3">
      <c r="D8644" t="s">
        <v>1857</v>
      </c>
    </row>
    <row r="8645" spans="2:4" hidden="1" outlineLevel="3" x14ac:dyDescent="0.3">
      <c r="D8645" t="s">
        <v>1858</v>
      </c>
    </row>
    <row r="8646" spans="2:4" hidden="1" outlineLevel="2" x14ac:dyDescent="0.3">
      <c r="C8646" t="s">
        <v>1859</v>
      </c>
    </row>
    <row r="8647" spans="2:4" outlineLevel="1" collapsed="1" x14ac:dyDescent="0.3">
      <c r="B8647" t="s">
        <v>1860</v>
      </c>
    </row>
    <row r="8648" spans="2:4" outlineLevel="1" x14ac:dyDescent="0.3">
      <c r="B8648" t="s">
        <v>1861</v>
      </c>
    </row>
    <row r="8649" spans="2:4" outlineLevel="1" x14ac:dyDescent="0.3">
      <c r="B8649" t="s">
        <v>1862</v>
      </c>
    </row>
    <row r="8650" spans="2:4" outlineLevel="1" x14ac:dyDescent="0.3">
      <c r="B8650" t="s">
        <v>1863</v>
      </c>
    </row>
    <row r="8651" spans="2:4" outlineLevel="1" x14ac:dyDescent="0.3">
      <c r="B8651" t="s">
        <v>1864</v>
      </c>
    </row>
    <row r="8652" spans="2:4" outlineLevel="1" x14ac:dyDescent="0.3">
      <c r="B8652" t="s">
        <v>1865</v>
      </c>
    </row>
    <row r="8653" spans="2:4" outlineLevel="1" x14ac:dyDescent="0.3">
      <c r="B8653" t="s">
        <v>1866</v>
      </c>
    </row>
    <row r="8654" spans="2:4" outlineLevel="1" x14ac:dyDescent="0.3">
      <c r="B8654" t="s">
        <v>1867</v>
      </c>
    </row>
    <row r="8655" spans="2:4" outlineLevel="1" x14ac:dyDescent="0.3">
      <c r="B8655" t="s">
        <v>1868</v>
      </c>
    </row>
    <row r="8656" spans="2:4" outlineLevel="1" x14ac:dyDescent="0.3">
      <c r="B8656" t="s">
        <v>1869</v>
      </c>
    </row>
    <row r="8657" spans="1:3" outlineLevel="1" x14ac:dyDescent="0.3">
      <c r="B8657" t="s">
        <v>1870</v>
      </c>
    </row>
    <row r="8658" spans="1:3" outlineLevel="1" x14ac:dyDescent="0.3">
      <c r="B8658" t="s">
        <v>1871</v>
      </c>
    </row>
    <row r="8659" spans="1:3" outlineLevel="1" x14ac:dyDescent="0.3">
      <c r="B8659" t="s">
        <v>1872</v>
      </c>
    </row>
    <row r="8660" spans="1:3" outlineLevel="1" x14ac:dyDescent="0.3">
      <c r="B8660" t="s">
        <v>1873</v>
      </c>
    </row>
    <row r="8661" spans="1:3" outlineLevel="1" x14ac:dyDescent="0.3">
      <c r="B8661" t="s">
        <v>1874</v>
      </c>
    </row>
    <row r="8662" spans="1:3" x14ac:dyDescent="0.3">
      <c r="A8662" t="s">
        <v>1875</v>
      </c>
    </row>
    <row r="8668" spans="1:3" x14ac:dyDescent="0.3">
      <c r="A8668" t="s">
        <v>1876</v>
      </c>
    </row>
    <row r="8669" spans="1:3" outlineLevel="1" x14ac:dyDescent="0.3">
      <c r="B8669" t="s">
        <v>1877</v>
      </c>
    </row>
    <row r="8670" spans="1:3" hidden="1" outlineLevel="2" x14ac:dyDescent="0.3">
      <c r="C8670" t="s">
        <v>3234</v>
      </c>
    </row>
    <row r="8671" spans="1:3" hidden="1" outlineLevel="2" x14ac:dyDescent="0.3">
      <c r="C8671" t="s">
        <v>3235</v>
      </c>
    </row>
    <row r="8672" spans="1:3" outlineLevel="1" collapsed="1" x14ac:dyDescent="0.3">
      <c r="B8672" t="s">
        <v>1882</v>
      </c>
    </row>
    <row r="8673" spans="2:3" hidden="1" outlineLevel="2" x14ac:dyDescent="0.3">
      <c r="C8673" t="s">
        <v>3236</v>
      </c>
    </row>
    <row r="8674" spans="2:3" hidden="1" outlineLevel="2" x14ac:dyDescent="0.3">
      <c r="C8674" t="s">
        <v>3237</v>
      </c>
    </row>
    <row r="8675" spans="2:3" hidden="1" outlineLevel="2" x14ac:dyDescent="0.3">
      <c r="C8675" t="s">
        <v>3238</v>
      </c>
    </row>
    <row r="8676" spans="2:3" hidden="1" outlineLevel="2" x14ac:dyDescent="0.3">
      <c r="C8676" t="s">
        <v>3239</v>
      </c>
    </row>
    <row r="8677" spans="2:3" outlineLevel="1" collapsed="1" x14ac:dyDescent="0.3">
      <c r="B8677" t="s">
        <v>1888</v>
      </c>
    </row>
    <row r="8678" spans="2:3" outlineLevel="1" x14ac:dyDescent="0.3">
      <c r="B8678" t="s">
        <v>1889</v>
      </c>
    </row>
    <row r="8679" spans="2:3" outlineLevel="1" x14ac:dyDescent="0.3">
      <c r="B8679" t="s">
        <v>1890</v>
      </c>
    </row>
    <row r="8680" spans="2:3" hidden="1" outlineLevel="2" x14ac:dyDescent="0.3">
      <c r="C8680" t="s">
        <v>3240</v>
      </c>
    </row>
    <row r="8681" spans="2:3" hidden="1" outlineLevel="2" x14ac:dyDescent="0.3">
      <c r="C8681" t="s">
        <v>3241</v>
      </c>
    </row>
    <row r="8682" spans="2:3" hidden="1" outlineLevel="2" x14ac:dyDescent="0.3">
      <c r="C8682" t="s">
        <v>3242</v>
      </c>
    </row>
    <row r="8683" spans="2:3" hidden="1" outlineLevel="2" x14ac:dyDescent="0.3">
      <c r="C8683" t="s">
        <v>3243</v>
      </c>
    </row>
    <row r="8684" spans="2:3" hidden="1" outlineLevel="2" x14ac:dyDescent="0.3">
      <c r="C8684" t="s">
        <v>3244</v>
      </c>
    </row>
    <row r="8685" spans="2:3" hidden="1" outlineLevel="2" x14ac:dyDescent="0.3">
      <c r="C8685" t="s">
        <v>3245</v>
      </c>
    </row>
    <row r="8686" spans="2:3" hidden="1" outlineLevel="2" x14ac:dyDescent="0.3">
      <c r="C8686" t="s">
        <v>3246</v>
      </c>
    </row>
    <row r="8687" spans="2:3" hidden="1" outlineLevel="2" x14ac:dyDescent="0.3">
      <c r="C8687" t="s">
        <v>3250</v>
      </c>
    </row>
    <row r="8688" spans="2:3" hidden="1" outlineLevel="2" x14ac:dyDescent="0.3">
      <c r="C8688" t="s">
        <v>3261</v>
      </c>
    </row>
    <row r="8689" spans="3:4" hidden="1" outlineLevel="2" x14ac:dyDescent="0.3">
      <c r="C8689" t="s">
        <v>3262</v>
      </c>
    </row>
    <row r="8690" spans="3:4" hidden="1" outlineLevel="2" x14ac:dyDescent="0.3">
      <c r="C8690" t="s">
        <v>3263</v>
      </c>
    </row>
    <row r="8691" spans="3:4" hidden="1" outlineLevel="2" x14ac:dyDescent="0.3">
      <c r="C8691" t="s">
        <v>3264</v>
      </c>
    </row>
    <row r="8692" spans="3:4" hidden="1" outlineLevel="2" x14ac:dyDescent="0.3">
      <c r="C8692" t="s">
        <v>3265</v>
      </c>
    </row>
    <row r="8693" spans="3:4" hidden="1" outlineLevel="2" x14ac:dyDescent="0.3">
      <c r="C8693" t="s">
        <v>3266</v>
      </c>
    </row>
    <row r="8694" spans="3:4" hidden="1" outlineLevel="2" x14ac:dyDescent="0.3">
      <c r="C8694" t="s">
        <v>3267</v>
      </c>
    </row>
    <row r="8695" spans="3:4" hidden="1" outlineLevel="3" x14ac:dyDescent="0.3">
      <c r="D8695" t="s">
        <v>3268</v>
      </c>
    </row>
    <row r="8696" spans="3:4" hidden="1" outlineLevel="3" x14ac:dyDescent="0.3">
      <c r="D8696" t="s">
        <v>3269</v>
      </c>
    </row>
    <row r="8697" spans="3:4" hidden="1" outlineLevel="3" x14ac:dyDescent="0.3">
      <c r="D8697" t="s">
        <v>3270</v>
      </c>
    </row>
    <row r="8698" spans="3:4" hidden="1" outlineLevel="3" x14ac:dyDescent="0.3">
      <c r="D8698" t="s">
        <v>3271</v>
      </c>
    </row>
    <row r="8699" spans="3:4" hidden="1" outlineLevel="2" x14ac:dyDescent="0.3">
      <c r="C8699" t="s">
        <v>3272</v>
      </c>
    </row>
    <row r="8700" spans="3:4" hidden="1" outlineLevel="3" x14ac:dyDescent="0.3">
      <c r="D8700" t="s">
        <v>3273</v>
      </c>
    </row>
    <row r="8701" spans="3:4" hidden="1" outlineLevel="3" x14ac:dyDescent="0.3">
      <c r="D8701" t="s">
        <v>3274</v>
      </c>
    </row>
    <row r="8702" spans="3:4" hidden="1" outlineLevel="3" x14ac:dyDescent="0.3">
      <c r="D8702" t="s">
        <v>3275</v>
      </c>
    </row>
    <row r="8703" spans="3:4" hidden="1" outlineLevel="2" x14ac:dyDescent="0.3">
      <c r="C8703" t="s">
        <v>3276</v>
      </c>
    </row>
    <row r="8704" spans="3:4" hidden="1" outlineLevel="3" x14ac:dyDescent="0.3">
      <c r="D8704" t="s">
        <v>3277</v>
      </c>
    </row>
    <row r="8705" spans="3:4" hidden="1" outlineLevel="3" x14ac:dyDescent="0.3">
      <c r="D8705" t="s">
        <v>3278</v>
      </c>
    </row>
    <row r="8706" spans="3:4" hidden="1" outlineLevel="3" x14ac:dyDescent="0.3">
      <c r="D8706" t="s">
        <v>4097</v>
      </c>
    </row>
    <row r="8707" spans="3:4" hidden="1" outlineLevel="3" x14ac:dyDescent="0.3">
      <c r="D8707" t="s">
        <v>3280</v>
      </c>
    </row>
    <row r="8708" spans="3:4" hidden="1" outlineLevel="2" x14ac:dyDescent="0.3">
      <c r="C8708" t="s">
        <v>3281</v>
      </c>
    </row>
    <row r="8709" spans="3:4" hidden="1" outlineLevel="3" x14ac:dyDescent="0.3">
      <c r="D8709" t="s">
        <v>3282</v>
      </c>
    </row>
    <row r="8710" spans="3:4" hidden="1" outlineLevel="3" x14ac:dyDescent="0.3">
      <c r="D8710" t="s">
        <v>3283</v>
      </c>
    </row>
    <row r="8711" spans="3:4" hidden="1" outlineLevel="3" x14ac:dyDescent="0.3">
      <c r="D8711" t="s">
        <v>3284</v>
      </c>
    </row>
    <row r="8712" spans="3:4" hidden="1" outlineLevel="3" x14ac:dyDescent="0.3">
      <c r="D8712" t="s">
        <v>3286</v>
      </c>
    </row>
    <row r="8713" spans="3:4" hidden="1" outlineLevel="2" x14ac:dyDescent="0.3">
      <c r="C8713" t="s">
        <v>3287</v>
      </c>
    </row>
    <row r="8714" spans="3:4" hidden="1" outlineLevel="3" x14ac:dyDescent="0.3">
      <c r="D8714" t="s">
        <v>3288</v>
      </c>
    </row>
    <row r="8715" spans="3:4" hidden="1" outlineLevel="3" x14ac:dyDescent="0.3">
      <c r="D8715" t="s">
        <v>3289</v>
      </c>
    </row>
    <row r="8716" spans="3:4" hidden="1" outlineLevel="3" x14ac:dyDescent="0.3">
      <c r="D8716" t="s">
        <v>3290</v>
      </c>
    </row>
    <row r="8717" spans="3:4" hidden="1" outlineLevel="3" x14ac:dyDescent="0.3">
      <c r="D8717" t="s">
        <v>3291</v>
      </c>
    </row>
    <row r="8718" spans="3:4" hidden="1" outlineLevel="2" x14ac:dyDescent="0.3">
      <c r="C8718" t="s">
        <v>3292</v>
      </c>
    </row>
    <row r="8719" spans="3:4" hidden="1" outlineLevel="2" x14ac:dyDescent="0.3">
      <c r="C8719" t="s">
        <v>3293</v>
      </c>
    </row>
    <row r="8720" spans="3:4" hidden="1" outlineLevel="2" x14ac:dyDescent="0.3">
      <c r="C8720" t="s">
        <v>3294</v>
      </c>
    </row>
    <row r="8721" spans="3:4" hidden="1" outlineLevel="2" x14ac:dyDescent="0.3">
      <c r="C8721" t="s">
        <v>3295</v>
      </c>
    </row>
    <row r="8722" spans="3:4" hidden="1" outlineLevel="2" x14ac:dyDescent="0.3">
      <c r="C8722" t="s">
        <v>3296</v>
      </c>
    </row>
    <row r="8723" spans="3:4" hidden="1" outlineLevel="2" x14ac:dyDescent="0.3">
      <c r="C8723" t="s">
        <v>3297</v>
      </c>
    </row>
    <row r="8724" spans="3:4" hidden="1" outlineLevel="2" x14ac:dyDescent="0.3">
      <c r="C8724" t="s">
        <v>3298</v>
      </c>
    </row>
    <row r="8725" spans="3:4" hidden="1" outlineLevel="2" x14ac:dyDescent="0.3">
      <c r="C8725" t="s">
        <v>3299</v>
      </c>
    </row>
    <row r="8726" spans="3:4" hidden="1" outlineLevel="2" x14ac:dyDescent="0.3">
      <c r="C8726" t="s">
        <v>3300</v>
      </c>
    </row>
    <row r="8727" spans="3:4" hidden="1" outlineLevel="2" x14ac:dyDescent="0.3">
      <c r="C8727" t="s">
        <v>3301</v>
      </c>
    </row>
    <row r="8728" spans="3:4" hidden="1" outlineLevel="2" x14ac:dyDescent="0.3">
      <c r="C8728" t="s">
        <v>3302</v>
      </c>
    </row>
    <row r="8729" spans="3:4" hidden="1" outlineLevel="2" x14ac:dyDescent="0.3">
      <c r="C8729" t="s">
        <v>3303</v>
      </c>
    </row>
    <row r="8730" spans="3:4" hidden="1" outlineLevel="2" x14ac:dyDescent="0.3">
      <c r="C8730" t="s">
        <v>3306</v>
      </c>
    </row>
    <row r="8731" spans="3:4" hidden="1" outlineLevel="2" x14ac:dyDescent="0.3">
      <c r="C8731" t="s">
        <v>3307</v>
      </c>
    </row>
    <row r="8732" spans="3:4" hidden="1" outlineLevel="2" x14ac:dyDescent="0.3">
      <c r="C8732" t="s">
        <v>3308</v>
      </c>
    </row>
    <row r="8733" spans="3:4" hidden="1" outlineLevel="2" x14ac:dyDescent="0.3">
      <c r="C8733" t="s">
        <v>4725</v>
      </c>
    </row>
    <row r="8734" spans="3:4" hidden="1" outlineLevel="3" x14ac:dyDescent="0.3">
      <c r="D8734" t="s">
        <v>4726</v>
      </c>
    </row>
    <row r="8735" spans="3:4" hidden="1" outlineLevel="3" x14ac:dyDescent="0.3">
      <c r="D8735" t="s">
        <v>4727</v>
      </c>
    </row>
    <row r="8736" spans="3:4" hidden="1" outlineLevel="3" x14ac:dyDescent="0.3">
      <c r="D8736" t="s">
        <v>4728</v>
      </c>
    </row>
    <row r="8737" spans="2:4" hidden="1" outlineLevel="2" x14ac:dyDescent="0.3">
      <c r="C8737" t="s">
        <v>3309</v>
      </c>
    </row>
    <row r="8738" spans="2:4" hidden="1" outlineLevel="2" x14ac:dyDescent="0.3">
      <c r="C8738" t="s">
        <v>3310</v>
      </c>
    </row>
    <row r="8739" spans="2:4" hidden="1" outlineLevel="2" x14ac:dyDescent="0.3">
      <c r="C8739" t="s">
        <v>3312</v>
      </c>
    </row>
    <row r="8740" spans="2:4" outlineLevel="1" collapsed="1" x14ac:dyDescent="0.3">
      <c r="B8740" t="s">
        <v>1981</v>
      </c>
    </row>
    <row r="8741" spans="2:4" hidden="1" outlineLevel="2" x14ac:dyDescent="0.3">
      <c r="C8741" t="s">
        <v>3313</v>
      </c>
    </row>
    <row r="8742" spans="2:4" hidden="1" outlineLevel="2" x14ac:dyDescent="0.3">
      <c r="C8742" t="s">
        <v>3314</v>
      </c>
    </row>
    <row r="8743" spans="2:4" hidden="1" outlineLevel="2" x14ac:dyDescent="0.3">
      <c r="C8743" t="s">
        <v>3315</v>
      </c>
    </row>
    <row r="8744" spans="2:4" hidden="1" outlineLevel="2" x14ac:dyDescent="0.3">
      <c r="C8744" t="s">
        <v>3316</v>
      </c>
    </row>
    <row r="8745" spans="2:4" hidden="1" outlineLevel="2" x14ac:dyDescent="0.3">
      <c r="C8745" t="s">
        <v>3317</v>
      </c>
    </row>
    <row r="8746" spans="2:4" hidden="1" outlineLevel="2" x14ac:dyDescent="0.3">
      <c r="C8746" t="s">
        <v>3318</v>
      </c>
    </row>
    <row r="8747" spans="2:4" hidden="1" outlineLevel="2" x14ac:dyDescent="0.3">
      <c r="C8747" t="s">
        <v>3319</v>
      </c>
    </row>
    <row r="8748" spans="2:4" hidden="1" outlineLevel="2" x14ac:dyDescent="0.3">
      <c r="C8748" t="s">
        <v>3323</v>
      </c>
    </row>
    <row r="8749" spans="2:4" hidden="1" outlineLevel="2" x14ac:dyDescent="0.3">
      <c r="C8749" t="s">
        <v>3324</v>
      </c>
    </row>
    <row r="8750" spans="2:4" hidden="1" outlineLevel="2" x14ac:dyDescent="0.3">
      <c r="C8750" t="s">
        <v>4729</v>
      </c>
    </row>
    <row r="8751" spans="2:4" hidden="1" outlineLevel="3" x14ac:dyDescent="0.3">
      <c r="D8751" t="s">
        <v>4730</v>
      </c>
    </row>
    <row r="8752" spans="2:4" hidden="1" outlineLevel="3" x14ac:dyDescent="0.3">
      <c r="D8752" t="s">
        <v>4731</v>
      </c>
    </row>
    <row r="8753" spans="3:4" hidden="1" outlineLevel="3" x14ac:dyDescent="0.3">
      <c r="D8753" t="s">
        <v>4732</v>
      </c>
    </row>
    <row r="8754" spans="3:4" hidden="1" outlineLevel="2" x14ac:dyDescent="0.3">
      <c r="C8754" t="s">
        <v>3335</v>
      </c>
    </row>
    <row r="8755" spans="3:4" hidden="1" outlineLevel="2" x14ac:dyDescent="0.3">
      <c r="C8755" t="s">
        <v>3336</v>
      </c>
    </row>
    <row r="8756" spans="3:4" hidden="1" outlineLevel="2" x14ac:dyDescent="0.3">
      <c r="C8756" t="s">
        <v>3337</v>
      </c>
    </row>
    <row r="8757" spans="3:4" hidden="1" outlineLevel="2" x14ac:dyDescent="0.3">
      <c r="C8757" t="s">
        <v>3338</v>
      </c>
    </row>
    <row r="8758" spans="3:4" hidden="1" outlineLevel="2" x14ac:dyDescent="0.3">
      <c r="C8758" t="s">
        <v>3339</v>
      </c>
    </row>
    <row r="8759" spans="3:4" hidden="1" outlineLevel="2" x14ac:dyDescent="0.3">
      <c r="C8759" t="s">
        <v>3340</v>
      </c>
    </row>
    <row r="8760" spans="3:4" hidden="1" outlineLevel="2" x14ac:dyDescent="0.3">
      <c r="C8760" t="s">
        <v>3341</v>
      </c>
    </row>
    <row r="8761" spans="3:4" hidden="1" outlineLevel="3" x14ac:dyDescent="0.3">
      <c r="D8761" t="s">
        <v>3342</v>
      </c>
    </row>
    <row r="8762" spans="3:4" hidden="1" outlineLevel="3" x14ac:dyDescent="0.3">
      <c r="D8762" t="s">
        <v>3343</v>
      </c>
    </row>
    <row r="8763" spans="3:4" hidden="1" outlineLevel="3" x14ac:dyDescent="0.3">
      <c r="D8763" t="s">
        <v>3344</v>
      </c>
    </row>
    <row r="8764" spans="3:4" hidden="1" outlineLevel="3" x14ac:dyDescent="0.3">
      <c r="D8764" t="s">
        <v>3345</v>
      </c>
    </row>
    <row r="8765" spans="3:4" hidden="1" outlineLevel="2" x14ac:dyDescent="0.3">
      <c r="C8765" t="s">
        <v>3346</v>
      </c>
    </row>
    <row r="8766" spans="3:4" hidden="1" outlineLevel="3" x14ac:dyDescent="0.3">
      <c r="D8766" t="s">
        <v>3347</v>
      </c>
    </row>
    <row r="8767" spans="3:4" hidden="1" outlineLevel="3" x14ac:dyDescent="0.3">
      <c r="D8767" t="s">
        <v>3348</v>
      </c>
    </row>
    <row r="8768" spans="3:4" hidden="1" outlineLevel="3" x14ac:dyDescent="0.3">
      <c r="D8768" t="s">
        <v>3349</v>
      </c>
    </row>
    <row r="8769" spans="3:4" hidden="1" outlineLevel="2" x14ac:dyDescent="0.3">
      <c r="C8769" t="s">
        <v>3350</v>
      </c>
    </row>
    <row r="8770" spans="3:4" hidden="1" outlineLevel="3" x14ac:dyDescent="0.3">
      <c r="D8770" t="s">
        <v>3351</v>
      </c>
    </row>
    <row r="8771" spans="3:4" hidden="1" outlineLevel="3" x14ac:dyDescent="0.3">
      <c r="D8771" t="s">
        <v>3352</v>
      </c>
    </row>
    <row r="8772" spans="3:4" hidden="1" outlineLevel="3" x14ac:dyDescent="0.3">
      <c r="D8772" t="s">
        <v>3353</v>
      </c>
    </row>
    <row r="8773" spans="3:4" hidden="1" outlineLevel="3" x14ac:dyDescent="0.3">
      <c r="D8773" t="s">
        <v>3354</v>
      </c>
    </row>
    <row r="8774" spans="3:4" hidden="1" outlineLevel="2" x14ac:dyDescent="0.3">
      <c r="C8774" t="s">
        <v>3355</v>
      </c>
    </row>
    <row r="8775" spans="3:4" hidden="1" outlineLevel="3" x14ac:dyDescent="0.3">
      <c r="D8775" t="s">
        <v>3356</v>
      </c>
    </row>
    <row r="8776" spans="3:4" hidden="1" outlineLevel="3" x14ac:dyDescent="0.3">
      <c r="D8776" t="s">
        <v>3357</v>
      </c>
    </row>
    <row r="8777" spans="3:4" hidden="1" outlineLevel="3" x14ac:dyDescent="0.3">
      <c r="D8777" t="s">
        <v>3358</v>
      </c>
    </row>
    <row r="8778" spans="3:4" hidden="1" outlineLevel="3" x14ac:dyDescent="0.3">
      <c r="D8778" t="s">
        <v>3360</v>
      </c>
    </row>
    <row r="8779" spans="3:4" hidden="1" outlineLevel="2" x14ac:dyDescent="0.3">
      <c r="C8779" t="s">
        <v>3361</v>
      </c>
    </row>
    <row r="8780" spans="3:4" hidden="1" outlineLevel="3" x14ac:dyDescent="0.3">
      <c r="D8780" t="s">
        <v>3362</v>
      </c>
    </row>
    <row r="8781" spans="3:4" hidden="1" outlineLevel="3" x14ac:dyDescent="0.3">
      <c r="D8781" t="s">
        <v>3363</v>
      </c>
    </row>
    <row r="8782" spans="3:4" hidden="1" outlineLevel="3" x14ac:dyDescent="0.3">
      <c r="D8782" t="s">
        <v>3364</v>
      </c>
    </row>
    <row r="8783" spans="3:4" hidden="1" outlineLevel="3" x14ac:dyDescent="0.3">
      <c r="D8783" t="s">
        <v>3365</v>
      </c>
    </row>
    <row r="8784" spans="3:4" hidden="1" outlineLevel="2" x14ac:dyDescent="0.3">
      <c r="C8784" t="s">
        <v>3366</v>
      </c>
    </row>
    <row r="8785" spans="2:4" hidden="1" outlineLevel="2" x14ac:dyDescent="0.3">
      <c r="C8785" t="s">
        <v>3367</v>
      </c>
    </row>
    <row r="8786" spans="2:4" hidden="1" outlineLevel="2" x14ac:dyDescent="0.3">
      <c r="C8786" t="s">
        <v>3368</v>
      </c>
    </row>
    <row r="8787" spans="2:4" hidden="1" outlineLevel="2" x14ac:dyDescent="0.3">
      <c r="C8787" t="s">
        <v>3369</v>
      </c>
    </row>
    <row r="8788" spans="2:4" hidden="1" outlineLevel="2" x14ac:dyDescent="0.3">
      <c r="C8788" t="s">
        <v>3370</v>
      </c>
    </row>
    <row r="8789" spans="2:4" hidden="1" outlineLevel="2" x14ac:dyDescent="0.3">
      <c r="C8789" t="s">
        <v>3371</v>
      </c>
    </row>
    <row r="8790" spans="2:4" hidden="1" outlineLevel="2" x14ac:dyDescent="0.3">
      <c r="C8790" t="s">
        <v>3372</v>
      </c>
    </row>
    <row r="8791" spans="2:4" hidden="1" outlineLevel="2" x14ac:dyDescent="0.3">
      <c r="C8791" t="s">
        <v>3375</v>
      </c>
    </row>
    <row r="8792" spans="2:4" hidden="1" outlineLevel="2" x14ac:dyDescent="0.3">
      <c r="C8792" t="s">
        <v>3376</v>
      </c>
    </row>
    <row r="8793" spans="2:4" hidden="1" outlineLevel="2" x14ac:dyDescent="0.3">
      <c r="C8793" t="s">
        <v>3377</v>
      </c>
    </row>
    <row r="8794" spans="2:4" hidden="1" outlineLevel="2" x14ac:dyDescent="0.3">
      <c r="C8794" t="s">
        <v>3378</v>
      </c>
    </row>
    <row r="8795" spans="2:4" hidden="1" outlineLevel="2" x14ac:dyDescent="0.3">
      <c r="C8795" t="s">
        <v>3379</v>
      </c>
    </row>
    <row r="8796" spans="2:4" hidden="1" outlineLevel="2" x14ac:dyDescent="0.3">
      <c r="C8796" t="s">
        <v>3381</v>
      </c>
    </row>
    <row r="8797" spans="2:4" outlineLevel="1" collapsed="1" x14ac:dyDescent="0.3">
      <c r="B8797" t="s">
        <v>2058</v>
      </c>
    </row>
    <row r="8798" spans="2:4" hidden="1" outlineLevel="2" x14ac:dyDescent="0.3">
      <c r="C8798" t="s">
        <v>2059</v>
      </c>
    </row>
    <row r="8799" spans="2:4" hidden="1" outlineLevel="3" x14ac:dyDescent="0.3">
      <c r="D8799" t="s">
        <v>3382</v>
      </c>
    </row>
    <row r="8800" spans="2:4" hidden="1" outlineLevel="3" x14ac:dyDescent="0.3">
      <c r="D8800" t="s">
        <v>3383</v>
      </c>
    </row>
    <row r="8801" spans="4:5" hidden="1" outlineLevel="3" x14ac:dyDescent="0.3">
      <c r="D8801" t="s">
        <v>3384</v>
      </c>
    </row>
    <row r="8802" spans="4:5" hidden="1" outlineLevel="3" x14ac:dyDescent="0.3">
      <c r="D8802" t="s">
        <v>3385</v>
      </c>
    </row>
    <row r="8803" spans="4:5" hidden="1" outlineLevel="3" x14ac:dyDescent="0.3">
      <c r="D8803" t="s">
        <v>3386</v>
      </c>
    </row>
    <row r="8804" spans="4:5" hidden="1" outlineLevel="3" x14ac:dyDescent="0.3">
      <c r="D8804" t="s">
        <v>3387</v>
      </c>
    </row>
    <row r="8805" spans="4:5" hidden="1" outlineLevel="3" x14ac:dyDescent="0.3">
      <c r="D8805" t="s">
        <v>3390</v>
      </c>
    </row>
    <row r="8806" spans="4:5" hidden="1" outlineLevel="3" x14ac:dyDescent="0.3">
      <c r="D8806" t="s">
        <v>3391</v>
      </c>
    </row>
    <row r="8807" spans="4:5" hidden="1" outlineLevel="3" x14ac:dyDescent="0.3">
      <c r="D8807" t="s">
        <v>3393</v>
      </c>
    </row>
    <row r="8808" spans="4:5" hidden="1" outlineLevel="3" x14ac:dyDescent="0.3">
      <c r="D8808" t="s">
        <v>3395</v>
      </c>
    </row>
    <row r="8809" spans="4:5" hidden="1" outlineLevel="3" x14ac:dyDescent="0.3">
      <c r="D8809" t="s">
        <v>3396</v>
      </c>
    </row>
    <row r="8810" spans="4:5" hidden="1" outlineLevel="4" x14ac:dyDescent="0.3">
      <c r="E8810" t="s">
        <v>3397</v>
      </c>
    </row>
    <row r="8811" spans="4:5" hidden="1" outlineLevel="4" x14ac:dyDescent="0.3">
      <c r="E8811" t="s">
        <v>3400</v>
      </c>
    </row>
    <row r="8812" spans="4:5" hidden="1" outlineLevel="4" x14ac:dyDescent="0.3">
      <c r="E8812" t="s">
        <v>3402</v>
      </c>
    </row>
    <row r="8813" spans="4:5" hidden="1" outlineLevel="4" x14ac:dyDescent="0.3">
      <c r="E8813" t="s">
        <v>4733</v>
      </c>
    </row>
    <row r="8814" spans="4:5" hidden="1" outlineLevel="4" x14ac:dyDescent="0.3">
      <c r="E8814" t="s">
        <v>4734</v>
      </c>
    </row>
    <row r="8815" spans="4:5" hidden="1" outlineLevel="4" x14ac:dyDescent="0.3">
      <c r="E8815" t="s">
        <v>3406</v>
      </c>
    </row>
    <row r="8816" spans="4:5" hidden="1" outlineLevel="3" x14ac:dyDescent="0.3">
      <c r="D8816" t="s">
        <v>3407</v>
      </c>
    </row>
    <row r="8817" spans="3:4" hidden="1" outlineLevel="3" x14ac:dyDescent="0.3">
      <c r="D8817" t="s">
        <v>3410</v>
      </c>
    </row>
    <row r="8818" spans="3:4" hidden="1" outlineLevel="3" x14ac:dyDescent="0.3">
      <c r="D8818" t="s">
        <v>3411</v>
      </c>
    </row>
    <row r="8819" spans="3:4" hidden="1" outlineLevel="3" x14ac:dyDescent="0.3">
      <c r="D8819" t="s">
        <v>3412</v>
      </c>
    </row>
    <row r="8820" spans="3:4" hidden="1" outlineLevel="3" x14ac:dyDescent="0.3">
      <c r="D8820" t="s">
        <v>3413</v>
      </c>
    </row>
    <row r="8821" spans="3:4" hidden="1" outlineLevel="3" x14ac:dyDescent="0.3">
      <c r="D8821" t="s">
        <v>3414</v>
      </c>
    </row>
    <row r="8822" spans="3:4" hidden="1" outlineLevel="3" x14ac:dyDescent="0.3">
      <c r="D8822" t="s">
        <v>3415</v>
      </c>
    </row>
    <row r="8823" spans="3:4" hidden="1" outlineLevel="3" x14ac:dyDescent="0.3">
      <c r="D8823" t="s">
        <v>3416</v>
      </c>
    </row>
    <row r="8824" spans="3:4" hidden="1" outlineLevel="3" x14ac:dyDescent="0.3">
      <c r="D8824" t="s">
        <v>3417</v>
      </c>
    </row>
    <row r="8825" spans="3:4" hidden="1" outlineLevel="3" x14ac:dyDescent="0.3">
      <c r="D8825" t="s">
        <v>3418</v>
      </c>
    </row>
    <row r="8826" spans="3:4" hidden="1" outlineLevel="3" x14ac:dyDescent="0.3">
      <c r="D8826" t="s">
        <v>3419</v>
      </c>
    </row>
    <row r="8827" spans="3:4" hidden="1" outlineLevel="3" x14ac:dyDescent="0.3">
      <c r="D8827" t="s">
        <v>3420</v>
      </c>
    </row>
    <row r="8828" spans="3:4" hidden="1" outlineLevel="3" x14ac:dyDescent="0.3">
      <c r="D8828" t="s">
        <v>3421</v>
      </c>
    </row>
    <row r="8829" spans="3:4" hidden="1" outlineLevel="3" x14ac:dyDescent="0.3">
      <c r="D8829" t="s">
        <v>3422</v>
      </c>
    </row>
    <row r="8830" spans="3:4" hidden="1" outlineLevel="2" x14ac:dyDescent="0.3">
      <c r="C8830" t="s">
        <v>2085</v>
      </c>
    </row>
    <row r="8831" spans="3:4" hidden="1" outlineLevel="3" x14ac:dyDescent="0.3">
      <c r="D8831" t="s">
        <v>3423</v>
      </c>
    </row>
    <row r="8832" spans="3:4" hidden="1" outlineLevel="3" x14ac:dyDescent="0.3">
      <c r="D8832" t="s">
        <v>3424</v>
      </c>
    </row>
    <row r="8833" spans="4:5" hidden="1" outlineLevel="3" x14ac:dyDescent="0.3">
      <c r="D8833" t="s">
        <v>3425</v>
      </c>
    </row>
    <row r="8834" spans="4:5" hidden="1" outlineLevel="3" x14ac:dyDescent="0.3">
      <c r="D8834" t="s">
        <v>4735</v>
      </c>
    </row>
    <row r="8835" spans="4:5" hidden="1" outlineLevel="3" x14ac:dyDescent="0.3">
      <c r="D8835" t="s">
        <v>4577</v>
      </c>
    </row>
    <row r="8836" spans="4:5" hidden="1" outlineLevel="4" x14ac:dyDescent="0.3">
      <c r="E8836" t="s">
        <v>3428</v>
      </c>
    </row>
    <row r="8837" spans="4:5" hidden="1" outlineLevel="4" x14ac:dyDescent="0.3">
      <c r="E8837" t="s">
        <v>4736</v>
      </c>
    </row>
    <row r="8838" spans="4:5" hidden="1" outlineLevel="4" x14ac:dyDescent="0.3">
      <c r="E8838" t="s">
        <v>4737</v>
      </c>
    </row>
    <row r="8839" spans="4:5" hidden="1" outlineLevel="4" x14ac:dyDescent="0.3">
      <c r="E8839" t="s">
        <v>4583</v>
      </c>
    </row>
    <row r="8840" spans="4:5" hidden="1" outlineLevel="3" x14ac:dyDescent="0.3">
      <c r="D8840" t="s">
        <v>4738</v>
      </c>
    </row>
    <row r="8841" spans="4:5" hidden="1" outlineLevel="3" x14ac:dyDescent="0.3">
      <c r="D8841" t="s">
        <v>3431</v>
      </c>
    </row>
    <row r="8842" spans="4:5" hidden="1" outlineLevel="3" x14ac:dyDescent="0.3">
      <c r="D8842" t="s">
        <v>3433</v>
      </c>
    </row>
    <row r="8843" spans="4:5" hidden="1" outlineLevel="3" x14ac:dyDescent="0.3">
      <c r="D8843" t="s">
        <v>3434</v>
      </c>
    </row>
    <row r="8844" spans="4:5" hidden="1" outlineLevel="3" x14ac:dyDescent="0.3">
      <c r="D8844" t="s">
        <v>3435</v>
      </c>
    </row>
    <row r="8845" spans="4:5" hidden="1" outlineLevel="3" x14ac:dyDescent="0.3">
      <c r="D8845" t="s">
        <v>3437</v>
      </c>
    </row>
    <row r="8846" spans="4:5" hidden="1" outlineLevel="3" x14ac:dyDescent="0.3">
      <c r="D8846" t="s">
        <v>3438</v>
      </c>
    </row>
    <row r="8847" spans="4:5" hidden="1" outlineLevel="3" x14ac:dyDescent="0.3">
      <c r="D8847" t="s">
        <v>3439</v>
      </c>
    </row>
    <row r="8848" spans="4:5" hidden="1" outlineLevel="3" x14ac:dyDescent="0.3">
      <c r="D8848" t="s">
        <v>3440</v>
      </c>
    </row>
    <row r="8849" spans="2:4" hidden="1" outlineLevel="3" x14ac:dyDescent="0.3">
      <c r="D8849" t="s">
        <v>3441</v>
      </c>
    </row>
    <row r="8850" spans="2:4" hidden="1" outlineLevel="3" x14ac:dyDescent="0.3">
      <c r="D8850" t="s">
        <v>3444</v>
      </c>
    </row>
    <row r="8851" spans="2:4" hidden="1" outlineLevel="3" x14ac:dyDescent="0.3">
      <c r="D8851" t="s">
        <v>3445</v>
      </c>
    </row>
    <row r="8852" spans="2:4" hidden="1" outlineLevel="3" x14ac:dyDescent="0.3">
      <c r="D8852" t="s">
        <v>3446</v>
      </c>
    </row>
    <row r="8853" spans="2:4" hidden="1" outlineLevel="3" x14ac:dyDescent="0.3">
      <c r="D8853" t="s">
        <v>3447</v>
      </c>
    </row>
    <row r="8854" spans="2:4" hidden="1" outlineLevel="3" x14ac:dyDescent="0.3">
      <c r="D8854" t="s">
        <v>3448</v>
      </c>
    </row>
    <row r="8855" spans="2:4" hidden="1" outlineLevel="3" x14ac:dyDescent="0.3">
      <c r="D8855" t="s">
        <v>3449</v>
      </c>
    </row>
    <row r="8856" spans="2:4" hidden="1" outlineLevel="3" x14ac:dyDescent="0.3">
      <c r="D8856" t="s">
        <v>3450</v>
      </c>
    </row>
    <row r="8857" spans="2:4" hidden="1" outlineLevel="3" x14ac:dyDescent="0.3">
      <c r="D8857" t="s">
        <v>3451</v>
      </c>
    </row>
    <row r="8858" spans="2:4" hidden="1" outlineLevel="3" x14ac:dyDescent="0.3">
      <c r="D8858" t="s">
        <v>3452</v>
      </c>
    </row>
    <row r="8859" spans="2:4" hidden="1" outlineLevel="2" x14ac:dyDescent="0.3">
      <c r="C8859" t="s">
        <v>2117</v>
      </c>
    </row>
    <row r="8860" spans="2:4" hidden="1" outlineLevel="2" x14ac:dyDescent="0.3">
      <c r="C8860" t="s">
        <v>2118</v>
      </c>
    </row>
    <row r="8861" spans="2:4" outlineLevel="1" collapsed="1" x14ac:dyDescent="0.3">
      <c r="B8861" t="s">
        <v>2119</v>
      </c>
    </row>
    <row r="8862" spans="2:4" outlineLevel="1" x14ac:dyDescent="0.3">
      <c r="B8862" t="s">
        <v>2120</v>
      </c>
    </row>
    <row r="8863" spans="2:4" outlineLevel="1" x14ac:dyDescent="0.3">
      <c r="B8863" t="s">
        <v>2121</v>
      </c>
    </row>
    <row r="8864" spans="2:4" outlineLevel="1" x14ac:dyDescent="0.3">
      <c r="B8864" t="s">
        <v>2122</v>
      </c>
    </row>
    <row r="8865" spans="1:3" outlineLevel="1" x14ac:dyDescent="0.3">
      <c r="B8865" t="s">
        <v>2123</v>
      </c>
    </row>
    <row r="8866" spans="1:3" outlineLevel="1" x14ac:dyDescent="0.3">
      <c r="B8866" t="s">
        <v>2124</v>
      </c>
    </row>
    <row r="8867" spans="1:3" outlineLevel="1" x14ac:dyDescent="0.3">
      <c r="B8867" t="s">
        <v>2125</v>
      </c>
    </row>
    <row r="8868" spans="1:3" outlineLevel="1" x14ac:dyDescent="0.3">
      <c r="B8868" t="s">
        <v>2126</v>
      </c>
    </row>
    <row r="8869" spans="1:3" x14ac:dyDescent="0.3">
      <c r="A8869" t="s">
        <v>2127</v>
      </c>
    </row>
    <row r="8870" spans="1:3" outlineLevel="1" x14ac:dyDescent="0.3">
      <c r="B8870" t="s">
        <v>2128</v>
      </c>
    </row>
    <row r="8871" spans="1:3" hidden="1" outlineLevel="2" x14ac:dyDescent="0.3">
      <c r="C8871" t="s">
        <v>3453</v>
      </c>
    </row>
    <row r="8872" spans="1:3" hidden="1" outlineLevel="2" x14ac:dyDescent="0.3">
      <c r="C8872" t="s">
        <v>3454</v>
      </c>
    </row>
    <row r="8873" spans="1:3" hidden="1" outlineLevel="2" x14ac:dyDescent="0.3">
      <c r="C8873" t="s">
        <v>3455</v>
      </c>
    </row>
    <row r="8874" spans="1:3" hidden="1" outlineLevel="2" x14ac:dyDescent="0.3">
      <c r="C8874" t="s">
        <v>3456</v>
      </c>
    </row>
    <row r="8875" spans="1:3" hidden="1" outlineLevel="2" x14ac:dyDescent="0.3">
      <c r="C8875" t="s">
        <v>3457</v>
      </c>
    </row>
    <row r="8876" spans="1:3" hidden="1" outlineLevel="2" x14ac:dyDescent="0.3">
      <c r="C8876" t="s">
        <v>3458</v>
      </c>
    </row>
    <row r="8877" spans="1:3" hidden="1" outlineLevel="2" x14ac:dyDescent="0.3">
      <c r="C8877" t="s">
        <v>3459</v>
      </c>
    </row>
    <row r="8878" spans="1:3" hidden="1" outlineLevel="2" x14ac:dyDescent="0.3">
      <c r="C8878" t="s">
        <v>3460</v>
      </c>
    </row>
    <row r="8879" spans="1:3" hidden="1" outlineLevel="2" x14ac:dyDescent="0.3">
      <c r="C8879" t="s">
        <v>3461</v>
      </c>
    </row>
    <row r="8880" spans="1:3" hidden="1" outlineLevel="2" x14ac:dyDescent="0.3">
      <c r="C8880" t="s">
        <v>3462</v>
      </c>
    </row>
    <row r="8881" spans="3:4" hidden="1" outlineLevel="2" x14ac:dyDescent="0.3">
      <c r="C8881" t="s">
        <v>3463</v>
      </c>
    </row>
    <row r="8882" spans="3:4" hidden="1" outlineLevel="3" x14ac:dyDescent="0.3">
      <c r="D8882" t="s">
        <v>3464</v>
      </c>
    </row>
    <row r="8883" spans="3:4" hidden="1" outlineLevel="3" x14ac:dyDescent="0.3">
      <c r="D8883" t="s">
        <v>4739</v>
      </c>
    </row>
    <row r="8884" spans="3:4" hidden="1" outlineLevel="3" x14ac:dyDescent="0.3">
      <c r="D8884" t="s">
        <v>4594</v>
      </c>
    </row>
    <row r="8885" spans="3:4" hidden="1" outlineLevel="3" x14ac:dyDescent="0.3">
      <c r="D8885" t="s">
        <v>4740</v>
      </c>
    </row>
    <row r="8886" spans="3:4" hidden="1" outlineLevel="3" x14ac:dyDescent="0.3">
      <c r="D8886" t="s">
        <v>4741</v>
      </c>
    </row>
    <row r="8887" spans="3:4" hidden="1" outlineLevel="3" x14ac:dyDescent="0.3">
      <c r="D8887" t="s">
        <v>4742</v>
      </c>
    </row>
    <row r="8888" spans="3:4" hidden="1" outlineLevel="3" x14ac:dyDescent="0.3">
      <c r="D8888" t="s">
        <v>4743</v>
      </c>
    </row>
    <row r="8889" spans="3:4" hidden="1" outlineLevel="3" x14ac:dyDescent="0.3">
      <c r="D8889" t="s">
        <v>3478</v>
      </c>
    </row>
    <row r="8890" spans="3:4" hidden="1" outlineLevel="2" x14ac:dyDescent="0.3">
      <c r="C8890" t="s">
        <v>3479</v>
      </c>
    </row>
    <row r="8891" spans="3:4" hidden="1" outlineLevel="2" x14ac:dyDescent="0.3">
      <c r="C8891" t="s">
        <v>3480</v>
      </c>
    </row>
    <row r="8892" spans="3:4" hidden="1" outlineLevel="2" x14ac:dyDescent="0.3">
      <c r="C8892" t="s">
        <v>3481</v>
      </c>
    </row>
    <row r="8893" spans="3:4" hidden="1" outlineLevel="2" x14ac:dyDescent="0.3">
      <c r="C8893" t="s">
        <v>3482</v>
      </c>
    </row>
    <row r="8894" spans="3:4" hidden="1" outlineLevel="2" x14ac:dyDescent="0.3">
      <c r="C8894" t="s">
        <v>3483</v>
      </c>
    </row>
    <row r="8895" spans="3:4" hidden="1" outlineLevel="2" x14ac:dyDescent="0.3">
      <c r="C8895" t="s">
        <v>3484</v>
      </c>
    </row>
    <row r="8896" spans="3:4" hidden="1" outlineLevel="2" x14ac:dyDescent="0.3">
      <c r="C8896" t="s">
        <v>3485</v>
      </c>
    </row>
    <row r="8897" spans="2:3" hidden="1" outlineLevel="2" x14ac:dyDescent="0.3">
      <c r="C8897" t="s">
        <v>3486</v>
      </c>
    </row>
    <row r="8898" spans="2:3" hidden="1" outlineLevel="2" x14ac:dyDescent="0.3">
      <c r="C8898" t="s">
        <v>3487</v>
      </c>
    </row>
    <row r="8899" spans="2:3" hidden="1" outlineLevel="2" x14ac:dyDescent="0.3">
      <c r="C8899" t="s">
        <v>3489</v>
      </c>
    </row>
    <row r="8900" spans="2:3" hidden="1" outlineLevel="2" x14ac:dyDescent="0.3">
      <c r="C8900" t="s">
        <v>3490</v>
      </c>
    </row>
    <row r="8901" spans="2:3" hidden="1" outlineLevel="2" x14ac:dyDescent="0.3">
      <c r="C8901" t="s">
        <v>3491</v>
      </c>
    </row>
    <row r="8902" spans="2:3" hidden="1" outlineLevel="2" x14ac:dyDescent="0.3">
      <c r="C8902" t="s">
        <v>3492</v>
      </c>
    </row>
    <row r="8903" spans="2:3" hidden="1" outlineLevel="2" x14ac:dyDescent="0.3">
      <c r="C8903" t="s">
        <v>2194</v>
      </c>
    </row>
    <row r="8904" spans="2:3" outlineLevel="1" collapsed="1" x14ac:dyDescent="0.3">
      <c r="B8904" t="s">
        <v>2195</v>
      </c>
    </row>
    <row r="8905" spans="2:3" hidden="1" outlineLevel="2" x14ac:dyDescent="0.3">
      <c r="C8905" t="s">
        <v>3493</v>
      </c>
    </row>
    <row r="8906" spans="2:3" hidden="1" outlineLevel="2" x14ac:dyDescent="0.3">
      <c r="C8906" t="s">
        <v>3494</v>
      </c>
    </row>
    <row r="8907" spans="2:3" hidden="1" outlineLevel="2" x14ac:dyDescent="0.3">
      <c r="C8907" t="s">
        <v>3495</v>
      </c>
    </row>
    <row r="8908" spans="2:3" hidden="1" outlineLevel="2" x14ac:dyDescent="0.3">
      <c r="C8908" t="s">
        <v>3496</v>
      </c>
    </row>
    <row r="8909" spans="2:3" hidden="1" outlineLevel="2" x14ac:dyDescent="0.3">
      <c r="C8909" t="s">
        <v>3497</v>
      </c>
    </row>
    <row r="8910" spans="2:3" hidden="1" outlineLevel="2" x14ac:dyDescent="0.3">
      <c r="C8910" t="s">
        <v>3498</v>
      </c>
    </row>
    <row r="8911" spans="2:3" hidden="1" outlineLevel="2" x14ac:dyDescent="0.3">
      <c r="C8911" t="s">
        <v>3499</v>
      </c>
    </row>
    <row r="8912" spans="2:3" hidden="1" outlineLevel="2" x14ac:dyDescent="0.3">
      <c r="C8912" t="s">
        <v>3500</v>
      </c>
    </row>
    <row r="8913" spans="3:4" hidden="1" outlineLevel="2" x14ac:dyDescent="0.3">
      <c r="C8913" t="s">
        <v>3501</v>
      </c>
    </row>
    <row r="8914" spans="3:4" hidden="1" outlineLevel="2" x14ac:dyDescent="0.3">
      <c r="C8914" t="s">
        <v>3502</v>
      </c>
    </row>
    <row r="8915" spans="3:4" hidden="1" outlineLevel="2" x14ac:dyDescent="0.3">
      <c r="C8915" t="s">
        <v>3503</v>
      </c>
    </row>
    <row r="8916" spans="3:4" hidden="1" outlineLevel="3" x14ac:dyDescent="0.3">
      <c r="D8916" t="s">
        <v>3504</v>
      </c>
    </row>
    <row r="8917" spans="3:4" hidden="1" outlineLevel="3" x14ac:dyDescent="0.3">
      <c r="D8917" t="s">
        <v>4744</v>
      </c>
    </row>
    <row r="8918" spans="3:4" hidden="1" outlineLevel="3" x14ac:dyDescent="0.3">
      <c r="D8918" t="s">
        <v>4604</v>
      </c>
    </row>
    <row r="8919" spans="3:4" hidden="1" outlineLevel="3" x14ac:dyDescent="0.3">
      <c r="D8919" t="s">
        <v>4745</v>
      </c>
    </row>
    <row r="8920" spans="3:4" hidden="1" outlineLevel="3" x14ac:dyDescent="0.3">
      <c r="D8920" t="s">
        <v>4746</v>
      </c>
    </row>
    <row r="8921" spans="3:4" hidden="1" outlineLevel="3" x14ac:dyDescent="0.3">
      <c r="D8921" t="s">
        <v>4747</v>
      </c>
    </row>
    <row r="8922" spans="3:4" hidden="1" outlineLevel="3" x14ac:dyDescent="0.3">
      <c r="D8922" t="s">
        <v>4748</v>
      </c>
    </row>
    <row r="8923" spans="3:4" hidden="1" outlineLevel="3" x14ac:dyDescent="0.3">
      <c r="D8923" t="s">
        <v>3518</v>
      </c>
    </row>
    <row r="8924" spans="3:4" hidden="1" outlineLevel="2" x14ac:dyDescent="0.3">
      <c r="C8924" t="s">
        <v>3519</v>
      </c>
    </row>
    <row r="8925" spans="3:4" hidden="1" outlineLevel="2" x14ac:dyDescent="0.3">
      <c r="C8925" t="s">
        <v>3520</v>
      </c>
    </row>
    <row r="8926" spans="3:4" hidden="1" outlineLevel="2" x14ac:dyDescent="0.3">
      <c r="C8926" t="s">
        <v>3521</v>
      </c>
    </row>
    <row r="8927" spans="3:4" hidden="1" outlineLevel="2" x14ac:dyDescent="0.3">
      <c r="C8927" t="s">
        <v>3522</v>
      </c>
    </row>
    <row r="8928" spans="3:4" hidden="1" outlineLevel="2" x14ac:dyDescent="0.3">
      <c r="C8928" t="s">
        <v>3523</v>
      </c>
    </row>
    <row r="8929" spans="1:3" hidden="1" outlineLevel="2" x14ac:dyDescent="0.3">
      <c r="C8929" t="s">
        <v>3524</v>
      </c>
    </row>
    <row r="8930" spans="1:3" hidden="1" outlineLevel="2" x14ac:dyDescent="0.3">
      <c r="C8930" t="s">
        <v>3525</v>
      </c>
    </row>
    <row r="8931" spans="1:3" hidden="1" outlineLevel="2" x14ac:dyDescent="0.3">
      <c r="C8931" t="s">
        <v>3526</v>
      </c>
    </row>
    <row r="8932" spans="1:3" hidden="1" outlineLevel="2" x14ac:dyDescent="0.3">
      <c r="C8932" t="s">
        <v>3527</v>
      </c>
    </row>
    <row r="8933" spans="1:3" hidden="1" outlineLevel="2" x14ac:dyDescent="0.3">
      <c r="C8933" t="s">
        <v>3529</v>
      </c>
    </row>
    <row r="8934" spans="1:3" hidden="1" outlineLevel="2" x14ac:dyDescent="0.3">
      <c r="C8934" t="s">
        <v>3530</v>
      </c>
    </row>
    <row r="8935" spans="1:3" hidden="1" outlineLevel="2" x14ac:dyDescent="0.3">
      <c r="C8935" t="s">
        <v>3531</v>
      </c>
    </row>
    <row r="8936" spans="1:3" hidden="1" outlineLevel="2" x14ac:dyDescent="0.3">
      <c r="C8936" t="s">
        <v>3532</v>
      </c>
    </row>
    <row r="8937" spans="1:3" hidden="1" outlineLevel="2" x14ac:dyDescent="0.3">
      <c r="C8937" t="s">
        <v>2263</v>
      </c>
    </row>
    <row r="8938" spans="1:3" outlineLevel="1" collapsed="1" x14ac:dyDescent="0.3">
      <c r="B8938" t="s">
        <v>2264</v>
      </c>
    </row>
    <row r="8939" spans="1:3" outlineLevel="1" x14ac:dyDescent="0.3">
      <c r="B8939" t="s">
        <v>2265</v>
      </c>
    </row>
    <row r="8940" spans="1:3" outlineLevel="1" x14ac:dyDescent="0.3">
      <c r="B8940" t="s">
        <v>2266</v>
      </c>
    </row>
    <row r="8941" spans="1:3" outlineLevel="1" x14ac:dyDescent="0.3">
      <c r="B8941" t="s">
        <v>2267</v>
      </c>
    </row>
    <row r="8942" spans="1:3" outlineLevel="1" x14ac:dyDescent="0.3">
      <c r="B8942" t="s">
        <v>2268</v>
      </c>
    </row>
    <row r="8943" spans="1:3" outlineLevel="1" x14ac:dyDescent="0.3">
      <c r="B8943" t="s">
        <v>2269</v>
      </c>
    </row>
    <row r="8944" spans="1:3" x14ac:dyDescent="0.3">
      <c r="A8944" t="s">
        <v>2270</v>
      </c>
    </row>
    <row r="8945" spans="2:4" outlineLevel="1" x14ac:dyDescent="0.3">
      <c r="B8945" t="s">
        <v>2271</v>
      </c>
    </row>
    <row r="8946" spans="2:4" hidden="1" outlineLevel="2" x14ac:dyDescent="0.3">
      <c r="C8946" t="s">
        <v>3533</v>
      </c>
    </row>
    <row r="8947" spans="2:4" hidden="1" outlineLevel="2" x14ac:dyDescent="0.3">
      <c r="C8947" t="s">
        <v>3534</v>
      </c>
    </row>
    <row r="8948" spans="2:4" hidden="1" outlineLevel="2" x14ac:dyDescent="0.3">
      <c r="C8948" t="s">
        <v>3535</v>
      </c>
    </row>
    <row r="8949" spans="2:4" hidden="1" outlineLevel="2" x14ac:dyDescent="0.3">
      <c r="C8949" t="s">
        <v>3540</v>
      </c>
    </row>
    <row r="8950" spans="2:4" hidden="1" outlineLevel="3" x14ac:dyDescent="0.3">
      <c r="D8950" t="s">
        <v>4151</v>
      </c>
    </row>
    <row r="8951" spans="2:4" hidden="1" outlineLevel="3" x14ac:dyDescent="0.3">
      <c r="D8951" t="s">
        <v>3543</v>
      </c>
    </row>
    <row r="8952" spans="2:4" hidden="1" outlineLevel="3" x14ac:dyDescent="0.3">
      <c r="D8952" t="s">
        <v>3548</v>
      </c>
    </row>
    <row r="8953" spans="2:4" hidden="1" outlineLevel="3" x14ac:dyDescent="0.3">
      <c r="D8953" t="s">
        <v>3549</v>
      </c>
    </row>
    <row r="8954" spans="2:4" hidden="1" outlineLevel="2" x14ac:dyDescent="0.3">
      <c r="C8954" t="s">
        <v>3551</v>
      </c>
    </row>
    <row r="8955" spans="2:4" hidden="1" outlineLevel="2" x14ac:dyDescent="0.3">
      <c r="C8955" t="s">
        <v>3552</v>
      </c>
    </row>
    <row r="8956" spans="2:4" hidden="1" outlineLevel="2" x14ac:dyDescent="0.3">
      <c r="C8956" t="s">
        <v>3553</v>
      </c>
    </row>
    <row r="8957" spans="2:4" hidden="1" outlineLevel="2" x14ac:dyDescent="0.3">
      <c r="C8957" t="s">
        <v>3554</v>
      </c>
    </row>
    <row r="8958" spans="2:4" hidden="1" outlineLevel="2" x14ac:dyDescent="0.3">
      <c r="C8958" t="s">
        <v>3555</v>
      </c>
    </row>
    <row r="8959" spans="2:4" hidden="1" outlineLevel="2" x14ac:dyDescent="0.3">
      <c r="C8959" t="s">
        <v>3556</v>
      </c>
    </row>
    <row r="8960" spans="2:4" hidden="1" outlineLevel="2" x14ac:dyDescent="0.3">
      <c r="C8960" t="s">
        <v>3557</v>
      </c>
    </row>
    <row r="8961" spans="2:3" hidden="1" outlineLevel="2" x14ac:dyDescent="0.3">
      <c r="C8961" t="s">
        <v>3558</v>
      </c>
    </row>
    <row r="8962" spans="2:3" hidden="1" outlineLevel="2" x14ac:dyDescent="0.3">
      <c r="C8962" t="s">
        <v>3559</v>
      </c>
    </row>
    <row r="8963" spans="2:3" hidden="1" outlineLevel="2" x14ac:dyDescent="0.3">
      <c r="C8963" t="s">
        <v>3560</v>
      </c>
    </row>
    <row r="8964" spans="2:3" hidden="1" outlineLevel="2" x14ac:dyDescent="0.3">
      <c r="C8964" t="s">
        <v>3561</v>
      </c>
    </row>
    <row r="8965" spans="2:3" hidden="1" outlineLevel="2" x14ac:dyDescent="0.3">
      <c r="C8965" t="s">
        <v>3562</v>
      </c>
    </row>
    <row r="8966" spans="2:3" hidden="1" outlineLevel="2" x14ac:dyDescent="0.3">
      <c r="C8966" t="s">
        <v>3563</v>
      </c>
    </row>
    <row r="8967" spans="2:3" hidden="1" outlineLevel="2" x14ac:dyDescent="0.3">
      <c r="C8967" t="s">
        <v>3564</v>
      </c>
    </row>
    <row r="8968" spans="2:3" hidden="1" outlineLevel="2" x14ac:dyDescent="0.3">
      <c r="C8968" t="s">
        <v>3565</v>
      </c>
    </row>
    <row r="8969" spans="2:3" hidden="1" outlineLevel="2" x14ac:dyDescent="0.3">
      <c r="C8969" t="s">
        <v>3566</v>
      </c>
    </row>
    <row r="8970" spans="2:3" hidden="1" outlineLevel="2" x14ac:dyDescent="0.3">
      <c r="C8970" t="s">
        <v>3567</v>
      </c>
    </row>
    <row r="8971" spans="2:3" hidden="1" outlineLevel="2" x14ac:dyDescent="0.3">
      <c r="C8971" t="s">
        <v>3568</v>
      </c>
    </row>
    <row r="8972" spans="2:3" hidden="1" outlineLevel="2" x14ac:dyDescent="0.3">
      <c r="C8972" t="s">
        <v>2302</v>
      </c>
    </row>
    <row r="8973" spans="2:3" outlineLevel="1" collapsed="1" x14ac:dyDescent="0.3">
      <c r="B8973" t="s">
        <v>2303</v>
      </c>
    </row>
    <row r="8974" spans="2:3" hidden="1" outlineLevel="2" x14ac:dyDescent="0.3">
      <c r="C8974" t="s">
        <v>3569</v>
      </c>
    </row>
    <row r="8975" spans="2:3" hidden="1" outlineLevel="2" x14ac:dyDescent="0.3">
      <c r="C8975" t="s">
        <v>3570</v>
      </c>
    </row>
    <row r="8976" spans="2:3" hidden="1" outlineLevel="2" x14ac:dyDescent="0.3">
      <c r="C8976" t="s">
        <v>3571</v>
      </c>
    </row>
    <row r="8977" spans="3:4" hidden="1" outlineLevel="2" x14ac:dyDescent="0.3">
      <c r="C8977" t="s">
        <v>3576</v>
      </c>
    </row>
    <row r="8978" spans="3:4" hidden="1" outlineLevel="3" x14ac:dyDescent="0.3">
      <c r="D8978" t="s">
        <v>4152</v>
      </c>
    </row>
    <row r="8979" spans="3:4" hidden="1" outlineLevel="3" x14ac:dyDescent="0.3">
      <c r="D8979" t="s">
        <v>4620</v>
      </c>
    </row>
    <row r="8980" spans="3:4" hidden="1" outlineLevel="3" x14ac:dyDescent="0.3">
      <c r="D8980" t="s">
        <v>3584</v>
      </c>
    </row>
    <row r="8981" spans="3:4" hidden="1" outlineLevel="3" x14ac:dyDescent="0.3">
      <c r="D8981" t="s">
        <v>3585</v>
      </c>
    </row>
    <row r="8982" spans="3:4" hidden="1" outlineLevel="2" x14ac:dyDescent="0.3">
      <c r="C8982" t="s">
        <v>3587</v>
      </c>
    </row>
    <row r="8983" spans="3:4" hidden="1" outlineLevel="2" x14ac:dyDescent="0.3">
      <c r="C8983" t="s">
        <v>3588</v>
      </c>
    </row>
    <row r="8984" spans="3:4" hidden="1" outlineLevel="2" x14ac:dyDescent="0.3">
      <c r="C8984" t="s">
        <v>3589</v>
      </c>
    </row>
    <row r="8985" spans="3:4" hidden="1" outlineLevel="2" x14ac:dyDescent="0.3">
      <c r="C8985" t="s">
        <v>3590</v>
      </c>
    </row>
    <row r="8986" spans="3:4" hidden="1" outlineLevel="2" x14ac:dyDescent="0.3">
      <c r="C8986" t="s">
        <v>3591</v>
      </c>
    </row>
    <row r="8987" spans="3:4" hidden="1" outlineLevel="2" x14ac:dyDescent="0.3">
      <c r="C8987" t="s">
        <v>3592</v>
      </c>
    </row>
    <row r="8988" spans="3:4" hidden="1" outlineLevel="2" x14ac:dyDescent="0.3">
      <c r="C8988" t="s">
        <v>3593</v>
      </c>
    </row>
    <row r="8989" spans="3:4" hidden="1" outlineLevel="2" x14ac:dyDescent="0.3">
      <c r="C8989" t="s">
        <v>3595</v>
      </c>
    </row>
    <row r="8990" spans="3:4" hidden="1" outlineLevel="2" x14ac:dyDescent="0.3">
      <c r="C8990" t="s">
        <v>3596</v>
      </c>
    </row>
    <row r="8991" spans="3:4" hidden="1" outlineLevel="2" x14ac:dyDescent="0.3">
      <c r="C8991" t="s">
        <v>3597</v>
      </c>
    </row>
    <row r="8992" spans="3:4" hidden="1" outlineLevel="2" x14ac:dyDescent="0.3">
      <c r="C8992" t="s">
        <v>3598</v>
      </c>
    </row>
    <row r="8993" spans="1:3" hidden="1" outlineLevel="2" x14ac:dyDescent="0.3">
      <c r="C8993" t="s">
        <v>3599</v>
      </c>
    </row>
    <row r="8994" spans="1:3" hidden="1" outlineLevel="2" x14ac:dyDescent="0.3">
      <c r="C8994" t="s">
        <v>3600</v>
      </c>
    </row>
    <row r="8995" spans="1:3" hidden="1" outlineLevel="2" x14ac:dyDescent="0.3">
      <c r="C8995" t="s">
        <v>3601</v>
      </c>
    </row>
    <row r="8996" spans="1:3" hidden="1" outlineLevel="2" x14ac:dyDescent="0.3">
      <c r="C8996" t="s">
        <v>3602</v>
      </c>
    </row>
    <row r="8997" spans="1:3" hidden="1" outlineLevel="2" x14ac:dyDescent="0.3">
      <c r="C8997" t="s">
        <v>3603</v>
      </c>
    </row>
    <row r="8998" spans="1:3" hidden="1" outlineLevel="2" x14ac:dyDescent="0.3">
      <c r="C8998" t="s">
        <v>3604</v>
      </c>
    </row>
    <row r="8999" spans="1:3" hidden="1" outlineLevel="2" x14ac:dyDescent="0.3">
      <c r="C8999" t="s">
        <v>3605</v>
      </c>
    </row>
    <row r="9000" spans="1:3" hidden="1" outlineLevel="2" x14ac:dyDescent="0.3">
      <c r="C9000" t="s">
        <v>3606</v>
      </c>
    </row>
    <row r="9001" spans="1:3" hidden="1" outlineLevel="2" x14ac:dyDescent="0.3">
      <c r="C9001" t="s">
        <v>2334</v>
      </c>
    </row>
    <row r="9002" spans="1:3" outlineLevel="1" collapsed="1" x14ac:dyDescent="0.3">
      <c r="B9002" t="s">
        <v>2335</v>
      </c>
    </row>
    <row r="9003" spans="1:3" outlineLevel="1" x14ac:dyDescent="0.3">
      <c r="B9003" t="s">
        <v>2336</v>
      </c>
    </row>
    <row r="9004" spans="1:3" outlineLevel="1" x14ac:dyDescent="0.3">
      <c r="B9004" t="s">
        <v>2337</v>
      </c>
    </row>
    <row r="9005" spans="1:3" outlineLevel="1" x14ac:dyDescent="0.3">
      <c r="B9005" t="s">
        <v>2338</v>
      </c>
    </row>
    <row r="9006" spans="1:3" outlineLevel="1" x14ac:dyDescent="0.3">
      <c r="B9006" t="s">
        <v>2339</v>
      </c>
    </row>
    <row r="9007" spans="1:3" outlineLevel="1" x14ac:dyDescent="0.3">
      <c r="B9007" t="s">
        <v>2340</v>
      </c>
    </row>
    <row r="9008" spans="1:3" x14ac:dyDescent="0.3">
      <c r="A9008" t="s">
        <v>2341</v>
      </c>
    </row>
    <row r="9009" spans="1:1" x14ac:dyDescent="0.3">
      <c r="A9009" t="s">
        <v>2342</v>
      </c>
    </row>
    <row r="9010" spans="1:1" x14ac:dyDescent="0.3">
      <c r="A9010" t="s">
        <v>2343</v>
      </c>
    </row>
    <row r="9011" spans="1:1" x14ac:dyDescent="0.3">
      <c r="A9011" t="s">
        <v>2344</v>
      </c>
    </row>
    <row r="9012" spans="1:1" x14ac:dyDescent="0.3">
      <c r="A9012" t="s">
        <v>2345</v>
      </c>
    </row>
    <row r="9013" spans="1:1" x14ac:dyDescent="0.3">
      <c r="A9013" t="s">
        <v>2346</v>
      </c>
    </row>
    <row r="9024" spans="1:1" x14ac:dyDescent="0.3">
      <c r="A9024" t="s">
        <v>0</v>
      </c>
    </row>
    <row r="9025" spans="2:2" outlineLevel="1" x14ac:dyDescent="0.3">
      <c r="B9025" t="s">
        <v>2379</v>
      </c>
    </row>
    <row r="9026" spans="2:2" outlineLevel="1" x14ac:dyDescent="0.3">
      <c r="B9026" t="s">
        <v>2380</v>
      </c>
    </row>
    <row r="9027" spans="2:2" outlineLevel="1" x14ac:dyDescent="0.3">
      <c r="B9027" t="s">
        <v>2381</v>
      </c>
    </row>
    <row r="9028" spans="2:2" outlineLevel="1" x14ac:dyDescent="0.3">
      <c r="B9028" t="s">
        <v>2382</v>
      </c>
    </row>
    <row r="9029" spans="2:2" outlineLevel="1" x14ac:dyDescent="0.3">
      <c r="B9029" t="s">
        <v>2383</v>
      </c>
    </row>
    <row r="9030" spans="2:2" outlineLevel="1" x14ac:dyDescent="0.3">
      <c r="B9030" t="s">
        <v>2384</v>
      </c>
    </row>
    <row r="9031" spans="2:2" outlineLevel="1" x14ac:dyDescent="0.3">
      <c r="B9031" t="s">
        <v>2385</v>
      </c>
    </row>
    <row r="9032" spans="2:2" outlineLevel="1" x14ac:dyDescent="0.3">
      <c r="B9032" t="s">
        <v>2386</v>
      </c>
    </row>
    <row r="9033" spans="2:2" outlineLevel="1" x14ac:dyDescent="0.3">
      <c r="B9033" t="s">
        <v>2387</v>
      </c>
    </row>
    <row r="9034" spans="2:2" outlineLevel="1" x14ac:dyDescent="0.3">
      <c r="B9034" t="s">
        <v>2388</v>
      </c>
    </row>
    <row r="9035" spans="2:2" outlineLevel="1" x14ac:dyDescent="0.3">
      <c r="B9035" t="s">
        <v>2389</v>
      </c>
    </row>
    <row r="9036" spans="2:2" outlineLevel="1" x14ac:dyDescent="0.3">
      <c r="B9036" t="s">
        <v>4749</v>
      </c>
    </row>
    <row r="9037" spans="2:2" outlineLevel="1" x14ac:dyDescent="0.3">
      <c r="B9037" t="s">
        <v>4750</v>
      </c>
    </row>
    <row r="9038" spans="2:2" outlineLevel="1" x14ac:dyDescent="0.3">
      <c r="B9038" t="s">
        <v>2390</v>
      </c>
    </row>
    <row r="9039" spans="2:2" outlineLevel="1" x14ac:dyDescent="0.3">
      <c r="B9039" t="s">
        <v>2391</v>
      </c>
    </row>
    <row r="9040" spans="2:2" outlineLevel="1" x14ac:dyDescent="0.3">
      <c r="B9040" t="s">
        <v>2392</v>
      </c>
    </row>
    <row r="9041" spans="1:3" outlineLevel="1" x14ac:dyDescent="0.3">
      <c r="B9041" t="s">
        <v>2393</v>
      </c>
    </row>
    <row r="9042" spans="1:3" outlineLevel="1" x14ac:dyDescent="0.3">
      <c r="B9042" t="s">
        <v>2394</v>
      </c>
    </row>
    <row r="9043" spans="1:3" outlineLevel="1" x14ac:dyDescent="0.3">
      <c r="B9043" t="s">
        <v>2395</v>
      </c>
    </row>
    <row r="9044" spans="1:3" outlineLevel="1" x14ac:dyDescent="0.3">
      <c r="B9044" t="s">
        <v>2396</v>
      </c>
    </row>
    <row r="9045" spans="1:3" outlineLevel="1" x14ac:dyDescent="0.3">
      <c r="B9045" t="s">
        <v>2397</v>
      </c>
    </row>
    <row r="9046" spans="1:3" outlineLevel="1" x14ac:dyDescent="0.3">
      <c r="B9046" t="s">
        <v>2398</v>
      </c>
    </row>
    <row r="9047" spans="1:3" x14ac:dyDescent="0.3">
      <c r="A9047" t="s">
        <v>26</v>
      </c>
    </row>
    <row r="9048" spans="1:3" outlineLevel="1" x14ac:dyDescent="0.3">
      <c r="B9048" t="s">
        <v>27</v>
      </c>
    </row>
    <row r="9049" spans="1:3" hidden="1" outlineLevel="2" x14ac:dyDescent="0.3">
      <c r="C9049" t="s">
        <v>28</v>
      </c>
    </row>
    <row r="9050" spans="1:3" hidden="1" outlineLevel="2" x14ac:dyDescent="0.3">
      <c r="C9050" t="s">
        <v>29</v>
      </c>
    </row>
    <row r="9051" spans="1:3" hidden="1" outlineLevel="2" x14ac:dyDescent="0.3">
      <c r="C9051" t="s">
        <v>30</v>
      </c>
    </row>
    <row r="9052" spans="1:3" hidden="1" outlineLevel="2" x14ac:dyDescent="0.3">
      <c r="C9052" t="s">
        <v>31</v>
      </c>
    </row>
    <row r="9053" spans="1:3" hidden="1" outlineLevel="2" x14ac:dyDescent="0.3">
      <c r="C9053" t="s">
        <v>32</v>
      </c>
    </row>
    <row r="9054" spans="1:3" hidden="1" outlineLevel="2" x14ac:dyDescent="0.3">
      <c r="C9054" t="s">
        <v>33</v>
      </c>
    </row>
    <row r="9055" spans="1:3" hidden="1" outlineLevel="2" x14ac:dyDescent="0.3">
      <c r="C9055" t="s">
        <v>34</v>
      </c>
    </row>
    <row r="9056" spans="1:3" outlineLevel="1" collapsed="1" x14ac:dyDescent="0.3">
      <c r="B9056" t="s">
        <v>35</v>
      </c>
    </row>
    <row r="9057" spans="1:2" outlineLevel="1" x14ac:dyDescent="0.3">
      <c r="B9057" t="s">
        <v>36</v>
      </c>
    </row>
    <row r="9058" spans="1:2" outlineLevel="1" x14ac:dyDescent="0.3">
      <c r="B9058" t="s">
        <v>520</v>
      </c>
    </row>
    <row r="9059" spans="1:2" x14ac:dyDescent="0.3">
      <c r="A9059" t="s">
        <v>37</v>
      </c>
    </row>
    <row r="9060" spans="1:2" outlineLevel="1" x14ac:dyDescent="0.3">
      <c r="B9060" t="s">
        <v>2400</v>
      </c>
    </row>
    <row r="9061" spans="1:2" outlineLevel="1" x14ac:dyDescent="0.3">
      <c r="B9061" t="s">
        <v>2401</v>
      </c>
    </row>
    <row r="9062" spans="1:2" outlineLevel="1" x14ac:dyDescent="0.3">
      <c r="B9062" t="s">
        <v>2402</v>
      </c>
    </row>
    <row r="9063" spans="1:2" outlineLevel="1" x14ac:dyDescent="0.3">
      <c r="B9063" t="s">
        <v>2404</v>
      </c>
    </row>
    <row r="9064" spans="1:2" outlineLevel="1" x14ac:dyDescent="0.3">
      <c r="B9064" t="s">
        <v>2405</v>
      </c>
    </row>
    <row r="9065" spans="1:2" outlineLevel="1" x14ac:dyDescent="0.3">
      <c r="B9065" t="s">
        <v>2406</v>
      </c>
    </row>
    <row r="9066" spans="1:2" outlineLevel="1" x14ac:dyDescent="0.3">
      <c r="B9066" t="s">
        <v>2407</v>
      </c>
    </row>
    <row r="9067" spans="1:2" outlineLevel="1" x14ac:dyDescent="0.3">
      <c r="B9067" t="s">
        <v>2408</v>
      </c>
    </row>
    <row r="9068" spans="1:2" outlineLevel="1" x14ac:dyDescent="0.3">
      <c r="B9068" t="s">
        <v>2409</v>
      </c>
    </row>
    <row r="9069" spans="1:2" outlineLevel="1" x14ac:dyDescent="0.3">
      <c r="B9069" t="s">
        <v>2410</v>
      </c>
    </row>
    <row r="9070" spans="1:2" outlineLevel="1" x14ac:dyDescent="0.3">
      <c r="B9070" t="s">
        <v>2411</v>
      </c>
    </row>
    <row r="9071" spans="1:2" outlineLevel="1" x14ac:dyDescent="0.3">
      <c r="B9071" t="s">
        <v>2412</v>
      </c>
    </row>
    <row r="9072" spans="1:2" outlineLevel="1" x14ac:dyDescent="0.3">
      <c r="B9072" t="s">
        <v>2413</v>
      </c>
    </row>
    <row r="9078" spans="1:2" x14ac:dyDescent="0.3">
      <c r="A9078" t="s">
        <v>2415</v>
      </c>
    </row>
    <row r="9079" spans="1:2" outlineLevel="1" x14ac:dyDescent="0.3">
      <c r="B9079" t="s">
        <v>2416</v>
      </c>
    </row>
    <row r="9080" spans="1:2" outlineLevel="1" x14ac:dyDescent="0.3">
      <c r="B9080" t="s">
        <v>2417</v>
      </c>
    </row>
    <row r="9081" spans="1:2" outlineLevel="1" x14ac:dyDescent="0.3">
      <c r="B9081" t="s">
        <v>2418</v>
      </c>
    </row>
    <row r="9082" spans="1:2" x14ac:dyDescent="0.3">
      <c r="A9082" t="s">
        <v>2419</v>
      </c>
    </row>
    <row r="9083" spans="1:2" outlineLevel="1" x14ac:dyDescent="0.3">
      <c r="B9083" t="s">
        <v>2420</v>
      </c>
    </row>
    <row r="9084" spans="1:2" outlineLevel="1" x14ac:dyDescent="0.3">
      <c r="B9084" t="s">
        <v>2421</v>
      </c>
    </row>
    <row r="9085" spans="1:2" x14ac:dyDescent="0.3">
      <c r="A9085" t="s">
        <v>2422</v>
      </c>
    </row>
    <row r="9086" spans="1:2" outlineLevel="1" x14ac:dyDescent="0.3">
      <c r="B9086" t="s">
        <v>2423</v>
      </c>
    </row>
    <row r="9087" spans="1:2" outlineLevel="1" x14ac:dyDescent="0.3">
      <c r="B9087" t="s">
        <v>2424</v>
      </c>
    </row>
    <row r="9088" spans="1:2" outlineLevel="1" x14ac:dyDescent="0.3">
      <c r="B9088" t="s">
        <v>2425</v>
      </c>
    </row>
    <row r="9089" spans="1:2" outlineLevel="1" x14ac:dyDescent="0.3">
      <c r="B9089" t="s">
        <v>2426</v>
      </c>
    </row>
    <row r="9090" spans="1:2" x14ac:dyDescent="0.3">
      <c r="A9090" t="s">
        <v>2427</v>
      </c>
    </row>
    <row r="9091" spans="1:2" outlineLevel="1" x14ac:dyDescent="0.3">
      <c r="B9091" t="s">
        <v>2428</v>
      </c>
    </row>
    <row r="9092" spans="1:2" outlineLevel="1" x14ac:dyDescent="0.3">
      <c r="B9092" t="s">
        <v>2429</v>
      </c>
    </row>
    <row r="9093" spans="1:2" x14ac:dyDescent="0.3">
      <c r="A9093" t="s">
        <v>2430</v>
      </c>
    </row>
    <row r="9094" spans="1:2" outlineLevel="1" x14ac:dyDescent="0.3">
      <c r="B9094" t="s">
        <v>2431</v>
      </c>
    </row>
    <row r="9095" spans="1:2" outlineLevel="1" x14ac:dyDescent="0.3">
      <c r="B9095" t="s">
        <v>2432</v>
      </c>
    </row>
    <row r="9096" spans="1:2" x14ac:dyDescent="0.3">
      <c r="A9096" t="s">
        <v>2433</v>
      </c>
    </row>
    <row r="9097" spans="1:2" outlineLevel="1" x14ac:dyDescent="0.3">
      <c r="B9097" t="s">
        <v>2434</v>
      </c>
    </row>
    <row r="9098" spans="1:2" outlineLevel="1" x14ac:dyDescent="0.3">
      <c r="B9098" t="s">
        <v>2435</v>
      </c>
    </row>
    <row r="9099" spans="1:2" x14ac:dyDescent="0.3">
      <c r="A9099" t="s">
        <v>2438</v>
      </c>
    </row>
    <row r="9100" spans="1:2" outlineLevel="1" x14ac:dyDescent="0.3">
      <c r="B9100" t="s">
        <v>2439</v>
      </c>
    </row>
    <row r="9101" spans="1:2" outlineLevel="1" x14ac:dyDescent="0.3">
      <c r="B9101" t="s">
        <v>2440</v>
      </c>
    </row>
    <row r="9102" spans="1:2" x14ac:dyDescent="0.3">
      <c r="A9102" t="s">
        <v>2441</v>
      </c>
    </row>
    <row r="9103" spans="1:2" x14ac:dyDescent="0.3">
      <c r="A9103" t="s">
        <v>2442</v>
      </c>
    </row>
    <row r="9104" spans="1:2" x14ac:dyDescent="0.3">
      <c r="A9104" t="s">
        <v>3647</v>
      </c>
    </row>
    <row r="9105" spans="1:2" x14ac:dyDescent="0.3">
      <c r="A9105" t="s">
        <v>2443</v>
      </c>
    </row>
    <row r="9106" spans="1:2" outlineLevel="1" x14ac:dyDescent="0.3">
      <c r="B9106" t="s">
        <v>78</v>
      </c>
    </row>
    <row r="9107" spans="1:2" outlineLevel="1" x14ac:dyDescent="0.3">
      <c r="B9107" t="s">
        <v>2444</v>
      </c>
    </row>
    <row r="9108" spans="1:2" outlineLevel="1" x14ac:dyDescent="0.3">
      <c r="B9108" t="s">
        <v>2445</v>
      </c>
    </row>
    <row r="9109" spans="1:2" outlineLevel="1" x14ac:dyDescent="0.3">
      <c r="B9109" t="s">
        <v>2446</v>
      </c>
    </row>
    <row r="9110" spans="1:2" outlineLevel="1" x14ac:dyDescent="0.3">
      <c r="B9110" t="s">
        <v>93</v>
      </c>
    </row>
    <row r="9111" spans="1:2" outlineLevel="1" x14ac:dyDescent="0.3">
      <c r="B9111" t="s">
        <v>2447</v>
      </c>
    </row>
    <row r="9112" spans="1:2" x14ac:dyDescent="0.3">
      <c r="A9112" t="s">
        <v>99</v>
      </c>
    </row>
    <row r="9113" spans="1:2" x14ac:dyDescent="0.3">
      <c r="A9113" t="s">
        <v>2448</v>
      </c>
    </row>
    <row r="9114" spans="1:2" x14ac:dyDescent="0.3">
      <c r="A9114" t="s">
        <v>2449</v>
      </c>
    </row>
    <row r="9115" spans="1:2" x14ac:dyDescent="0.3">
      <c r="A9115" t="s">
        <v>330</v>
      </c>
    </row>
    <row r="9116" spans="1:2" x14ac:dyDescent="0.3">
      <c r="A9116" t="s">
        <v>333</v>
      </c>
    </row>
    <row r="9117" spans="1:2" x14ac:dyDescent="0.3">
      <c r="A9117" t="s">
        <v>336</v>
      </c>
    </row>
    <row r="9118" spans="1:2" x14ac:dyDescent="0.3">
      <c r="A9118" t="s">
        <v>339</v>
      </c>
    </row>
    <row r="9119" spans="1:2" x14ac:dyDescent="0.3">
      <c r="A9119" t="s">
        <v>342</v>
      </c>
    </row>
    <row r="9120" spans="1:2" x14ac:dyDescent="0.3">
      <c r="A9120" t="s">
        <v>345</v>
      </c>
    </row>
    <row r="9121" spans="1:2" x14ac:dyDescent="0.3">
      <c r="A9121" t="s">
        <v>348</v>
      </c>
    </row>
    <row r="9122" spans="1:2" x14ac:dyDescent="0.3">
      <c r="A9122" t="s">
        <v>351</v>
      </c>
    </row>
    <row r="9123" spans="1:2" x14ac:dyDescent="0.3">
      <c r="A9123" t="s">
        <v>354</v>
      </c>
    </row>
    <row r="9124" spans="1:2" outlineLevel="1" x14ac:dyDescent="0.3">
      <c r="B9124" t="s">
        <v>357</v>
      </c>
    </row>
    <row r="9125" spans="1:2" outlineLevel="1" x14ac:dyDescent="0.3">
      <c r="B9125" t="s">
        <v>360</v>
      </c>
    </row>
    <row r="9126" spans="1:2" x14ac:dyDescent="0.3">
      <c r="A9126" t="s">
        <v>363</v>
      </c>
    </row>
    <row r="9127" spans="1:2" outlineLevel="1" x14ac:dyDescent="0.3">
      <c r="B9127" t="s">
        <v>366</v>
      </c>
    </row>
    <row r="9128" spans="1:2" outlineLevel="1" x14ac:dyDescent="0.3">
      <c r="B9128" t="s">
        <v>369</v>
      </c>
    </row>
    <row r="9129" spans="1:2" x14ac:dyDescent="0.3">
      <c r="A9129" t="s">
        <v>372</v>
      </c>
    </row>
    <row r="9130" spans="1:2" x14ac:dyDescent="0.3">
      <c r="A9130" t="s">
        <v>375</v>
      </c>
    </row>
    <row r="9136" spans="1:2" x14ac:dyDescent="0.3">
      <c r="A9136" t="s">
        <v>67</v>
      </c>
    </row>
    <row r="9137" spans="1:2" outlineLevel="1" x14ac:dyDescent="0.3">
      <c r="B9137" t="s">
        <v>70</v>
      </c>
    </row>
    <row r="9138" spans="1:2" outlineLevel="1" x14ac:dyDescent="0.3">
      <c r="B9138" t="s">
        <v>73</v>
      </c>
    </row>
    <row r="9139" spans="1:2" outlineLevel="1" x14ac:dyDescent="0.3">
      <c r="B9139" t="s">
        <v>76</v>
      </c>
    </row>
    <row r="9140" spans="1:2" outlineLevel="1" x14ac:dyDescent="0.3">
      <c r="B9140" t="s">
        <v>79</v>
      </c>
    </row>
    <row r="9141" spans="1:2" outlineLevel="1" x14ac:dyDescent="0.3">
      <c r="B9141" t="s">
        <v>82</v>
      </c>
    </row>
    <row r="9142" spans="1:2" outlineLevel="1" x14ac:dyDescent="0.3">
      <c r="B9142" t="s">
        <v>85</v>
      </c>
    </row>
    <row r="9143" spans="1:2" outlineLevel="1" x14ac:dyDescent="0.3">
      <c r="B9143" t="s">
        <v>88</v>
      </c>
    </row>
    <row r="9144" spans="1:2" outlineLevel="1" x14ac:dyDescent="0.3">
      <c r="B9144" t="s">
        <v>91</v>
      </c>
    </row>
    <row r="9145" spans="1:2" outlineLevel="1" x14ac:dyDescent="0.3">
      <c r="B9145" t="s">
        <v>94</v>
      </c>
    </row>
    <row r="9146" spans="1:2" outlineLevel="1" x14ac:dyDescent="0.3">
      <c r="B9146" t="s">
        <v>97</v>
      </c>
    </row>
    <row r="9147" spans="1:2" outlineLevel="1" x14ac:dyDescent="0.3">
      <c r="B9147" t="s">
        <v>100</v>
      </c>
    </row>
    <row r="9148" spans="1:2" outlineLevel="1" x14ac:dyDescent="0.3">
      <c r="B9148" t="s">
        <v>103</v>
      </c>
    </row>
    <row r="9149" spans="1:2" x14ac:dyDescent="0.3">
      <c r="A9149" t="s">
        <v>106</v>
      </c>
    </row>
    <row r="9150" spans="1:2" outlineLevel="1" x14ac:dyDescent="0.3">
      <c r="B9150" t="s">
        <v>109</v>
      </c>
    </row>
    <row r="9151" spans="1:2" outlineLevel="1" x14ac:dyDescent="0.3">
      <c r="B9151" t="s">
        <v>112</v>
      </c>
    </row>
    <row r="9152" spans="1:2" outlineLevel="1" x14ac:dyDescent="0.3">
      <c r="B9152" t="s">
        <v>115</v>
      </c>
    </row>
    <row r="9153" spans="1:2" x14ac:dyDescent="0.3">
      <c r="A9153" t="s">
        <v>118</v>
      </c>
    </row>
    <row r="9154" spans="1:2" outlineLevel="1" x14ac:dyDescent="0.3">
      <c r="B9154" t="s">
        <v>121</v>
      </c>
    </row>
    <row r="9155" spans="1:2" outlineLevel="1" x14ac:dyDescent="0.3">
      <c r="B9155" t="s">
        <v>124</v>
      </c>
    </row>
    <row r="9156" spans="1:2" outlineLevel="1" x14ac:dyDescent="0.3">
      <c r="B9156" t="s">
        <v>127</v>
      </c>
    </row>
    <row r="9157" spans="1:2" outlineLevel="1" x14ac:dyDescent="0.3">
      <c r="B9157" t="s">
        <v>130</v>
      </c>
    </row>
    <row r="9158" spans="1:2" outlineLevel="1" x14ac:dyDescent="0.3">
      <c r="B9158" t="s">
        <v>133</v>
      </c>
    </row>
    <row r="9159" spans="1:2" outlineLevel="1" x14ac:dyDescent="0.3">
      <c r="B9159" t="s">
        <v>136</v>
      </c>
    </row>
    <row r="9160" spans="1:2" outlineLevel="1" x14ac:dyDescent="0.3">
      <c r="B9160" t="s">
        <v>139</v>
      </c>
    </row>
    <row r="9161" spans="1:2" outlineLevel="1" x14ac:dyDescent="0.3">
      <c r="B9161" t="s">
        <v>142</v>
      </c>
    </row>
    <row r="9162" spans="1:2" outlineLevel="1" x14ac:dyDescent="0.3">
      <c r="B9162" t="s">
        <v>145</v>
      </c>
    </row>
    <row r="9163" spans="1:2" outlineLevel="1" x14ac:dyDescent="0.3">
      <c r="B9163" t="s">
        <v>148</v>
      </c>
    </row>
    <row r="9164" spans="1:2" outlineLevel="1" x14ac:dyDescent="0.3">
      <c r="B9164" t="s">
        <v>151</v>
      </c>
    </row>
    <row r="9165" spans="1:2" outlineLevel="1" x14ac:dyDescent="0.3">
      <c r="B9165" t="s">
        <v>154</v>
      </c>
    </row>
    <row r="9166" spans="1:2" outlineLevel="1" x14ac:dyDescent="0.3">
      <c r="B9166" t="s">
        <v>157</v>
      </c>
    </row>
    <row r="9167" spans="1:2" outlineLevel="1" x14ac:dyDescent="0.3">
      <c r="B9167" t="s">
        <v>160</v>
      </c>
    </row>
    <row r="9168" spans="1:2" outlineLevel="1" x14ac:dyDescent="0.3">
      <c r="B9168" t="s">
        <v>163</v>
      </c>
    </row>
    <row r="9169" spans="1:2" outlineLevel="1" x14ac:dyDescent="0.3">
      <c r="B9169" t="s">
        <v>166</v>
      </c>
    </row>
    <row r="9170" spans="1:2" outlineLevel="1" x14ac:dyDescent="0.3">
      <c r="B9170" t="s">
        <v>169</v>
      </c>
    </row>
    <row r="9171" spans="1:2" outlineLevel="1" x14ac:dyDescent="0.3">
      <c r="B9171" t="s">
        <v>172</v>
      </c>
    </row>
    <row r="9172" spans="1:2" outlineLevel="1" x14ac:dyDescent="0.3">
      <c r="B9172" t="s">
        <v>175</v>
      </c>
    </row>
    <row r="9173" spans="1:2" outlineLevel="1" x14ac:dyDescent="0.3">
      <c r="B9173" t="s">
        <v>178</v>
      </c>
    </row>
    <row r="9174" spans="1:2" x14ac:dyDescent="0.3">
      <c r="A9174" t="s">
        <v>181</v>
      </c>
    </row>
    <row r="9175" spans="1:2" outlineLevel="1" x14ac:dyDescent="0.3">
      <c r="B9175" t="s">
        <v>184</v>
      </c>
    </row>
    <row r="9176" spans="1:2" outlineLevel="1" x14ac:dyDescent="0.3">
      <c r="B9176" t="s">
        <v>187</v>
      </c>
    </row>
    <row r="9177" spans="1:2" outlineLevel="1" x14ac:dyDescent="0.3">
      <c r="B9177" t="s">
        <v>190</v>
      </c>
    </row>
    <row r="9178" spans="1:2" outlineLevel="1" x14ac:dyDescent="0.3">
      <c r="B9178" t="s">
        <v>193</v>
      </c>
    </row>
    <row r="9179" spans="1:2" outlineLevel="1" x14ac:dyDescent="0.3">
      <c r="B9179" t="s">
        <v>196</v>
      </c>
    </row>
    <row r="9180" spans="1:2" outlineLevel="1" x14ac:dyDescent="0.3">
      <c r="B9180" t="s">
        <v>199</v>
      </c>
    </row>
    <row r="9181" spans="1:2" outlineLevel="1" x14ac:dyDescent="0.3">
      <c r="B9181" t="s">
        <v>202</v>
      </c>
    </row>
    <row r="9182" spans="1:2" outlineLevel="1" x14ac:dyDescent="0.3">
      <c r="B9182" t="s">
        <v>205</v>
      </c>
    </row>
    <row r="9183" spans="1:2" outlineLevel="1" x14ac:dyDescent="0.3">
      <c r="B9183" t="s">
        <v>208</v>
      </c>
    </row>
    <row r="9184" spans="1:2" outlineLevel="1" x14ac:dyDescent="0.3">
      <c r="B9184" t="s">
        <v>211</v>
      </c>
    </row>
    <row r="9185" spans="1:2" outlineLevel="1" x14ac:dyDescent="0.3">
      <c r="B9185" t="s">
        <v>214</v>
      </c>
    </row>
    <row r="9186" spans="1:2" outlineLevel="1" x14ac:dyDescent="0.3">
      <c r="B9186" t="s">
        <v>217</v>
      </c>
    </row>
    <row r="9187" spans="1:2" outlineLevel="1" x14ac:dyDescent="0.3">
      <c r="B9187" t="s">
        <v>220</v>
      </c>
    </row>
    <row r="9188" spans="1:2" outlineLevel="1" x14ac:dyDescent="0.3">
      <c r="B9188" t="s">
        <v>223</v>
      </c>
    </row>
    <row r="9189" spans="1:2" outlineLevel="1" x14ac:dyDescent="0.3">
      <c r="B9189" t="s">
        <v>226</v>
      </c>
    </row>
    <row r="9190" spans="1:2" outlineLevel="1" x14ac:dyDescent="0.3">
      <c r="B9190" t="s">
        <v>229</v>
      </c>
    </row>
    <row r="9191" spans="1:2" outlineLevel="1" x14ac:dyDescent="0.3">
      <c r="B9191" t="s">
        <v>232</v>
      </c>
    </row>
    <row r="9192" spans="1:2" outlineLevel="1" x14ac:dyDescent="0.3">
      <c r="B9192" t="s">
        <v>235</v>
      </c>
    </row>
    <row r="9193" spans="1:2" x14ac:dyDescent="0.3">
      <c r="A9193" t="s">
        <v>238</v>
      </c>
    </row>
    <row r="9194" spans="1:2" outlineLevel="1" x14ac:dyDescent="0.3">
      <c r="B9194" t="s">
        <v>241</v>
      </c>
    </row>
    <row r="9195" spans="1:2" outlineLevel="1" x14ac:dyDescent="0.3">
      <c r="B9195" t="s">
        <v>244</v>
      </c>
    </row>
    <row r="9196" spans="1:2" outlineLevel="1" x14ac:dyDescent="0.3">
      <c r="B9196" t="s">
        <v>247</v>
      </c>
    </row>
    <row r="9197" spans="1:2" outlineLevel="1" x14ac:dyDescent="0.3">
      <c r="B9197" t="s">
        <v>250</v>
      </c>
    </row>
    <row r="9198" spans="1:2" outlineLevel="1" x14ac:dyDescent="0.3">
      <c r="B9198" t="s">
        <v>253</v>
      </c>
    </row>
    <row r="9199" spans="1:2" outlineLevel="1" x14ac:dyDescent="0.3">
      <c r="B9199" t="s">
        <v>256</v>
      </c>
    </row>
    <row r="9200" spans="1:2" outlineLevel="1" x14ac:dyDescent="0.3">
      <c r="B9200" t="s">
        <v>259</v>
      </c>
    </row>
    <row r="9201" spans="1:3" outlineLevel="1" x14ac:dyDescent="0.3">
      <c r="B9201" t="s">
        <v>262</v>
      </c>
    </row>
    <row r="9202" spans="1:3" outlineLevel="1" x14ac:dyDescent="0.3">
      <c r="B9202" t="s">
        <v>265</v>
      </c>
    </row>
    <row r="9203" spans="1:3" outlineLevel="1" x14ac:dyDescent="0.3">
      <c r="B9203" t="s">
        <v>268</v>
      </c>
    </row>
    <row r="9204" spans="1:3" outlineLevel="1" x14ac:dyDescent="0.3">
      <c r="B9204" t="s">
        <v>271</v>
      </c>
    </row>
    <row r="9205" spans="1:3" outlineLevel="1" x14ac:dyDescent="0.3">
      <c r="B9205" t="s">
        <v>274</v>
      </c>
    </row>
    <row r="9206" spans="1:3" outlineLevel="1" x14ac:dyDescent="0.3">
      <c r="B9206" t="s">
        <v>277</v>
      </c>
    </row>
    <row r="9207" spans="1:3" outlineLevel="1" x14ac:dyDescent="0.3">
      <c r="B9207" t="s">
        <v>280</v>
      </c>
    </row>
    <row r="9208" spans="1:3" outlineLevel="1" x14ac:dyDescent="0.3">
      <c r="B9208" t="s">
        <v>283</v>
      </c>
    </row>
    <row r="9209" spans="1:3" outlineLevel="1" x14ac:dyDescent="0.3">
      <c r="B9209" t="s">
        <v>286</v>
      </c>
    </row>
    <row r="9210" spans="1:3" outlineLevel="1" x14ac:dyDescent="0.3">
      <c r="B9210" t="s">
        <v>289</v>
      </c>
    </row>
    <row r="9211" spans="1:3" x14ac:dyDescent="0.3">
      <c r="A9211" t="s">
        <v>292</v>
      </c>
    </row>
    <row r="9212" spans="1:3" outlineLevel="1" x14ac:dyDescent="0.3">
      <c r="B9212" t="s">
        <v>295</v>
      </c>
    </row>
    <row r="9213" spans="1:3" hidden="1" outlineLevel="2" x14ac:dyDescent="0.3">
      <c r="C9213" t="s">
        <v>298</v>
      </c>
    </row>
    <row r="9214" spans="1:3" hidden="1" outlineLevel="2" x14ac:dyDescent="0.3">
      <c r="C9214" t="s">
        <v>301</v>
      </c>
    </row>
    <row r="9215" spans="1:3" hidden="1" outlineLevel="2" x14ac:dyDescent="0.3">
      <c r="C9215" t="s">
        <v>304</v>
      </c>
    </row>
    <row r="9216" spans="1:3" hidden="1" outlineLevel="2" x14ac:dyDescent="0.3">
      <c r="C9216" t="s">
        <v>307</v>
      </c>
    </row>
    <row r="9217" spans="1:3" hidden="1" outlineLevel="2" x14ac:dyDescent="0.3">
      <c r="C9217" t="s">
        <v>310</v>
      </c>
    </row>
    <row r="9218" spans="1:3" hidden="1" outlineLevel="2" x14ac:dyDescent="0.3">
      <c r="C9218" t="s">
        <v>313</v>
      </c>
    </row>
    <row r="9219" spans="1:3" hidden="1" outlineLevel="2" x14ac:dyDescent="0.3">
      <c r="C9219" t="s">
        <v>316</v>
      </c>
    </row>
    <row r="9220" spans="1:3" outlineLevel="1" collapsed="1" x14ac:dyDescent="0.3">
      <c r="B9220" t="s">
        <v>319</v>
      </c>
    </row>
    <row r="9221" spans="1:3" outlineLevel="1" x14ac:dyDescent="0.3">
      <c r="B9221" t="s">
        <v>322</v>
      </c>
    </row>
    <row r="9222" spans="1:3" outlineLevel="1" x14ac:dyDescent="0.3">
      <c r="B9222" t="s">
        <v>325</v>
      </c>
    </row>
    <row r="9223" spans="1:3" outlineLevel="1" x14ac:dyDescent="0.3">
      <c r="B9223" t="s">
        <v>328</v>
      </c>
    </row>
    <row r="9224" spans="1:3" outlineLevel="1" x14ac:dyDescent="0.3">
      <c r="B9224" t="s">
        <v>331</v>
      </c>
    </row>
    <row r="9225" spans="1:3" outlineLevel="1" x14ac:dyDescent="0.3">
      <c r="B9225" t="s">
        <v>334</v>
      </c>
    </row>
    <row r="9226" spans="1:3" outlineLevel="1" x14ac:dyDescent="0.3">
      <c r="B9226" t="s">
        <v>337</v>
      </c>
    </row>
    <row r="9227" spans="1:3" outlineLevel="1" x14ac:dyDescent="0.3">
      <c r="B9227" t="s">
        <v>340</v>
      </c>
    </row>
    <row r="9228" spans="1:3" outlineLevel="1" x14ac:dyDescent="0.3">
      <c r="B9228" t="s">
        <v>343</v>
      </c>
    </row>
    <row r="9229" spans="1:3" outlineLevel="1" x14ac:dyDescent="0.3">
      <c r="B9229" t="s">
        <v>346</v>
      </c>
    </row>
    <row r="9230" spans="1:3" outlineLevel="1" x14ac:dyDescent="0.3">
      <c r="B9230" t="s">
        <v>349</v>
      </c>
    </row>
    <row r="9231" spans="1:3" x14ac:dyDescent="0.3">
      <c r="A9231" t="s">
        <v>352</v>
      </c>
    </row>
    <row r="9232" spans="1:3" outlineLevel="1" x14ac:dyDescent="0.3">
      <c r="B9232" t="s">
        <v>355</v>
      </c>
    </row>
    <row r="9233" spans="2:3" hidden="1" outlineLevel="2" x14ac:dyDescent="0.3">
      <c r="C9233" t="s">
        <v>358</v>
      </c>
    </row>
    <row r="9234" spans="2:3" hidden="1" outlineLevel="2" x14ac:dyDescent="0.3">
      <c r="C9234" t="s">
        <v>361</v>
      </c>
    </row>
    <row r="9235" spans="2:3" outlineLevel="1" collapsed="1" x14ac:dyDescent="0.3">
      <c r="B9235" t="s">
        <v>364</v>
      </c>
    </row>
    <row r="9236" spans="2:3" outlineLevel="1" x14ac:dyDescent="0.3">
      <c r="B9236" t="s">
        <v>367</v>
      </c>
    </row>
    <row r="9237" spans="2:3" outlineLevel="1" x14ac:dyDescent="0.3">
      <c r="B9237" t="s">
        <v>370</v>
      </c>
    </row>
    <row r="9238" spans="2:3" outlineLevel="1" x14ac:dyDescent="0.3">
      <c r="B9238" t="s">
        <v>373</v>
      </c>
    </row>
    <row r="9239" spans="2:3" outlineLevel="1" x14ac:dyDescent="0.3">
      <c r="B9239" t="s">
        <v>376</v>
      </c>
    </row>
    <row r="9240" spans="2:3" outlineLevel="1" x14ac:dyDescent="0.3">
      <c r="B9240" t="s">
        <v>378</v>
      </c>
    </row>
    <row r="9241" spans="2:3" outlineLevel="1" x14ac:dyDescent="0.3">
      <c r="B9241" t="s">
        <v>380</v>
      </c>
    </row>
    <row r="9242" spans="2:3" outlineLevel="1" x14ac:dyDescent="0.3">
      <c r="B9242" t="s">
        <v>382</v>
      </c>
    </row>
    <row r="9243" spans="2:3" outlineLevel="1" x14ac:dyDescent="0.3">
      <c r="B9243" t="s">
        <v>523</v>
      </c>
    </row>
    <row r="9244" spans="2:3" outlineLevel="1" x14ac:dyDescent="0.3">
      <c r="B9244" t="s">
        <v>385</v>
      </c>
    </row>
    <row r="9245" spans="2:3" outlineLevel="1" x14ac:dyDescent="0.3">
      <c r="B9245" t="s">
        <v>387</v>
      </c>
    </row>
    <row r="9246" spans="2:3" outlineLevel="1" x14ac:dyDescent="0.3">
      <c r="B9246" t="s">
        <v>389</v>
      </c>
    </row>
    <row r="9247" spans="2:3" outlineLevel="1" x14ac:dyDescent="0.3">
      <c r="B9247" t="s">
        <v>391</v>
      </c>
    </row>
    <row r="9248" spans="2:3" outlineLevel="1" x14ac:dyDescent="0.3">
      <c r="B9248" t="s">
        <v>393</v>
      </c>
    </row>
    <row r="9249" spans="1:3" x14ac:dyDescent="0.3">
      <c r="A9249" t="s">
        <v>395</v>
      </c>
    </row>
    <row r="9255" spans="1:3" x14ac:dyDescent="0.3">
      <c r="A9255" t="s">
        <v>68</v>
      </c>
    </row>
    <row r="9256" spans="1:3" outlineLevel="1" x14ac:dyDescent="0.3">
      <c r="B9256" t="s">
        <v>71</v>
      </c>
    </row>
    <row r="9257" spans="1:3" hidden="1" outlineLevel="2" x14ac:dyDescent="0.3">
      <c r="C9257" t="s">
        <v>2450</v>
      </c>
    </row>
    <row r="9258" spans="1:3" hidden="1" outlineLevel="2" x14ac:dyDescent="0.3">
      <c r="C9258" t="s">
        <v>2451</v>
      </c>
    </row>
    <row r="9259" spans="1:3" outlineLevel="1" collapsed="1" x14ac:dyDescent="0.3">
      <c r="B9259" t="s">
        <v>86</v>
      </c>
    </row>
    <row r="9260" spans="1:3" hidden="1" outlineLevel="2" x14ac:dyDescent="0.3">
      <c r="C9260" t="s">
        <v>2452</v>
      </c>
    </row>
    <row r="9261" spans="1:3" hidden="1" outlineLevel="2" x14ac:dyDescent="0.3">
      <c r="C9261" t="s">
        <v>2453</v>
      </c>
    </row>
    <row r="9262" spans="1:3" hidden="1" outlineLevel="2" x14ac:dyDescent="0.3">
      <c r="C9262" t="s">
        <v>2454</v>
      </c>
    </row>
    <row r="9263" spans="1:3" hidden="1" outlineLevel="2" x14ac:dyDescent="0.3">
      <c r="C9263" t="s">
        <v>2455</v>
      </c>
    </row>
    <row r="9264" spans="1:3" outlineLevel="1" collapsed="1" x14ac:dyDescent="0.3">
      <c r="B9264" t="s">
        <v>104</v>
      </c>
    </row>
    <row r="9265" spans="2:3" outlineLevel="1" x14ac:dyDescent="0.3">
      <c r="B9265" t="s">
        <v>107</v>
      </c>
    </row>
    <row r="9266" spans="2:3" outlineLevel="1" x14ac:dyDescent="0.3">
      <c r="B9266" t="s">
        <v>110</v>
      </c>
    </row>
    <row r="9267" spans="2:3" hidden="1" outlineLevel="2" x14ac:dyDescent="0.3">
      <c r="C9267" t="s">
        <v>2456</v>
      </c>
    </row>
    <row r="9268" spans="2:3" hidden="1" outlineLevel="2" x14ac:dyDescent="0.3">
      <c r="C9268" t="s">
        <v>2457</v>
      </c>
    </row>
    <row r="9269" spans="2:3" hidden="1" outlineLevel="2" x14ac:dyDescent="0.3">
      <c r="C9269" t="s">
        <v>2458</v>
      </c>
    </row>
    <row r="9270" spans="2:3" hidden="1" outlineLevel="2" x14ac:dyDescent="0.3">
      <c r="C9270" t="s">
        <v>2459</v>
      </c>
    </row>
    <row r="9271" spans="2:3" hidden="1" outlineLevel="2" x14ac:dyDescent="0.3">
      <c r="C9271" t="s">
        <v>2460</v>
      </c>
    </row>
    <row r="9272" spans="2:3" hidden="1" outlineLevel="2" x14ac:dyDescent="0.3">
      <c r="C9272" t="s">
        <v>2461</v>
      </c>
    </row>
    <row r="9273" spans="2:3" hidden="1" outlineLevel="2" x14ac:dyDescent="0.3">
      <c r="C9273" t="s">
        <v>2462</v>
      </c>
    </row>
    <row r="9274" spans="2:3" hidden="1" outlineLevel="2" x14ac:dyDescent="0.3">
      <c r="C9274" t="s">
        <v>2463</v>
      </c>
    </row>
    <row r="9275" spans="2:3" hidden="1" outlineLevel="2" x14ac:dyDescent="0.3">
      <c r="C9275" t="s">
        <v>2464</v>
      </c>
    </row>
    <row r="9276" spans="2:3" hidden="1" outlineLevel="2" x14ac:dyDescent="0.3">
      <c r="C9276" t="s">
        <v>2466</v>
      </c>
    </row>
    <row r="9277" spans="2:3" hidden="1" outlineLevel="2" x14ac:dyDescent="0.3">
      <c r="C9277" t="s">
        <v>2467</v>
      </c>
    </row>
    <row r="9278" spans="2:3" hidden="1" outlineLevel="2" x14ac:dyDescent="0.3">
      <c r="C9278" t="s">
        <v>2468</v>
      </c>
    </row>
    <row r="9279" spans="2:3" hidden="1" outlineLevel="2" x14ac:dyDescent="0.3">
      <c r="C9279" t="s">
        <v>2469</v>
      </c>
    </row>
    <row r="9280" spans="2:3" hidden="1" outlineLevel="2" x14ac:dyDescent="0.3">
      <c r="C9280" t="s">
        <v>2470</v>
      </c>
    </row>
    <row r="9281" spans="3:3" hidden="1" outlineLevel="2" x14ac:dyDescent="0.3">
      <c r="C9281" t="s">
        <v>2471</v>
      </c>
    </row>
    <row r="9282" spans="3:3" hidden="1" outlineLevel="2" x14ac:dyDescent="0.3">
      <c r="C9282" t="s">
        <v>2472</v>
      </c>
    </row>
    <row r="9283" spans="3:3" hidden="1" outlineLevel="2" x14ac:dyDescent="0.3">
      <c r="C9283" t="s">
        <v>2473</v>
      </c>
    </row>
    <row r="9284" spans="3:3" hidden="1" outlineLevel="2" x14ac:dyDescent="0.3">
      <c r="C9284" t="s">
        <v>2474</v>
      </c>
    </row>
    <row r="9285" spans="3:3" hidden="1" outlineLevel="2" x14ac:dyDescent="0.3">
      <c r="C9285" t="s">
        <v>2475</v>
      </c>
    </row>
    <row r="9286" spans="3:3" hidden="1" outlineLevel="2" x14ac:dyDescent="0.3">
      <c r="C9286" t="s">
        <v>2476</v>
      </c>
    </row>
    <row r="9287" spans="3:3" hidden="1" outlineLevel="2" x14ac:dyDescent="0.3">
      <c r="C9287" t="s">
        <v>2477</v>
      </c>
    </row>
    <row r="9288" spans="3:3" hidden="1" outlineLevel="2" x14ac:dyDescent="0.3">
      <c r="C9288" t="s">
        <v>2478</v>
      </c>
    </row>
    <row r="9289" spans="3:3" hidden="1" outlineLevel="2" x14ac:dyDescent="0.3">
      <c r="C9289" t="s">
        <v>2479</v>
      </c>
    </row>
    <row r="9290" spans="3:3" hidden="1" outlineLevel="2" x14ac:dyDescent="0.3">
      <c r="C9290" t="s">
        <v>2480</v>
      </c>
    </row>
    <row r="9291" spans="3:3" hidden="1" outlineLevel="2" x14ac:dyDescent="0.3">
      <c r="C9291" t="s">
        <v>2481</v>
      </c>
    </row>
    <row r="9292" spans="3:3" hidden="1" outlineLevel="2" x14ac:dyDescent="0.3">
      <c r="C9292" t="s">
        <v>2482</v>
      </c>
    </row>
    <row r="9293" spans="3:3" hidden="1" outlineLevel="2" x14ac:dyDescent="0.3">
      <c r="C9293" t="s">
        <v>4171</v>
      </c>
    </row>
    <row r="9294" spans="3:3" hidden="1" outlineLevel="2" x14ac:dyDescent="0.3">
      <c r="C9294" t="s">
        <v>2483</v>
      </c>
    </row>
    <row r="9295" spans="3:3" hidden="1" outlineLevel="2" x14ac:dyDescent="0.3">
      <c r="C9295" t="s">
        <v>2484</v>
      </c>
    </row>
    <row r="9296" spans="3:3" hidden="1" outlineLevel="2" x14ac:dyDescent="0.3">
      <c r="C9296" t="s">
        <v>2485</v>
      </c>
    </row>
    <row r="9297" spans="2:3" hidden="1" outlineLevel="2" x14ac:dyDescent="0.3">
      <c r="C9297" t="s">
        <v>2486</v>
      </c>
    </row>
    <row r="9298" spans="2:3" hidden="1" outlineLevel="2" x14ac:dyDescent="0.3">
      <c r="C9298" t="s">
        <v>2487</v>
      </c>
    </row>
    <row r="9299" spans="2:3" hidden="1" outlineLevel="2" x14ac:dyDescent="0.3">
      <c r="C9299" t="s">
        <v>2488</v>
      </c>
    </row>
    <row r="9300" spans="2:3" hidden="1" outlineLevel="2" x14ac:dyDescent="0.3">
      <c r="C9300" t="s">
        <v>4751</v>
      </c>
    </row>
    <row r="9301" spans="2:3" hidden="1" outlineLevel="2" x14ac:dyDescent="0.3">
      <c r="C9301" t="s">
        <v>2489</v>
      </c>
    </row>
    <row r="9302" spans="2:3" hidden="1" outlineLevel="2" x14ac:dyDescent="0.3">
      <c r="C9302" t="s">
        <v>2490</v>
      </c>
    </row>
    <row r="9303" spans="2:3" hidden="1" outlineLevel="2" x14ac:dyDescent="0.3">
      <c r="C9303" t="s">
        <v>2491</v>
      </c>
    </row>
    <row r="9304" spans="2:3" hidden="1" outlineLevel="2" x14ac:dyDescent="0.3">
      <c r="C9304" t="s">
        <v>2492</v>
      </c>
    </row>
    <row r="9305" spans="2:3" outlineLevel="1" collapsed="1" x14ac:dyDescent="0.3">
      <c r="B9305" t="s">
        <v>221</v>
      </c>
    </row>
    <row r="9306" spans="2:3" hidden="1" outlineLevel="2" x14ac:dyDescent="0.3">
      <c r="C9306" t="s">
        <v>2493</v>
      </c>
    </row>
    <row r="9307" spans="2:3" hidden="1" outlineLevel="2" x14ac:dyDescent="0.3">
      <c r="C9307" t="s">
        <v>2494</v>
      </c>
    </row>
    <row r="9308" spans="2:3" hidden="1" outlineLevel="2" x14ac:dyDescent="0.3">
      <c r="C9308" t="s">
        <v>2495</v>
      </c>
    </row>
    <row r="9309" spans="2:3" hidden="1" outlineLevel="2" x14ac:dyDescent="0.3">
      <c r="C9309" t="s">
        <v>2496</v>
      </c>
    </row>
    <row r="9310" spans="2:3" hidden="1" outlineLevel="2" x14ac:dyDescent="0.3">
      <c r="C9310" t="s">
        <v>2497</v>
      </c>
    </row>
    <row r="9311" spans="2:3" hidden="1" outlineLevel="2" x14ac:dyDescent="0.3">
      <c r="C9311" t="s">
        <v>2498</v>
      </c>
    </row>
    <row r="9312" spans="2:3" hidden="1" outlineLevel="2" x14ac:dyDescent="0.3">
      <c r="C9312" t="s">
        <v>2499</v>
      </c>
    </row>
    <row r="9313" spans="3:3" hidden="1" outlineLevel="2" x14ac:dyDescent="0.3">
      <c r="C9313" t="s">
        <v>2500</v>
      </c>
    </row>
    <row r="9314" spans="3:3" hidden="1" outlineLevel="2" x14ac:dyDescent="0.3">
      <c r="C9314" t="s">
        <v>2501</v>
      </c>
    </row>
    <row r="9315" spans="3:3" hidden="1" outlineLevel="2" x14ac:dyDescent="0.3">
      <c r="C9315" t="s">
        <v>2503</v>
      </c>
    </row>
    <row r="9316" spans="3:3" hidden="1" outlineLevel="2" x14ac:dyDescent="0.3">
      <c r="C9316" t="s">
        <v>2504</v>
      </c>
    </row>
    <row r="9317" spans="3:3" hidden="1" outlineLevel="2" x14ac:dyDescent="0.3">
      <c r="C9317" t="s">
        <v>2505</v>
      </c>
    </row>
    <row r="9318" spans="3:3" hidden="1" outlineLevel="2" x14ac:dyDescent="0.3">
      <c r="C9318" t="s">
        <v>2506</v>
      </c>
    </row>
    <row r="9319" spans="3:3" hidden="1" outlineLevel="2" x14ac:dyDescent="0.3">
      <c r="C9319" t="s">
        <v>2507</v>
      </c>
    </row>
    <row r="9320" spans="3:3" hidden="1" outlineLevel="2" x14ac:dyDescent="0.3">
      <c r="C9320" t="s">
        <v>2508</v>
      </c>
    </row>
    <row r="9321" spans="3:3" hidden="1" outlineLevel="2" x14ac:dyDescent="0.3">
      <c r="C9321" t="s">
        <v>2509</v>
      </c>
    </row>
    <row r="9322" spans="3:3" hidden="1" outlineLevel="2" x14ac:dyDescent="0.3">
      <c r="C9322" t="s">
        <v>2510</v>
      </c>
    </row>
    <row r="9323" spans="3:3" hidden="1" outlineLevel="2" x14ac:dyDescent="0.3">
      <c r="C9323" t="s">
        <v>2511</v>
      </c>
    </row>
    <row r="9324" spans="3:3" hidden="1" outlineLevel="2" x14ac:dyDescent="0.3">
      <c r="C9324" t="s">
        <v>2512</v>
      </c>
    </row>
    <row r="9325" spans="3:3" hidden="1" outlineLevel="2" x14ac:dyDescent="0.3">
      <c r="C9325" t="s">
        <v>2513</v>
      </c>
    </row>
    <row r="9326" spans="3:3" hidden="1" outlineLevel="2" x14ac:dyDescent="0.3">
      <c r="C9326" t="s">
        <v>2514</v>
      </c>
    </row>
    <row r="9327" spans="3:3" hidden="1" outlineLevel="2" x14ac:dyDescent="0.3">
      <c r="C9327" t="s">
        <v>4179</v>
      </c>
    </row>
    <row r="9328" spans="3:3" hidden="1" outlineLevel="2" x14ac:dyDescent="0.3">
      <c r="C9328" t="s">
        <v>2515</v>
      </c>
    </row>
    <row r="9329" spans="2:3" hidden="1" outlineLevel="2" x14ac:dyDescent="0.3">
      <c r="C9329" t="s">
        <v>2516</v>
      </c>
    </row>
    <row r="9330" spans="2:3" hidden="1" outlineLevel="2" x14ac:dyDescent="0.3">
      <c r="C9330" t="s">
        <v>2517</v>
      </c>
    </row>
    <row r="9331" spans="2:3" hidden="1" outlineLevel="2" x14ac:dyDescent="0.3">
      <c r="C9331" t="s">
        <v>2518</v>
      </c>
    </row>
    <row r="9332" spans="2:3" hidden="1" outlineLevel="2" x14ac:dyDescent="0.3">
      <c r="C9332" t="s">
        <v>2519</v>
      </c>
    </row>
    <row r="9333" spans="2:3" hidden="1" outlineLevel="2" x14ac:dyDescent="0.3">
      <c r="C9333" t="s">
        <v>2520</v>
      </c>
    </row>
    <row r="9334" spans="2:3" hidden="1" outlineLevel="2" x14ac:dyDescent="0.3">
      <c r="C9334" t="s">
        <v>4752</v>
      </c>
    </row>
    <row r="9335" spans="2:3" hidden="1" outlineLevel="2" x14ac:dyDescent="0.3">
      <c r="C9335" t="s">
        <v>2521</v>
      </c>
    </row>
    <row r="9336" spans="2:3" hidden="1" outlineLevel="2" x14ac:dyDescent="0.3">
      <c r="C9336" t="s">
        <v>2522</v>
      </c>
    </row>
    <row r="9337" spans="2:3" hidden="1" outlineLevel="2" x14ac:dyDescent="0.3">
      <c r="C9337" t="s">
        <v>2523</v>
      </c>
    </row>
    <row r="9338" spans="2:3" hidden="1" outlineLevel="2" x14ac:dyDescent="0.3">
      <c r="C9338" t="s">
        <v>2524</v>
      </c>
    </row>
    <row r="9339" spans="2:3" outlineLevel="1" collapsed="1" x14ac:dyDescent="0.3">
      <c r="B9339" t="s">
        <v>311</v>
      </c>
    </row>
    <row r="9340" spans="2:3" hidden="1" outlineLevel="2" x14ac:dyDescent="0.3">
      <c r="C9340" t="s">
        <v>314</v>
      </c>
    </row>
    <row r="9341" spans="2:3" hidden="1" outlineLevel="2" x14ac:dyDescent="0.3">
      <c r="C9341" t="s">
        <v>317</v>
      </c>
    </row>
    <row r="9342" spans="2:3" hidden="1" outlineLevel="2" x14ac:dyDescent="0.3">
      <c r="C9342" t="s">
        <v>320</v>
      </c>
    </row>
    <row r="9343" spans="2:3" hidden="1" outlineLevel="2" x14ac:dyDescent="0.3">
      <c r="C9343" t="s">
        <v>323</v>
      </c>
    </row>
    <row r="9344" spans="2:3" outlineLevel="1" collapsed="1" x14ac:dyDescent="0.3">
      <c r="B9344" t="s">
        <v>326</v>
      </c>
    </row>
    <row r="9345" spans="1:3" outlineLevel="1" x14ac:dyDescent="0.3">
      <c r="B9345" t="s">
        <v>329</v>
      </c>
    </row>
    <row r="9346" spans="1:3" outlineLevel="1" x14ac:dyDescent="0.3">
      <c r="B9346" t="s">
        <v>332</v>
      </c>
    </row>
    <row r="9347" spans="1:3" outlineLevel="1" x14ac:dyDescent="0.3">
      <c r="B9347" t="s">
        <v>335</v>
      </c>
    </row>
    <row r="9348" spans="1:3" outlineLevel="1" x14ac:dyDescent="0.3">
      <c r="B9348" t="s">
        <v>338</v>
      </c>
    </row>
    <row r="9349" spans="1:3" outlineLevel="1" x14ac:dyDescent="0.3">
      <c r="B9349" t="s">
        <v>341</v>
      </c>
    </row>
    <row r="9350" spans="1:3" outlineLevel="1" x14ac:dyDescent="0.3">
      <c r="B9350" t="s">
        <v>344</v>
      </c>
    </row>
    <row r="9351" spans="1:3" outlineLevel="1" x14ac:dyDescent="0.3">
      <c r="B9351" t="s">
        <v>347</v>
      </c>
    </row>
    <row r="9352" spans="1:3" x14ac:dyDescent="0.3">
      <c r="A9352" t="s">
        <v>350</v>
      </c>
    </row>
    <row r="9353" spans="1:3" outlineLevel="1" x14ac:dyDescent="0.3">
      <c r="B9353" t="s">
        <v>353</v>
      </c>
    </row>
    <row r="9354" spans="1:3" hidden="1" outlineLevel="2" x14ac:dyDescent="0.3">
      <c r="C9354" t="s">
        <v>2525</v>
      </c>
    </row>
    <row r="9355" spans="1:3" hidden="1" outlineLevel="2" x14ac:dyDescent="0.3">
      <c r="C9355" t="s">
        <v>2526</v>
      </c>
    </row>
    <row r="9356" spans="1:3" hidden="1" outlineLevel="2" x14ac:dyDescent="0.3">
      <c r="C9356" t="s">
        <v>2527</v>
      </c>
    </row>
    <row r="9357" spans="1:3" hidden="1" outlineLevel="2" x14ac:dyDescent="0.3">
      <c r="C9357" t="s">
        <v>2528</v>
      </c>
    </row>
    <row r="9358" spans="1:3" hidden="1" outlineLevel="2" x14ac:dyDescent="0.3">
      <c r="C9358" t="s">
        <v>2529</v>
      </c>
    </row>
    <row r="9359" spans="1:3" hidden="1" outlineLevel="2" x14ac:dyDescent="0.3">
      <c r="C9359" t="s">
        <v>2530</v>
      </c>
    </row>
    <row r="9360" spans="1:3" hidden="1" outlineLevel="2" x14ac:dyDescent="0.3">
      <c r="C9360" t="s">
        <v>2531</v>
      </c>
    </row>
    <row r="9361" spans="3:3" hidden="1" outlineLevel="2" x14ac:dyDescent="0.3">
      <c r="C9361" t="s">
        <v>2532</v>
      </c>
    </row>
    <row r="9362" spans="3:3" hidden="1" outlineLevel="2" x14ac:dyDescent="0.3">
      <c r="C9362" t="s">
        <v>2533</v>
      </c>
    </row>
    <row r="9363" spans="3:3" hidden="1" outlineLevel="2" x14ac:dyDescent="0.3">
      <c r="C9363" t="s">
        <v>4181</v>
      </c>
    </row>
    <row r="9364" spans="3:3" hidden="1" outlineLevel="2" x14ac:dyDescent="0.3">
      <c r="C9364" t="s">
        <v>2534</v>
      </c>
    </row>
    <row r="9365" spans="3:3" hidden="1" outlineLevel="2" x14ac:dyDescent="0.3">
      <c r="C9365" t="s">
        <v>2535</v>
      </c>
    </row>
    <row r="9366" spans="3:3" hidden="1" outlineLevel="2" x14ac:dyDescent="0.3">
      <c r="C9366" t="s">
        <v>2536</v>
      </c>
    </row>
    <row r="9367" spans="3:3" hidden="1" outlineLevel="2" x14ac:dyDescent="0.3">
      <c r="C9367" t="s">
        <v>2537</v>
      </c>
    </row>
    <row r="9368" spans="3:3" hidden="1" outlineLevel="2" x14ac:dyDescent="0.3">
      <c r="C9368" t="s">
        <v>2538</v>
      </c>
    </row>
    <row r="9369" spans="3:3" hidden="1" outlineLevel="2" x14ac:dyDescent="0.3">
      <c r="C9369" t="s">
        <v>2539</v>
      </c>
    </row>
    <row r="9370" spans="3:3" hidden="1" outlineLevel="2" x14ac:dyDescent="0.3">
      <c r="C9370" t="s">
        <v>2541</v>
      </c>
    </row>
    <row r="9371" spans="3:3" hidden="1" outlineLevel="2" x14ac:dyDescent="0.3">
      <c r="C9371" t="s">
        <v>2542</v>
      </c>
    </row>
    <row r="9372" spans="3:3" hidden="1" outlineLevel="2" x14ac:dyDescent="0.3">
      <c r="C9372" t="s">
        <v>2543</v>
      </c>
    </row>
    <row r="9373" spans="3:3" hidden="1" outlineLevel="2" x14ac:dyDescent="0.3">
      <c r="C9373" t="s">
        <v>2544</v>
      </c>
    </row>
    <row r="9374" spans="3:3" hidden="1" outlineLevel="2" x14ac:dyDescent="0.3">
      <c r="C9374" t="s">
        <v>2545</v>
      </c>
    </row>
    <row r="9375" spans="3:3" hidden="1" outlineLevel="2" x14ac:dyDescent="0.3">
      <c r="C9375" t="s">
        <v>2546</v>
      </c>
    </row>
    <row r="9376" spans="3:3" hidden="1" outlineLevel="2" x14ac:dyDescent="0.3">
      <c r="C9376" t="s">
        <v>406</v>
      </c>
    </row>
    <row r="9377" spans="2:3" outlineLevel="1" collapsed="1" x14ac:dyDescent="0.3">
      <c r="B9377" t="s">
        <v>407</v>
      </c>
    </row>
    <row r="9378" spans="2:3" hidden="1" outlineLevel="2" x14ac:dyDescent="0.3">
      <c r="C9378" t="s">
        <v>2547</v>
      </c>
    </row>
    <row r="9379" spans="2:3" hidden="1" outlineLevel="2" x14ac:dyDescent="0.3">
      <c r="C9379" t="s">
        <v>2548</v>
      </c>
    </row>
    <row r="9380" spans="2:3" hidden="1" outlineLevel="2" x14ac:dyDescent="0.3">
      <c r="C9380" t="s">
        <v>2549</v>
      </c>
    </row>
    <row r="9381" spans="2:3" hidden="1" outlineLevel="2" x14ac:dyDescent="0.3">
      <c r="C9381" t="s">
        <v>2550</v>
      </c>
    </row>
    <row r="9382" spans="2:3" hidden="1" outlineLevel="2" x14ac:dyDescent="0.3">
      <c r="C9382" t="s">
        <v>2551</v>
      </c>
    </row>
    <row r="9383" spans="2:3" hidden="1" outlineLevel="2" x14ac:dyDescent="0.3">
      <c r="C9383" t="s">
        <v>2552</v>
      </c>
    </row>
    <row r="9384" spans="2:3" hidden="1" outlineLevel="2" x14ac:dyDescent="0.3">
      <c r="C9384" t="s">
        <v>2553</v>
      </c>
    </row>
    <row r="9385" spans="2:3" hidden="1" outlineLevel="2" x14ac:dyDescent="0.3">
      <c r="C9385" t="s">
        <v>2554</v>
      </c>
    </row>
    <row r="9386" spans="2:3" hidden="1" outlineLevel="2" x14ac:dyDescent="0.3">
      <c r="C9386" t="s">
        <v>2555</v>
      </c>
    </row>
    <row r="9387" spans="2:3" hidden="1" outlineLevel="2" x14ac:dyDescent="0.3">
      <c r="C9387" t="s">
        <v>4185</v>
      </c>
    </row>
    <row r="9388" spans="2:3" hidden="1" outlineLevel="2" x14ac:dyDescent="0.3">
      <c r="C9388" t="s">
        <v>2556</v>
      </c>
    </row>
    <row r="9389" spans="2:3" hidden="1" outlineLevel="2" x14ac:dyDescent="0.3">
      <c r="C9389" t="s">
        <v>2557</v>
      </c>
    </row>
    <row r="9390" spans="2:3" hidden="1" outlineLevel="2" x14ac:dyDescent="0.3">
      <c r="C9390" t="s">
        <v>2558</v>
      </c>
    </row>
    <row r="9391" spans="2:3" hidden="1" outlineLevel="2" x14ac:dyDescent="0.3">
      <c r="C9391" t="s">
        <v>2559</v>
      </c>
    </row>
    <row r="9392" spans="2:3" hidden="1" outlineLevel="2" x14ac:dyDescent="0.3">
      <c r="C9392" t="s">
        <v>2560</v>
      </c>
    </row>
    <row r="9393" spans="1:3" hidden="1" outlineLevel="2" x14ac:dyDescent="0.3">
      <c r="C9393" t="s">
        <v>2561</v>
      </c>
    </row>
    <row r="9394" spans="1:3" hidden="1" outlineLevel="2" x14ac:dyDescent="0.3">
      <c r="C9394" t="s">
        <v>2563</v>
      </c>
    </row>
    <row r="9395" spans="1:3" hidden="1" outlineLevel="2" x14ac:dyDescent="0.3">
      <c r="C9395" t="s">
        <v>2564</v>
      </c>
    </row>
    <row r="9396" spans="1:3" hidden="1" outlineLevel="2" x14ac:dyDescent="0.3">
      <c r="C9396" t="s">
        <v>2565</v>
      </c>
    </row>
    <row r="9397" spans="1:3" hidden="1" outlineLevel="2" x14ac:dyDescent="0.3">
      <c r="C9397" t="s">
        <v>2566</v>
      </c>
    </row>
    <row r="9398" spans="1:3" hidden="1" outlineLevel="2" x14ac:dyDescent="0.3">
      <c r="C9398" t="s">
        <v>2567</v>
      </c>
    </row>
    <row r="9399" spans="1:3" hidden="1" outlineLevel="2" x14ac:dyDescent="0.3">
      <c r="C9399" t="s">
        <v>2568</v>
      </c>
    </row>
    <row r="9400" spans="1:3" hidden="1" outlineLevel="2" x14ac:dyDescent="0.3">
      <c r="C9400" t="s">
        <v>435</v>
      </c>
    </row>
    <row r="9401" spans="1:3" outlineLevel="1" collapsed="1" x14ac:dyDescent="0.3">
      <c r="B9401" t="s">
        <v>436</v>
      </c>
    </row>
    <row r="9402" spans="1:3" outlineLevel="1" x14ac:dyDescent="0.3">
      <c r="B9402" t="s">
        <v>437</v>
      </c>
    </row>
    <row r="9403" spans="1:3" outlineLevel="1" x14ac:dyDescent="0.3">
      <c r="B9403" t="s">
        <v>438</v>
      </c>
    </row>
    <row r="9404" spans="1:3" outlineLevel="1" x14ac:dyDescent="0.3">
      <c r="B9404" t="s">
        <v>439</v>
      </c>
    </row>
    <row r="9405" spans="1:3" outlineLevel="1" x14ac:dyDescent="0.3">
      <c r="B9405" t="s">
        <v>440</v>
      </c>
    </row>
    <row r="9406" spans="1:3" outlineLevel="1" x14ac:dyDescent="0.3">
      <c r="B9406" t="s">
        <v>441</v>
      </c>
    </row>
    <row r="9407" spans="1:3" x14ac:dyDescent="0.3">
      <c r="A9407" t="s">
        <v>442</v>
      </c>
    </row>
    <row r="9408" spans="1:3" outlineLevel="1" x14ac:dyDescent="0.3">
      <c r="B9408" t="s">
        <v>443</v>
      </c>
    </row>
    <row r="9409" spans="3:3" hidden="1" outlineLevel="2" x14ac:dyDescent="0.3">
      <c r="C9409" t="s">
        <v>2569</v>
      </c>
    </row>
    <row r="9410" spans="3:3" hidden="1" outlineLevel="2" x14ac:dyDescent="0.3">
      <c r="C9410" t="s">
        <v>2570</v>
      </c>
    </row>
    <row r="9411" spans="3:3" hidden="1" outlineLevel="2" x14ac:dyDescent="0.3">
      <c r="C9411" t="s">
        <v>2571</v>
      </c>
    </row>
    <row r="9412" spans="3:3" hidden="1" outlineLevel="2" x14ac:dyDescent="0.3">
      <c r="C9412" t="s">
        <v>2572</v>
      </c>
    </row>
    <row r="9413" spans="3:3" hidden="1" outlineLevel="2" x14ac:dyDescent="0.3">
      <c r="C9413" t="s">
        <v>2574</v>
      </c>
    </row>
    <row r="9414" spans="3:3" hidden="1" outlineLevel="2" x14ac:dyDescent="0.3">
      <c r="C9414" t="s">
        <v>2575</v>
      </c>
    </row>
    <row r="9415" spans="3:3" hidden="1" outlineLevel="2" x14ac:dyDescent="0.3">
      <c r="C9415" t="s">
        <v>2577</v>
      </c>
    </row>
    <row r="9416" spans="3:3" hidden="1" outlineLevel="2" x14ac:dyDescent="0.3">
      <c r="C9416" t="s">
        <v>2578</v>
      </c>
    </row>
    <row r="9417" spans="3:3" hidden="1" outlineLevel="2" x14ac:dyDescent="0.3">
      <c r="C9417" t="s">
        <v>2579</v>
      </c>
    </row>
    <row r="9418" spans="3:3" hidden="1" outlineLevel="2" x14ac:dyDescent="0.3">
      <c r="C9418" t="s">
        <v>2580</v>
      </c>
    </row>
    <row r="9419" spans="3:3" hidden="1" outlineLevel="2" x14ac:dyDescent="0.3">
      <c r="C9419" t="s">
        <v>2581</v>
      </c>
    </row>
    <row r="9420" spans="3:3" hidden="1" outlineLevel="2" x14ac:dyDescent="0.3">
      <c r="C9420" t="s">
        <v>2582</v>
      </c>
    </row>
    <row r="9421" spans="3:3" hidden="1" outlineLevel="2" x14ac:dyDescent="0.3">
      <c r="C9421" t="s">
        <v>2583</v>
      </c>
    </row>
    <row r="9422" spans="3:3" hidden="1" outlineLevel="2" x14ac:dyDescent="0.3">
      <c r="C9422" t="s">
        <v>2584</v>
      </c>
    </row>
    <row r="9423" spans="3:3" hidden="1" outlineLevel="2" x14ac:dyDescent="0.3">
      <c r="C9423" t="s">
        <v>2586</v>
      </c>
    </row>
    <row r="9424" spans="3:3" hidden="1" outlineLevel="2" x14ac:dyDescent="0.3">
      <c r="C9424" t="s">
        <v>2587</v>
      </c>
    </row>
    <row r="9425" spans="2:3" hidden="1" outlineLevel="2" x14ac:dyDescent="0.3">
      <c r="C9425" t="s">
        <v>2588</v>
      </c>
    </row>
    <row r="9426" spans="2:3" hidden="1" outlineLevel="2" x14ac:dyDescent="0.3">
      <c r="C9426" t="s">
        <v>2589</v>
      </c>
    </row>
    <row r="9427" spans="2:3" hidden="1" outlineLevel="2" x14ac:dyDescent="0.3">
      <c r="C9427" t="s">
        <v>2590</v>
      </c>
    </row>
    <row r="9428" spans="2:3" hidden="1" outlineLevel="2" x14ac:dyDescent="0.3">
      <c r="C9428" t="s">
        <v>2591</v>
      </c>
    </row>
    <row r="9429" spans="2:3" hidden="1" outlineLevel="2" x14ac:dyDescent="0.3">
      <c r="C9429" t="s">
        <v>474</v>
      </c>
    </row>
    <row r="9430" spans="2:3" outlineLevel="1" collapsed="1" x14ac:dyDescent="0.3">
      <c r="B9430" t="s">
        <v>475</v>
      </c>
    </row>
    <row r="9431" spans="2:3" hidden="1" outlineLevel="2" x14ac:dyDescent="0.3">
      <c r="C9431" t="s">
        <v>2592</v>
      </c>
    </row>
    <row r="9432" spans="2:3" hidden="1" outlineLevel="2" x14ac:dyDescent="0.3">
      <c r="C9432" t="s">
        <v>2593</v>
      </c>
    </row>
    <row r="9433" spans="2:3" hidden="1" outlineLevel="2" x14ac:dyDescent="0.3">
      <c r="C9433" t="s">
        <v>2594</v>
      </c>
    </row>
    <row r="9434" spans="2:3" hidden="1" outlineLevel="2" x14ac:dyDescent="0.3">
      <c r="C9434" t="s">
        <v>2595</v>
      </c>
    </row>
    <row r="9435" spans="2:3" hidden="1" outlineLevel="2" x14ac:dyDescent="0.3">
      <c r="C9435" t="s">
        <v>2597</v>
      </c>
    </row>
    <row r="9436" spans="2:3" hidden="1" outlineLevel="2" x14ac:dyDescent="0.3">
      <c r="C9436" t="s">
        <v>2598</v>
      </c>
    </row>
    <row r="9437" spans="2:3" hidden="1" outlineLevel="2" x14ac:dyDescent="0.3">
      <c r="C9437" t="s">
        <v>2600</v>
      </c>
    </row>
    <row r="9438" spans="2:3" hidden="1" outlineLevel="2" x14ac:dyDescent="0.3">
      <c r="C9438" t="s">
        <v>2601</v>
      </c>
    </row>
    <row r="9439" spans="2:3" hidden="1" outlineLevel="2" x14ac:dyDescent="0.3">
      <c r="C9439" t="s">
        <v>2602</v>
      </c>
    </row>
    <row r="9440" spans="2:3" hidden="1" outlineLevel="2" x14ac:dyDescent="0.3">
      <c r="C9440" t="s">
        <v>2603</v>
      </c>
    </row>
    <row r="9441" spans="2:3" hidden="1" outlineLevel="2" x14ac:dyDescent="0.3">
      <c r="C9441" t="s">
        <v>2604</v>
      </c>
    </row>
    <row r="9442" spans="2:3" hidden="1" outlineLevel="2" x14ac:dyDescent="0.3">
      <c r="C9442" t="s">
        <v>2605</v>
      </c>
    </row>
    <row r="9443" spans="2:3" hidden="1" outlineLevel="2" x14ac:dyDescent="0.3">
      <c r="C9443" t="s">
        <v>2606</v>
      </c>
    </row>
    <row r="9444" spans="2:3" hidden="1" outlineLevel="2" x14ac:dyDescent="0.3">
      <c r="C9444" t="s">
        <v>2608</v>
      </c>
    </row>
    <row r="9445" spans="2:3" hidden="1" outlineLevel="2" x14ac:dyDescent="0.3">
      <c r="C9445" t="s">
        <v>2609</v>
      </c>
    </row>
    <row r="9446" spans="2:3" hidden="1" outlineLevel="2" x14ac:dyDescent="0.3">
      <c r="C9446" t="s">
        <v>2610</v>
      </c>
    </row>
    <row r="9447" spans="2:3" hidden="1" outlineLevel="2" x14ac:dyDescent="0.3">
      <c r="C9447" t="s">
        <v>2611</v>
      </c>
    </row>
    <row r="9448" spans="2:3" hidden="1" outlineLevel="2" x14ac:dyDescent="0.3">
      <c r="C9448" t="s">
        <v>2612</v>
      </c>
    </row>
    <row r="9449" spans="2:3" hidden="1" outlineLevel="2" x14ac:dyDescent="0.3">
      <c r="C9449" t="s">
        <v>2613</v>
      </c>
    </row>
    <row r="9450" spans="2:3" hidden="1" outlineLevel="2" x14ac:dyDescent="0.3">
      <c r="C9450" t="s">
        <v>2614</v>
      </c>
    </row>
    <row r="9451" spans="2:3" hidden="1" outlineLevel="2" x14ac:dyDescent="0.3">
      <c r="C9451" t="s">
        <v>2615</v>
      </c>
    </row>
    <row r="9452" spans="2:3" hidden="1" outlineLevel="2" x14ac:dyDescent="0.3">
      <c r="C9452" t="s">
        <v>506</v>
      </c>
    </row>
    <row r="9453" spans="2:3" outlineLevel="1" collapsed="1" x14ac:dyDescent="0.3">
      <c r="B9453" t="s">
        <v>507</v>
      </c>
    </row>
    <row r="9454" spans="2:3" outlineLevel="1" x14ac:dyDescent="0.3">
      <c r="B9454" t="s">
        <v>508</v>
      </c>
    </row>
    <row r="9455" spans="2:3" outlineLevel="1" x14ac:dyDescent="0.3">
      <c r="B9455" t="s">
        <v>509</v>
      </c>
    </row>
    <row r="9456" spans="2:3" outlineLevel="1" x14ac:dyDescent="0.3">
      <c r="B9456" t="s">
        <v>510</v>
      </c>
    </row>
    <row r="9457" spans="1:2" outlineLevel="1" x14ac:dyDescent="0.3">
      <c r="B9457" t="s">
        <v>511</v>
      </c>
    </row>
    <row r="9458" spans="1:2" outlineLevel="1" x14ac:dyDescent="0.3">
      <c r="B9458" t="s">
        <v>512</v>
      </c>
    </row>
    <row r="9459" spans="1:2" x14ac:dyDescent="0.3">
      <c r="A9459" t="s">
        <v>513</v>
      </c>
    </row>
    <row r="9460" spans="1:2" x14ac:dyDescent="0.3">
      <c r="A9460" t="s">
        <v>514</v>
      </c>
    </row>
    <row r="9461" spans="1:2" x14ac:dyDescent="0.3">
      <c r="A9461" t="s">
        <v>515</v>
      </c>
    </row>
    <row r="9462" spans="1:2" x14ac:dyDescent="0.3">
      <c r="A9462" t="s">
        <v>516</v>
      </c>
    </row>
    <row r="9463" spans="1:2" x14ac:dyDescent="0.3">
      <c r="A9463" t="s">
        <v>517</v>
      </c>
    </row>
    <row r="9464" spans="1:2" x14ac:dyDescent="0.3">
      <c r="A9464" t="s">
        <v>518</v>
      </c>
    </row>
    <row r="9470" spans="1:2" x14ac:dyDescent="0.3">
      <c r="A9470" t="s">
        <v>524</v>
      </c>
    </row>
    <row r="9471" spans="1:2" outlineLevel="1" x14ac:dyDescent="0.3">
      <c r="B9471" t="s">
        <v>525</v>
      </c>
    </row>
    <row r="9472" spans="1:2" outlineLevel="1" x14ac:dyDescent="0.3">
      <c r="B9472" t="s">
        <v>2616</v>
      </c>
    </row>
    <row r="9473" spans="2:4" hidden="1" outlineLevel="2" x14ac:dyDescent="0.3">
      <c r="C9473" t="s">
        <v>2617</v>
      </c>
    </row>
    <row r="9474" spans="2:4" hidden="1" outlineLevel="3" x14ac:dyDescent="0.3">
      <c r="D9474" t="s">
        <v>4206</v>
      </c>
    </row>
    <row r="9475" spans="2:4" hidden="1" outlineLevel="3" x14ac:dyDescent="0.3">
      <c r="D9475" t="s">
        <v>4753</v>
      </c>
    </row>
    <row r="9476" spans="2:4" hidden="1" outlineLevel="3" x14ac:dyDescent="0.3">
      <c r="D9476" t="s">
        <v>4754</v>
      </c>
    </row>
    <row r="9477" spans="2:4" hidden="1" outlineLevel="3" x14ac:dyDescent="0.3">
      <c r="D9477" t="s">
        <v>3709</v>
      </c>
    </row>
    <row r="9478" spans="2:4" hidden="1" outlineLevel="2" x14ac:dyDescent="0.3">
      <c r="C9478" t="s">
        <v>4214</v>
      </c>
    </row>
    <row r="9479" spans="2:4" hidden="1" outlineLevel="3" x14ac:dyDescent="0.3">
      <c r="D9479" t="s">
        <v>4755</v>
      </c>
    </row>
    <row r="9480" spans="2:4" hidden="1" outlineLevel="3" x14ac:dyDescent="0.3">
      <c r="D9480" t="s">
        <v>4756</v>
      </c>
    </row>
    <row r="9481" spans="2:4" hidden="1" outlineLevel="3" x14ac:dyDescent="0.3">
      <c r="D9481" t="s">
        <v>4757</v>
      </c>
    </row>
    <row r="9482" spans="2:4" hidden="1" outlineLevel="3" x14ac:dyDescent="0.3">
      <c r="D9482" t="s">
        <v>4758</v>
      </c>
    </row>
    <row r="9483" spans="2:4" hidden="1" outlineLevel="3" x14ac:dyDescent="0.3">
      <c r="D9483" t="s">
        <v>4759</v>
      </c>
    </row>
    <row r="9484" spans="2:4" hidden="1" outlineLevel="3" x14ac:dyDescent="0.3">
      <c r="D9484" t="s">
        <v>4760</v>
      </c>
    </row>
    <row r="9485" spans="2:4" hidden="1" outlineLevel="3" x14ac:dyDescent="0.3">
      <c r="D9485" t="s">
        <v>4225</v>
      </c>
    </row>
    <row r="9486" spans="2:4" hidden="1" outlineLevel="2" x14ac:dyDescent="0.3">
      <c r="C9486" t="s">
        <v>4761</v>
      </c>
    </row>
    <row r="9487" spans="2:4" outlineLevel="1" collapsed="1" x14ac:dyDescent="0.3">
      <c r="B9487" t="s">
        <v>2628</v>
      </c>
    </row>
    <row r="9488" spans="2:4" outlineLevel="1" x14ac:dyDescent="0.3">
      <c r="B9488" t="s">
        <v>2629</v>
      </c>
    </row>
    <row r="9489" spans="2:3" outlineLevel="1" x14ac:dyDescent="0.3">
      <c r="B9489" t="s">
        <v>2630</v>
      </c>
    </row>
    <row r="9490" spans="2:3" outlineLevel="1" x14ac:dyDescent="0.3">
      <c r="B9490" t="s">
        <v>2631</v>
      </c>
    </row>
    <row r="9491" spans="2:3" hidden="1" outlineLevel="2" x14ac:dyDescent="0.3">
      <c r="C9491" t="s">
        <v>2632</v>
      </c>
    </row>
    <row r="9492" spans="2:3" hidden="1" outlineLevel="2" x14ac:dyDescent="0.3">
      <c r="C9492" t="s">
        <v>2633</v>
      </c>
    </row>
    <row r="9493" spans="2:3" hidden="1" outlineLevel="2" x14ac:dyDescent="0.3">
      <c r="C9493" t="s">
        <v>2634</v>
      </c>
    </row>
    <row r="9494" spans="2:3" hidden="1" outlineLevel="2" x14ac:dyDescent="0.3">
      <c r="C9494" t="s">
        <v>2636</v>
      </c>
    </row>
    <row r="9495" spans="2:3" hidden="1" outlineLevel="2" x14ac:dyDescent="0.3">
      <c r="C9495" t="s">
        <v>2637</v>
      </c>
    </row>
    <row r="9496" spans="2:3" hidden="1" outlineLevel="2" x14ac:dyDescent="0.3">
      <c r="C9496" t="s">
        <v>2638</v>
      </c>
    </row>
    <row r="9497" spans="2:3" outlineLevel="1" collapsed="1" x14ac:dyDescent="0.3">
      <c r="B9497" t="s">
        <v>2639</v>
      </c>
    </row>
    <row r="9498" spans="2:3" hidden="1" outlineLevel="2" x14ac:dyDescent="0.3">
      <c r="C9498" t="s">
        <v>2640</v>
      </c>
    </row>
    <row r="9499" spans="2:3" hidden="1" outlineLevel="2" x14ac:dyDescent="0.3">
      <c r="C9499" t="s">
        <v>2641</v>
      </c>
    </row>
    <row r="9500" spans="2:3" hidden="1" outlineLevel="2" x14ac:dyDescent="0.3">
      <c r="C9500" t="s">
        <v>2642</v>
      </c>
    </row>
    <row r="9501" spans="2:3" hidden="1" outlineLevel="2" x14ac:dyDescent="0.3">
      <c r="C9501" t="s">
        <v>2643</v>
      </c>
    </row>
    <row r="9502" spans="2:3" hidden="1" outlineLevel="2" x14ac:dyDescent="0.3">
      <c r="C9502" t="s">
        <v>2644</v>
      </c>
    </row>
    <row r="9503" spans="2:3" outlineLevel="1" collapsed="1" x14ac:dyDescent="0.3">
      <c r="B9503" t="s">
        <v>2645</v>
      </c>
    </row>
    <row r="9504" spans="2:3" hidden="1" outlineLevel="2" x14ac:dyDescent="0.3">
      <c r="C9504" t="s">
        <v>2646</v>
      </c>
    </row>
    <row r="9505" spans="2:3" hidden="1" outlineLevel="2" x14ac:dyDescent="0.3">
      <c r="C9505" t="s">
        <v>2647</v>
      </c>
    </row>
    <row r="9506" spans="2:3" hidden="1" outlineLevel="2" x14ac:dyDescent="0.3">
      <c r="C9506" t="s">
        <v>2648</v>
      </c>
    </row>
    <row r="9507" spans="2:3" hidden="1" outlineLevel="2" x14ac:dyDescent="0.3">
      <c r="C9507" t="s">
        <v>2649</v>
      </c>
    </row>
    <row r="9508" spans="2:3" hidden="1" outlineLevel="2" x14ac:dyDescent="0.3">
      <c r="C9508" t="s">
        <v>2650</v>
      </c>
    </row>
    <row r="9509" spans="2:3" outlineLevel="1" collapsed="1" x14ac:dyDescent="0.3">
      <c r="B9509" t="s">
        <v>2651</v>
      </c>
    </row>
    <row r="9510" spans="2:3" hidden="1" outlineLevel="2" x14ac:dyDescent="0.3">
      <c r="C9510" t="s">
        <v>2652</v>
      </c>
    </row>
    <row r="9511" spans="2:3" hidden="1" outlineLevel="2" x14ac:dyDescent="0.3">
      <c r="C9511" t="s">
        <v>2653</v>
      </c>
    </row>
    <row r="9512" spans="2:3" hidden="1" outlineLevel="2" x14ac:dyDescent="0.3">
      <c r="C9512" t="s">
        <v>2654</v>
      </c>
    </row>
    <row r="9513" spans="2:3" hidden="1" outlineLevel="2" x14ac:dyDescent="0.3">
      <c r="C9513" t="s">
        <v>2655</v>
      </c>
    </row>
    <row r="9514" spans="2:3" hidden="1" outlineLevel="2" x14ac:dyDescent="0.3">
      <c r="C9514" t="s">
        <v>2656</v>
      </c>
    </row>
    <row r="9515" spans="2:3" hidden="1" outlineLevel="2" x14ac:dyDescent="0.3">
      <c r="C9515" t="s">
        <v>2657</v>
      </c>
    </row>
    <row r="9516" spans="2:3" hidden="1" outlineLevel="2" x14ac:dyDescent="0.3">
      <c r="C9516" t="s">
        <v>2658</v>
      </c>
    </row>
    <row r="9517" spans="2:3" hidden="1" outlineLevel="2" x14ac:dyDescent="0.3">
      <c r="C9517" t="s">
        <v>2659</v>
      </c>
    </row>
    <row r="9518" spans="2:3" outlineLevel="1" collapsed="1" x14ac:dyDescent="0.3">
      <c r="B9518" t="s">
        <v>2660</v>
      </c>
    </row>
    <row r="9519" spans="2:3" outlineLevel="1" x14ac:dyDescent="0.3">
      <c r="B9519" t="s">
        <v>2661</v>
      </c>
    </row>
    <row r="9520" spans="2:3" hidden="1" outlineLevel="2" x14ac:dyDescent="0.3">
      <c r="C9520" t="s">
        <v>2662</v>
      </c>
    </row>
    <row r="9521" spans="2:3" hidden="1" outlineLevel="2" x14ac:dyDescent="0.3">
      <c r="C9521" t="s">
        <v>2663</v>
      </c>
    </row>
    <row r="9522" spans="2:3" hidden="1" outlineLevel="2" x14ac:dyDescent="0.3">
      <c r="C9522" t="s">
        <v>2667</v>
      </c>
    </row>
    <row r="9523" spans="2:3" outlineLevel="1" collapsed="1" x14ac:dyDescent="0.3">
      <c r="B9523" t="s">
        <v>2668</v>
      </c>
    </row>
    <row r="9524" spans="2:3" outlineLevel="1" x14ac:dyDescent="0.3">
      <c r="B9524" t="s">
        <v>2669</v>
      </c>
    </row>
    <row r="9525" spans="2:3" hidden="1" outlineLevel="2" x14ac:dyDescent="0.3">
      <c r="C9525" t="s">
        <v>2670</v>
      </c>
    </row>
    <row r="9526" spans="2:3" hidden="1" outlineLevel="2" x14ac:dyDescent="0.3">
      <c r="C9526" t="s">
        <v>2671</v>
      </c>
    </row>
    <row r="9527" spans="2:3" hidden="1" outlineLevel="2" x14ac:dyDescent="0.3">
      <c r="C9527" t="s">
        <v>2672</v>
      </c>
    </row>
    <row r="9528" spans="2:3" hidden="1" outlineLevel="2" x14ac:dyDescent="0.3">
      <c r="C9528" t="s">
        <v>2673</v>
      </c>
    </row>
    <row r="9529" spans="2:3" outlineLevel="1" collapsed="1" x14ac:dyDescent="0.3">
      <c r="B9529" t="s">
        <v>2674</v>
      </c>
    </row>
    <row r="9530" spans="2:3" outlineLevel="1" x14ac:dyDescent="0.3">
      <c r="B9530" t="s">
        <v>2675</v>
      </c>
    </row>
    <row r="9531" spans="2:3" outlineLevel="1" x14ac:dyDescent="0.3">
      <c r="B9531" t="s">
        <v>2676</v>
      </c>
    </row>
    <row r="9532" spans="2:3" outlineLevel="1" x14ac:dyDescent="0.3">
      <c r="B9532" t="s">
        <v>2677</v>
      </c>
    </row>
    <row r="9533" spans="2:3" outlineLevel="1" x14ac:dyDescent="0.3">
      <c r="B9533" t="s">
        <v>2678</v>
      </c>
    </row>
    <row r="9534" spans="2:3" outlineLevel="1" x14ac:dyDescent="0.3">
      <c r="B9534" t="s">
        <v>2679</v>
      </c>
    </row>
    <row r="9535" spans="2:3" hidden="1" outlineLevel="2" x14ac:dyDescent="0.3">
      <c r="C9535" t="s">
        <v>2680</v>
      </c>
    </row>
    <row r="9536" spans="2:3" hidden="1" outlineLevel="2" x14ac:dyDescent="0.3">
      <c r="C9536" t="s">
        <v>2681</v>
      </c>
    </row>
    <row r="9537" spans="3:3" hidden="1" outlineLevel="2" x14ac:dyDescent="0.3">
      <c r="C9537" t="s">
        <v>4762</v>
      </c>
    </row>
    <row r="9538" spans="3:3" hidden="1" outlineLevel="2" x14ac:dyDescent="0.3">
      <c r="C9538" t="s">
        <v>4763</v>
      </c>
    </row>
    <row r="9539" spans="3:3" hidden="1" outlineLevel="2" x14ac:dyDescent="0.3">
      <c r="C9539" t="s">
        <v>4641</v>
      </c>
    </row>
    <row r="9540" spans="3:3" hidden="1" outlineLevel="2" x14ac:dyDescent="0.3">
      <c r="C9540" t="s">
        <v>4642</v>
      </c>
    </row>
    <row r="9541" spans="3:3" hidden="1" outlineLevel="2" x14ac:dyDescent="0.3">
      <c r="C9541" t="s">
        <v>4643</v>
      </c>
    </row>
    <row r="9542" spans="3:3" hidden="1" outlineLevel="2" x14ac:dyDescent="0.3">
      <c r="C9542" t="s">
        <v>4644</v>
      </c>
    </row>
    <row r="9543" spans="3:3" hidden="1" outlineLevel="2" x14ac:dyDescent="0.3">
      <c r="C9543" t="s">
        <v>4764</v>
      </c>
    </row>
    <row r="9544" spans="3:3" hidden="1" outlineLevel="2" x14ac:dyDescent="0.3">
      <c r="C9544" t="s">
        <v>4765</v>
      </c>
    </row>
    <row r="9545" spans="3:3" hidden="1" outlineLevel="2" x14ac:dyDescent="0.3">
      <c r="C9545" t="s">
        <v>4766</v>
      </c>
    </row>
    <row r="9546" spans="3:3" hidden="1" outlineLevel="2" x14ac:dyDescent="0.3">
      <c r="C9546" t="s">
        <v>4767</v>
      </c>
    </row>
    <row r="9547" spans="3:3" hidden="1" outlineLevel="2" x14ac:dyDescent="0.3">
      <c r="C9547" t="s">
        <v>4768</v>
      </c>
    </row>
    <row r="9548" spans="3:3" hidden="1" outlineLevel="2" x14ac:dyDescent="0.3">
      <c r="C9548" t="s">
        <v>4769</v>
      </c>
    </row>
    <row r="9549" spans="3:3" hidden="1" outlineLevel="2" x14ac:dyDescent="0.3">
      <c r="C9549" t="s">
        <v>4770</v>
      </c>
    </row>
    <row r="9550" spans="3:3" hidden="1" outlineLevel="2" x14ac:dyDescent="0.3">
      <c r="C9550" t="s">
        <v>4771</v>
      </c>
    </row>
    <row r="9551" spans="3:3" hidden="1" outlineLevel="2" x14ac:dyDescent="0.3">
      <c r="C9551" t="s">
        <v>4772</v>
      </c>
    </row>
    <row r="9552" spans="3:3" hidden="1" outlineLevel="2" x14ac:dyDescent="0.3">
      <c r="C9552" t="s">
        <v>4773</v>
      </c>
    </row>
    <row r="9553" spans="2:3" hidden="1" outlineLevel="2" x14ac:dyDescent="0.3">
      <c r="C9553" t="s">
        <v>4774</v>
      </c>
    </row>
    <row r="9554" spans="2:3" hidden="1" outlineLevel="2" x14ac:dyDescent="0.3">
      <c r="C9554" t="s">
        <v>2723</v>
      </c>
    </row>
    <row r="9555" spans="2:3" hidden="1" outlineLevel="2" x14ac:dyDescent="0.3">
      <c r="C9555" t="s">
        <v>2724</v>
      </c>
    </row>
    <row r="9556" spans="2:3" hidden="1" outlineLevel="2" x14ac:dyDescent="0.3">
      <c r="C9556" t="s">
        <v>3746</v>
      </c>
    </row>
    <row r="9557" spans="2:3" outlineLevel="1" collapsed="1" x14ac:dyDescent="0.3">
      <c r="B9557" t="s">
        <v>4775</v>
      </c>
    </row>
    <row r="9558" spans="2:3" outlineLevel="1" x14ac:dyDescent="0.3">
      <c r="B9558" t="s">
        <v>4776</v>
      </c>
    </row>
    <row r="9559" spans="2:3" hidden="1" outlineLevel="2" x14ac:dyDescent="0.3">
      <c r="C9559" t="s">
        <v>4777</v>
      </c>
    </row>
    <row r="9560" spans="2:3" hidden="1" outlineLevel="2" x14ac:dyDescent="0.3">
      <c r="C9560" t="s">
        <v>4778</v>
      </c>
    </row>
    <row r="9561" spans="2:3" hidden="1" outlineLevel="2" x14ac:dyDescent="0.3">
      <c r="C9561" t="s">
        <v>4779</v>
      </c>
    </row>
    <row r="9562" spans="2:3" hidden="1" outlineLevel="2" x14ac:dyDescent="0.3">
      <c r="C9562" t="s">
        <v>4780</v>
      </c>
    </row>
    <row r="9563" spans="2:3" hidden="1" outlineLevel="2" x14ac:dyDescent="0.3">
      <c r="C9563" t="s">
        <v>4781</v>
      </c>
    </row>
    <row r="9564" spans="2:3" outlineLevel="1" collapsed="1" x14ac:dyDescent="0.3">
      <c r="B9564" t="s">
        <v>4782</v>
      </c>
    </row>
    <row r="9565" spans="2:3" hidden="1" outlineLevel="2" x14ac:dyDescent="0.3">
      <c r="C9565" t="s">
        <v>4783</v>
      </c>
    </row>
    <row r="9566" spans="2:3" hidden="1" outlineLevel="2" x14ac:dyDescent="0.3">
      <c r="C9566" t="s">
        <v>4784</v>
      </c>
    </row>
    <row r="9567" spans="2:3" hidden="1" outlineLevel="2" x14ac:dyDescent="0.3">
      <c r="C9567" t="s">
        <v>4785</v>
      </c>
    </row>
    <row r="9568" spans="2:3" hidden="1" outlineLevel="2" x14ac:dyDescent="0.3">
      <c r="C9568" t="s">
        <v>4786</v>
      </c>
    </row>
    <row r="9569" spans="2:3" hidden="1" outlineLevel="2" x14ac:dyDescent="0.3">
      <c r="C9569" t="s">
        <v>4787</v>
      </c>
    </row>
    <row r="9570" spans="2:3" hidden="1" outlineLevel="2" x14ac:dyDescent="0.3">
      <c r="C9570" t="s">
        <v>4788</v>
      </c>
    </row>
    <row r="9571" spans="2:3" hidden="1" outlineLevel="2" x14ac:dyDescent="0.3">
      <c r="C9571" t="s">
        <v>4789</v>
      </c>
    </row>
    <row r="9572" spans="2:3" hidden="1" outlineLevel="2" x14ac:dyDescent="0.3">
      <c r="C9572" t="s">
        <v>4790</v>
      </c>
    </row>
    <row r="9573" spans="2:3" hidden="1" outlineLevel="2" x14ac:dyDescent="0.3">
      <c r="C9573" t="s">
        <v>4791</v>
      </c>
    </row>
    <row r="9574" spans="2:3" hidden="1" outlineLevel="2" x14ac:dyDescent="0.3">
      <c r="C9574" t="s">
        <v>4792</v>
      </c>
    </row>
    <row r="9575" spans="2:3" hidden="1" outlineLevel="2" x14ac:dyDescent="0.3">
      <c r="C9575" t="s">
        <v>4793</v>
      </c>
    </row>
    <row r="9576" spans="2:3" hidden="1" outlineLevel="2" x14ac:dyDescent="0.3">
      <c r="C9576" t="s">
        <v>4794</v>
      </c>
    </row>
    <row r="9577" spans="2:3" outlineLevel="1" collapsed="1" x14ac:dyDescent="0.3">
      <c r="B9577" t="s">
        <v>2725</v>
      </c>
    </row>
    <row r="9578" spans="2:3" outlineLevel="1" x14ac:dyDescent="0.3">
      <c r="B9578" t="s">
        <v>2726</v>
      </c>
    </row>
    <row r="9579" spans="2:3" outlineLevel="1" x14ac:dyDescent="0.3">
      <c r="B9579" t="s">
        <v>2727</v>
      </c>
    </row>
    <row r="9580" spans="2:3" outlineLevel="1" x14ac:dyDescent="0.3">
      <c r="B9580" t="s">
        <v>2728</v>
      </c>
    </row>
    <row r="9581" spans="2:3" hidden="1" outlineLevel="2" x14ac:dyDescent="0.3">
      <c r="C9581" t="s">
        <v>3747</v>
      </c>
    </row>
    <row r="9582" spans="2:3" hidden="1" outlineLevel="2" x14ac:dyDescent="0.3">
      <c r="C9582" t="s">
        <v>3748</v>
      </c>
    </row>
    <row r="9583" spans="2:3" hidden="1" outlineLevel="2" x14ac:dyDescent="0.3">
      <c r="C9583" t="s">
        <v>4795</v>
      </c>
    </row>
    <row r="9584" spans="2:3" hidden="1" outlineLevel="2" x14ac:dyDescent="0.3">
      <c r="C9584" t="s">
        <v>4796</v>
      </c>
    </row>
    <row r="9585" spans="2:3" hidden="1" outlineLevel="2" x14ac:dyDescent="0.3">
      <c r="C9585" t="s">
        <v>4797</v>
      </c>
    </row>
    <row r="9586" spans="2:3" hidden="1" outlineLevel="2" x14ac:dyDescent="0.3">
      <c r="C9586" t="s">
        <v>4798</v>
      </c>
    </row>
    <row r="9587" spans="2:3" hidden="1" outlineLevel="2" x14ac:dyDescent="0.3">
      <c r="C9587" t="s">
        <v>4799</v>
      </c>
    </row>
    <row r="9588" spans="2:3" hidden="1" outlineLevel="2" x14ac:dyDescent="0.3">
      <c r="C9588" t="s">
        <v>4800</v>
      </c>
    </row>
    <row r="9589" spans="2:3" hidden="1" outlineLevel="2" x14ac:dyDescent="0.3">
      <c r="C9589" t="s">
        <v>2742</v>
      </c>
    </row>
    <row r="9590" spans="2:3" hidden="1" outlineLevel="2" x14ac:dyDescent="0.3">
      <c r="C9590" t="s">
        <v>2743</v>
      </c>
    </row>
    <row r="9591" spans="2:3" hidden="1" outlineLevel="2" x14ac:dyDescent="0.3">
      <c r="C9591" t="s">
        <v>3755</v>
      </c>
    </row>
    <row r="9592" spans="2:3" hidden="1" outlineLevel="2" x14ac:dyDescent="0.3">
      <c r="C9592" t="s">
        <v>3756</v>
      </c>
    </row>
    <row r="9593" spans="2:3" hidden="1" outlineLevel="2" x14ac:dyDescent="0.3">
      <c r="C9593" t="s">
        <v>3757</v>
      </c>
    </row>
    <row r="9594" spans="2:3" hidden="1" outlineLevel="2" x14ac:dyDescent="0.3">
      <c r="C9594" t="s">
        <v>3758</v>
      </c>
    </row>
    <row r="9595" spans="2:3" hidden="1" outlineLevel="2" x14ac:dyDescent="0.3">
      <c r="C9595" t="s">
        <v>2748</v>
      </c>
    </row>
    <row r="9596" spans="2:3" hidden="1" outlineLevel="2" x14ac:dyDescent="0.3">
      <c r="C9596" t="s">
        <v>2749</v>
      </c>
    </row>
    <row r="9597" spans="2:3" hidden="1" outlineLevel="2" x14ac:dyDescent="0.3">
      <c r="C9597" t="s">
        <v>2750</v>
      </c>
    </row>
    <row r="9598" spans="2:3" hidden="1" outlineLevel="2" x14ac:dyDescent="0.3">
      <c r="C9598" t="s">
        <v>2751</v>
      </c>
    </row>
    <row r="9599" spans="2:3" outlineLevel="1" collapsed="1" x14ac:dyDescent="0.3">
      <c r="B9599" t="s">
        <v>2752</v>
      </c>
    </row>
    <row r="9600" spans="2:3" outlineLevel="1" x14ac:dyDescent="0.3">
      <c r="B9600" t="s">
        <v>2753</v>
      </c>
    </row>
    <row r="9601" spans="2:3" outlineLevel="1" x14ac:dyDescent="0.3">
      <c r="B9601" t="s">
        <v>2754</v>
      </c>
    </row>
    <row r="9602" spans="2:3" hidden="1" outlineLevel="2" x14ac:dyDescent="0.3">
      <c r="C9602" t="s">
        <v>2755</v>
      </c>
    </row>
    <row r="9603" spans="2:3" hidden="1" outlineLevel="2" x14ac:dyDescent="0.3">
      <c r="C9603" t="s">
        <v>2756</v>
      </c>
    </row>
    <row r="9604" spans="2:3" hidden="1" outlineLevel="2" x14ac:dyDescent="0.3">
      <c r="C9604" t="s">
        <v>2757</v>
      </c>
    </row>
    <row r="9605" spans="2:3" hidden="1" outlineLevel="2" x14ac:dyDescent="0.3">
      <c r="C9605" t="s">
        <v>2758</v>
      </c>
    </row>
    <row r="9606" spans="2:3" hidden="1" outlineLevel="2" x14ac:dyDescent="0.3">
      <c r="C9606" t="s">
        <v>2759</v>
      </c>
    </row>
    <row r="9607" spans="2:3" outlineLevel="1" collapsed="1" x14ac:dyDescent="0.3">
      <c r="B9607" t="s">
        <v>2760</v>
      </c>
    </row>
    <row r="9608" spans="2:3" outlineLevel="1" x14ac:dyDescent="0.3">
      <c r="B9608" t="s">
        <v>2761</v>
      </c>
    </row>
    <row r="9609" spans="2:3" hidden="1" outlineLevel="2" x14ac:dyDescent="0.3">
      <c r="C9609" t="s">
        <v>3759</v>
      </c>
    </row>
    <row r="9610" spans="2:3" hidden="1" outlineLevel="2" x14ac:dyDescent="0.3">
      <c r="C9610" t="s">
        <v>2763</v>
      </c>
    </row>
    <row r="9611" spans="2:3" hidden="1" outlineLevel="2" x14ac:dyDescent="0.3">
      <c r="C9611" t="s">
        <v>2764</v>
      </c>
    </row>
    <row r="9612" spans="2:3" hidden="1" outlineLevel="2" x14ac:dyDescent="0.3">
      <c r="C9612" t="s">
        <v>2765</v>
      </c>
    </row>
    <row r="9613" spans="2:3" hidden="1" outlineLevel="2" x14ac:dyDescent="0.3">
      <c r="C9613" t="s">
        <v>2766</v>
      </c>
    </row>
    <row r="9614" spans="2:3" outlineLevel="1" collapsed="1" x14ac:dyDescent="0.3">
      <c r="B9614" t="s">
        <v>2767</v>
      </c>
    </row>
    <row r="9615" spans="2:3" outlineLevel="1" x14ac:dyDescent="0.3">
      <c r="B9615" t="s">
        <v>2768</v>
      </c>
    </row>
    <row r="9616" spans="2:3" outlineLevel="1" x14ac:dyDescent="0.3">
      <c r="B9616" t="s">
        <v>2769</v>
      </c>
    </row>
    <row r="9617" spans="2:3" outlineLevel="1" x14ac:dyDescent="0.3">
      <c r="B9617" t="s">
        <v>2770</v>
      </c>
    </row>
    <row r="9618" spans="2:3" outlineLevel="1" x14ac:dyDescent="0.3">
      <c r="B9618" t="s">
        <v>2771</v>
      </c>
    </row>
    <row r="9619" spans="2:3" outlineLevel="1" x14ac:dyDescent="0.3">
      <c r="B9619" t="s">
        <v>2772</v>
      </c>
    </row>
    <row r="9620" spans="2:3" hidden="1" outlineLevel="2" x14ac:dyDescent="0.3">
      <c r="C9620" t="s">
        <v>2773</v>
      </c>
    </row>
    <row r="9621" spans="2:3" hidden="1" outlineLevel="2" x14ac:dyDescent="0.3">
      <c r="C9621" t="s">
        <v>2774</v>
      </c>
    </row>
    <row r="9622" spans="2:3" hidden="1" outlineLevel="2" x14ac:dyDescent="0.3">
      <c r="C9622" t="s">
        <v>2775</v>
      </c>
    </row>
    <row r="9623" spans="2:3" hidden="1" outlineLevel="2" x14ac:dyDescent="0.3">
      <c r="C9623" t="s">
        <v>2776</v>
      </c>
    </row>
    <row r="9624" spans="2:3" hidden="1" outlineLevel="2" x14ac:dyDescent="0.3">
      <c r="C9624" t="s">
        <v>2777</v>
      </c>
    </row>
    <row r="9625" spans="2:3" hidden="1" outlineLevel="2" x14ac:dyDescent="0.3">
      <c r="C9625" t="s">
        <v>2778</v>
      </c>
    </row>
    <row r="9626" spans="2:3" hidden="1" outlineLevel="2" x14ac:dyDescent="0.3">
      <c r="C9626" t="s">
        <v>2779</v>
      </c>
    </row>
    <row r="9627" spans="2:3" hidden="1" outlineLevel="2" x14ac:dyDescent="0.3">
      <c r="C9627" t="s">
        <v>2780</v>
      </c>
    </row>
    <row r="9628" spans="2:3" hidden="1" outlineLevel="2" x14ac:dyDescent="0.3">
      <c r="C9628" t="s">
        <v>3775</v>
      </c>
    </row>
    <row r="9629" spans="2:3" hidden="1" outlineLevel="2" x14ac:dyDescent="0.3">
      <c r="C9629" t="s">
        <v>3776</v>
      </c>
    </row>
    <row r="9630" spans="2:3" hidden="1" outlineLevel="2" x14ac:dyDescent="0.3">
      <c r="C9630" t="s">
        <v>3777</v>
      </c>
    </row>
    <row r="9631" spans="2:3" hidden="1" outlineLevel="2" x14ac:dyDescent="0.3">
      <c r="C9631" t="s">
        <v>2784</v>
      </c>
    </row>
    <row r="9632" spans="2:3" hidden="1" outlineLevel="2" x14ac:dyDescent="0.3">
      <c r="C9632" t="s">
        <v>2785</v>
      </c>
    </row>
    <row r="9633" spans="1:3" hidden="1" outlineLevel="2" x14ac:dyDescent="0.3">
      <c r="C9633" t="s">
        <v>2786</v>
      </c>
    </row>
    <row r="9634" spans="1:3" hidden="1" outlineLevel="2" x14ac:dyDescent="0.3">
      <c r="C9634" t="s">
        <v>2787</v>
      </c>
    </row>
    <row r="9635" spans="1:3" hidden="1" outlineLevel="2" x14ac:dyDescent="0.3">
      <c r="C9635" t="s">
        <v>2791</v>
      </c>
    </row>
    <row r="9636" spans="1:3" hidden="1" outlineLevel="2" x14ac:dyDescent="0.3">
      <c r="C9636" t="s">
        <v>2792</v>
      </c>
    </row>
    <row r="9637" spans="1:3" hidden="1" outlineLevel="2" x14ac:dyDescent="0.3">
      <c r="C9637" t="s">
        <v>2793</v>
      </c>
    </row>
    <row r="9638" spans="1:3" hidden="1" outlineLevel="2" x14ac:dyDescent="0.3">
      <c r="C9638" t="s">
        <v>2794</v>
      </c>
    </row>
    <row r="9639" spans="1:3" hidden="1" outlineLevel="2" x14ac:dyDescent="0.3">
      <c r="C9639" t="s">
        <v>2795</v>
      </c>
    </row>
    <row r="9640" spans="1:3" hidden="1" outlineLevel="2" x14ac:dyDescent="0.3">
      <c r="C9640" t="s">
        <v>2796</v>
      </c>
    </row>
    <row r="9641" spans="1:3" hidden="1" outlineLevel="2" x14ac:dyDescent="0.3">
      <c r="C9641" t="s">
        <v>2797</v>
      </c>
    </row>
    <row r="9642" spans="1:3" hidden="1" outlineLevel="2" x14ac:dyDescent="0.3">
      <c r="C9642" t="s">
        <v>2798</v>
      </c>
    </row>
    <row r="9643" spans="1:3" x14ac:dyDescent="0.3">
      <c r="A9643" t="s">
        <v>927</v>
      </c>
    </row>
    <row r="9644" spans="1:3" x14ac:dyDescent="0.3">
      <c r="A9644" t="s">
        <v>928</v>
      </c>
    </row>
    <row r="9645" spans="1:3" x14ac:dyDescent="0.3">
      <c r="A9645" t="s">
        <v>929</v>
      </c>
    </row>
    <row r="9646" spans="1:3" x14ac:dyDescent="0.3">
      <c r="A9646" t="s">
        <v>930</v>
      </c>
    </row>
    <row r="9647" spans="1:3" outlineLevel="1" x14ac:dyDescent="0.3">
      <c r="B9647" t="s">
        <v>931</v>
      </c>
    </row>
    <row r="9648" spans="1:3" outlineLevel="1" x14ac:dyDescent="0.3">
      <c r="B9648" t="s">
        <v>932</v>
      </c>
    </row>
    <row r="9649" spans="2:4" outlineLevel="1" x14ac:dyDescent="0.3">
      <c r="B9649" t="s">
        <v>933</v>
      </c>
    </row>
    <row r="9650" spans="2:4" hidden="1" outlineLevel="2" x14ac:dyDescent="0.3">
      <c r="C9650" t="s">
        <v>934</v>
      </c>
    </row>
    <row r="9651" spans="2:4" hidden="1" outlineLevel="3" x14ac:dyDescent="0.3">
      <c r="D9651" t="s">
        <v>935</v>
      </c>
    </row>
    <row r="9652" spans="2:4" hidden="1" outlineLevel="3" x14ac:dyDescent="0.3">
      <c r="D9652" t="s">
        <v>936</v>
      </c>
    </row>
    <row r="9653" spans="2:4" hidden="1" outlineLevel="2" x14ac:dyDescent="0.3">
      <c r="C9653" t="s">
        <v>937</v>
      </c>
    </row>
    <row r="9654" spans="2:4" hidden="1" outlineLevel="2" x14ac:dyDescent="0.3">
      <c r="C9654" t="s">
        <v>938</v>
      </c>
    </row>
    <row r="9655" spans="2:4" hidden="1" outlineLevel="3" x14ac:dyDescent="0.3">
      <c r="D9655" t="s">
        <v>939</v>
      </c>
    </row>
    <row r="9656" spans="2:4" hidden="1" outlineLevel="3" x14ac:dyDescent="0.3">
      <c r="D9656" t="s">
        <v>940</v>
      </c>
    </row>
    <row r="9657" spans="2:4" hidden="1" outlineLevel="3" x14ac:dyDescent="0.3">
      <c r="D9657" t="s">
        <v>941</v>
      </c>
    </row>
    <row r="9658" spans="2:4" hidden="1" outlineLevel="3" x14ac:dyDescent="0.3">
      <c r="D9658" t="s">
        <v>942</v>
      </c>
    </row>
    <row r="9659" spans="2:4" hidden="1" outlineLevel="3" x14ac:dyDescent="0.3">
      <c r="D9659" t="s">
        <v>943</v>
      </c>
    </row>
    <row r="9660" spans="2:4" hidden="1" outlineLevel="3" x14ac:dyDescent="0.3">
      <c r="D9660" t="s">
        <v>944</v>
      </c>
    </row>
    <row r="9661" spans="2:4" hidden="1" outlineLevel="3" x14ac:dyDescent="0.3">
      <c r="D9661" t="s">
        <v>945</v>
      </c>
    </row>
    <row r="9662" spans="2:4" hidden="1" outlineLevel="3" x14ac:dyDescent="0.3">
      <c r="D9662" t="s">
        <v>946</v>
      </c>
    </row>
    <row r="9663" spans="2:4" hidden="1" outlineLevel="3" x14ac:dyDescent="0.3">
      <c r="D9663" t="s">
        <v>947</v>
      </c>
    </row>
    <row r="9664" spans="2:4" hidden="1" outlineLevel="3" x14ac:dyDescent="0.3">
      <c r="D9664" t="s">
        <v>948</v>
      </c>
    </row>
    <row r="9665" spans="3:4" hidden="1" outlineLevel="3" x14ac:dyDescent="0.3">
      <c r="D9665" t="s">
        <v>949</v>
      </c>
    </row>
    <row r="9666" spans="3:4" hidden="1" outlineLevel="3" x14ac:dyDescent="0.3">
      <c r="D9666" t="s">
        <v>950</v>
      </c>
    </row>
    <row r="9667" spans="3:4" hidden="1" outlineLevel="3" x14ac:dyDescent="0.3">
      <c r="D9667" t="s">
        <v>951</v>
      </c>
    </row>
    <row r="9668" spans="3:4" hidden="1" outlineLevel="3" x14ac:dyDescent="0.3">
      <c r="D9668" t="s">
        <v>952</v>
      </c>
    </row>
    <row r="9669" spans="3:4" hidden="1" outlineLevel="3" x14ac:dyDescent="0.3">
      <c r="D9669" t="s">
        <v>953</v>
      </c>
    </row>
    <row r="9670" spans="3:4" hidden="1" outlineLevel="2" x14ac:dyDescent="0.3">
      <c r="C9670" t="s">
        <v>954</v>
      </c>
    </row>
    <row r="9671" spans="3:4" hidden="1" outlineLevel="3" x14ac:dyDescent="0.3">
      <c r="D9671" t="s">
        <v>955</v>
      </c>
    </row>
    <row r="9672" spans="3:4" hidden="1" outlineLevel="3" x14ac:dyDescent="0.3">
      <c r="D9672" t="s">
        <v>956</v>
      </c>
    </row>
    <row r="9673" spans="3:4" hidden="1" outlineLevel="3" x14ac:dyDescent="0.3">
      <c r="D9673" t="s">
        <v>957</v>
      </c>
    </row>
    <row r="9674" spans="3:4" hidden="1" outlineLevel="3" x14ac:dyDescent="0.3">
      <c r="D9674" t="s">
        <v>958</v>
      </c>
    </row>
    <row r="9675" spans="3:4" hidden="1" outlineLevel="3" x14ac:dyDescent="0.3">
      <c r="D9675" t="s">
        <v>959</v>
      </c>
    </row>
    <row r="9676" spans="3:4" hidden="1" outlineLevel="3" x14ac:dyDescent="0.3">
      <c r="D9676" t="s">
        <v>960</v>
      </c>
    </row>
    <row r="9677" spans="3:4" hidden="1" outlineLevel="3" x14ac:dyDescent="0.3">
      <c r="D9677" t="s">
        <v>961</v>
      </c>
    </row>
    <row r="9678" spans="3:4" hidden="1" outlineLevel="3" x14ac:dyDescent="0.3">
      <c r="D9678" t="s">
        <v>962</v>
      </c>
    </row>
    <row r="9679" spans="3:4" hidden="1" outlineLevel="3" x14ac:dyDescent="0.3">
      <c r="D9679" t="s">
        <v>963</v>
      </c>
    </row>
    <row r="9680" spans="3:4" hidden="1" outlineLevel="2" x14ac:dyDescent="0.3">
      <c r="C9680" t="s">
        <v>964</v>
      </c>
    </row>
    <row r="9681" spans="3:4" hidden="1" outlineLevel="3" x14ac:dyDescent="0.3">
      <c r="D9681" t="s">
        <v>965</v>
      </c>
    </row>
    <row r="9682" spans="3:4" hidden="1" outlineLevel="3" x14ac:dyDescent="0.3">
      <c r="D9682" t="s">
        <v>966</v>
      </c>
    </row>
    <row r="9683" spans="3:4" hidden="1" outlineLevel="3" x14ac:dyDescent="0.3">
      <c r="D9683" t="s">
        <v>967</v>
      </c>
    </row>
    <row r="9684" spans="3:4" hidden="1" outlineLevel="3" x14ac:dyDescent="0.3">
      <c r="D9684" t="s">
        <v>968</v>
      </c>
    </row>
    <row r="9685" spans="3:4" hidden="1" outlineLevel="3" x14ac:dyDescent="0.3">
      <c r="D9685" t="s">
        <v>969</v>
      </c>
    </row>
    <row r="9686" spans="3:4" hidden="1" outlineLevel="3" x14ac:dyDescent="0.3">
      <c r="D9686" t="s">
        <v>970</v>
      </c>
    </row>
    <row r="9687" spans="3:4" hidden="1" outlineLevel="3" x14ac:dyDescent="0.3">
      <c r="D9687" t="s">
        <v>971</v>
      </c>
    </row>
    <row r="9688" spans="3:4" hidden="1" outlineLevel="3" x14ac:dyDescent="0.3">
      <c r="D9688" t="s">
        <v>972</v>
      </c>
    </row>
    <row r="9689" spans="3:4" hidden="1" outlineLevel="3" x14ac:dyDescent="0.3">
      <c r="D9689" t="s">
        <v>973</v>
      </c>
    </row>
    <row r="9690" spans="3:4" hidden="1" outlineLevel="3" x14ac:dyDescent="0.3">
      <c r="D9690" t="s">
        <v>974</v>
      </c>
    </row>
    <row r="9691" spans="3:4" hidden="1" outlineLevel="3" x14ac:dyDescent="0.3">
      <c r="D9691" t="s">
        <v>975</v>
      </c>
    </row>
    <row r="9692" spans="3:4" hidden="1" outlineLevel="3" x14ac:dyDescent="0.3">
      <c r="D9692" t="s">
        <v>976</v>
      </c>
    </row>
    <row r="9693" spans="3:4" hidden="1" outlineLevel="3" x14ac:dyDescent="0.3">
      <c r="D9693" t="s">
        <v>977</v>
      </c>
    </row>
    <row r="9694" spans="3:4" hidden="1" outlineLevel="3" x14ac:dyDescent="0.3">
      <c r="D9694" t="s">
        <v>978</v>
      </c>
    </row>
    <row r="9695" spans="3:4" hidden="1" outlineLevel="2" x14ac:dyDescent="0.3">
      <c r="C9695" t="s">
        <v>979</v>
      </c>
    </row>
    <row r="9696" spans="3:4" hidden="1" outlineLevel="2" x14ac:dyDescent="0.3">
      <c r="C9696" t="s">
        <v>980</v>
      </c>
    </row>
    <row r="9697" spans="1:4" hidden="1" outlineLevel="3" x14ac:dyDescent="0.3">
      <c r="D9697" t="s">
        <v>981</v>
      </c>
    </row>
    <row r="9698" spans="1:4" hidden="1" outlineLevel="3" x14ac:dyDescent="0.3">
      <c r="D9698" t="s">
        <v>982</v>
      </c>
    </row>
    <row r="9699" spans="1:4" hidden="1" outlineLevel="3" x14ac:dyDescent="0.3">
      <c r="D9699" t="s">
        <v>983</v>
      </c>
    </row>
    <row r="9700" spans="1:4" hidden="1" outlineLevel="3" x14ac:dyDescent="0.3">
      <c r="D9700" t="s">
        <v>2800</v>
      </c>
    </row>
    <row r="9701" spans="1:4" hidden="1" outlineLevel="3" x14ac:dyDescent="0.3">
      <c r="D9701" t="s">
        <v>985</v>
      </c>
    </row>
    <row r="9702" spans="1:4" hidden="1" outlineLevel="3" x14ac:dyDescent="0.3">
      <c r="D9702" t="s">
        <v>986</v>
      </c>
    </row>
    <row r="9703" spans="1:4" hidden="1" outlineLevel="3" x14ac:dyDescent="0.3">
      <c r="D9703" t="s">
        <v>2801</v>
      </c>
    </row>
    <row r="9704" spans="1:4" hidden="1" outlineLevel="3" x14ac:dyDescent="0.3">
      <c r="D9704" t="s">
        <v>2802</v>
      </c>
    </row>
    <row r="9705" spans="1:4" hidden="1" outlineLevel="3" x14ac:dyDescent="0.3">
      <c r="D9705" t="s">
        <v>993</v>
      </c>
    </row>
    <row r="9706" spans="1:4" hidden="1" outlineLevel="3" x14ac:dyDescent="0.3">
      <c r="D9706" t="s">
        <v>994</v>
      </c>
    </row>
    <row r="9707" spans="1:4" hidden="1" outlineLevel="3" x14ac:dyDescent="0.3">
      <c r="D9707" t="s">
        <v>995</v>
      </c>
    </row>
    <row r="9708" spans="1:4" outlineLevel="1" collapsed="1" x14ac:dyDescent="0.3">
      <c r="B9708" t="s">
        <v>996</v>
      </c>
    </row>
    <row r="9709" spans="1:4" outlineLevel="1" x14ac:dyDescent="0.3">
      <c r="B9709" t="s">
        <v>997</v>
      </c>
    </row>
    <row r="9710" spans="1:4" outlineLevel="1" x14ac:dyDescent="0.3">
      <c r="B9710" t="s">
        <v>998</v>
      </c>
    </row>
    <row r="9711" spans="1:4" x14ac:dyDescent="0.3">
      <c r="A9711" t="s">
        <v>999</v>
      </c>
    </row>
    <row r="9712" spans="1:4" outlineLevel="1" x14ac:dyDescent="0.3">
      <c r="B9712" t="s">
        <v>2803</v>
      </c>
    </row>
    <row r="9713" spans="2:3" outlineLevel="1" x14ac:dyDescent="0.3">
      <c r="B9713" t="s">
        <v>2804</v>
      </c>
    </row>
    <row r="9714" spans="2:3" outlineLevel="1" x14ac:dyDescent="0.3">
      <c r="B9714" t="s">
        <v>2805</v>
      </c>
    </row>
    <row r="9715" spans="2:3" outlineLevel="1" x14ac:dyDescent="0.3">
      <c r="B9715" t="s">
        <v>2806</v>
      </c>
    </row>
    <row r="9716" spans="2:3" outlineLevel="1" x14ac:dyDescent="0.3">
      <c r="B9716" t="s">
        <v>2808</v>
      </c>
    </row>
    <row r="9717" spans="2:3" hidden="1" outlineLevel="2" x14ac:dyDescent="0.3">
      <c r="C9717" t="s">
        <v>2809</v>
      </c>
    </row>
    <row r="9718" spans="2:3" hidden="1" outlineLevel="2" x14ac:dyDescent="0.3">
      <c r="C9718" t="s">
        <v>2810</v>
      </c>
    </row>
    <row r="9719" spans="2:3" hidden="1" outlineLevel="2" x14ac:dyDescent="0.3">
      <c r="C9719" t="s">
        <v>2811</v>
      </c>
    </row>
    <row r="9720" spans="2:3" hidden="1" outlineLevel="2" x14ac:dyDescent="0.3">
      <c r="C9720" t="s">
        <v>2812</v>
      </c>
    </row>
    <row r="9721" spans="2:3" hidden="1" outlineLevel="2" x14ac:dyDescent="0.3">
      <c r="C9721" t="s">
        <v>2813</v>
      </c>
    </row>
    <row r="9722" spans="2:3" outlineLevel="1" collapsed="1" x14ac:dyDescent="0.3">
      <c r="B9722" t="s">
        <v>2814</v>
      </c>
    </row>
    <row r="9723" spans="2:3" hidden="1" outlineLevel="2" x14ac:dyDescent="0.3">
      <c r="C9723" t="s">
        <v>2815</v>
      </c>
    </row>
    <row r="9724" spans="2:3" hidden="1" outlineLevel="2" x14ac:dyDescent="0.3">
      <c r="C9724" t="s">
        <v>2816</v>
      </c>
    </row>
    <row r="9725" spans="2:3" hidden="1" outlineLevel="2" x14ac:dyDescent="0.3">
      <c r="C9725" t="s">
        <v>2817</v>
      </c>
    </row>
    <row r="9726" spans="2:3" hidden="1" outlineLevel="2" x14ac:dyDescent="0.3">
      <c r="C9726" t="s">
        <v>2818</v>
      </c>
    </row>
    <row r="9727" spans="2:3" hidden="1" outlineLevel="2" x14ac:dyDescent="0.3">
      <c r="C9727" t="s">
        <v>2819</v>
      </c>
    </row>
    <row r="9728" spans="2:3" outlineLevel="1" collapsed="1" x14ac:dyDescent="0.3">
      <c r="B9728" t="s">
        <v>2820</v>
      </c>
    </row>
    <row r="9729" spans="2:3" hidden="1" outlineLevel="2" x14ac:dyDescent="0.3">
      <c r="C9729" t="s">
        <v>4801</v>
      </c>
    </row>
    <row r="9730" spans="2:3" hidden="1" outlineLevel="2" x14ac:dyDescent="0.3">
      <c r="C9730" t="s">
        <v>4802</v>
      </c>
    </row>
    <row r="9731" spans="2:3" hidden="1" outlineLevel="2" x14ac:dyDescent="0.3">
      <c r="C9731" t="s">
        <v>4803</v>
      </c>
    </row>
    <row r="9732" spans="2:3" hidden="1" outlineLevel="2" x14ac:dyDescent="0.3">
      <c r="C9732" t="s">
        <v>4804</v>
      </c>
    </row>
    <row r="9733" spans="2:3" hidden="1" outlineLevel="2" x14ac:dyDescent="0.3">
      <c r="C9733" t="s">
        <v>2851</v>
      </c>
    </row>
    <row r="9734" spans="2:3" outlineLevel="1" collapsed="1" x14ac:dyDescent="0.3">
      <c r="B9734" t="s">
        <v>2852</v>
      </c>
    </row>
    <row r="9735" spans="2:3" hidden="1" outlineLevel="2" x14ac:dyDescent="0.3">
      <c r="C9735" t="s">
        <v>4805</v>
      </c>
    </row>
    <row r="9736" spans="2:3" hidden="1" outlineLevel="2" x14ac:dyDescent="0.3">
      <c r="C9736" t="s">
        <v>2853</v>
      </c>
    </row>
    <row r="9737" spans="2:3" hidden="1" outlineLevel="2" x14ac:dyDescent="0.3">
      <c r="C9737" t="s">
        <v>2857</v>
      </c>
    </row>
    <row r="9738" spans="2:3" hidden="1" outlineLevel="2" x14ac:dyDescent="0.3">
      <c r="C9738" t="s">
        <v>2866</v>
      </c>
    </row>
    <row r="9739" spans="2:3" hidden="1" outlineLevel="2" x14ac:dyDescent="0.3">
      <c r="C9739" t="s">
        <v>3813</v>
      </c>
    </row>
    <row r="9740" spans="2:3" hidden="1" outlineLevel="2" x14ac:dyDescent="0.3">
      <c r="C9740" t="s">
        <v>3814</v>
      </c>
    </row>
    <row r="9741" spans="2:3" hidden="1" outlineLevel="2" x14ac:dyDescent="0.3">
      <c r="C9741" t="s">
        <v>3815</v>
      </c>
    </row>
    <row r="9742" spans="2:3" hidden="1" outlineLevel="2" x14ac:dyDescent="0.3">
      <c r="C9742" t="s">
        <v>3816</v>
      </c>
    </row>
    <row r="9743" spans="2:3" hidden="1" outlineLevel="2" x14ac:dyDescent="0.3">
      <c r="C9743" t="s">
        <v>2881</v>
      </c>
    </row>
    <row r="9744" spans="2:3" hidden="1" outlineLevel="2" x14ac:dyDescent="0.3">
      <c r="C9744" t="s">
        <v>2882</v>
      </c>
    </row>
    <row r="9745" spans="2:3" outlineLevel="1" collapsed="1" x14ac:dyDescent="0.3">
      <c r="B9745" t="s">
        <v>2883</v>
      </c>
    </row>
    <row r="9746" spans="2:3" outlineLevel="1" x14ac:dyDescent="0.3">
      <c r="B9746" t="s">
        <v>2884</v>
      </c>
    </row>
    <row r="9747" spans="2:3" hidden="1" outlineLevel="2" x14ac:dyDescent="0.3">
      <c r="C9747" t="s">
        <v>2885</v>
      </c>
    </row>
    <row r="9748" spans="2:3" hidden="1" outlineLevel="2" x14ac:dyDescent="0.3">
      <c r="C9748" t="s">
        <v>2886</v>
      </c>
    </row>
    <row r="9749" spans="2:3" hidden="1" outlineLevel="2" x14ac:dyDescent="0.3">
      <c r="C9749" t="s">
        <v>2887</v>
      </c>
    </row>
    <row r="9750" spans="2:3" hidden="1" outlineLevel="2" x14ac:dyDescent="0.3">
      <c r="C9750" t="s">
        <v>2888</v>
      </c>
    </row>
    <row r="9751" spans="2:3" hidden="1" outlineLevel="2" x14ac:dyDescent="0.3">
      <c r="C9751" t="s">
        <v>2889</v>
      </c>
    </row>
    <row r="9752" spans="2:3" hidden="1" outlineLevel="2" x14ac:dyDescent="0.3">
      <c r="C9752" t="s">
        <v>2890</v>
      </c>
    </row>
    <row r="9753" spans="2:3" outlineLevel="1" collapsed="1" x14ac:dyDescent="0.3">
      <c r="B9753" t="s">
        <v>2891</v>
      </c>
    </row>
    <row r="9754" spans="2:3" hidden="1" outlineLevel="2" x14ac:dyDescent="0.3">
      <c r="C9754" t="s">
        <v>2892</v>
      </c>
    </row>
    <row r="9755" spans="2:3" hidden="1" outlineLevel="2" x14ac:dyDescent="0.3">
      <c r="C9755" t="s">
        <v>2893</v>
      </c>
    </row>
    <row r="9756" spans="2:3" hidden="1" outlineLevel="2" x14ac:dyDescent="0.3">
      <c r="C9756" t="s">
        <v>2894</v>
      </c>
    </row>
    <row r="9757" spans="2:3" hidden="1" outlineLevel="2" x14ac:dyDescent="0.3">
      <c r="C9757" t="s">
        <v>2895</v>
      </c>
    </row>
    <row r="9758" spans="2:3" hidden="1" outlineLevel="2" x14ac:dyDescent="0.3">
      <c r="C9758" t="s">
        <v>2896</v>
      </c>
    </row>
    <row r="9759" spans="2:3" hidden="1" outlineLevel="2" x14ac:dyDescent="0.3">
      <c r="C9759" t="s">
        <v>2898</v>
      </c>
    </row>
    <row r="9760" spans="2:3" outlineLevel="1" collapsed="1" x14ac:dyDescent="0.3">
      <c r="B9760" t="s">
        <v>2899</v>
      </c>
    </row>
    <row r="9761" spans="2:4" outlineLevel="1" x14ac:dyDescent="0.3">
      <c r="B9761" t="s">
        <v>2900</v>
      </c>
    </row>
    <row r="9762" spans="2:4" outlineLevel="1" x14ac:dyDescent="0.3">
      <c r="B9762" t="s">
        <v>2901</v>
      </c>
    </row>
    <row r="9763" spans="2:4" hidden="1" outlineLevel="2" x14ac:dyDescent="0.3">
      <c r="C9763" t="s">
        <v>2902</v>
      </c>
    </row>
    <row r="9764" spans="2:4" hidden="1" outlineLevel="2" x14ac:dyDescent="0.3">
      <c r="C9764" t="s">
        <v>2907</v>
      </c>
    </row>
    <row r="9765" spans="2:4" hidden="1" outlineLevel="3" x14ac:dyDescent="0.3">
      <c r="D9765" t="s">
        <v>2908</v>
      </c>
    </row>
    <row r="9766" spans="2:4" hidden="1" outlineLevel="3" x14ac:dyDescent="0.3">
      <c r="D9766" t="s">
        <v>2909</v>
      </c>
    </row>
    <row r="9767" spans="2:4" hidden="1" outlineLevel="3" x14ac:dyDescent="0.3">
      <c r="D9767" t="s">
        <v>2910</v>
      </c>
    </row>
    <row r="9768" spans="2:4" hidden="1" outlineLevel="3" x14ac:dyDescent="0.3">
      <c r="D9768" t="s">
        <v>2911</v>
      </c>
    </row>
    <row r="9769" spans="2:4" hidden="1" outlineLevel="2" x14ac:dyDescent="0.3">
      <c r="C9769" t="s">
        <v>2912</v>
      </c>
    </row>
    <row r="9770" spans="2:4" hidden="1" outlineLevel="2" x14ac:dyDescent="0.3">
      <c r="C9770" t="s">
        <v>2913</v>
      </c>
    </row>
    <row r="9771" spans="2:4" hidden="1" outlineLevel="2" x14ac:dyDescent="0.3">
      <c r="C9771" t="s">
        <v>2914</v>
      </c>
    </row>
    <row r="9772" spans="2:4" hidden="1" outlineLevel="2" x14ac:dyDescent="0.3">
      <c r="C9772" t="s">
        <v>2915</v>
      </c>
    </row>
    <row r="9773" spans="2:4" hidden="1" outlineLevel="2" x14ac:dyDescent="0.3">
      <c r="C9773" t="s">
        <v>2916</v>
      </c>
    </row>
    <row r="9774" spans="2:4" hidden="1" outlineLevel="2" x14ac:dyDescent="0.3">
      <c r="C9774" t="s">
        <v>2917</v>
      </c>
    </row>
    <row r="9775" spans="2:4" hidden="1" outlineLevel="2" x14ac:dyDescent="0.3">
      <c r="C9775" t="s">
        <v>2918</v>
      </c>
    </row>
    <row r="9776" spans="2:4" hidden="1" outlineLevel="2" x14ac:dyDescent="0.3">
      <c r="C9776" t="s">
        <v>2919</v>
      </c>
    </row>
    <row r="9777" spans="1:4" hidden="1" outlineLevel="2" x14ac:dyDescent="0.3">
      <c r="C9777" t="s">
        <v>2920</v>
      </c>
    </row>
    <row r="9778" spans="1:4" hidden="1" outlineLevel="2" x14ac:dyDescent="0.3">
      <c r="C9778" t="s">
        <v>2930</v>
      </c>
    </row>
    <row r="9779" spans="1:4" hidden="1" outlineLevel="2" x14ac:dyDescent="0.3">
      <c r="C9779" t="s">
        <v>2932</v>
      </c>
    </row>
    <row r="9780" spans="1:4" hidden="1" outlineLevel="2" x14ac:dyDescent="0.3">
      <c r="C9780" t="s">
        <v>2933</v>
      </c>
    </row>
    <row r="9786" spans="1:4" x14ac:dyDescent="0.3">
      <c r="A9786" t="s">
        <v>2934</v>
      </c>
    </row>
    <row r="9787" spans="1:4" outlineLevel="1" x14ac:dyDescent="0.3">
      <c r="B9787" t="s">
        <v>2935</v>
      </c>
    </row>
    <row r="9788" spans="1:4" hidden="1" outlineLevel="2" x14ac:dyDescent="0.3">
      <c r="C9788" t="s">
        <v>2938</v>
      </c>
    </row>
    <row r="9789" spans="1:4" hidden="1" outlineLevel="2" x14ac:dyDescent="0.3">
      <c r="C9789" t="s">
        <v>2939</v>
      </c>
    </row>
    <row r="9790" spans="1:4" hidden="1" outlineLevel="2" x14ac:dyDescent="0.3">
      <c r="C9790" t="s">
        <v>2940</v>
      </c>
    </row>
    <row r="9791" spans="1:4" hidden="1" outlineLevel="2" x14ac:dyDescent="0.3">
      <c r="C9791" t="s">
        <v>2941</v>
      </c>
    </row>
    <row r="9792" spans="1:4" hidden="1" outlineLevel="3" x14ac:dyDescent="0.3">
      <c r="D9792" t="s">
        <v>2942</v>
      </c>
    </row>
    <row r="9793" spans="3:4" hidden="1" outlineLevel="3" x14ac:dyDescent="0.3">
      <c r="D9793" t="s">
        <v>2943</v>
      </c>
    </row>
    <row r="9794" spans="3:4" hidden="1" outlineLevel="3" x14ac:dyDescent="0.3">
      <c r="D9794" t="s">
        <v>2944</v>
      </c>
    </row>
    <row r="9795" spans="3:4" hidden="1" outlineLevel="3" x14ac:dyDescent="0.3">
      <c r="D9795" t="s">
        <v>2945</v>
      </c>
    </row>
    <row r="9796" spans="3:4" hidden="1" outlineLevel="3" x14ac:dyDescent="0.3">
      <c r="D9796" t="s">
        <v>2946</v>
      </c>
    </row>
    <row r="9797" spans="3:4" hidden="1" outlineLevel="3" x14ac:dyDescent="0.3">
      <c r="D9797" t="s">
        <v>2947</v>
      </c>
    </row>
    <row r="9798" spans="3:4" hidden="1" outlineLevel="2" x14ac:dyDescent="0.3">
      <c r="C9798" t="s">
        <v>2948</v>
      </c>
    </row>
    <row r="9799" spans="3:4" hidden="1" outlineLevel="2" x14ac:dyDescent="0.3">
      <c r="C9799" t="s">
        <v>2949</v>
      </c>
    </row>
    <row r="9800" spans="3:4" hidden="1" outlineLevel="3" x14ac:dyDescent="0.3">
      <c r="D9800" t="s">
        <v>2950</v>
      </c>
    </row>
    <row r="9801" spans="3:4" hidden="1" outlineLevel="3" x14ac:dyDescent="0.3">
      <c r="D9801" t="s">
        <v>4806</v>
      </c>
    </row>
    <row r="9802" spans="3:4" hidden="1" outlineLevel="3" x14ac:dyDescent="0.3">
      <c r="D9802" t="s">
        <v>4807</v>
      </c>
    </row>
    <row r="9803" spans="3:4" hidden="1" outlineLevel="3" x14ac:dyDescent="0.3">
      <c r="D9803" t="s">
        <v>4808</v>
      </c>
    </row>
    <row r="9804" spans="3:4" hidden="1" outlineLevel="3" x14ac:dyDescent="0.3">
      <c r="D9804" t="s">
        <v>4809</v>
      </c>
    </row>
    <row r="9805" spans="3:4" hidden="1" outlineLevel="3" x14ac:dyDescent="0.3">
      <c r="D9805" t="s">
        <v>4810</v>
      </c>
    </row>
    <row r="9806" spans="3:4" hidden="1" outlineLevel="2" x14ac:dyDescent="0.3">
      <c r="C9806" t="s">
        <v>4811</v>
      </c>
    </row>
    <row r="9807" spans="3:4" hidden="1" outlineLevel="2" x14ac:dyDescent="0.3">
      <c r="C9807" t="s">
        <v>4812</v>
      </c>
    </row>
    <row r="9808" spans="3:4" hidden="1" outlineLevel="2" x14ac:dyDescent="0.3">
      <c r="C9808" t="s">
        <v>2963</v>
      </c>
    </row>
    <row r="9809" spans="2:4" hidden="1" outlineLevel="2" x14ac:dyDescent="0.3">
      <c r="C9809" t="s">
        <v>2964</v>
      </c>
    </row>
    <row r="9810" spans="2:4" outlineLevel="1" collapsed="1" x14ac:dyDescent="0.3">
      <c r="B9810" t="s">
        <v>2965</v>
      </c>
    </row>
    <row r="9811" spans="2:4" hidden="1" outlineLevel="2" x14ac:dyDescent="0.3">
      <c r="C9811" t="s">
        <v>2966</v>
      </c>
    </row>
    <row r="9812" spans="2:4" hidden="1" outlineLevel="2" x14ac:dyDescent="0.3">
      <c r="C9812" t="s">
        <v>2967</v>
      </c>
    </row>
    <row r="9813" spans="2:4" hidden="1" outlineLevel="2" x14ac:dyDescent="0.3">
      <c r="C9813" t="s">
        <v>2968</v>
      </c>
    </row>
    <row r="9814" spans="2:4" hidden="1" outlineLevel="3" x14ac:dyDescent="0.3">
      <c r="D9814" t="s">
        <v>4813</v>
      </c>
    </row>
    <row r="9815" spans="2:4" hidden="1" outlineLevel="3" x14ac:dyDescent="0.3">
      <c r="D9815" t="s">
        <v>4814</v>
      </c>
    </row>
    <row r="9816" spans="2:4" hidden="1" outlineLevel="3" x14ac:dyDescent="0.3">
      <c r="D9816" t="s">
        <v>2972</v>
      </c>
    </row>
    <row r="9817" spans="2:4" hidden="1" outlineLevel="2" x14ac:dyDescent="0.3">
      <c r="C9817" t="s">
        <v>2973</v>
      </c>
    </row>
    <row r="9818" spans="2:4" hidden="1" outlineLevel="3" x14ac:dyDescent="0.3">
      <c r="D9818" t="s">
        <v>2974</v>
      </c>
    </row>
    <row r="9819" spans="2:4" hidden="1" outlineLevel="3" x14ac:dyDescent="0.3">
      <c r="D9819" t="s">
        <v>2975</v>
      </c>
    </row>
    <row r="9820" spans="2:4" hidden="1" outlineLevel="3" x14ac:dyDescent="0.3">
      <c r="D9820" t="s">
        <v>2976</v>
      </c>
    </row>
    <row r="9821" spans="2:4" hidden="1" outlineLevel="3" x14ac:dyDescent="0.3">
      <c r="D9821" t="s">
        <v>2978</v>
      </c>
    </row>
    <row r="9822" spans="2:4" hidden="1" outlineLevel="3" x14ac:dyDescent="0.3">
      <c r="D9822" t="s">
        <v>2979</v>
      </c>
    </row>
    <row r="9823" spans="2:4" hidden="1" outlineLevel="2" x14ac:dyDescent="0.3">
      <c r="C9823" t="s">
        <v>2981</v>
      </c>
    </row>
    <row r="9824" spans="2:4" outlineLevel="1" collapsed="1" x14ac:dyDescent="0.3">
      <c r="B9824" t="s">
        <v>2982</v>
      </c>
    </row>
    <row r="9825" spans="1:3" x14ac:dyDescent="0.3">
      <c r="A9825" t="s">
        <v>2983</v>
      </c>
    </row>
    <row r="9826" spans="1:3" outlineLevel="1" x14ac:dyDescent="0.3">
      <c r="B9826" t="s">
        <v>2984</v>
      </c>
    </row>
    <row r="9827" spans="1:3" hidden="1" outlineLevel="2" x14ac:dyDescent="0.3">
      <c r="C9827" t="s">
        <v>4815</v>
      </c>
    </row>
    <row r="9828" spans="1:3" hidden="1" outlineLevel="2" x14ac:dyDescent="0.3">
      <c r="C9828" t="s">
        <v>4816</v>
      </c>
    </row>
    <row r="9829" spans="1:3" hidden="1" outlineLevel="2" x14ac:dyDescent="0.3">
      <c r="C9829" t="s">
        <v>4817</v>
      </c>
    </row>
    <row r="9830" spans="1:3" hidden="1" outlineLevel="2" x14ac:dyDescent="0.3">
      <c r="C9830" t="s">
        <v>4818</v>
      </c>
    </row>
    <row r="9831" spans="1:3" hidden="1" outlineLevel="2" x14ac:dyDescent="0.3">
      <c r="C9831" t="s">
        <v>4819</v>
      </c>
    </row>
    <row r="9832" spans="1:3" hidden="1" outlineLevel="2" x14ac:dyDescent="0.3">
      <c r="C9832" t="s">
        <v>4820</v>
      </c>
    </row>
    <row r="9833" spans="1:3" hidden="1" outlineLevel="2" x14ac:dyDescent="0.3">
      <c r="C9833" t="s">
        <v>4821</v>
      </c>
    </row>
    <row r="9834" spans="1:3" hidden="1" outlineLevel="2" x14ac:dyDescent="0.3">
      <c r="C9834" t="s">
        <v>4822</v>
      </c>
    </row>
    <row r="9835" spans="1:3" hidden="1" outlineLevel="2" x14ac:dyDescent="0.3">
      <c r="C9835" t="s">
        <v>4823</v>
      </c>
    </row>
    <row r="9836" spans="1:3" outlineLevel="1" collapsed="1" x14ac:dyDescent="0.3">
      <c r="B9836" t="s">
        <v>2990</v>
      </c>
    </row>
    <row r="9837" spans="1:3" x14ac:dyDescent="0.3">
      <c r="A9837" t="s">
        <v>2994</v>
      </c>
    </row>
    <row r="9838" spans="1:3" outlineLevel="1" x14ac:dyDescent="0.3">
      <c r="B9838" t="s">
        <v>2995</v>
      </c>
    </row>
    <row r="9839" spans="1:3" hidden="1" outlineLevel="2" x14ac:dyDescent="0.3">
      <c r="C9839" t="s">
        <v>2996</v>
      </c>
    </row>
    <row r="9840" spans="1:3" hidden="1" outlineLevel="2" x14ac:dyDescent="0.3">
      <c r="C9840" t="s">
        <v>2997</v>
      </c>
    </row>
    <row r="9841" spans="3:4" hidden="1" outlineLevel="2" x14ac:dyDescent="0.3">
      <c r="C9841" t="s">
        <v>2998</v>
      </c>
    </row>
    <row r="9842" spans="3:4" hidden="1" outlineLevel="2" x14ac:dyDescent="0.3">
      <c r="C9842" t="s">
        <v>2999</v>
      </c>
    </row>
    <row r="9843" spans="3:4" hidden="1" outlineLevel="2" x14ac:dyDescent="0.3">
      <c r="C9843" t="s">
        <v>3000</v>
      </c>
    </row>
    <row r="9844" spans="3:4" hidden="1" outlineLevel="2" x14ac:dyDescent="0.3">
      <c r="C9844" t="s">
        <v>3001</v>
      </c>
    </row>
    <row r="9845" spans="3:4" hidden="1" outlineLevel="2" x14ac:dyDescent="0.3">
      <c r="C9845" t="s">
        <v>3002</v>
      </c>
    </row>
    <row r="9846" spans="3:4" hidden="1" outlineLevel="3" x14ac:dyDescent="0.3">
      <c r="D9846" t="s">
        <v>3003</v>
      </c>
    </row>
    <row r="9847" spans="3:4" hidden="1" outlineLevel="3" x14ac:dyDescent="0.3">
      <c r="D9847" t="s">
        <v>3004</v>
      </c>
    </row>
    <row r="9848" spans="3:4" hidden="1" outlineLevel="3" x14ac:dyDescent="0.3">
      <c r="D9848" t="s">
        <v>3005</v>
      </c>
    </row>
    <row r="9849" spans="3:4" hidden="1" outlineLevel="2" x14ac:dyDescent="0.3">
      <c r="C9849" t="s">
        <v>3006</v>
      </c>
    </row>
    <row r="9850" spans="3:4" hidden="1" outlineLevel="2" x14ac:dyDescent="0.3">
      <c r="C9850" t="s">
        <v>3007</v>
      </c>
    </row>
    <row r="9851" spans="3:4" hidden="1" outlineLevel="2" x14ac:dyDescent="0.3">
      <c r="C9851" t="s">
        <v>3008</v>
      </c>
    </row>
    <row r="9852" spans="3:4" hidden="1" outlineLevel="2" x14ac:dyDescent="0.3">
      <c r="C9852" t="s">
        <v>3009</v>
      </c>
    </row>
    <row r="9853" spans="3:4" hidden="1" outlineLevel="2" x14ac:dyDescent="0.3">
      <c r="C9853" t="s">
        <v>3010</v>
      </c>
    </row>
    <row r="9854" spans="3:4" hidden="1" outlineLevel="2" x14ac:dyDescent="0.3">
      <c r="C9854" t="s">
        <v>3011</v>
      </c>
    </row>
    <row r="9855" spans="3:4" hidden="1" outlineLevel="2" x14ac:dyDescent="0.3">
      <c r="C9855" t="s">
        <v>3012</v>
      </c>
    </row>
    <row r="9856" spans="3:4" hidden="1" outlineLevel="2" x14ac:dyDescent="0.3">
      <c r="C9856" t="s">
        <v>3013</v>
      </c>
    </row>
    <row r="9857" spans="3:3" hidden="1" outlineLevel="2" x14ac:dyDescent="0.3">
      <c r="C9857" t="s">
        <v>3014</v>
      </c>
    </row>
    <row r="9858" spans="3:3" hidden="1" outlineLevel="2" x14ac:dyDescent="0.3">
      <c r="C9858" t="s">
        <v>3015</v>
      </c>
    </row>
    <row r="9859" spans="3:3" hidden="1" outlineLevel="2" x14ac:dyDescent="0.3">
      <c r="C9859" t="s">
        <v>3016</v>
      </c>
    </row>
    <row r="9860" spans="3:3" hidden="1" outlineLevel="2" x14ac:dyDescent="0.3">
      <c r="C9860" t="s">
        <v>3017</v>
      </c>
    </row>
    <row r="9861" spans="3:3" hidden="1" outlineLevel="2" x14ac:dyDescent="0.3">
      <c r="C9861" t="s">
        <v>3018</v>
      </c>
    </row>
    <row r="9862" spans="3:3" hidden="1" outlineLevel="2" x14ac:dyDescent="0.3">
      <c r="C9862" t="s">
        <v>3019</v>
      </c>
    </row>
    <row r="9863" spans="3:3" hidden="1" outlineLevel="2" x14ac:dyDescent="0.3">
      <c r="C9863" t="s">
        <v>3020</v>
      </c>
    </row>
    <row r="9864" spans="3:3" hidden="1" outlineLevel="2" x14ac:dyDescent="0.3">
      <c r="C9864" t="s">
        <v>3021</v>
      </c>
    </row>
    <row r="9865" spans="3:3" hidden="1" outlineLevel="2" x14ac:dyDescent="0.3">
      <c r="C9865" t="s">
        <v>3022</v>
      </c>
    </row>
    <row r="9866" spans="3:3" hidden="1" outlineLevel="2" x14ac:dyDescent="0.3">
      <c r="C9866" t="s">
        <v>3023</v>
      </c>
    </row>
    <row r="9867" spans="3:3" hidden="1" outlineLevel="2" x14ac:dyDescent="0.3">
      <c r="C9867" t="s">
        <v>3024</v>
      </c>
    </row>
    <row r="9868" spans="3:3" hidden="1" outlineLevel="2" x14ac:dyDescent="0.3">
      <c r="C9868" t="s">
        <v>3025</v>
      </c>
    </row>
    <row r="9869" spans="3:3" hidden="1" outlineLevel="2" x14ac:dyDescent="0.3">
      <c r="C9869" t="s">
        <v>3026</v>
      </c>
    </row>
    <row r="9870" spans="3:3" hidden="1" outlineLevel="2" x14ac:dyDescent="0.3">
      <c r="C9870" t="s">
        <v>3027</v>
      </c>
    </row>
    <row r="9871" spans="3:3" hidden="1" outlineLevel="2" x14ac:dyDescent="0.3">
      <c r="C9871" t="s">
        <v>3028</v>
      </c>
    </row>
    <row r="9872" spans="3:3" hidden="1" outlineLevel="2" x14ac:dyDescent="0.3">
      <c r="C9872" t="s">
        <v>3030</v>
      </c>
    </row>
    <row r="9873" spans="2:4" hidden="1" outlineLevel="2" x14ac:dyDescent="0.3">
      <c r="C9873" t="s">
        <v>3031</v>
      </c>
    </row>
    <row r="9874" spans="2:4" outlineLevel="1" collapsed="1" x14ac:dyDescent="0.3">
      <c r="B9874" t="s">
        <v>3032</v>
      </c>
    </row>
    <row r="9875" spans="2:4" hidden="1" outlineLevel="2" x14ac:dyDescent="0.3">
      <c r="C9875" t="s">
        <v>3033</v>
      </c>
    </row>
    <row r="9876" spans="2:4" hidden="1" outlineLevel="2" x14ac:dyDescent="0.3">
      <c r="C9876" t="s">
        <v>3034</v>
      </c>
    </row>
    <row r="9877" spans="2:4" hidden="1" outlineLevel="2" x14ac:dyDescent="0.3">
      <c r="C9877" t="s">
        <v>3035</v>
      </c>
    </row>
    <row r="9878" spans="2:4" hidden="1" outlineLevel="2" x14ac:dyDescent="0.3">
      <c r="C9878" t="s">
        <v>3036</v>
      </c>
    </row>
    <row r="9879" spans="2:4" hidden="1" outlineLevel="2" x14ac:dyDescent="0.3">
      <c r="C9879" t="s">
        <v>3037</v>
      </c>
    </row>
    <row r="9880" spans="2:4" hidden="1" outlineLevel="2" x14ac:dyDescent="0.3">
      <c r="C9880" t="s">
        <v>3038</v>
      </c>
    </row>
    <row r="9881" spans="2:4" hidden="1" outlineLevel="2" x14ac:dyDescent="0.3">
      <c r="C9881" t="s">
        <v>3039</v>
      </c>
    </row>
    <row r="9882" spans="2:4" hidden="1" outlineLevel="3" x14ac:dyDescent="0.3">
      <c r="D9882" t="s">
        <v>3040</v>
      </c>
    </row>
    <row r="9883" spans="2:4" hidden="1" outlineLevel="3" x14ac:dyDescent="0.3">
      <c r="D9883" t="s">
        <v>3041</v>
      </c>
    </row>
    <row r="9884" spans="2:4" hidden="1" outlineLevel="3" x14ac:dyDescent="0.3">
      <c r="D9884" t="s">
        <v>3042</v>
      </c>
    </row>
    <row r="9885" spans="2:4" hidden="1" outlineLevel="2" x14ac:dyDescent="0.3">
      <c r="C9885" t="s">
        <v>3043</v>
      </c>
    </row>
    <row r="9886" spans="2:4" hidden="1" outlineLevel="2" x14ac:dyDescent="0.3">
      <c r="C9886" t="s">
        <v>3044</v>
      </c>
    </row>
    <row r="9887" spans="2:4" hidden="1" outlineLevel="2" x14ac:dyDescent="0.3">
      <c r="C9887" t="s">
        <v>3045</v>
      </c>
    </row>
    <row r="9888" spans="2:4" hidden="1" outlineLevel="2" x14ac:dyDescent="0.3">
      <c r="C9888" t="s">
        <v>3046</v>
      </c>
    </row>
    <row r="9889" spans="3:3" hidden="1" outlineLevel="2" x14ac:dyDescent="0.3">
      <c r="C9889" t="s">
        <v>3047</v>
      </c>
    </row>
    <row r="9890" spans="3:3" hidden="1" outlineLevel="2" x14ac:dyDescent="0.3">
      <c r="C9890" t="s">
        <v>3048</v>
      </c>
    </row>
    <row r="9891" spans="3:3" hidden="1" outlineLevel="2" x14ac:dyDescent="0.3">
      <c r="C9891" t="s">
        <v>3049</v>
      </c>
    </row>
    <row r="9892" spans="3:3" hidden="1" outlineLevel="2" x14ac:dyDescent="0.3">
      <c r="C9892" t="s">
        <v>3050</v>
      </c>
    </row>
    <row r="9893" spans="3:3" hidden="1" outlineLevel="2" x14ac:dyDescent="0.3">
      <c r="C9893" t="s">
        <v>3051</v>
      </c>
    </row>
    <row r="9894" spans="3:3" hidden="1" outlineLevel="2" x14ac:dyDescent="0.3">
      <c r="C9894" t="s">
        <v>3052</v>
      </c>
    </row>
    <row r="9895" spans="3:3" hidden="1" outlineLevel="2" x14ac:dyDescent="0.3">
      <c r="C9895" t="s">
        <v>3053</v>
      </c>
    </row>
    <row r="9896" spans="3:3" hidden="1" outlineLevel="2" x14ac:dyDescent="0.3">
      <c r="C9896" t="s">
        <v>3054</v>
      </c>
    </row>
    <row r="9897" spans="3:3" hidden="1" outlineLevel="2" x14ac:dyDescent="0.3">
      <c r="C9897" t="s">
        <v>3055</v>
      </c>
    </row>
    <row r="9898" spans="3:3" hidden="1" outlineLevel="2" x14ac:dyDescent="0.3">
      <c r="C9898" t="s">
        <v>3056</v>
      </c>
    </row>
    <row r="9899" spans="3:3" hidden="1" outlineLevel="2" x14ac:dyDescent="0.3">
      <c r="C9899" t="s">
        <v>3057</v>
      </c>
    </row>
    <row r="9900" spans="3:3" hidden="1" outlineLevel="2" x14ac:dyDescent="0.3">
      <c r="C9900" t="s">
        <v>3058</v>
      </c>
    </row>
    <row r="9901" spans="3:3" hidden="1" outlineLevel="2" x14ac:dyDescent="0.3">
      <c r="C9901" t="s">
        <v>3059</v>
      </c>
    </row>
    <row r="9902" spans="3:3" hidden="1" outlineLevel="2" x14ac:dyDescent="0.3">
      <c r="C9902" t="s">
        <v>3060</v>
      </c>
    </row>
    <row r="9903" spans="3:3" hidden="1" outlineLevel="2" x14ac:dyDescent="0.3">
      <c r="C9903" t="s">
        <v>3061</v>
      </c>
    </row>
    <row r="9904" spans="3:3" hidden="1" outlineLevel="2" x14ac:dyDescent="0.3">
      <c r="C9904" t="s">
        <v>3062</v>
      </c>
    </row>
    <row r="9905" spans="1:3" hidden="1" outlineLevel="2" x14ac:dyDescent="0.3">
      <c r="C9905" t="s">
        <v>3063</v>
      </c>
    </row>
    <row r="9906" spans="1:3" hidden="1" outlineLevel="2" x14ac:dyDescent="0.3">
      <c r="C9906" t="s">
        <v>3064</v>
      </c>
    </row>
    <row r="9907" spans="1:3" hidden="1" outlineLevel="2" x14ac:dyDescent="0.3">
      <c r="C9907" t="s">
        <v>3066</v>
      </c>
    </row>
    <row r="9908" spans="1:3" hidden="1" outlineLevel="2" x14ac:dyDescent="0.3">
      <c r="C9908" t="s">
        <v>3067</v>
      </c>
    </row>
    <row r="9909" spans="1:3" outlineLevel="1" collapsed="1" x14ac:dyDescent="0.3">
      <c r="B9909" t="s">
        <v>3068</v>
      </c>
    </row>
    <row r="9910" spans="1:3" hidden="1" outlineLevel="2" x14ac:dyDescent="0.3">
      <c r="C9910" t="s">
        <v>3071</v>
      </c>
    </row>
    <row r="9911" spans="1:3" hidden="1" outlineLevel="2" x14ac:dyDescent="0.3">
      <c r="C9911" t="s">
        <v>3072</v>
      </c>
    </row>
    <row r="9912" spans="1:3" hidden="1" outlineLevel="2" x14ac:dyDescent="0.3">
      <c r="C9912" t="s">
        <v>3073</v>
      </c>
    </row>
    <row r="9913" spans="1:3" hidden="1" outlineLevel="2" x14ac:dyDescent="0.3">
      <c r="C9913" t="s">
        <v>3074</v>
      </c>
    </row>
    <row r="9914" spans="1:3" outlineLevel="1" collapsed="1" x14ac:dyDescent="0.3">
      <c r="B9914" t="s">
        <v>3075</v>
      </c>
    </row>
    <row r="9915" spans="1:3" x14ac:dyDescent="0.3">
      <c r="A9915" t="s">
        <v>3076</v>
      </c>
    </row>
    <row r="9916" spans="1:3" outlineLevel="1" x14ac:dyDescent="0.3">
      <c r="B9916" t="s">
        <v>3077</v>
      </c>
    </row>
    <row r="9917" spans="1:3" hidden="1" outlineLevel="2" x14ac:dyDescent="0.3">
      <c r="C9917" t="s">
        <v>3078</v>
      </c>
    </row>
    <row r="9918" spans="1:3" hidden="1" outlineLevel="2" x14ac:dyDescent="0.3">
      <c r="C9918" t="s">
        <v>3079</v>
      </c>
    </row>
    <row r="9919" spans="1:3" hidden="1" outlineLevel="2" x14ac:dyDescent="0.3">
      <c r="C9919" t="s">
        <v>3080</v>
      </c>
    </row>
    <row r="9920" spans="1:3" outlineLevel="1" collapsed="1" x14ac:dyDescent="0.3">
      <c r="B9920" t="s">
        <v>3081</v>
      </c>
    </row>
    <row r="9921" spans="1:3" hidden="1" outlineLevel="2" x14ac:dyDescent="0.3">
      <c r="C9921" t="s">
        <v>3082</v>
      </c>
    </row>
    <row r="9922" spans="1:3" hidden="1" outlineLevel="2" x14ac:dyDescent="0.3">
      <c r="C9922" t="s">
        <v>3083</v>
      </c>
    </row>
    <row r="9923" spans="1:3" hidden="1" outlineLevel="2" x14ac:dyDescent="0.3">
      <c r="C9923" t="s">
        <v>4824</v>
      </c>
    </row>
    <row r="9924" spans="1:3" x14ac:dyDescent="0.3">
      <c r="A9924" t="s">
        <v>3085</v>
      </c>
    </row>
    <row r="9925" spans="1:3" outlineLevel="1" x14ac:dyDescent="0.3">
      <c r="B9925" t="s">
        <v>3086</v>
      </c>
    </row>
    <row r="9926" spans="1:3" hidden="1" outlineLevel="2" x14ac:dyDescent="0.3">
      <c r="C9926" t="s">
        <v>3087</v>
      </c>
    </row>
    <row r="9927" spans="1:3" hidden="1" outlineLevel="2" x14ac:dyDescent="0.3">
      <c r="C9927" t="s">
        <v>3088</v>
      </c>
    </row>
    <row r="9928" spans="1:3" hidden="1" outlineLevel="2" x14ac:dyDescent="0.3">
      <c r="C9928" t="s">
        <v>3089</v>
      </c>
    </row>
    <row r="9929" spans="1:3" outlineLevel="1" collapsed="1" x14ac:dyDescent="0.3">
      <c r="B9929" t="s">
        <v>3090</v>
      </c>
    </row>
    <row r="9930" spans="1:3" hidden="1" outlineLevel="2" x14ac:dyDescent="0.3">
      <c r="C9930" t="s">
        <v>3091</v>
      </c>
    </row>
    <row r="9931" spans="1:3" hidden="1" outlineLevel="2" x14ac:dyDescent="0.3">
      <c r="C9931" t="s">
        <v>3092</v>
      </c>
    </row>
    <row r="9932" spans="1:3" hidden="1" outlineLevel="2" x14ac:dyDescent="0.3">
      <c r="C9932" t="s">
        <v>3093</v>
      </c>
    </row>
    <row r="9933" spans="1:3" x14ac:dyDescent="0.3">
      <c r="A9933" t="s">
        <v>3094</v>
      </c>
    </row>
    <row r="9934" spans="1:3" outlineLevel="1" x14ac:dyDescent="0.3">
      <c r="B9934" t="s">
        <v>4527</v>
      </c>
    </row>
    <row r="9935" spans="1:3" hidden="1" outlineLevel="2" x14ac:dyDescent="0.3">
      <c r="C9935" t="s">
        <v>3096</v>
      </c>
    </row>
    <row r="9936" spans="1:3" hidden="1" outlineLevel="2" x14ac:dyDescent="0.3">
      <c r="C9936" t="s">
        <v>3097</v>
      </c>
    </row>
    <row r="9937" spans="1:3" hidden="1" outlineLevel="2" x14ac:dyDescent="0.3">
      <c r="C9937" t="s">
        <v>3098</v>
      </c>
    </row>
    <row r="9938" spans="1:3" outlineLevel="1" collapsed="1" x14ac:dyDescent="0.3">
      <c r="B9938" t="s">
        <v>3099</v>
      </c>
    </row>
    <row r="9939" spans="1:3" hidden="1" outlineLevel="2" x14ac:dyDescent="0.3">
      <c r="C9939" t="s">
        <v>3100</v>
      </c>
    </row>
    <row r="9940" spans="1:3" hidden="1" outlineLevel="2" x14ac:dyDescent="0.3">
      <c r="C9940" t="s">
        <v>3101</v>
      </c>
    </row>
    <row r="9941" spans="1:3" hidden="1" outlineLevel="2" x14ac:dyDescent="0.3">
      <c r="C9941" t="s">
        <v>3102</v>
      </c>
    </row>
    <row r="9942" spans="1:3" x14ac:dyDescent="0.3">
      <c r="A9942" t="s">
        <v>3109</v>
      </c>
    </row>
    <row r="9943" spans="1:3" outlineLevel="1" x14ac:dyDescent="0.3">
      <c r="B9943" t="s">
        <v>3110</v>
      </c>
    </row>
    <row r="9944" spans="1:3" hidden="1" outlineLevel="2" x14ac:dyDescent="0.3">
      <c r="C9944" t="s">
        <v>4825</v>
      </c>
    </row>
    <row r="9945" spans="1:3" hidden="1" outlineLevel="2" x14ac:dyDescent="0.3">
      <c r="C9945" t="s">
        <v>3112</v>
      </c>
    </row>
    <row r="9946" spans="1:3" hidden="1" outlineLevel="2" x14ac:dyDescent="0.3">
      <c r="C9946" t="s">
        <v>3113</v>
      </c>
    </row>
    <row r="9947" spans="1:3" hidden="1" outlineLevel="2" x14ac:dyDescent="0.3">
      <c r="C9947" t="s">
        <v>3115</v>
      </c>
    </row>
    <row r="9948" spans="1:3" hidden="1" outlineLevel="2" x14ac:dyDescent="0.3">
      <c r="C9948" t="s">
        <v>3117</v>
      </c>
    </row>
    <row r="9949" spans="1:3" hidden="1" outlineLevel="2" x14ac:dyDescent="0.3">
      <c r="C9949" t="s">
        <v>4718</v>
      </c>
    </row>
    <row r="9950" spans="1:3" hidden="1" outlineLevel="2" x14ac:dyDescent="0.3">
      <c r="C9950" t="s">
        <v>4826</v>
      </c>
    </row>
    <row r="9951" spans="1:3" hidden="1" outlineLevel="2" x14ac:dyDescent="0.3">
      <c r="C9951" t="s">
        <v>4827</v>
      </c>
    </row>
    <row r="9952" spans="1:3" hidden="1" outlineLevel="2" x14ac:dyDescent="0.3">
      <c r="C9952" t="s">
        <v>3120</v>
      </c>
    </row>
    <row r="9953" spans="1:3" outlineLevel="1" collapsed="1" x14ac:dyDescent="0.3">
      <c r="B9953" t="s">
        <v>3121</v>
      </c>
    </row>
    <row r="9954" spans="1:3" hidden="1" outlineLevel="2" x14ac:dyDescent="0.3">
      <c r="C9954" t="s">
        <v>4828</v>
      </c>
    </row>
    <row r="9955" spans="1:3" hidden="1" outlineLevel="2" x14ac:dyDescent="0.3">
      <c r="C9955" t="s">
        <v>4829</v>
      </c>
    </row>
    <row r="9956" spans="1:3" hidden="1" outlineLevel="2" x14ac:dyDescent="0.3">
      <c r="C9956" t="s">
        <v>3124</v>
      </c>
    </row>
    <row r="9957" spans="1:3" hidden="1" outlineLevel="2" x14ac:dyDescent="0.3">
      <c r="C9957" t="s">
        <v>3125</v>
      </c>
    </row>
    <row r="9958" spans="1:3" hidden="1" outlineLevel="2" x14ac:dyDescent="0.3">
      <c r="C9958" t="s">
        <v>3126</v>
      </c>
    </row>
    <row r="9959" spans="1:3" hidden="1" outlineLevel="2" x14ac:dyDescent="0.3">
      <c r="C9959" t="s">
        <v>3128</v>
      </c>
    </row>
    <row r="9960" spans="1:3" hidden="1" outlineLevel="2" x14ac:dyDescent="0.3">
      <c r="C9960" t="s">
        <v>3130</v>
      </c>
    </row>
    <row r="9961" spans="1:3" hidden="1" outlineLevel="2" x14ac:dyDescent="0.3">
      <c r="C9961" t="s">
        <v>3133</v>
      </c>
    </row>
    <row r="9962" spans="1:3" x14ac:dyDescent="0.3">
      <c r="A9962" t="s">
        <v>3134</v>
      </c>
    </row>
    <row r="9963" spans="1:3" x14ac:dyDescent="0.3">
      <c r="A9963" t="s">
        <v>3135</v>
      </c>
    </row>
    <row r="9964" spans="1:3" x14ac:dyDescent="0.3">
      <c r="A9964" t="s">
        <v>4091</v>
      </c>
    </row>
    <row r="9965" spans="1:3" x14ac:dyDescent="0.3">
      <c r="A9965" t="s">
        <v>3136</v>
      </c>
    </row>
    <row r="9966" spans="1:3" outlineLevel="1" x14ac:dyDescent="0.3">
      <c r="B9966" t="s">
        <v>1394</v>
      </c>
    </row>
    <row r="9967" spans="1:3" outlineLevel="1" x14ac:dyDescent="0.3">
      <c r="B9967" t="s">
        <v>1395</v>
      </c>
    </row>
    <row r="9968" spans="1:3" outlineLevel="1" x14ac:dyDescent="0.3">
      <c r="B9968" t="s">
        <v>3137</v>
      </c>
    </row>
    <row r="9969" spans="2:2" outlineLevel="1" x14ac:dyDescent="0.3">
      <c r="B9969" t="s">
        <v>1397</v>
      </c>
    </row>
    <row r="9970" spans="2:2" outlineLevel="1" x14ac:dyDescent="0.3">
      <c r="B9970" t="s">
        <v>1398</v>
      </c>
    </row>
    <row r="9971" spans="2:2" outlineLevel="1" x14ac:dyDescent="0.3">
      <c r="B9971" t="s">
        <v>3138</v>
      </c>
    </row>
    <row r="9972" spans="2:2" outlineLevel="1" x14ac:dyDescent="0.3">
      <c r="B9972" t="s">
        <v>1400</v>
      </c>
    </row>
    <row r="9973" spans="2:2" outlineLevel="1" x14ac:dyDescent="0.3">
      <c r="B9973" t="s">
        <v>1401</v>
      </c>
    </row>
    <row r="9974" spans="2:2" outlineLevel="1" x14ac:dyDescent="0.3">
      <c r="B9974" t="s">
        <v>1402</v>
      </c>
    </row>
    <row r="9975" spans="2:2" outlineLevel="1" x14ac:dyDescent="0.3">
      <c r="B9975" t="s">
        <v>3139</v>
      </c>
    </row>
    <row r="9976" spans="2:2" outlineLevel="1" x14ac:dyDescent="0.3">
      <c r="B9976" t="s">
        <v>1404</v>
      </c>
    </row>
    <row r="9977" spans="2:2" outlineLevel="1" x14ac:dyDescent="0.3">
      <c r="B9977" t="s">
        <v>1405</v>
      </c>
    </row>
    <row r="9978" spans="2:2" outlineLevel="1" x14ac:dyDescent="0.3">
      <c r="B9978" t="s">
        <v>1406</v>
      </c>
    </row>
    <row r="9979" spans="2:2" outlineLevel="1" x14ac:dyDescent="0.3">
      <c r="B9979" t="s">
        <v>3140</v>
      </c>
    </row>
    <row r="9980" spans="2:2" outlineLevel="1" x14ac:dyDescent="0.3">
      <c r="B9980" t="s">
        <v>3141</v>
      </c>
    </row>
    <row r="9981" spans="2:2" outlineLevel="1" x14ac:dyDescent="0.3">
      <c r="B9981" t="s">
        <v>1410</v>
      </c>
    </row>
    <row r="9982" spans="2:2" outlineLevel="1" x14ac:dyDescent="0.3">
      <c r="B9982" t="s">
        <v>3142</v>
      </c>
    </row>
    <row r="9983" spans="2:2" outlineLevel="1" x14ac:dyDescent="0.3">
      <c r="B9983" t="s">
        <v>1412</v>
      </c>
    </row>
    <row r="9984" spans="2:2" outlineLevel="1" x14ac:dyDescent="0.3">
      <c r="B9984" t="s">
        <v>3143</v>
      </c>
    </row>
    <row r="9985" spans="1:3" outlineLevel="1" x14ac:dyDescent="0.3">
      <c r="B9985" t="s">
        <v>1417</v>
      </c>
    </row>
    <row r="9986" spans="1:3" outlineLevel="1" x14ac:dyDescent="0.3">
      <c r="B9986" t="s">
        <v>1420</v>
      </c>
    </row>
    <row r="9987" spans="1:3" outlineLevel="1" x14ac:dyDescent="0.3">
      <c r="B9987" t="s">
        <v>1434</v>
      </c>
    </row>
    <row r="9988" spans="1:3" outlineLevel="1" x14ac:dyDescent="0.3">
      <c r="B9988" t="s">
        <v>3144</v>
      </c>
    </row>
    <row r="9989" spans="1:3" outlineLevel="1" x14ac:dyDescent="0.3">
      <c r="B9989" t="s">
        <v>3145</v>
      </c>
    </row>
    <row r="9990" spans="1:3" outlineLevel="1" x14ac:dyDescent="0.3">
      <c r="B9990" t="s">
        <v>3146</v>
      </c>
    </row>
    <row r="9991" spans="1:3" outlineLevel="1" x14ac:dyDescent="0.3">
      <c r="B9991" t="s">
        <v>1444</v>
      </c>
    </row>
    <row r="9992" spans="1:3" outlineLevel="1" x14ac:dyDescent="0.3">
      <c r="B9992" t="s">
        <v>3147</v>
      </c>
    </row>
    <row r="9993" spans="1:3" x14ac:dyDescent="0.3">
      <c r="A9993" t="s">
        <v>1496</v>
      </c>
    </row>
    <row r="9994" spans="1:3" x14ac:dyDescent="0.3">
      <c r="A9994" t="s">
        <v>3148</v>
      </c>
    </row>
    <row r="9995" spans="1:3" outlineLevel="1" x14ac:dyDescent="0.3">
      <c r="B9995" t="s">
        <v>3149</v>
      </c>
    </row>
    <row r="9996" spans="1:3" outlineLevel="1" x14ac:dyDescent="0.3">
      <c r="B9996" t="s">
        <v>3150</v>
      </c>
    </row>
    <row r="9997" spans="1:3" outlineLevel="1" x14ac:dyDescent="0.3">
      <c r="B9997" t="s">
        <v>3151</v>
      </c>
    </row>
    <row r="9998" spans="1:3" hidden="1" outlineLevel="2" x14ac:dyDescent="0.3">
      <c r="C9998" t="s">
        <v>3152</v>
      </c>
    </row>
    <row r="9999" spans="1:3" hidden="1" outlineLevel="2" x14ac:dyDescent="0.3">
      <c r="C9999" t="s">
        <v>3153</v>
      </c>
    </row>
    <row r="10000" spans="1:3" hidden="1" outlineLevel="2" x14ac:dyDescent="0.3">
      <c r="C10000" t="s">
        <v>3154</v>
      </c>
    </row>
    <row r="10001" spans="2:3" outlineLevel="1" collapsed="1" x14ac:dyDescent="0.3">
      <c r="B10001" t="s">
        <v>4092</v>
      </c>
    </row>
    <row r="10002" spans="2:3" outlineLevel="1" x14ac:dyDescent="0.3">
      <c r="B10002" t="s">
        <v>3156</v>
      </c>
    </row>
    <row r="10003" spans="2:3" outlineLevel="1" x14ac:dyDescent="0.3">
      <c r="B10003" t="s">
        <v>3157</v>
      </c>
    </row>
    <row r="10004" spans="2:3" outlineLevel="1" x14ac:dyDescent="0.3">
      <c r="B10004" t="s">
        <v>3158</v>
      </c>
    </row>
    <row r="10005" spans="2:3" outlineLevel="1" x14ac:dyDescent="0.3">
      <c r="B10005" t="s">
        <v>3159</v>
      </c>
    </row>
    <row r="10006" spans="2:3" outlineLevel="1" x14ac:dyDescent="0.3">
      <c r="B10006" t="s">
        <v>3160</v>
      </c>
    </row>
    <row r="10007" spans="2:3" hidden="1" outlineLevel="2" x14ac:dyDescent="0.3">
      <c r="C10007" t="s">
        <v>3161</v>
      </c>
    </row>
    <row r="10008" spans="2:3" hidden="1" outlineLevel="2" x14ac:dyDescent="0.3">
      <c r="C10008" t="s">
        <v>3162</v>
      </c>
    </row>
    <row r="10009" spans="2:3" hidden="1" outlineLevel="2" x14ac:dyDescent="0.3">
      <c r="C10009" t="s">
        <v>3163</v>
      </c>
    </row>
    <row r="10010" spans="2:3" outlineLevel="1" collapsed="1" x14ac:dyDescent="0.3">
      <c r="B10010" t="s">
        <v>3164</v>
      </c>
    </row>
    <row r="10011" spans="2:3" hidden="1" outlineLevel="2" x14ac:dyDescent="0.3">
      <c r="C10011" t="s">
        <v>3165</v>
      </c>
    </row>
    <row r="10012" spans="2:3" hidden="1" outlineLevel="2" x14ac:dyDescent="0.3">
      <c r="C10012" t="s">
        <v>3166</v>
      </c>
    </row>
    <row r="10013" spans="2:3" hidden="1" outlineLevel="2" x14ac:dyDescent="0.3">
      <c r="C10013" t="s">
        <v>3167</v>
      </c>
    </row>
    <row r="10014" spans="2:3" outlineLevel="1" collapsed="1" x14ac:dyDescent="0.3">
      <c r="B10014" t="s">
        <v>3168</v>
      </c>
    </row>
    <row r="10015" spans="2:3" hidden="1" outlineLevel="2" x14ac:dyDescent="0.3">
      <c r="C10015" t="s">
        <v>3169</v>
      </c>
    </row>
    <row r="10016" spans="2:3" hidden="1" outlineLevel="2" x14ac:dyDescent="0.3">
      <c r="C10016" t="s">
        <v>3170</v>
      </c>
    </row>
    <row r="10017" spans="2:3" hidden="1" outlineLevel="2" x14ac:dyDescent="0.3">
      <c r="C10017" t="s">
        <v>3171</v>
      </c>
    </row>
    <row r="10018" spans="2:3" hidden="1" outlineLevel="2" x14ac:dyDescent="0.3">
      <c r="C10018" t="s">
        <v>3172</v>
      </c>
    </row>
    <row r="10019" spans="2:3" outlineLevel="1" collapsed="1" x14ac:dyDescent="0.3">
      <c r="B10019" t="s">
        <v>3173</v>
      </c>
    </row>
    <row r="10020" spans="2:3" hidden="1" outlineLevel="2" x14ac:dyDescent="0.3">
      <c r="C10020" t="s">
        <v>3174</v>
      </c>
    </row>
    <row r="10021" spans="2:3" hidden="1" outlineLevel="2" x14ac:dyDescent="0.3">
      <c r="C10021" t="s">
        <v>3175</v>
      </c>
    </row>
    <row r="10022" spans="2:3" outlineLevel="1" collapsed="1" x14ac:dyDescent="0.3">
      <c r="B10022" t="s">
        <v>3176</v>
      </c>
    </row>
    <row r="10023" spans="2:3" outlineLevel="1" x14ac:dyDescent="0.3">
      <c r="B10023" t="s">
        <v>3177</v>
      </c>
    </row>
    <row r="10024" spans="2:3" hidden="1" outlineLevel="2" x14ac:dyDescent="0.3">
      <c r="C10024" t="s">
        <v>3178</v>
      </c>
    </row>
    <row r="10025" spans="2:3" hidden="1" outlineLevel="2" x14ac:dyDescent="0.3">
      <c r="C10025" t="s">
        <v>3179</v>
      </c>
    </row>
    <row r="10026" spans="2:3" hidden="1" outlineLevel="2" x14ac:dyDescent="0.3">
      <c r="C10026" t="s">
        <v>3180</v>
      </c>
    </row>
    <row r="10027" spans="2:3" hidden="1" outlineLevel="2" x14ac:dyDescent="0.3">
      <c r="C10027" t="s">
        <v>3181</v>
      </c>
    </row>
    <row r="10028" spans="2:3" outlineLevel="1" collapsed="1" x14ac:dyDescent="0.3">
      <c r="B10028" t="s">
        <v>3182</v>
      </c>
    </row>
    <row r="10029" spans="2:3" hidden="1" outlineLevel="2" x14ac:dyDescent="0.3">
      <c r="C10029" t="s">
        <v>3183</v>
      </c>
    </row>
    <row r="10030" spans="2:3" hidden="1" outlineLevel="2" x14ac:dyDescent="0.3">
      <c r="C10030" t="s">
        <v>3184</v>
      </c>
    </row>
    <row r="10031" spans="2:3" outlineLevel="1" collapsed="1" x14ac:dyDescent="0.3">
      <c r="B10031" t="s">
        <v>3185</v>
      </c>
    </row>
    <row r="10032" spans="2:3" outlineLevel="1" x14ac:dyDescent="0.3">
      <c r="B10032" t="s">
        <v>3186</v>
      </c>
    </row>
    <row r="10033" spans="1:3" outlineLevel="1" x14ac:dyDescent="0.3">
      <c r="B10033" t="s">
        <v>3187</v>
      </c>
    </row>
    <row r="10034" spans="1:3" outlineLevel="1" x14ac:dyDescent="0.3">
      <c r="B10034" t="s">
        <v>3188</v>
      </c>
    </row>
    <row r="10035" spans="1:3" outlineLevel="1" x14ac:dyDescent="0.3">
      <c r="B10035" t="s">
        <v>3189</v>
      </c>
    </row>
    <row r="10036" spans="1:3" outlineLevel="1" x14ac:dyDescent="0.3">
      <c r="B10036" t="s">
        <v>3190</v>
      </c>
    </row>
    <row r="10037" spans="1:3" x14ac:dyDescent="0.3">
      <c r="A10037" t="s">
        <v>3191</v>
      </c>
    </row>
    <row r="10038" spans="1:3" outlineLevel="1" x14ac:dyDescent="0.3">
      <c r="B10038" t="s">
        <v>3192</v>
      </c>
    </row>
    <row r="10039" spans="1:3" outlineLevel="1" x14ac:dyDescent="0.3">
      <c r="B10039" t="s">
        <v>3193</v>
      </c>
    </row>
    <row r="10040" spans="1:3" hidden="1" outlineLevel="2" x14ac:dyDescent="0.3">
      <c r="C10040" t="s">
        <v>3194</v>
      </c>
    </row>
    <row r="10041" spans="1:3" hidden="1" outlineLevel="2" x14ac:dyDescent="0.3">
      <c r="C10041" t="s">
        <v>3195</v>
      </c>
    </row>
    <row r="10042" spans="1:3" hidden="1" outlineLevel="2" x14ac:dyDescent="0.3">
      <c r="C10042" t="s">
        <v>3196</v>
      </c>
    </row>
    <row r="10043" spans="1:3" outlineLevel="1" collapsed="1" x14ac:dyDescent="0.3">
      <c r="B10043" t="s">
        <v>3197</v>
      </c>
    </row>
    <row r="10044" spans="1:3" outlineLevel="1" x14ac:dyDescent="0.3">
      <c r="B10044" t="s">
        <v>3198</v>
      </c>
    </row>
    <row r="10045" spans="1:3" outlineLevel="1" x14ac:dyDescent="0.3">
      <c r="B10045" t="s">
        <v>3199</v>
      </c>
    </row>
    <row r="10046" spans="1:3" outlineLevel="1" x14ac:dyDescent="0.3">
      <c r="B10046" t="s">
        <v>3200</v>
      </c>
    </row>
    <row r="10047" spans="1:3" outlineLevel="1" x14ac:dyDescent="0.3">
      <c r="B10047" t="s">
        <v>3201</v>
      </c>
    </row>
    <row r="10048" spans="1:3" hidden="1" outlineLevel="2" x14ac:dyDescent="0.3">
      <c r="C10048" t="s">
        <v>3202</v>
      </c>
    </row>
    <row r="10049" spans="2:3" hidden="1" outlineLevel="2" x14ac:dyDescent="0.3">
      <c r="C10049" t="s">
        <v>3203</v>
      </c>
    </row>
    <row r="10050" spans="2:3" hidden="1" outlineLevel="2" x14ac:dyDescent="0.3">
      <c r="C10050" t="s">
        <v>3204</v>
      </c>
    </row>
    <row r="10051" spans="2:3" outlineLevel="1" collapsed="1" x14ac:dyDescent="0.3">
      <c r="B10051" t="s">
        <v>3205</v>
      </c>
    </row>
    <row r="10052" spans="2:3" hidden="1" outlineLevel="2" x14ac:dyDescent="0.3">
      <c r="C10052" t="s">
        <v>3206</v>
      </c>
    </row>
    <row r="10053" spans="2:3" hidden="1" outlineLevel="2" x14ac:dyDescent="0.3">
      <c r="C10053" t="s">
        <v>3207</v>
      </c>
    </row>
    <row r="10054" spans="2:3" hidden="1" outlineLevel="2" x14ac:dyDescent="0.3">
      <c r="C10054" t="s">
        <v>3208</v>
      </c>
    </row>
    <row r="10055" spans="2:3" outlineLevel="1" collapsed="1" x14ac:dyDescent="0.3">
      <c r="B10055" t="s">
        <v>3209</v>
      </c>
    </row>
    <row r="10056" spans="2:3" hidden="1" outlineLevel="2" x14ac:dyDescent="0.3">
      <c r="C10056" t="s">
        <v>3210</v>
      </c>
    </row>
    <row r="10057" spans="2:3" hidden="1" outlineLevel="2" x14ac:dyDescent="0.3">
      <c r="C10057" t="s">
        <v>3211</v>
      </c>
    </row>
    <row r="10058" spans="2:3" hidden="1" outlineLevel="2" x14ac:dyDescent="0.3">
      <c r="C10058" t="s">
        <v>3212</v>
      </c>
    </row>
    <row r="10059" spans="2:3" hidden="1" outlineLevel="2" x14ac:dyDescent="0.3">
      <c r="C10059" t="s">
        <v>3213</v>
      </c>
    </row>
    <row r="10060" spans="2:3" outlineLevel="1" collapsed="1" x14ac:dyDescent="0.3">
      <c r="B10060" t="s">
        <v>3214</v>
      </c>
    </row>
    <row r="10061" spans="2:3" hidden="1" outlineLevel="2" x14ac:dyDescent="0.3">
      <c r="C10061" t="s">
        <v>3215</v>
      </c>
    </row>
    <row r="10062" spans="2:3" hidden="1" outlineLevel="2" x14ac:dyDescent="0.3">
      <c r="C10062" t="s">
        <v>3216</v>
      </c>
    </row>
    <row r="10063" spans="2:3" outlineLevel="1" collapsed="1" x14ac:dyDescent="0.3">
      <c r="B10063" t="s">
        <v>3217</v>
      </c>
    </row>
    <row r="10064" spans="2:3" outlineLevel="1" x14ac:dyDescent="0.3">
      <c r="B10064" t="s">
        <v>3218</v>
      </c>
    </row>
    <row r="10065" spans="1:3" hidden="1" outlineLevel="2" x14ac:dyDescent="0.3">
      <c r="C10065" t="s">
        <v>3219</v>
      </c>
    </row>
    <row r="10066" spans="1:3" hidden="1" outlineLevel="2" x14ac:dyDescent="0.3">
      <c r="C10066" t="s">
        <v>3220</v>
      </c>
    </row>
    <row r="10067" spans="1:3" hidden="1" outlineLevel="2" x14ac:dyDescent="0.3">
      <c r="C10067" t="s">
        <v>3221</v>
      </c>
    </row>
    <row r="10068" spans="1:3" hidden="1" outlineLevel="2" x14ac:dyDescent="0.3">
      <c r="C10068" t="s">
        <v>3222</v>
      </c>
    </row>
    <row r="10069" spans="1:3" outlineLevel="1" collapsed="1" x14ac:dyDescent="0.3">
      <c r="B10069" t="s">
        <v>3223</v>
      </c>
    </row>
    <row r="10070" spans="1:3" hidden="1" outlineLevel="2" x14ac:dyDescent="0.3">
      <c r="C10070" t="s">
        <v>3224</v>
      </c>
    </row>
    <row r="10071" spans="1:3" hidden="1" outlineLevel="2" x14ac:dyDescent="0.3">
      <c r="C10071" t="s">
        <v>3225</v>
      </c>
    </row>
    <row r="10072" spans="1:3" hidden="1" outlineLevel="2" x14ac:dyDescent="0.3">
      <c r="C10072" t="s">
        <v>3226</v>
      </c>
    </row>
    <row r="10073" spans="1:3" outlineLevel="1" collapsed="1" x14ac:dyDescent="0.3">
      <c r="B10073" t="s">
        <v>3227</v>
      </c>
    </row>
    <row r="10074" spans="1:3" outlineLevel="1" x14ac:dyDescent="0.3">
      <c r="B10074" t="s">
        <v>3228</v>
      </c>
    </row>
    <row r="10075" spans="1:3" outlineLevel="1" x14ac:dyDescent="0.3">
      <c r="B10075" t="s">
        <v>3229</v>
      </c>
    </row>
    <row r="10076" spans="1:3" outlineLevel="1" x14ac:dyDescent="0.3">
      <c r="B10076" t="s">
        <v>3230</v>
      </c>
    </row>
    <row r="10077" spans="1:3" outlineLevel="1" x14ac:dyDescent="0.3">
      <c r="B10077" t="s">
        <v>3231</v>
      </c>
    </row>
    <row r="10078" spans="1:3" x14ac:dyDescent="0.3">
      <c r="A10078" t="s">
        <v>1697</v>
      </c>
    </row>
    <row r="10079" spans="1:3" x14ac:dyDescent="0.3">
      <c r="A10079" t="s">
        <v>1698</v>
      </c>
    </row>
    <row r="10080" spans="1:3" x14ac:dyDescent="0.3">
      <c r="A10080" t="s">
        <v>1699</v>
      </c>
    </row>
    <row r="10081" spans="1:2" x14ac:dyDescent="0.3">
      <c r="A10081" t="s">
        <v>1700</v>
      </c>
    </row>
    <row r="10082" spans="1:2" x14ac:dyDescent="0.3">
      <c r="A10082" t="s">
        <v>1701</v>
      </c>
    </row>
    <row r="10083" spans="1:2" x14ac:dyDescent="0.3">
      <c r="A10083" t="s">
        <v>1702</v>
      </c>
    </row>
    <row r="10084" spans="1:2" x14ac:dyDescent="0.3">
      <c r="A10084" t="s">
        <v>1703</v>
      </c>
    </row>
    <row r="10085" spans="1:2" outlineLevel="1" x14ac:dyDescent="0.3">
      <c r="B10085" t="s">
        <v>1704</v>
      </c>
    </row>
    <row r="10086" spans="1:2" outlineLevel="1" x14ac:dyDescent="0.3">
      <c r="B10086" t="s">
        <v>1705</v>
      </c>
    </row>
    <row r="10087" spans="1:2" outlineLevel="1" x14ac:dyDescent="0.3">
      <c r="B10087" t="s">
        <v>1706</v>
      </c>
    </row>
    <row r="10088" spans="1:2" outlineLevel="1" x14ac:dyDescent="0.3">
      <c r="B10088" t="s">
        <v>1707</v>
      </c>
    </row>
    <row r="10089" spans="1:2" outlineLevel="1" x14ac:dyDescent="0.3">
      <c r="B10089" t="s">
        <v>1708</v>
      </c>
    </row>
    <row r="10090" spans="1:2" outlineLevel="1" x14ac:dyDescent="0.3">
      <c r="B10090" t="s">
        <v>1709</v>
      </c>
    </row>
    <row r="10091" spans="1:2" outlineLevel="1" x14ac:dyDescent="0.3">
      <c r="B10091" t="s">
        <v>1710</v>
      </c>
    </row>
    <row r="10092" spans="1:2" outlineLevel="1" x14ac:dyDescent="0.3">
      <c r="B10092" t="s">
        <v>1711</v>
      </c>
    </row>
    <row r="10093" spans="1:2" outlineLevel="1" x14ac:dyDescent="0.3">
      <c r="B10093" t="s">
        <v>1712</v>
      </c>
    </row>
    <row r="10094" spans="1:2" outlineLevel="1" x14ac:dyDescent="0.3">
      <c r="B10094" t="s">
        <v>1713</v>
      </c>
    </row>
    <row r="10095" spans="1:2" outlineLevel="1" x14ac:dyDescent="0.3">
      <c r="B10095" t="s">
        <v>1714</v>
      </c>
    </row>
    <row r="10096" spans="1:2" outlineLevel="1" x14ac:dyDescent="0.3">
      <c r="B10096" t="s">
        <v>1715</v>
      </c>
    </row>
    <row r="10097" spans="1:2" outlineLevel="1" x14ac:dyDescent="0.3">
      <c r="B10097" t="s">
        <v>1716</v>
      </c>
    </row>
    <row r="10098" spans="1:2" outlineLevel="1" x14ac:dyDescent="0.3">
      <c r="B10098" t="s">
        <v>1717</v>
      </c>
    </row>
    <row r="10099" spans="1:2" outlineLevel="1" x14ac:dyDescent="0.3">
      <c r="B10099" t="s">
        <v>1718</v>
      </c>
    </row>
    <row r="10100" spans="1:2" x14ac:dyDescent="0.3">
      <c r="A10100" t="s">
        <v>1719</v>
      </c>
    </row>
    <row r="10101" spans="1:2" x14ac:dyDescent="0.3">
      <c r="A10101" t="s">
        <v>1720</v>
      </c>
    </row>
    <row r="10102" spans="1:2" outlineLevel="1" x14ac:dyDescent="0.3">
      <c r="B10102" t="s">
        <v>3232</v>
      </c>
    </row>
    <row r="10103" spans="1:2" outlineLevel="1" x14ac:dyDescent="0.3">
      <c r="B10103" t="s">
        <v>1722</v>
      </c>
    </row>
    <row r="10104" spans="1:2" x14ac:dyDescent="0.3">
      <c r="A10104" t="s">
        <v>1723</v>
      </c>
    </row>
    <row r="10105" spans="1:2" outlineLevel="1" x14ac:dyDescent="0.3">
      <c r="B10105" t="s">
        <v>3233</v>
      </c>
    </row>
    <row r="10106" spans="1:2" outlineLevel="1" x14ac:dyDescent="0.3">
      <c r="B10106" t="s">
        <v>1725</v>
      </c>
    </row>
    <row r="10107" spans="1:2" x14ac:dyDescent="0.3">
      <c r="A10107" t="s">
        <v>1726</v>
      </c>
    </row>
    <row r="10108" spans="1:2" x14ac:dyDescent="0.3">
      <c r="A10108" t="s">
        <v>1727</v>
      </c>
    </row>
    <row r="10109" spans="1:2" x14ac:dyDescent="0.3">
      <c r="A10109" t="s">
        <v>1728</v>
      </c>
    </row>
    <row r="10110" spans="1:2" x14ac:dyDescent="0.3">
      <c r="A10110" t="s">
        <v>1729</v>
      </c>
    </row>
    <row r="10111" spans="1:2" x14ac:dyDescent="0.3">
      <c r="A10111" t="s">
        <v>1730</v>
      </c>
    </row>
    <row r="10112" spans="1:2" x14ac:dyDescent="0.3">
      <c r="A10112" t="s">
        <v>1731</v>
      </c>
    </row>
    <row r="10113" spans="1:2" x14ac:dyDescent="0.3">
      <c r="A10113" t="s">
        <v>1732</v>
      </c>
    </row>
    <row r="10114" spans="1:2" x14ac:dyDescent="0.3">
      <c r="A10114" t="s">
        <v>1733</v>
      </c>
    </row>
    <row r="10115" spans="1:2" x14ac:dyDescent="0.3">
      <c r="A10115" t="s">
        <v>1734</v>
      </c>
    </row>
    <row r="10116" spans="1:2" x14ac:dyDescent="0.3">
      <c r="A10116" t="s">
        <v>1735</v>
      </c>
    </row>
    <row r="10117" spans="1:2" x14ac:dyDescent="0.3">
      <c r="A10117" t="s">
        <v>1736</v>
      </c>
    </row>
    <row r="10118" spans="1:2" outlineLevel="1" x14ac:dyDescent="0.3">
      <c r="B10118" t="s">
        <v>1737</v>
      </c>
    </row>
    <row r="10119" spans="1:2" outlineLevel="1" x14ac:dyDescent="0.3">
      <c r="B10119" t="s">
        <v>1738</v>
      </c>
    </row>
    <row r="10120" spans="1:2" outlineLevel="1" x14ac:dyDescent="0.3">
      <c r="B10120" t="s">
        <v>1739</v>
      </c>
    </row>
    <row r="10121" spans="1:2" outlineLevel="1" x14ac:dyDescent="0.3">
      <c r="B10121" t="s">
        <v>1740</v>
      </c>
    </row>
    <row r="10122" spans="1:2" outlineLevel="1" x14ac:dyDescent="0.3">
      <c r="B10122" t="s">
        <v>1741</v>
      </c>
    </row>
    <row r="10123" spans="1:2" outlineLevel="1" x14ac:dyDescent="0.3">
      <c r="B10123" t="s">
        <v>1742</v>
      </c>
    </row>
    <row r="10124" spans="1:2" outlineLevel="1" x14ac:dyDescent="0.3">
      <c r="B10124" t="s">
        <v>1743</v>
      </c>
    </row>
    <row r="10125" spans="1:2" outlineLevel="1" x14ac:dyDescent="0.3">
      <c r="B10125" t="s">
        <v>1744</v>
      </c>
    </row>
    <row r="10126" spans="1:2" outlineLevel="1" x14ac:dyDescent="0.3">
      <c r="B10126" t="s">
        <v>1745</v>
      </c>
    </row>
    <row r="10127" spans="1:2" outlineLevel="1" x14ac:dyDescent="0.3">
      <c r="B10127" t="s">
        <v>1746</v>
      </c>
    </row>
    <row r="10128" spans="1:2" outlineLevel="1" x14ac:dyDescent="0.3">
      <c r="B10128" t="s">
        <v>1747</v>
      </c>
    </row>
    <row r="10129" spans="1:2" outlineLevel="1" x14ac:dyDescent="0.3">
      <c r="B10129" t="s">
        <v>1748</v>
      </c>
    </row>
    <row r="10130" spans="1:2" outlineLevel="1" x14ac:dyDescent="0.3">
      <c r="B10130" t="s">
        <v>1749</v>
      </c>
    </row>
    <row r="10131" spans="1:2" outlineLevel="1" x14ac:dyDescent="0.3">
      <c r="B10131" t="s">
        <v>1750</v>
      </c>
    </row>
    <row r="10138" spans="1:2" x14ac:dyDescent="0.3">
      <c r="A10138" t="s">
        <v>1751</v>
      </c>
    </row>
    <row r="10139" spans="1:2" outlineLevel="1" x14ac:dyDescent="0.3">
      <c r="B10139" t="s">
        <v>1752</v>
      </c>
    </row>
    <row r="10140" spans="1:2" outlineLevel="1" x14ac:dyDescent="0.3">
      <c r="B10140" t="s">
        <v>1753</v>
      </c>
    </row>
    <row r="10141" spans="1:2" outlineLevel="1" x14ac:dyDescent="0.3">
      <c r="B10141" t="s">
        <v>1754</v>
      </c>
    </row>
    <row r="10142" spans="1:2" outlineLevel="1" x14ac:dyDescent="0.3">
      <c r="B10142" t="s">
        <v>1755</v>
      </c>
    </row>
    <row r="10143" spans="1:2" outlineLevel="1" x14ac:dyDescent="0.3">
      <c r="B10143" t="s">
        <v>1756</v>
      </c>
    </row>
    <row r="10144" spans="1:2" outlineLevel="1" x14ac:dyDescent="0.3">
      <c r="B10144" t="s">
        <v>1757</v>
      </c>
    </row>
    <row r="10145" spans="1:2" outlineLevel="1" x14ac:dyDescent="0.3">
      <c r="B10145" t="s">
        <v>1758</v>
      </c>
    </row>
    <row r="10146" spans="1:2" outlineLevel="1" x14ac:dyDescent="0.3">
      <c r="B10146" t="s">
        <v>1759</v>
      </c>
    </row>
    <row r="10147" spans="1:2" outlineLevel="1" x14ac:dyDescent="0.3">
      <c r="B10147" t="s">
        <v>1760</v>
      </c>
    </row>
    <row r="10148" spans="1:2" outlineLevel="1" x14ac:dyDescent="0.3">
      <c r="B10148" t="s">
        <v>1761</v>
      </c>
    </row>
    <row r="10149" spans="1:2" outlineLevel="1" x14ac:dyDescent="0.3">
      <c r="B10149" t="s">
        <v>1762</v>
      </c>
    </row>
    <row r="10150" spans="1:2" outlineLevel="1" x14ac:dyDescent="0.3">
      <c r="B10150" t="s">
        <v>1763</v>
      </c>
    </row>
    <row r="10151" spans="1:2" x14ac:dyDescent="0.3">
      <c r="A10151" t="s">
        <v>1764</v>
      </c>
    </row>
    <row r="10152" spans="1:2" outlineLevel="1" x14ac:dyDescent="0.3">
      <c r="B10152" t="s">
        <v>1765</v>
      </c>
    </row>
    <row r="10153" spans="1:2" outlineLevel="1" x14ac:dyDescent="0.3">
      <c r="B10153" t="s">
        <v>1766</v>
      </c>
    </row>
    <row r="10154" spans="1:2" outlineLevel="1" x14ac:dyDescent="0.3">
      <c r="B10154" t="s">
        <v>1767</v>
      </c>
    </row>
    <row r="10155" spans="1:2" x14ac:dyDescent="0.3">
      <c r="A10155" t="s">
        <v>1768</v>
      </c>
    </row>
    <row r="10156" spans="1:2" outlineLevel="1" x14ac:dyDescent="0.3">
      <c r="B10156" t="s">
        <v>1769</v>
      </c>
    </row>
    <row r="10157" spans="1:2" outlineLevel="1" x14ac:dyDescent="0.3">
      <c r="B10157" t="s">
        <v>1770</v>
      </c>
    </row>
    <row r="10158" spans="1:2" outlineLevel="1" x14ac:dyDescent="0.3">
      <c r="B10158" t="s">
        <v>1771</v>
      </c>
    </row>
    <row r="10159" spans="1:2" outlineLevel="1" x14ac:dyDescent="0.3">
      <c r="B10159" t="s">
        <v>1772</v>
      </c>
    </row>
    <row r="10160" spans="1:2" outlineLevel="1" x14ac:dyDescent="0.3">
      <c r="B10160" t="s">
        <v>1773</v>
      </c>
    </row>
    <row r="10161" spans="1:2" outlineLevel="1" x14ac:dyDescent="0.3">
      <c r="B10161" t="s">
        <v>1774</v>
      </c>
    </row>
    <row r="10162" spans="1:2" outlineLevel="1" x14ac:dyDescent="0.3">
      <c r="B10162" t="s">
        <v>1775</v>
      </c>
    </row>
    <row r="10163" spans="1:2" outlineLevel="1" x14ac:dyDescent="0.3">
      <c r="B10163" t="s">
        <v>1776</v>
      </c>
    </row>
    <row r="10164" spans="1:2" outlineLevel="1" x14ac:dyDescent="0.3">
      <c r="B10164" t="s">
        <v>1777</v>
      </c>
    </row>
    <row r="10165" spans="1:2" outlineLevel="1" x14ac:dyDescent="0.3">
      <c r="B10165" t="s">
        <v>1778</v>
      </c>
    </row>
    <row r="10166" spans="1:2" outlineLevel="1" x14ac:dyDescent="0.3">
      <c r="B10166" t="s">
        <v>1779</v>
      </c>
    </row>
    <row r="10167" spans="1:2" outlineLevel="1" x14ac:dyDescent="0.3">
      <c r="B10167" t="s">
        <v>1780</v>
      </c>
    </row>
    <row r="10168" spans="1:2" outlineLevel="1" x14ac:dyDescent="0.3">
      <c r="B10168" t="s">
        <v>1781</v>
      </c>
    </row>
    <row r="10169" spans="1:2" outlineLevel="1" x14ac:dyDescent="0.3">
      <c r="B10169" t="s">
        <v>1782</v>
      </c>
    </row>
    <row r="10170" spans="1:2" outlineLevel="1" x14ac:dyDescent="0.3">
      <c r="B10170" t="s">
        <v>1783</v>
      </c>
    </row>
    <row r="10171" spans="1:2" outlineLevel="1" x14ac:dyDescent="0.3">
      <c r="B10171" t="s">
        <v>1784</v>
      </c>
    </row>
    <row r="10172" spans="1:2" outlineLevel="1" x14ac:dyDescent="0.3">
      <c r="B10172" t="s">
        <v>1785</v>
      </c>
    </row>
    <row r="10173" spans="1:2" outlineLevel="1" x14ac:dyDescent="0.3">
      <c r="B10173" t="s">
        <v>1786</v>
      </c>
    </row>
    <row r="10174" spans="1:2" outlineLevel="1" x14ac:dyDescent="0.3">
      <c r="B10174" t="s">
        <v>1787</v>
      </c>
    </row>
    <row r="10175" spans="1:2" outlineLevel="1" x14ac:dyDescent="0.3">
      <c r="B10175" t="s">
        <v>1788</v>
      </c>
    </row>
    <row r="10176" spans="1:2" x14ac:dyDescent="0.3">
      <c r="A10176" t="s">
        <v>1789</v>
      </c>
    </row>
    <row r="10177" spans="2:2" outlineLevel="1" x14ac:dyDescent="0.3">
      <c r="B10177" t="s">
        <v>1790</v>
      </c>
    </row>
    <row r="10178" spans="2:2" outlineLevel="1" x14ac:dyDescent="0.3">
      <c r="B10178" t="s">
        <v>1791</v>
      </c>
    </row>
    <row r="10179" spans="2:2" outlineLevel="1" x14ac:dyDescent="0.3">
      <c r="B10179" t="s">
        <v>1792</v>
      </c>
    </row>
    <row r="10180" spans="2:2" outlineLevel="1" x14ac:dyDescent="0.3">
      <c r="B10180" t="s">
        <v>1793</v>
      </c>
    </row>
    <row r="10181" spans="2:2" outlineLevel="1" x14ac:dyDescent="0.3">
      <c r="B10181" t="s">
        <v>1794</v>
      </c>
    </row>
    <row r="10182" spans="2:2" outlineLevel="1" x14ac:dyDescent="0.3">
      <c r="B10182" t="s">
        <v>1795</v>
      </c>
    </row>
    <row r="10183" spans="2:2" outlineLevel="1" x14ac:dyDescent="0.3">
      <c r="B10183" t="s">
        <v>1796</v>
      </c>
    </row>
    <row r="10184" spans="2:2" outlineLevel="1" x14ac:dyDescent="0.3">
      <c r="B10184" t="s">
        <v>1797</v>
      </c>
    </row>
    <row r="10185" spans="2:2" outlineLevel="1" x14ac:dyDescent="0.3">
      <c r="B10185" t="s">
        <v>1798</v>
      </c>
    </row>
    <row r="10186" spans="2:2" outlineLevel="1" x14ac:dyDescent="0.3">
      <c r="B10186" t="s">
        <v>1799</v>
      </c>
    </row>
    <row r="10187" spans="2:2" outlineLevel="1" x14ac:dyDescent="0.3">
      <c r="B10187" t="s">
        <v>1800</v>
      </c>
    </row>
    <row r="10188" spans="2:2" outlineLevel="1" x14ac:dyDescent="0.3">
      <c r="B10188" t="s">
        <v>1801</v>
      </c>
    </row>
    <row r="10189" spans="2:2" outlineLevel="1" x14ac:dyDescent="0.3">
      <c r="B10189" t="s">
        <v>1802</v>
      </c>
    </row>
    <row r="10190" spans="2:2" outlineLevel="1" x14ac:dyDescent="0.3">
      <c r="B10190" t="s">
        <v>1803</v>
      </c>
    </row>
    <row r="10191" spans="2:2" outlineLevel="1" x14ac:dyDescent="0.3">
      <c r="B10191" t="s">
        <v>1804</v>
      </c>
    </row>
    <row r="10192" spans="2:2" outlineLevel="1" x14ac:dyDescent="0.3">
      <c r="B10192" t="s">
        <v>1805</v>
      </c>
    </row>
    <row r="10193" spans="1:2" outlineLevel="1" x14ac:dyDescent="0.3">
      <c r="B10193" t="s">
        <v>1806</v>
      </c>
    </row>
    <row r="10194" spans="1:2" outlineLevel="1" x14ac:dyDescent="0.3">
      <c r="B10194" t="s">
        <v>1807</v>
      </c>
    </row>
    <row r="10195" spans="1:2" x14ac:dyDescent="0.3">
      <c r="A10195" t="s">
        <v>1808</v>
      </c>
    </row>
    <row r="10196" spans="1:2" outlineLevel="1" x14ac:dyDescent="0.3">
      <c r="B10196" t="s">
        <v>1809</v>
      </c>
    </row>
    <row r="10197" spans="1:2" outlineLevel="1" x14ac:dyDescent="0.3">
      <c r="B10197" t="s">
        <v>1810</v>
      </c>
    </row>
    <row r="10198" spans="1:2" outlineLevel="1" x14ac:dyDescent="0.3">
      <c r="B10198" t="s">
        <v>1811</v>
      </c>
    </row>
    <row r="10199" spans="1:2" outlineLevel="1" x14ac:dyDescent="0.3">
      <c r="B10199" t="s">
        <v>1812</v>
      </c>
    </row>
    <row r="10200" spans="1:2" outlineLevel="1" x14ac:dyDescent="0.3">
      <c r="B10200" t="s">
        <v>1813</v>
      </c>
    </row>
    <row r="10201" spans="1:2" outlineLevel="1" x14ac:dyDescent="0.3">
      <c r="B10201" t="s">
        <v>1814</v>
      </c>
    </row>
    <row r="10202" spans="1:2" outlineLevel="1" x14ac:dyDescent="0.3">
      <c r="B10202" t="s">
        <v>1815</v>
      </c>
    </row>
    <row r="10203" spans="1:2" outlineLevel="1" x14ac:dyDescent="0.3">
      <c r="B10203" t="s">
        <v>1816</v>
      </c>
    </row>
    <row r="10204" spans="1:2" outlineLevel="1" x14ac:dyDescent="0.3">
      <c r="B10204" t="s">
        <v>1817</v>
      </c>
    </row>
    <row r="10205" spans="1:2" outlineLevel="1" x14ac:dyDescent="0.3">
      <c r="B10205" t="s">
        <v>1818</v>
      </c>
    </row>
    <row r="10206" spans="1:2" outlineLevel="1" x14ac:dyDescent="0.3">
      <c r="B10206" t="s">
        <v>1819</v>
      </c>
    </row>
    <row r="10207" spans="1:2" outlineLevel="1" x14ac:dyDescent="0.3">
      <c r="B10207" t="s">
        <v>1820</v>
      </c>
    </row>
    <row r="10208" spans="1:2" outlineLevel="1" x14ac:dyDescent="0.3">
      <c r="B10208" t="s">
        <v>1821</v>
      </c>
    </row>
    <row r="10209" spans="1:4" outlineLevel="1" x14ac:dyDescent="0.3">
      <c r="B10209" t="s">
        <v>1822</v>
      </c>
    </row>
    <row r="10210" spans="1:4" outlineLevel="1" x14ac:dyDescent="0.3">
      <c r="B10210" t="s">
        <v>1823</v>
      </c>
    </row>
    <row r="10211" spans="1:4" outlineLevel="1" x14ac:dyDescent="0.3">
      <c r="B10211" t="s">
        <v>1824</v>
      </c>
    </row>
    <row r="10212" spans="1:4" outlineLevel="1" x14ac:dyDescent="0.3">
      <c r="B10212" t="s">
        <v>1825</v>
      </c>
    </row>
    <row r="10213" spans="1:4" outlineLevel="1" x14ac:dyDescent="0.3">
      <c r="B10213" t="s">
        <v>1826</v>
      </c>
    </row>
    <row r="10214" spans="1:4" outlineLevel="1" x14ac:dyDescent="0.3">
      <c r="B10214" t="s">
        <v>1827</v>
      </c>
    </row>
    <row r="10215" spans="1:4" outlineLevel="1" x14ac:dyDescent="0.3">
      <c r="B10215" t="s">
        <v>1828</v>
      </c>
    </row>
    <row r="10216" spans="1:4" x14ac:dyDescent="0.3">
      <c r="A10216" t="s">
        <v>1829</v>
      </c>
    </row>
    <row r="10217" spans="1:4" outlineLevel="1" x14ac:dyDescent="0.3">
      <c r="B10217" t="s">
        <v>1830</v>
      </c>
    </row>
    <row r="10218" spans="1:4" hidden="1" outlineLevel="2" x14ac:dyDescent="0.3">
      <c r="C10218" t="s">
        <v>1831</v>
      </c>
    </row>
    <row r="10219" spans="1:4" hidden="1" outlineLevel="3" x14ac:dyDescent="0.3">
      <c r="D10219" t="s">
        <v>1832</v>
      </c>
    </row>
    <row r="10220" spans="1:4" hidden="1" outlineLevel="3" x14ac:dyDescent="0.3">
      <c r="D10220" t="s">
        <v>1833</v>
      </c>
    </row>
    <row r="10221" spans="1:4" hidden="1" outlineLevel="3" x14ac:dyDescent="0.3">
      <c r="D10221" t="s">
        <v>1834</v>
      </c>
    </row>
    <row r="10222" spans="1:4" hidden="1" outlineLevel="3" x14ac:dyDescent="0.3">
      <c r="D10222" t="s">
        <v>1835</v>
      </c>
    </row>
    <row r="10223" spans="1:4" hidden="1" outlineLevel="2" x14ac:dyDescent="0.3">
      <c r="C10223" t="s">
        <v>1836</v>
      </c>
    </row>
    <row r="10224" spans="1:4" hidden="1" outlineLevel="2" x14ac:dyDescent="0.3">
      <c r="C10224" t="s">
        <v>1837</v>
      </c>
    </row>
    <row r="10225" spans="1:3" hidden="1" outlineLevel="2" x14ac:dyDescent="0.3">
      <c r="C10225" t="s">
        <v>1838</v>
      </c>
    </row>
    <row r="10226" spans="1:3" hidden="1" outlineLevel="2" x14ac:dyDescent="0.3">
      <c r="C10226" t="s">
        <v>1839</v>
      </c>
    </row>
    <row r="10227" spans="1:3" hidden="1" outlineLevel="2" x14ac:dyDescent="0.3">
      <c r="C10227" t="s">
        <v>1840</v>
      </c>
    </row>
    <row r="10228" spans="1:3" hidden="1" outlineLevel="2" x14ac:dyDescent="0.3">
      <c r="C10228" t="s">
        <v>1841</v>
      </c>
    </row>
    <row r="10229" spans="1:3" outlineLevel="1" collapsed="1" x14ac:dyDescent="0.3">
      <c r="B10229" t="s">
        <v>1842</v>
      </c>
    </row>
    <row r="10230" spans="1:3" outlineLevel="1" x14ac:dyDescent="0.3">
      <c r="B10230" t="s">
        <v>1843</v>
      </c>
    </row>
    <row r="10231" spans="1:3" outlineLevel="1" x14ac:dyDescent="0.3">
      <c r="B10231" t="s">
        <v>1844</v>
      </c>
    </row>
    <row r="10232" spans="1:3" outlineLevel="1" x14ac:dyDescent="0.3">
      <c r="B10232" t="s">
        <v>1845</v>
      </c>
    </row>
    <row r="10233" spans="1:3" outlineLevel="1" x14ac:dyDescent="0.3">
      <c r="B10233" t="s">
        <v>1846</v>
      </c>
    </row>
    <row r="10234" spans="1:3" outlineLevel="1" x14ac:dyDescent="0.3">
      <c r="B10234" t="s">
        <v>1847</v>
      </c>
    </row>
    <row r="10235" spans="1:3" outlineLevel="1" x14ac:dyDescent="0.3">
      <c r="B10235" t="s">
        <v>1848</v>
      </c>
    </row>
    <row r="10236" spans="1:3" outlineLevel="1" x14ac:dyDescent="0.3">
      <c r="B10236" t="s">
        <v>1849</v>
      </c>
    </row>
    <row r="10237" spans="1:3" outlineLevel="1" x14ac:dyDescent="0.3">
      <c r="B10237" t="s">
        <v>1850</v>
      </c>
    </row>
    <row r="10238" spans="1:3" outlineLevel="1" x14ac:dyDescent="0.3">
      <c r="B10238" t="s">
        <v>1851</v>
      </c>
    </row>
    <row r="10239" spans="1:3" outlineLevel="1" x14ac:dyDescent="0.3">
      <c r="B10239" t="s">
        <v>1852</v>
      </c>
    </row>
    <row r="10240" spans="1:3" x14ac:dyDescent="0.3">
      <c r="A10240" t="s">
        <v>1853</v>
      </c>
    </row>
    <row r="10241" spans="2:4" outlineLevel="1" x14ac:dyDescent="0.3">
      <c r="B10241" t="s">
        <v>1854</v>
      </c>
    </row>
    <row r="10242" spans="2:4" hidden="1" outlineLevel="2" x14ac:dyDescent="0.3">
      <c r="C10242" t="s">
        <v>1855</v>
      </c>
    </row>
    <row r="10243" spans="2:4" hidden="1" outlineLevel="3" x14ac:dyDescent="0.3">
      <c r="D10243" t="s">
        <v>1856</v>
      </c>
    </row>
    <row r="10244" spans="2:4" hidden="1" outlineLevel="3" x14ac:dyDescent="0.3">
      <c r="D10244" t="s">
        <v>1857</v>
      </c>
    </row>
    <row r="10245" spans="2:4" hidden="1" outlineLevel="3" x14ac:dyDescent="0.3">
      <c r="D10245" t="s">
        <v>1858</v>
      </c>
    </row>
    <row r="10246" spans="2:4" hidden="1" outlineLevel="2" x14ac:dyDescent="0.3">
      <c r="C10246" t="s">
        <v>1859</v>
      </c>
    </row>
    <row r="10247" spans="2:4" outlineLevel="1" collapsed="1" x14ac:dyDescent="0.3">
      <c r="B10247" t="s">
        <v>1860</v>
      </c>
    </row>
    <row r="10248" spans="2:4" outlineLevel="1" x14ac:dyDescent="0.3">
      <c r="B10248" t="s">
        <v>1861</v>
      </c>
    </row>
    <row r="10249" spans="2:4" outlineLevel="1" x14ac:dyDescent="0.3">
      <c r="B10249" t="s">
        <v>1862</v>
      </c>
    </row>
    <row r="10250" spans="2:4" outlineLevel="1" x14ac:dyDescent="0.3">
      <c r="B10250" t="s">
        <v>1863</v>
      </c>
    </row>
    <row r="10251" spans="2:4" outlineLevel="1" x14ac:dyDescent="0.3">
      <c r="B10251" t="s">
        <v>1864</v>
      </c>
    </row>
    <row r="10252" spans="2:4" outlineLevel="1" x14ac:dyDescent="0.3">
      <c r="B10252" t="s">
        <v>1865</v>
      </c>
    </row>
    <row r="10253" spans="2:4" outlineLevel="1" x14ac:dyDescent="0.3">
      <c r="B10253" t="s">
        <v>1866</v>
      </c>
    </row>
    <row r="10254" spans="2:4" outlineLevel="1" x14ac:dyDescent="0.3">
      <c r="B10254" t="s">
        <v>1867</v>
      </c>
    </row>
    <row r="10255" spans="2:4" outlineLevel="1" x14ac:dyDescent="0.3">
      <c r="B10255" t="s">
        <v>1868</v>
      </c>
    </row>
    <row r="10256" spans="2:4" outlineLevel="1" x14ac:dyDescent="0.3">
      <c r="B10256" t="s">
        <v>1869</v>
      </c>
    </row>
    <row r="10257" spans="1:3" outlineLevel="1" x14ac:dyDescent="0.3">
      <c r="B10257" t="s">
        <v>1870</v>
      </c>
    </row>
    <row r="10258" spans="1:3" outlineLevel="1" x14ac:dyDescent="0.3">
      <c r="B10258" t="s">
        <v>1871</v>
      </c>
    </row>
    <row r="10259" spans="1:3" outlineLevel="1" x14ac:dyDescent="0.3">
      <c r="B10259" t="s">
        <v>1872</v>
      </c>
    </row>
    <row r="10260" spans="1:3" outlineLevel="1" x14ac:dyDescent="0.3">
      <c r="B10260" t="s">
        <v>1873</v>
      </c>
    </row>
    <row r="10261" spans="1:3" outlineLevel="1" x14ac:dyDescent="0.3">
      <c r="B10261" t="s">
        <v>1874</v>
      </c>
    </row>
    <row r="10262" spans="1:3" x14ac:dyDescent="0.3">
      <c r="A10262" t="s">
        <v>1875</v>
      </c>
    </row>
    <row r="10268" spans="1:3" x14ac:dyDescent="0.3">
      <c r="A10268" t="s">
        <v>1876</v>
      </c>
    </row>
    <row r="10269" spans="1:3" outlineLevel="1" x14ac:dyDescent="0.3">
      <c r="B10269" t="s">
        <v>1877</v>
      </c>
    </row>
    <row r="10270" spans="1:3" hidden="1" outlineLevel="2" x14ac:dyDescent="0.3">
      <c r="C10270" t="s">
        <v>3234</v>
      </c>
    </row>
    <row r="10271" spans="1:3" hidden="1" outlineLevel="2" x14ac:dyDescent="0.3">
      <c r="C10271" t="s">
        <v>3235</v>
      </c>
    </row>
    <row r="10272" spans="1:3" outlineLevel="1" collapsed="1" x14ac:dyDescent="0.3">
      <c r="B10272" t="s">
        <v>1882</v>
      </c>
    </row>
    <row r="10273" spans="2:3" hidden="1" outlineLevel="2" x14ac:dyDescent="0.3">
      <c r="C10273" t="s">
        <v>3236</v>
      </c>
    </row>
    <row r="10274" spans="2:3" hidden="1" outlineLevel="2" x14ac:dyDescent="0.3">
      <c r="C10274" t="s">
        <v>3237</v>
      </c>
    </row>
    <row r="10275" spans="2:3" hidden="1" outlineLevel="2" x14ac:dyDescent="0.3">
      <c r="C10275" t="s">
        <v>3238</v>
      </c>
    </row>
    <row r="10276" spans="2:3" hidden="1" outlineLevel="2" x14ac:dyDescent="0.3">
      <c r="C10276" t="s">
        <v>3239</v>
      </c>
    </row>
    <row r="10277" spans="2:3" outlineLevel="1" collapsed="1" x14ac:dyDescent="0.3">
      <c r="B10277" t="s">
        <v>1888</v>
      </c>
    </row>
    <row r="10278" spans="2:3" outlineLevel="1" x14ac:dyDescent="0.3">
      <c r="B10278" t="s">
        <v>1889</v>
      </c>
    </row>
    <row r="10279" spans="2:3" outlineLevel="1" x14ac:dyDescent="0.3">
      <c r="B10279" t="s">
        <v>1890</v>
      </c>
    </row>
    <row r="10280" spans="2:3" hidden="1" outlineLevel="2" x14ac:dyDescent="0.3">
      <c r="C10280" t="s">
        <v>3240</v>
      </c>
    </row>
    <row r="10281" spans="2:3" hidden="1" outlineLevel="2" x14ac:dyDescent="0.3">
      <c r="C10281" t="s">
        <v>3241</v>
      </c>
    </row>
    <row r="10282" spans="2:3" hidden="1" outlineLevel="2" x14ac:dyDescent="0.3">
      <c r="C10282" t="s">
        <v>3242</v>
      </c>
    </row>
    <row r="10283" spans="2:3" hidden="1" outlineLevel="2" x14ac:dyDescent="0.3">
      <c r="C10283" t="s">
        <v>3243</v>
      </c>
    </row>
    <row r="10284" spans="2:3" hidden="1" outlineLevel="2" x14ac:dyDescent="0.3">
      <c r="C10284" t="s">
        <v>3244</v>
      </c>
    </row>
    <row r="10285" spans="2:3" hidden="1" outlineLevel="2" x14ac:dyDescent="0.3">
      <c r="C10285" t="s">
        <v>3245</v>
      </c>
    </row>
    <row r="10286" spans="2:3" hidden="1" outlineLevel="2" x14ac:dyDescent="0.3">
      <c r="C10286" t="s">
        <v>3246</v>
      </c>
    </row>
    <row r="10287" spans="2:3" hidden="1" outlineLevel="2" x14ac:dyDescent="0.3">
      <c r="C10287" t="s">
        <v>3247</v>
      </c>
    </row>
    <row r="10288" spans="2:3" hidden="1" outlineLevel="2" x14ac:dyDescent="0.3">
      <c r="C10288" t="s">
        <v>3248</v>
      </c>
    </row>
    <row r="10289" spans="3:4" hidden="1" outlineLevel="2" x14ac:dyDescent="0.3">
      <c r="C10289" t="s">
        <v>3249</v>
      </c>
    </row>
    <row r="10290" spans="3:4" hidden="1" outlineLevel="2" x14ac:dyDescent="0.3">
      <c r="C10290" t="s">
        <v>3250</v>
      </c>
    </row>
    <row r="10291" spans="3:4" hidden="1" outlineLevel="2" x14ac:dyDescent="0.3">
      <c r="C10291" t="s">
        <v>3251</v>
      </c>
    </row>
    <row r="10292" spans="3:4" hidden="1" outlineLevel="2" x14ac:dyDescent="0.3">
      <c r="C10292" t="s">
        <v>3252</v>
      </c>
    </row>
    <row r="10293" spans="3:4" hidden="1" outlineLevel="3" x14ac:dyDescent="0.3">
      <c r="D10293" t="s">
        <v>3253</v>
      </c>
    </row>
    <row r="10294" spans="3:4" hidden="1" outlineLevel="3" x14ac:dyDescent="0.3">
      <c r="D10294" t="s">
        <v>3254</v>
      </c>
    </row>
    <row r="10295" spans="3:4" hidden="1" outlineLevel="3" x14ac:dyDescent="0.3">
      <c r="D10295" t="s">
        <v>3255</v>
      </c>
    </row>
    <row r="10296" spans="3:4" hidden="1" outlineLevel="2" x14ac:dyDescent="0.3">
      <c r="C10296" t="s">
        <v>3257</v>
      </c>
    </row>
    <row r="10297" spans="3:4" hidden="1" outlineLevel="3" x14ac:dyDescent="0.3">
      <c r="D10297" t="s">
        <v>3258</v>
      </c>
    </row>
    <row r="10298" spans="3:4" hidden="1" outlineLevel="3" x14ac:dyDescent="0.3">
      <c r="D10298" t="s">
        <v>3259</v>
      </c>
    </row>
    <row r="10299" spans="3:4" hidden="1" outlineLevel="3" x14ac:dyDescent="0.3">
      <c r="D10299" t="s">
        <v>3260</v>
      </c>
    </row>
    <row r="10300" spans="3:4" hidden="1" outlineLevel="2" x14ac:dyDescent="0.3">
      <c r="C10300" t="s">
        <v>3261</v>
      </c>
    </row>
    <row r="10301" spans="3:4" hidden="1" outlineLevel="2" x14ac:dyDescent="0.3">
      <c r="C10301" t="s">
        <v>3262</v>
      </c>
    </row>
    <row r="10302" spans="3:4" hidden="1" outlineLevel="2" x14ac:dyDescent="0.3">
      <c r="C10302" t="s">
        <v>3263</v>
      </c>
    </row>
    <row r="10303" spans="3:4" hidden="1" outlineLevel="2" x14ac:dyDescent="0.3">
      <c r="C10303" t="s">
        <v>3264</v>
      </c>
    </row>
    <row r="10304" spans="3:4" hidden="1" outlineLevel="2" x14ac:dyDescent="0.3">
      <c r="C10304" t="s">
        <v>3265</v>
      </c>
    </row>
    <row r="10305" spans="3:4" hidden="1" outlineLevel="2" x14ac:dyDescent="0.3">
      <c r="C10305" t="s">
        <v>3266</v>
      </c>
    </row>
    <row r="10306" spans="3:4" hidden="1" outlineLevel="2" x14ac:dyDescent="0.3">
      <c r="C10306" t="s">
        <v>3267</v>
      </c>
    </row>
    <row r="10307" spans="3:4" hidden="1" outlineLevel="3" x14ac:dyDescent="0.3">
      <c r="D10307" t="s">
        <v>3268</v>
      </c>
    </row>
    <row r="10308" spans="3:4" hidden="1" outlineLevel="3" x14ac:dyDescent="0.3">
      <c r="D10308" t="s">
        <v>3269</v>
      </c>
    </row>
    <row r="10309" spans="3:4" hidden="1" outlineLevel="3" x14ac:dyDescent="0.3">
      <c r="D10309" t="s">
        <v>3270</v>
      </c>
    </row>
    <row r="10310" spans="3:4" hidden="1" outlineLevel="3" x14ac:dyDescent="0.3">
      <c r="D10310" t="s">
        <v>3271</v>
      </c>
    </row>
    <row r="10311" spans="3:4" hidden="1" outlineLevel="2" x14ac:dyDescent="0.3">
      <c r="C10311" t="s">
        <v>3272</v>
      </c>
    </row>
    <row r="10312" spans="3:4" hidden="1" outlineLevel="3" x14ac:dyDescent="0.3">
      <c r="D10312" t="s">
        <v>3273</v>
      </c>
    </row>
    <row r="10313" spans="3:4" hidden="1" outlineLevel="3" x14ac:dyDescent="0.3">
      <c r="D10313" t="s">
        <v>3274</v>
      </c>
    </row>
    <row r="10314" spans="3:4" hidden="1" outlineLevel="3" x14ac:dyDescent="0.3">
      <c r="D10314" t="s">
        <v>3275</v>
      </c>
    </row>
    <row r="10315" spans="3:4" hidden="1" outlineLevel="2" x14ac:dyDescent="0.3">
      <c r="C10315" t="s">
        <v>3276</v>
      </c>
    </row>
    <row r="10316" spans="3:4" hidden="1" outlineLevel="3" x14ac:dyDescent="0.3">
      <c r="D10316" t="s">
        <v>3277</v>
      </c>
    </row>
    <row r="10317" spans="3:4" hidden="1" outlineLevel="3" x14ac:dyDescent="0.3">
      <c r="D10317" t="s">
        <v>3278</v>
      </c>
    </row>
    <row r="10318" spans="3:4" hidden="1" outlineLevel="3" x14ac:dyDescent="0.3">
      <c r="D10318" t="s">
        <v>4097</v>
      </c>
    </row>
    <row r="10319" spans="3:4" hidden="1" outlineLevel="3" x14ac:dyDescent="0.3">
      <c r="D10319" t="s">
        <v>3280</v>
      </c>
    </row>
    <row r="10320" spans="3:4" hidden="1" outlineLevel="2" x14ac:dyDescent="0.3">
      <c r="C10320" t="s">
        <v>3281</v>
      </c>
    </row>
    <row r="10321" spans="3:4" hidden="1" outlineLevel="3" x14ac:dyDescent="0.3">
      <c r="D10321" t="s">
        <v>3282</v>
      </c>
    </row>
    <row r="10322" spans="3:4" hidden="1" outlineLevel="3" x14ac:dyDescent="0.3">
      <c r="D10322" t="s">
        <v>3283</v>
      </c>
    </row>
    <row r="10323" spans="3:4" hidden="1" outlineLevel="3" x14ac:dyDescent="0.3">
      <c r="D10323" t="s">
        <v>3284</v>
      </c>
    </row>
    <row r="10324" spans="3:4" hidden="1" outlineLevel="3" x14ac:dyDescent="0.3">
      <c r="D10324" t="s">
        <v>3285</v>
      </c>
    </row>
    <row r="10325" spans="3:4" hidden="1" outlineLevel="3" x14ac:dyDescent="0.3">
      <c r="D10325" t="s">
        <v>3286</v>
      </c>
    </row>
    <row r="10326" spans="3:4" hidden="1" outlineLevel="2" x14ac:dyDescent="0.3">
      <c r="C10326" t="s">
        <v>3287</v>
      </c>
    </row>
    <row r="10327" spans="3:4" hidden="1" outlineLevel="3" x14ac:dyDescent="0.3">
      <c r="D10327" t="s">
        <v>3288</v>
      </c>
    </row>
    <row r="10328" spans="3:4" hidden="1" outlineLevel="3" x14ac:dyDescent="0.3">
      <c r="D10328" t="s">
        <v>3289</v>
      </c>
    </row>
    <row r="10329" spans="3:4" hidden="1" outlineLevel="3" x14ac:dyDescent="0.3">
      <c r="D10329" t="s">
        <v>3290</v>
      </c>
    </row>
    <row r="10330" spans="3:4" hidden="1" outlineLevel="3" x14ac:dyDescent="0.3">
      <c r="D10330" t="s">
        <v>3291</v>
      </c>
    </row>
    <row r="10331" spans="3:4" hidden="1" outlineLevel="2" x14ac:dyDescent="0.3">
      <c r="C10331" t="s">
        <v>3292</v>
      </c>
    </row>
    <row r="10332" spans="3:4" hidden="1" outlineLevel="2" x14ac:dyDescent="0.3">
      <c r="C10332" t="s">
        <v>3293</v>
      </c>
    </row>
    <row r="10333" spans="3:4" hidden="1" outlineLevel="2" x14ac:dyDescent="0.3">
      <c r="C10333" t="s">
        <v>3294</v>
      </c>
    </row>
    <row r="10334" spans="3:4" hidden="1" outlineLevel="2" x14ac:dyDescent="0.3">
      <c r="C10334" t="s">
        <v>3295</v>
      </c>
    </row>
    <row r="10335" spans="3:4" hidden="1" outlineLevel="2" x14ac:dyDescent="0.3">
      <c r="C10335" t="s">
        <v>3296</v>
      </c>
    </row>
    <row r="10336" spans="3:4" hidden="1" outlineLevel="2" x14ac:dyDescent="0.3">
      <c r="C10336" t="s">
        <v>3297</v>
      </c>
    </row>
    <row r="10337" spans="3:3" hidden="1" outlineLevel="2" x14ac:dyDescent="0.3">
      <c r="C10337" t="s">
        <v>3298</v>
      </c>
    </row>
    <row r="10338" spans="3:3" hidden="1" outlineLevel="2" x14ac:dyDescent="0.3">
      <c r="C10338" t="s">
        <v>3299</v>
      </c>
    </row>
    <row r="10339" spans="3:3" hidden="1" outlineLevel="2" x14ac:dyDescent="0.3">
      <c r="C10339" t="s">
        <v>3300</v>
      </c>
    </row>
    <row r="10340" spans="3:3" hidden="1" outlineLevel="2" x14ac:dyDescent="0.3">
      <c r="C10340" t="s">
        <v>3301</v>
      </c>
    </row>
    <row r="10341" spans="3:3" hidden="1" outlineLevel="2" x14ac:dyDescent="0.3">
      <c r="C10341" t="s">
        <v>3302</v>
      </c>
    </row>
    <row r="10342" spans="3:3" hidden="1" outlineLevel="2" x14ac:dyDescent="0.3">
      <c r="C10342" t="s">
        <v>4555</v>
      </c>
    </row>
    <row r="10343" spans="3:3" hidden="1" outlineLevel="2" x14ac:dyDescent="0.3">
      <c r="C10343" t="s">
        <v>3303</v>
      </c>
    </row>
    <row r="10344" spans="3:3" hidden="1" outlineLevel="2" x14ac:dyDescent="0.3">
      <c r="C10344" t="s">
        <v>3304</v>
      </c>
    </row>
    <row r="10345" spans="3:3" hidden="1" outlineLevel="2" x14ac:dyDescent="0.3">
      <c r="C10345" t="s">
        <v>3305</v>
      </c>
    </row>
    <row r="10346" spans="3:3" hidden="1" outlineLevel="2" x14ac:dyDescent="0.3">
      <c r="C10346" t="s">
        <v>3306</v>
      </c>
    </row>
    <row r="10347" spans="3:3" hidden="1" outlineLevel="2" x14ac:dyDescent="0.3">
      <c r="C10347" t="s">
        <v>3307</v>
      </c>
    </row>
    <row r="10348" spans="3:3" hidden="1" outlineLevel="2" x14ac:dyDescent="0.3">
      <c r="C10348" t="s">
        <v>3308</v>
      </c>
    </row>
    <row r="10349" spans="3:3" hidden="1" outlineLevel="2" x14ac:dyDescent="0.3">
      <c r="C10349" t="s">
        <v>4830</v>
      </c>
    </row>
    <row r="10350" spans="3:3" hidden="1" outlineLevel="2" x14ac:dyDescent="0.3">
      <c r="C10350" t="s">
        <v>3309</v>
      </c>
    </row>
    <row r="10351" spans="3:3" hidden="1" outlineLevel="2" x14ac:dyDescent="0.3">
      <c r="C10351" t="s">
        <v>3310</v>
      </c>
    </row>
    <row r="10352" spans="3:3" hidden="1" outlineLevel="2" x14ac:dyDescent="0.3">
      <c r="C10352" t="s">
        <v>3311</v>
      </c>
    </row>
    <row r="10353" spans="2:3" hidden="1" outlineLevel="2" x14ac:dyDescent="0.3">
      <c r="C10353" t="s">
        <v>3312</v>
      </c>
    </row>
    <row r="10354" spans="2:3" outlineLevel="1" collapsed="1" x14ac:dyDescent="0.3">
      <c r="B10354" t="s">
        <v>1981</v>
      </c>
    </row>
    <row r="10355" spans="2:3" hidden="1" outlineLevel="2" x14ac:dyDescent="0.3">
      <c r="C10355" t="s">
        <v>3313</v>
      </c>
    </row>
    <row r="10356" spans="2:3" hidden="1" outlineLevel="2" x14ac:dyDescent="0.3">
      <c r="C10356" t="s">
        <v>3314</v>
      </c>
    </row>
    <row r="10357" spans="2:3" hidden="1" outlineLevel="2" x14ac:dyDescent="0.3">
      <c r="C10357" t="s">
        <v>3315</v>
      </c>
    </row>
    <row r="10358" spans="2:3" hidden="1" outlineLevel="2" x14ac:dyDescent="0.3">
      <c r="C10358" t="s">
        <v>3316</v>
      </c>
    </row>
    <row r="10359" spans="2:3" hidden="1" outlineLevel="2" x14ac:dyDescent="0.3">
      <c r="C10359" t="s">
        <v>3317</v>
      </c>
    </row>
    <row r="10360" spans="2:3" hidden="1" outlineLevel="2" x14ac:dyDescent="0.3">
      <c r="C10360" t="s">
        <v>3318</v>
      </c>
    </row>
    <row r="10361" spans="2:3" hidden="1" outlineLevel="2" x14ac:dyDescent="0.3">
      <c r="C10361" t="s">
        <v>3319</v>
      </c>
    </row>
    <row r="10362" spans="2:3" hidden="1" outlineLevel="2" x14ac:dyDescent="0.3">
      <c r="C10362" t="s">
        <v>3320</v>
      </c>
    </row>
    <row r="10363" spans="2:3" hidden="1" outlineLevel="2" x14ac:dyDescent="0.3">
      <c r="C10363" t="s">
        <v>3321</v>
      </c>
    </row>
    <row r="10364" spans="2:3" hidden="1" outlineLevel="2" x14ac:dyDescent="0.3">
      <c r="C10364" t="s">
        <v>3322</v>
      </c>
    </row>
    <row r="10365" spans="2:3" hidden="1" outlineLevel="2" x14ac:dyDescent="0.3">
      <c r="C10365" t="s">
        <v>3323</v>
      </c>
    </row>
    <row r="10366" spans="2:3" hidden="1" outlineLevel="2" x14ac:dyDescent="0.3">
      <c r="C10366" t="s">
        <v>3324</v>
      </c>
    </row>
    <row r="10367" spans="2:3" hidden="1" outlineLevel="2" x14ac:dyDescent="0.3">
      <c r="C10367" t="s">
        <v>3325</v>
      </c>
    </row>
    <row r="10368" spans="2:3" hidden="1" outlineLevel="2" x14ac:dyDescent="0.3">
      <c r="C10368" t="s">
        <v>3326</v>
      </c>
    </row>
    <row r="10369" spans="3:4" hidden="1" outlineLevel="3" x14ac:dyDescent="0.3">
      <c r="D10369" t="s">
        <v>3327</v>
      </c>
    </row>
    <row r="10370" spans="3:4" hidden="1" outlineLevel="3" x14ac:dyDescent="0.3">
      <c r="D10370" t="s">
        <v>3328</v>
      </c>
    </row>
    <row r="10371" spans="3:4" hidden="1" outlineLevel="3" x14ac:dyDescent="0.3">
      <c r="D10371" t="s">
        <v>3329</v>
      </c>
    </row>
    <row r="10372" spans="3:4" hidden="1" outlineLevel="2" x14ac:dyDescent="0.3">
      <c r="C10372" t="s">
        <v>3331</v>
      </c>
    </row>
    <row r="10373" spans="3:4" hidden="1" outlineLevel="3" x14ac:dyDescent="0.3">
      <c r="D10373" t="s">
        <v>3332</v>
      </c>
    </row>
    <row r="10374" spans="3:4" hidden="1" outlineLevel="3" x14ac:dyDescent="0.3">
      <c r="D10374" t="s">
        <v>3333</v>
      </c>
    </row>
    <row r="10375" spans="3:4" hidden="1" outlineLevel="3" x14ac:dyDescent="0.3">
      <c r="D10375" t="s">
        <v>3334</v>
      </c>
    </row>
    <row r="10376" spans="3:4" hidden="1" outlineLevel="2" x14ac:dyDescent="0.3">
      <c r="C10376" t="s">
        <v>3335</v>
      </c>
    </row>
    <row r="10377" spans="3:4" hidden="1" outlineLevel="2" x14ac:dyDescent="0.3">
      <c r="C10377" t="s">
        <v>3336</v>
      </c>
    </row>
    <row r="10378" spans="3:4" hidden="1" outlineLevel="2" x14ac:dyDescent="0.3">
      <c r="C10378" t="s">
        <v>3337</v>
      </c>
    </row>
    <row r="10379" spans="3:4" hidden="1" outlineLevel="2" x14ac:dyDescent="0.3">
      <c r="C10379" t="s">
        <v>3338</v>
      </c>
    </row>
    <row r="10380" spans="3:4" hidden="1" outlineLevel="2" x14ac:dyDescent="0.3">
      <c r="C10380" t="s">
        <v>3339</v>
      </c>
    </row>
    <row r="10381" spans="3:4" hidden="1" outlineLevel="2" x14ac:dyDescent="0.3">
      <c r="C10381" t="s">
        <v>3340</v>
      </c>
    </row>
    <row r="10382" spans="3:4" hidden="1" outlineLevel="2" x14ac:dyDescent="0.3">
      <c r="C10382" t="s">
        <v>3341</v>
      </c>
    </row>
    <row r="10383" spans="3:4" hidden="1" outlineLevel="3" x14ac:dyDescent="0.3">
      <c r="D10383" t="s">
        <v>3342</v>
      </c>
    </row>
    <row r="10384" spans="3:4" hidden="1" outlineLevel="3" x14ac:dyDescent="0.3">
      <c r="D10384" t="s">
        <v>3343</v>
      </c>
    </row>
    <row r="10385" spans="3:4" hidden="1" outlineLevel="3" x14ac:dyDescent="0.3">
      <c r="D10385" t="s">
        <v>3344</v>
      </c>
    </row>
    <row r="10386" spans="3:4" hidden="1" outlineLevel="3" x14ac:dyDescent="0.3">
      <c r="D10386" t="s">
        <v>3345</v>
      </c>
    </row>
    <row r="10387" spans="3:4" hidden="1" outlineLevel="2" x14ac:dyDescent="0.3">
      <c r="C10387" t="s">
        <v>3346</v>
      </c>
    </row>
    <row r="10388" spans="3:4" hidden="1" outlineLevel="3" x14ac:dyDescent="0.3">
      <c r="D10388" t="s">
        <v>3347</v>
      </c>
    </row>
    <row r="10389" spans="3:4" hidden="1" outlineLevel="3" x14ac:dyDescent="0.3">
      <c r="D10389" t="s">
        <v>3348</v>
      </c>
    </row>
    <row r="10390" spans="3:4" hidden="1" outlineLevel="3" x14ac:dyDescent="0.3">
      <c r="D10390" t="s">
        <v>3349</v>
      </c>
    </row>
    <row r="10391" spans="3:4" hidden="1" outlineLevel="2" x14ac:dyDescent="0.3">
      <c r="C10391" t="s">
        <v>3350</v>
      </c>
    </row>
    <row r="10392" spans="3:4" hidden="1" outlineLevel="3" x14ac:dyDescent="0.3">
      <c r="D10392" t="s">
        <v>3351</v>
      </c>
    </row>
    <row r="10393" spans="3:4" hidden="1" outlineLevel="3" x14ac:dyDescent="0.3">
      <c r="D10393" t="s">
        <v>3352</v>
      </c>
    </row>
    <row r="10394" spans="3:4" hidden="1" outlineLevel="3" x14ac:dyDescent="0.3">
      <c r="D10394" t="s">
        <v>3353</v>
      </c>
    </row>
    <row r="10395" spans="3:4" hidden="1" outlineLevel="3" x14ac:dyDescent="0.3">
      <c r="D10395" t="s">
        <v>3354</v>
      </c>
    </row>
    <row r="10396" spans="3:4" hidden="1" outlineLevel="2" x14ac:dyDescent="0.3">
      <c r="C10396" t="s">
        <v>3355</v>
      </c>
    </row>
    <row r="10397" spans="3:4" hidden="1" outlineLevel="3" x14ac:dyDescent="0.3">
      <c r="D10397" t="s">
        <v>3356</v>
      </c>
    </row>
    <row r="10398" spans="3:4" hidden="1" outlineLevel="3" x14ac:dyDescent="0.3">
      <c r="D10398" t="s">
        <v>3357</v>
      </c>
    </row>
    <row r="10399" spans="3:4" hidden="1" outlineLevel="3" x14ac:dyDescent="0.3">
      <c r="D10399" t="s">
        <v>3358</v>
      </c>
    </row>
    <row r="10400" spans="3:4" hidden="1" outlineLevel="3" x14ac:dyDescent="0.3">
      <c r="D10400" t="s">
        <v>3359</v>
      </c>
    </row>
    <row r="10401" spans="3:4" hidden="1" outlineLevel="3" x14ac:dyDescent="0.3">
      <c r="D10401" t="s">
        <v>3360</v>
      </c>
    </row>
    <row r="10402" spans="3:4" hidden="1" outlineLevel="2" x14ac:dyDescent="0.3">
      <c r="C10402" t="s">
        <v>3361</v>
      </c>
    </row>
    <row r="10403" spans="3:4" hidden="1" outlineLevel="3" x14ac:dyDescent="0.3">
      <c r="D10403" t="s">
        <v>3362</v>
      </c>
    </row>
    <row r="10404" spans="3:4" hidden="1" outlineLevel="3" x14ac:dyDescent="0.3">
      <c r="D10404" t="s">
        <v>3363</v>
      </c>
    </row>
    <row r="10405" spans="3:4" hidden="1" outlineLevel="3" x14ac:dyDescent="0.3">
      <c r="D10405" t="s">
        <v>3364</v>
      </c>
    </row>
    <row r="10406" spans="3:4" hidden="1" outlineLevel="3" x14ac:dyDescent="0.3">
      <c r="D10406" t="s">
        <v>3365</v>
      </c>
    </row>
    <row r="10407" spans="3:4" hidden="1" outlineLevel="2" x14ac:dyDescent="0.3">
      <c r="C10407" t="s">
        <v>3366</v>
      </c>
    </row>
    <row r="10408" spans="3:4" hidden="1" outlineLevel="2" x14ac:dyDescent="0.3">
      <c r="C10408" t="s">
        <v>3367</v>
      </c>
    </row>
    <row r="10409" spans="3:4" hidden="1" outlineLevel="2" x14ac:dyDescent="0.3">
      <c r="C10409" t="s">
        <v>3368</v>
      </c>
    </row>
    <row r="10410" spans="3:4" hidden="1" outlineLevel="2" x14ac:dyDescent="0.3">
      <c r="C10410" t="s">
        <v>3369</v>
      </c>
    </row>
    <row r="10411" spans="3:4" hidden="1" outlineLevel="2" x14ac:dyDescent="0.3">
      <c r="C10411" t="s">
        <v>3370</v>
      </c>
    </row>
    <row r="10412" spans="3:4" hidden="1" outlineLevel="2" x14ac:dyDescent="0.3">
      <c r="C10412" t="s">
        <v>3371</v>
      </c>
    </row>
    <row r="10413" spans="3:4" hidden="1" outlineLevel="2" x14ac:dyDescent="0.3">
      <c r="C10413" t="s">
        <v>4563</v>
      </c>
    </row>
    <row r="10414" spans="3:4" hidden="1" outlineLevel="2" x14ac:dyDescent="0.3">
      <c r="C10414" t="s">
        <v>3372</v>
      </c>
    </row>
    <row r="10415" spans="3:4" hidden="1" outlineLevel="2" x14ac:dyDescent="0.3">
      <c r="C10415" t="s">
        <v>3373</v>
      </c>
    </row>
    <row r="10416" spans="3:4" hidden="1" outlineLevel="2" x14ac:dyDescent="0.3">
      <c r="C10416" t="s">
        <v>3374</v>
      </c>
    </row>
    <row r="10417" spans="2:4" hidden="1" outlineLevel="2" x14ac:dyDescent="0.3">
      <c r="C10417" t="s">
        <v>3375</v>
      </c>
    </row>
    <row r="10418" spans="2:4" hidden="1" outlineLevel="2" x14ac:dyDescent="0.3">
      <c r="C10418" t="s">
        <v>3376</v>
      </c>
    </row>
    <row r="10419" spans="2:4" hidden="1" outlineLevel="2" x14ac:dyDescent="0.3">
      <c r="C10419" t="s">
        <v>3377</v>
      </c>
    </row>
    <row r="10420" spans="2:4" hidden="1" outlineLevel="2" x14ac:dyDescent="0.3">
      <c r="C10420" t="s">
        <v>4831</v>
      </c>
    </row>
    <row r="10421" spans="2:4" hidden="1" outlineLevel="2" x14ac:dyDescent="0.3">
      <c r="C10421" t="s">
        <v>3378</v>
      </c>
    </row>
    <row r="10422" spans="2:4" hidden="1" outlineLevel="2" x14ac:dyDescent="0.3">
      <c r="C10422" t="s">
        <v>3379</v>
      </c>
    </row>
    <row r="10423" spans="2:4" hidden="1" outlineLevel="2" x14ac:dyDescent="0.3">
      <c r="C10423" t="s">
        <v>3380</v>
      </c>
    </row>
    <row r="10424" spans="2:4" hidden="1" outlineLevel="2" x14ac:dyDescent="0.3">
      <c r="C10424" t="s">
        <v>3381</v>
      </c>
    </row>
    <row r="10425" spans="2:4" outlineLevel="1" collapsed="1" x14ac:dyDescent="0.3">
      <c r="B10425" t="s">
        <v>2058</v>
      </c>
    </row>
    <row r="10426" spans="2:4" hidden="1" outlineLevel="2" x14ac:dyDescent="0.3">
      <c r="C10426" t="s">
        <v>2059</v>
      </c>
    </row>
    <row r="10427" spans="2:4" hidden="1" outlineLevel="3" x14ac:dyDescent="0.3">
      <c r="D10427" t="s">
        <v>3382</v>
      </c>
    </row>
    <row r="10428" spans="2:4" hidden="1" outlineLevel="3" x14ac:dyDescent="0.3">
      <c r="D10428" t="s">
        <v>3383</v>
      </c>
    </row>
    <row r="10429" spans="2:4" hidden="1" outlineLevel="3" x14ac:dyDescent="0.3">
      <c r="D10429" t="s">
        <v>3384</v>
      </c>
    </row>
    <row r="10430" spans="2:4" hidden="1" outlineLevel="3" x14ac:dyDescent="0.3">
      <c r="D10430" t="s">
        <v>3385</v>
      </c>
    </row>
    <row r="10431" spans="2:4" hidden="1" outlineLevel="3" x14ac:dyDescent="0.3">
      <c r="D10431" t="s">
        <v>3386</v>
      </c>
    </row>
    <row r="10432" spans="2:4" hidden="1" outlineLevel="3" x14ac:dyDescent="0.3">
      <c r="D10432" t="s">
        <v>3387</v>
      </c>
    </row>
    <row r="10433" spans="4:5" hidden="1" outlineLevel="3" x14ac:dyDescent="0.3">
      <c r="D10433" t="s">
        <v>3388</v>
      </c>
    </row>
    <row r="10434" spans="4:5" hidden="1" outlineLevel="3" x14ac:dyDescent="0.3">
      <c r="D10434" t="s">
        <v>3389</v>
      </c>
    </row>
    <row r="10435" spans="4:5" hidden="1" outlineLevel="3" x14ac:dyDescent="0.3">
      <c r="D10435" t="s">
        <v>3390</v>
      </c>
    </row>
    <row r="10436" spans="4:5" hidden="1" outlineLevel="3" x14ac:dyDescent="0.3">
      <c r="D10436" t="s">
        <v>3391</v>
      </c>
    </row>
    <row r="10437" spans="4:5" hidden="1" outlineLevel="3" x14ac:dyDescent="0.3">
      <c r="D10437" t="s">
        <v>3392</v>
      </c>
    </row>
    <row r="10438" spans="4:5" hidden="1" outlineLevel="3" x14ac:dyDescent="0.3">
      <c r="D10438" t="s">
        <v>3393</v>
      </c>
    </row>
    <row r="10439" spans="4:5" hidden="1" outlineLevel="3" x14ac:dyDescent="0.3">
      <c r="D10439" t="s">
        <v>3394</v>
      </c>
    </row>
    <row r="10440" spans="4:5" hidden="1" outlineLevel="3" x14ac:dyDescent="0.3">
      <c r="D10440" t="s">
        <v>3395</v>
      </c>
    </row>
    <row r="10441" spans="4:5" hidden="1" outlineLevel="3" x14ac:dyDescent="0.3">
      <c r="D10441" t="s">
        <v>3396</v>
      </c>
    </row>
    <row r="10442" spans="4:5" hidden="1" outlineLevel="4" x14ac:dyDescent="0.3">
      <c r="E10442" t="s">
        <v>3397</v>
      </c>
    </row>
    <row r="10443" spans="4:5" hidden="1" outlineLevel="4" x14ac:dyDescent="0.3">
      <c r="E10443" t="s">
        <v>3401</v>
      </c>
    </row>
    <row r="10444" spans="4:5" hidden="1" outlineLevel="4" x14ac:dyDescent="0.3">
      <c r="E10444" t="s">
        <v>3402</v>
      </c>
    </row>
    <row r="10445" spans="4:5" hidden="1" outlineLevel="4" x14ac:dyDescent="0.3">
      <c r="E10445" t="s">
        <v>3404</v>
      </c>
    </row>
    <row r="10446" spans="4:5" hidden="1" outlineLevel="4" x14ac:dyDescent="0.3">
      <c r="E10446" t="s">
        <v>4832</v>
      </c>
    </row>
    <row r="10447" spans="4:5" hidden="1" outlineLevel="4" x14ac:dyDescent="0.3">
      <c r="E10447" t="s">
        <v>3406</v>
      </c>
    </row>
    <row r="10448" spans="4:5" hidden="1" outlineLevel="3" x14ac:dyDescent="0.3">
      <c r="D10448" t="s">
        <v>4833</v>
      </c>
    </row>
    <row r="10449" spans="4:5" hidden="1" outlineLevel="3" x14ac:dyDescent="0.3">
      <c r="D10449" t="s">
        <v>4570</v>
      </c>
    </row>
    <row r="10450" spans="4:5" hidden="1" outlineLevel="4" x14ac:dyDescent="0.3">
      <c r="E10450" t="s">
        <v>4571</v>
      </c>
    </row>
    <row r="10451" spans="4:5" hidden="1" outlineLevel="4" x14ac:dyDescent="0.3">
      <c r="E10451" t="s">
        <v>4834</v>
      </c>
    </row>
    <row r="10452" spans="4:5" hidden="1" outlineLevel="4" x14ac:dyDescent="0.3">
      <c r="E10452" t="s">
        <v>4573</v>
      </c>
    </row>
    <row r="10453" spans="4:5" hidden="1" outlineLevel="4" x14ac:dyDescent="0.3">
      <c r="E10453" t="s">
        <v>4574</v>
      </c>
    </row>
    <row r="10454" spans="4:5" hidden="1" outlineLevel="3" x14ac:dyDescent="0.3">
      <c r="D10454" t="s">
        <v>3407</v>
      </c>
    </row>
    <row r="10455" spans="4:5" hidden="1" outlineLevel="3" x14ac:dyDescent="0.3">
      <c r="D10455" t="s">
        <v>3408</v>
      </c>
    </row>
    <row r="10456" spans="4:5" hidden="1" outlineLevel="3" x14ac:dyDescent="0.3">
      <c r="D10456" t="s">
        <v>3409</v>
      </c>
    </row>
    <row r="10457" spans="4:5" hidden="1" outlineLevel="3" x14ac:dyDescent="0.3">
      <c r="D10457" t="s">
        <v>3410</v>
      </c>
    </row>
    <row r="10458" spans="4:5" hidden="1" outlineLevel="3" x14ac:dyDescent="0.3">
      <c r="D10458" t="s">
        <v>3411</v>
      </c>
    </row>
    <row r="10459" spans="4:5" hidden="1" outlineLevel="3" x14ac:dyDescent="0.3">
      <c r="D10459" t="s">
        <v>3412</v>
      </c>
    </row>
    <row r="10460" spans="4:5" hidden="1" outlineLevel="3" x14ac:dyDescent="0.3">
      <c r="D10460" t="s">
        <v>3413</v>
      </c>
    </row>
    <row r="10461" spans="4:5" hidden="1" outlineLevel="3" x14ac:dyDescent="0.3">
      <c r="D10461" t="s">
        <v>3414</v>
      </c>
    </row>
    <row r="10462" spans="4:5" hidden="1" outlineLevel="3" x14ac:dyDescent="0.3">
      <c r="D10462" t="s">
        <v>3415</v>
      </c>
    </row>
    <row r="10463" spans="4:5" hidden="1" outlineLevel="3" x14ac:dyDescent="0.3">
      <c r="D10463" t="s">
        <v>3416</v>
      </c>
    </row>
    <row r="10464" spans="4:5" hidden="1" outlineLevel="3" x14ac:dyDescent="0.3">
      <c r="D10464" t="s">
        <v>3417</v>
      </c>
    </row>
    <row r="10465" spans="3:5" hidden="1" outlineLevel="3" x14ac:dyDescent="0.3">
      <c r="D10465" t="s">
        <v>3418</v>
      </c>
    </row>
    <row r="10466" spans="3:5" hidden="1" outlineLevel="3" x14ac:dyDescent="0.3">
      <c r="D10466" t="s">
        <v>3419</v>
      </c>
    </row>
    <row r="10467" spans="3:5" hidden="1" outlineLevel="3" x14ac:dyDescent="0.3">
      <c r="D10467" t="s">
        <v>3420</v>
      </c>
    </row>
    <row r="10468" spans="3:5" hidden="1" outlineLevel="3" x14ac:dyDescent="0.3">
      <c r="D10468" t="s">
        <v>3421</v>
      </c>
    </row>
    <row r="10469" spans="3:5" hidden="1" outlineLevel="3" x14ac:dyDescent="0.3">
      <c r="D10469" t="s">
        <v>3422</v>
      </c>
    </row>
    <row r="10470" spans="3:5" hidden="1" outlineLevel="2" x14ac:dyDescent="0.3">
      <c r="C10470" t="s">
        <v>2085</v>
      </c>
    </row>
    <row r="10471" spans="3:5" hidden="1" outlineLevel="3" x14ac:dyDescent="0.3">
      <c r="D10471" t="s">
        <v>3423</v>
      </c>
    </row>
    <row r="10472" spans="3:5" hidden="1" outlineLevel="3" x14ac:dyDescent="0.3">
      <c r="D10472" t="s">
        <v>3424</v>
      </c>
    </row>
    <row r="10473" spans="3:5" hidden="1" outlineLevel="3" x14ac:dyDescent="0.3">
      <c r="D10473" t="s">
        <v>3425</v>
      </c>
    </row>
    <row r="10474" spans="3:5" hidden="1" outlineLevel="3" x14ac:dyDescent="0.3">
      <c r="D10474" t="s">
        <v>3426</v>
      </c>
    </row>
    <row r="10475" spans="3:5" hidden="1" outlineLevel="3" x14ac:dyDescent="0.3">
      <c r="D10475" t="s">
        <v>3427</v>
      </c>
    </row>
    <row r="10476" spans="3:5" hidden="1" outlineLevel="3" x14ac:dyDescent="0.3">
      <c r="D10476" t="s">
        <v>4577</v>
      </c>
    </row>
    <row r="10477" spans="3:5" hidden="1" outlineLevel="4" x14ac:dyDescent="0.3">
      <c r="E10477" t="s">
        <v>4835</v>
      </c>
    </row>
    <row r="10478" spans="3:5" hidden="1" outlineLevel="4" x14ac:dyDescent="0.3">
      <c r="E10478" t="s">
        <v>4836</v>
      </c>
    </row>
    <row r="10479" spans="3:5" hidden="1" outlineLevel="4" x14ac:dyDescent="0.3">
      <c r="E10479" t="s">
        <v>4583</v>
      </c>
    </row>
    <row r="10480" spans="3:5" hidden="1" outlineLevel="3" x14ac:dyDescent="0.3">
      <c r="D10480" t="s">
        <v>4837</v>
      </c>
    </row>
    <row r="10481" spans="4:4" hidden="1" outlineLevel="3" x14ac:dyDescent="0.3">
      <c r="D10481" t="s">
        <v>3431</v>
      </c>
    </row>
    <row r="10482" spans="4:4" hidden="1" outlineLevel="3" x14ac:dyDescent="0.3">
      <c r="D10482" t="s">
        <v>3432</v>
      </c>
    </row>
    <row r="10483" spans="4:4" hidden="1" outlineLevel="3" x14ac:dyDescent="0.3">
      <c r="D10483" t="s">
        <v>3433</v>
      </c>
    </row>
    <row r="10484" spans="4:4" hidden="1" outlineLevel="3" x14ac:dyDescent="0.3">
      <c r="D10484" t="s">
        <v>3434</v>
      </c>
    </row>
    <row r="10485" spans="4:4" hidden="1" outlineLevel="3" x14ac:dyDescent="0.3">
      <c r="D10485" t="s">
        <v>3435</v>
      </c>
    </row>
    <row r="10486" spans="4:4" hidden="1" outlineLevel="3" x14ac:dyDescent="0.3">
      <c r="D10486" t="s">
        <v>3436</v>
      </c>
    </row>
    <row r="10487" spans="4:4" hidden="1" outlineLevel="3" x14ac:dyDescent="0.3">
      <c r="D10487" t="s">
        <v>3437</v>
      </c>
    </row>
    <row r="10488" spans="4:4" hidden="1" outlineLevel="3" x14ac:dyDescent="0.3">
      <c r="D10488" t="s">
        <v>3438</v>
      </c>
    </row>
    <row r="10489" spans="4:4" hidden="1" outlineLevel="3" x14ac:dyDescent="0.3">
      <c r="D10489" t="s">
        <v>3439</v>
      </c>
    </row>
    <row r="10490" spans="4:4" hidden="1" outlineLevel="3" x14ac:dyDescent="0.3">
      <c r="D10490" t="s">
        <v>3440</v>
      </c>
    </row>
    <row r="10491" spans="4:4" hidden="1" outlineLevel="3" x14ac:dyDescent="0.3">
      <c r="D10491" t="s">
        <v>3442</v>
      </c>
    </row>
    <row r="10492" spans="4:4" hidden="1" outlineLevel="3" x14ac:dyDescent="0.3">
      <c r="D10492" t="s">
        <v>3443</v>
      </c>
    </row>
    <row r="10493" spans="4:4" hidden="1" outlineLevel="3" x14ac:dyDescent="0.3">
      <c r="D10493" t="s">
        <v>4591</v>
      </c>
    </row>
    <row r="10494" spans="4:4" hidden="1" outlineLevel="3" x14ac:dyDescent="0.3">
      <c r="D10494" t="s">
        <v>3444</v>
      </c>
    </row>
    <row r="10495" spans="4:4" hidden="1" outlineLevel="3" x14ac:dyDescent="0.3">
      <c r="D10495" t="s">
        <v>3445</v>
      </c>
    </row>
    <row r="10496" spans="4:4" hidden="1" outlineLevel="3" x14ac:dyDescent="0.3">
      <c r="D10496" t="s">
        <v>3446</v>
      </c>
    </row>
    <row r="10497" spans="2:4" hidden="1" outlineLevel="3" x14ac:dyDescent="0.3">
      <c r="D10497" t="s">
        <v>3447</v>
      </c>
    </row>
    <row r="10498" spans="2:4" hidden="1" outlineLevel="3" x14ac:dyDescent="0.3">
      <c r="D10498" t="s">
        <v>3448</v>
      </c>
    </row>
    <row r="10499" spans="2:4" hidden="1" outlineLevel="3" x14ac:dyDescent="0.3">
      <c r="D10499" t="s">
        <v>3449</v>
      </c>
    </row>
    <row r="10500" spans="2:4" hidden="1" outlineLevel="3" x14ac:dyDescent="0.3">
      <c r="D10500" t="s">
        <v>3450</v>
      </c>
    </row>
    <row r="10501" spans="2:4" hidden="1" outlineLevel="3" x14ac:dyDescent="0.3">
      <c r="D10501" t="s">
        <v>3451</v>
      </c>
    </row>
    <row r="10502" spans="2:4" hidden="1" outlineLevel="3" x14ac:dyDescent="0.3">
      <c r="D10502" t="s">
        <v>3452</v>
      </c>
    </row>
    <row r="10503" spans="2:4" hidden="1" outlineLevel="2" x14ac:dyDescent="0.3">
      <c r="C10503" t="s">
        <v>2117</v>
      </c>
    </row>
    <row r="10504" spans="2:4" hidden="1" outlineLevel="2" x14ac:dyDescent="0.3">
      <c r="C10504" t="s">
        <v>2118</v>
      </c>
    </row>
    <row r="10505" spans="2:4" outlineLevel="1" collapsed="1" x14ac:dyDescent="0.3">
      <c r="B10505" t="s">
        <v>2119</v>
      </c>
    </row>
    <row r="10506" spans="2:4" outlineLevel="1" x14ac:dyDescent="0.3">
      <c r="B10506" t="s">
        <v>2120</v>
      </c>
    </row>
    <row r="10507" spans="2:4" outlineLevel="1" x14ac:dyDescent="0.3">
      <c r="B10507" t="s">
        <v>2121</v>
      </c>
    </row>
    <row r="10508" spans="2:4" outlineLevel="1" x14ac:dyDescent="0.3">
      <c r="B10508" t="s">
        <v>2122</v>
      </c>
    </row>
    <row r="10509" spans="2:4" outlineLevel="1" x14ac:dyDescent="0.3">
      <c r="B10509" t="s">
        <v>2123</v>
      </c>
    </row>
    <row r="10510" spans="2:4" outlineLevel="1" x14ac:dyDescent="0.3">
      <c r="B10510" t="s">
        <v>2124</v>
      </c>
    </row>
    <row r="10511" spans="2:4" outlineLevel="1" x14ac:dyDescent="0.3">
      <c r="B10511" t="s">
        <v>2125</v>
      </c>
    </row>
    <row r="10512" spans="2:4" outlineLevel="1" x14ac:dyDescent="0.3">
      <c r="B10512" t="s">
        <v>2126</v>
      </c>
    </row>
    <row r="10513" spans="1:4" x14ac:dyDescent="0.3">
      <c r="A10513" t="s">
        <v>2127</v>
      </c>
    </row>
    <row r="10514" spans="1:4" outlineLevel="1" x14ac:dyDescent="0.3">
      <c r="B10514" t="s">
        <v>2128</v>
      </c>
    </row>
    <row r="10515" spans="1:4" hidden="1" outlineLevel="2" x14ac:dyDescent="0.3">
      <c r="C10515" t="s">
        <v>3453</v>
      </c>
    </row>
    <row r="10516" spans="1:4" hidden="1" outlineLevel="2" x14ac:dyDescent="0.3">
      <c r="C10516" t="s">
        <v>3454</v>
      </c>
    </row>
    <row r="10517" spans="1:4" hidden="1" outlineLevel="2" x14ac:dyDescent="0.3">
      <c r="C10517" t="s">
        <v>3455</v>
      </c>
    </row>
    <row r="10518" spans="1:4" hidden="1" outlineLevel="2" x14ac:dyDescent="0.3">
      <c r="C10518" t="s">
        <v>3456</v>
      </c>
    </row>
    <row r="10519" spans="1:4" hidden="1" outlineLevel="2" x14ac:dyDescent="0.3">
      <c r="C10519" t="s">
        <v>3457</v>
      </c>
    </row>
    <row r="10520" spans="1:4" hidden="1" outlineLevel="2" x14ac:dyDescent="0.3">
      <c r="C10520" t="s">
        <v>3458</v>
      </c>
    </row>
    <row r="10521" spans="1:4" hidden="1" outlineLevel="2" x14ac:dyDescent="0.3">
      <c r="C10521" t="s">
        <v>3459</v>
      </c>
    </row>
    <row r="10522" spans="1:4" hidden="1" outlineLevel="2" x14ac:dyDescent="0.3">
      <c r="C10522" t="s">
        <v>3460</v>
      </c>
    </row>
    <row r="10523" spans="1:4" hidden="1" outlineLevel="2" x14ac:dyDescent="0.3">
      <c r="C10523" t="s">
        <v>3461</v>
      </c>
    </row>
    <row r="10524" spans="1:4" hidden="1" outlineLevel="2" x14ac:dyDescent="0.3">
      <c r="C10524" t="s">
        <v>3462</v>
      </c>
    </row>
    <row r="10525" spans="1:4" hidden="1" outlineLevel="2" x14ac:dyDescent="0.3">
      <c r="C10525" t="s">
        <v>3463</v>
      </c>
    </row>
    <row r="10526" spans="1:4" hidden="1" outlineLevel="3" x14ac:dyDescent="0.3">
      <c r="D10526" t="s">
        <v>3464</v>
      </c>
    </row>
    <row r="10527" spans="1:4" hidden="1" outlineLevel="3" x14ac:dyDescent="0.3">
      <c r="D10527" t="s">
        <v>4593</v>
      </c>
    </row>
    <row r="10528" spans="1:4" hidden="1" outlineLevel="3" x14ac:dyDescent="0.3">
      <c r="D10528" t="s">
        <v>3472</v>
      </c>
    </row>
    <row r="10529" spans="3:4" hidden="1" outlineLevel="3" x14ac:dyDescent="0.3">
      <c r="D10529" t="s">
        <v>4594</v>
      </c>
    </row>
    <row r="10530" spans="3:4" hidden="1" outlineLevel="3" x14ac:dyDescent="0.3">
      <c r="D10530" t="s">
        <v>3478</v>
      </c>
    </row>
    <row r="10531" spans="3:4" hidden="1" outlineLevel="2" x14ac:dyDescent="0.3">
      <c r="C10531" t="s">
        <v>3479</v>
      </c>
    </row>
    <row r="10532" spans="3:4" hidden="1" outlineLevel="2" x14ac:dyDescent="0.3">
      <c r="C10532" t="s">
        <v>4599</v>
      </c>
    </row>
    <row r="10533" spans="3:4" hidden="1" outlineLevel="2" x14ac:dyDescent="0.3">
      <c r="C10533" t="s">
        <v>3480</v>
      </c>
    </row>
    <row r="10534" spans="3:4" hidden="1" outlineLevel="2" x14ac:dyDescent="0.3">
      <c r="C10534" t="s">
        <v>3481</v>
      </c>
    </row>
    <row r="10535" spans="3:4" hidden="1" outlineLevel="2" x14ac:dyDescent="0.3">
      <c r="C10535" t="s">
        <v>3482</v>
      </c>
    </row>
    <row r="10536" spans="3:4" hidden="1" outlineLevel="2" x14ac:dyDescent="0.3">
      <c r="C10536" t="s">
        <v>3483</v>
      </c>
    </row>
    <row r="10537" spans="3:4" hidden="1" outlineLevel="2" x14ac:dyDescent="0.3">
      <c r="C10537" t="s">
        <v>3484</v>
      </c>
    </row>
    <row r="10538" spans="3:4" hidden="1" outlineLevel="2" x14ac:dyDescent="0.3">
      <c r="C10538" t="s">
        <v>3485</v>
      </c>
    </row>
    <row r="10539" spans="3:4" hidden="1" outlineLevel="2" x14ac:dyDescent="0.3">
      <c r="C10539" t="s">
        <v>3487</v>
      </c>
    </row>
    <row r="10540" spans="3:4" hidden="1" outlineLevel="2" x14ac:dyDescent="0.3">
      <c r="C10540" t="s">
        <v>3488</v>
      </c>
    </row>
    <row r="10541" spans="3:4" hidden="1" outlineLevel="2" x14ac:dyDescent="0.3">
      <c r="C10541" t="s">
        <v>3489</v>
      </c>
    </row>
    <row r="10542" spans="3:4" hidden="1" outlineLevel="2" x14ac:dyDescent="0.3">
      <c r="C10542" t="s">
        <v>3490</v>
      </c>
    </row>
    <row r="10543" spans="3:4" hidden="1" outlineLevel="2" x14ac:dyDescent="0.3">
      <c r="C10543" t="s">
        <v>3491</v>
      </c>
    </row>
    <row r="10544" spans="3:4" hidden="1" outlineLevel="2" x14ac:dyDescent="0.3">
      <c r="C10544" t="s">
        <v>3492</v>
      </c>
    </row>
    <row r="10545" spans="2:4" hidden="1" outlineLevel="2" x14ac:dyDescent="0.3">
      <c r="C10545" t="s">
        <v>2194</v>
      </c>
    </row>
    <row r="10546" spans="2:4" outlineLevel="1" collapsed="1" x14ac:dyDescent="0.3">
      <c r="B10546" t="s">
        <v>2195</v>
      </c>
    </row>
    <row r="10547" spans="2:4" hidden="1" outlineLevel="2" x14ac:dyDescent="0.3">
      <c r="C10547" t="s">
        <v>3493</v>
      </c>
    </row>
    <row r="10548" spans="2:4" hidden="1" outlineLevel="2" x14ac:dyDescent="0.3">
      <c r="C10548" t="s">
        <v>3494</v>
      </c>
    </row>
    <row r="10549" spans="2:4" hidden="1" outlineLevel="2" x14ac:dyDescent="0.3">
      <c r="C10549" t="s">
        <v>3495</v>
      </c>
    </row>
    <row r="10550" spans="2:4" hidden="1" outlineLevel="2" x14ac:dyDescent="0.3">
      <c r="C10550" t="s">
        <v>3496</v>
      </c>
    </row>
    <row r="10551" spans="2:4" hidden="1" outlineLevel="2" x14ac:dyDescent="0.3">
      <c r="C10551" t="s">
        <v>3497</v>
      </c>
    </row>
    <row r="10552" spans="2:4" hidden="1" outlineLevel="2" x14ac:dyDescent="0.3">
      <c r="C10552" t="s">
        <v>3498</v>
      </c>
    </row>
    <row r="10553" spans="2:4" hidden="1" outlineLevel="2" x14ac:dyDescent="0.3">
      <c r="C10553" t="s">
        <v>3499</v>
      </c>
    </row>
    <row r="10554" spans="2:4" hidden="1" outlineLevel="2" x14ac:dyDescent="0.3">
      <c r="C10554" t="s">
        <v>3500</v>
      </c>
    </row>
    <row r="10555" spans="2:4" hidden="1" outlineLevel="2" x14ac:dyDescent="0.3">
      <c r="C10555" t="s">
        <v>3501</v>
      </c>
    </row>
    <row r="10556" spans="2:4" hidden="1" outlineLevel="2" x14ac:dyDescent="0.3">
      <c r="C10556" t="s">
        <v>3502</v>
      </c>
    </row>
    <row r="10557" spans="2:4" hidden="1" outlineLevel="2" x14ac:dyDescent="0.3">
      <c r="C10557" t="s">
        <v>3503</v>
      </c>
    </row>
    <row r="10558" spans="2:4" hidden="1" outlineLevel="3" x14ac:dyDescent="0.3">
      <c r="D10558" t="s">
        <v>3504</v>
      </c>
    </row>
    <row r="10559" spans="2:4" hidden="1" outlineLevel="3" x14ac:dyDescent="0.3">
      <c r="D10559" t="s">
        <v>4603</v>
      </c>
    </row>
    <row r="10560" spans="2:4" hidden="1" outlineLevel="3" x14ac:dyDescent="0.3">
      <c r="D10560" t="s">
        <v>3512</v>
      </c>
    </row>
    <row r="10561" spans="3:4" hidden="1" outlineLevel="3" x14ac:dyDescent="0.3">
      <c r="D10561" t="s">
        <v>4604</v>
      </c>
    </row>
    <row r="10562" spans="3:4" hidden="1" outlineLevel="3" x14ac:dyDescent="0.3">
      <c r="D10562" t="s">
        <v>3518</v>
      </c>
    </row>
    <row r="10563" spans="3:4" hidden="1" outlineLevel="2" x14ac:dyDescent="0.3">
      <c r="C10563" t="s">
        <v>3519</v>
      </c>
    </row>
    <row r="10564" spans="3:4" hidden="1" outlineLevel="2" x14ac:dyDescent="0.3">
      <c r="C10564" t="s">
        <v>4609</v>
      </c>
    </row>
    <row r="10565" spans="3:4" hidden="1" outlineLevel="2" x14ac:dyDescent="0.3">
      <c r="C10565" t="s">
        <v>3520</v>
      </c>
    </row>
    <row r="10566" spans="3:4" hidden="1" outlineLevel="2" x14ac:dyDescent="0.3">
      <c r="C10566" t="s">
        <v>3521</v>
      </c>
    </row>
    <row r="10567" spans="3:4" hidden="1" outlineLevel="2" x14ac:dyDescent="0.3">
      <c r="C10567" t="s">
        <v>3522</v>
      </c>
    </row>
    <row r="10568" spans="3:4" hidden="1" outlineLevel="2" x14ac:dyDescent="0.3">
      <c r="C10568" t="s">
        <v>3523</v>
      </c>
    </row>
    <row r="10569" spans="3:4" hidden="1" outlineLevel="2" x14ac:dyDescent="0.3">
      <c r="C10569" t="s">
        <v>3524</v>
      </c>
    </row>
    <row r="10570" spans="3:4" hidden="1" outlineLevel="2" x14ac:dyDescent="0.3">
      <c r="C10570" t="s">
        <v>3525</v>
      </c>
    </row>
    <row r="10571" spans="3:4" hidden="1" outlineLevel="2" x14ac:dyDescent="0.3">
      <c r="C10571" t="s">
        <v>3527</v>
      </c>
    </row>
    <row r="10572" spans="3:4" hidden="1" outlineLevel="2" x14ac:dyDescent="0.3">
      <c r="C10572" t="s">
        <v>3528</v>
      </c>
    </row>
    <row r="10573" spans="3:4" hidden="1" outlineLevel="2" x14ac:dyDescent="0.3">
      <c r="C10573" t="s">
        <v>3529</v>
      </c>
    </row>
    <row r="10574" spans="3:4" hidden="1" outlineLevel="2" x14ac:dyDescent="0.3">
      <c r="C10574" t="s">
        <v>3530</v>
      </c>
    </row>
    <row r="10575" spans="3:4" hidden="1" outlineLevel="2" x14ac:dyDescent="0.3">
      <c r="C10575" t="s">
        <v>3531</v>
      </c>
    </row>
    <row r="10576" spans="3:4" hidden="1" outlineLevel="2" x14ac:dyDescent="0.3">
      <c r="C10576" t="s">
        <v>3532</v>
      </c>
    </row>
    <row r="10577" spans="1:4" hidden="1" outlineLevel="2" x14ac:dyDescent="0.3">
      <c r="C10577" t="s">
        <v>2263</v>
      </c>
    </row>
    <row r="10578" spans="1:4" outlineLevel="1" collapsed="1" x14ac:dyDescent="0.3">
      <c r="B10578" t="s">
        <v>2264</v>
      </c>
    </row>
    <row r="10579" spans="1:4" outlineLevel="1" x14ac:dyDescent="0.3">
      <c r="B10579" t="s">
        <v>2265</v>
      </c>
    </row>
    <row r="10580" spans="1:4" outlineLevel="1" x14ac:dyDescent="0.3">
      <c r="B10580" t="s">
        <v>2266</v>
      </c>
    </row>
    <row r="10581" spans="1:4" outlineLevel="1" x14ac:dyDescent="0.3">
      <c r="B10581" t="s">
        <v>2267</v>
      </c>
    </row>
    <row r="10582" spans="1:4" outlineLevel="1" x14ac:dyDescent="0.3">
      <c r="B10582" t="s">
        <v>2268</v>
      </c>
    </row>
    <row r="10583" spans="1:4" outlineLevel="1" x14ac:dyDescent="0.3">
      <c r="B10583" t="s">
        <v>2269</v>
      </c>
    </row>
    <row r="10584" spans="1:4" x14ac:dyDescent="0.3">
      <c r="A10584" t="s">
        <v>2270</v>
      </c>
    </row>
    <row r="10585" spans="1:4" outlineLevel="1" x14ac:dyDescent="0.3">
      <c r="B10585" t="s">
        <v>2271</v>
      </c>
    </row>
    <row r="10586" spans="1:4" hidden="1" outlineLevel="2" x14ac:dyDescent="0.3">
      <c r="C10586" t="s">
        <v>3533</v>
      </c>
    </row>
    <row r="10587" spans="1:4" hidden="1" outlineLevel="2" x14ac:dyDescent="0.3">
      <c r="C10587" t="s">
        <v>3534</v>
      </c>
    </row>
    <row r="10588" spans="1:4" hidden="1" outlineLevel="2" x14ac:dyDescent="0.3">
      <c r="C10588" t="s">
        <v>3535</v>
      </c>
    </row>
    <row r="10589" spans="1:4" hidden="1" outlineLevel="3" x14ac:dyDescent="0.3">
      <c r="D10589" t="s">
        <v>4838</v>
      </c>
    </row>
    <row r="10590" spans="1:4" hidden="1" outlineLevel="3" x14ac:dyDescent="0.3">
      <c r="D10590" t="s">
        <v>4839</v>
      </c>
    </row>
    <row r="10591" spans="1:4" hidden="1" outlineLevel="3" x14ac:dyDescent="0.3">
      <c r="D10591" t="s">
        <v>3539</v>
      </c>
    </row>
    <row r="10592" spans="1:4" hidden="1" outlineLevel="2" x14ac:dyDescent="0.3">
      <c r="C10592" t="s">
        <v>3540</v>
      </c>
    </row>
    <row r="10593" spans="3:4" hidden="1" outlineLevel="3" x14ac:dyDescent="0.3">
      <c r="D10593" t="s">
        <v>4151</v>
      </c>
    </row>
    <row r="10594" spans="3:4" hidden="1" outlineLevel="3" x14ac:dyDescent="0.3">
      <c r="D10594" t="s">
        <v>3543</v>
      </c>
    </row>
    <row r="10595" spans="3:4" hidden="1" outlineLevel="3" x14ac:dyDescent="0.3">
      <c r="D10595" t="s">
        <v>3545</v>
      </c>
    </row>
    <row r="10596" spans="3:4" hidden="1" outlineLevel="3" x14ac:dyDescent="0.3">
      <c r="D10596" t="s">
        <v>3548</v>
      </c>
    </row>
    <row r="10597" spans="3:4" hidden="1" outlineLevel="3" x14ac:dyDescent="0.3">
      <c r="D10597" t="s">
        <v>3549</v>
      </c>
    </row>
    <row r="10598" spans="3:4" hidden="1" outlineLevel="2" x14ac:dyDescent="0.3">
      <c r="C10598" t="s">
        <v>3551</v>
      </c>
    </row>
    <row r="10599" spans="3:4" hidden="1" outlineLevel="2" x14ac:dyDescent="0.3">
      <c r="C10599" t="s">
        <v>3552</v>
      </c>
    </row>
    <row r="10600" spans="3:4" hidden="1" outlineLevel="2" x14ac:dyDescent="0.3">
      <c r="C10600" t="s">
        <v>3554</v>
      </c>
    </row>
    <row r="10601" spans="3:4" hidden="1" outlineLevel="2" x14ac:dyDescent="0.3">
      <c r="C10601" t="s">
        <v>3555</v>
      </c>
    </row>
    <row r="10602" spans="3:4" hidden="1" outlineLevel="2" x14ac:dyDescent="0.3">
      <c r="C10602" t="s">
        <v>3556</v>
      </c>
    </row>
    <row r="10603" spans="3:4" hidden="1" outlineLevel="2" x14ac:dyDescent="0.3">
      <c r="C10603" t="s">
        <v>3557</v>
      </c>
    </row>
    <row r="10604" spans="3:4" hidden="1" outlineLevel="2" x14ac:dyDescent="0.3">
      <c r="C10604" t="s">
        <v>3558</v>
      </c>
    </row>
    <row r="10605" spans="3:4" hidden="1" outlineLevel="2" x14ac:dyDescent="0.3">
      <c r="C10605" t="s">
        <v>3559</v>
      </c>
    </row>
    <row r="10606" spans="3:4" hidden="1" outlineLevel="2" x14ac:dyDescent="0.3">
      <c r="C10606" t="s">
        <v>3560</v>
      </c>
    </row>
    <row r="10607" spans="3:4" hidden="1" outlineLevel="2" x14ac:dyDescent="0.3">
      <c r="C10607" t="s">
        <v>3561</v>
      </c>
    </row>
    <row r="10608" spans="3:4" hidden="1" outlineLevel="2" x14ac:dyDescent="0.3">
      <c r="C10608" t="s">
        <v>3563</v>
      </c>
    </row>
    <row r="10609" spans="2:4" hidden="1" outlineLevel="2" x14ac:dyDescent="0.3">
      <c r="C10609" t="s">
        <v>3564</v>
      </c>
    </row>
    <row r="10610" spans="2:4" hidden="1" outlineLevel="2" x14ac:dyDescent="0.3">
      <c r="C10610" t="s">
        <v>3565</v>
      </c>
    </row>
    <row r="10611" spans="2:4" hidden="1" outlineLevel="2" x14ac:dyDescent="0.3">
      <c r="C10611" t="s">
        <v>3566</v>
      </c>
    </row>
    <row r="10612" spans="2:4" hidden="1" outlineLevel="2" x14ac:dyDescent="0.3">
      <c r="C10612" t="s">
        <v>3567</v>
      </c>
    </row>
    <row r="10613" spans="2:4" hidden="1" outlineLevel="2" x14ac:dyDescent="0.3">
      <c r="C10613" t="s">
        <v>3568</v>
      </c>
    </row>
    <row r="10614" spans="2:4" hidden="1" outlineLevel="2" x14ac:dyDescent="0.3">
      <c r="C10614" t="s">
        <v>2302</v>
      </c>
    </row>
    <row r="10615" spans="2:4" outlineLevel="1" collapsed="1" x14ac:dyDescent="0.3">
      <c r="B10615" t="s">
        <v>2303</v>
      </c>
    </row>
    <row r="10616" spans="2:4" hidden="1" outlineLevel="2" x14ac:dyDescent="0.3">
      <c r="C10616" t="s">
        <v>3569</v>
      </c>
    </row>
    <row r="10617" spans="2:4" hidden="1" outlineLevel="2" x14ac:dyDescent="0.3">
      <c r="C10617" t="s">
        <v>3570</v>
      </c>
    </row>
    <row r="10618" spans="2:4" hidden="1" outlineLevel="2" x14ac:dyDescent="0.3">
      <c r="C10618" t="s">
        <v>3571</v>
      </c>
    </row>
    <row r="10619" spans="2:4" hidden="1" outlineLevel="3" x14ac:dyDescent="0.3">
      <c r="D10619" t="s">
        <v>4840</v>
      </c>
    </row>
    <row r="10620" spans="2:4" hidden="1" outlineLevel="3" x14ac:dyDescent="0.3">
      <c r="D10620" t="s">
        <v>4841</v>
      </c>
    </row>
    <row r="10621" spans="2:4" hidden="1" outlineLevel="3" x14ac:dyDescent="0.3">
      <c r="D10621" t="s">
        <v>3575</v>
      </c>
    </row>
    <row r="10622" spans="2:4" hidden="1" outlineLevel="2" x14ac:dyDescent="0.3">
      <c r="C10622" t="s">
        <v>3576</v>
      </c>
    </row>
    <row r="10623" spans="2:4" hidden="1" outlineLevel="3" x14ac:dyDescent="0.3">
      <c r="D10623" t="s">
        <v>4152</v>
      </c>
    </row>
    <row r="10624" spans="2:4" hidden="1" outlineLevel="3" x14ac:dyDescent="0.3">
      <c r="D10624" t="s">
        <v>4620</v>
      </c>
    </row>
    <row r="10625" spans="3:4" hidden="1" outlineLevel="3" x14ac:dyDescent="0.3">
      <c r="D10625" t="s">
        <v>3581</v>
      </c>
    </row>
    <row r="10626" spans="3:4" hidden="1" outlineLevel="3" x14ac:dyDescent="0.3">
      <c r="D10626" t="s">
        <v>3584</v>
      </c>
    </row>
    <row r="10627" spans="3:4" hidden="1" outlineLevel="3" x14ac:dyDescent="0.3">
      <c r="D10627" t="s">
        <v>3585</v>
      </c>
    </row>
    <row r="10628" spans="3:4" hidden="1" outlineLevel="2" x14ac:dyDescent="0.3">
      <c r="C10628" t="s">
        <v>3587</v>
      </c>
    </row>
    <row r="10629" spans="3:4" hidden="1" outlineLevel="2" x14ac:dyDescent="0.3">
      <c r="C10629" t="s">
        <v>3588</v>
      </c>
    </row>
    <row r="10630" spans="3:4" hidden="1" outlineLevel="2" x14ac:dyDescent="0.3">
      <c r="C10630" t="s">
        <v>3590</v>
      </c>
    </row>
    <row r="10631" spans="3:4" hidden="1" outlineLevel="2" x14ac:dyDescent="0.3">
      <c r="C10631" t="s">
        <v>3591</v>
      </c>
    </row>
    <row r="10632" spans="3:4" hidden="1" outlineLevel="2" x14ac:dyDescent="0.3">
      <c r="C10632" t="s">
        <v>3592</v>
      </c>
    </row>
    <row r="10633" spans="3:4" hidden="1" outlineLevel="2" x14ac:dyDescent="0.3">
      <c r="C10633" t="s">
        <v>3593</v>
      </c>
    </row>
    <row r="10634" spans="3:4" hidden="1" outlineLevel="2" x14ac:dyDescent="0.3">
      <c r="C10634" t="s">
        <v>3594</v>
      </c>
    </row>
    <row r="10635" spans="3:4" hidden="1" outlineLevel="2" x14ac:dyDescent="0.3">
      <c r="C10635" t="s">
        <v>3595</v>
      </c>
    </row>
    <row r="10636" spans="3:4" hidden="1" outlineLevel="2" x14ac:dyDescent="0.3">
      <c r="C10636" t="s">
        <v>3596</v>
      </c>
    </row>
    <row r="10637" spans="3:4" hidden="1" outlineLevel="2" x14ac:dyDescent="0.3">
      <c r="C10637" t="s">
        <v>3597</v>
      </c>
    </row>
    <row r="10638" spans="3:4" hidden="1" outlineLevel="2" x14ac:dyDescent="0.3">
      <c r="C10638" t="s">
        <v>3599</v>
      </c>
    </row>
    <row r="10639" spans="3:4" hidden="1" outlineLevel="2" x14ac:dyDescent="0.3">
      <c r="C10639" t="s">
        <v>3600</v>
      </c>
    </row>
    <row r="10640" spans="3:4" hidden="1" outlineLevel="2" x14ac:dyDescent="0.3">
      <c r="C10640" t="s">
        <v>3601</v>
      </c>
    </row>
    <row r="10641" spans="1:3" hidden="1" outlineLevel="2" x14ac:dyDescent="0.3">
      <c r="C10641" t="s">
        <v>3602</v>
      </c>
    </row>
    <row r="10642" spans="1:3" hidden="1" outlineLevel="2" x14ac:dyDescent="0.3">
      <c r="C10642" t="s">
        <v>3603</v>
      </c>
    </row>
    <row r="10643" spans="1:3" hidden="1" outlineLevel="2" x14ac:dyDescent="0.3">
      <c r="C10643" t="s">
        <v>3604</v>
      </c>
    </row>
    <row r="10644" spans="1:3" hidden="1" outlineLevel="2" x14ac:dyDescent="0.3">
      <c r="C10644" t="s">
        <v>3605</v>
      </c>
    </row>
    <row r="10645" spans="1:3" hidden="1" outlineLevel="2" x14ac:dyDescent="0.3">
      <c r="C10645" t="s">
        <v>3606</v>
      </c>
    </row>
    <row r="10646" spans="1:3" hidden="1" outlineLevel="2" x14ac:dyDescent="0.3">
      <c r="C10646" t="s">
        <v>2334</v>
      </c>
    </row>
    <row r="10647" spans="1:3" outlineLevel="1" collapsed="1" x14ac:dyDescent="0.3">
      <c r="B10647" t="s">
        <v>2335</v>
      </c>
    </row>
    <row r="10648" spans="1:3" outlineLevel="1" x14ac:dyDescent="0.3">
      <c r="B10648" t="s">
        <v>2336</v>
      </c>
    </row>
    <row r="10649" spans="1:3" outlineLevel="1" x14ac:dyDescent="0.3">
      <c r="B10649" t="s">
        <v>2337</v>
      </c>
    </row>
    <row r="10650" spans="1:3" outlineLevel="1" x14ac:dyDescent="0.3">
      <c r="B10650" t="s">
        <v>2338</v>
      </c>
    </row>
    <row r="10651" spans="1:3" outlineLevel="1" x14ac:dyDescent="0.3">
      <c r="B10651" t="s">
        <v>2339</v>
      </c>
    </row>
    <row r="10652" spans="1:3" outlineLevel="1" x14ac:dyDescent="0.3">
      <c r="B10652" t="s">
        <v>2340</v>
      </c>
    </row>
    <row r="10653" spans="1:3" x14ac:dyDescent="0.3">
      <c r="A10653" t="s">
        <v>2341</v>
      </c>
    </row>
    <row r="10654" spans="1:3" x14ac:dyDescent="0.3">
      <c r="A10654" t="s">
        <v>2342</v>
      </c>
    </row>
    <row r="10655" spans="1:3" x14ac:dyDescent="0.3">
      <c r="A10655" t="s">
        <v>2343</v>
      </c>
    </row>
    <row r="10656" spans="1:3" x14ac:dyDescent="0.3">
      <c r="A10656" t="s">
        <v>2344</v>
      </c>
    </row>
    <row r="10657" spans="1:2" x14ac:dyDescent="0.3">
      <c r="A10657" t="s">
        <v>2345</v>
      </c>
    </row>
    <row r="10658" spans="1:2" x14ac:dyDescent="0.3">
      <c r="A10658" t="s">
        <v>2346</v>
      </c>
    </row>
    <row r="10669" spans="1:2" x14ac:dyDescent="0.3">
      <c r="A10669" t="s">
        <v>0</v>
      </c>
    </row>
    <row r="10670" spans="1:2" outlineLevel="1" x14ac:dyDescent="0.3">
      <c r="B10670" t="s">
        <v>2379</v>
      </c>
    </row>
    <row r="10671" spans="1:2" outlineLevel="1" x14ac:dyDescent="0.3">
      <c r="B10671" t="s">
        <v>2380</v>
      </c>
    </row>
    <row r="10672" spans="1:2" outlineLevel="1" x14ac:dyDescent="0.3">
      <c r="B10672" t="s">
        <v>2381</v>
      </c>
    </row>
    <row r="10673" spans="2:2" outlineLevel="1" x14ac:dyDescent="0.3">
      <c r="B10673" t="s">
        <v>2382</v>
      </c>
    </row>
    <row r="10674" spans="2:2" outlineLevel="1" x14ac:dyDescent="0.3">
      <c r="B10674" t="s">
        <v>2383</v>
      </c>
    </row>
    <row r="10675" spans="2:2" outlineLevel="1" x14ac:dyDescent="0.3">
      <c r="B10675" t="s">
        <v>2384</v>
      </c>
    </row>
    <row r="10676" spans="2:2" outlineLevel="1" x14ac:dyDescent="0.3">
      <c r="B10676" t="s">
        <v>2385</v>
      </c>
    </row>
    <row r="10677" spans="2:2" outlineLevel="1" x14ac:dyDescent="0.3">
      <c r="B10677" t="s">
        <v>2386</v>
      </c>
    </row>
    <row r="10678" spans="2:2" outlineLevel="1" x14ac:dyDescent="0.3">
      <c r="B10678" t="s">
        <v>2387</v>
      </c>
    </row>
    <row r="10679" spans="2:2" outlineLevel="1" x14ac:dyDescent="0.3">
      <c r="B10679" t="s">
        <v>2388</v>
      </c>
    </row>
    <row r="10680" spans="2:2" outlineLevel="1" x14ac:dyDescent="0.3">
      <c r="B10680" t="s">
        <v>2389</v>
      </c>
    </row>
    <row r="10681" spans="2:2" outlineLevel="1" x14ac:dyDescent="0.3">
      <c r="B10681" t="s">
        <v>4842</v>
      </c>
    </row>
    <row r="10682" spans="2:2" outlineLevel="1" x14ac:dyDescent="0.3">
      <c r="B10682" t="s">
        <v>4843</v>
      </c>
    </row>
    <row r="10683" spans="2:2" outlineLevel="1" x14ac:dyDescent="0.3">
      <c r="B10683" t="s">
        <v>4844</v>
      </c>
    </row>
    <row r="10684" spans="2:2" outlineLevel="1" x14ac:dyDescent="0.3">
      <c r="B10684" t="s">
        <v>4845</v>
      </c>
    </row>
    <row r="10685" spans="2:2" outlineLevel="1" x14ac:dyDescent="0.3">
      <c r="B10685" t="s">
        <v>4846</v>
      </c>
    </row>
    <row r="10686" spans="2:2" outlineLevel="1" x14ac:dyDescent="0.3">
      <c r="B10686" t="s">
        <v>4847</v>
      </c>
    </row>
    <row r="10687" spans="2:2" outlineLevel="1" x14ac:dyDescent="0.3">
      <c r="B10687" t="s">
        <v>2390</v>
      </c>
    </row>
    <row r="10688" spans="2:2" outlineLevel="1" x14ac:dyDescent="0.3">
      <c r="B10688" t="s">
        <v>2391</v>
      </c>
    </row>
    <row r="10689" spans="1:3" outlineLevel="1" x14ac:dyDescent="0.3">
      <c r="B10689" t="s">
        <v>2392</v>
      </c>
    </row>
    <row r="10690" spans="1:3" outlineLevel="1" x14ac:dyDescent="0.3">
      <c r="B10690" t="s">
        <v>2393</v>
      </c>
    </row>
    <row r="10691" spans="1:3" outlineLevel="1" x14ac:dyDescent="0.3">
      <c r="B10691" t="s">
        <v>2394</v>
      </c>
    </row>
    <row r="10692" spans="1:3" outlineLevel="1" x14ac:dyDescent="0.3">
      <c r="B10692" t="s">
        <v>2395</v>
      </c>
    </row>
    <row r="10693" spans="1:3" outlineLevel="1" x14ac:dyDescent="0.3">
      <c r="B10693" t="s">
        <v>2396</v>
      </c>
    </row>
    <row r="10694" spans="1:3" outlineLevel="1" x14ac:dyDescent="0.3">
      <c r="B10694" t="s">
        <v>2397</v>
      </c>
    </row>
    <row r="10695" spans="1:3" outlineLevel="1" x14ac:dyDescent="0.3">
      <c r="B10695" t="s">
        <v>2398</v>
      </c>
    </row>
    <row r="10696" spans="1:3" x14ac:dyDescent="0.3">
      <c r="A10696" t="s">
        <v>26</v>
      </c>
    </row>
    <row r="10697" spans="1:3" outlineLevel="1" x14ac:dyDescent="0.3">
      <c r="B10697" t="s">
        <v>27</v>
      </c>
    </row>
    <row r="10698" spans="1:3" hidden="1" outlineLevel="2" x14ac:dyDescent="0.3">
      <c r="C10698" t="s">
        <v>28</v>
      </c>
    </row>
    <row r="10699" spans="1:3" hidden="1" outlineLevel="2" x14ac:dyDescent="0.3">
      <c r="C10699" t="s">
        <v>29</v>
      </c>
    </row>
    <row r="10700" spans="1:3" hidden="1" outlineLevel="2" x14ac:dyDescent="0.3">
      <c r="C10700" t="s">
        <v>30</v>
      </c>
    </row>
    <row r="10701" spans="1:3" hidden="1" outlineLevel="2" x14ac:dyDescent="0.3">
      <c r="C10701" t="s">
        <v>31</v>
      </c>
    </row>
    <row r="10702" spans="1:3" hidden="1" outlineLevel="2" x14ac:dyDescent="0.3">
      <c r="C10702" t="s">
        <v>32</v>
      </c>
    </row>
    <row r="10703" spans="1:3" hidden="1" outlineLevel="2" x14ac:dyDescent="0.3">
      <c r="C10703" t="s">
        <v>33</v>
      </c>
    </row>
    <row r="10704" spans="1:3" hidden="1" outlineLevel="2" x14ac:dyDescent="0.3">
      <c r="C10704" t="s">
        <v>34</v>
      </c>
    </row>
    <row r="10705" spans="1:3" hidden="1" outlineLevel="2" x14ac:dyDescent="0.3">
      <c r="C10705" t="s">
        <v>2399</v>
      </c>
    </row>
    <row r="10706" spans="1:3" outlineLevel="1" collapsed="1" x14ac:dyDescent="0.3">
      <c r="B10706" t="s">
        <v>35</v>
      </c>
    </row>
    <row r="10707" spans="1:3" outlineLevel="1" x14ac:dyDescent="0.3">
      <c r="B10707" t="s">
        <v>36</v>
      </c>
    </row>
    <row r="10708" spans="1:3" outlineLevel="1" x14ac:dyDescent="0.3">
      <c r="B10708" t="s">
        <v>520</v>
      </c>
    </row>
    <row r="10709" spans="1:3" x14ac:dyDescent="0.3">
      <c r="A10709" t="s">
        <v>37</v>
      </c>
    </row>
    <row r="10710" spans="1:3" outlineLevel="1" x14ac:dyDescent="0.3">
      <c r="B10710" t="s">
        <v>2400</v>
      </c>
    </row>
    <row r="10711" spans="1:3" outlineLevel="1" x14ac:dyDescent="0.3">
      <c r="B10711" t="s">
        <v>2401</v>
      </c>
    </row>
    <row r="10712" spans="1:3" outlineLevel="1" x14ac:dyDescent="0.3">
      <c r="B10712" t="s">
        <v>2402</v>
      </c>
    </row>
    <row r="10713" spans="1:3" outlineLevel="1" x14ac:dyDescent="0.3">
      <c r="B10713" t="s">
        <v>2404</v>
      </c>
    </row>
    <row r="10714" spans="1:3" outlineLevel="1" x14ac:dyDescent="0.3">
      <c r="B10714" t="s">
        <v>2405</v>
      </c>
    </row>
    <row r="10715" spans="1:3" outlineLevel="1" x14ac:dyDescent="0.3">
      <c r="B10715" t="s">
        <v>2406</v>
      </c>
    </row>
    <row r="10716" spans="1:3" outlineLevel="1" x14ac:dyDescent="0.3">
      <c r="B10716" t="s">
        <v>2407</v>
      </c>
    </row>
    <row r="10717" spans="1:3" outlineLevel="1" x14ac:dyDescent="0.3">
      <c r="B10717" t="s">
        <v>2408</v>
      </c>
    </row>
    <row r="10718" spans="1:3" outlineLevel="1" x14ac:dyDescent="0.3">
      <c r="B10718" t="s">
        <v>2409</v>
      </c>
    </row>
    <row r="10719" spans="1:3" outlineLevel="1" x14ac:dyDescent="0.3">
      <c r="B10719" t="s">
        <v>2410</v>
      </c>
    </row>
    <row r="10720" spans="1:3" outlineLevel="1" x14ac:dyDescent="0.3">
      <c r="B10720" t="s">
        <v>2411</v>
      </c>
    </row>
    <row r="10721" spans="1:2" outlineLevel="1" x14ac:dyDescent="0.3">
      <c r="B10721" t="s">
        <v>2412</v>
      </c>
    </row>
    <row r="10722" spans="1:2" outlineLevel="1" x14ac:dyDescent="0.3">
      <c r="B10722" t="s">
        <v>2413</v>
      </c>
    </row>
    <row r="10728" spans="1:2" x14ac:dyDescent="0.3">
      <c r="A10728" t="s">
        <v>2415</v>
      </c>
    </row>
    <row r="10729" spans="1:2" outlineLevel="1" x14ac:dyDescent="0.3">
      <c r="B10729" t="s">
        <v>2416</v>
      </c>
    </row>
    <row r="10730" spans="1:2" outlineLevel="1" x14ac:dyDescent="0.3">
      <c r="B10730" t="s">
        <v>2417</v>
      </c>
    </row>
    <row r="10731" spans="1:2" outlineLevel="1" x14ac:dyDescent="0.3">
      <c r="B10731" t="s">
        <v>2418</v>
      </c>
    </row>
    <row r="10732" spans="1:2" x14ac:dyDescent="0.3">
      <c r="A10732" t="s">
        <v>2419</v>
      </c>
    </row>
    <row r="10733" spans="1:2" outlineLevel="1" x14ac:dyDescent="0.3">
      <c r="B10733" t="s">
        <v>2420</v>
      </c>
    </row>
    <row r="10734" spans="1:2" outlineLevel="1" x14ac:dyDescent="0.3">
      <c r="B10734" t="s">
        <v>2421</v>
      </c>
    </row>
    <row r="10735" spans="1:2" x14ac:dyDescent="0.3">
      <c r="A10735" t="s">
        <v>2422</v>
      </c>
    </row>
    <row r="10736" spans="1:2" outlineLevel="1" x14ac:dyDescent="0.3">
      <c r="B10736" t="s">
        <v>2423</v>
      </c>
    </row>
    <row r="10737" spans="1:2" outlineLevel="1" x14ac:dyDescent="0.3">
      <c r="B10737" t="s">
        <v>2424</v>
      </c>
    </row>
    <row r="10738" spans="1:2" outlineLevel="1" x14ac:dyDescent="0.3">
      <c r="B10738" t="s">
        <v>2425</v>
      </c>
    </row>
    <row r="10739" spans="1:2" outlineLevel="1" x14ac:dyDescent="0.3">
      <c r="B10739" t="s">
        <v>2426</v>
      </c>
    </row>
    <row r="10740" spans="1:2" x14ac:dyDescent="0.3">
      <c r="A10740" t="s">
        <v>2427</v>
      </c>
    </row>
    <row r="10741" spans="1:2" outlineLevel="1" x14ac:dyDescent="0.3">
      <c r="B10741" t="s">
        <v>2428</v>
      </c>
    </row>
    <row r="10742" spans="1:2" outlineLevel="1" x14ac:dyDescent="0.3">
      <c r="B10742" t="s">
        <v>2429</v>
      </c>
    </row>
    <row r="10743" spans="1:2" x14ac:dyDescent="0.3">
      <c r="A10743" t="s">
        <v>2430</v>
      </c>
    </row>
    <row r="10744" spans="1:2" outlineLevel="1" x14ac:dyDescent="0.3">
      <c r="B10744" t="s">
        <v>2431</v>
      </c>
    </row>
    <row r="10745" spans="1:2" outlineLevel="1" x14ac:dyDescent="0.3">
      <c r="B10745" t="s">
        <v>2432</v>
      </c>
    </row>
    <row r="10746" spans="1:2" x14ac:dyDescent="0.3">
      <c r="A10746" t="s">
        <v>2433</v>
      </c>
    </row>
    <row r="10747" spans="1:2" outlineLevel="1" x14ac:dyDescent="0.3">
      <c r="B10747" t="s">
        <v>4848</v>
      </c>
    </row>
    <row r="10748" spans="1:2" outlineLevel="1" x14ac:dyDescent="0.3">
      <c r="B10748" t="s">
        <v>4849</v>
      </c>
    </row>
    <row r="10749" spans="1:2" outlineLevel="1" x14ac:dyDescent="0.3">
      <c r="B10749" t="s">
        <v>4850</v>
      </c>
    </row>
    <row r="10750" spans="1:2" outlineLevel="1" x14ac:dyDescent="0.3">
      <c r="B10750" t="s">
        <v>4851</v>
      </c>
    </row>
    <row r="10751" spans="1:2" outlineLevel="1" x14ac:dyDescent="0.3">
      <c r="B10751" t="s">
        <v>2436</v>
      </c>
    </row>
    <row r="10752" spans="1:2" outlineLevel="1" x14ac:dyDescent="0.3">
      <c r="B10752" t="s">
        <v>2437</v>
      </c>
    </row>
    <row r="10753" spans="1:2" x14ac:dyDescent="0.3">
      <c r="A10753" t="s">
        <v>2438</v>
      </c>
    </row>
    <row r="10754" spans="1:2" outlineLevel="1" x14ac:dyDescent="0.3">
      <c r="B10754" t="s">
        <v>2439</v>
      </c>
    </row>
    <row r="10755" spans="1:2" outlineLevel="1" x14ac:dyDescent="0.3">
      <c r="B10755" t="s">
        <v>2440</v>
      </c>
    </row>
    <row r="10756" spans="1:2" x14ac:dyDescent="0.3">
      <c r="A10756" t="s">
        <v>2441</v>
      </c>
    </row>
    <row r="10757" spans="1:2" x14ac:dyDescent="0.3">
      <c r="A10757" t="s">
        <v>2442</v>
      </c>
    </row>
    <row r="10758" spans="1:2" x14ac:dyDescent="0.3">
      <c r="A10758" t="s">
        <v>3647</v>
      </c>
    </row>
    <row r="10759" spans="1:2" x14ac:dyDescent="0.3">
      <c r="A10759" t="s">
        <v>2443</v>
      </c>
    </row>
    <row r="10760" spans="1:2" outlineLevel="1" x14ac:dyDescent="0.3">
      <c r="B10760" t="s">
        <v>78</v>
      </c>
    </row>
    <row r="10761" spans="1:2" outlineLevel="1" x14ac:dyDescent="0.3">
      <c r="B10761" t="s">
        <v>2444</v>
      </c>
    </row>
    <row r="10762" spans="1:2" outlineLevel="1" x14ac:dyDescent="0.3">
      <c r="B10762" t="s">
        <v>2445</v>
      </c>
    </row>
    <row r="10763" spans="1:2" outlineLevel="1" x14ac:dyDescent="0.3">
      <c r="B10763" t="s">
        <v>2446</v>
      </c>
    </row>
    <row r="10764" spans="1:2" outlineLevel="1" x14ac:dyDescent="0.3">
      <c r="B10764" t="s">
        <v>93</v>
      </c>
    </row>
    <row r="10765" spans="1:2" outlineLevel="1" x14ac:dyDescent="0.3">
      <c r="B10765" t="s">
        <v>2447</v>
      </c>
    </row>
    <row r="10766" spans="1:2" x14ac:dyDescent="0.3">
      <c r="A10766" t="s">
        <v>99</v>
      </c>
    </row>
    <row r="10767" spans="1:2" x14ac:dyDescent="0.3">
      <c r="A10767" t="s">
        <v>2448</v>
      </c>
    </row>
    <row r="10768" spans="1:2" x14ac:dyDescent="0.3">
      <c r="A10768" t="s">
        <v>2449</v>
      </c>
    </row>
    <row r="10769" spans="1:2" x14ac:dyDescent="0.3">
      <c r="A10769" t="s">
        <v>330</v>
      </c>
    </row>
    <row r="10770" spans="1:2" x14ac:dyDescent="0.3">
      <c r="A10770" t="s">
        <v>333</v>
      </c>
    </row>
    <row r="10771" spans="1:2" x14ac:dyDescent="0.3">
      <c r="A10771" t="s">
        <v>336</v>
      </c>
    </row>
    <row r="10772" spans="1:2" x14ac:dyDescent="0.3">
      <c r="A10772" t="s">
        <v>339</v>
      </c>
    </row>
    <row r="10773" spans="1:2" x14ac:dyDescent="0.3">
      <c r="A10773" t="s">
        <v>342</v>
      </c>
    </row>
    <row r="10774" spans="1:2" x14ac:dyDescent="0.3">
      <c r="A10774" t="s">
        <v>345</v>
      </c>
    </row>
    <row r="10775" spans="1:2" x14ac:dyDescent="0.3">
      <c r="A10775" t="s">
        <v>348</v>
      </c>
    </row>
    <row r="10776" spans="1:2" x14ac:dyDescent="0.3">
      <c r="A10776" t="s">
        <v>351</v>
      </c>
    </row>
    <row r="10777" spans="1:2" x14ac:dyDescent="0.3">
      <c r="A10777" t="s">
        <v>354</v>
      </c>
    </row>
    <row r="10778" spans="1:2" outlineLevel="1" x14ac:dyDescent="0.3">
      <c r="B10778" t="s">
        <v>357</v>
      </c>
    </row>
    <row r="10779" spans="1:2" outlineLevel="1" x14ac:dyDescent="0.3">
      <c r="B10779" t="s">
        <v>360</v>
      </c>
    </row>
    <row r="10780" spans="1:2" x14ac:dyDescent="0.3">
      <c r="A10780" t="s">
        <v>363</v>
      </c>
    </row>
    <row r="10781" spans="1:2" outlineLevel="1" x14ac:dyDescent="0.3">
      <c r="B10781" t="s">
        <v>366</v>
      </c>
    </row>
    <row r="10782" spans="1:2" outlineLevel="1" x14ac:dyDescent="0.3">
      <c r="B10782" t="s">
        <v>369</v>
      </c>
    </row>
    <row r="10783" spans="1:2" x14ac:dyDescent="0.3">
      <c r="A10783" t="s">
        <v>372</v>
      </c>
    </row>
    <row r="10784" spans="1:2" x14ac:dyDescent="0.3">
      <c r="A10784" t="s">
        <v>375</v>
      </c>
    </row>
    <row r="10790" spans="1:2" x14ac:dyDescent="0.3">
      <c r="A10790" t="s">
        <v>67</v>
      </c>
    </row>
    <row r="10791" spans="1:2" outlineLevel="1" x14ac:dyDescent="0.3">
      <c r="B10791" t="s">
        <v>70</v>
      </c>
    </row>
    <row r="10792" spans="1:2" outlineLevel="1" x14ac:dyDescent="0.3">
      <c r="B10792" t="s">
        <v>73</v>
      </c>
    </row>
    <row r="10793" spans="1:2" outlineLevel="1" x14ac:dyDescent="0.3">
      <c r="B10793" t="s">
        <v>76</v>
      </c>
    </row>
    <row r="10794" spans="1:2" outlineLevel="1" x14ac:dyDescent="0.3">
      <c r="B10794" t="s">
        <v>79</v>
      </c>
    </row>
    <row r="10795" spans="1:2" outlineLevel="1" x14ac:dyDescent="0.3">
      <c r="B10795" t="s">
        <v>82</v>
      </c>
    </row>
    <row r="10796" spans="1:2" outlineLevel="1" x14ac:dyDescent="0.3">
      <c r="B10796" t="s">
        <v>85</v>
      </c>
    </row>
    <row r="10797" spans="1:2" outlineLevel="1" x14ac:dyDescent="0.3">
      <c r="B10797" t="s">
        <v>88</v>
      </c>
    </row>
    <row r="10798" spans="1:2" outlineLevel="1" x14ac:dyDescent="0.3">
      <c r="B10798" t="s">
        <v>91</v>
      </c>
    </row>
    <row r="10799" spans="1:2" outlineLevel="1" x14ac:dyDescent="0.3">
      <c r="B10799" t="s">
        <v>94</v>
      </c>
    </row>
    <row r="10800" spans="1:2" outlineLevel="1" x14ac:dyDescent="0.3">
      <c r="B10800" t="s">
        <v>97</v>
      </c>
    </row>
    <row r="10801" spans="1:2" outlineLevel="1" x14ac:dyDescent="0.3">
      <c r="B10801" t="s">
        <v>100</v>
      </c>
    </row>
    <row r="10802" spans="1:2" outlineLevel="1" x14ac:dyDescent="0.3">
      <c r="B10802" t="s">
        <v>103</v>
      </c>
    </row>
    <row r="10803" spans="1:2" x14ac:dyDescent="0.3">
      <c r="A10803" t="s">
        <v>106</v>
      </c>
    </row>
    <row r="10804" spans="1:2" outlineLevel="1" x14ac:dyDescent="0.3">
      <c r="B10804" t="s">
        <v>109</v>
      </c>
    </row>
    <row r="10805" spans="1:2" outlineLevel="1" x14ac:dyDescent="0.3">
      <c r="B10805" t="s">
        <v>112</v>
      </c>
    </row>
    <row r="10806" spans="1:2" outlineLevel="1" x14ac:dyDescent="0.3">
      <c r="B10806" t="s">
        <v>115</v>
      </c>
    </row>
    <row r="10807" spans="1:2" x14ac:dyDescent="0.3">
      <c r="A10807" t="s">
        <v>118</v>
      </c>
    </row>
    <row r="10808" spans="1:2" outlineLevel="1" x14ac:dyDescent="0.3">
      <c r="B10808" t="s">
        <v>121</v>
      </c>
    </row>
    <row r="10809" spans="1:2" outlineLevel="1" x14ac:dyDescent="0.3">
      <c r="B10809" t="s">
        <v>124</v>
      </c>
    </row>
    <row r="10810" spans="1:2" outlineLevel="1" x14ac:dyDescent="0.3">
      <c r="B10810" t="s">
        <v>127</v>
      </c>
    </row>
    <row r="10811" spans="1:2" outlineLevel="1" x14ac:dyDescent="0.3">
      <c r="B10811" t="s">
        <v>130</v>
      </c>
    </row>
    <row r="10812" spans="1:2" outlineLevel="1" x14ac:dyDescent="0.3">
      <c r="B10812" t="s">
        <v>133</v>
      </c>
    </row>
    <row r="10813" spans="1:2" outlineLevel="1" x14ac:dyDescent="0.3">
      <c r="B10813" t="s">
        <v>136</v>
      </c>
    </row>
    <row r="10814" spans="1:2" outlineLevel="1" x14ac:dyDescent="0.3">
      <c r="B10814" t="s">
        <v>139</v>
      </c>
    </row>
    <row r="10815" spans="1:2" outlineLevel="1" x14ac:dyDescent="0.3">
      <c r="B10815" t="s">
        <v>142</v>
      </c>
    </row>
    <row r="10816" spans="1:2" outlineLevel="1" x14ac:dyDescent="0.3">
      <c r="B10816" t="s">
        <v>145</v>
      </c>
    </row>
    <row r="10817" spans="1:2" outlineLevel="1" x14ac:dyDescent="0.3">
      <c r="B10817" t="s">
        <v>148</v>
      </c>
    </row>
    <row r="10818" spans="1:2" outlineLevel="1" x14ac:dyDescent="0.3">
      <c r="B10818" t="s">
        <v>151</v>
      </c>
    </row>
    <row r="10819" spans="1:2" outlineLevel="1" x14ac:dyDescent="0.3">
      <c r="B10819" t="s">
        <v>154</v>
      </c>
    </row>
    <row r="10820" spans="1:2" outlineLevel="1" x14ac:dyDescent="0.3">
      <c r="B10820" t="s">
        <v>157</v>
      </c>
    </row>
    <row r="10821" spans="1:2" outlineLevel="1" x14ac:dyDescent="0.3">
      <c r="B10821" t="s">
        <v>160</v>
      </c>
    </row>
    <row r="10822" spans="1:2" outlineLevel="1" x14ac:dyDescent="0.3">
      <c r="B10822" t="s">
        <v>163</v>
      </c>
    </row>
    <row r="10823" spans="1:2" outlineLevel="1" x14ac:dyDescent="0.3">
      <c r="B10823" t="s">
        <v>166</v>
      </c>
    </row>
    <row r="10824" spans="1:2" outlineLevel="1" x14ac:dyDescent="0.3">
      <c r="B10824" t="s">
        <v>169</v>
      </c>
    </row>
    <row r="10825" spans="1:2" outlineLevel="1" x14ac:dyDescent="0.3">
      <c r="B10825" t="s">
        <v>172</v>
      </c>
    </row>
    <row r="10826" spans="1:2" outlineLevel="1" x14ac:dyDescent="0.3">
      <c r="B10826" t="s">
        <v>175</v>
      </c>
    </row>
    <row r="10827" spans="1:2" outlineLevel="1" x14ac:dyDescent="0.3">
      <c r="B10827" t="s">
        <v>178</v>
      </c>
    </row>
    <row r="10828" spans="1:2" x14ac:dyDescent="0.3">
      <c r="A10828" t="s">
        <v>181</v>
      </c>
    </row>
    <row r="10829" spans="1:2" outlineLevel="1" x14ac:dyDescent="0.3">
      <c r="B10829" t="s">
        <v>184</v>
      </c>
    </row>
    <row r="10830" spans="1:2" outlineLevel="1" x14ac:dyDescent="0.3">
      <c r="B10830" t="s">
        <v>187</v>
      </c>
    </row>
    <row r="10831" spans="1:2" outlineLevel="1" x14ac:dyDescent="0.3">
      <c r="B10831" t="s">
        <v>190</v>
      </c>
    </row>
    <row r="10832" spans="1:2" outlineLevel="1" x14ac:dyDescent="0.3">
      <c r="B10832" t="s">
        <v>193</v>
      </c>
    </row>
    <row r="10833" spans="1:2" outlineLevel="1" x14ac:dyDescent="0.3">
      <c r="B10833" t="s">
        <v>196</v>
      </c>
    </row>
    <row r="10834" spans="1:2" outlineLevel="1" x14ac:dyDescent="0.3">
      <c r="B10834" t="s">
        <v>199</v>
      </c>
    </row>
    <row r="10835" spans="1:2" outlineLevel="1" x14ac:dyDescent="0.3">
      <c r="B10835" t="s">
        <v>202</v>
      </c>
    </row>
    <row r="10836" spans="1:2" outlineLevel="1" x14ac:dyDescent="0.3">
      <c r="B10836" t="s">
        <v>205</v>
      </c>
    </row>
    <row r="10837" spans="1:2" outlineLevel="1" x14ac:dyDescent="0.3">
      <c r="B10837" t="s">
        <v>208</v>
      </c>
    </row>
    <row r="10838" spans="1:2" outlineLevel="1" x14ac:dyDescent="0.3">
      <c r="B10838" t="s">
        <v>211</v>
      </c>
    </row>
    <row r="10839" spans="1:2" outlineLevel="1" x14ac:dyDescent="0.3">
      <c r="B10839" t="s">
        <v>214</v>
      </c>
    </row>
    <row r="10840" spans="1:2" outlineLevel="1" x14ac:dyDescent="0.3">
      <c r="B10840" t="s">
        <v>217</v>
      </c>
    </row>
    <row r="10841" spans="1:2" outlineLevel="1" x14ac:dyDescent="0.3">
      <c r="B10841" t="s">
        <v>220</v>
      </c>
    </row>
    <row r="10842" spans="1:2" outlineLevel="1" x14ac:dyDescent="0.3">
      <c r="B10842" t="s">
        <v>223</v>
      </c>
    </row>
    <row r="10843" spans="1:2" outlineLevel="1" x14ac:dyDescent="0.3">
      <c r="B10843" t="s">
        <v>226</v>
      </c>
    </row>
    <row r="10844" spans="1:2" outlineLevel="1" x14ac:dyDescent="0.3">
      <c r="B10844" t="s">
        <v>229</v>
      </c>
    </row>
    <row r="10845" spans="1:2" outlineLevel="1" x14ac:dyDescent="0.3">
      <c r="B10845" t="s">
        <v>232</v>
      </c>
    </row>
    <row r="10846" spans="1:2" outlineLevel="1" x14ac:dyDescent="0.3">
      <c r="B10846" t="s">
        <v>235</v>
      </c>
    </row>
    <row r="10847" spans="1:2" x14ac:dyDescent="0.3">
      <c r="A10847" t="s">
        <v>238</v>
      </c>
    </row>
    <row r="10848" spans="1:2" outlineLevel="1" x14ac:dyDescent="0.3">
      <c r="B10848" t="s">
        <v>241</v>
      </c>
    </row>
    <row r="10849" spans="2:2" outlineLevel="1" x14ac:dyDescent="0.3">
      <c r="B10849" t="s">
        <v>244</v>
      </c>
    </row>
    <row r="10850" spans="2:2" outlineLevel="1" x14ac:dyDescent="0.3">
      <c r="B10850" t="s">
        <v>247</v>
      </c>
    </row>
    <row r="10851" spans="2:2" outlineLevel="1" x14ac:dyDescent="0.3">
      <c r="B10851" t="s">
        <v>250</v>
      </c>
    </row>
    <row r="10852" spans="2:2" outlineLevel="1" x14ac:dyDescent="0.3">
      <c r="B10852" t="s">
        <v>253</v>
      </c>
    </row>
    <row r="10853" spans="2:2" outlineLevel="1" x14ac:dyDescent="0.3">
      <c r="B10853" t="s">
        <v>256</v>
      </c>
    </row>
    <row r="10854" spans="2:2" outlineLevel="1" x14ac:dyDescent="0.3">
      <c r="B10854" t="s">
        <v>259</v>
      </c>
    </row>
    <row r="10855" spans="2:2" outlineLevel="1" x14ac:dyDescent="0.3">
      <c r="B10855" t="s">
        <v>262</v>
      </c>
    </row>
    <row r="10856" spans="2:2" outlineLevel="1" x14ac:dyDescent="0.3">
      <c r="B10856" t="s">
        <v>265</v>
      </c>
    </row>
    <row r="10857" spans="2:2" outlineLevel="1" x14ac:dyDescent="0.3">
      <c r="B10857" t="s">
        <v>268</v>
      </c>
    </row>
    <row r="10858" spans="2:2" outlineLevel="1" x14ac:dyDescent="0.3">
      <c r="B10858" t="s">
        <v>271</v>
      </c>
    </row>
    <row r="10859" spans="2:2" outlineLevel="1" x14ac:dyDescent="0.3">
      <c r="B10859" t="s">
        <v>274</v>
      </c>
    </row>
    <row r="10860" spans="2:2" outlineLevel="1" x14ac:dyDescent="0.3">
      <c r="B10860" t="s">
        <v>277</v>
      </c>
    </row>
    <row r="10861" spans="2:2" outlineLevel="1" x14ac:dyDescent="0.3">
      <c r="B10861" t="s">
        <v>280</v>
      </c>
    </row>
    <row r="10862" spans="2:2" outlineLevel="1" x14ac:dyDescent="0.3">
      <c r="B10862" t="s">
        <v>283</v>
      </c>
    </row>
    <row r="10863" spans="2:2" outlineLevel="1" x14ac:dyDescent="0.3">
      <c r="B10863" t="s">
        <v>286</v>
      </c>
    </row>
    <row r="10864" spans="2:2" outlineLevel="1" x14ac:dyDescent="0.3">
      <c r="B10864" t="s">
        <v>289</v>
      </c>
    </row>
    <row r="10865" spans="1:3" x14ac:dyDescent="0.3">
      <c r="A10865" t="s">
        <v>292</v>
      </c>
    </row>
    <row r="10866" spans="1:3" outlineLevel="1" x14ac:dyDescent="0.3">
      <c r="B10866" t="s">
        <v>295</v>
      </c>
    </row>
    <row r="10867" spans="1:3" hidden="1" outlineLevel="2" x14ac:dyDescent="0.3">
      <c r="C10867" t="s">
        <v>298</v>
      </c>
    </row>
    <row r="10868" spans="1:3" hidden="1" outlineLevel="2" x14ac:dyDescent="0.3">
      <c r="C10868" t="s">
        <v>301</v>
      </c>
    </row>
    <row r="10869" spans="1:3" hidden="1" outlineLevel="2" x14ac:dyDescent="0.3">
      <c r="C10869" t="s">
        <v>304</v>
      </c>
    </row>
    <row r="10870" spans="1:3" hidden="1" outlineLevel="2" x14ac:dyDescent="0.3">
      <c r="C10870" t="s">
        <v>307</v>
      </c>
    </row>
    <row r="10871" spans="1:3" hidden="1" outlineLevel="2" x14ac:dyDescent="0.3">
      <c r="C10871" t="s">
        <v>310</v>
      </c>
    </row>
    <row r="10872" spans="1:3" hidden="1" outlineLevel="2" x14ac:dyDescent="0.3">
      <c r="C10872" t="s">
        <v>313</v>
      </c>
    </row>
    <row r="10873" spans="1:3" hidden="1" outlineLevel="2" x14ac:dyDescent="0.3">
      <c r="C10873" t="s">
        <v>316</v>
      </c>
    </row>
    <row r="10874" spans="1:3" outlineLevel="1" collapsed="1" x14ac:dyDescent="0.3">
      <c r="B10874" t="s">
        <v>319</v>
      </c>
    </row>
    <row r="10875" spans="1:3" outlineLevel="1" x14ac:dyDescent="0.3">
      <c r="B10875" t="s">
        <v>322</v>
      </c>
    </row>
    <row r="10876" spans="1:3" outlineLevel="1" x14ac:dyDescent="0.3">
      <c r="B10876" t="s">
        <v>325</v>
      </c>
    </row>
    <row r="10877" spans="1:3" outlineLevel="1" x14ac:dyDescent="0.3">
      <c r="B10877" t="s">
        <v>328</v>
      </c>
    </row>
    <row r="10878" spans="1:3" outlineLevel="1" x14ac:dyDescent="0.3">
      <c r="B10878" t="s">
        <v>331</v>
      </c>
    </row>
    <row r="10879" spans="1:3" outlineLevel="1" x14ac:dyDescent="0.3">
      <c r="B10879" t="s">
        <v>334</v>
      </c>
    </row>
    <row r="10880" spans="1:3" outlineLevel="1" x14ac:dyDescent="0.3">
      <c r="B10880" t="s">
        <v>337</v>
      </c>
    </row>
    <row r="10881" spans="1:3" outlineLevel="1" x14ac:dyDescent="0.3">
      <c r="B10881" t="s">
        <v>340</v>
      </c>
    </row>
    <row r="10882" spans="1:3" outlineLevel="1" x14ac:dyDescent="0.3">
      <c r="B10882" t="s">
        <v>343</v>
      </c>
    </row>
    <row r="10883" spans="1:3" outlineLevel="1" x14ac:dyDescent="0.3">
      <c r="B10883" t="s">
        <v>346</v>
      </c>
    </row>
    <row r="10884" spans="1:3" outlineLevel="1" x14ac:dyDescent="0.3">
      <c r="B10884" t="s">
        <v>349</v>
      </c>
    </row>
    <row r="10885" spans="1:3" x14ac:dyDescent="0.3">
      <c r="A10885" t="s">
        <v>352</v>
      </c>
    </row>
    <row r="10886" spans="1:3" outlineLevel="1" x14ac:dyDescent="0.3">
      <c r="B10886" t="s">
        <v>355</v>
      </c>
    </row>
    <row r="10887" spans="1:3" hidden="1" outlineLevel="2" x14ac:dyDescent="0.3">
      <c r="C10887" t="s">
        <v>358</v>
      </c>
    </row>
    <row r="10888" spans="1:3" hidden="1" outlineLevel="2" x14ac:dyDescent="0.3">
      <c r="C10888" t="s">
        <v>361</v>
      </c>
    </row>
    <row r="10889" spans="1:3" outlineLevel="1" collapsed="1" x14ac:dyDescent="0.3">
      <c r="B10889" t="s">
        <v>364</v>
      </c>
    </row>
    <row r="10890" spans="1:3" outlineLevel="1" x14ac:dyDescent="0.3">
      <c r="B10890" t="s">
        <v>367</v>
      </c>
    </row>
    <row r="10891" spans="1:3" outlineLevel="1" x14ac:dyDescent="0.3">
      <c r="B10891" t="s">
        <v>370</v>
      </c>
    </row>
    <row r="10892" spans="1:3" outlineLevel="1" x14ac:dyDescent="0.3">
      <c r="B10892" t="s">
        <v>373</v>
      </c>
    </row>
    <row r="10893" spans="1:3" outlineLevel="1" x14ac:dyDescent="0.3">
      <c r="B10893" t="s">
        <v>376</v>
      </c>
    </row>
    <row r="10894" spans="1:3" outlineLevel="1" x14ac:dyDescent="0.3">
      <c r="B10894" t="s">
        <v>378</v>
      </c>
    </row>
    <row r="10895" spans="1:3" outlineLevel="1" x14ac:dyDescent="0.3">
      <c r="B10895" t="s">
        <v>380</v>
      </c>
    </row>
    <row r="10896" spans="1:3" outlineLevel="1" x14ac:dyDescent="0.3">
      <c r="B10896" t="s">
        <v>382</v>
      </c>
    </row>
    <row r="10897" spans="1:3" outlineLevel="1" x14ac:dyDescent="0.3">
      <c r="B10897" t="s">
        <v>523</v>
      </c>
    </row>
    <row r="10898" spans="1:3" outlineLevel="1" x14ac:dyDescent="0.3">
      <c r="B10898" t="s">
        <v>385</v>
      </c>
    </row>
    <row r="10899" spans="1:3" outlineLevel="1" x14ac:dyDescent="0.3">
      <c r="B10899" t="s">
        <v>387</v>
      </c>
    </row>
    <row r="10900" spans="1:3" outlineLevel="1" x14ac:dyDescent="0.3">
      <c r="B10900" t="s">
        <v>389</v>
      </c>
    </row>
    <row r="10901" spans="1:3" outlineLevel="1" x14ac:dyDescent="0.3">
      <c r="B10901" t="s">
        <v>391</v>
      </c>
    </row>
    <row r="10902" spans="1:3" outlineLevel="1" x14ac:dyDescent="0.3">
      <c r="B10902" t="s">
        <v>393</v>
      </c>
    </row>
    <row r="10903" spans="1:3" x14ac:dyDescent="0.3">
      <c r="A10903" t="s">
        <v>395</v>
      </c>
    </row>
    <row r="10909" spans="1:3" x14ac:dyDescent="0.3">
      <c r="A10909" t="s">
        <v>68</v>
      </c>
    </row>
    <row r="10910" spans="1:3" outlineLevel="1" x14ac:dyDescent="0.3">
      <c r="B10910" t="s">
        <v>71</v>
      </c>
    </row>
    <row r="10911" spans="1:3" hidden="1" outlineLevel="2" x14ac:dyDescent="0.3">
      <c r="C10911" t="s">
        <v>2450</v>
      </c>
    </row>
    <row r="10912" spans="1:3" hidden="1" outlineLevel="2" x14ac:dyDescent="0.3">
      <c r="C10912" t="s">
        <v>2451</v>
      </c>
    </row>
    <row r="10913" spans="2:3" outlineLevel="1" collapsed="1" x14ac:dyDescent="0.3">
      <c r="B10913" t="s">
        <v>86</v>
      </c>
    </row>
    <row r="10914" spans="2:3" hidden="1" outlineLevel="2" x14ac:dyDescent="0.3">
      <c r="C10914" t="s">
        <v>2452</v>
      </c>
    </row>
    <row r="10915" spans="2:3" hidden="1" outlineLevel="2" x14ac:dyDescent="0.3">
      <c r="C10915" t="s">
        <v>2453</v>
      </c>
    </row>
    <row r="10916" spans="2:3" hidden="1" outlineLevel="2" x14ac:dyDescent="0.3">
      <c r="C10916" t="s">
        <v>2454</v>
      </c>
    </row>
    <row r="10917" spans="2:3" hidden="1" outlineLevel="2" x14ac:dyDescent="0.3">
      <c r="C10917" t="s">
        <v>2455</v>
      </c>
    </row>
    <row r="10918" spans="2:3" outlineLevel="1" collapsed="1" x14ac:dyDescent="0.3">
      <c r="B10918" t="s">
        <v>104</v>
      </c>
    </row>
    <row r="10919" spans="2:3" outlineLevel="1" x14ac:dyDescent="0.3">
      <c r="B10919" t="s">
        <v>107</v>
      </c>
    </row>
    <row r="10920" spans="2:3" outlineLevel="1" x14ac:dyDescent="0.3">
      <c r="B10920" t="s">
        <v>110</v>
      </c>
    </row>
    <row r="10921" spans="2:3" hidden="1" outlineLevel="2" x14ac:dyDescent="0.3">
      <c r="C10921" t="s">
        <v>2456</v>
      </c>
    </row>
    <row r="10922" spans="2:3" hidden="1" outlineLevel="2" x14ac:dyDescent="0.3">
      <c r="C10922" t="s">
        <v>2457</v>
      </c>
    </row>
    <row r="10923" spans="2:3" hidden="1" outlineLevel="2" x14ac:dyDescent="0.3">
      <c r="C10923" t="s">
        <v>2458</v>
      </c>
    </row>
    <row r="10924" spans="2:3" hidden="1" outlineLevel="2" x14ac:dyDescent="0.3">
      <c r="C10924" t="s">
        <v>2459</v>
      </c>
    </row>
    <row r="10925" spans="2:3" hidden="1" outlineLevel="2" x14ac:dyDescent="0.3">
      <c r="C10925" t="s">
        <v>2460</v>
      </c>
    </row>
    <row r="10926" spans="2:3" hidden="1" outlineLevel="2" x14ac:dyDescent="0.3">
      <c r="C10926" t="s">
        <v>2461</v>
      </c>
    </row>
    <row r="10927" spans="2:3" hidden="1" outlineLevel="2" x14ac:dyDescent="0.3">
      <c r="C10927" t="s">
        <v>2462</v>
      </c>
    </row>
    <row r="10928" spans="2:3" hidden="1" outlineLevel="2" x14ac:dyDescent="0.3">
      <c r="C10928" t="s">
        <v>2463</v>
      </c>
    </row>
    <row r="10929" spans="3:3" hidden="1" outlineLevel="2" x14ac:dyDescent="0.3">
      <c r="C10929" t="s">
        <v>2464</v>
      </c>
    </row>
    <row r="10930" spans="3:3" hidden="1" outlineLevel="2" x14ac:dyDescent="0.3">
      <c r="C10930" t="s">
        <v>2466</v>
      </c>
    </row>
    <row r="10931" spans="3:3" hidden="1" outlineLevel="2" x14ac:dyDescent="0.3">
      <c r="C10931" t="s">
        <v>2467</v>
      </c>
    </row>
    <row r="10932" spans="3:3" hidden="1" outlineLevel="2" x14ac:dyDescent="0.3">
      <c r="C10932" t="s">
        <v>2468</v>
      </c>
    </row>
    <row r="10933" spans="3:3" hidden="1" outlineLevel="2" x14ac:dyDescent="0.3">
      <c r="C10933" t="s">
        <v>2469</v>
      </c>
    </row>
    <row r="10934" spans="3:3" hidden="1" outlineLevel="2" x14ac:dyDescent="0.3">
      <c r="C10934" t="s">
        <v>2470</v>
      </c>
    </row>
    <row r="10935" spans="3:3" hidden="1" outlineLevel="2" x14ac:dyDescent="0.3">
      <c r="C10935" t="s">
        <v>2471</v>
      </c>
    </row>
    <row r="10936" spans="3:3" hidden="1" outlineLevel="2" x14ac:dyDescent="0.3">
      <c r="C10936" t="s">
        <v>2472</v>
      </c>
    </row>
    <row r="10937" spans="3:3" hidden="1" outlineLevel="2" x14ac:dyDescent="0.3">
      <c r="C10937" t="s">
        <v>2473</v>
      </c>
    </row>
    <row r="10938" spans="3:3" hidden="1" outlineLevel="2" x14ac:dyDescent="0.3">
      <c r="C10938" t="s">
        <v>2474</v>
      </c>
    </row>
    <row r="10939" spans="3:3" hidden="1" outlineLevel="2" x14ac:dyDescent="0.3">
      <c r="C10939" t="s">
        <v>2475</v>
      </c>
    </row>
    <row r="10940" spans="3:3" hidden="1" outlineLevel="2" x14ac:dyDescent="0.3">
      <c r="C10940" t="s">
        <v>2476</v>
      </c>
    </row>
    <row r="10941" spans="3:3" hidden="1" outlineLevel="2" x14ac:dyDescent="0.3">
      <c r="C10941" t="s">
        <v>2477</v>
      </c>
    </row>
    <row r="10942" spans="3:3" hidden="1" outlineLevel="2" x14ac:dyDescent="0.3">
      <c r="C10942" t="s">
        <v>2478</v>
      </c>
    </row>
    <row r="10943" spans="3:3" hidden="1" outlineLevel="2" x14ac:dyDescent="0.3">
      <c r="C10943" t="s">
        <v>2479</v>
      </c>
    </row>
    <row r="10944" spans="3:3" hidden="1" outlineLevel="2" x14ac:dyDescent="0.3">
      <c r="C10944" t="s">
        <v>2480</v>
      </c>
    </row>
    <row r="10945" spans="3:3" hidden="1" outlineLevel="2" x14ac:dyDescent="0.3">
      <c r="C10945" t="s">
        <v>2481</v>
      </c>
    </row>
    <row r="10946" spans="3:3" hidden="1" outlineLevel="2" x14ac:dyDescent="0.3">
      <c r="C10946" t="s">
        <v>2482</v>
      </c>
    </row>
    <row r="10947" spans="3:3" hidden="1" outlineLevel="2" x14ac:dyDescent="0.3">
      <c r="C10947" t="s">
        <v>4852</v>
      </c>
    </row>
    <row r="10948" spans="3:3" hidden="1" outlineLevel="2" x14ac:dyDescent="0.3">
      <c r="C10948" t="s">
        <v>4171</v>
      </c>
    </row>
    <row r="10949" spans="3:3" hidden="1" outlineLevel="2" x14ac:dyDescent="0.3">
      <c r="C10949" t="s">
        <v>4853</v>
      </c>
    </row>
    <row r="10950" spans="3:3" hidden="1" outlineLevel="2" x14ac:dyDescent="0.3">
      <c r="C10950" t="s">
        <v>2483</v>
      </c>
    </row>
    <row r="10951" spans="3:3" hidden="1" outlineLevel="2" x14ac:dyDescent="0.3">
      <c r="C10951" t="s">
        <v>2484</v>
      </c>
    </row>
    <row r="10952" spans="3:3" hidden="1" outlineLevel="2" x14ac:dyDescent="0.3">
      <c r="C10952" t="s">
        <v>2485</v>
      </c>
    </row>
    <row r="10953" spans="3:3" hidden="1" outlineLevel="2" x14ac:dyDescent="0.3">
      <c r="C10953" t="s">
        <v>2486</v>
      </c>
    </row>
    <row r="10954" spans="3:3" hidden="1" outlineLevel="2" x14ac:dyDescent="0.3">
      <c r="C10954" t="s">
        <v>2487</v>
      </c>
    </row>
    <row r="10955" spans="3:3" hidden="1" outlineLevel="2" x14ac:dyDescent="0.3">
      <c r="C10955" t="s">
        <v>2488</v>
      </c>
    </row>
    <row r="10956" spans="3:3" hidden="1" outlineLevel="2" x14ac:dyDescent="0.3">
      <c r="C10956" t="s">
        <v>4751</v>
      </c>
    </row>
    <row r="10957" spans="3:3" hidden="1" outlineLevel="2" x14ac:dyDescent="0.3">
      <c r="C10957" t="s">
        <v>2489</v>
      </c>
    </row>
    <row r="10958" spans="3:3" hidden="1" outlineLevel="2" x14ac:dyDescent="0.3">
      <c r="C10958" t="s">
        <v>2490</v>
      </c>
    </row>
    <row r="10959" spans="3:3" hidden="1" outlineLevel="2" x14ac:dyDescent="0.3">
      <c r="C10959" t="s">
        <v>2491</v>
      </c>
    </row>
    <row r="10960" spans="3:3" hidden="1" outlineLevel="2" x14ac:dyDescent="0.3">
      <c r="C10960" t="s">
        <v>2492</v>
      </c>
    </row>
    <row r="10961" spans="2:3" outlineLevel="1" collapsed="1" x14ac:dyDescent="0.3">
      <c r="B10961" t="s">
        <v>221</v>
      </c>
    </row>
    <row r="10962" spans="2:3" hidden="1" outlineLevel="2" x14ac:dyDescent="0.3">
      <c r="C10962" t="s">
        <v>2493</v>
      </c>
    </row>
    <row r="10963" spans="2:3" hidden="1" outlineLevel="2" x14ac:dyDescent="0.3">
      <c r="C10963" t="s">
        <v>2494</v>
      </c>
    </row>
    <row r="10964" spans="2:3" hidden="1" outlineLevel="2" x14ac:dyDescent="0.3">
      <c r="C10964" t="s">
        <v>2495</v>
      </c>
    </row>
    <row r="10965" spans="2:3" hidden="1" outlineLevel="2" x14ac:dyDescent="0.3">
      <c r="C10965" t="s">
        <v>2496</v>
      </c>
    </row>
    <row r="10966" spans="2:3" hidden="1" outlineLevel="2" x14ac:dyDescent="0.3">
      <c r="C10966" t="s">
        <v>2497</v>
      </c>
    </row>
    <row r="10967" spans="2:3" hidden="1" outlineLevel="2" x14ac:dyDescent="0.3">
      <c r="C10967" t="s">
        <v>2498</v>
      </c>
    </row>
    <row r="10968" spans="2:3" hidden="1" outlineLevel="2" x14ac:dyDescent="0.3">
      <c r="C10968" t="s">
        <v>2499</v>
      </c>
    </row>
    <row r="10969" spans="2:3" hidden="1" outlineLevel="2" x14ac:dyDescent="0.3">
      <c r="C10969" t="s">
        <v>2500</v>
      </c>
    </row>
    <row r="10970" spans="2:3" hidden="1" outlineLevel="2" x14ac:dyDescent="0.3">
      <c r="C10970" t="s">
        <v>2501</v>
      </c>
    </row>
    <row r="10971" spans="2:3" hidden="1" outlineLevel="2" x14ac:dyDescent="0.3">
      <c r="C10971" t="s">
        <v>2503</v>
      </c>
    </row>
    <row r="10972" spans="2:3" hidden="1" outlineLevel="2" x14ac:dyDescent="0.3">
      <c r="C10972" t="s">
        <v>2504</v>
      </c>
    </row>
    <row r="10973" spans="2:3" hidden="1" outlineLevel="2" x14ac:dyDescent="0.3">
      <c r="C10973" t="s">
        <v>2505</v>
      </c>
    </row>
    <row r="10974" spans="2:3" hidden="1" outlineLevel="2" x14ac:dyDescent="0.3">
      <c r="C10974" t="s">
        <v>2506</v>
      </c>
    </row>
    <row r="10975" spans="2:3" hidden="1" outlineLevel="2" x14ac:dyDescent="0.3">
      <c r="C10975" t="s">
        <v>2507</v>
      </c>
    </row>
    <row r="10976" spans="2:3" hidden="1" outlineLevel="2" x14ac:dyDescent="0.3">
      <c r="C10976" t="s">
        <v>2508</v>
      </c>
    </row>
    <row r="10977" spans="3:3" hidden="1" outlineLevel="2" x14ac:dyDescent="0.3">
      <c r="C10977" t="s">
        <v>2509</v>
      </c>
    </row>
    <row r="10978" spans="3:3" hidden="1" outlineLevel="2" x14ac:dyDescent="0.3">
      <c r="C10978" t="s">
        <v>2510</v>
      </c>
    </row>
    <row r="10979" spans="3:3" hidden="1" outlineLevel="2" x14ac:dyDescent="0.3">
      <c r="C10979" t="s">
        <v>2511</v>
      </c>
    </row>
    <row r="10980" spans="3:3" hidden="1" outlineLevel="2" x14ac:dyDescent="0.3">
      <c r="C10980" t="s">
        <v>2512</v>
      </c>
    </row>
    <row r="10981" spans="3:3" hidden="1" outlineLevel="2" x14ac:dyDescent="0.3">
      <c r="C10981" t="s">
        <v>2513</v>
      </c>
    </row>
    <row r="10982" spans="3:3" hidden="1" outlineLevel="2" x14ac:dyDescent="0.3">
      <c r="C10982" t="s">
        <v>2514</v>
      </c>
    </row>
    <row r="10983" spans="3:3" hidden="1" outlineLevel="2" x14ac:dyDescent="0.3">
      <c r="C10983" t="s">
        <v>4854</v>
      </c>
    </row>
    <row r="10984" spans="3:3" hidden="1" outlineLevel="2" x14ac:dyDescent="0.3">
      <c r="C10984" t="s">
        <v>4179</v>
      </c>
    </row>
    <row r="10985" spans="3:3" hidden="1" outlineLevel="2" x14ac:dyDescent="0.3">
      <c r="C10985" t="s">
        <v>4855</v>
      </c>
    </row>
    <row r="10986" spans="3:3" hidden="1" outlineLevel="2" x14ac:dyDescent="0.3">
      <c r="C10986" t="s">
        <v>2515</v>
      </c>
    </row>
    <row r="10987" spans="3:3" hidden="1" outlineLevel="2" x14ac:dyDescent="0.3">
      <c r="C10987" t="s">
        <v>2516</v>
      </c>
    </row>
    <row r="10988" spans="3:3" hidden="1" outlineLevel="2" x14ac:dyDescent="0.3">
      <c r="C10988" t="s">
        <v>2517</v>
      </c>
    </row>
    <row r="10989" spans="3:3" hidden="1" outlineLevel="2" x14ac:dyDescent="0.3">
      <c r="C10989" t="s">
        <v>2518</v>
      </c>
    </row>
    <row r="10990" spans="3:3" hidden="1" outlineLevel="2" x14ac:dyDescent="0.3">
      <c r="C10990" t="s">
        <v>2519</v>
      </c>
    </row>
    <row r="10991" spans="3:3" hidden="1" outlineLevel="2" x14ac:dyDescent="0.3">
      <c r="C10991" t="s">
        <v>2520</v>
      </c>
    </row>
    <row r="10992" spans="3:3" hidden="1" outlineLevel="2" x14ac:dyDescent="0.3">
      <c r="C10992" t="s">
        <v>4752</v>
      </c>
    </row>
    <row r="10993" spans="2:3" hidden="1" outlineLevel="2" x14ac:dyDescent="0.3">
      <c r="C10993" t="s">
        <v>2521</v>
      </c>
    </row>
    <row r="10994" spans="2:3" hidden="1" outlineLevel="2" x14ac:dyDescent="0.3">
      <c r="C10994" t="s">
        <v>2522</v>
      </c>
    </row>
    <row r="10995" spans="2:3" hidden="1" outlineLevel="2" x14ac:dyDescent="0.3">
      <c r="C10995" t="s">
        <v>2523</v>
      </c>
    </row>
    <row r="10996" spans="2:3" hidden="1" outlineLevel="2" x14ac:dyDescent="0.3">
      <c r="C10996" t="s">
        <v>2524</v>
      </c>
    </row>
    <row r="10997" spans="2:3" outlineLevel="1" collapsed="1" x14ac:dyDescent="0.3">
      <c r="B10997" t="s">
        <v>311</v>
      </c>
    </row>
    <row r="10998" spans="2:3" hidden="1" outlineLevel="2" x14ac:dyDescent="0.3">
      <c r="C10998" t="s">
        <v>314</v>
      </c>
    </row>
    <row r="10999" spans="2:3" hidden="1" outlineLevel="2" x14ac:dyDescent="0.3">
      <c r="C10999" t="s">
        <v>317</v>
      </c>
    </row>
    <row r="11000" spans="2:3" hidden="1" outlineLevel="2" x14ac:dyDescent="0.3">
      <c r="C11000" t="s">
        <v>320</v>
      </c>
    </row>
    <row r="11001" spans="2:3" hidden="1" outlineLevel="2" x14ac:dyDescent="0.3">
      <c r="C11001" t="s">
        <v>323</v>
      </c>
    </row>
    <row r="11002" spans="2:3" outlineLevel="1" collapsed="1" x14ac:dyDescent="0.3">
      <c r="B11002" t="s">
        <v>326</v>
      </c>
    </row>
    <row r="11003" spans="2:3" outlineLevel="1" x14ac:dyDescent="0.3">
      <c r="B11003" t="s">
        <v>329</v>
      </c>
    </row>
    <row r="11004" spans="2:3" outlineLevel="1" x14ac:dyDescent="0.3">
      <c r="B11004" t="s">
        <v>332</v>
      </c>
    </row>
    <row r="11005" spans="2:3" outlineLevel="1" x14ac:dyDescent="0.3">
      <c r="B11005" t="s">
        <v>335</v>
      </c>
    </row>
    <row r="11006" spans="2:3" outlineLevel="1" x14ac:dyDescent="0.3">
      <c r="B11006" t="s">
        <v>338</v>
      </c>
    </row>
    <row r="11007" spans="2:3" outlineLevel="1" x14ac:dyDescent="0.3">
      <c r="B11007" t="s">
        <v>341</v>
      </c>
    </row>
    <row r="11008" spans="2:3" outlineLevel="1" x14ac:dyDescent="0.3">
      <c r="B11008" t="s">
        <v>344</v>
      </c>
    </row>
    <row r="11009" spans="1:3" outlineLevel="1" x14ac:dyDescent="0.3">
      <c r="B11009" t="s">
        <v>347</v>
      </c>
    </row>
    <row r="11010" spans="1:3" x14ac:dyDescent="0.3">
      <c r="A11010" t="s">
        <v>350</v>
      </c>
    </row>
    <row r="11011" spans="1:3" outlineLevel="1" x14ac:dyDescent="0.3">
      <c r="B11011" t="s">
        <v>353</v>
      </c>
    </row>
    <row r="11012" spans="1:3" hidden="1" outlineLevel="2" x14ac:dyDescent="0.3">
      <c r="C11012" t="s">
        <v>2525</v>
      </c>
    </row>
    <row r="11013" spans="1:3" hidden="1" outlineLevel="2" x14ac:dyDescent="0.3">
      <c r="C11013" t="s">
        <v>2526</v>
      </c>
    </row>
    <row r="11014" spans="1:3" hidden="1" outlineLevel="2" x14ac:dyDescent="0.3">
      <c r="C11014" t="s">
        <v>2527</v>
      </c>
    </row>
    <row r="11015" spans="1:3" hidden="1" outlineLevel="2" x14ac:dyDescent="0.3">
      <c r="C11015" t="s">
        <v>2528</v>
      </c>
    </row>
    <row r="11016" spans="1:3" hidden="1" outlineLevel="2" x14ac:dyDescent="0.3">
      <c r="C11016" t="s">
        <v>2529</v>
      </c>
    </row>
    <row r="11017" spans="1:3" hidden="1" outlineLevel="2" x14ac:dyDescent="0.3">
      <c r="C11017" t="s">
        <v>2530</v>
      </c>
    </row>
    <row r="11018" spans="1:3" hidden="1" outlineLevel="2" x14ac:dyDescent="0.3">
      <c r="C11018" t="s">
        <v>2531</v>
      </c>
    </row>
    <row r="11019" spans="1:3" hidden="1" outlineLevel="2" x14ac:dyDescent="0.3">
      <c r="C11019" t="s">
        <v>2532</v>
      </c>
    </row>
    <row r="11020" spans="1:3" hidden="1" outlineLevel="2" x14ac:dyDescent="0.3">
      <c r="C11020" t="s">
        <v>4856</v>
      </c>
    </row>
    <row r="11021" spans="1:3" hidden="1" outlineLevel="2" x14ac:dyDescent="0.3">
      <c r="C11021" t="s">
        <v>4857</v>
      </c>
    </row>
    <row r="11022" spans="1:3" hidden="1" outlineLevel="2" x14ac:dyDescent="0.3">
      <c r="C11022" t="s">
        <v>4858</v>
      </c>
    </row>
    <row r="11023" spans="1:3" hidden="1" outlineLevel="2" x14ac:dyDescent="0.3">
      <c r="C11023" t="s">
        <v>4859</v>
      </c>
    </row>
    <row r="11024" spans="1:3" hidden="1" outlineLevel="2" x14ac:dyDescent="0.3">
      <c r="C11024" t="s">
        <v>4860</v>
      </c>
    </row>
    <row r="11025" spans="2:3" hidden="1" outlineLevel="2" x14ac:dyDescent="0.3">
      <c r="C11025" t="s">
        <v>2533</v>
      </c>
    </row>
    <row r="11026" spans="2:3" hidden="1" outlineLevel="2" x14ac:dyDescent="0.3">
      <c r="C11026" t="s">
        <v>2534</v>
      </c>
    </row>
    <row r="11027" spans="2:3" hidden="1" outlineLevel="2" x14ac:dyDescent="0.3">
      <c r="C11027" t="s">
        <v>2535</v>
      </c>
    </row>
    <row r="11028" spans="2:3" hidden="1" outlineLevel="2" x14ac:dyDescent="0.3">
      <c r="C11028" t="s">
        <v>2536</v>
      </c>
    </row>
    <row r="11029" spans="2:3" hidden="1" outlineLevel="2" x14ac:dyDescent="0.3">
      <c r="C11029" t="s">
        <v>2537</v>
      </c>
    </row>
    <row r="11030" spans="2:3" hidden="1" outlineLevel="2" x14ac:dyDescent="0.3">
      <c r="C11030" t="s">
        <v>2538</v>
      </c>
    </row>
    <row r="11031" spans="2:3" hidden="1" outlineLevel="2" x14ac:dyDescent="0.3">
      <c r="C11031" t="s">
        <v>2539</v>
      </c>
    </row>
    <row r="11032" spans="2:3" hidden="1" outlineLevel="2" x14ac:dyDescent="0.3">
      <c r="C11032" t="s">
        <v>2541</v>
      </c>
    </row>
    <row r="11033" spans="2:3" hidden="1" outlineLevel="2" x14ac:dyDescent="0.3">
      <c r="C11033" t="s">
        <v>2542</v>
      </c>
    </row>
    <row r="11034" spans="2:3" hidden="1" outlineLevel="2" x14ac:dyDescent="0.3">
      <c r="C11034" t="s">
        <v>2543</v>
      </c>
    </row>
    <row r="11035" spans="2:3" hidden="1" outlineLevel="2" x14ac:dyDescent="0.3">
      <c r="C11035" t="s">
        <v>2544</v>
      </c>
    </row>
    <row r="11036" spans="2:3" hidden="1" outlineLevel="2" x14ac:dyDescent="0.3">
      <c r="C11036" t="s">
        <v>2545</v>
      </c>
    </row>
    <row r="11037" spans="2:3" hidden="1" outlineLevel="2" x14ac:dyDescent="0.3">
      <c r="C11037" t="s">
        <v>2546</v>
      </c>
    </row>
    <row r="11038" spans="2:3" hidden="1" outlineLevel="2" x14ac:dyDescent="0.3">
      <c r="C11038" t="s">
        <v>406</v>
      </c>
    </row>
    <row r="11039" spans="2:3" outlineLevel="1" collapsed="1" x14ac:dyDescent="0.3">
      <c r="B11039" t="s">
        <v>407</v>
      </c>
    </row>
    <row r="11040" spans="2:3" hidden="1" outlineLevel="2" x14ac:dyDescent="0.3">
      <c r="C11040" t="s">
        <v>2547</v>
      </c>
    </row>
    <row r="11041" spans="3:3" hidden="1" outlineLevel="2" x14ac:dyDescent="0.3">
      <c r="C11041" t="s">
        <v>2548</v>
      </c>
    </row>
    <row r="11042" spans="3:3" hidden="1" outlineLevel="2" x14ac:dyDescent="0.3">
      <c r="C11042" t="s">
        <v>2549</v>
      </c>
    </row>
    <row r="11043" spans="3:3" hidden="1" outlineLevel="2" x14ac:dyDescent="0.3">
      <c r="C11043" t="s">
        <v>2550</v>
      </c>
    </row>
    <row r="11044" spans="3:3" hidden="1" outlineLevel="2" x14ac:dyDescent="0.3">
      <c r="C11044" t="s">
        <v>2551</v>
      </c>
    </row>
    <row r="11045" spans="3:3" hidden="1" outlineLevel="2" x14ac:dyDescent="0.3">
      <c r="C11045" t="s">
        <v>2552</v>
      </c>
    </row>
    <row r="11046" spans="3:3" hidden="1" outlineLevel="2" x14ac:dyDescent="0.3">
      <c r="C11046" t="s">
        <v>2553</v>
      </c>
    </row>
    <row r="11047" spans="3:3" hidden="1" outlineLevel="2" x14ac:dyDescent="0.3">
      <c r="C11047" t="s">
        <v>2554</v>
      </c>
    </row>
    <row r="11048" spans="3:3" hidden="1" outlineLevel="2" x14ac:dyDescent="0.3">
      <c r="C11048" t="s">
        <v>4861</v>
      </c>
    </row>
    <row r="11049" spans="3:3" hidden="1" outlineLevel="2" x14ac:dyDescent="0.3">
      <c r="C11049" t="s">
        <v>4862</v>
      </c>
    </row>
    <row r="11050" spans="3:3" hidden="1" outlineLevel="2" x14ac:dyDescent="0.3">
      <c r="C11050" t="s">
        <v>4863</v>
      </c>
    </row>
    <row r="11051" spans="3:3" hidden="1" outlineLevel="2" x14ac:dyDescent="0.3">
      <c r="C11051" t="s">
        <v>4864</v>
      </c>
    </row>
    <row r="11052" spans="3:3" hidden="1" outlineLevel="2" x14ac:dyDescent="0.3">
      <c r="C11052" t="s">
        <v>4865</v>
      </c>
    </row>
    <row r="11053" spans="3:3" hidden="1" outlineLevel="2" x14ac:dyDescent="0.3">
      <c r="C11053" t="s">
        <v>4866</v>
      </c>
    </row>
    <row r="11054" spans="3:3" hidden="1" outlineLevel="2" x14ac:dyDescent="0.3">
      <c r="C11054" t="s">
        <v>2555</v>
      </c>
    </row>
    <row r="11055" spans="3:3" hidden="1" outlineLevel="2" x14ac:dyDescent="0.3">
      <c r="C11055" t="s">
        <v>2556</v>
      </c>
    </row>
    <row r="11056" spans="3:3" hidden="1" outlineLevel="2" x14ac:dyDescent="0.3">
      <c r="C11056" t="s">
        <v>2557</v>
      </c>
    </row>
    <row r="11057" spans="2:3" hidden="1" outlineLevel="2" x14ac:dyDescent="0.3">
      <c r="C11057" t="s">
        <v>2558</v>
      </c>
    </row>
    <row r="11058" spans="2:3" hidden="1" outlineLevel="2" x14ac:dyDescent="0.3">
      <c r="C11058" t="s">
        <v>2559</v>
      </c>
    </row>
    <row r="11059" spans="2:3" hidden="1" outlineLevel="2" x14ac:dyDescent="0.3">
      <c r="C11059" t="s">
        <v>2560</v>
      </c>
    </row>
    <row r="11060" spans="2:3" hidden="1" outlineLevel="2" x14ac:dyDescent="0.3">
      <c r="C11060" t="s">
        <v>2561</v>
      </c>
    </row>
    <row r="11061" spans="2:3" hidden="1" outlineLevel="2" x14ac:dyDescent="0.3">
      <c r="C11061" t="s">
        <v>2563</v>
      </c>
    </row>
    <row r="11062" spans="2:3" hidden="1" outlineLevel="2" x14ac:dyDescent="0.3">
      <c r="C11062" t="s">
        <v>2564</v>
      </c>
    </row>
    <row r="11063" spans="2:3" hidden="1" outlineLevel="2" x14ac:dyDescent="0.3">
      <c r="C11063" t="s">
        <v>2565</v>
      </c>
    </row>
    <row r="11064" spans="2:3" hidden="1" outlineLevel="2" x14ac:dyDescent="0.3">
      <c r="C11064" t="s">
        <v>2566</v>
      </c>
    </row>
    <row r="11065" spans="2:3" hidden="1" outlineLevel="2" x14ac:dyDescent="0.3">
      <c r="C11065" t="s">
        <v>2567</v>
      </c>
    </row>
    <row r="11066" spans="2:3" hidden="1" outlineLevel="2" x14ac:dyDescent="0.3">
      <c r="C11066" t="s">
        <v>2568</v>
      </c>
    </row>
    <row r="11067" spans="2:3" hidden="1" outlineLevel="2" x14ac:dyDescent="0.3">
      <c r="C11067" t="s">
        <v>435</v>
      </c>
    </row>
    <row r="11068" spans="2:3" outlineLevel="1" collapsed="1" x14ac:dyDescent="0.3">
      <c r="B11068" t="s">
        <v>436</v>
      </c>
    </row>
    <row r="11069" spans="2:3" outlineLevel="1" x14ac:dyDescent="0.3">
      <c r="B11069" t="s">
        <v>437</v>
      </c>
    </row>
    <row r="11070" spans="2:3" outlineLevel="1" x14ac:dyDescent="0.3">
      <c r="B11070" t="s">
        <v>438</v>
      </c>
    </row>
    <row r="11071" spans="2:3" outlineLevel="1" x14ac:dyDescent="0.3">
      <c r="B11071" t="s">
        <v>439</v>
      </c>
    </row>
    <row r="11072" spans="2:3" outlineLevel="1" x14ac:dyDescent="0.3">
      <c r="B11072" t="s">
        <v>440</v>
      </c>
    </row>
    <row r="11073" spans="1:3" outlineLevel="1" x14ac:dyDescent="0.3">
      <c r="B11073" t="s">
        <v>441</v>
      </c>
    </row>
    <row r="11074" spans="1:3" x14ac:dyDescent="0.3">
      <c r="A11074" t="s">
        <v>442</v>
      </c>
    </row>
    <row r="11075" spans="1:3" outlineLevel="1" x14ac:dyDescent="0.3">
      <c r="B11075" t="s">
        <v>443</v>
      </c>
    </row>
    <row r="11076" spans="1:3" hidden="1" outlineLevel="2" x14ac:dyDescent="0.3">
      <c r="C11076" t="s">
        <v>2569</v>
      </c>
    </row>
    <row r="11077" spans="1:3" hidden="1" outlineLevel="2" x14ac:dyDescent="0.3">
      <c r="C11077" t="s">
        <v>2570</v>
      </c>
    </row>
    <row r="11078" spans="1:3" hidden="1" outlineLevel="2" x14ac:dyDescent="0.3">
      <c r="C11078" t="s">
        <v>4867</v>
      </c>
    </row>
    <row r="11079" spans="1:3" hidden="1" outlineLevel="2" x14ac:dyDescent="0.3">
      <c r="C11079" t="s">
        <v>2572</v>
      </c>
    </row>
    <row r="11080" spans="1:3" hidden="1" outlineLevel="2" x14ac:dyDescent="0.3">
      <c r="C11080" t="s">
        <v>2574</v>
      </c>
    </row>
    <row r="11081" spans="1:3" hidden="1" outlineLevel="2" x14ac:dyDescent="0.3">
      <c r="C11081" t="s">
        <v>2575</v>
      </c>
    </row>
    <row r="11082" spans="1:3" hidden="1" outlineLevel="2" x14ac:dyDescent="0.3">
      <c r="C11082" t="s">
        <v>2577</v>
      </c>
    </row>
    <row r="11083" spans="1:3" hidden="1" outlineLevel="2" x14ac:dyDescent="0.3">
      <c r="C11083" t="s">
        <v>2578</v>
      </c>
    </row>
    <row r="11084" spans="1:3" hidden="1" outlineLevel="2" x14ac:dyDescent="0.3">
      <c r="C11084" t="s">
        <v>2579</v>
      </c>
    </row>
    <row r="11085" spans="1:3" hidden="1" outlineLevel="2" x14ac:dyDescent="0.3">
      <c r="C11085" t="s">
        <v>2580</v>
      </c>
    </row>
    <row r="11086" spans="1:3" hidden="1" outlineLevel="2" x14ac:dyDescent="0.3">
      <c r="C11086" t="s">
        <v>2581</v>
      </c>
    </row>
    <row r="11087" spans="1:3" hidden="1" outlineLevel="2" x14ac:dyDescent="0.3">
      <c r="C11087" t="s">
        <v>2582</v>
      </c>
    </row>
    <row r="11088" spans="1:3" hidden="1" outlineLevel="2" x14ac:dyDescent="0.3">
      <c r="C11088" t="s">
        <v>2583</v>
      </c>
    </row>
    <row r="11089" spans="2:3" hidden="1" outlineLevel="2" x14ac:dyDescent="0.3">
      <c r="C11089" t="s">
        <v>2584</v>
      </c>
    </row>
    <row r="11090" spans="2:3" hidden="1" outlineLevel="2" x14ac:dyDescent="0.3">
      <c r="C11090" t="s">
        <v>2586</v>
      </c>
    </row>
    <row r="11091" spans="2:3" hidden="1" outlineLevel="2" x14ac:dyDescent="0.3">
      <c r="C11091" t="s">
        <v>2587</v>
      </c>
    </row>
    <row r="11092" spans="2:3" hidden="1" outlineLevel="2" x14ac:dyDescent="0.3">
      <c r="C11092" t="s">
        <v>2588</v>
      </c>
    </row>
    <row r="11093" spans="2:3" hidden="1" outlineLevel="2" x14ac:dyDescent="0.3">
      <c r="C11093" t="s">
        <v>2589</v>
      </c>
    </row>
    <row r="11094" spans="2:3" hidden="1" outlineLevel="2" x14ac:dyDescent="0.3">
      <c r="C11094" t="s">
        <v>2590</v>
      </c>
    </row>
    <row r="11095" spans="2:3" hidden="1" outlineLevel="2" x14ac:dyDescent="0.3">
      <c r="C11095" t="s">
        <v>2591</v>
      </c>
    </row>
    <row r="11096" spans="2:3" hidden="1" outlineLevel="2" x14ac:dyDescent="0.3">
      <c r="C11096" t="s">
        <v>474</v>
      </c>
    </row>
    <row r="11097" spans="2:3" outlineLevel="1" collapsed="1" x14ac:dyDescent="0.3">
      <c r="B11097" t="s">
        <v>475</v>
      </c>
    </row>
    <row r="11098" spans="2:3" hidden="1" outlineLevel="2" x14ac:dyDescent="0.3">
      <c r="C11098" t="s">
        <v>2592</v>
      </c>
    </row>
    <row r="11099" spans="2:3" hidden="1" outlineLevel="2" x14ac:dyDescent="0.3">
      <c r="C11099" t="s">
        <v>2593</v>
      </c>
    </row>
    <row r="11100" spans="2:3" hidden="1" outlineLevel="2" x14ac:dyDescent="0.3">
      <c r="C11100" t="s">
        <v>4868</v>
      </c>
    </row>
    <row r="11101" spans="2:3" hidden="1" outlineLevel="2" x14ac:dyDescent="0.3">
      <c r="C11101" t="s">
        <v>2595</v>
      </c>
    </row>
    <row r="11102" spans="2:3" hidden="1" outlineLevel="2" x14ac:dyDescent="0.3">
      <c r="C11102" t="s">
        <v>2597</v>
      </c>
    </row>
    <row r="11103" spans="2:3" hidden="1" outlineLevel="2" x14ac:dyDescent="0.3">
      <c r="C11103" t="s">
        <v>2598</v>
      </c>
    </row>
    <row r="11104" spans="2:3" hidden="1" outlineLevel="2" x14ac:dyDescent="0.3">
      <c r="C11104" t="s">
        <v>2600</v>
      </c>
    </row>
    <row r="11105" spans="2:3" hidden="1" outlineLevel="2" x14ac:dyDescent="0.3">
      <c r="C11105" t="s">
        <v>2601</v>
      </c>
    </row>
    <row r="11106" spans="2:3" hidden="1" outlineLevel="2" x14ac:dyDescent="0.3">
      <c r="C11106" t="s">
        <v>2602</v>
      </c>
    </row>
    <row r="11107" spans="2:3" hidden="1" outlineLevel="2" x14ac:dyDescent="0.3">
      <c r="C11107" t="s">
        <v>2603</v>
      </c>
    </row>
    <row r="11108" spans="2:3" hidden="1" outlineLevel="2" x14ac:dyDescent="0.3">
      <c r="C11108" t="s">
        <v>2604</v>
      </c>
    </row>
    <row r="11109" spans="2:3" hidden="1" outlineLevel="2" x14ac:dyDescent="0.3">
      <c r="C11109" t="s">
        <v>2605</v>
      </c>
    </row>
    <row r="11110" spans="2:3" hidden="1" outlineLevel="2" x14ac:dyDescent="0.3">
      <c r="C11110" t="s">
        <v>2606</v>
      </c>
    </row>
    <row r="11111" spans="2:3" hidden="1" outlineLevel="2" x14ac:dyDescent="0.3">
      <c r="C11111" t="s">
        <v>2608</v>
      </c>
    </row>
    <row r="11112" spans="2:3" hidden="1" outlineLevel="2" x14ac:dyDescent="0.3">
      <c r="C11112" t="s">
        <v>2609</v>
      </c>
    </row>
    <row r="11113" spans="2:3" hidden="1" outlineLevel="2" x14ac:dyDescent="0.3">
      <c r="C11113" t="s">
        <v>2610</v>
      </c>
    </row>
    <row r="11114" spans="2:3" hidden="1" outlineLevel="2" x14ac:dyDescent="0.3">
      <c r="C11114" t="s">
        <v>2611</v>
      </c>
    </row>
    <row r="11115" spans="2:3" hidden="1" outlineLevel="2" x14ac:dyDescent="0.3">
      <c r="C11115" t="s">
        <v>2612</v>
      </c>
    </row>
    <row r="11116" spans="2:3" hidden="1" outlineLevel="2" x14ac:dyDescent="0.3">
      <c r="C11116" t="s">
        <v>2613</v>
      </c>
    </row>
    <row r="11117" spans="2:3" hidden="1" outlineLevel="2" x14ac:dyDescent="0.3">
      <c r="C11117" t="s">
        <v>2614</v>
      </c>
    </row>
    <row r="11118" spans="2:3" hidden="1" outlineLevel="2" x14ac:dyDescent="0.3">
      <c r="C11118" t="s">
        <v>2615</v>
      </c>
    </row>
    <row r="11119" spans="2:3" hidden="1" outlineLevel="2" x14ac:dyDescent="0.3">
      <c r="C11119" t="s">
        <v>506</v>
      </c>
    </row>
    <row r="11120" spans="2:3" outlineLevel="1" collapsed="1" x14ac:dyDescent="0.3">
      <c r="B11120" t="s">
        <v>507</v>
      </c>
    </row>
    <row r="11121" spans="1:2" outlineLevel="1" x14ac:dyDescent="0.3">
      <c r="B11121" t="s">
        <v>508</v>
      </c>
    </row>
    <row r="11122" spans="1:2" outlineLevel="1" x14ac:dyDescent="0.3">
      <c r="B11122" t="s">
        <v>509</v>
      </c>
    </row>
    <row r="11123" spans="1:2" outlineLevel="1" x14ac:dyDescent="0.3">
      <c r="B11123" t="s">
        <v>510</v>
      </c>
    </row>
    <row r="11124" spans="1:2" outlineLevel="1" x14ac:dyDescent="0.3">
      <c r="B11124" t="s">
        <v>511</v>
      </c>
    </row>
    <row r="11125" spans="1:2" outlineLevel="1" x14ac:dyDescent="0.3">
      <c r="B11125" t="s">
        <v>512</v>
      </c>
    </row>
    <row r="11126" spans="1:2" x14ac:dyDescent="0.3">
      <c r="A11126" t="s">
        <v>513</v>
      </c>
    </row>
    <row r="11127" spans="1:2" x14ac:dyDescent="0.3">
      <c r="A11127" t="s">
        <v>514</v>
      </c>
    </row>
    <row r="11128" spans="1:2" x14ac:dyDescent="0.3">
      <c r="A11128" t="s">
        <v>515</v>
      </c>
    </row>
    <row r="11129" spans="1:2" x14ac:dyDescent="0.3">
      <c r="A11129" t="s">
        <v>516</v>
      </c>
    </row>
    <row r="11130" spans="1:2" x14ac:dyDescent="0.3">
      <c r="A11130" t="s">
        <v>517</v>
      </c>
    </row>
    <row r="11131" spans="1:2" x14ac:dyDescent="0.3">
      <c r="A11131" t="s">
        <v>518</v>
      </c>
    </row>
    <row r="11137" spans="1:4" x14ac:dyDescent="0.3">
      <c r="A11137" t="s">
        <v>524</v>
      </c>
    </row>
    <row r="11138" spans="1:4" outlineLevel="1" x14ac:dyDescent="0.3">
      <c r="B11138" t="s">
        <v>525</v>
      </c>
    </row>
    <row r="11139" spans="1:4" outlineLevel="1" x14ac:dyDescent="0.3">
      <c r="B11139" t="s">
        <v>2616</v>
      </c>
    </row>
    <row r="11140" spans="1:4" hidden="1" outlineLevel="2" x14ac:dyDescent="0.3">
      <c r="C11140" t="s">
        <v>2617</v>
      </c>
    </row>
    <row r="11141" spans="1:4" hidden="1" outlineLevel="3" x14ac:dyDescent="0.3">
      <c r="D11141" t="s">
        <v>4206</v>
      </c>
    </row>
    <row r="11142" spans="1:4" hidden="1" outlineLevel="3" x14ac:dyDescent="0.3">
      <c r="D11142" t="s">
        <v>3705</v>
      </c>
    </row>
    <row r="11143" spans="1:4" hidden="1" outlineLevel="3" x14ac:dyDescent="0.3">
      <c r="D11143" t="s">
        <v>3706</v>
      </c>
    </row>
    <row r="11144" spans="1:4" hidden="1" outlineLevel="3" x14ac:dyDescent="0.3">
      <c r="D11144" t="s">
        <v>4869</v>
      </c>
    </row>
    <row r="11145" spans="1:4" hidden="1" outlineLevel="3" x14ac:dyDescent="0.3">
      <c r="D11145" t="s">
        <v>3708</v>
      </c>
    </row>
    <row r="11146" spans="1:4" hidden="1" outlineLevel="3" x14ac:dyDescent="0.3">
      <c r="D11146" t="s">
        <v>4213</v>
      </c>
    </row>
    <row r="11147" spans="1:4" hidden="1" outlineLevel="2" x14ac:dyDescent="0.3">
      <c r="C11147" t="s">
        <v>4214</v>
      </c>
    </row>
    <row r="11148" spans="1:4" hidden="1" outlineLevel="2" x14ac:dyDescent="0.3">
      <c r="C11148" t="s">
        <v>2627</v>
      </c>
    </row>
    <row r="11149" spans="1:4" outlineLevel="1" collapsed="1" x14ac:dyDescent="0.3">
      <c r="B11149" t="s">
        <v>2628</v>
      </c>
    </row>
    <row r="11150" spans="1:4" outlineLevel="1" x14ac:dyDescent="0.3">
      <c r="B11150" t="s">
        <v>2629</v>
      </c>
    </row>
    <row r="11151" spans="1:4" outlineLevel="1" x14ac:dyDescent="0.3">
      <c r="B11151" t="s">
        <v>2630</v>
      </c>
    </row>
    <row r="11152" spans="1:4" outlineLevel="1" x14ac:dyDescent="0.3">
      <c r="B11152" t="s">
        <v>2631</v>
      </c>
    </row>
    <row r="11153" spans="2:3" hidden="1" outlineLevel="2" x14ac:dyDescent="0.3">
      <c r="C11153" t="s">
        <v>2632</v>
      </c>
    </row>
    <row r="11154" spans="2:3" hidden="1" outlineLevel="2" x14ac:dyDescent="0.3">
      <c r="C11154" t="s">
        <v>2633</v>
      </c>
    </row>
    <row r="11155" spans="2:3" hidden="1" outlineLevel="2" x14ac:dyDescent="0.3">
      <c r="C11155" t="s">
        <v>2634</v>
      </c>
    </row>
    <row r="11156" spans="2:3" hidden="1" outlineLevel="2" x14ac:dyDescent="0.3">
      <c r="C11156" t="s">
        <v>2635</v>
      </c>
    </row>
    <row r="11157" spans="2:3" hidden="1" outlineLevel="2" x14ac:dyDescent="0.3">
      <c r="C11157" t="s">
        <v>2636</v>
      </c>
    </row>
    <row r="11158" spans="2:3" hidden="1" outlineLevel="2" x14ac:dyDescent="0.3">
      <c r="C11158" t="s">
        <v>2637</v>
      </c>
    </row>
    <row r="11159" spans="2:3" hidden="1" outlineLevel="2" x14ac:dyDescent="0.3">
      <c r="C11159" t="s">
        <v>2638</v>
      </c>
    </row>
    <row r="11160" spans="2:3" outlineLevel="1" collapsed="1" x14ac:dyDescent="0.3">
      <c r="B11160" t="s">
        <v>2639</v>
      </c>
    </row>
    <row r="11161" spans="2:3" hidden="1" outlineLevel="2" x14ac:dyDescent="0.3">
      <c r="C11161" t="s">
        <v>2640</v>
      </c>
    </row>
    <row r="11162" spans="2:3" hidden="1" outlineLevel="2" x14ac:dyDescent="0.3">
      <c r="C11162" t="s">
        <v>2641</v>
      </c>
    </row>
    <row r="11163" spans="2:3" hidden="1" outlineLevel="2" x14ac:dyDescent="0.3">
      <c r="C11163" t="s">
        <v>2642</v>
      </c>
    </row>
    <row r="11164" spans="2:3" hidden="1" outlineLevel="2" x14ac:dyDescent="0.3">
      <c r="C11164" t="s">
        <v>2643</v>
      </c>
    </row>
    <row r="11165" spans="2:3" hidden="1" outlineLevel="2" x14ac:dyDescent="0.3">
      <c r="C11165" t="s">
        <v>2644</v>
      </c>
    </row>
    <row r="11166" spans="2:3" outlineLevel="1" collapsed="1" x14ac:dyDescent="0.3">
      <c r="B11166" t="s">
        <v>2645</v>
      </c>
    </row>
    <row r="11167" spans="2:3" hidden="1" outlineLevel="2" x14ac:dyDescent="0.3">
      <c r="C11167" t="s">
        <v>2646</v>
      </c>
    </row>
    <row r="11168" spans="2:3" hidden="1" outlineLevel="2" x14ac:dyDescent="0.3">
      <c r="C11168" t="s">
        <v>2647</v>
      </c>
    </row>
    <row r="11169" spans="2:3" hidden="1" outlineLevel="2" x14ac:dyDescent="0.3">
      <c r="C11169" t="s">
        <v>2648</v>
      </c>
    </row>
    <row r="11170" spans="2:3" hidden="1" outlineLevel="2" x14ac:dyDescent="0.3">
      <c r="C11170" t="s">
        <v>2649</v>
      </c>
    </row>
    <row r="11171" spans="2:3" hidden="1" outlineLevel="2" x14ac:dyDescent="0.3">
      <c r="C11171" t="s">
        <v>2650</v>
      </c>
    </row>
    <row r="11172" spans="2:3" outlineLevel="1" collapsed="1" x14ac:dyDescent="0.3">
      <c r="B11172" t="s">
        <v>2651</v>
      </c>
    </row>
    <row r="11173" spans="2:3" hidden="1" outlineLevel="2" x14ac:dyDescent="0.3">
      <c r="C11173" t="s">
        <v>2652</v>
      </c>
    </row>
    <row r="11174" spans="2:3" hidden="1" outlineLevel="2" x14ac:dyDescent="0.3">
      <c r="C11174" t="s">
        <v>2653</v>
      </c>
    </row>
    <row r="11175" spans="2:3" hidden="1" outlineLevel="2" x14ac:dyDescent="0.3">
      <c r="C11175" t="s">
        <v>2654</v>
      </c>
    </row>
    <row r="11176" spans="2:3" hidden="1" outlineLevel="2" x14ac:dyDescent="0.3">
      <c r="C11176" t="s">
        <v>2656</v>
      </c>
    </row>
    <row r="11177" spans="2:3" hidden="1" outlineLevel="2" x14ac:dyDescent="0.3">
      <c r="C11177" t="s">
        <v>2657</v>
      </c>
    </row>
    <row r="11178" spans="2:3" hidden="1" outlineLevel="2" x14ac:dyDescent="0.3">
      <c r="C11178" t="s">
        <v>2658</v>
      </c>
    </row>
    <row r="11179" spans="2:3" hidden="1" outlineLevel="2" x14ac:dyDescent="0.3">
      <c r="C11179" t="s">
        <v>4238</v>
      </c>
    </row>
    <row r="11180" spans="2:3" hidden="1" outlineLevel="2" x14ac:dyDescent="0.3">
      <c r="C11180" t="s">
        <v>2659</v>
      </c>
    </row>
    <row r="11181" spans="2:3" outlineLevel="1" collapsed="1" x14ac:dyDescent="0.3">
      <c r="B11181" t="s">
        <v>2660</v>
      </c>
    </row>
    <row r="11182" spans="2:3" outlineLevel="1" x14ac:dyDescent="0.3">
      <c r="B11182" t="s">
        <v>2661</v>
      </c>
    </row>
    <row r="11183" spans="2:3" hidden="1" outlineLevel="2" x14ac:dyDescent="0.3">
      <c r="C11183" t="s">
        <v>2662</v>
      </c>
    </row>
    <row r="11184" spans="2:3" hidden="1" outlineLevel="2" x14ac:dyDescent="0.3">
      <c r="C11184" t="s">
        <v>2663</v>
      </c>
    </row>
    <row r="11185" spans="2:3" hidden="1" outlineLevel="2" x14ac:dyDescent="0.3">
      <c r="C11185" t="s">
        <v>2667</v>
      </c>
    </row>
    <row r="11186" spans="2:3" outlineLevel="1" collapsed="1" x14ac:dyDescent="0.3">
      <c r="B11186" t="s">
        <v>2668</v>
      </c>
    </row>
    <row r="11187" spans="2:3" outlineLevel="1" x14ac:dyDescent="0.3">
      <c r="B11187" t="s">
        <v>2669</v>
      </c>
    </row>
    <row r="11188" spans="2:3" hidden="1" outlineLevel="2" x14ac:dyDescent="0.3">
      <c r="C11188" t="s">
        <v>2670</v>
      </c>
    </row>
    <row r="11189" spans="2:3" hidden="1" outlineLevel="2" x14ac:dyDescent="0.3">
      <c r="C11189" t="s">
        <v>2671</v>
      </c>
    </row>
    <row r="11190" spans="2:3" hidden="1" outlineLevel="2" x14ac:dyDescent="0.3">
      <c r="C11190" t="s">
        <v>2672</v>
      </c>
    </row>
    <row r="11191" spans="2:3" hidden="1" outlineLevel="2" x14ac:dyDescent="0.3">
      <c r="C11191" t="s">
        <v>2673</v>
      </c>
    </row>
    <row r="11192" spans="2:3" outlineLevel="1" collapsed="1" x14ac:dyDescent="0.3">
      <c r="B11192" t="s">
        <v>2674</v>
      </c>
    </row>
    <row r="11193" spans="2:3" outlineLevel="1" x14ac:dyDescent="0.3">
      <c r="B11193" t="s">
        <v>2675</v>
      </c>
    </row>
    <row r="11194" spans="2:3" outlineLevel="1" x14ac:dyDescent="0.3">
      <c r="B11194" t="s">
        <v>2676</v>
      </c>
    </row>
    <row r="11195" spans="2:3" outlineLevel="1" x14ac:dyDescent="0.3">
      <c r="B11195" t="s">
        <v>2677</v>
      </c>
    </row>
    <row r="11196" spans="2:3" outlineLevel="1" x14ac:dyDescent="0.3">
      <c r="B11196" t="s">
        <v>2678</v>
      </c>
    </row>
    <row r="11197" spans="2:3" outlineLevel="1" x14ac:dyDescent="0.3">
      <c r="B11197" t="s">
        <v>2679</v>
      </c>
    </row>
    <row r="11198" spans="2:3" hidden="1" outlineLevel="2" x14ac:dyDescent="0.3">
      <c r="C11198" t="s">
        <v>2680</v>
      </c>
    </row>
    <row r="11199" spans="2:3" hidden="1" outlineLevel="2" x14ac:dyDescent="0.3">
      <c r="C11199" t="s">
        <v>2681</v>
      </c>
    </row>
    <row r="11200" spans="2:3" hidden="1" outlineLevel="2" x14ac:dyDescent="0.3">
      <c r="C11200" t="s">
        <v>4647</v>
      </c>
    </row>
    <row r="11201" spans="3:3" hidden="1" outlineLevel="2" x14ac:dyDescent="0.3">
      <c r="C11201" t="s">
        <v>4648</v>
      </c>
    </row>
    <row r="11202" spans="3:3" hidden="1" outlineLevel="2" x14ac:dyDescent="0.3">
      <c r="C11202" t="s">
        <v>2692</v>
      </c>
    </row>
    <row r="11203" spans="3:3" hidden="1" outlineLevel="2" x14ac:dyDescent="0.3">
      <c r="C11203" t="s">
        <v>2693</v>
      </c>
    </row>
    <row r="11204" spans="3:3" hidden="1" outlineLevel="2" x14ac:dyDescent="0.3">
      <c r="C11204" t="s">
        <v>4870</v>
      </c>
    </row>
    <row r="11205" spans="3:3" hidden="1" outlineLevel="2" x14ac:dyDescent="0.3">
      <c r="C11205" t="s">
        <v>4871</v>
      </c>
    </row>
    <row r="11206" spans="3:3" hidden="1" outlineLevel="2" x14ac:dyDescent="0.3">
      <c r="C11206" t="s">
        <v>4872</v>
      </c>
    </row>
    <row r="11207" spans="3:3" hidden="1" outlineLevel="2" x14ac:dyDescent="0.3">
      <c r="C11207" t="s">
        <v>4873</v>
      </c>
    </row>
    <row r="11208" spans="3:3" hidden="1" outlineLevel="2" x14ac:dyDescent="0.3">
      <c r="C11208" t="s">
        <v>4874</v>
      </c>
    </row>
    <row r="11209" spans="3:3" hidden="1" outlineLevel="2" x14ac:dyDescent="0.3">
      <c r="C11209" t="s">
        <v>4875</v>
      </c>
    </row>
    <row r="11210" spans="3:3" hidden="1" outlineLevel="2" x14ac:dyDescent="0.3">
      <c r="C11210" t="s">
        <v>4876</v>
      </c>
    </row>
    <row r="11211" spans="3:3" hidden="1" outlineLevel="2" x14ac:dyDescent="0.3">
      <c r="C11211" t="s">
        <v>2714</v>
      </c>
    </row>
    <row r="11212" spans="3:3" hidden="1" outlineLevel="2" x14ac:dyDescent="0.3">
      <c r="C11212" t="s">
        <v>2715</v>
      </c>
    </row>
    <row r="11213" spans="3:3" hidden="1" outlineLevel="2" x14ac:dyDescent="0.3">
      <c r="C11213" t="s">
        <v>2716</v>
      </c>
    </row>
    <row r="11214" spans="3:3" hidden="1" outlineLevel="2" x14ac:dyDescent="0.3">
      <c r="C11214" t="s">
        <v>2717</v>
      </c>
    </row>
    <row r="11215" spans="3:3" hidden="1" outlineLevel="2" x14ac:dyDescent="0.3">
      <c r="C11215" t="s">
        <v>2718</v>
      </c>
    </row>
    <row r="11216" spans="3:3" hidden="1" outlineLevel="2" x14ac:dyDescent="0.3">
      <c r="C11216" t="s">
        <v>2719</v>
      </c>
    </row>
    <row r="11217" spans="2:4" hidden="1" outlineLevel="2" x14ac:dyDescent="0.3">
      <c r="C11217" t="s">
        <v>4877</v>
      </c>
    </row>
    <row r="11218" spans="2:4" hidden="1" outlineLevel="2" x14ac:dyDescent="0.3">
      <c r="C11218" t="s">
        <v>4878</v>
      </c>
    </row>
    <row r="11219" spans="2:4" hidden="1" outlineLevel="2" x14ac:dyDescent="0.3">
      <c r="C11219" t="s">
        <v>2723</v>
      </c>
    </row>
    <row r="11220" spans="2:4" hidden="1" outlineLevel="2" x14ac:dyDescent="0.3">
      <c r="C11220" t="s">
        <v>2724</v>
      </c>
    </row>
    <row r="11221" spans="2:4" hidden="1" outlineLevel="2" x14ac:dyDescent="0.3">
      <c r="C11221" t="s">
        <v>3746</v>
      </c>
    </row>
    <row r="11222" spans="2:4" outlineLevel="1" collapsed="1" x14ac:dyDescent="0.3">
      <c r="B11222" t="s">
        <v>4879</v>
      </c>
    </row>
    <row r="11223" spans="2:4" outlineLevel="1" x14ac:dyDescent="0.3">
      <c r="B11223" t="s">
        <v>4880</v>
      </c>
    </row>
    <row r="11224" spans="2:4" outlineLevel="1" x14ac:dyDescent="0.3">
      <c r="B11224" t="s">
        <v>4881</v>
      </c>
    </row>
    <row r="11225" spans="2:4" hidden="1" outlineLevel="2" x14ac:dyDescent="0.3">
      <c r="C11225" t="s">
        <v>4882</v>
      </c>
    </row>
    <row r="11226" spans="2:4" hidden="1" outlineLevel="2" x14ac:dyDescent="0.3">
      <c r="C11226" t="s">
        <v>4883</v>
      </c>
    </row>
    <row r="11227" spans="2:4" hidden="1" outlineLevel="3" x14ac:dyDescent="0.3">
      <c r="D11227" t="s">
        <v>4884</v>
      </c>
    </row>
    <row r="11228" spans="2:4" hidden="1" outlineLevel="3" x14ac:dyDescent="0.3">
      <c r="D11228" t="s">
        <v>4885</v>
      </c>
    </row>
    <row r="11229" spans="2:4" hidden="1" outlineLevel="3" x14ac:dyDescent="0.3">
      <c r="D11229" t="s">
        <v>4886</v>
      </c>
    </row>
    <row r="11230" spans="2:4" hidden="1" outlineLevel="3" x14ac:dyDescent="0.3">
      <c r="D11230" t="s">
        <v>4887</v>
      </c>
    </row>
    <row r="11231" spans="2:4" hidden="1" outlineLevel="3" x14ac:dyDescent="0.3">
      <c r="D11231" t="s">
        <v>4888</v>
      </c>
    </row>
    <row r="11232" spans="2:4" hidden="1" outlineLevel="3" x14ac:dyDescent="0.3">
      <c r="D11232" t="s">
        <v>4889</v>
      </c>
    </row>
    <row r="11233" spans="2:3" hidden="1" outlineLevel="2" x14ac:dyDescent="0.3">
      <c r="C11233" t="s">
        <v>4890</v>
      </c>
    </row>
    <row r="11234" spans="2:3" hidden="1" outlineLevel="2" x14ac:dyDescent="0.3">
      <c r="C11234" t="s">
        <v>4891</v>
      </c>
    </row>
    <row r="11235" spans="2:3" hidden="1" outlineLevel="2" x14ac:dyDescent="0.3">
      <c r="C11235" t="s">
        <v>4892</v>
      </c>
    </row>
    <row r="11236" spans="2:3" hidden="1" outlineLevel="2" x14ac:dyDescent="0.3">
      <c r="C11236" t="s">
        <v>4893</v>
      </c>
    </row>
    <row r="11237" spans="2:3" hidden="1" outlineLevel="2" x14ac:dyDescent="0.3">
      <c r="C11237" t="s">
        <v>4894</v>
      </c>
    </row>
    <row r="11238" spans="2:3" hidden="1" outlineLevel="2" x14ac:dyDescent="0.3">
      <c r="C11238" t="s">
        <v>4895</v>
      </c>
    </row>
    <row r="11239" spans="2:3" outlineLevel="1" collapsed="1" x14ac:dyDescent="0.3">
      <c r="B11239" t="s">
        <v>4896</v>
      </c>
    </row>
    <row r="11240" spans="2:3" outlineLevel="1" x14ac:dyDescent="0.3">
      <c r="B11240" t="s">
        <v>4897</v>
      </c>
    </row>
    <row r="11241" spans="2:3" outlineLevel="1" x14ac:dyDescent="0.3">
      <c r="B11241" t="s">
        <v>4898</v>
      </c>
    </row>
    <row r="11242" spans="2:3" outlineLevel="1" x14ac:dyDescent="0.3">
      <c r="B11242" t="s">
        <v>4899</v>
      </c>
    </row>
    <row r="11243" spans="2:3" outlineLevel="1" x14ac:dyDescent="0.3">
      <c r="B11243" t="s">
        <v>4900</v>
      </c>
    </row>
    <row r="11244" spans="2:3" outlineLevel="1" x14ac:dyDescent="0.3">
      <c r="B11244" t="s">
        <v>4901</v>
      </c>
    </row>
    <row r="11245" spans="2:3" hidden="1" outlineLevel="2" x14ac:dyDescent="0.3">
      <c r="C11245" t="s">
        <v>4902</v>
      </c>
    </row>
    <row r="11246" spans="2:3" hidden="1" outlineLevel="2" x14ac:dyDescent="0.3">
      <c r="C11246" t="s">
        <v>4903</v>
      </c>
    </row>
    <row r="11247" spans="2:3" hidden="1" outlineLevel="2" x14ac:dyDescent="0.3">
      <c r="C11247" t="s">
        <v>4904</v>
      </c>
    </row>
    <row r="11248" spans="2:3" hidden="1" outlineLevel="2" x14ac:dyDescent="0.3">
      <c r="C11248" t="s">
        <v>4905</v>
      </c>
    </row>
    <row r="11249" spans="2:3" hidden="1" outlineLevel="2" x14ac:dyDescent="0.3">
      <c r="C11249" t="s">
        <v>4906</v>
      </c>
    </row>
    <row r="11250" spans="2:3" hidden="1" outlineLevel="2" x14ac:dyDescent="0.3">
      <c r="C11250" t="s">
        <v>4907</v>
      </c>
    </row>
    <row r="11251" spans="2:3" hidden="1" outlineLevel="2" x14ac:dyDescent="0.3">
      <c r="C11251" t="s">
        <v>4908</v>
      </c>
    </row>
    <row r="11252" spans="2:3" hidden="1" outlineLevel="2" x14ac:dyDescent="0.3">
      <c r="C11252" t="s">
        <v>4909</v>
      </c>
    </row>
    <row r="11253" spans="2:3" hidden="1" outlineLevel="2" x14ac:dyDescent="0.3">
      <c r="C11253" t="s">
        <v>4910</v>
      </c>
    </row>
    <row r="11254" spans="2:3" hidden="1" outlineLevel="2" x14ac:dyDescent="0.3">
      <c r="C11254" t="s">
        <v>4911</v>
      </c>
    </row>
    <row r="11255" spans="2:3" hidden="1" outlineLevel="2" x14ac:dyDescent="0.3">
      <c r="C11255" t="s">
        <v>4912</v>
      </c>
    </row>
    <row r="11256" spans="2:3" outlineLevel="1" collapsed="1" x14ac:dyDescent="0.3">
      <c r="B11256" t="s">
        <v>4913</v>
      </c>
    </row>
    <row r="11257" spans="2:3" hidden="1" outlineLevel="2" x14ac:dyDescent="0.3">
      <c r="C11257" t="s">
        <v>4783</v>
      </c>
    </row>
    <row r="11258" spans="2:3" hidden="1" outlineLevel="2" x14ac:dyDescent="0.3">
      <c r="C11258" t="s">
        <v>4784</v>
      </c>
    </row>
    <row r="11259" spans="2:3" hidden="1" outlineLevel="2" x14ac:dyDescent="0.3">
      <c r="C11259" t="s">
        <v>4785</v>
      </c>
    </row>
    <row r="11260" spans="2:3" hidden="1" outlineLevel="2" x14ac:dyDescent="0.3">
      <c r="C11260" t="s">
        <v>4786</v>
      </c>
    </row>
    <row r="11261" spans="2:3" hidden="1" outlineLevel="2" x14ac:dyDescent="0.3">
      <c r="C11261" t="s">
        <v>4787</v>
      </c>
    </row>
    <row r="11262" spans="2:3" hidden="1" outlineLevel="2" x14ac:dyDescent="0.3">
      <c r="C11262" t="s">
        <v>4788</v>
      </c>
    </row>
    <row r="11263" spans="2:3" hidden="1" outlineLevel="2" x14ac:dyDescent="0.3">
      <c r="C11263" t="s">
        <v>4789</v>
      </c>
    </row>
    <row r="11264" spans="2:3" hidden="1" outlineLevel="2" x14ac:dyDescent="0.3">
      <c r="C11264" t="s">
        <v>4914</v>
      </c>
    </row>
    <row r="11265" spans="2:3" hidden="1" outlineLevel="2" x14ac:dyDescent="0.3">
      <c r="C11265" t="s">
        <v>4790</v>
      </c>
    </row>
    <row r="11266" spans="2:3" hidden="1" outlineLevel="2" x14ac:dyDescent="0.3">
      <c r="C11266" t="s">
        <v>4791</v>
      </c>
    </row>
    <row r="11267" spans="2:3" hidden="1" outlineLevel="2" x14ac:dyDescent="0.3">
      <c r="C11267" t="s">
        <v>4792</v>
      </c>
    </row>
    <row r="11268" spans="2:3" hidden="1" outlineLevel="2" x14ac:dyDescent="0.3">
      <c r="C11268" t="s">
        <v>4793</v>
      </c>
    </row>
    <row r="11269" spans="2:3" hidden="1" outlineLevel="2" x14ac:dyDescent="0.3">
      <c r="C11269" t="s">
        <v>4915</v>
      </c>
    </row>
    <row r="11270" spans="2:3" hidden="1" outlineLevel="2" x14ac:dyDescent="0.3">
      <c r="C11270" t="s">
        <v>4916</v>
      </c>
    </row>
    <row r="11271" spans="2:3" hidden="1" outlineLevel="2" x14ac:dyDescent="0.3">
      <c r="C11271" t="s">
        <v>4917</v>
      </c>
    </row>
    <row r="11272" spans="2:3" hidden="1" outlineLevel="2" x14ac:dyDescent="0.3">
      <c r="C11272" t="s">
        <v>4794</v>
      </c>
    </row>
    <row r="11273" spans="2:3" outlineLevel="1" collapsed="1" x14ac:dyDescent="0.3">
      <c r="B11273" t="s">
        <v>4918</v>
      </c>
    </row>
    <row r="11274" spans="2:3" hidden="1" outlineLevel="2" x14ac:dyDescent="0.3">
      <c r="C11274" t="s">
        <v>4919</v>
      </c>
    </row>
    <row r="11275" spans="2:3" hidden="1" outlineLevel="2" x14ac:dyDescent="0.3">
      <c r="C11275" t="s">
        <v>4920</v>
      </c>
    </row>
    <row r="11276" spans="2:3" hidden="1" outlineLevel="2" x14ac:dyDescent="0.3">
      <c r="C11276" t="s">
        <v>4921</v>
      </c>
    </row>
    <row r="11277" spans="2:3" hidden="1" outlineLevel="2" x14ac:dyDescent="0.3">
      <c r="C11277" t="s">
        <v>4922</v>
      </c>
    </row>
    <row r="11278" spans="2:3" hidden="1" outlineLevel="2" x14ac:dyDescent="0.3">
      <c r="C11278" t="s">
        <v>4923</v>
      </c>
    </row>
    <row r="11279" spans="2:3" hidden="1" outlineLevel="2" x14ac:dyDescent="0.3">
      <c r="C11279" t="s">
        <v>4924</v>
      </c>
    </row>
    <row r="11280" spans="2:3" hidden="1" outlineLevel="2" x14ac:dyDescent="0.3">
      <c r="C11280" t="s">
        <v>4925</v>
      </c>
    </row>
    <row r="11281" spans="2:3" hidden="1" outlineLevel="2" x14ac:dyDescent="0.3">
      <c r="C11281" t="s">
        <v>4926</v>
      </c>
    </row>
    <row r="11282" spans="2:3" hidden="1" outlineLevel="2" x14ac:dyDescent="0.3">
      <c r="C11282" t="s">
        <v>4927</v>
      </c>
    </row>
    <row r="11283" spans="2:3" hidden="1" outlineLevel="2" x14ac:dyDescent="0.3">
      <c r="C11283" t="s">
        <v>4928</v>
      </c>
    </row>
    <row r="11284" spans="2:3" outlineLevel="1" collapsed="1" x14ac:dyDescent="0.3">
      <c r="B11284" t="s">
        <v>4929</v>
      </c>
    </row>
    <row r="11285" spans="2:3" hidden="1" outlineLevel="2" x14ac:dyDescent="0.3">
      <c r="C11285" t="s">
        <v>4930</v>
      </c>
    </row>
    <row r="11286" spans="2:3" hidden="1" outlineLevel="2" x14ac:dyDescent="0.3">
      <c r="C11286" t="s">
        <v>4931</v>
      </c>
    </row>
    <row r="11287" spans="2:3" hidden="1" outlineLevel="2" x14ac:dyDescent="0.3">
      <c r="C11287" t="s">
        <v>4932</v>
      </c>
    </row>
    <row r="11288" spans="2:3" hidden="1" outlineLevel="2" x14ac:dyDescent="0.3">
      <c r="C11288" t="s">
        <v>4933</v>
      </c>
    </row>
    <row r="11289" spans="2:3" hidden="1" outlineLevel="2" x14ac:dyDescent="0.3">
      <c r="C11289" t="s">
        <v>4934</v>
      </c>
    </row>
    <row r="11290" spans="2:3" hidden="1" outlineLevel="2" x14ac:dyDescent="0.3">
      <c r="C11290" t="s">
        <v>4935</v>
      </c>
    </row>
    <row r="11291" spans="2:3" hidden="1" outlineLevel="2" x14ac:dyDescent="0.3">
      <c r="C11291" t="s">
        <v>4936</v>
      </c>
    </row>
    <row r="11292" spans="2:3" outlineLevel="1" collapsed="1" x14ac:dyDescent="0.3">
      <c r="B11292" t="s">
        <v>2725</v>
      </c>
    </row>
    <row r="11293" spans="2:3" outlineLevel="1" x14ac:dyDescent="0.3">
      <c r="B11293" t="s">
        <v>2726</v>
      </c>
    </row>
    <row r="11294" spans="2:3" outlineLevel="1" x14ac:dyDescent="0.3">
      <c r="B11294" t="s">
        <v>4937</v>
      </c>
    </row>
    <row r="11295" spans="2:3" outlineLevel="1" x14ac:dyDescent="0.3">
      <c r="B11295" t="s">
        <v>2728</v>
      </c>
    </row>
    <row r="11296" spans="2:3" hidden="1" outlineLevel="2" x14ac:dyDescent="0.3">
      <c r="C11296" t="s">
        <v>3747</v>
      </c>
    </row>
    <row r="11297" spans="3:3" hidden="1" outlineLevel="2" x14ac:dyDescent="0.3">
      <c r="C11297" t="s">
        <v>3748</v>
      </c>
    </row>
    <row r="11298" spans="3:3" hidden="1" outlineLevel="2" x14ac:dyDescent="0.3">
      <c r="C11298" t="s">
        <v>4795</v>
      </c>
    </row>
    <row r="11299" spans="3:3" hidden="1" outlineLevel="2" x14ac:dyDescent="0.3">
      <c r="C11299" t="s">
        <v>4796</v>
      </c>
    </row>
    <row r="11300" spans="3:3" hidden="1" outlineLevel="2" x14ac:dyDescent="0.3">
      <c r="C11300" t="s">
        <v>4797</v>
      </c>
    </row>
    <row r="11301" spans="3:3" hidden="1" outlineLevel="2" x14ac:dyDescent="0.3">
      <c r="C11301" t="s">
        <v>4798</v>
      </c>
    </row>
    <row r="11302" spans="3:3" hidden="1" outlineLevel="2" x14ac:dyDescent="0.3">
      <c r="C11302" t="s">
        <v>4799</v>
      </c>
    </row>
    <row r="11303" spans="3:3" hidden="1" outlineLevel="2" x14ac:dyDescent="0.3">
      <c r="C11303" t="s">
        <v>4800</v>
      </c>
    </row>
    <row r="11304" spans="3:3" hidden="1" outlineLevel="2" x14ac:dyDescent="0.3">
      <c r="C11304" t="s">
        <v>2742</v>
      </c>
    </row>
    <row r="11305" spans="3:3" hidden="1" outlineLevel="2" x14ac:dyDescent="0.3">
      <c r="C11305" t="s">
        <v>2743</v>
      </c>
    </row>
    <row r="11306" spans="3:3" hidden="1" outlineLevel="2" x14ac:dyDescent="0.3">
      <c r="C11306" t="s">
        <v>3755</v>
      </c>
    </row>
    <row r="11307" spans="3:3" hidden="1" outlineLevel="2" x14ac:dyDescent="0.3">
      <c r="C11307" t="s">
        <v>3756</v>
      </c>
    </row>
    <row r="11308" spans="3:3" hidden="1" outlineLevel="2" x14ac:dyDescent="0.3">
      <c r="C11308" t="s">
        <v>3757</v>
      </c>
    </row>
    <row r="11309" spans="3:3" hidden="1" outlineLevel="2" x14ac:dyDescent="0.3">
      <c r="C11309" t="s">
        <v>3758</v>
      </c>
    </row>
    <row r="11310" spans="3:3" hidden="1" outlineLevel="2" x14ac:dyDescent="0.3">
      <c r="C11310" t="s">
        <v>2748</v>
      </c>
    </row>
    <row r="11311" spans="3:3" hidden="1" outlineLevel="2" x14ac:dyDescent="0.3">
      <c r="C11311" t="s">
        <v>2749</v>
      </c>
    </row>
    <row r="11312" spans="3:3" hidden="1" outlineLevel="2" x14ac:dyDescent="0.3">
      <c r="C11312" t="s">
        <v>2750</v>
      </c>
    </row>
    <row r="11313" spans="2:3" hidden="1" outlineLevel="2" x14ac:dyDescent="0.3">
      <c r="C11313" t="s">
        <v>2751</v>
      </c>
    </row>
    <row r="11314" spans="2:3" outlineLevel="1" collapsed="1" x14ac:dyDescent="0.3">
      <c r="B11314" t="s">
        <v>2752</v>
      </c>
    </row>
    <row r="11315" spans="2:3" outlineLevel="1" x14ac:dyDescent="0.3">
      <c r="B11315" t="s">
        <v>2753</v>
      </c>
    </row>
    <row r="11316" spans="2:3" outlineLevel="1" x14ac:dyDescent="0.3">
      <c r="B11316" t="s">
        <v>2754</v>
      </c>
    </row>
    <row r="11317" spans="2:3" hidden="1" outlineLevel="2" x14ac:dyDescent="0.3">
      <c r="C11317" t="s">
        <v>2755</v>
      </c>
    </row>
    <row r="11318" spans="2:3" hidden="1" outlineLevel="2" x14ac:dyDescent="0.3">
      <c r="C11318" t="s">
        <v>2756</v>
      </c>
    </row>
    <row r="11319" spans="2:3" hidden="1" outlineLevel="2" x14ac:dyDescent="0.3">
      <c r="C11319" t="s">
        <v>2757</v>
      </c>
    </row>
    <row r="11320" spans="2:3" hidden="1" outlineLevel="2" x14ac:dyDescent="0.3">
      <c r="C11320" t="s">
        <v>2758</v>
      </c>
    </row>
    <row r="11321" spans="2:3" hidden="1" outlineLevel="2" x14ac:dyDescent="0.3">
      <c r="C11321" t="s">
        <v>2759</v>
      </c>
    </row>
    <row r="11322" spans="2:3" outlineLevel="1" collapsed="1" x14ac:dyDescent="0.3">
      <c r="B11322" t="s">
        <v>2760</v>
      </c>
    </row>
    <row r="11323" spans="2:3" outlineLevel="1" x14ac:dyDescent="0.3">
      <c r="B11323" t="s">
        <v>2761</v>
      </c>
    </row>
    <row r="11324" spans="2:3" hidden="1" outlineLevel="2" x14ac:dyDescent="0.3">
      <c r="C11324" t="s">
        <v>3759</v>
      </c>
    </row>
    <row r="11325" spans="2:3" hidden="1" outlineLevel="2" x14ac:dyDescent="0.3">
      <c r="C11325" t="s">
        <v>2763</v>
      </c>
    </row>
    <row r="11326" spans="2:3" hidden="1" outlineLevel="2" x14ac:dyDescent="0.3">
      <c r="C11326" t="s">
        <v>2764</v>
      </c>
    </row>
    <row r="11327" spans="2:3" hidden="1" outlineLevel="2" x14ac:dyDescent="0.3">
      <c r="C11327" t="s">
        <v>2765</v>
      </c>
    </row>
    <row r="11328" spans="2:3" hidden="1" outlineLevel="2" x14ac:dyDescent="0.3">
      <c r="C11328" t="s">
        <v>2766</v>
      </c>
    </row>
    <row r="11329" spans="2:3" outlineLevel="1" collapsed="1" x14ac:dyDescent="0.3">
      <c r="B11329" t="s">
        <v>2767</v>
      </c>
    </row>
    <row r="11330" spans="2:3" outlineLevel="1" x14ac:dyDescent="0.3">
      <c r="B11330" t="s">
        <v>2768</v>
      </c>
    </row>
    <row r="11331" spans="2:3" outlineLevel="1" x14ac:dyDescent="0.3">
      <c r="B11331" t="s">
        <v>2769</v>
      </c>
    </row>
    <row r="11332" spans="2:3" outlineLevel="1" x14ac:dyDescent="0.3">
      <c r="B11332" t="s">
        <v>2770</v>
      </c>
    </row>
    <row r="11333" spans="2:3" outlineLevel="1" x14ac:dyDescent="0.3">
      <c r="B11333" t="s">
        <v>2771</v>
      </c>
    </row>
    <row r="11334" spans="2:3" outlineLevel="1" x14ac:dyDescent="0.3">
      <c r="B11334" t="s">
        <v>2772</v>
      </c>
    </row>
    <row r="11335" spans="2:3" hidden="1" outlineLevel="2" x14ac:dyDescent="0.3">
      <c r="C11335" t="s">
        <v>2773</v>
      </c>
    </row>
    <row r="11336" spans="2:3" hidden="1" outlineLevel="2" x14ac:dyDescent="0.3">
      <c r="C11336" t="s">
        <v>2774</v>
      </c>
    </row>
    <row r="11337" spans="2:3" hidden="1" outlineLevel="2" x14ac:dyDescent="0.3">
      <c r="C11337" t="s">
        <v>2775</v>
      </c>
    </row>
    <row r="11338" spans="2:3" hidden="1" outlineLevel="2" x14ac:dyDescent="0.3">
      <c r="C11338" t="s">
        <v>2776</v>
      </c>
    </row>
    <row r="11339" spans="2:3" hidden="1" outlineLevel="2" x14ac:dyDescent="0.3">
      <c r="C11339" t="s">
        <v>2777</v>
      </c>
    </row>
    <row r="11340" spans="2:3" hidden="1" outlineLevel="2" x14ac:dyDescent="0.3">
      <c r="C11340" t="s">
        <v>2778</v>
      </c>
    </row>
    <row r="11341" spans="2:3" hidden="1" outlineLevel="2" x14ac:dyDescent="0.3">
      <c r="C11341" t="s">
        <v>2779</v>
      </c>
    </row>
    <row r="11342" spans="2:3" hidden="1" outlineLevel="2" x14ac:dyDescent="0.3">
      <c r="C11342" t="s">
        <v>2780</v>
      </c>
    </row>
    <row r="11343" spans="2:3" hidden="1" outlineLevel="2" x14ac:dyDescent="0.3">
      <c r="C11343" t="s">
        <v>2781</v>
      </c>
    </row>
    <row r="11344" spans="2:3" hidden="1" outlineLevel="2" x14ac:dyDescent="0.3">
      <c r="C11344" t="s">
        <v>2782</v>
      </c>
    </row>
    <row r="11345" spans="1:3" hidden="1" outlineLevel="2" x14ac:dyDescent="0.3">
      <c r="C11345" t="s">
        <v>2783</v>
      </c>
    </row>
    <row r="11346" spans="1:3" hidden="1" outlineLevel="2" x14ac:dyDescent="0.3">
      <c r="C11346" t="s">
        <v>2784</v>
      </c>
    </row>
    <row r="11347" spans="1:3" hidden="1" outlineLevel="2" x14ac:dyDescent="0.3">
      <c r="C11347" t="s">
        <v>2785</v>
      </c>
    </row>
    <row r="11348" spans="1:3" hidden="1" outlineLevel="2" x14ac:dyDescent="0.3">
      <c r="C11348" t="s">
        <v>2786</v>
      </c>
    </row>
    <row r="11349" spans="1:3" hidden="1" outlineLevel="2" x14ac:dyDescent="0.3">
      <c r="C11349" t="s">
        <v>2787</v>
      </c>
    </row>
    <row r="11350" spans="1:3" hidden="1" outlineLevel="2" x14ac:dyDescent="0.3">
      <c r="C11350" t="s">
        <v>4312</v>
      </c>
    </row>
    <row r="11351" spans="1:3" hidden="1" outlineLevel="2" x14ac:dyDescent="0.3">
      <c r="C11351" t="s">
        <v>4938</v>
      </c>
    </row>
    <row r="11352" spans="1:3" hidden="1" outlineLevel="2" x14ac:dyDescent="0.3">
      <c r="C11352" t="s">
        <v>2791</v>
      </c>
    </row>
    <row r="11353" spans="1:3" hidden="1" outlineLevel="2" x14ac:dyDescent="0.3">
      <c r="C11353" t="s">
        <v>2792</v>
      </c>
    </row>
    <row r="11354" spans="1:3" hidden="1" outlineLevel="2" x14ac:dyDescent="0.3">
      <c r="C11354" t="s">
        <v>2793</v>
      </c>
    </row>
    <row r="11355" spans="1:3" hidden="1" outlineLevel="2" x14ac:dyDescent="0.3">
      <c r="C11355" t="s">
        <v>2794</v>
      </c>
    </row>
    <row r="11356" spans="1:3" hidden="1" outlineLevel="2" x14ac:dyDescent="0.3">
      <c r="C11356" t="s">
        <v>2795</v>
      </c>
    </row>
    <row r="11357" spans="1:3" hidden="1" outlineLevel="2" x14ac:dyDescent="0.3">
      <c r="C11357" t="s">
        <v>2796</v>
      </c>
    </row>
    <row r="11358" spans="1:3" hidden="1" outlineLevel="2" x14ac:dyDescent="0.3">
      <c r="C11358" t="s">
        <v>2797</v>
      </c>
    </row>
    <row r="11359" spans="1:3" hidden="1" outlineLevel="2" x14ac:dyDescent="0.3">
      <c r="C11359" t="s">
        <v>2798</v>
      </c>
    </row>
    <row r="11360" spans="1:3" x14ac:dyDescent="0.3">
      <c r="A11360" t="s">
        <v>927</v>
      </c>
    </row>
    <row r="11361" spans="1:4" x14ac:dyDescent="0.3">
      <c r="A11361" t="s">
        <v>928</v>
      </c>
    </row>
    <row r="11362" spans="1:4" x14ac:dyDescent="0.3">
      <c r="A11362" t="s">
        <v>929</v>
      </c>
    </row>
    <row r="11363" spans="1:4" x14ac:dyDescent="0.3">
      <c r="A11363" t="s">
        <v>930</v>
      </c>
    </row>
    <row r="11364" spans="1:4" outlineLevel="1" x14ac:dyDescent="0.3">
      <c r="B11364" t="s">
        <v>931</v>
      </c>
    </row>
    <row r="11365" spans="1:4" outlineLevel="1" x14ac:dyDescent="0.3">
      <c r="B11365" t="s">
        <v>932</v>
      </c>
    </row>
    <row r="11366" spans="1:4" outlineLevel="1" x14ac:dyDescent="0.3">
      <c r="B11366" t="s">
        <v>933</v>
      </c>
    </row>
    <row r="11367" spans="1:4" hidden="1" outlineLevel="2" x14ac:dyDescent="0.3">
      <c r="C11367" t="s">
        <v>934</v>
      </c>
    </row>
    <row r="11368" spans="1:4" hidden="1" outlineLevel="3" x14ac:dyDescent="0.3">
      <c r="D11368" t="s">
        <v>935</v>
      </c>
    </row>
    <row r="11369" spans="1:4" hidden="1" outlineLevel="3" x14ac:dyDescent="0.3">
      <c r="D11369" t="s">
        <v>936</v>
      </c>
    </row>
    <row r="11370" spans="1:4" hidden="1" outlineLevel="2" x14ac:dyDescent="0.3">
      <c r="C11370" t="s">
        <v>937</v>
      </c>
    </row>
    <row r="11371" spans="1:4" hidden="1" outlineLevel="2" x14ac:dyDescent="0.3">
      <c r="C11371" t="s">
        <v>938</v>
      </c>
    </row>
    <row r="11372" spans="1:4" hidden="1" outlineLevel="3" x14ac:dyDescent="0.3">
      <c r="D11372" t="s">
        <v>939</v>
      </c>
    </row>
    <row r="11373" spans="1:4" hidden="1" outlineLevel="3" x14ac:dyDescent="0.3">
      <c r="D11373" t="s">
        <v>940</v>
      </c>
    </row>
    <row r="11374" spans="1:4" hidden="1" outlineLevel="3" x14ac:dyDescent="0.3">
      <c r="D11374" t="s">
        <v>941</v>
      </c>
    </row>
    <row r="11375" spans="1:4" hidden="1" outlineLevel="3" x14ac:dyDescent="0.3">
      <c r="D11375" t="s">
        <v>942</v>
      </c>
    </row>
    <row r="11376" spans="1:4" hidden="1" outlineLevel="3" x14ac:dyDescent="0.3">
      <c r="D11376" t="s">
        <v>943</v>
      </c>
    </row>
    <row r="11377" spans="3:4" hidden="1" outlineLevel="3" x14ac:dyDescent="0.3">
      <c r="D11377" t="s">
        <v>944</v>
      </c>
    </row>
    <row r="11378" spans="3:4" hidden="1" outlineLevel="3" x14ac:dyDescent="0.3">
      <c r="D11378" t="s">
        <v>945</v>
      </c>
    </row>
    <row r="11379" spans="3:4" hidden="1" outlineLevel="3" x14ac:dyDescent="0.3">
      <c r="D11379" t="s">
        <v>946</v>
      </c>
    </row>
    <row r="11380" spans="3:4" hidden="1" outlineLevel="3" x14ac:dyDescent="0.3">
      <c r="D11380" t="s">
        <v>947</v>
      </c>
    </row>
    <row r="11381" spans="3:4" hidden="1" outlineLevel="3" x14ac:dyDescent="0.3">
      <c r="D11381" t="s">
        <v>948</v>
      </c>
    </row>
    <row r="11382" spans="3:4" hidden="1" outlineLevel="3" x14ac:dyDescent="0.3">
      <c r="D11382" t="s">
        <v>949</v>
      </c>
    </row>
    <row r="11383" spans="3:4" hidden="1" outlineLevel="3" x14ac:dyDescent="0.3">
      <c r="D11383" t="s">
        <v>950</v>
      </c>
    </row>
    <row r="11384" spans="3:4" hidden="1" outlineLevel="3" x14ac:dyDescent="0.3">
      <c r="D11384" t="s">
        <v>951</v>
      </c>
    </row>
    <row r="11385" spans="3:4" hidden="1" outlineLevel="3" x14ac:dyDescent="0.3">
      <c r="D11385" t="s">
        <v>952</v>
      </c>
    </row>
    <row r="11386" spans="3:4" hidden="1" outlineLevel="3" x14ac:dyDescent="0.3">
      <c r="D11386" t="s">
        <v>953</v>
      </c>
    </row>
    <row r="11387" spans="3:4" hidden="1" outlineLevel="2" x14ac:dyDescent="0.3">
      <c r="C11387" t="s">
        <v>954</v>
      </c>
    </row>
    <row r="11388" spans="3:4" hidden="1" outlineLevel="3" x14ac:dyDescent="0.3">
      <c r="D11388" t="s">
        <v>955</v>
      </c>
    </row>
    <row r="11389" spans="3:4" hidden="1" outlineLevel="3" x14ac:dyDescent="0.3">
      <c r="D11389" t="s">
        <v>956</v>
      </c>
    </row>
    <row r="11390" spans="3:4" hidden="1" outlineLevel="3" x14ac:dyDescent="0.3">
      <c r="D11390" t="s">
        <v>957</v>
      </c>
    </row>
    <row r="11391" spans="3:4" hidden="1" outlineLevel="3" x14ac:dyDescent="0.3">
      <c r="D11391" t="s">
        <v>958</v>
      </c>
    </row>
    <row r="11392" spans="3:4" hidden="1" outlineLevel="3" x14ac:dyDescent="0.3">
      <c r="D11392" t="s">
        <v>959</v>
      </c>
    </row>
    <row r="11393" spans="3:4" hidden="1" outlineLevel="3" x14ac:dyDescent="0.3">
      <c r="D11393" t="s">
        <v>960</v>
      </c>
    </row>
    <row r="11394" spans="3:4" hidden="1" outlineLevel="3" x14ac:dyDescent="0.3">
      <c r="D11394" t="s">
        <v>961</v>
      </c>
    </row>
    <row r="11395" spans="3:4" hidden="1" outlineLevel="3" x14ac:dyDescent="0.3">
      <c r="D11395" t="s">
        <v>962</v>
      </c>
    </row>
    <row r="11396" spans="3:4" hidden="1" outlineLevel="3" x14ac:dyDescent="0.3">
      <c r="D11396" t="s">
        <v>963</v>
      </c>
    </row>
    <row r="11397" spans="3:4" hidden="1" outlineLevel="2" x14ac:dyDescent="0.3">
      <c r="C11397" t="s">
        <v>964</v>
      </c>
    </row>
    <row r="11398" spans="3:4" hidden="1" outlineLevel="3" x14ac:dyDescent="0.3">
      <c r="D11398" t="s">
        <v>965</v>
      </c>
    </row>
    <row r="11399" spans="3:4" hidden="1" outlineLevel="3" x14ac:dyDescent="0.3">
      <c r="D11399" t="s">
        <v>966</v>
      </c>
    </row>
    <row r="11400" spans="3:4" hidden="1" outlineLevel="3" x14ac:dyDescent="0.3">
      <c r="D11400" t="s">
        <v>967</v>
      </c>
    </row>
    <row r="11401" spans="3:4" hidden="1" outlineLevel="3" x14ac:dyDescent="0.3">
      <c r="D11401" t="s">
        <v>968</v>
      </c>
    </row>
    <row r="11402" spans="3:4" hidden="1" outlineLevel="3" x14ac:dyDescent="0.3">
      <c r="D11402" t="s">
        <v>969</v>
      </c>
    </row>
    <row r="11403" spans="3:4" hidden="1" outlineLevel="3" x14ac:dyDescent="0.3">
      <c r="D11403" t="s">
        <v>970</v>
      </c>
    </row>
    <row r="11404" spans="3:4" hidden="1" outlineLevel="3" x14ac:dyDescent="0.3">
      <c r="D11404" t="s">
        <v>971</v>
      </c>
    </row>
    <row r="11405" spans="3:4" hidden="1" outlineLevel="3" x14ac:dyDescent="0.3">
      <c r="D11405" t="s">
        <v>972</v>
      </c>
    </row>
    <row r="11406" spans="3:4" hidden="1" outlineLevel="3" x14ac:dyDescent="0.3">
      <c r="D11406" t="s">
        <v>973</v>
      </c>
    </row>
    <row r="11407" spans="3:4" hidden="1" outlineLevel="3" x14ac:dyDescent="0.3">
      <c r="D11407" t="s">
        <v>974</v>
      </c>
    </row>
    <row r="11408" spans="3:4" hidden="1" outlineLevel="3" x14ac:dyDescent="0.3">
      <c r="D11408" t="s">
        <v>975</v>
      </c>
    </row>
    <row r="11409" spans="3:4" hidden="1" outlineLevel="3" x14ac:dyDescent="0.3">
      <c r="D11409" t="s">
        <v>976</v>
      </c>
    </row>
    <row r="11410" spans="3:4" hidden="1" outlineLevel="3" x14ac:dyDescent="0.3">
      <c r="D11410" t="s">
        <v>977</v>
      </c>
    </row>
    <row r="11411" spans="3:4" hidden="1" outlineLevel="3" x14ac:dyDescent="0.3">
      <c r="D11411" t="s">
        <v>978</v>
      </c>
    </row>
    <row r="11412" spans="3:4" hidden="1" outlineLevel="2" x14ac:dyDescent="0.3">
      <c r="C11412" t="s">
        <v>979</v>
      </c>
    </row>
    <row r="11413" spans="3:4" hidden="1" outlineLevel="2" x14ac:dyDescent="0.3">
      <c r="C11413" t="s">
        <v>980</v>
      </c>
    </row>
    <row r="11414" spans="3:4" hidden="1" outlineLevel="2" x14ac:dyDescent="0.3">
      <c r="C11414" t="s">
        <v>2799</v>
      </c>
    </row>
    <row r="11415" spans="3:4" hidden="1" outlineLevel="3" x14ac:dyDescent="0.3">
      <c r="D11415" t="s">
        <v>981</v>
      </c>
    </row>
    <row r="11416" spans="3:4" hidden="1" outlineLevel="3" x14ac:dyDescent="0.3">
      <c r="D11416" t="s">
        <v>982</v>
      </c>
    </row>
    <row r="11417" spans="3:4" hidden="1" outlineLevel="3" x14ac:dyDescent="0.3">
      <c r="D11417" t="s">
        <v>983</v>
      </c>
    </row>
    <row r="11418" spans="3:4" hidden="1" outlineLevel="3" x14ac:dyDescent="0.3">
      <c r="D11418" t="s">
        <v>2800</v>
      </c>
    </row>
    <row r="11419" spans="3:4" hidden="1" outlineLevel="3" x14ac:dyDescent="0.3">
      <c r="D11419" t="s">
        <v>985</v>
      </c>
    </row>
    <row r="11420" spans="3:4" hidden="1" outlineLevel="3" x14ac:dyDescent="0.3">
      <c r="D11420" t="s">
        <v>986</v>
      </c>
    </row>
    <row r="11421" spans="3:4" hidden="1" outlineLevel="3" x14ac:dyDescent="0.3">
      <c r="D11421" t="s">
        <v>2801</v>
      </c>
    </row>
    <row r="11422" spans="3:4" hidden="1" outlineLevel="3" x14ac:dyDescent="0.3">
      <c r="D11422" t="s">
        <v>2802</v>
      </c>
    </row>
    <row r="11423" spans="3:4" hidden="1" outlineLevel="3" x14ac:dyDescent="0.3">
      <c r="D11423" t="s">
        <v>993</v>
      </c>
    </row>
    <row r="11424" spans="3:4" hidden="1" outlineLevel="3" x14ac:dyDescent="0.3">
      <c r="D11424" t="s">
        <v>994</v>
      </c>
    </row>
    <row r="11425" spans="1:4" hidden="1" outlineLevel="3" x14ac:dyDescent="0.3">
      <c r="D11425" t="s">
        <v>995</v>
      </c>
    </row>
    <row r="11426" spans="1:4" outlineLevel="1" collapsed="1" x14ac:dyDescent="0.3">
      <c r="B11426" t="s">
        <v>996</v>
      </c>
    </row>
    <row r="11427" spans="1:4" outlineLevel="1" x14ac:dyDescent="0.3">
      <c r="B11427" t="s">
        <v>997</v>
      </c>
    </row>
    <row r="11428" spans="1:4" outlineLevel="1" x14ac:dyDescent="0.3">
      <c r="B11428" t="s">
        <v>998</v>
      </c>
    </row>
    <row r="11429" spans="1:4" x14ac:dyDescent="0.3">
      <c r="A11429" t="s">
        <v>999</v>
      </c>
    </row>
    <row r="11430" spans="1:4" outlineLevel="1" x14ac:dyDescent="0.3">
      <c r="B11430" t="s">
        <v>2803</v>
      </c>
    </row>
    <row r="11431" spans="1:4" outlineLevel="1" x14ac:dyDescent="0.3">
      <c r="B11431" t="s">
        <v>2804</v>
      </c>
    </row>
    <row r="11432" spans="1:4" outlineLevel="1" x14ac:dyDescent="0.3">
      <c r="B11432" t="s">
        <v>2805</v>
      </c>
    </row>
    <row r="11433" spans="1:4" outlineLevel="1" x14ac:dyDescent="0.3">
      <c r="B11433" t="s">
        <v>2806</v>
      </c>
    </row>
    <row r="11434" spans="1:4" outlineLevel="1" x14ac:dyDescent="0.3">
      <c r="B11434" t="s">
        <v>2808</v>
      </c>
    </row>
    <row r="11435" spans="1:4" hidden="1" outlineLevel="2" x14ac:dyDescent="0.3">
      <c r="C11435" t="s">
        <v>2809</v>
      </c>
    </row>
    <row r="11436" spans="1:4" hidden="1" outlineLevel="2" x14ac:dyDescent="0.3">
      <c r="C11436" t="s">
        <v>2810</v>
      </c>
    </row>
    <row r="11437" spans="1:4" hidden="1" outlineLevel="2" x14ac:dyDescent="0.3">
      <c r="C11437" t="s">
        <v>2811</v>
      </c>
    </row>
    <row r="11438" spans="1:4" hidden="1" outlineLevel="2" x14ac:dyDescent="0.3">
      <c r="C11438" t="s">
        <v>2812</v>
      </c>
    </row>
    <row r="11439" spans="1:4" hidden="1" outlineLevel="2" x14ac:dyDescent="0.3">
      <c r="C11439" t="s">
        <v>2813</v>
      </c>
    </row>
    <row r="11440" spans="1:4" outlineLevel="1" collapsed="1" x14ac:dyDescent="0.3">
      <c r="B11440" t="s">
        <v>2814</v>
      </c>
    </row>
    <row r="11441" spans="2:4" hidden="1" outlineLevel="2" x14ac:dyDescent="0.3">
      <c r="C11441" t="s">
        <v>2815</v>
      </c>
    </row>
    <row r="11442" spans="2:4" hidden="1" outlineLevel="2" x14ac:dyDescent="0.3">
      <c r="C11442" t="s">
        <v>2816</v>
      </c>
    </row>
    <row r="11443" spans="2:4" hidden="1" outlineLevel="2" x14ac:dyDescent="0.3">
      <c r="C11443" t="s">
        <v>2817</v>
      </c>
    </row>
    <row r="11444" spans="2:4" hidden="1" outlineLevel="2" x14ac:dyDescent="0.3">
      <c r="C11444" t="s">
        <v>2818</v>
      </c>
    </row>
    <row r="11445" spans="2:4" hidden="1" outlineLevel="2" x14ac:dyDescent="0.3">
      <c r="C11445" t="s">
        <v>2819</v>
      </c>
    </row>
    <row r="11446" spans="2:4" outlineLevel="1" collapsed="1" x14ac:dyDescent="0.3">
      <c r="B11446" t="s">
        <v>2820</v>
      </c>
    </row>
    <row r="11447" spans="2:4" outlineLevel="1" x14ac:dyDescent="0.3">
      <c r="B11447" t="s">
        <v>2852</v>
      </c>
    </row>
    <row r="11448" spans="2:4" hidden="1" outlineLevel="2" x14ac:dyDescent="0.3">
      <c r="C11448" t="s">
        <v>4346</v>
      </c>
    </row>
    <row r="11449" spans="2:4" hidden="1" outlineLevel="3" x14ac:dyDescent="0.3">
      <c r="D11449" t="s">
        <v>2853</v>
      </c>
    </row>
    <row r="11450" spans="2:4" hidden="1" outlineLevel="3" x14ac:dyDescent="0.3">
      <c r="D11450" t="s">
        <v>4347</v>
      </c>
    </row>
    <row r="11451" spans="2:4" hidden="1" outlineLevel="3" x14ac:dyDescent="0.3">
      <c r="D11451" t="s">
        <v>4353</v>
      </c>
    </row>
    <row r="11452" spans="2:4" hidden="1" outlineLevel="3" x14ac:dyDescent="0.3">
      <c r="D11452" t="s">
        <v>4354</v>
      </c>
    </row>
    <row r="11453" spans="2:4" hidden="1" outlineLevel="2" x14ac:dyDescent="0.3">
      <c r="C11453" t="s">
        <v>2857</v>
      </c>
    </row>
    <row r="11454" spans="2:4" hidden="1" outlineLevel="2" x14ac:dyDescent="0.3">
      <c r="C11454" t="s">
        <v>2866</v>
      </c>
    </row>
    <row r="11455" spans="2:4" hidden="1" outlineLevel="2" x14ac:dyDescent="0.3">
      <c r="C11455" t="s">
        <v>2867</v>
      </c>
    </row>
    <row r="11456" spans="2:4" hidden="1" outlineLevel="2" x14ac:dyDescent="0.3">
      <c r="C11456" t="s">
        <v>2868</v>
      </c>
    </row>
    <row r="11457" spans="2:4" hidden="1" outlineLevel="2" x14ac:dyDescent="0.3">
      <c r="C11457" t="s">
        <v>2869</v>
      </c>
    </row>
    <row r="11458" spans="2:4" hidden="1" outlineLevel="2" x14ac:dyDescent="0.3">
      <c r="C11458" t="s">
        <v>2870</v>
      </c>
    </row>
    <row r="11459" spans="2:4" hidden="1" outlineLevel="2" x14ac:dyDescent="0.3">
      <c r="C11459" t="s">
        <v>2871</v>
      </c>
    </row>
    <row r="11460" spans="2:4" hidden="1" outlineLevel="3" x14ac:dyDescent="0.3">
      <c r="D11460" t="s">
        <v>2872</v>
      </c>
    </row>
    <row r="11461" spans="2:4" hidden="1" outlineLevel="3" x14ac:dyDescent="0.3">
      <c r="D11461" t="s">
        <v>2873</v>
      </c>
    </row>
    <row r="11462" spans="2:4" hidden="1" outlineLevel="3" x14ac:dyDescent="0.3">
      <c r="D11462" t="s">
        <v>2874</v>
      </c>
    </row>
    <row r="11463" spans="2:4" hidden="1" outlineLevel="3" x14ac:dyDescent="0.3">
      <c r="D11463" t="s">
        <v>2875</v>
      </c>
    </row>
    <row r="11464" spans="2:4" hidden="1" outlineLevel="3" x14ac:dyDescent="0.3">
      <c r="D11464" t="s">
        <v>2876</v>
      </c>
    </row>
    <row r="11465" spans="2:4" hidden="1" outlineLevel="3" x14ac:dyDescent="0.3">
      <c r="D11465" t="s">
        <v>2877</v>
      </c>
    </row>
    <row r="11466" spans="2:4" hidden="1" outlineLevel="3" x14ac:dyDescent="0.3">
      <c r="D11466" t="s">
        <v>2878</v>
      </c>
    </row>
    <row r="11467" spans="2:4" hidden="1" outlineLevel="3" x14ac:dyDescent="0.3">
      <c r="D11467" t="s">
        <v>2879</v>
      </c>
    </row>
    <row r="11468" spans="2:4" hidden="1" outlineLevel="2" x14ac:dyDescent="0.3">
      <c r="C11468" t="s">
        <v>4368</v>
      </c>
    </row>
    <row r="11469" spans="2:4" hidden="1" outlineLevel="2" x14ac:dyDescent="0.3">
      <c r="C11469" t="s">
        <v>4369</v>
      </c>
    </row>
    <row r="11470" spans="2:4" hidden="1" outlineLevel="2" x14ac:dyDescent="0.3">
      <c r="C11470" t="s">
        <v>2881</v>
      </c>
    </row>
    <row r="11471" spans="2:4" hidden="1" outlineLevel="2" x14ac:dyDescent="0.3">
      <c r="C11471" t="s">
        <v>2882</v>
      </c>
    </row>
    <row r="11472" spans="2:4" outlineLevel="1" collapsed="1" x14ac:dyDescent="0.3">
      <c r="B11472" t="s">
        <v>2883</v>
      </c>
    </row>
    <row r="11473" spans="2:3" outlineLevel="1" x14ac:dyDescent="0.3">
      <c r="B11473" t="s">
        <v>2884</v>
      </c>
    </row>
    <row r="11474" spans="2:3" hidden="1" outlineLevel="2" x14ac:dyDescent="0.3">
      <c r="C11474" t="s">
        <v>2885</v>
      </c>
    </row>
    <row r="11475" spans="2:3" hidden="1" outlineLevel="2" x14ac:dyDescent="0.3">
      <c r="C11475" t="s">
        <v>2886</v>
      </c>
    </row>
    <row r="11476" spans="2:3" hidden="1" outlineLevel="2" x14ac:dyDescent="0.3">
      <c r="C11476" t="s">
        <v>2887</v>
      </c>
    </row>
    <row r="11477" spans="2:3" hidden="1" outlineLevel="2" x14ac:dyDescent="0.3">
      <c r="C11477" t="s">
        <v>2888</v>
      </c>
    </row>
    <row r="11478" spans="2:3" hidden="1" outlineLevel="2" x14ac:dyDescent="0.3">
      <c r="C11478" t="s">
        <v>2889</v>
      </c>
    </row>
    <row r="11479" spans="2:3" hidden="1" outlineLevel="2" x14ac:dyDescent="0.3">
      <c r="C11479" t="s">
        <v>2890</v>
      </c>
    </row>
    <row r="11480" spans="2:3" outlineLevel="1" collapsed="1" x14ac:dyDescent="0.3">
      <c r="B11480" t="s">
        <v>2891</v>
      </c>
    </row>
    <row r="11481" spans="2:3" hidden="1" outlineLevel="2" x14ac:dyDescent="0.3">
      <c r="C11481" t="s">
        <v>2892</v>
      </c>
    </row>
    <row r="11482" spans="2:3" hidden="1" outlineLevel="2" x14ac:dyDescent="0.3">
      <c r="C11482" t="s">
        <v>2893</v>
      </c>
    </row>
    <row r="11483" spans="2:3" hidden="1" outlineLevel="2" x14ac:dyDescent="0.3">
      <c r="C11483" t="s">
        <v>2894</v>
      </c>
    </row>
    <row r="11484" spans="2:3" hidden="1" outlineLevel="2" x14ac:dyDescent="0.3">
      <c r="C11484" t="s">
        <v>2895</v>
      </c>
    </row>
    <row r="11485" spans="2:3" hidden="1" outlineLevel="2" x14ac:dyDescent="0.3">
      <c r="C11485" t="s">
        <v>2896</v>
      </c>
    </row>
    <row r="11486" spans="2:3" hidden="1" outlineLevel="2" x14ac:dyDescent="0.3">
      <c r="C11486" t="s">
        <v>2897</v>
      </c>
    </row>
    <row r="11487" spans="2:3" hidden="1" outlineLevel="2" x14ac:dyDescent="0.3">
      <c r="C11487" t="s">
        <v>4939</v>
      </c>
    </row>
    <row r="11488" spans="2:3" hidden="1" outlineLevel="2" x14ac:dyDescent="0.3">
      <c r="C11488" t="s">
        <v>2898</v>
      </c>
    </row>
    <row r="11489" spans="2:4" outlineLevel="1" collapsed="1" x14ac:dyDescent="0.3">
      <c r="B11489" t="s">
        <v>2899</v>
      </c>
    </row>
    <row r="11490" spans="2:4" outlineLevel="1" x14ac:dyDescent="0.3">
      <c r="B11490" t="s">
        <v>2900</v>
      </c>
    </row>
    <row r="11491" spans="2:4" outlineLevel="1" x14ac:dyDescent="0.3">
      <c r="B11491" t="s">
        <v>2901</v>
      </c>
    </row>
    <row r="11492" spans="2:4" hidden="1" outlineLevel="2" x14ac:dyDescent="0.3">
      <c r="C11492" t="s">
        <v>2902</v>
      </c>
    </row>
    <row r="11493" spans="2:4" hidden="1" outlineLevel="2" x14ac:dyDescent="0.3">
      <c r="C11493" t="s">
        <v>4940</v>
      </c>
    </row>
    <row r="11494" spans="2:4" hidden="1" outlineLevel="2" x14ac:dyDescent="0.3">
      <c r="C11494" t="s">
        <v>4941</v>
      </c>
    </row>
    <row r="11495" spans="2:4" hidden="1" outlineLevel="2" x14ac:dyDescent="0.3">
      <c r="C11495" t="s">
        <v>2907</v>
      </c>
    </row>
    <row r="11496" spans="2:4" hidden="1" outlineLevel="3" x14ac:dyDescent="0.3">
      <c r="D11496" t="s">
        <v>2908</v>
      </c>
    </row>
    <row r="11497" spans="2:4" hidden="1" outlineLevel="3" x14ac:dyDescent="0.3">
      <c r="D11497" t="s">
        <v>2909</v>
      </c>
    </row>
    <row r="11498" spans="2:4" hidden="1" outlineLevel="3" x14ac:dyDescent="0.3">
      <c r="D11498" t="s">
        <v>2910</v>
      </c>
    </row>
    <row r="11499" spans="2:4" hidden="1" outlineLevel="3" x14ac:dyDescent="0.3">
      <c r="D11499" t="s">
        <v>2911</v>
      </c>
    </row>
    <row r="11500" spans="2:4" hidden="1" outlineLevel="2" x14ac:dyDescent="0.3">
      <c r="C11500" t="s">
        <v>2912</v>
      </c>
    </row>
    <row r="11501" spans="2:4" hidden="1" outlineLevel="2" x14ac:dyDescent="0.3">
      <c r="C11501" t="s">
        <v>2913</v>
      </c>
    </row>
    <row r="11502" spans="2:4" hidden="1" outlineLevel="2" x14ac:dyDescent="0.3">
      <c r="C11502" t="s">
        <v>2914</v>
      </c>
    </row>
    <row r="11503" spans="2:4" hidden="1" outlineLevel="2" x14ac:dyDescent="0.3">
      <c r="C11503" t="s">
        <v>2915</v>
      </c>
    </row>
    <row r="11504" spans="2:4" hidden="1" outlineLevel="2" x14ac:dyDescent="0.3">
      <c r="C11504" t="s">
        <v>2916</v>
      </c>
    </row>
    <row r="11505" spans="1:3" hidden="1" outlineLevel="2" x14ac:dyDescent="0.3">
      <c r="C11505" t="s">
        <v>2917</v>
      </c>
    </row>
    <row r="11506" spans="1:3" hidden="1" outlineLevel="2" x14ac:dyDescent="0.3">
      <c r="C11506" t="s">
        <v>2918</v>
      </c>
    </row>
    <row r="11507" spans="1:3" hidden="1" outlineLevel="2" x14ac:dyDescent="0.3">
      <c r="C11507" t="s">
        <v>2919</v>
      </c>
    </row>
    <row r="11508" spans="1:3" hidden="1" outlineLevel="2" x14ac:dyDescent="0.3">
      <c r="C11508" t="s">
        <v>2920</v>
      </c>
    </row>
    <row r="11509" spans="1:3" hidden="1" outlineLevel="2" x14ac:dyDescent="0.3">
      <c r="C11509" t="s">
        <v>4942</v>
      </c>
    </row>
    <row r="11510" spans="1:3" hidden="1" outlineLevel="2" x14ac:dyDescent="0.3">
      <c r="C11510" t="s">
        <v>4943</v>
      </c>
    </row>
    <row r="11511" spans="1:3" hidden="1" outlineLevel="2" x14ac:dyDescent="0.3">
      <c r="C11511" t="s">
        <v>2930</v>
      </c>
    </row>
    <row r="11512" spans="1:3" hidden="1" outlineLevel="2" x14ac:dyDescent="0.3">
      <c r="C11512" t="s">
        <v>2932</v>
      </c>
    </row>
    <row r="11513" spans="1:3" hidden="1" outlineLevel="2" x14ac:dyDescent="0.3">
      <c r="C11513" t="s">
        <v>2933</v>
      </c>
    </row>
    <row r="11519" spans="1:3" x14ac:dyDescent="0.3">
      <c r="A11519" t="s">
        <v>2934</v>
      </c>
    </row>
    <row r="11520" spans="1:3" outlineLevel="1" x14ac:dyDescent="0.3">
      <c r="B11520" t="s">
        <v>2935</v>
      </c>
    </row>
    <row r="11521" spans="3:4" hidden="1" outlineLevel="2" x14ac:dyDescent="0.3">
      <c r="C11521" t="s">
        <v>2938</v>
      </c>
    </row>
    <row r="11522" spans="3:4" hidden="1" outlineLevel="2" x14ac:dyDescent="0.3">
      <c r="C11522" t="s">
        <v>2939</v>
      </c>
    </row>
    <row r="11523" spans="3:4" hidden="1" outlineLevel="2" x14ac:dyDescent="0.3">
      <c r="C11523" t="s">
        <v>2940</v>
      </c>
    </row>
    <row r="11524" spans="3:4" hidden="1" outlineLevel="2" x14ac:dyDescent="0.3">
      <c r="C11524" t="s">
        <v>2941</v>
      </c>
    </row>
    <row r="11525" spans="3:4" hidden="1" outlineLevel="3" x14ac:dyDescent="0.3">
      <c r="D11525" t="s">
        <v>2942</v>
      </c>
    </row>
    <row r="11526" spans="3:4" hidden="1" outlineLevel="3" x14ac:dyDescent="0.3">
      <c r="D11526" t="s">
        <v>2943</v>
      </c>
    </row>
    <row r="11527" spans="3:4" hidden="1" outlineLevel="3" x14ac:dyDescent="0.3">
      <c r="D11527" t="s">
        <v>2944</v>
      </c>
    </row>
    <row r="11528" spans="3:4" hidden="1" outlineLevel="3" x14ac:dyDescent="0.3">
      <c r="D11528" t="s">
        <v>2945</v>
      </c>
    </row>
    <row r="11529" spans="3:4" hidden="1" outlineLevel="3" x14ac:dyDescent="0.3">
      <c r="D11529" t="s">
        <v>2946</v>
      </c>
    </row>
    <row r="11530" spans="3:4" hidden="1" outlineLevel="3" x14ac:dyDescent="0.3">
      <c r="D11530" t="s">
        <v>2947</v>
      </c>
    </row>
    <row r="11531" spans="3:4" hidden="1" outlineLevel="2" x14ac:dyDescent="0.3">
      <c r="C11531" t="s">
        <v>2948</v>
      </c>
    </row>
    <row r="11532" spans="3:4" hidden="1" outlineLevel="2" x14ac:dyDescent="0.3">
      <c r="C11532" t="s">
        <v>2949</v>
      </c>
    </row>
    <row r="11533" spans="3:4" hidden="1" outlineLevel="2" x14ac:dyDescent="0.3">
      <c r="C11533" t="s">
        <v>4377</v>
      </c>
    </row>
    <row r="11534" spans="3:4" hidden="1" outlineLevel="2" x14ac:dyDescent="0.3">
      <c r="C11534" t="s">
        <v>4944</v>
      </c>
    </row>
    <row r="11535" spans="3:4" hidden="1" outlineLevel="2" x14ac:dyDescent="0.3">
      <c r="C11535" t="s">
        <v>4945</v>
      </c>
    </row>
    <row r="11536" spans="3:4" hidden="1" outlineLevel="2" x14ac:dyDescent="0.3">
      <c r="C11536" t="s">
        <v>4946</v>
      </c>
    </row>
    <row r="11537" spans="2:4" hidden="1" outlineLevel="2" x14ac:dyDescent="0.3">
      <c r="C11537" t="s">
        <v>4947</v>
      </c>
    </row>
    <row r="11538" spans="2:4" hidden="1" outlineLevel="2" x14ac:dyDescent="0.3">
      <c r="C11538" t="s">
        <v>2959</v>
      </c>
    </row>
    <row r="11539" spans="2:4" hidden="1" outlineLevel="2" x14ac:dyDescent="0.3">
      <c r="C11539" t="s">
        <v>2963</v>
      </c>
    </row>
    <row r="11540" spans="2:4" hidden="1" outlineLevel="2" x14ac:dyDescent="0.3">
      <c r="C11540" t="s">
        <v>2964</v>
      </c>
    </row>
    <row r="11541" spans="2:4" outlineLevel="1" collapsed="1" x14ac:dyDescent="0.3">
      <c r="B11541" t="s">
        <v>2965</v>
      </c>
    </row>
    <row r="11542" spans="2:4" hidden="1" outlineLevel="2" x14ac:dyDescent="0.3">
      <c r="C11542" t="s">
        <v>2966</v>
      </c>
    </row>
    <row r="11543" spans="2:4" hidden="1" outlineLevel="2" x14ac:dyDescent="0.3">
      <c r="C11543" t="s">
        <v>2967</v>
      </c>
    </row>
    <row r="11544" spans="2:4" hidden="1" outlineLevel="2" x14ac:dyDescent="0.3">
      <c r="C11544" t="s">
        <v>2973</v>
      </c>
    </row>
    <row r="11545" spans="2:4" hidden="1" outlineLevel="3" x14ac:dyDescent="0.3">
      <c r="D11545" t="s">
        <v>2974</v>
      </c>
    </row>
    <row r="11546" spans="2:4" hidden="1" outlineLevel="3" x14ac:dyDescent="0.3">
      <c r="D11546" t="s">
        <v>4948</v>
      </c>
    </row>
    <row r="11547" spans="2:4" hidden="1" outlineLevel="3" x14ac:dyDescent="0.3">
      <c r="D11547" t="s">
        <v>2975</v>
      </c>
    </row>
    <row r="11548" spans="2:4" hidden="1" outlineLevel="3" x14ac:dyDescent="0.3">
      <c r="D11548" t="s">
        <v>2976</v>
      </c>
    </row>
    <row r="11549" spans="2:4" hidden="1" outlineLevel="3" x14ac:dyDescent="0.3">
      <c r="D11549" t="s">
        <v>2978</v>
      </c>
    </row>
    <row r="11550" spans="2:4" hidden="1" outlineLevel="3" x14ac:dyDescent="0.3">
      <c r="D11550" t="s">
        <v>2979</v>
      </c>
    </row>
    <row r="11551" spans="2:4" hidden="1" outlineLevel="2" x14ac:dyDescent="0.3">
      <c r="C11551" t="s">
        <v>2981</v>
      </c>
    </row>
    <row r="11552" spans="2:4" outlineLevel="1" collapsed="1" x14ac:dyDescent="0.3">
      <c r="B11552" t="s">
        <v>2982</v>
      </c>
    </row>
    <row r="11553" spans="1:3" x14ac:dyDescent="0.3">
      <c r="A11553" t="s">
        <v>2983</v>
      </c>
    </row>
    <row r="11554" spans="1:3" outlineLevel="1" x14ac:dyDescent="0.3">
      <c r="B11554" t="s">
        <v>2984</v>
      </c>
    </row>
    <row r="11555" spans="1:3" hidden="1" outlineLevel="2" x14ac:dyDescent="0.3">
      <c r="C11555" t="s">
        <v>4949</v>
      </c>
    </row>
    <row r="11556" spans="1:3" hidden="1" outlineLevel="2" x14ac:dyDescent="0.3">
      <c r="C11556" t="s">
        <v>4950</v>
      </c>
    </row>
    <row r="11557" spans="1:3" hidden="1" outlineLevel="2" x14ac:dyDescent="0.3">
      <c r="C11557" t="s">
        <v>4951</v>
      </c>
    </row>
    <row r="11558" spans="1:3" hidden="1" outlineLevel="2" x14ac:dyDescent="0.3">
      <c r="C11558" t="s">
        <v>4952</v>
      </c>
    </row>
    <row r="11559" spans="1:3" hidden="1" outlineLevel="2" x14ac:dyDescent="0.3">
      <c r="C11559" t="s">
        <v>4953</v>
      </c>
    </row>
    <row r="11560" spans="1:3" hidden="1" outlineLevel="2" x14ac:dyDescent="0.3">
      <c r="C11560" t="s">
        <v>4954</v>
      </c>
    </row>
    <row r="11561" spans="1:3" hidden="1" outlineLevel="2" x14ac:dyDescent="0.3">
      <c r="C11561" t="s">
        <v>4955</v>
      </c>
    </row>
    <row r="11562" spans="1:3" hidden="1" outlineLevel="2" x14ac:dyDescent="0.3">
      <c r="C11562" t="s">
        <v>4956</v>
      </c>
    </row>
    <row r="11563" spans="1:3" hidden="1" outlineLevel="2" x14ac:dyDescent="0.3">
      <c r="C11563" t="s">
        <v>4957</v>
      </c>
    </row>
    <row r="11564" spans="1:3" hidden="1" outlineLevel="2" x14ac:dyDescent="0.3">
      <c r="C11564" t="s">
        <v>4823</v>
      </c>
    </row>
    <row r="11565" spans="1:3" outlineLevel="1" collapsed="1" x14ac:dyDescent="0.3">
      <c r="B11565" t="s">
        <v>2990</v>
      </c>
    </row>
    <row r="11566" spans="1:3" hidden="1" outlineLevel="2" x14ac:dyDescent="0.3">
      <c r="C11566" t="s">
        <v>4958</v>
      </c>
    </row>
    <row r="11567" spans="1:3" hidden="1" outlineLevel="2" x14ac:dyDescent="0.3">
      <c r="C11567" t="s">
        <v>4959</v>
      </c>
    </row>
    <row r="11568" spans="1:3" hidden="1" outlineLevel="2" x14ac:dyDescent="0.3">
      <c r="C11568" t="s">
        <v>4960</v>
      </c>
    </row>
    <row r="11569" spans="1:4" hidden="1" outlineLevel="2" x14ac:dyDescent="0.3">
      <c r="C11569" t="s">
        <v>4961</v>
      </c>
    </row>
    <row r="11570" spans="1:4" hidden="1" outlineLevel="2" x14ac:dyDescent="0.3">
      <c r="C11570" t="s">
        <v>4962</v>
      </c>
    </row>
    <row r="11571" spans="1:4" x14ac:dyDescent="0.3">
      <c r="A11571" t="s">
        <v>2994</v>
      </c>
    </row>
    <row r="11572" spans="1:4" outlineLevel="1" x14ac:dyDescent="0.3">
      <c r="B11572" t="s">
        <v>2995</v>
      </c>
    </row>
    <row r="11573" spans="1:4" hidden="1" outlineLevel="2" x14ac:dyDescent="0.3">
      <c r="C11573" t="s">
        <v>2996</v>
      </c>
    </row>
    <row r="11574" spans="1:4" hidden="1" outlineLevel="2" x14ac:dyDescent="0.3">
      <c r="C11574" t="s">
        <v>2997</v>
      </c>
    </row>
    <row r="11575" spans="1:4" hidden="1" outlineLevel="2" x14ac:dyDescent="0.3">
      <c r="C11575" t="s">
        <v>2998</v>
      </c>
    </row>
    <row r="11576" spans="1:4" hidden="1" outlineLevel="2" x14ac:dyDescent="0.3">
      <c r="C11576" t="s">
        <v>2999</v>
      </c>
    </row>
    <row r="11577" spans="1:4" hidden="1" outlineLevel="2" x14ac:dyDescent="0.3">
      <c r="C11577" t="s">
        <v>3000</v>
      </c>
    </row>
    <row r="11578" spans="1:4" hidden="1" outlineLevel="2" x14ac:dyDescent="0.3">
      <c r="C11578" t="s">
        <v>3001</v>
      </c>
    </row>
    <row r="11579" spans="1:4" hidden="1" outlineLevel="2" x14ac:dyDescent="0.3">
      <c r="C11579" t="s">
        <v>3002</v>
      </c>
    </row>
    <row r="11580" spans="1:4" hidden="1" outlineLevel="3" x14ac:dyDescent="0.3">
      <c r="D11580" t="s">
        <v>3003</v>
      </c>
    </row>
    <row r="11581" spans="1:4" hidden="1" outlineLevel="3" x14ac:dyDescent="0.3">
      <c r="D11581" t="s">
        <v>3004</v>
      </c>
    </row>
    <row r="11582" spans="1:4" hidden="1" outlineLevel="3" x14ac:dyDescent="0.3">
      <c r="D11582" t="s">
        <v>3005</v>
      </c>
    </row>
    <row r="11583" spans="1:4" hidden="1" outlineLevel="2" x14ac:dyDescent="0.3">
      <c r="C11583" t="s">
        <v>3006</v>
      </c>
    </row>
    <row r="11584" spans="1:4" hidden="1" outlineLevel="2" x14ac:dyDescent="0.3">
      <c r="C11584" t="s">
        <v>3007</v>
      </c>
    </row>
    <row r="11585" spans="3:3" hidden="1" outlineLevel="2" x14ac:dyDescent="0.3">
      <c r="C11585" t="s">
        <v>3008</v>
      </c>
    </row>
    <row r="11586" spans="3:3" hidden="1" outlineLevel="2" x14ac:dyDescent="0.3">
      <c r="C11586" t="s">
        <v>3009</v>
      </c>
    </row>
    <row r="11587" spans="3:3" hidden="1" outlineLevel="2" x14ac:dyDescent="0.3">
      <c r="C11587" t="s">
        <v>3010</v>
      </c>
    </row>
    <row r="11588" spans="3:3" hidden="1" outlineLevel="2" x14ac:dyDescent="0.3">
      <c r="C11588" t="s">
        <v>3011</v>
      </c>
    </row>
    <row r="11589" spans="3:3" hidden="1" outlineLevel="2" x14ac:dyDescent="0.3">
      <c r="C11589" t="s">
        <v>3012</v>
      </c>
    </row>
    <row r="11590" spans="3:3" hidden="1" outlineLevel="2" x14ac:dyDescent="0.3">
      <c r="C11590" t="s">
        <v>3013</v>
      </c>
    </row>
    <row r="11591" spans="3:3" hidden="1" outlineLevel="2" x14ac:dyDescent="0.3">
      <c r="C11591" t="s">
        <v>3014</v>
      </c>
    </row>
    <row r="11592" spans="3:3" hidden="1" outlineLevel="2" x14ac:dyDescent="0.3">
      <c r="C11592" t="s">
        <v>3015</v>
      </c>
    </row>
    <row r="11593" spans="3:3" hidden="1" outlineLevel="2" x14ac:dyDescent="0.3">
      <c r="C11593" t="s">
        <v>3016</v>
      </c>
    </row>
    <row r="11594" spans="3:3" hidden="1" outlineLevel="2" x14ac:dyDescent="0.3">
      <c r="C11594" t="s">
        <v>3017</v>
      </c>
    </row>
    <row r="11595" spans="3:3" hidden="1" outlineLevel="2" x14ac:dyDescent="0.3">
      <c r="C11595" t="s">
        <v>3018</v>
      </c>
    </row>
    <row r="11596" spans="3:3" hidden="1" outlineLevel="2" x14ac:dyDescent="0.3">
      <c r="C11596" t="s">
        <v>3019</v>
      </c>
    </row>
    <row r="11597" spans="3:3" hidden="1" outlineLevel="2" x14ac:dyDescent="0.3">
      <c r="C11597" t="s">
        <v>3020</v>
      </c>
    </row>
    <row r="11598" spans="3:3" hidden="1" outlineLevel="2" x14ac:dyDescent="0.3">
      <c r="C11598" t="s">
        <v>3021</v>
      </c>
    </row>
    <row r="11599" spans="3:3" hidden="1" outlineLevel="2" x14ac:dyDescent="0.3">
      <c r="C11599" t="s">
        <v>3022</v>
      </c>
    </row>
    <row r="11600" spans="3:3" hidden="1" outlineLevel="2" x14ac:dyDescent="0.3">
      <c r="C11600" t="s">
        <v>3023</v>
      </c>
    </row>
    <row r="11601" spans="2:4" hidden="1" outlineLevel="2" x14ac:dyDescent="0.3">
      <c r="C11601" t="s">
        <v>3024</v>
      </c>
    </row>
    <row r="11602" spans="2:4" hidden="1" outlineLevel="2" x14ac:dyDescent="0.3">
      <c r="C11602" t="s">
        <v>3025</v>
      </c>
    </row>
    <row r="11603" spans="2:4" hidden="1" outlineLevel="2" x14ac:dyDescent="0.3">
      <c r="C11603" t="s">
        <v>3026</v>
      </c>
    </row>
    <row r="11604" spans="2:4" hidden="1" outlineLevel="2" x14ac:dyDescent="0.3">
      <c r="C11604" t="s">
        <v>3027</v>
      </c>
    </row>
    <row r="11605" spans="2:4" hidden="1" outlineLevel="2" x14ac:dyDescent="0.3">
      <c r="C11605" t="s">
        <v>3028</v>
      </c>
    </row>
    <row r="11606" spans="2:4" hidden="1" outlineLevel="2" x14ac:dyDescent="0.3">
      <c r="C11606" t="s">
        <v>3030</v>
      </c>
    </row>
    <row r="11607" spans="2:4" hidden="1" outlineLevel="2" x14ac:dyDescent="0.3">
      <c r="C11607" t="s">
        <v>3031</v>
      </c>
    </row>
    <row r="11608" spans="2:4" outlineLevel="1" collapsed="1" x14ac:dyDescent="0.3">
      <c r="B11608" t="s">
        <v>3032</v>
      </c>
    </row>
    <row r="11609" spans="2:4" hidden="1" outlineLevel="2" x14ac:dyDescent="0.3">
      <c r="C11609" t="s">
        <v>3033</v>
      </c>
    </row>
    <row r="11610" spans="2:4" hidden="1" outlineLevel="2" x14ac:dyDescent="0.3">
      <c r="C11610" t="s">
        <v>3034</v>
      </c>
    </row>
    <row r="11611" spans="2:4" hidden="1" outlineLevel="2" x14ac:dyDescent="0.3">
      <c r="C11611" t="s">
        <v>3035</v>
      </c>
    </row>
    <row r="11612" spans="2:4" hidden="1" outlineLevel="2" x14ac:dyDescent="0.3">
      <c r="C11612" t="s">
        <v>3036</v>
      </c>
    </row>
    <row r="11613" spans="2:4" hidden="1" outlineLevel="2" x14ac:dyDescent="0.3">
      <c r="C11613" t="s">
        <v>3037</v>
      </c>
    </row>
    <row r="11614" spans="2:4" hidden="1" outlineLevel="2" x14ac:dyDescent="0.3">
      <c r="C11614" t="s">
        <v>3038</v>
      </c>
    </row>
    <row r="11615" spans="2:4" hidden="1" outlineLevel="2" x14ac:dyDescent="0.3">
      <c r="C11615" t="s">
        <v>3039</v>
      </c>
    </row>
    <row r="11616" spans="2:4" hidden="1" outlineLevel="3" x14ac:dyDescent="0.3">
      <c r="D11616" t="s">
        <v>3040</v>
      </c>
    </row>
    <row r="11617" spans="3:4" hidden="1" outlineLevel="3" x14ac:dyDescent="0.3">
      <c r="D11617" t="s">
        <v>3041</v>
      </c>
    </row>
    <row r="11618" spans="3:4" hidden="1" outlineLevel="3" x14ac:dyDescent="0.3">
      <c r="D11618" t="s">
        <v>3042</v>
      </c>
    </row>
    <row r="11619" spans="3:4" hidden="1" outlineLevel="2" x14ac:dyDescent="0.3">
      <c r="C11619" t="s">
        <v>3043</v>
      </c>
    </row>
    <row r="11620" spans="3:4" hidden="1" outlineLevel="2" x14ac:dyDescent="0.3">
      <c r="C11620" t="s">
        <v>3044</v>
      </c>
    </row>
    <row r="11621" spans="3:4" hidden="1" outlineLevel="2" x14ac:dyDescent="0.3">
      <c r="C11621" t="s">
        <v>3045</v>
      </c>
    </row>
    <row r="11622" spans="3:4" hidden="1" outlineLevel="2" x14ac:dyDescent="0.3">
      <c r="C11622" t="s">
        <v>3046</v>
      </c>
    </row>
    <row r="11623" spans="3:4" hidden="1" outlineLevel="2" x14ac:dyDescent="0.3">
      <c r="C11623" t="s">
        <v>3047</v>
      </c>
    </row>
    <row r="11624" spans="3:4" hidden="1" outlineLevel="2" x14ac:dyDescent="0.3">
      <c r="C11624" t="s">
        <v>3048</v>
      </c>
    </row>
    <row r="11625" spans="3:4" hidden="1" outlineLevel="2" x14ac:dyDescent="0.3">
      <c r="C11625" t="s">
        <v>3049</v>
      </c>
    </row>
    <row r="11626" spans="3:4" hidden="1" outlineLevel="2" x14ac:dyDescent="0.3">
      <c r="C11626" t="s">
        <v>3050</v>
      </c>
    </row>
    <row r="11627" spans="3:4" hidden="1" outlineLevel="2" x14ac:dyDescent="0.3">
      <c r="C11627" t="s">
        <v>3051</v>
      </c>
    </row>
    <row r="11628" spans="3:4" hidden="1" outlineLevel="2" x14ac:dyDescent="0.3">
      <c r="C11628" t="s">
        <v>3052</v>
      </c>
    </row>
    <row r="11629" spans="3:4" hidden="1" outlineLevel="2" x14ac:dyDescent="0.3">
      <c r="C11629" t="s">
        <v>3053</v>
      </c>
    </row>
    <row r="11630" spans="3:4" hidden="1" outlineLevel="2" x14ac:dyDescent="0.3">
      <c r="C11630" t="s">
        <v>3054</v>
      </c>
    </row>
    <row r="11631" spans="3:4" hidden="1" outlineLevel="2" x14ac:dyDescent="0.3">
      <c r="C11631" t="s">
        <v>3055</v>
      </c>
    </row>
    <row r="11632" spans="3:4" hidden="1" outlineLevel="2" x14ac:dyDescent="0.3">
      <c r="C11632" t="s">
        <v>3056</v>
      </c>
    </row>
    <row r="11633" spans="2:3" hidden="1" outlineLevel="2" x14ac:dyDescent="0.3">
      <c r="C11633" t="s">
        <v>3057</v>
      </c>
    </row>
    <row r="11634" spans="2:3" hidden="1" outlineLevel="2" x14ac:dyDescent="0.3">
      <c r="C11634" t="s">
        <v>3058</v>
      </c>
    </row>
    <row r="11635" spans="2:3" hidden="1" outlineLevel="2" x14ac:dyDescent="0.3">
      <c r="C11635" t="s">
        <v>3059</v>
      </c>
    </row>
    <row r="11636" spans="2:3" hidden="1" outlineLevel="2" x14ac:dyDescent="0.3">
      <c r="C11636" t="s">
        <v>3060</v>
      </c>
    </row>
    <row r="11637" spans="2:3" hidden="1" outlineLevel="2" x14ac:dyDescent="0.3">
      <c r="C11637" t="s">
        <v>3061</v>
      </c>
    </row>
    <row r="11638" spans="2:3" hidden="1" outlineLevel="2" x14ac:dyDescent="0.3">
      <c r="C11638" t="s">
        <v>3062</v>
      </c>
    </row>
    <row r="11639" spans="2:3" hidden="1" outlineLevel="2" x14ac:dyDescent="0.3">
      <c r="C11639" t="s">
        <v>3063</v>
      </c>
    </row>
    <row r="11640" spans="2:3" hidden="1" outlineLevel="2" x14ac:dyDescent="0.3">
      <c r="C11640" t="s">
        <v>3064</v>
      </c>
    </row>
    <row r="11641" spans="2:3" hidden="1" outlineLevel="2" x14ac:dyDescent="0.3">
      <c r="C11641" t="s">
        <v>3066</v>
      </c>
    </row>
    <row r="11642" spans="2:3" hidden="1" outlineLevel="2" x14ac:dyDescent="0.3">
      <c r="C11642" t="s">
        <v>3067</v>
      </c>
    </row>
    <row r="11643" spans="2:3" outlineLevel="1" collapsed="1" x14ac:dyDescent="0.3">
      <c r="B11643" t="s">
        <v>3068</v>
      </c>
    </row>
    <row r="11644" spans="2:3" hidden="1" outlineLevel="2" x14ac:dyDescent="0.3">
      <c r="C11644" t="s">
        <v>3069</v>
      </c>
    </row>
    <row r="11645" spans="2:3" hidden="1" outlineLevel="2" x14ac:dyDescent="0.3">
      <c r="C11645" t="s">
        <v>3070</v>
      </c>
    </row>
    <row r="11646" spans="2:3" hidden="1" outlineLevel="2" x14ac:dyDescent="0.3">
      <c r="C11646" t="s">
        <v>3071</v>
      </c>
    </row>
    <row r="11647" spans="2:3" hidden="1" outlineLevel="2" x14ac:dyDescent="0.3">
      <c r="C11647" t="s">
        <v>3072</v>
      </c>
    </row>
    <row r="11648" spans="2:3" hidden="1" outlineLevel="2" x14ac:dyDescent="0.3">
      <c r="C11648" t="s">
        <v>3073</v>
      </c>
    </row>
    <row r="11649" spans="1:3" hidden="1" outlineLevel="2" x14ac:dyDescent="0.3">
      <c r="C11649" t="s">
        <v>3074</v>
      </c>
    </row>
    <row r="11650" spans="1:3" outlineLevel="1" collapsed="1" x14ac:dyDescent="0.3">
      <c r="B11650" t="s">
        <v>3075</v>
      </c>
    </row>
    <row r="11651" spans="1:3" x14ac:dyDescent="0.3">
      <c r="A11651" t="s">
        <v>3076</v>
      </c>
    </row>
    <row r="11652" spans="1:3" outlineLevel="1" x14ac:dyDescent="0.3">
      <c r="B11652" t="s">
        <v>3077</v>
      </c>
    </row>
    <row r="11653" spans="1:3" hidden="1" outlineLevel="2" x14ac:dyDescent="0.3">
      <c r="C11653" t="s">
        <v>3078</v>
      </c>
    </row>
    <row r="11654" spans="1:3" hidden="1" outlineLevel="2" x14ac:dyDescent="0.3">
      <c r="C11654" t="s">
        <v>3079</v>
      </c>
    </row>
    <row r="11655" spans="1:3" hidden="1" outlineLevel="2" x14ac:dyDescent="0.3">
      <c r="C11655" t="s">
        <v>3080</v>
      </c>
    </row>
    <row r="11656" spans="1:3" outlineLevel="1" collapsed="1" x14ac:dyDescent="0.3">
      <c r="B11656" t="s">
        <v>3081</v>
      </c>
    </row>
    <row r="11657" spans="1:3" hidden="1" outlineLevel="2" x14ac:dyDescent="0.3">
      <c r="C11657" t="s">
        <v>3082</v>
      </c>
    </row>
    <row r="11658" spans="1:3" hidden="1" outlineLevel="2" x14ac:dyDescent="0.3">
      <c r="C11658" t="s">
        <v>3083</v>
      </c>
    </row>
    <row r="11659" spans="1:3" hidden="1" outlineLevel="2" x14ac:dyDescent="0.3">
      <c r="C11659" t="s">
        <v>4824</v>
      </c>
    </row>
    <row r="11660" spans="1:3" x14ac:dyDescent="0.3">
      <c r="A11660" t="s">
        <v>3085</v>
      </c>
    </row>
    <row r="11661" spans="1:3" outlineLevel="1" x14ac:dyDescent="0.3">
      <c r="B11661" t="s">
        <v>3086</v>
      </c>
    </row>
    <row r="11662" spans="1:3" hidden="1" outlineLevel="2" x14ac:dyDescent="0.3">
      <c r="C11662" t="s">
        <v>3087</v>
      </c>
    </row>
    <row r="11663" spans="1:3" hidden="1" outlineLevel="2" x14ac:dyDescent="0.3">
      <c r="C11663" t="s">
        <v>3088</v>
      </c>
    </row>
    <row r="11664" spans="1:3" hidden="1" outlineLevel="2" x14ac:dyDescent="0.3">
      <c r="C11664" t="s">
        <v>3089</v>
      </c>
    </row>
    <row r="11665" spans="1:3" outlineLevel="1" collapsed="1" x14ac:dyDescent="0.3">
      <c r="B11665" t="s">
        <v>3090</v>
      </c>
    </row>
    <row r="11666" spans="1:3" hidden="1" outlineLevel="2" x14ac:dyDescent="0.3">
      <c r="C11666" t="s">
        <v>3091</v>
      </c>
    </row>
    <row r="11667" spans="1:3" hidden="1" outlineLevel="2" x14ac:dyDescent="0.3">
      <c r="C11667" t="s">
        <v>3092</v>
      </c>
    </row>
    <row r="11668" spans="1:3" hidden="1" outlineLevel="2" x14ac:dyDescent="0.3">
      <c r="C11668" t="s">
        <v>3093</v>
      </c>
    </row>
    <row r="11669" spans="1:3" x14ac:dyDescent="0.3">
      <c r="A11669" t="s">
        <v>3094</v>
      </c>
    </row>
    <row r="11670" spans="1:3" outlineLevel="1" x14ac:dyDescent="0.3">
      <c r="B11670" t="s">
        <v>4963</v>
      </c>
    </row>
    <row r="11671" spans="1:3" hidden="1" outlineLevel="2" x14ac:dyDescent="0.3">
      <c r="C11671" t="s">
        <v>3096</v>
      </c>
    </row>
    <row r="11672" spans="1:3" hidden="1" outlineLevel="2" x14ac:dyDescent="0.3">
      <c r="C11672" t="s">
        <v>4964</v>
      </c>
    </row>
    <row r="11673" spans="1:3" hidden="1" outlineLevel="2" x14ac:dyDescent="0.3">
      <c r="C11673" t="s">
        <v>3097</v>
      </c>
    </row>
    <row r="11674" spans="1:3" hidden="1" outlineLevel="2" x14ac:dyDescent="0.3">
      <c r="C11674" t="s">
        <v>4965</v>
      </c>
    </row>
    <row r="11675" spans="1:3" outlineLevel="1" collapsed="1" x14ac:dyDescent="0.3">
      <c r="B11675" t="s">
        <v>4966</v>
      </c>
    </row>
    <row r="11676" spans="1:3" hidden="1" outlineLevel="2" x14ac:dyDescent="0.3">
      <c r="C11676" t="s">
        <v>4967</v>
      </c>
    </row>
    <row r="11677" spans="1:3" hidden="1" outlineLevel="2" x14ac:dyDescent="0.3">
      <c r="C11677" t="s">
        <v>4968</v>
      </c>
    </row>
    <row r="11678" spans="1:3" hidden="1" outlineLevel="2" x14ac:dyDescent="0.3">
      <c r="C11678" t="s">
        <v>3101</v>
      </c>
    </row>
    <row r="11679" spans="1:3" hidden="1" outlineLevel="2" x14ac:dyDescent="0.3">
      <c r="C11679" t="s">
        <v>4969</v>
      </c>
    </row>
    <row r="11680" spans="1:3" hidden="1" outlineLevel="2" x14ac:dyDescent="0.3">
      <c r="C11680" t="s">
        <v>4970</v>
      </c>
    </row>
    <row r="11681" spans="2:3" outlineLevel="1" collapsed="1" x14ac:dyDescent="0.3">
      <c r="B11681" t="s">
        <v>4971</v>
      </c>
    </row>
    <row r="11682" spans="2:3" hidden="1" outlineLevel="2" x14ac:dyDescent="0.3">
      <c r="C11682" t="s">
        <v>4972</v>
      </c>
    </row>
    <row r="11683" spans="2:3" hidden="1" outlineLevel="2" x14ac:dyDescent="0.3">
      <c r="C11683" t="s">
        <v>4973</v>
      </c>
    </row>
    <row r="11684" spans="2:3" hidden="1" outlineLevel="2" x14ac:dyDescent="0.3">
      <c r="C11684" t="s">
        <v>4974</v>
      </c>
    </row>
    <row r="11685" spans="2:3" hidden="1" outlineLevel="2" x14ac:dyDescent="0.3">
      <c r="C11685" t="s">
        <v>4975</v>
      </c>
    </row>
    <row r="11686" spans="2:3" hidden="1" outlineLevel="2" x14ac:dyDescent="0.3">
      <c r="C11686" t="s">
        <v>4976</v>
      </c>
    </row>
    <row r="11687" spans="2:3" hidden="1" outlineLevel="2" x14ac:dyDescent="0.3">
      <c r="C11687" t="s">
        <v>4977</v>
      </c>
    </row>
    <row r="11688" spans="2:3" hidden="1" outlineLevel="2" x14ac:dyDescent="0.3">
      <c r="C11688" t="s">
        <v>4978</v>
      </c>
    </row>
    <row r="11689" spans="2:3" hidden="1" outlineLevel="2" x14ac:dyDescent="0.3">
      <c r="C11689" t="s">
        <v>4979</v>
      </c>
    </row>
    <row r="11690" spans="2:3" hidden="1" outlineLevel="2" x14ac:dyDescent="0.3">
      <c r="C11690" t="s">
        <v>4980</v>
      </c>
    </row>
    <row r="11691" spans="2:3" outlineLevel="1" collapsed="1" x14ac:dyDescent="0.3">
      <c r="B11691" t="s">
        <v>4981</v>
      </c>
    </row>
    <row r="11692" spans="2:3" hidden="1" outlineLevel="2" x14ac:dyDescent="0.3">
      <c r="C11692" t="s">
        <v>4982</v>
      </c>
    </row>
    <row r="11693" spans="2:3" hidden="1" outlineLevel="2" x14ac:dyDescent="0.3">
      <c r="C11693" t="s">
        <v>4983</v>
      </c>
    </row>
    <row r="11694" spans="2:3" hidden="1" outlineLevel="2" x14ac:dyDescent="0.3">
      <c r="C11694" t="s">
        <v>4984</v>
      </c>
    </row>
    <row r="11695" spans="2:3" hidden="1" outlineLevel="2" x14ac:dyDescent="0.3">
      <c r="C11695" t="s">
        <v>4985</v>
      </c>
    </row>
    <row r="11696" spans="2:3" hidden="1" outlineLevel="2" x14ac:dyDescent="0.3">
      <c r="C11696" t="s">
        <v>4986</v>
      </c>
    </row>
    <row r="11697" spans="1:3" hidden="1" outlineLevel="2" x14ac:dyDescent="0.3">
      <c r="C11697" t="s">
        <v>4987</v>
      </c>
    </row>
    <row r="11698" spans="1:3" outlineLevel="1" collapsed="1" x14ac:dyDescent="0.3">
      <c r="B11698" t="s">
        <v>3103</v>
      </c>
    </row>
    <row r="11699" spans="1:3" hidden="1" outlineLevel="2" x14ac:dyDescent="0.3">
      <c r="C11699" t="s">
        <v>4988</v>
      </c>
    </row>
    <row r="11700" spans="1:3" hidden="1" outlineLevel="2" x14ac:dyDescent="0.3">
      <c r="C11700" t="s">
        <v>4989</v>
      </c>
    </row>
    <row r="11701" spans="1:3" hidden="1" outlineLevel="2" x14ac:dyDescent="0.3">
      <c r="C11701" t="s">
        <v>4990</v>
      </c>
    </row>
    <row r="11702" spans="1:3" hidden="1" outlineLevel="2" x14ac:dyDescent="0.3">
      <c r="C11702" t="s">
        <v>4991</v>
      </c>
    </row>
    <row r="11703" spans="1:3" hidden="1" outlineLevel="2" x14ac:dyDescent="0.3">
      <c r="C11703" t="s">
        <v>4992</v>
      </c>
    </row>
    <row r="11704" spans="1:3" hidden="1" outlineLevel="2" x14ac:dyDescent="0.3">
      <c r="C11704" t="s">
        <v>3105</v>
      </c>
    </row>
    <row r="11705" spans="1:3" outlineLevel="1" collapsed="1" x14ac:dyDescent="0.3">
      <c r="B11705" t="s">
        <v>3106</v>
      </c>
    </row>
    <row r="11706" spans="1:3" hidden="1" outlineLevel="2" x14ac:dyDescent="0.3">
      <c r="C11706" t="s">
        <v>4993</v>
      </c>
    </row>
    <row r="11707" spans="1:3" hidden="1" outlineLevel="2" x14ac:dyDescent="0.3">
      <c r="C11707" t="s">
        <v>4994</v>
      </c>
    </row>
    <row r="11708" spans="1:3" hidden="1" outlineLevel="2" x14ac:dyDescent="0.3">
      <c r="C11708" t="s">
        <v>3108</v>
      </c>
    </row>
    <row r="11709" spans="1:3" x14ac:dyDescent="0.3">
      <c r="A11709" t="s">
        <v>3109</v>
      </c>
    </row>
    <row r="11710" spans="1:3" outlineLevel="1" x14ac:dyDescent="0.3">
      <c r="B11710" t="s">
        <v>3110</v>
      </c>
    </row>
    <row r="11711" spans="1:3" hidden="1" outlineLevel="2" x14ac:dyDescent="0.3">
      <c r="C11711" t="s">
        <v>4995</v>
      </c>
    </row>
    <row r="11712" spans="1:3" hidden="1" outlineLevel="2" x14ac:dyDescent="0.3">
      <c r="C11712" t="s">
        <v>3112</v>
      </c>
    </row>
    <row r="11713" spans="1:3" hidden="1" outlineLevel="2" x14ac:dyDescent="0.3">
      <c r="C11713" t="s">
        <v>3113</v>
      </c>
    </row>
    <row r="11714" spans="1:3" hidden="1" outlineLevel="2" x14ac:dyDescent="0.3">
      <c r="C11714" t="s">
        <v>3114</v>
      </c>
    </row>
    <row r="11715" spans="1:3" hidden="1" outlineLevel="2" x14ac:dyDescent="0.3">
      <c r="C11715" t="s">
        <v>3115</v>
      </c>
    </row>
    <row r="11716" spans="1:3" hidden="1" outlineLevel="2" x14ac:dyDescent="0.3">
      <c r="C11716" t="s">
        <v>3116</v>
      </c>
    </row>
    <row r="11717" spans="1:3" hidden="1" outlineLevel="2" x14ac:dyDescent="0.3">
      <c r="C11717" t="s">
        <v>3117</v>
      </c>
    </row>
    <row r="11718" spans="1:3" hidden="1" outlineLevel="2" x14ac:dyDescent="0.3">
      <c r="C11718" t="s">
        <v>3120</v>
      </c>
    </row>
    <row r="11719" spans="1:3" outlineLevel="1" collapsed="1" x14ac:dyDescent="0.3">
      <c r="B11719" t="s">
        <v>3121</v>
      </c>
    </row>
    <row r="11720" spans="1:3" hidden="1" outlineLevel="2" x14ac:dyDescent="0.3">
      <c r="C11720" t="s">
        <v>3125</v>
      </c>
    </row>
    <row r="11721" spans="1:3" hidden="1" outlineLevel="2" x14ac:dyDescent="0.3">
      <c r="C11721" t="s">
        <v>3126</v>
      </c>
    </row>
    <row r="11722" spans="1:3" hidden="1" outlineLevel="2" x14ac:dyDescent="0.3">
      <c r="C11722" t="s">
        <v>3127</v>
      </c>
    </row>
    <row r="11723" spans="1:3" hidden="1" outlineLevel="2" x14ac:dyDescent="0.3">
      <c r="C11723" t="s">
        <v>3128</v>
      </c>
    </row>
    <row r="11724" spans="1:3" hidden="1" outlineLevel="2" x14ac:dyDescent="0.3">
      <c r="C11724" t="s">
        <v>3129</v>
      </c>
    </row>
    <row r="11725" spans="1:3" hidden="1" outlineLevel="2" x14ac:dyDescent="0.3">
      <c r="C11725" t="s">
        <v>3130</v>
      </c>
    </row>
    <row r="11726" spans="1:3" hidden="1" outlineLevel="2" x14ac:dyDescent="0.3">
      <c r="C11726" t="s">
        <v>4996</v>
      </c>
    </row>
    <row r="11727" spans="1:3" hidden="1" outlineLevel="2" x14ac:dyDescent="0.3">
      <c r="C11727" t="s">
        <v>3133</v>
      </c>
    </row>
    <row r="11728" spans="1:3" x14ac:dyDescent="0.3">
      <c r="A11728" t="s">
        <v>3134</v>
      </c>
    </row>
    <row r="11729" spans="1:2" x14ac:dyDescent="0.3">
      <c r="A11729" t="s">
        <v>3135</v>
      </c>
    </row>
    <row r="11730" spans="1:2" x14ac:dyDescent="0.3">
      <c r="A11730" t="s">
        <v>4091</v>
      </c>
    </row>
    <row r="11731" spans="1:2" x14ac:dyDescent="0.3">
      <c r="A11731" t="s">
        <v>3136</v>
      </c>
    </row>
    <row r="11732" spans="1:2" outlineLevel="1" x14ac:dyDescent="0.3">
      <c r="B11732" t="s">
        <v>1394</v>
      </c>
    </row>
    <row r="11733" spans="1:2" outlineLevel="1" x14ac:dyDescent="0.3">
      <c r="B11733" t="s">
        <v>1395</v>
      </c>
    </row>
    <row r="11734" spans="1:2" outlineLevel="1" x14ac:dyDescent="0.3">
      <c r="B11734" t="s">
        <v>3137</v>
      </c>
    </row>
    <row r="11735" spans="1:2" outlineLevel="1" x14ac:dyDescent="0.3">
      <c r="B11735" t="s">
        <v>1397</v>
      </c>
    </row>
    <row r="11736" spans="1:2" outlineLevel="1" x14ac:dyDescent="0.3">
      <c r="B11736" t="s">
        <v>1398</v>
      </c>
    </row>
    <row r="11737" spans="1:2" outlineLevel="1" x14ac:dyDescent="0.3">
      <c r="B11737" t="s">
        <v>3138</v>
      </c>
    </row>
    <row r="11738" spans="1:2" outlineLevel="1" x14ac:dyDescent="0.3">
      <c r="B11738" t="s">
        <v>1400</v>
      </c>
    </row>
    <row r="11739" spans="1:2" outlineLevel="1" x14ac:dyDescent="0.3">
      <c r="B11739" t="s">
        <v>1401</v>
      </c>
    </row>
    <row r="11740" spans="1:2" outlineLevel="1" x14ac:dyDescent="0.3">
      <c r="B11740" t="s">
        <v>1402</v>
      </c>
    </row>
    <row r="11741" spans="1:2" outlineLevel="1" x14ac:dyDescent="0.3">
      <c r="B11741" t="s">
        <v>3139</v>
      </c>
    </row>
    <row r="11742" spans="1:2" outlineLevel="1" x14ac:dyDescent="0.3">
      <c r="B11742" t="s">
        <v>1404</v>
      </c>
    </row>
    <row r="11743" spans="1:2" outlineLevel="1" x14ac:dyDescent="0.3">
      <c r="B11743" t="s">
        <v>1405</v>
      </c>
    </row>
    <row r="11744" spans="1:2" outlineLevel="1" x14ac:dyDescent="0.3">
      <c r="B11744" t="s">
        <v>1406</v>
      </c>
    </row>
    <row r="11745" spans="1:2" outlineLevel="1" x14ac:dyDescent="0.3">
      <c r="B11745" t="s">
        <v>3140</v>
      </c>
    </row>
    <row r="11746" spans="1:2" outlineLevel="1" x14ac:dyDescent="0.3">
      <c r="B11746" t="s">
        <v>3141</v>
      </c>
    </row>
    <row r="11747" spans="1:2" outlineLevel="1" x14ac:dyDescent="0.3">
      <c r="B11747" t="s">
        <v>1410</v>
      </c>
    </row>
    <row r="11748" spans="1:2" outlineLevel="1" x14ac:dyDescent="0.3">
      <c r="B11748" t="s">
        <v>3142</v>
      </c>
    </row>
    <row r="11749" spans="1:2" outlineLevel="1" x14ac:dyDescent="0.3">
      <c r="B11749" t="s">
        <v>1412</v>
      </c>
    </row>
    <row r="11750" spans="1:2" outlineLevel="1" x14ac:dyDescent="0.3">
      <c r="B11750" t="s">
        <v>3143</v>
      </c>
    </row>
    <row r="11751" spans="1:2" outlineLevel="1" x14ac:dyDescent="0.3">
      <c r="B11751" t="s">
        <v>1417</v>
      </c>
    </row>
    <row r="11752" spans="1:2" outlineLevel="1" x14ac:dyDescent="0.3">
      <c r="B11752" t="s">
        <v>1420</v>
      </c>
    </row>
    <row r="11753" spans="1:2" outlineLevel="1" x14ac:dyDescent="0.3">
      <c r="B11753" t="s">
        <v>1434</v>
      </c>
    </row>
    <row r="11754" spans="1:2" outlineLevel="1" x14ac:dyDescent="0.3">
      <c r="B11754" t="s">
        <v>3144</v>
      </c>
    </row>
    <row r="11755" spans="1:2" outlineLevel="1" x14ac:dyDescent="0.3">
      <c r="B11755" t="s">
        <v>3145</v>
      </c>
    </row>
    <row r="11756" spans="1:2" outlineLevel="1" x14ac:dyDescent="0.3">
      <c r="B11756" t="s">
        <v>3146</v>
      </c>
    </row>
    <row r="11757" spans="1:2" outlineLevel="1" x14ac:dyDescent="0.3">
      <c r="B11757" t="s">
        <v>1444</v>
      </c>
    </row>
    <row r="11758" spans="1:2" outlineLevel="1" x14ac:dyDescent="0.3">
      <c r="B11758" t="s">
        <v>3147</v>
      </c>
    </row>
    <row r="11759" spans="1:2" x14ac:dyDescent="0.3">
      <c r="A11759" t="s">
        <v>1496</v>
      </c>
    </row>
    <row r="11760" spans="1:2" x14ac:dyDescent="0.3">
      <c r="A11760" t="s">
        <v>3148</v>
      </c>
    </row>
    <row r="11761" spans="2:3" outlineLevel="1" x14ac:dyDescent="0.3">
      <c r="B11761" t="s">
        <v>3149</v>
      </c>
    </row>
    <row r="11762" spans="2:3" outlineLevel="1" x14ac:dyDescent="0.3">
      <c r="B11762" t="s">
        <v>3150</v>
      </c>
    </row>
    <row r="11763" spans="2:3" outlineLevel="1" x14ac:dyDescent="0.3">
      <c r="B11763" t="s">
        <v>3151</v>
      </c>
    </row>
    <row r="11764" spans="2:3" hidden="1" outlineLevel="2" x14ac:dyDescent="0.3">
      <c r="C11764" t="s">
        <v>3152</v>
      </c>
    </row>
    <row r="11765" spans="2:3" hidden="1" outlineLevel="2" x14ac:dyDescent="0.3">
      <c r="C11765" t="s">
        <v>3153</v>
      </c>
    </row>
    <row r="11766" spans="2:3" hidden="1" outlineLevel="2" x14ac:dyDescent="0.3">
      <c r="C11766" t="s">
        <v>3154</v>
      </c>
    </row>
    <row r="11767" spans="2:3" outlineLevel="1" collapsed="1" x14ac:dyDescent="0.3">
      <c r="B11767" t="s">
        <v>4092</v>
      </c>
    </row>
    <row r="11768" spans="2:3" outlineLevel="1" x14ac:dyDescent="0.3">
      <c r="B11768" t="s">
        <v>3156</v>
      </c>
    </row>
    <row r="11769" spans="2:3" outlineLevel="1" x14ac:dyDescent="0.3">
      <c r="B11769" t="s">
        <v>3157</v>
      </c>
    </row>
    <row r="11770" spans="2:3" outlineLevel="1" x14ac:dyDescent="0.3">
      <c r="B11770" t="s">
        <v>3158</v>
      </c>
    </row>
    <row r="11771" spans="2:3" outlineLevel="1" x14ac:dyDescent="0.3">
      <c r="B11771" t="s">
        <v>3159</v>
      </c>
    </row>
    <row r="11772" spans="2:3" outlineLevel="1" x14ac:dyDescent="0.3">
      <c r="B11772" t="s">
        <v>3160</v>
      </c>
    </row>
    <row r="11773" spans="2:3" hidden="1" outlineLevel="2" x14ac:dyDescent="0.3">
      <c r="C11773" t="s">
        <v>3161</v>
      </c>
    </row>
    <row r="11774" spans="2:3" hidden="1" outlineLevel="2" x14ac:dyDescent="0.3">
      <c r="C11774" t="s">
        <v>3162</v>
      </c>
    </row>
    <row r="11775" spans="2:3" hidden="1" outlineLevel="2" x14ac:dyDescent="0.3">
      <c r="C11775" t="s">
        <v>3163</v>
      </c>
    </row>
    <row r="11776" spans="2:3" outlineLevel="1" collapsed="1" x14ac:dyDescent="0.3">
      <c r="B11776" t="s">
        <v>3164</v>
      </c>
    </row>
    <row r="11777" spans="2:3" hidden="1" outlineLevel="2" x14ac:dyDescent="0.3">
      <c r="C11777" t="s">
        <v>3165</v>
      </c>
    </row>
    <row r="11778" spans="2:3" hidden="1" outlineLevel="2" x14ac:dyDescent="0.3">
      <c r="C11778" t="s">
        <v>3166</v>
      </c>
    </row>
    <row r="11779" spans="2:3" hidden="1" outlineLevel="2" x14ac:dyDescent="0.3">
      <c r="C11779" t="s">
        <v>3167</v>
      </c>
    </row>
    <row r="11780" spans="2:3" outlineLevel="1" collapsed="1" x14ac:dyDescent="0.3">
      <c r="B11780" t="s">
        <v>3168</v>
      </c>
    </row>
    <row r="11781" spans="2:3" hidden="1" outlineLevel="2" x14ac:dyDescent="0.3">
      <c r="C11781" t="s">
        <v>3169</v>
      </c>
    </row>
    <row r="11782" spans="2:3" hidden="1" outlineLevel="2" x14ac:dyDescent="0.3">
      <c r="C11782" t="s">
        <v>3170</v>
      </c>
    </row>
    <row r="11783" spans="2:3" hidden="1" outlineLevel="2" x14ac:dyDescent="0.3">
      <c r="C11783" t="s">
        <v>3171</v>
      </c>
    </row>
    <row r="11784" spans="2:3" hidden="1" outlineLevel="2" x14ac:dyDescent="0.3">
      <c r="C11784" t="s">
        <v>3172</v>
      </c>
    </row>
    <row r="11785" spans="2:3" outlineLevel="1" collapsed="1" x14ac:dyDescent="0.3">
      <c r="B11785" t="s">
        <v>3173</v>
      </c>
    </row>
    <row r="11786" spans="2:3" hidden="1" outlineLevel="2" x14ac:dyDescent="0.3">
      <c r="C11786" t="s">
        <v>3174</v>
      </c>
    </row>
    <row r="11787" spans="2:3" hidden="1" outlineLevel="2" x14ac:dyDescent="0.3">
      <c r="C11787" t="s">
        <v>3175</v>
      </c>
    </row>
    <row r="11788" spans="2:3" outlineLevel="1" collapsed="1" x14ac:dyDescent="0.3">
      <c r="B11788" t="s">
        <v>3176</v>
      </c>
    </row>
    <row r="11789" spans="2:3" outlineLevel="1" x14ac:dyDescent="0.3">
      <c r="B11789" t="s">
        <v>3177</v>
      </c>
    </row>
    <row r="11790" spans="2:3" hidden="1" outlineLevel="2" x14ac:dyDescent="0.3">
      <c r="C11790" t="s">
        <v>3178</v>
      </c>
    </row>
    <row r="11791" spans="2:3" hidden="1" outlineLevel="2" x14ac:dyDescent="0.3">
      <c r="C11791" t="s">
        <v>3179</v>
      </c>
    </row>
    <row r="11792" spans="2:3" hidden="1" outlineLevel="2" x14ac:dyDescent="0.3">
      <c r="C11792" t="s">
        <v>3180</v>
      </c>
    </row>
    <row r="11793" spans="1:3" hidden="1" outlineLevel="2" x14ac:dyDescent="0.3">
      <c r="C11793" t="s">
        <v>3181</v>
      </c>
    </row>
    <row r="11794" spans="1:3" outlineLevel="1" collapsed="1" x14ac:dyDescent="0.3">
      <c r="B11794" t="s">
        <v>3182</v>
      </c>
    </row>
    <row r="11795" spans="1:3" hidden="1" outlineLevel="2" x14ac:dyDescent="0.3">
      <c r="C11795" t="s">
        <v>3183</v>
      </c>
    </row>
    <row r="11796" spans="1:3" hidden="1" outlineLevel="2" x14ac:dyDescent="0.3">
      <c r="C11796" t="s">
        <v>3184</v>
      </c>
    </row>
    <row r="11797" spans="1:3" outlineLevel="1" collapsed="1" x14ac:dyDescent="0.3">
      <c r="B11797" t="s">
        <v>3185</v>
      </c>
    </row>
    <row r="11798" spans="1:3" outlineLevel="1" x14ac:dyDescent="0.3">
      <c r="B11798" t="s">
        <v>3186</v>
      </c>
    </row>
    <row r="11799" spans="1:3" outlineLevel="1" x14ac:dyDescent="0.3">
      <c r="B11799" t="s">
        <v>3187</v>
      </c>
    </row>
    <row r="11800" spans="1:3" outlineLevel="1" x14ac:dyDescent="0.3">
      <c r="B11800" t="s">
        <v>3188</v>
      </c>
    </row>
    <row r="11801" spans="1:3" outlineLevel="1" x14ac:dyDescent="0.3">
      <c r="B11801" t="s">
        <v>3189</v>
      </c>
    </row>
    <row r="11802" spans="1:3" outlineLevel="1" x14ac:dyDescent="0.3">
      <c r="B11802" t="s">
        <v>3190</v>
      </c>
    </row>
    <row r="11803" spans="1:3" x14ac:dyDescent="0.3">
      <c r="A11803" t="s">
        <v>3191</v>
      </c>
    </row>
    <row r="11804" spans="1:3" outlineLevel="1" x14ac:dyDescent="0.3">
      <c r="B11804" t="s">
        <v>3192</v>
      </c>
    </row>
    <row r="11805" spans="1:3" outlineLevel="1" x14ac:dyDescent="0.3">
      <c r="B11805" t="s">
        <v>3193</v>
      </c>
    </row>
    <row r="11806" spans="1:3" hidden="1" outlineLevel="2" x14ac:dyDescent="0.3">
      <c r="C11806" t="s">
        <v>3194</v>
      </c>
    </row>
    <row r="11807" spans="1:3" hidden="1" outlineLevel="2" x14ac:dyDescent="0.3">
      <c r="C11807" t="s">
        <v>3195</v>
      </c>
    </row>
    <row r="11808" spans="1:3" hidden="1" outlineLevel="2" x14ac:dyDescent="0.3">
      <c r="C11808" t="s">
        <v>3196</v>
      </c>
    </row>
    <row r="11809" spans="2:3" outlineLevel="1" collapsed="1" x14ac:dyDescent="0.3">
      <c r="B11809" t="s">
        <v>3197</v>
      </c>
    </row>
    <row r="11810" spans="2:3" outlineLevel="1" x14ac:dyDescent="0.3">
      <c r="B11810" t="s">
        <v>3198</v>
      </c>
    </row>
    <row r="11811" spans="2:3" outlineLevel="1" x14ac:dyDescent="0.3">
      <c r="B11811" t="s">
        <v>3199</v>
      </c>
    </row>
    <row r="11812" spans="2:3" outlineLevel="1" x14ac:dyDescent="0.3">
      <c r="B11812" t="s">
        <v>3200</v>
      </c>
    </row>
    <row r="11813" spans="2:3" outlineLevel="1" x14ac:dyDescent="0.3">
      <c r="B11813" t="s">
        <v>3201</v>
      </c>
    </row>
    <row r="11814" spans="2:3" hidden="1" outlineLevel="2" x14ac:dyDescent="0.3">
      <c r="C11814" t="s">
        <v>3202</v>
      </c>
    </row>
    <row r="11815" spans="2:3" hidden="1" outlineLevel="2" x14ac:dyDescent="0.3">
      <c r="C11815" t="s">
        <v>3203</v>
      </c>
    </row>
    <row r="11816" spans="2:3" hidden="1" outlineLevel="2" x14ac:dyDescent="0.3">
      <c r="C11816" t="s">
        <v>3204</v>
      </c>
    </row>
    <row r="11817" spans="2:3" outlineLevel="1" collapsed="1" x14ac:dyDescent="0.3">
      <c r="B11817" t="s">
        <v>3205</v>
      </c>
    </row>
    <row r="11818" spans="2:3" hidden="1" outlineLevel="2" x14ac:dyDescent="0.3">
      <c r="C11818" t="s">
        <v>3206</v>
      </c>
    </row>
    <row r="11819" spans="2:3" hidden="1" outlineLevel="2" x14ac:dyDescent="0.3">
      <c r="C11819" t="s">
        <v>3207</v>
      </c>
    </row>
    <row r="11820" spans="2:3" hidden="1" outlineLevel="2" x14ac:dyDescent="0.3">
      <c r="C11820" t="s">
        <v>3208</v>
      </c>
    </row>
    <row r="11821" spans="2:3" outlineLevel="1" collapsed="1" x14ac:dyDescent="0.3">
      <c r="B11821" t="s">
        <v>3209</v>
      </c>
    </row>
    <row r="11822" spans="2:3" hidden="1" outlineLevel="2" x14ac:dyDescent="0.3">
      <c r="C11822" t="s">
        <v>3210</v>
      </c>
    </row>
    <row r="11823" spans="2:3" hidden="1" outlineLevel="2" x14ac:dyDescent="0.3">
      <c r="C11823" t="s">
        <v>3211</v>
      </c>
    </row>
    <row r="11824" spans="2:3" hidden="1" outlineLevel="2" x14ac:dyDescent="0.3">
      <c r="C11824" t="s">
        <v>3212</v>
      </c>
    </row>
    <row r="11825" spans="2:3" hidden="1" outlineLevel="2" x14ac:dyDescent="0.3">
      <c r="C11825" t="s">
        <v>3213</v>
      </c>
    </row>
    <row r="11826" spans="2:3" outlineLevel="1" collapsed="1" x14ac:dyDescent="0.3">
      <c r="B11826" t="s">
        <v>3214</v>
      </c>
    </row>
    <row r="11827" spans="2:3" hidden="1" outlineLevel="2" x14ac:dyDescent="0.3">
      <c r="C11827" t="s">
        <v>3215</v>
      </c>
    </row>
    <row r="11828" spans="2:3" hidden="1" outlineLevel="2" x14ac:dyDescent="0.3">
      <c r="C11828" t="s">
        <v>3216</v>
      </c>
    </row>
    <row r="11829" spans="2:3" outlineLevel="1" collapsed="1" x14ac:dyDescent="0.3">
      <c r="B11829" t="s">
        <v>3217</v>
      </c>
    </row>
    <row r="11830" spans="2:3" outlineLevel="1" x14ac:dyDescent="0.3">
      <c r="B11830" t="s">
        <v>3218</v>
      </c>
    </row>
    <row r="11831" spans="2:3" hidden="1" outlineLevel="2" x14ac:dyDescent="0.3">
      <c r="C11831" t="s">
        <v>3219</v>
      </c>
    </row>
    <row r="11832" spans="2:3" hidden="1" outlineLevel="2" x14ac:dyDescent="0.3">
      <c r="C11832" t="s">
        <v>3220</v>
      </c>
    </row>
    <row r="11833" spans="2:3" hidden="1" outlineLevel="2" x14ac:dyDescent="0.3">
      <c r="C11833" t="s">
        <v>3221</v>
      </c>
    </row>
    <row r="11834" spans="2:3" hidden="1" outlineLevel="2" x14ac:dyDescent="0.3">
      <c r="C11834" t="s">
        <v>3222</v>
      </c>
    </row>
    <row r="11835" spans="2:3" outlineLevel="1" collapsed="1" x14ac:dyDescent="0.3">
      <c r="B11835" t="s">
        <v>3223</v>
      </c>
    </row>
    <row r="11836" spans="2:3" hidden="1" outlineLevel="2" x14ac:dyDescent="0.3">
      <c r="C11836" t="s">
        <v>3224</v>
      </c>
    </row>
    <row r="11837" spans="2:3" hidden="1" outlineLevel="2" x14ac:dyDescent="0.3">
      <c r="C11837" t="s">
        <v>3225</v>
      </c>
    </row>
    <row r="11838" spans="2:3" hidden="1" outlineLevel="2" x14ac:dyDescent="0.3">
      <c r="C11838" t="s">
        <v>3226</v>
      </c>
    </row>
    <row r="11839" spans="2:3" outlineLevel="1" collapsed="1" x14ac:dyDescent="0.3">
      <c r="B11839" t="s">
        <v>3227</v>
      </c>
    </row>
    <row r="11840" spans="2:3" outlineLevel="1" x14ac:dyDescent="0.3">
      <c r="B11840" t="s">
        <v>3228</v>
      </c>
    </row>
    <row r="11841" spans="1:2" outlineLevel="1" x14ac:dyDescent="0.3">
      <c r="B11841" t="s">
        <v>3229</v>
      </c>
    </row>
    <row r="11842" spans="1:2" outlineLevel="1" x14ac:dyDescent="0.3">
      <c r="B11842" t="s">
        <v>3230</v>
      </c>
    </row>
    <row r="11843" spans="1:2" outlineLevel="1" x14ac:dyDescent="0.3">
      <c r="B11843" t="s">
        <v>3231</v>
      </c>
    </row>
    <row r="11844" spans="1:2" x14ac:dyDescent="0.3">
      <c r="A11844" t="s">
        <v>1697</v>
      </c>
    </row>
    <row r="11845" spans="1:2" x14ac:dyDescent="0.3">
      <c r="A11845" t="s">
        <v>1698</v>
      </c>
    </row>
    <row r="11846" spans="1:2" x14ac:dyDescent="0.3">
      <c r="A11846" t="s">
        <v>1699</v>
      </c>
    </row>
    <row r="11847" spans="1:2" x14ac:dyDescent="0.3">
      <c r="A11847" t="s">
        <v>1700</v>
      </c>
    </row>
    <row r="11848" spans="1:2" x14ac:dyDescent="0.3">
      <c r="A11848" t="s">
        <v>1701</v>
      </c>
    </row>
    <row r="11849" spans="1:2" x14ac:dyDescent="0.3">
      <c r="A11849" t="s">
        <v>1702</v>
      </c>
    </row>
    <row r="11850" spans="1:2" x14ac:dyDescent="0.3">
      <c r="A11850" t="s">
        <v>1703</v>
      </c>
    </row>
    <row r="11851" spans="1:2" outlineLevel="1" x14ac:dyDescent="0.3">
      <c r="B11851" t="s">
        <v>1704</v>
      </c>
    </row>
    <row r="11852" spans="1:2" outlineLevel="1" x14ac:dyDescent="0.3">
      <c r="B11852" t="s">
        <v>1705</v>
      </c>
    </row>
    <row r="11853" spans="1:2" outlineLevel="1" x14ac:dyDescent="0.3">
      <c r="B11853" t="s">
        <v>1706</v>
      </c>
    </row>
    <row r="11854" spans="1:2" outlineLevel="1" x14ac:dyDescent="0.3">
      <c r="B11854" t="s">
        <v>1707</v>
      </c>
    </row>
    <row r="11855" spans="1:2" outlineLevel="1" x14ac:dyDescent="0.3">
      <c r="B11855" t="s">
        <v>1708</v>
      </c>
    </row>
    <row r="11856" spans="1:2" outlineLevel="1" x14ac:dyDescent="0.3">
      <c r="B11856" t="s">
        <v>1709</v>
      </c>
    </row>
    <row r="11857" spans="1:2" outlineLevel="1" x14ac:dyDescent="0.3">
      <c r="B11857" t="s">
        <v>1710</v>
      </c>
    </row>
    <row r="11858" spans="1:2" outlineLevel="1" x14ac:dyDescent="0.3">
      <c r="B11858" t="s">
        <v>1711</v>
      </c>
    </row>
    <row r="11859" spans="1:2" outlineLevel="1" x14ac:dyDescent="0.3">
      <c r="B11859" t="s">
        <v>1712</v>
      </c>
    </row>
    <row r="11860" spans="1:2" outlineLevel="1" x14ac:dyDescent="0.3">
      <c r="B11860" t="s">
        <v>1713</v>
      </c>
    </row>
    <row r="11861" spans="1:2" outlineLevel="1" x14ac:dyDescent="0.3">
      <c r="B11861" t="s">
        <v>1714</v>
      </c>
    </row>
    <row r="11862" spans="1:2" outlineLevel="1" x14ac:dyDescent="0.3">
      <c r="B11862" t="s">
        <v>1715</v>
      </c>
    </row>
    <row r="11863" spans="1:2" outlineLevel="1" x14ac:dyDescent="0.3">
      <c r="B11863" t="s">
        <v>1716</v>
      </c>
    </row>
    <row r="11864" spans="1:2" outlineLevel="1" x14ac:dyDescent="0.3">
      <c r="B11864" t="s">
        <v>1717</v>
      </c>
    </row>
    <row r="11865" spans="1:2" outlineLevel="1" x14ac:dyDescent="0.3">
      <c r="B11865" t="s">
        <v>1718</v>
      </c>
    </row>
    <row r="11866" spans="1:2" x14ac:dyDescent="0.3">
      <c r="A11866" t="s">
        <v>1719</v>
      </c>
    </row>
    <row r="11867" spans="1:2" x14ac:dyDescent="0.3">
      <c r="A11867" t="s">
        <v>1720</v>
      </c>
    </row>
    <row r="11868" spans="1:2" outlineLevel="1" x14ac:dyDescent="0.3">
      <c r="B11868" t="s">
        <v>3232</v>
      </c>
    </row>
    <row r="11869" spans="1:2" outlineLevel="1" x14ac:dyDescent="0.3">
      <c r="B11869" t="s">
        <v>1722</v>
      </c>
    </row>
    <row r="11870" spans="1:2" x14ac:dyDescent="0.3">
      <c r="A11870" t="s">
        <v>1723</v>
      </c>
    </row>
    <row r="11871" spans="1:2" outlineLevel="1" x14ac:dyDescent="0.3">
      <c r="B11871" t="s">
        <v>3233</v>
      </c>
    </row>
    <row r="11872" spans="1:2" outlineLevel="1" x14ac:dyDescent="0.3">
      <c r="B11872" t="s">
        <v>1725</v>
      </c>
    </row>
    <row r="11873" spans="1:2" x14ac:dyDescent="0.3">
      <c r="A11873" t="s">
        <v>1726</v>
      </c>
    </row>
    <row r="11874" spans="1:2" x14ac:dyDescent="0.3">
      <c r="A11874" t="s">
        <v>1727</v>
      </c>
    </row>
    <row r="11875" spans="1:2" x14ac:dyDescent="0.3">
      <c r="A11875" t="s">
        <v>1728</v>
      </c>
    </row>
    <row r="11876" spans="1:2" x14ac:dyDescent="0.3">
      <c r="A11876" t="s">
        <v>1729</v>
      </c>
    </row>
    <row r="11877" spans="1:2" x14ac:dyDescent="0.3">
      <c r="A11877" t="s">
        <v>1730</v>
      </c>
    </row>
    <row r="11878" spans="1:2" x14ac:dyDescent="0.3">
      <c r="A11878" t="s">
        <v>1731</v>
      </c>
    </row>
    <row r="11879" spans="1:2" x14ac:dyDescent="0.3">
      <c r="A11879" t="s">
        <v>1732</v>
      </c>
    </row>
    <row r="11880" spans="1:2" x14ac:dyDescent="0.3">
      <c r="A11880" t="s">
        <v>1733</v>
      </c>
    </row>
    <row r="11881" spans="1:2" x14ac:dyDescent="0.3">
      <c r="A11881" t="s">
        <v>1734</v>
      </c>
    </row>
    <row r="11882" spans="1:2" x14ac:dyDescent="0.3">
      <c r="A11882" t="s">
        <v>1735</v>
      </c>
    </row>
    <row r="11883" spans="1:2" x14ac:dyDescent="0.3">
      <c r="A11883" t="s">
        <v>1736</v>
      </c>
    </row>
    <row r="11884" spans="1:2" outlineLevel="1" x14ac:dyDescent="0.3">
      <c r="B11884" t="s">
        <v>1737</v>
      </c>
    </row>
    <row r="11885" spans="1:2" outlineLevel="1" x14ac:dyDescent="0.3">
      <c r="B11885" t="s">
        <v>1738</v>
      </c>
    </row>
    <row r="11886" spans="1:2" outlineLevel="1" x14ac:dyDescent="0.3">
      <c r="B11886" t="s">
        <v>1739</v>
      </c>
    </row>
    <row r="11887" spans="1:2" outlineLevel="1" x14ac:dyDescent="0.3">
      <c r="B11887" t="s">
        <v>1740</v>
      </c>
    </row>
    <row r="11888" spans="1:2" outlineLevel="1" x14ac:dyDescent="0.3">
      <c r="B11888" t="s">
        <v>1741</v>
      </c>
    </row>
    <row r="11889" spans="1:2" outlineLevel="1" x14ac:dyDescent="0.3">
      <c r="B11889" t="s">
        <v>1742</v>
      </c>
    </row>
    <row r="11890" spans="1:2" outlineLevel="1" x14ac:dyDescent="0.3">
      <c r="B11890" t="s">
        <v>1743</v>
      </c>
    </row>
    <row r="11891" spans="1:2" outlineLevel="1" x14ac:dyDescent="0.3">
      <c r="B11891" t="s">
        <v>1744</v>
      </c>
    </row>
    <row r="11892" spans="1:2" outlineLevel="1" x14ac:dyDescent="0.3">
      <c r="B11892" t="s">
        <v>1745</v>
      </c>
    </row>
    <row r="11893" spans="1:2" outlineLevel="1" x14ac:dyDescent="0.3">
      <c r="B11893" t="s">
        <v>1746</v>
      </c>
    </row>
    <row r="11894" spans="1:2" outlineLevel="1" x14ac:dyDescent="0.3">
      <c r="B11894" t="s">
        <v>1747</v>
      </c>
    </row>
    <row r="11895" spans="1:2" outlineLevel="1" x14ac:dyDescent="0.3">
      <c r="B11895" t="s">
        <v>1748</v>
      </c>
    </row>
    <row r="11896" spans="1:2" outlineLevel="1" x14ac:dyDescent="0.3">
      <c r="B11896" t="s">
        <v>1749</v>
      </c>
    </row>
    <row r="11897" spans="1:2" outlineLevel="1" x14ac:dyDescent="0.3">
      <c r="B11897" t="s">
        <v>1750</v>
      </c>
    </row>
    <row r="11903" spans="1:2" x14ac:dyDescent="0.3">
      <c r="A11903" t="s">
        <v>1751</v>
      </c>
    </row>
    <row r="11904" spans="1:2" outlineLevel="1" x14ac:dyDescent="0.3">
      <c r="B11904" t="s">
        <v>1752</v>
      </c>
    </row>
    <row r="11905" spans="1:2" outlineLevel="1" x14ac:dyDescent="0.3">
      <c r="B11905" t="s">
        <v>1753</v>
      </c>
    </row>
    <row r="11906" spans="1:2" outlineLevel="1" x14ac:dyDescent="0.3">
      <c r="B11906" t="s">
        <v>1754</v>
      </c>
    </row>
    <row r="11907" spans="1:2" outlineLevel="1" x14ac:dyDescent="0.3">
      <c r="B11907" t="s">
        <v>1755</v>
      </c>
    </row>
    <row r="11908" spans="1:2" outlineLevel="1" x14ac:dyDescent="0.3">
      <c r="B11908" t="s">
        <v>1756</v>
      </c>
    </row>
    <row r="11909" spans="1:2" outlineLevel="1" x14ac:dyDescent="0.3">
      <c r="B11909" t="s">
        <v>1757</v>
      </c>
    </row>
    <row r="11910" spans="1:2" outlineLevel="1" x14ac:dyDescent="0.3">
      <c r="B11910" t="s">
        <v>1758</v>
      </c>
    </row>
    <row r="11911" spans="1:2" outlineLevel="1" x14ac:dyDescent="0.3">
      <c r="B11911" t="s">
        <v>1759</v>
      </c>
    </row>
    <row r="11912" spans="1:2" outlineLevel="1" x14ac:dyDescent="0.3">
      <c r="B11912" t="s">
        <v>1760</v>
      </c>
    </row>
    <row r="11913" spans="1:2" outlineLevel="1" x14ac:dyDescent="0.3">
      <c r="B11913" t="s">
        <v>1761</v>
      </c>
    </row>
    <row r="11914" spans="1:2" outlineLevel="1" x14ac:dyDescent="0.3">
      <c r="B11914" t="s">
        <v>1762</v>
      </c>
    </row>
    <row r="11915" spans="1:2" outlineLevel="1" x14ac:dyDescent="0.3">
      <c r="B11915" t="s">
        <v>1763</v>
      </c>
    </row>
    <row r="11916" spans="1:2" x14ac:dyDescent="0.3">
      <c r="A11916" t="s">
        <v>1764</v>
      </c>
    </row>
    <row r="11917" spans="1:2" outlineLevel="1" x14ac:dyDescent="0.3">
      <c r="B11917" t="s">
        <v>1765</v>
      </c>
    </row>
    <row r="11918" spans="1:2" outlineLevel="1" x14ac:dyDescent="0.3">
      <c r="B11918" t="s">
        <v>1766</v>
      </c>
    </row>
    <row r="11919" spans="1:2" outlineLevel="1" x14ac:dyDescent="0.3">
      <c r="B11919" t="s">
        <v>1767</v>
      </c>
    </row>
    <row r="11920" spans="1:2" x14ac:dyDescent="0.3">
      <c r="A11920" t="s">
        <v>1768</v>
      </c>
    </row>
    <row r="11921" spans="2:2" outlineLevel="1" x14ac:dyDescent="0.3">
      <c r="B11921" t="s">
        <v>1769</v>
      </c>
    </row>
    <row r="11922" spans="2:2" outlineLevel="1" x14ac:dyDescent="0.3">
      <c r="B11922" t="s">
        <v>1770</v>
      </c>
    </row>
    <row r="11923" spans="2:2" outlineLevel="1" x14ac:dyDescent="0.3">
      <c r="B11923" t="s">
        <v>1771</v>
      </c>
    </row>
    <row r="11924" spans="2:2" outlineLevel="1" x14ac:dyDescent="0.3">
      <c r="B11924" t="s">
        <v>1772</v>
      </c>
    </row>
    <row r="11925" spans="2:2" outlineLevel="1" x14ac:dyDescent="0.3">
      <c r="B11925" t="s">
        <v>1773</v>
      </c>
    </row>
    <row r="11926" spans="2:2" outlineLevel="1" x14ac:dyDescent="0.3">
      <c r="B11926" t="s">
        <v>1774</v>
      </c>
    </row>
    <row r="11927" spans="2:2" outlineLevel="1" x14ac:dyDescent="0.3">
      <c r="B11927" t="s">
        <v>1775</v>
      </c>
    </row>
    <row r="11928" spans="2:2" outlineLevel="1" x14ac:dyDescent="0.3">
      <c r="B11928" t="s">
        <v>1776</v>
      </c>
    </row>
    <row r="11929" spans="2:2" outlineLevel="1" x14ac:dyDescent="0.3">
      <c r="B11929" t="s">
        <v>1777</v>
      </c>
    </row>
    <row r="11930" spans="2:2" outlineLevel="1" x14ac:dyDescent="0.3">
      <c r="B11930" t="s">
        <v>1778</v>
      </c>
    </row>
    <row r="11931" spans="2:2" outlineLevel="1" x14ac:dyDescent="0.3">
      <c r="B11931" t="s">
        <v>1779</v>
      </c>
    </row>
    <row r="11932" spans="2:2" outlineLevel="1" x14ac:dyDescent="0.3">
      <c r="B11932" t="s">
        <v>1780</v>
      </c>
    </row>
    <row r="11933" spans="2:2" outlineLevel="1" x14ac:dyDescent="0.3">
      <c r="B11933" t="s">
        <v>1781</v>
      </c>
    </row>
    <row r="11934" spans="2:2" outlineLevel="1" x14ac:dyDescent="0.3">
      <c r="B11934" t="s">
        <v>1782</v>
      </c>
    </row>
    <row r="11935" spans="2:2" outlineLevel="1" x14ac:dyDescent="0.3">
      <c r="B11935" t="s">
        <v>1783</v>
      </c>
    </row>
    <row r="11936" spans="2:2" outlineLevel="1" x14ac:dyDescent="0.3">
      <c r="B11936" t="s">
        <v>1784</v>
      </c>
    </row>
    <row r="11937" spans="1:2" outlineLevel="1" x14ac:dyDescent="0.3">
      <c r="B11937" t="s">
        <v>1785</v>
      </c>
    </row>
    <row r="11938" spans="1:2" outlineLevel="1" x14ac:dyDescent="0.3">
      <c r="B11938" t="s">
        <v>1786</v>
      </c>
    </row>
    <row r="11939" spans="1:2" outlineLevel="1" x14ac:dyDescent="0.3">
      <c r="B11939" t="s">
        <v>1787</v>
      </c>
    </row>
    <row r="11940" spans="1:2" outlineLevel="1" x14ac:dyDescent="0.3">
      <c r="B11940" t="s">
        <v>1788</v>
      </c>
    </row>
    <row r="11941" spans="1:2" x14ac:dyDescent="0.3">
      <c r="A11941" t="s">
        <v>1789</v>
      </c>
    </row>
    <row r="11942" spans="1:2" outlineLevel="1" x14ac:dyDescent="0.3">
      <c r="B11942" t="s">
        <v>1790</v>
      </c>
    </row>
    <row r="11943" spans="1:2" outlineLevel="1" x14ac:dyDescent="0.3">
      <c r="B11943" t="s">
        <v>1791</v>
      </c>
    </row>
    <row r="11944" spans="1:2" outlineLevel="1" x14ac:dyDescent="0.3">
      <c r="B11944" t="s">
        <v>1792</v>
      </c>
    </row>
    <row r="11945" spans="1:2" outlineLevel="1" x14ac:dyDescent="0.3">
      <c r="B11945" t="s">
        <v>1793</v>
      </c>
    </row>
    <row r="11946" spans="1:2" outlineLevel="1" x14ac:dyDescent="0.3">
      <c r="B11946" t="s">
        <v>1794</v>
      </c>
    </row>
    <row r="11947" spans="1:2" outlineLevel="1" x14ac:dyDescent="0.3">
      <c r="B11947" t="s">
        <v>1795</v>
      </c>
    </row>
    <row r="11948" spans="1:2" outlineLevel="1" x14ac:dyDescent="0.3">
      <c r="B11948" t="s">
        <v>1796</v>
      </c>
    </row>
    <row r="11949" spans="1:2" outlineLevel="1" x14ac:dyDescent="0.3">
      <c r="B11949" t="s">
        <v>1797</v>
      </c>
    </row>
    <row r="11950" spans="1:2" outlineLevel="1" x14ac:dyDescent="0.3">
      <c r="B11950" t="s">
        <v>1798</v>
      </c>
    </row>
    <row r="11951" spans="1:2" outlineLevel="1" x14ac:dyDescent="0.3">
      <c r="B11951" t="s">
        <v>1799</v>
      </c>
    </row>
    <row r="11952" spans="1:2" outlineLevel="1" x14ac:dyDescent="0.3">
      <c r="B11952" t="s">
        <v>1800</v>
      </c>
    </row>
    <row r="11953" spans="1:2" outlineLevel="1" x14ac:dyDescent="0.3">
      <c r="B11953" t="s">
        <v>1801</v>
      </c>
    </row>
    <row r="11954" spans="1:2" outlineLevel="1" x14ac:dyDescent="0.3">
      <c r="B11954" t="s">
        <v>1802</v>
      </c>
    </row>
    <row r="11955" spans="1:2" outlineLevel="1" x14ac:dyDescent="0.3">
      <c r="B11955" t="s">
        <v>1803</v>
      </c>
    </row>
    <row r="11956" spans="1:2" outlineLevel="1" x14ac:dyDescent="0.3">
      <c r="B11956" t="s">
        <v>1804</v>
      </c>
    </row>
    <row r="11957" spans="1:2" outlineLevel="1" x14ac:dyDescent="0.3">
      <c r="B11957" t="s">
        <v>1805</v>
      </c>
    </row>
    <row r="11958" spans="1:2" outlineLevel="1" x14ac:dyDescent="0.3">
      <c r="B11958" t="s">
        <v>1806</v>
      </c>
    </row>
    <row r="11959" spans="1:2" outlineLevel="1" x14ac:dyDescent="0.3">
      <c r="B11959" t="s">
        <v>1807</v>
      </c>
    </row>
    <row r="11960" spans="1:2" x14ac:dyDescent="0.3">
      <c r="A11960" t="s">
        <v>1808</v>
      </c>
    </row>
    <row r="11961" spans="1:2" outlineLevel="1" x14ac:dyDescent="0.3">
      <c r="B11961" t="s">
        <v>1809</v>
      </c>
    </row>
    <row r="11962" spans="1:2" outlineLevel="1" x14ac:dyDescent="0.3">
      <c r="B11962" t="s">
        <v>1810</v>
      </c>
    </row>
    <row r="11963" spans="1:2" outlineLevel="1" x14ac:dyDescent="0.3">
      <c r="B11963" t="s">
        <v>1811</v>
      </c>
    </row>
    <row r="11964" spans="1:2" outlineLevel="1" x14ac:dyDescent="0.3">
      <c r="B11964" t="s">
        <v>1812</v>
      </c>
    </row>
    <row r="11965" spans="1:2" outlineLevel="1" x14ac:dyDescent="0.3">
      <c r="B11965" t="s">
        <v>1813</v>
      </c>
    </row>
    <row r="11966" spans="1:2" outlineLevel="1" x14ac:dyDescent="0.3">
      <c r="B11966" t="s">
        <v>1814</v>
      </c>
    </row>
    <row r="11967" spans="1:2" outlineLevel="1" x14ac:dyDescent="0.3">
      <c r="B11967" t="s">
        <v>1815</v>
      </c>
    </row>
    <row r="11968" spans="1:2" outlineLevel="1" x14ac:dyDescent="0.3">
      <c r="B11968" t="s">
        <v>1816</v>
      </c>
    </row>
    <row r="11969" spans="1:4" outlineLevel="1" x14ac:dyDescent="0.3">
      <c r="B11969" t="s">
        <v>1817</v>
      </c>
    </row>
    <row r="11970" spans="1:4" outlineLevel="1" x14ac:dyDescent="0.3">
      <c r="B11970" t="s">
        <v>1818</v>
      </c>
    </row>
    <row r="11971" spans="1:4" outlineLevel="1" x14ac:dyDescent="0.3">
      <c r="B11971" t="s">
        <v>1819</v>
      </c>
    </row>
    <row r="11972" spans="1:4" outlineLevel="1" x14ac:dyDescent="0.3">
      <c r="B11972" t="s">
        <v>1820</v>
      </c>
    </row>
    <row r="11973" spans="1:4" outlineLevel="1" x14ac:dyDescent="0.3">
      <c r="B11973" t="s">
        <v>1821</v>
      </c>
    </row>
    <row r="11974" spans="1:4" outlineLevel="1" x14ac:dyDescent="0.3">
      <c r="B11974" t="s">
        <v>1822</v>
      </c>
    </row>
    <row r="11975" spans="1:4" outlineLevel="1" x14ac:dyDescent="0.3">
      <c r="B11975" t="s">
        <v>1823</v>
      </c>
    </row>
    <row r="11976" spans="1:4" outlineLevel="1" x14ac:dyDescent="0.3">
      <c r="B11976" t="s">
        <v>1824</v>
      </c>
    </row>
    <row r="11977" spans="1:4" outlineLevel="1" x14ac:dyDescent="0.3">
      <c r="B11977" t="s">
        <v>1825</v>
      </c>
    </row>
    <row r="11978" spans="1:4" outlineLevel="1" x14ac:dyDescent="0.3">
      <c r="B11978" t="s">
        <v>1826</v>
      </c>
    </row>
    <row r="11979" spans="1:4" outlineLevel="1" x14ac:dyDescent="0.3">
      <c r="B11979" t="s">
        <v>1827</v>
      </c>
    </row>
    <row r="11980" spans="1:4" outlineLevel="1" x14ac:dyDescent="0.3">
      <c r="B11980" t="s">
        <v>1828</v>
      </c>
    </row>
    <row r="11981" spans="1:4" x14ac:dyDescent="0.3">
      <c r="A11981" t="s">
        <v>1829</v>
      </c>
    </row>
    <row r="11982" spans="1:4" outlineLevel="1" x14ac:dyDescent="0.3">
      <c r="B11982" t="s">
        <v>1830</v>
      </c>
    </row>
    <row r="11983" spans="1:4" hidden="1" outlineLevel="2" x14ac:dyDescent="0.3">
      <c r="C11983" t="s">
        <v>1831</v>
      </c>
    </row>
    <row r="11984" spans="1:4" hidden="1" outlineLevel="3" x14ac:dyDescent="0.3">
      <c r="D11984" t="s">
        <v>1832</v>
      </c>
    </row>
    <row r="11985" spans="2:4" hidden="1" outlineLevel="3" x14ac:dyDescent="0.3">
      <c r="D11985" t="s">
        <v>1833</v>
      </c>
    </row>
    <row r="11986" spans="2:4" hidden="1" outlineLevel="3" x14ac:dyDescent="0.3">
      <c r="D11986" t="s">
        <v>1834</v>
      </c>
    </row>
    <row r="11987" spans="2:4" hidden="1" outlineLevel="3" x14ac:dyDescent="0.3">
      <c r="D11987" t="s">
        <v>1835</v>
      </c>
    </row>
    <row r="11988" spans="2:4" hidden="1" outlineLevel="2" x14ac:dyDescent="0.3">
      <c r="C11988" t="s">
        <v>1836</v>
      </c>
    </row>
    <row r="11989" spans="2:4" hidden="1" outlineLevel="2" x14ac:dyDescent="0.3">
      <c r="C11989" t="s">
        <v>1837</v>
      </c>
    </row>
    <row r="11990" spans="2:4" hidden="1" outlineLevel="2" x14ac:dyDescent="0.3">
      <c r="C11990" t="s">
        <v>1838</v>
      </c>
    </row>
    <row r="11991" spans="2:4" hidden="1" outlineLevel="2" x14ac:dyDescent="0.3">
      <c r="C11991" t="s">
        <v>1839</v>
      </c>
    </row>
    <row r="11992" spans="2:4" hidden="1" outlineLevel="2" x14ac:dyDescent="0.3">
      <c r="C11992" t="s">
        <v>1840</v>
      </c>
    </row>
    <row r="11993" spans="2:4" hidden="1" outlineLevel="2" x14ac:dyDescent="0.3">
      <c r="C11993" t="s">
        <v>1841</v>
      </c>
    </row>
    <row r="11994" spans="2:4" outlineLevel="1" collapsed="1" x14ac:dyDescent="0.3">
      <c r="B11994" t="s">
        <v>1842</v>
      </c>
    </row>
    <row r="11995" spans="2:4" outlineLevel="1" x14ac:dyDescent="0.3">
      <c r="B11995" t="s">
        <v>1843</v>
      </c>
    </row>
    <row r="11996" spans="2:4" outlineLevel="1" x14ac:dyDescent="0.3">
      <c r="B11996" t="s">
        <v>1844</v>
      </c>
    </row>
    <row r="11997" spans="2:4" outlineLevel="1" x14ac:dyDescent="0.3">
      <c r="B11997" t="s">
        <v>1845</v>
      </c>
    </row>
    <row r="11998" spans="2:4" outlineLevel="1" x14ac:dyDescent="0.3">
      <c r="B11998" t="s">
        <v>1846</v>
      </c>
    </row>
    <row r="11999" spans="2:4" outlineLevel="1" x14ac:dyDescent="0.3">
      <c r="B11999" t="s">
        <v>1847</v>
      </c>
    </row>
    <row r="12000" spans="2:4" outlineLevel="1" x14ac:dyDescent="0.3">
      <c r="B12000" t="s">
        <v>1848</v>
      </c>
    </row>
    <row r="12001" spans="1:4" outlineLevel="1" x14ac:dyDescent="0.3">
      <c r="B12001" t="s">
        <v>1849</v>
      </c>
    </row>
    <row r="12002" spans="1:4" outlineLevel="1" x14ac:dyDescent="0.3">
      <c r="B12002" t="s">
        <v>1850</v>
      </c>
    </row>
    <row r="12003" spans="1:4" outlineLevel="1" x14ac:dyDescent="0.3">
      <c r="B12003" t="s">
        <v>1851</v>
      </c>
    </row>
    <row r="12004" spans="1:4" outlineLevel="1" x14ac:dyDescent="0.3">
      <c r="B12004" t="s">
        <v>1852</v>
      </c>
    </row>
    <row r="12005" spans="1:4" x14ac:dyDescent="0.3">
      <c r="A12005" t="s">
        <v>1853</v>
      </c>
    </row>
    <row r="12006" spans="1:4" outlineLevel="1" x14ac:dyDescent="0.3">
      <c r="B12006" t="s">
        <v>1854</v>
      </c>
    </row>
    <row r="12007" spans="1:4" hidden="1" outlineLevel="2" x14ac:dyDescent="0.3">
      <c r="C12007" t="s">
        <v>1855</v>
      </c>
    </row>
    <row r="12008" spans="1:4" hidden="1" outlineLevel="3" x14ac:dyDescent="0.3">
      <c r="D12008" t="s">
        <v>1856</v>
      </c>
    </row>
    <row r="12009" spans="1:4" hidden="1" outlineLevel="3" x14ac:dyDescent="0.3">
      <c r="D12009" t="s">
        <v>1857</v>
      </c>
    </row>
    <row r="12010" spans="1:4" hidden="1" outlineLevel="3" x14ac:dyDescent="0.3">
      <c r="D12010" t="s">
        <v>1858</v>
      </c>
    </row>
    <row r="12011" spans="1:4" hidden="1" outlineLevel="2" x14ac:dyDescent="0.3">
      <c r="C12011" t="s">
        <v>1859</v>
      </c>
    </row>
    <row r="12012" spans="1:4" outlineLevel="1" collapsed="1" x14ac:dyDescent="0.3">
      <c r="B12012" t="s">
        <v>1860</v>
      </c>
    </row>
    <row r="12013" spans="1:4" outlineLevel="1" x14ac:dyDescent="0.3">
      <c r="B12013" t="s">
        <v>1861</v>
      </c>
    </row>
    <row r="12014" spans="1:4" outlineLevel="1" x14ac:dyDescent="0.3">
      <c r="B12014" t="s">
        <v>1862</v>
      </c>
    </row>
    <row r="12015" spans="1:4" outlineLevel="1" x14ac:dyDescent="0.3">
      <c r="B12015" t="s">
        <v>1863</v>
      </c>
    </row>
    <row r="12016" spans="1:4" outlineLevel="1" x14ac:dyDescent="0.3">
      <c r="B12016" t="s">
        <v>1864</v>
      </c>
    </row>
    <row r="12017" spans="1:2" outlineLevel="1" x14ac:dyDescent="0.3">
      <c r="B12017" t="s">
        <v>1865</v>
      </c>
    </row>
    <row r="12018" spans="1:2" outlineLevel="1" x14ac:dyDescent="0.3">
      <c r="B12018" t="s">
        <v>1866</v>
      </c>
    </row>
    <row r="12019" spans="1:2" outlineLevel="1" x14ac:dyDescent="0.3">
      <c r="B12019" t="s">
        <v>1867</v>
      </c>
    </row>
    <row r="12020" spans="1:2" outlineLevel="1" x14ac:dyDescent="0.3">
      <c r="B12020" t="s">
        <v>1868</v>
      </c>
    </row>
    <row r="12021" spans="1:2" outlineLevel="1" x14ac:dyDescent="0.3">
      <c r="B12021" t="s">
        <v>1869</v>
      </c>
    </row>
    <row r="12022" spans="1:2" outlineLevel="1" x14ac:dyDescent="0.3">
      <c r="B12022" t="s">
        <v>1870</v>
      </c>
    </row>
    <row r="12023" spans="1:2" outlineLevel="1" x14ac:dyDescent="0.3">
      <c r="B12023" t="s">
        <v>1871</v>
      </c>
    </row>
    <row r="12024" spans="1:2" outlineLevel="1" x14ac:dyDescent="0.3">
      <c r="B12024" t="s">
        <v>1872</v>
      </c>
    </row>
    <row r="12025" spans="1:2" outlineLevel="1" x14ac:dyDescent="0.3">
      <c r="B12025" t="s">
        <v>1873</v>
      </c>
    </row>
    <row r="12026" spans="1:2" outlineLevel="1" x14ac:dyDescent="0.3">
      <c r="B12026" t="s">
        <v>1874</v>
      </c>
    </row>
    <row r="12027" spans="1:2" x14ac:dyDescent="0.3">
      <c r="A12027" t="s">
        <v>1875</v>
      </c>
    </row>
    <row r="12033" spans="1:3" x14ac:dyDescent="0.3">
      <c r="A12033" t="s">
        <v>1876</v>
      </c>
    </row>
    <row r="12034" spans="1:3" outlineLevel="1" x14ac:dyDescent="0.3">
      <c r="B12034" t="s">
        <v>1877</v>
      </c>
    </row>
    <row r="12035" spans="1:3" hidden="1" outlineLevel="2" x14ac:dyDescent="0.3">
      <c r="C12035" t="s">
        <v>3234</v>
      </c>
    </row>
    <row r="12036" spans="1:3" hidden="1" outlineLevel="2" x14ac:dyDescent="0.3">
      <c r="C12036" t="s">
        <v>3235</v>
      </c>
    </row>
    <row r="12037" spans="1:3" outlineLevel="1" collapsed="1" x14ac:dyDescent="0.3">
      <c r="B12037" t="s">
        <v>1882</v>
      </c>
    </row>
    <row r="12038" spans="1:3" hidden="1" outlineLevel="2" x14ac:dyDescent="0.3">
      <c r="C12038" t="s">
        <v>3236</v>
      </c>
    </row>
    <row r="12039" spans="1:3" hidden="1" outlineLevel="2" x14ac:dyDescent="0.3">
      <c r="C12039" t="s">
        <v>3237</v>
      </c>
    </row>
    <row r="12040" spans="1:3" hidden="1" outlineLevel="2" x14ac:dyDescent="0.3">
      <c r="C12040" t="s">
        <v>3238</v>
      </c>
    </row>
    <row r="12041" spans="1:3" hidden="1" outlineLevel="2" x14ac:dyDescent="0.3">
      <c r="C12041" t="s">
        <v>3239</v>
      </c>
    </row>
    <row r="12042" spans="1:3" outlineLevel="1" collapsed="1" x14ac:dyDescent="0.3">
      <c r="B12042" t="s">
        <v>1888</v>
      </c>
    </row>
    <row r="12043" spans="1:3" outlineLevel="1" x14ac:dyDescent="0.3">
      <c r="B12043" t="s">
        <v>1889</v>
      </c>
    </row>
    <row r="12044" spans="1:3" outlineLevel="1" x14ac:dyDescent="0.3">
      <c r="B12044" t="s">
        <v>1890</v>
      </c>
    </row>
    <row r="12045" spans="1:3" hidden="1" outlineLevel="2" x14ac:dyDescent="0.3">
      <c r="C12045" t="s">
        <v>3240</v>
      </c>
    </row>
    <row r="12046" spans="1:3" hidden="1" outlineLevel="2" x14ac:dyDescent="0.3">
      <c r="C12046" t="s">
        <v>3241</v>
      </c>
    </row>
    <row r="12047" spans="1:3" hidden="1" outlineLevel="2" x14ac:dyDescent="0.3">
      <c r="C12047" t="s">
        <v>3242</v>
      </c>
    </row>
    <row r="12048" spans="1:3" hidden="1" outlineLevel="2" x14ac:dyDescent="0.3">
      <c r="C12048" t="s">
        <v>3243</v>
      </c>
    </row>
    <row r="12049" spans="3:4" hidden="1" outlineLevel="2" x14ac:dyDescent="0.3">
      <c r="C12049" t="s">
        <v>3244</v>
      </c>
    </row>
    <row r="12050" spans="3:4" hidden="1" outlineLevel="2" x14ac:dyDescent="0.3">
      <c r="C12050" t="s">
        <v>3245</v>
      </c>
    </row>
    <row r="12051" spans="3:4" hidden="1" outlineLevel="2" x14ac:dyDescent="0.3">
      <c r="C12051" t="s">
        <v>3246</v>
      </c>
    </row>
    <row r="12052" spans="3:4" hidden="1" outlineLevel="2" x14ac:dyDescent="0.3">
      <c r="C12052" t="s">
        <v>3247</v>
      </c>
    </row>
    <row r="12053" spans="3:4" hidden="1" outlineLevel="2" x14ac:dyDescent="0.3">
      <c r="C12053" t="s">
        <v>3248</v>
      </c>
    </row>
    <row r="12054" spans="3:4" hidden="1" outlineLevel="2" x14ac:dyDescent="0.3">
      <c r="C12054" t="s">
        <v>3249</v>
      </c>
    </row>
    <row r="12055" spans="3:4" hidden="1" outlineLevel="2" x14ac:dyDescent="0.3">
      <c r="C12055" t="s">
        <v>3250</v>
      </c>
    </row>
    <row r="12056" spans="3:4" hidden="1" outlineLevel="2" x14ac:dyDescent="0.3">
      <c r="C12056" t="s">
        <v>3251</v>
      </c>
    </row>
    <row r="12057" spans="3:4" hidden="1" outlineLevel="2" x14ac:dyDescent="0.3">
      <c r="C12057" t="s">
        <v>3252</v>
      </c>
    </row>
    <row r="12058" spans="3:4" hidden="1" outlineLevel="3" x14ac:dyDescent="0.3">
      <c r="D12058" t="s">
        <v>3253</v>
      </c>
    </row>
    <row r="12059" spans="3:4" hidden="1" outlineLevel="3" x14ac:dyDescent="0.3">
      <c r="D12059" t="s">
        <v>3254</v>
      </c>
    </row>
    <row r="12060" spans="3:4" hidden="1" outlineLevel="3" x14ac:dyDescent="0.3">
      <c r="D12060" t="s">
        <v>3255</v>
      </c>
    </row>
    <row r="12061" spans="3:4" hidden="1" outlineLevel="2" x14ac:dyDescent="0.3">
      <c r="C12061" t="s">
        <v>3257</v>
      </c>
    </row>
    <row r="12062" spans="3:4" hidden="1" outlineLevel="3" x14ac:dyDescent="0.3">
      <c r="D12062" t="s">
        <v>3258</v>
      </c>
    </row>
    <row r="12063" spans="3:4" hidden="1" outlineLevel="3" x14ac:dyDescent="0.3">
      <c r="D12063" t="s">
        <v>3259</v>
      </c>
    </row>
    <row r="12064" spans="3:4" hidden="1" outlineLevel="3" x14ac:dyDescent="0.3">
      <c r="D12064" t="s">
        <v>3260</v>
      </c>
    </row>
    <row r="12065" spans="3:4" hidden="1" outlineLevel="2" x14ac:dyDescent="0.3">
      <c r="C12065" t="s">
        <v>3261</v>
      </c>
    </row>
    <row r="12066" spans="3:4" hidden="1" outlineLevel="2" x14ac:dyDescent="0.3">
      <c r="C12066" t="s">
        <v>3262</v>
      </c>
    </row>
    <row r="12067" spans="3:4" hidden="1" outlineLevel="2" x14ac:dyDescent="0.3">
      <c r="C12067" t="s">
        <v>3263</v>
      </c>
    </row>
    <row r="12068" spans="3:4" hidden="1" outlineLevel="2" x14ac:dyDescent="0.3">
      <c r="C12068" t="s">
        <v>3264</v>
      </c>
    </row>
    <row r="12069" spans="3:4" hidden="1" outlineLevel="2" x14ac:dyDescent="0.3">
      <c r="C12069" t="s">
        <v>3265</v>
      </c>
    </row>
    <row r="12070" spans="3:4" hidden="1" outlineLevel="2" x14ac:dyDescent="0.3">
      <c r="C12070" t="s">
        <v>3266</v>
      </c>
    </row>
    <row r="12071" spans="3:4" hidden="1" outlineLevel="2" x14ac:dyDescent="0.3">
      <c r="C12071" t="s">
        <v>3267</v>
      </c>
    </row>
    <row r="12072" spans="3:4" hidden="1" outlineLevel="3" x14ac:dyDescent="0.3">
      <c r="D12072" t="s">
        <v>3268</v>
      </c>
    </row>
    <row r="12073" spans="3:4" hidden="1" outlineLevel="3" x14ac:dyDescent="0.3">
      <c r="D12073" t="s">
        <v>3269</v>
      </c>
    </row>
    <row r="12074" spans="3:4" hidden="1" outlineLevel="3" x14ac:dyDescent="0.3">
      <c r="D12074" t="s">
        <v>3270</v>
      </c>
    </row>
    <row r="12075" spans="3:4" hidden="1" outlineLevel="3" x14ac:dyDescent="0.3">
      <c r="D12075" t="s">
        <v>3271</v>
      </c>
    </row>
    <row r="12076" spans="3:4" hidden="1" outlineLevel="2" x14ac:dyDescent="0.3">
      <c r="C12076" t="s">
        <v>3272</v>
      </c>
    </row>
    <row r="12077" spans="3:4" hidden="1" outlineLevel="3" x14ac:dyDescent="0.3">
      <c r="D12077" t="s">
        <v>3273</v>
      </c>
    </row>
    <row r="12078" spans="3:4" hidden="1" outlineLevel="3" x14ac:dyDescent="0.3">
      <c r="D12078" t="s">
        <v>3274</v>
      </c>
    </row>
    <row r="12079" spans="3:4" hidden="1" outlineLevel="3" x14ac:dyDescent="0.3">
      <c r="D12079" t="s">
        <v>3275</v>
      </c>
    </row>
    <row r="12080" spans="3:4" hidden="1" outlineLevel="2" x14ac:dyDescent="0.3">
      <c r="C12080" t="s">
        <v>3276</v>
      </c>
    </row>
    <row r="12081" spans="3:4" hidden="1" outlineLevel="3" x14ac:dyDescent="0.3">
      <c r="D12081" t="s">
        <v>3277</v>
      </c>
    </row>
    <row r="12082" spans="3:4" hidden="1" outlineLevel="3" x14ac:dyDescent="0.3">
      <c r="D12082" t="s">
        <v>3278</v>
      </c>
    </row>
    <row r="12083" spans="3:4" hidden="1" outlineLevel="3" x14ac:dyDescent="0.3">
      <c r="D12083" t="s">
        <v>4097</v>
      </c>
    </row>
    <row r="12084" spans="3:4" hidden="1" outlineLevel="3" x14ac:dyDescent="0.3">
      <c r="D12084" t="s">
        <v>3280</v>
      </c>
    </row>
    <row r="12085" spans="3:4" hidden="1" outlineLevel="2" x14ac:dyDescent="0.3">
      <c r="C12085" t="s">
        <v>3281</v>
      </c>
    </row>
    <row r="12086" spans="3:4" hidden="1" outlineLevel="3" x14ac:dyDescent="0.3">
      <c r="D12086" t="s">
        <v>3282</v>
      </c>
    </row>
    <row r="12087" spans="3:4" hidden="1" outlineLevel="3" x14ac:dyDescent="0.3">
      <c r="D12087" t="s">
        <v>3283</v>
      </c>
    </row>
    <row r="12088" spans="3:4" hidden="1" outlineLevel="3" x14ac:dyDescent="0.3">
      <c r="D12088" t="s">
        <v>3284</v>
      </c>
    </row>
    <row r="12089" spans="3:4" hidden="1" outlineLevel="3" x14ac:dyDescent="0.3">
      <c r="D12089" t="s">
        <v>3285</v>
      </c>
    </row>
    <row r="12090" spans="3:4" hidden="1" outlineLevel="3" x14ac:dyDescent="0.3">
      <c r="D12090" t="s">
        <v>3286</v>
      </c>
    </row>
    <row r="12091" spans="3:4" hidden="1" outlineLevel="2" x14ac:dyDescent="0.3">
      <c r="C12091" t="s">
        <v>3287</v>
      </c>
    </row>
    <row r="12092" spans="3:4" hidden="1" outlineLevel="3" x14ac:dyDescent="0.3">
      <c r="D12092" t="s">
        <v>3288</v>
      </c>
    </row>
    <row r="12093" spans="3:4" hidden="1" outlineLevel="3" x14ac:dyDescent="0.3">
      <c r="D12093" t="s">
        <v>3289</v>
      </c>
    </row>
    <row r="12094" spans="3:4" hidden="1" outlineLevel="3" x14ac:dyDescent="0.3">
      <c r="D12094" t="s">
        <v>3290</v>
      </c>
    </row>
    <row r="12095" spans="3:4" hidden="1" outlineLevel="3" x14ac:dyDescent="0.3">
      <c r="D12095" t="s">
        <v>3291</v>
      </c>
    </row>
    <row r="12096" spans="3:4" hidden="1" outlineLevel="2" x14ac:dyDescent="0.3">
      <c r="C12096" t="s">
        <v>3292</v>
      </c>
    </row>
    <row r="12097" spans="3:3" hidden="1" outlineLevel="2" x14ac:dyDescent="0.3">
      <c r="C12097" t="s">
        <v>3293</v>
      </c>
    </row>
    <row r="12098" spans="3:3" hidden="1" outlineLevel="2" x14ac:dyDescent="0.3">
      <c r="C12098" t="s">
        <v>3294</v>
      </c>
    </row>
    <row r="12099" spans="3:3" hidden="1" outlineLevel="2" x14ac:dyDescent="0.3">
      <c r="C12099" t="s">
        <v>3295</v>
      </c>
    </row>
    <row r="12100" spans="3:3" hidden="1" outlineLevel="2" x14ac:dyDescent="0.3">
      <c r="C12100" t="s">
        <v>3296</v>
      </c>
    </row>
    <row r="12101" spans="3:3" hidden="1" outlineLevel="2" x14ac:dyDescent="0.3">
      <c r="C12101" t="s">
        <v>3297</v>
      </c>
    </row>
    <row r="12102" spans="3:3" hidden="1" outlineLevel="2" x14ac:dyDescent="0.3">
      <c r="C12102" t="s">
        <v>3298</v>
      </c>
    </row>
    <row r="12103" spans="3:3" hidden="1" outlineLevel="2" x14ac:dyDescent="0.3">
      <c r="C12103" t="s">
        <v>3299</v>
      </c>
    </row>
    <row r="12104" spans="3:3" hidden="1" outlineLevel="2" x14ac:dyDescent="0.3">
      <c r="C12104" t="s">
        <v>3300</v>
      </c>
    </row>
    <row r="12105" spans="3:3" hidden="1" outlineLevel="2" x14ac:dyDescent="0.3">
      <c r="C12105" t="s">
        <v>3301</v>
      </c>
    </row>
    <row r="12106" spans="3:3" hidden="1" outlineLevel="2" x14ac:dyDescent="0.3">
      <c r="C12106" t="s">
        <v>3302</v>
      </c>
    </row>
    <row r="12107" spans="3:3" hidden="1" outlineLevel="2" x14ac:dyDescent="0.3">
      <c r="C12107" t="s">
        <v>4997</v>
      </c>
    </row>
    <row r="12108" spans="3:3" hidden="1" outlineLevel="2" x14ac:dyDescent="0.3">
      <c r="C12108" t="s">
        <v>4555</v>
      </c>
    </row>
    <row r="12109" spans="3:3" hidden="1" outlineLevel="2" x14ac:dyDescent="0.3">
      <c r="C12109" t="s">
        <v>4998</v>
      </c>
    </row>
    <row r="12110" spans="3:3" hidden="1" outlineLevel="2" x14ac:dyDescent="0.3">
      <c r="C12110" t="s">
        <v>3303</v>
      </c>
    </row>
    <row r="12111" spans="3:3" hidden="1" outlineLevel="2" x14ac:dyDescent="0.3">
      <c r="C12111" t="s">
        <v>3304</v>
      </c>
    </row>
    <row r="12112" spans="3:3" hidden="1" outlineLevel="2" x14ac:dyDescent="0.3">
      <c r="C12112" t="s">
        <v>3305</v>
      </c>
    </row>
    <row r="12113" spans="2:3" hidden="1" outlineLevel="2" x14ac:dyDescent="0.3">
      <c r="C12113" t="s">
        <v>3306</v>
      </c>
    </row>
    <row r="12114" spans="2:3" hidden="1" outlineLevel="2" x14ac:dyDescent="0.3">
      <c r="C12114" t="s">
        <v>3307</v>
      </c>
    </row>
    <row r="12115" spans="2:3" hidden="1" outlineLevel="2" x14ac:dyDescent="0.3">
      <c r="C12115" t="s">
        <v>3308</v>
      </c>
    </row>
    <row r="12116" spans="2:3" hidden="1" outlineLevel="2" x14ac:dyDescent="0.3">
      <c r="C12116" t="s">
        <v>4830</v>
      </c>
    </row>
    <row r="12117" spans="2:3" hidden="1" outlineLevel="2" x14ac:dyDescent="0.3">
      <c r="C12117" t="s">
        <v>3309</v>
      </c>
    </row>
    <row r="12118" spans="2:3" hidden="1" outlineLevel="2" x14ac:dyDescent="0.3">
      <c r="C12118" t="s">
        <v>3310</v>
      </c>
    </row>
    <row r="12119" spans="2:3" hidden="1" outlineLevel="2" x14ac:dyDescent="0.3">
      <c r="C12119" t="s">
        <v>3311</v>
      </c>
    </row>
    <row r="12120" spans="2:3" hidden="1" outlineLevel="2" x14ac:dyDescent="0.3">
      <c r="C12120" t="s">
        <v>3312</v>
      </c>
    </row>
    <row r="12121" spans="2:3" outlineLevel="1" collapsed="1" x14ac:dyDescent="0.3">
      <c r="B12121" t="s">
        <v>1981</v>
      </c>
    </row>
    <row r="12122" spans="2:3" hidden="1" outlineLevel="2" x14ac:dyDescent="0.3">
      <c r="C12122" t="s">
        <v>3313</v>
      </c>
    </row>
    <row r="12123" spans="2:3" hidden="1" outlineLevel="2" x14ac:dyDescent="0.3">
      <c r="C12123" t="s">
        <v>3314</v>
      </c>
    </row>
    <row r="12124" spans="2:3" hidden="1" outlineLevel="2" x14ac:dyDescent="0.3">
      <c r="C12124" t="s">
        <v>3315</v>
      </c>
    </row>
    <row r="12125" spans="2:3" hidden="1" outlineLevel="2" x14ac:dyDescent="0.3">
      <c r="C12125" t="s">
        <v>3316</v>
      </c>
    </row>
    <row r="12126" spans="2:3" hidden="1" outlineLevel="2" x14ac:dyDescent="0.3">
      <c r="C12126" t="s">
        <v>3317</v>
      </c>
    </row>
    <row r="12127" spans="2:3" hidden="1" outlineLevel="2" x14ac:dyDescent="0.3">
      <c r="C12127" t="s">
        <v>3318</v>
      </c>
    </row>
    <row r="12128" spans="2:3" hidden="1" outlineLevel="2" x14ac:dyDescent="0.3">
      <c r="C12128" t="s">
        <v>3319</v>
      </c>
    </row>
    <row r="12129" spans="3:4" hidden="1" outlineLevel="2" x14ac:dyDescent="0.3">
      <c r="C12129" t="s">
        <v>3320</v>
      </c>
    </row>
    <row r="12130" spans="3:4" hidden="1" outlineLevel="2" x14ac:dyDescent="0.3">
      <c r="C12130" t="s">
        <v>3321</v>
      </c>
    </row>
    <row r="12131" spans="3:4" hidden="1" outlineLevel="2" x14ac:dyDescent="0.3">
      <c r="C12131" t="s">
        <v>3322</v>
      </c>
    </row>
    <row r="12132" spans="3:4" hidden="1" outlineLevel="2" x14ac:dyDescent="0.3">
      <c r="C12132" t="s">
        <v>3323</v>
      </c>
    </row>
    <row r="12133" spans="3:4" hidden="1" outlineLevel="2" x14ac:dyDescent="0.3">
      <c r="C12133" t="s">
        <v>3324</v>
      </c>
    </row>
    <row r="12134" spans="3:4" hidden="1" outlineLevel="2" x14ac:dyDescent="0.3">
      <c r="C12134" t="s">
        <v>3325</v>
      </c>
    </row>
    <row r="12135" spans="3:4" hidden="1" outlineLevel="2" x14ac:dyDescent="0.3">
      <c r="C12135" t="s">
        <v>3326</v>
      </c>
    </row>
    <row r="12136" spans="3:4" hidden="1" outlineLevel="3" x14ac:dyDescent="0.3">
      <c r="D12136" t="s">
        <v>3327</v>
      </c>
    </row>
    <row r="12137" spans="3:4" hidden="1" outlineLevel="3" x14ac:dyDescent="0.3">
      <c r="D12137" t="s">
        <v>3328</v>
      </c>
    </row>
    <row r="12138" spans="3:4" hidden="1" outlineLevel="3" x14ac:dyDescent="0.3">
      <c r="D12138" t="s">
        <v>3329</v>
      </c>
    </row>
    <row r="12139" spans="3:4" hidden="1" outlineLevel="2" x14ac:dyDescent="0.3">
      <c r="C12139" t="s">
        <v>3331</v>
      </c>
    </row>
    <row r="12140" spans="3:4" hidden="1" outlineLevel="3" x14ac:dyDescent="0.3">
      <c r="D12140" t="s">
        <v>3332</v>
      </c>
    </row>
    <row r="12141" spans="3:4" hidden="1" outlineLevel="3" x14ac:dyDescent="0.3">
      <c r="D12141" t="s">
        <v>3333</v>
      </c>
    </row>
    <row r="12142" spans="3:4" hidden="1" outlineLevel="3" x14ac:dyDescent="0.3">
      <c r="D12142" t="s">
        <v>3334</v>
      </c>
    </row>
    <row r="12143" spans="3:4" hidden="1" outlineLevel="2" x14ac:dyDescent="0.3">
      <c r="C12143" t="s">
        <v>3335</v>
      </c>
    </row>
    <row r="12144" spans="3:4" hidden="1" outlineLevel="2" x14ac:dyDescent="0.3">
      <c r="C12144" t="s">
        <v>3336</v>
      </c>
    </row>
    <row r="12145" spans="3:4" hidden="1" outlineLevel="2" x14ac:dyDescent="0.3">
      <c r="C12145" t="s">
        <v>3337</v>
      </c>
    </row>
    <row r="12146" spans="3:4" hidden="1" outlineLevel="2" x14ac:dyDescent="0.3">
      <c r="C12146" t="s">
        <v>3338</v>
      </c>
    </row>
    <row r="12147" spans="3:4" hidden="1" outlineLevel="2" x14ac:dyDescent="0.3">
      <c r="C12147" t="s">
        <v>3339</v>
      </c>
    </row>
    <row r="12148" spans="3:4" hidden="1" outlineLevel="2" x14ac:dyDescent="0.3">
      <c r="C12148" t="s">
        <v>3340</v>
      </c>
    </row>
    <row r="12149" spans="3:4" hidden="1" outlineLevel="2" x14ac:dyDescent="0.3">
      <c r="C12149" t="s">
        <v>3341</v>
      </c>
    </row>
    <row r="12150" spans="3:4" hidden="1" outlineLevel="3" x14ac:dyDescent="0.3">
      <c r="D12150" t="s">
        <v>3342</v>
      </c>
    </row>
    <row r="12151" spans="3:4" hidden="1" outlineLevel="3" x14ac:dyDescent="0.3">
      <c r="D12151" t="s">
        <v>3343</v>
      </c>
    </row>
    <row r="12152" spans="3:4" hidden="1" outlineLevel="3" x14ac:dyDescent="0.3">
      <c r="D12152" t="s">
        <v>3344</v>
      </c>
    </row>
    <row r="12153" spans="3:4" hidden="1" outlineLevel="3" x14ac:dyDescent="0.3">
      <c r="D12153" t="s">
        <v>3345</v>
      </c>
    </row>
    <row r="12154" spans="3:4" hidden="1" outlineLevel="2" x14ac:dyDescent="0.3">
      <c r="C12154" t="s">
        <v>3346</v>
      </c>
    </row>
    <row r="12155" spans="3:4" hidden="1" outlineLevel="3" x14ac:dyDescent="0.3">
      <c r="D12155" t="s">
        <v>3347</v>
      </c>
    </row>
    <row r="12156" spans="3:4" hidden="1" outlineLevel="3" x14ac:dyDescent="0.3">
      <c r="D12156" t="s">
        <v>3348</v>
      </c>
    </row>
    <row r="12157" spans="3:4" hidden="1" outlineLevel="3" x14ac:dyDescent="0.3">
      <c r="D12157" t="s">
        <v>3349</v>
      </c>
    </row>
    <row r="12158" spans="3:4" hidden="1" outlineLevel="2" x14ac:dyDescent="0.3">
      <c r="C12158" t="s">
        <v>3350</v>
      </c>
    </row>
    <row r="12159" spans="3:4" hidden="1" outlineLevel="3" x14ac:dyDescent="0.3">
      <c r="D12159" t="s">
        <v>3351</v>
      </c>
    </row>
    <row r="12160" spans="3:4" hidden="1" outlineLevel="3" x14ac:dyDescent="0.3">
      <c r="D12160" t="s">
        <v>3352</v>
      </c>
    </row>
    <row r="12161" spans="3:4" hidden="1" outlineLevel="3" x14ac:dyDescent="0.3">
      <c r="D12161" t="s">
        <v>3353</v>
      </c>
    </row>
    <row r="12162" spans="3:4" hidden="1" outlineLevel="3" x14ac:dyDescent="0.3">
      <c r="D12162" t="s">
        <v>3354</v>
      </c>
    </row>
    <row r="12163" spans="3:4" hidden="1" outlineLevel="2" x14ac:dyDescent="0.3">
      <c r="C12163" t="s">
        <v>3355</v>
      </c>
    </row>
    <row r="12164" spans="3:4" hidden="1" outlineLevel="3" x14ac:dyDescent="0.3">
      <c r="D12164" t="s">
        <v>3356</v>
      </c>
    </row>
    <row r="12165" spans="3:4" hidden="1" outlineLevel="3" x14ac:dyDescent="0.3">
      <c r="D12165" t="s">
        <v>3357</v>
      </c>
    </row>
    <row r="12166" spans="3:4" hidden="1" outlineLevel="3" x14ac:dyDescent="0.3">
      <c r="D12166" t="s">
        <v>3358</v>
      </c>
    </row>
    <row r="12167" spans="3:4" hidden="1" outlineLevel="3" x14ac:dyDescent="0.3">
      <c r="D12167" t="s">
        <v>3359</v>
      </c>
    </row>
    <row r="12168" spans="3:4" hidden="1" outlineLevel="3" x14ac:dyDescent="0.3">
      <c r="D12168" t="s">
        <v>3360</v>
      </c>
    </row>
    <row r="12169" spans="3:4" hidden="1" outlineLevel="2" x14ac:dyDescent="0.3">
      <c r="C12169" t="s">
        <v>3361</v>
      </c>
    </row>
    <row r="12170" spans="3:4" hidden="1" outlineLevel="3" x14ac:dyDescent="0.3">
      <c r="D12170" t="s">
        <v>3362</v>
      </c>
    </row>
    <row r="12171" spans="3:4" hidden="1" outlineLevel="3" x14ac:dyDescent="0.3">
      <c r="D12171" t="s">
        <v>3363</v>
      </c>
    </row>
    <row r="12172" spans="3:4" hidden="1" outlineLevel="3" x14ac:dyDescent="0.3">
      <c r="D12172" t="s">
        <v>3364</v>
      </c>
    </row>
    <row r="12173" spans="3:4" hidden="1" outlineLevel="3" x14ac:dyDescent="0.3">
      <c r="D12173" t="s">
        <v>3365</v>
      </c>
    </row>
    <row r="12174" spans="3:4" hidden="1" outlineLevel="2" x14ac:dyDescent="0.3">
      <c r="C12174" t="s">
        <v>3366</v>
      </c>
    </row>
    <row r="12175" spans="3:4" hidden="1" outlineLevel="2" x14ac:dyDescent="0.3">
      <c r="C12175" t="s">
        <v>3367</v>
      </c>
    </row>
    <row r="12176" spans="3:4" hidden="1" outlineLevel="2" x14ac:dyDescent="0.3">
      <c r="C12176" t="s">
        <v>3368</v>
      </c>
    </row>
    <row r="12177" spans="3:3" hidden="1" outlineLevel="2" x14ac:dyDescent="0.3">
      <c r="C12177" t="s">
        <v>3369</v>
      </c>
    </row>
    <row r="12178" spans="3:3" hidden="1" outlineLevel="2" x14ac:dyDescent="0.3">
      <c r="C12178" t="s">
        <v>3370</v>
      </c>
    </row>
    <row r="12179" spans="3:3" hidden="1" outlineLevel="2" x14ac:dyDescent="0.3">
      <c r="C12179" t="s">
        <v>3371</v>
      </c>
    </row>
    <row r="12180" spans="3:3" hidden="1" outlineLevel="2" x14ac:dyDescent="0.3">
      <c r="C12180" t="s">
        <v>4999</v>
      </c>
    </row>
    <row r="12181" spans="3:3" hidden="1" outlineLevel="2" x14ac:dyDescent="0.3">
      <c r="C12181" t="s">
        <v>4563</v>
      </c>
    </row>
    <row r="12182" spans="3:3" hidden="1" outlineLevel="2" x14ac:dyDescent="0.3">
      <c r="C12182" t="s">
        <v>5000</v>
      </c>
    </row>
    <row r="12183" spans="3:3" hidden="1" outlineLevel="2" x14ac:dyDescent="0.3">
      <c r="C12183" t="s">
        <v>3372</v>
      </c>
    </row>
    <row r="12184" spans="3:3" hidden="1" outlineLevel="2" x14ac:dyDescent="0.3">
      <c r="C12184" t="s">
        <v>3373</v>
      </c>
    </row>
    <row r="12185" spans="3:3" hidden="1" outlineLevel="2" x14ac:dyDescent="0.3">
      <c r="C12185" t="s">
        <v>3374</v>
      </c>
    </row>
    <row r="12186" spans="3:3" hidden="1" outlineLevel="2" x14ac:dyDescent="0.3">
      <c r="C12186" t="s">
        <v>3375</v>
      </c>
    </row>
    <row r="12187" spans="3:3" hidden="1" outlineLevel="2" x14ac:dyDescent="0.3">
      <c r="C12187" t="s">
        <v>3376</v>
      </c>
    </row>
    <row r="12188" spans="3:3" hidden="1" outlineLevel="2" x14ac:dyDescent="0.3">
      <c r="C12188" t="s">
        <v>3377</v>
      </c>
    </row>
    <row r="12189" spans="3:3" hidden="1" outlineLevel="2" x14ac:dyDescent="0.3">
      <c r="C12189" t="s">
        <v>4831</v>
      </c>
    </row>
    <row r="12190" spans="3:3" hidden="1" outlineLevel="2" x14ac:dyDescent="0.3">
      <c r="C12190" t="s">
        <v>3378</v>
      </c>
    </row>
    <row r="12191" spans="3:3" hidden="1" outlineLevel="2" x14ac:dyDescent="0.3">
      <c r="C12191" t="s">
        <v>3379</v>
      </c>
    </row>
    <row r="12192" spans="3:3" hidden="1" outlineLevel="2" x14ac:dyDescent="0.3">
      <c r="C12192" t="s">
        <v>3380</v>
      </c>
    </row>
    <row r="12193" spans="2:4" hidden="1" outlineLevel="2" x14ac:dyDescent="0.3">
      <c r="C12193" t="s">
        <v>3381</v>
      </c>
    </row>
    <row r="12194" spans="2:4" outlineLevel="1" collapsed="1" x14ac:dyDescent="0.3">
      <c r="B12194" t="s">
        <v>2058</v>
      </c>
    </row>
    <row r="12195" spans="2:4" hidden="1" outlineLevel="2" x14ac:dyDescent="0.3">
      <c r="C12195" t="s">
        <v>2059</v>
      </c>
    </row>
    <row r="12196" spans="2:4" hidden="1" outlineLevel="3" x14ac:dyDescent="0.3">
      <c r="D12196" t="s">
        <v>3382</v>
      </c>
    </row>
    <row r="12197" spans="2:4" hidden="1" outlineLevel="3" x14ac:dyDescent="0.3">
      <c r="D12197" t="s">
        <v>3383</v>
      </c>
    </row>
    <row r="12198" spans="2:4" hidden="1" outlineLevel="3" x14ac:dyDescent="0.3">
      <c r="D12198" t="s">
        <v>3384</v>
      </c>
    </row>
    <row r="12199" spans="2:4" hidden="1" outlineLevel="3" x14ac:dyDescent="0.3">
      <c r="D12199" t="s">
        <v>3385</v>
      </c>
    </row>
    <row r="12200" spans="2:4" hidden="1" outlineLevel="3" x14ac:dyDescent="0.3">
      <c r="D12200" t="s">
        <v>3386</v>
      </c>
    </row>
    <row r="12201" spans="2:4" hidden="1" outlineLevel="3" x14ac:dyDescent="0.3">
      <c r="D12201" t="s">
        <v>3387</v>
      </c>
    </row>
    <row r="12202" spans="2:4" hidden="1" outlineLevel="3" x14ac:dyDescent="0.3">
      <c r="D12202" t="s">
        <v>3388</v>
      </c>
    </row>
    <row r="12203" spans="2:4" hidden="1" outlineLevel="3" x14ac:dyDescent="0.3">
      <c r="D12203" t="s">
        <v>3389</v>
      </c>
    </row>
    <row r="12204" spans="2:4" hidden="1" outlineLevel="3" x14ac:dyDescent="0.3">
      <c r="D12204" t="s">
        <v>3390</v>
      </c>
    </row>
    <row r="12205" spans="2:4" hidden="1" outlineLevel="3" x14ac:dyDescent="0.3">
      <c r="D12205" t="s">
        <v>3391</v>
      </c>
    </row>
    <row r="12206" spans="2:4" hidden="1" outlineLevel="3" x14ac:dyDescent="0.3">
      <c r="D12206" t="s">
        <v>3392</v>
      </c>
    </row>
    <row r="12207" spans="2:4" hidden="1" outlineLevel="3" x14ac:dyDescent="0.3">
      <c r="D12207" t="s">
        <v>3393</v>
      </c>
    </row>
    <row r="12208" spans="2:4" hidden="1" outlineLevel="3" x14ac:dyDescent="0.3">
      <c r="D12208" t="s">
        <v>3394</v>
      </c>
    </row>
    <row r="12209" spans="4:5" hidden="1" outlineLevel="3" x14ac:dyDescent="0.3">
      <c r="D12209" t="s">
        <v>3395</v>
      </c>
    </row>
    <row r="12210" spans="4:5" hidden="1" outlineLevel="3" x14ac:dyDescent="0.3">
      <c r="D12210" t="s">
        <v>3396</v>
      </c>
    </row>
    <row r="12211" spans="4:5" hidden="1" outlineLevel="3" x14ac:dyDescent="0.3">
      <c r="D12211" t="s">
        <v>3397</v>
      </c>
    </row>
    <row r="12212" spans="4:5" hidden="1" outlineLevel="3" x14ac:dyDescent="0.3">
      <c r="D12212" t="s">
        <v>3401</v>
      </c>
    </row>
    <row r="12213" spans="4:5" hidden="1" outlineLevel="3" x14ac:dyDescent="0.3">
      <c r="D12213" t="s">
        <v>3404</v>
      </c>
    </row>
    <row r="12214" spans="4:5" hidden="1" outlineLevel="3" x14ac:dyDescent="0.3">
      <c r="D12214" t="s">
        <v>5001</v>
      </c>
    </row>
    <row r="12215" spans="4:5" hidden="1" outlineLevel="3" x14ac:dyDescent="0.3">
      <c r="D12215" t="s">
        <v>5002</v>
      </c>
    </row>
    <row r="12216" spans="4:5" hidden="1" outlineLevel="3" x14ac:dyDescent="0.3">
      <c r="D12216" t="s">
        <v>5003</v>
      </c>
    </row>
    <row r="12217" spans="4:5" hidden="1" outlineLevel="3" x14ac:dyDescent="0.3">
      <c r="D12217" t="s">
        <v>5004</v>
      </c>
    </row>
    <row r="12218" spans="4:5" hidden="1" outlineLevel="3" x14ac:dyDescent="0.3">
      <c r="D12218" t="s">
        <v>5005</v>
      </c>
    </row>
    <row r="12219" spans="4:5" hidden="1" outlineLevel="3" x14ac:dyDescent="0.3">
      <c r="D12219" t="s">
        <v>4570</v>
      </c>
    </row>
    <row r="12220" spans="4:5" hidden="1" outlineLevel="4" x14ac:dyDescent="0.3">
      <c r="E12220" t="s">
        <v>4571</v>
      </c>
    </row>
    <row r="12221" spans="4:5" hidden="1" outlineLevel="4" x14ac:dyDescent="0.3">
      <c r="E12221" t="s">
        <v>4834</v>
      </c>
    </row>
    <row r="12222" spans="4:5" hidden="1" outlineLevel="4" x14ac:dyDescent="0.3">
      <c r="E12222" t="s">
        <v>5006</v>
      </c>
    </row>
    <row r="12223" spans="4:5" hidden="1" outlineLevel="4" x14ac:dyDescent="0.3">
      <c r="E12223" t="s">
        <v>4573</v>
      </c>
    </row>
    <row r="12224" spans="4:5" hidden="1" outlineLevel="4" x14ac:dyDescent="0.3">
      <c r="E12224" t="s">
        <v>5007</v>
      </c>
    </row>
    <row r="12225" spans="4:5" hidden="1" outlineLevel="4" x14ac:dyDescent="0.3">
      <c r="E12225" t="s">
        <v>4574</v>
      </c>
    </row>
    <row r="12226" spans="4:5" hidden="1" outlineLevel="3" x14ac:dyDescent="0.3">
      <c r="D12226" t="s">
        <v>3407</v>
      </c>
    </row>
    <row r="12227" spans="4:5" hidden="1" outlineLevel="3" x14ac:dyDescent="0.3">
      <c r="D12227" t="s">
        <v>3408</v>
      </c>
    </row>
    <row r="12228" spans="4:5" hidden="1" outlineLevel="3" x14ac:dyDescent="0.3">
      <c r="D12228" t="s">
        <v>3409</v>
      </c>
    </row>
    <row r="12229" spans="4:5" hidden="1" outlineLevel="3" x14ac:dyDescent="0.3">
      <c r="D12229" t="s">
        <v>3410</v>
      </c>
    </row>
    <row r="12230" spans="4:5" hidden="1" outlineLevel="3" x14ac:dyDescent="0.3">
      <c r="D12230" t="s">
        <v>3411</v>
      </c>
    </row>
    <row r="12231" spans="4:5" hidden="1" outlineLevel="3" x14ac:dyDescent="0.3">
      <c r="D12231" t="s">
        <v>3412</v>
      </c>
    </row>
    <row r="12232" spans="4:5" hidden="1" outlineLevel="3" x14ac:dyDescent="0.3">
      <c r="D12232" t="s">
        <v>3413</v>
      </c>
    </row>
    <row r="12233" spans="4:5" hidden="1" outlineLevel="3" x14ac:dyDescent="0.3">
      <c r="D12233" t="s">
        <v>3414</v>
      </c>
    </row>
    <row r="12234" spans="4:5" hidden="1" outlineLevel="3" x14ac:dyDescent="0.3">
      <c r="D12234" t="s">
        <v>3415</v>
      </c>
    </row>
    <row r="12235" spans="4:5" hidden="1" outlineLevel="3" x14ac:dyDescent="0.3">
      <c r="D12235" t="s">
        <v>3416</v>
      </c>
    </row>
    <row r="12236" spans="4:5" hidden="1" outlineLevel="3" x14ac:dyDescent="0.3">
      <c r="D12236" t="s">
        <v>3417</v>
      </c>
    </row>
    <row r="12237" spans="4:5" hidden="1" outlineLevel="3" x14ac:dyDescent="0.3">
      <c r="D12237" t="s">
        <v>3418</v>
      </c>
    </row>
    <row r="12238" spans="4:5" hidden="1" outlineLevel="3" x14ac:dyDescent="0.3">
      <c r="D12238" t="s">
        <v>3419</v>
      </c>
    </row>
    <row r="12239" spans="4:5" hidden="1" outlineLevel="3" x14ac:dyDescent="0.3">
      <c r="D12239" t="s">
        <v>3420</v>
      </c>
    </row>
    <row r="12240" spans="4:5" hidden="1" outlineLevel="3" x14ac:dyDescent="0.3">
      <c r="D12240" t="s">
        <v>3421</v>
      </c>
    </row>
    <row r="12241" spans="3:4" hidden="1" outlineLevel="3" x14ac:dyDescent="0.3">
      <c r="D12241" t="s">
        <v>3422</v>
      </c>
    </row>
    <row r="12242" spans="3:4" hidden="1" outlineLevel="2" x14ac:dyDescent="0.3">
      <c r="C12242" t="s">
        <v>2085</v>
      </c>
    </row>
    <row r="12243" spans="3:4" hidden="1" outlineLevel="3" x14ac:dyDescent="0.3">
      <c r="D12243" t="s">
        <v>3423</v>
      </c>
    </row>
    <row r="12244" spans="3:4" hidden="1" outlineLevel="3" x14ac:dyDescent="0.3">
      <c r="D12244" t="s">
        <v>3424</v>
      </c>
    </row>
    <row r="12245" spans="3:4" hidden="1" outlineLevel="3" x14ac:dyDescent="0.3">
      <c r="D12245" t="s">
        <v>3425</v>
      </c>
    </row>
    <row r="12246" spans="3:4" hidden="1" outlineLevel="3" x14ac:dyDescent="0.3">
      <c r="D12246" t="s">
        <v>3426</v>
      </c>
    </row>
    <row r="12247" spans="3:4" hidden="1" outlineLevel="3" x14ac:dyDescent="0.3">
      <c r="D12247" t="s">
        <v>3427</v>
      </c>
    </row>
    <row r="12248" spans="3:4" hidden="1" outlineLevel="3" x14ac:dyDescent="0.3">
      <c r="D12248" t="s">
        <v>4578</v>
      </c>
    </row>
    <row r="12249" spans="3:4" hidden="1" outlineLevel="3" x14ac:dyDescent="0.3">
      <c r="D12249" t="s">
        <v>4585</v>
      </c>
    </row>
    <row r="12250" spans="3:4" hidden="1" outlineLevel="3" x14ac:dyDescent="0.3">
      <c r="D12250" t="s">
        <v>3429</v>
      </c>
    </row>
    <row r="12251" spans="3:4" hidden="1" outlineLevel="3" x14ac:dyDescent="0.3">
      <c r="D12251" t="s">
        <v>5008</v>
      </c>
    </row>
    <row r="12252" spans="3:4" hidden="1" outlineLevel="3" x14ac:dyDescent="0.3">
      <c r="D12252" t="s">
        <v>3431</v>
      </c>
    </row>
    <row r="12253" spans="3:4" hidden="1" outlineLevel="3" x14ac:dyDescent="0.3">
      <c r="D12253" t="s">
        <v>3432</v>
      </c>
    </row>
    <row r="12254" spans="3:4" hidden="1" outlineLevel="3" x14ac:dyDescent="0.3">
      <c r="D12254" t="s">
        <v>3433</v>
      </c>
    </row>
    <row r="12255" spans="3:4" hidden="1" outlineLevel="3" x14ac:dyDescent="0.3">
      <c r="D12255" t="s">
        <v>3434</v>
      </c>
    </row>
    <row r="12256" spans="3:4" hidden="1" outlineLevel="3" x14ac:dyDescent="0.3">
      <c r="D12256" t="s">
        <v>3435</v>
      </c>
    </row>
    <row r="12257" spans="4:4" hidden="1" outlineLevel="3" x14ac:dyDescent="0.3">
      <c r="D12257" t="s">
        <v>3436</v>
      </c>
    </row>
    <row r="12258" spans="4:4" hidden="1" outlineLevel="3" x14ac:dyDescent="0.3">
      <c r="D12258" t="s">
        <v>3437</v>
      </c>
    </row>
    <row r="12259" spans="4:4" hidden="1" outlineLevel="3" x14ac:dyDescent="0.3">
      <c r="D12259" t="s">
        <v>3438</v>
      </c>
    </row>
    <row r="12260" spans="4:4" hidden="1" outlineLevel="3" x14ac:dyDescent="0.3">
      <c r="D12260" t="s">
        <v>3439</v>
      </c>
    </row>
    <row r="12261" spans="4:4" hidden="1" outlineLevel="3" x14ac:dyDescent="0.3">
      <c r="D12261" t="s">
        <v>3440</v>
      </c>
    </row>
    <row r="12262" spans="4:4" hidden="1" outlineLevel="3" x14ac:dyDescent="0.3">
      <c r="D12262" t="s">
        <v>5009</v>
      </c>
    </row>
    <row r="12263" spans="4:4" hidden="1" outlineLevel="3" x14ac:dyDescent="0.3">
      <c r="D12263" t="s">
        <v>3442</v>
      </c>
    </row>
    <row r="12264" spans="4:4" hidden="1" outlineLevel="3" x14ac:dyDescent="0.3">
      <c r="D12264" t="s">
        <v>3443</v>
      </c>
    </row>
    <row r="12265" spans="4:4" hidden="1" outlineLevel="3" x14ac:dyDescent="0.3">
      <c r="D12265" t="s">
        <v>5010</v>
      </c>
    </row>
    <row r="12266" spans="4:4" hidden="1" outlineLevel="3" x14ac:dyDescent="0.3">
      <c r="D12266" t="s">
        <v>4591</v>
      </c>
    </row>
    <row r="12267" spans="4:4" hidden="1" outlineLevel="3" x14ac:dyDescent="0.3">
      <c r="D12267" t="s">
        <v>3444</v>
      </c>
    </row>
    <row r="12268" spans="4:4" hidden="1" outlineLevel="3" x14ac:dyDescent="0.3">
      <c r="D12268" t="s">
        <v>3445</v>
      </c>
    </row>
    <row r="12269" spans="4:4" hidden="1" outlineLevel="3" x14ac:dyDescent="0.3">
      <c r="D12269" t="s">
        <v>3446</v>
      </c>
    </row>
    <row r="12270" spans="4:4" hidden="1" outlineLevel="3" x14ac:dyDescent="0.3">
      <c r="D12270" t="s">
        <v>3447</v>
      </c>
    </row>
    <row r="12271" spans="4:4" hidden="1" outlineLevel="3" x14ac:dyDescent="0.3">
      <c r="D12271" t="s">
        <v>3448</v>
      </c>
    </row>
    <row r="12272" spans="4:4" hidden="1" outlineLevel="3" x14ac:dyDescent="0.3">
      <c r="D12272" t="s">
        <v>3449</v>
      </c>
    </row>
    <row r="12273" spans="1:4" hidden="1" outlineLevel="3" x14ac:dyDescent="0.3">
      <c r="D12273" t="s">
        <v>3450</v>
      </c>
    </row>
    <row r="12274" spans="1:4" hidden="1" outlineLevel="3" x14ac:dyDescent="0.3">
      <c r="D12274" t="s">
        <v>3451</v>
      </c>
    </row>
    <row r="12275" spans="1:4" hidden="1" outlineLevel="3" x14ac:dyDescent="0.3">
      <c r="D12275" t="s">
        <v>3452</v>
      </c>
    </row>
    <row r="12276" spans="1:4" hidden="1" outlineLevel="2" x14ac:dyDescent="0.3">
      <c r="C12276" t="s">
        <v>2117</v>
      </c>
    </row>
    <row r="12277" spans="1:4" hidden="1" outlineLevel="2" x14ac:dyDescent="0.3">
      <c r="C12277" t="s">
        <v>2118</v>
      </c>
    </row>
    <row r="12278" spans="1:4" outlineLevel="1" collapsed="1" x14ac:dyDescent="0.3">
      <c r="B12278" t="s">
        <v>2119</v>
      </c>
    </row>
    <row r="12279" spans="1:4" outlineLevel="1" x14ac:dyDescent="0.3">
      <c r="B12279" t="s">
        <v>2120</v>
      </c>
    </row>
    <row r="12280" spans="1:4" outlineLevel="1" x14ac:dyDescent="0.3">
      <c r="B12280" t="s">
        <v>2121</v>
      </c>
    </row>
    <row r="12281" spans="1:4" outlineLevel="1" x14ac:dyDescent="0.3">
      <c r="B12281" t="s">
        <v>2122</v>
      </c>
    </row>
    <row r="12282" spans="1:4" outlineLevel="1" x14ac:dyDescent="0.3">
      <c r="B12282" t="s">
        <v>2123</v>
      </c>
    </row>
    <row r="12283" spans="1:4" outlineLevel="1" x14ac:dyDescent="0.3">
      <c r="B12283" t="s">
        <v>2124</v>
      </c>
    </row>
    <row r="12284" spans="1:4" outlineLevel="1" x14ac:dyDescent="0.3">
      <c r="B12284" t="s">
        <v>2125</v>
      </c>
    </row>
    <row r="12285" spans="1:4" outlineLevel="1" x14ac:dyDescent="0.3">
      <c r="B12285" t="s">
        <v>2126</v>
      </c>
    </row>
    <row r="12286" spans="1:4" x14ac:dyDescent="0.3">
      <c r="A12286" t="s">
        <v>2127</v>
      </c>
    </row>
    <row r="12287" spans="1:4" outlineLevel="1" x14ac:dyDescent="0.3">
      <c r="B12287" t="s">
        <v>2128</v>
      </c>
    </row>
    <row r="12288" spans="1:4" hidden="1" outlineLevel="2" x14ac:dyDescent="0.3">
      <c r="C12288" t="s">
        <v>3453</v>
      </c>
    </row>
    <row r="12289" spans="3:3" hidden="1" outlineLevel="2" x14ac:dyDescent="0.3">
      <c r="C12289" t="s">
        <v>3454</v>
      </c>
    </row>
    <row r="12290" spans="3:3" hidden="1" outlineLevel="2" x14ac:dyDescent="0.3">
      <c r="C12290" t="s">
        <v>3455</v>
      </c>
    </row>
    <row r="12291" spans="3:3" hidden="1" outlineLevel="2" x14ac:dyDescent="0.3">
      <c r="C12291" t="s">
        <v>3456</v>
      </c>
    </row>
    <row r="12292" spans="3:3" hidden="1" outlineLevel="2" x14ac:dyDescent="0.3">
      <c r="C12292" t="s">
        <v>3457</v>
      </c>
    </row>
    <row r="12293" spans="3:3" hidden="1" outlineLevel="2" x14ac:dyDescent="0.3">
      <c r="C12293" t="s">
        <v>3458</v>
      </c>
    </row>
    <row r="12294" spans="3:3" hidden="1" outlineLevel="2" x14ac:dyDescent="0.3">
      <c r="C12294" t="s">
        <v>3459</v>
      </c>
    </row>
    <row r="12295" spans="3:3" hidden="1" outlineLevel="2" x14ac:dyDescent="0.3">
      <c r="C12295" t="s">
        <v>3460</v>
      </c>
    </row>
    <row r="12296" spans="3:3" hidden="1" outlineLevel="2" x14ac:dyDescent="0.3">
      <c r="C12296" t="s">
        <v>3461</v>
      </c>
    </row>
    <row r="12297" spans="3:3" hidden="1" outlineLevel="2" x14ac:dyDescent="0.3">
      <c r="C12297" t="s">
        <v>3462</v>
      </c>
    </row>
    <row r="12298" spans="3:3" hidden="1" outlineLevel="2" x14ac:dyDescent="0.3">
      <c r="C12298" t="s">
        <v>3463</v>
      </c>
    </row>
    <row r="12299" spans="3:3" hidden="1" outlineLevel="2" x14ac:dyDescent="0.3">
      <c r="C12299" t="s">
        <v>5011</v>
      </c>
    </row>
    <row r="12300" spans="3:3" hidden="1" outlineLevel="2" x14ac:dyDescent="0.3">
      <c r="C12300" t="s">
        <v>5012</v>
      </c>
    </row>
    <row r="12301" spans="3:3" hidden="1" outlineLevel="2" x14ac:dyDescent="0.3">
      <c r="C12301" t="s">
        <v>5013</v>
      </c>
    </row>
    <row r="12302" spans="3:3" hidden="1" outlineLevel="2" x14ac:dyDescent="0.3">
      <c r="C12302" t="s">
        <v>5014</v>
      </c>
    </row>
    <row r="12303" spans="3:3" hidden="1" outlineLevel="2" x14ac:dyDescent="0.3">
      <c r="C12303" t="s">
        <v>5015</v>
      </c>
    </row>
    <row r="12304" spans="3:3" hidden="1" outlineLevel="2" x14ac:dyDescent="0.3">
      <c r="C12304" t="s">
        <v>3479</v>
      </c>
    </row>
    <row r="12305" spans="2:3" hidden="1" outlineLevel="2" x14ac:dyDescent="0.3">
      <c r="C12305" t="s">
        <v>3480</v>
      </c>
    </row>
    <row r="12306" spans="2:3" hidden="1" outlineLevel="2" x14ac:dyDescent="0.3">
      <c r="C12306" t="s">
        <v>3481</v>
      </c>
    </row>
    <row r="12307" spans="2:3" hidden="1" outlineLevel="2" x14ac:dyDescent="0.3">
      <c r="C12307" t="s">
        <v>3482</v>
      </c>
    </row>
    <row r="12308" spans="2:3" hidden="1" outlineLevel="2" x14ac:dyDescent="0.3">
      <c r="C12308" t="s">
        <v>3483</v>
      </c>
    </row>
    <row r="12309" spans="2:3" hidden="1" outlineLevel="2" x14ac:dyDescent="0.3">
      <c r="C12309" t="s">
        <v>3484</v>
      </c>
    </row>
    <row r="12310" spans="2:3" hidden="1" outlineLevel="2" x14ac:dyDescent="0.3">
      <c r="C12310" t="s">
        <v>3485</v>
      </c>
    </row>
    <row r="12311" spans="2:3" hidden="1" outlineLevel="2" x14ac:dyDescent="0.3">
      <c r="C12311" t="s">
        <v>3487</v>
      </c>
    </row>
    <row r="12312" spans="2:3" hidden="1" outlineLevel="2" x14ac:dyDescent="0.3">
      <c r="C12312" t="s">
        <v>3488</v>
      </c>
    </row>
    <row r="12313" spans="2:3" hidden="1" outlineLevel="2" x14ac:dyDescent="0.3">
      <c r="C12313" t="s">
        <v>3489</v>
      </c>
    </row>
    <row r="12314" spans="2:3" hidden="1" outlineLevel="2" x14ac:dyDescent="0.3">
      <c r="C12314" t="s">
        <v>3490</v>
      </c>
    </row>
    <row r="12315" spans="2:3" hidden="1" outlineLevel="2" x14ac:dyDescent="0.3">
      <c r="C12315" t="s">
        <v>3491</v>
      </c>
    </row>
    <row r="12316" spans="2:3" hidden="1" outlineLevel="2" x14ac:dyDescent="0.3">
      <c r="C12316" t="s">
        <v>3492</v>
      </c>
    </row>
    <row r="12317" spans="2:3" hidden="1" outlineLevel="2" x14ac:dyDescent="0.3">
      <c r="C12317" t="s">
        <v>2194</v>
      </c>
    </row>
    <row r="12318" spans="2:3" outlineLevel="1" collapsed="1" x14ac:dyDescent="0.3">
      <c r="B12318" t="s">
        <v>2195</v>
      </c>
    </row>
    <row r="12319" spans="2:3" hidden="1" outlineLevel="2" x14ac:dyDescent="0.3">
      <c r="C12319" t="s">
        <v>3493</v>
      </c>
    </row>
    <row r="12320" spans="2:3" hidden="1" outlineLevel="2" x14ac:dyDescent="0.3">
      <c r="C12320" t="s">
        <v>3494</v>
      </c>
    </row>
    <row r="12321" spans="3:3" hidden="1" outlineLevel="2" x14ac:dyDescent="0.3">
      <c r="C12321" t="s">
        <v>3495</v>
      </c>
    </row>
    <row r="12322" spans="3:3" hidden="1" outlineLevel="2" x14ac:dyDescent="0.3">
      <c r="C12322" t="s">
        <v>3496</v>
      </c>
    </row>
    <row r="12323" spans="3:3" hidden="1" outlineLevel="2" x14ac:dyDescent="0.3">
      <c r="C12323" t="s">
        <v>3497</v>
      </c>
    </row>
    <row r="12324" spans="3:3" hidden="1" outlineLevel="2" x14ac:dyDescent="0.3">
      <c r="C12324" t="s">
        <v>3498</v>
      </c>
    </row>
    <row r="12325" spans="3:3" hidden="1" outlineLevel="2" x14ac:dyDescent="0.3">
      <c r="C12325" t="s">
        <v>3499</v>
      </c>
    </row>
    <row r="12326" spans="3:3" hidden="1" outlineLevel="2" x14ac:dyDescent="0.3">
      <c r="C12326" t="s">
        <v>3500</v>
      </c>
    </row>
    <row r="12327" spans="3:3" hidden="1" outlineLevel="2" x14ac:dyDescent="0.3">
      <c r="C12327" t="s">
        <v>3501</v>
      </c>
    </row>
    <row r="12328" spans="3:3" hidden="1" outlineLevel="2" x14ac:dyDescent="0.3">
      <c r="C12328" t="s">
        <v>3502</v>
      </c>
    </row>
    <row r="12329" spans="3:3" hidden="1" outlineLevel="2" x14ac:dyDescent="0.3">
      <c r="C12329" t="s">
        <v>3503</v>
      </c>
    </row>
    <row r="12330" spans="3:3" hidden="1" outlineLevel="2" x14ac:dyDescent="0.3">
      <c r="C12330" t="s">
        <v>5016</v>
      </c>
    </row>
    <row r="12331" spans="3:3" hidden="1" outlineLevel="2" x14ac:dyDescent="0.3">
      <c r="C12331" t="s">
        <v>5017</v>
      </c>
    </row>
    <row r="12332" spans="3:3" hidden="1" outlineLevel="2" x14ac:dyDescent="0.3">
      <c r="C12332" t="s">
        <v>5018</v>
      </c>
    </row>
    <row r="12333" spans="3:3" hidden="1" outlineLevel="2" x14ac:dyDescent="0.3">
      <c r="C12333" t="s">
        <v>5019</v>
      </c>
    </row>
    <row r="12334" spans="3:3" hidden="1" outlineLevel="2" x14ac:dyDescent="0.3">
      <c r="C12334" t="s">
        <v>5020</v>
      </c>
    </row>
    <row r="12335" spans="3:3" hidden="1" outlineLevel="2" x14ac:dyDescent="0.3">
      <c r="C12335" t="s">
        <v>5021</v>
      </c>
    </row>
    <row r="12336" spans="3:3" hidden="1" outlineLevel="2" x14ac:dyDescent="0.3">
      <c r="C12336" t="s">
        <v>3519</v>
      </c>
    </row>
    <row r="12337" spans="2:3" hidden="1" outlineLevel="2" x14ac:dyDescent="0.3">
      <c r="C12337" t="s">
        <v>3520</v>
      </c>
    </row>
    <row r="12338" spans="2:3" hidden="1" outlineLevel="2" x14ac:dyDescent="0.3">
      <c r="C12338" t="s">
        <v>3521</v>
      </c>
    </row>
    <row r="12339" spans="2:3" hidden="1" outlineLevel="2" x14ac:dyDescent="0.3">
      <c r="C12339" t="s">
        <v>3522</v>
      </c>
    </row>
    <row r="12340" spans="2:3" hidden="1" outlineLevel="2" x14ac:dyDescent="0.3">
      <c r="C12340" t="s">
        <v>3523</v>
      </c>
    </row>
    <row r="12341" spans="2:3" hidden="1" outlineLevel="2" x14ac:dyDescent="0.3">
      <c r="C12341" t="s">
        <v>3524</v>
      </c>
    </row>
    <row r="12342" spans="2:3" hidden="1" outlineLevel="2" x14ac:dyDescent="0.3">
      <c r="C12342" t="s">
        <v>3525</v>
      </c>
    </row>
    <row r="12343" spans="2:3" hidden="1" outlineLevel="2" x14ac:dyDescent="0.3">
      <c r="C12343" t="s">
        <v>3527</v>
      </c>
    </row>
    <row r="12344" spans="2:3" hidden="1" outlineLevel="2" x14ac:dyDescent="0.3">
      <c r="C12344" t="s">
        <v>3528</v>
      </c>
    </row>
    <row r="12345" spans="2:3" hidden="1" outlineLevel="2" x14ac:dyDescent="0.3">
      <c r="C12345" t="s">
        <v>3529</v>
      </c>
    </row>
    <row r="12346" spans="2:3" hidden="1" outlineLevel="2" x14ac:dyDescent="0.3">
      <c r="C12346" t="s">
        <v>3530</v>
      </c>
    </row>
    <row r="12347" spans="2:3" hidden="1" outlineLevel="2" x14ac:dyDescent="0.3">
      <c r="C12347" t="s">
        <v>3531</v>
      </c>
    </row>
    <row r="12348" spans="2:3" hidden="1" outlineLevel="2" x14ac:dyDescent="0.3">
      <c r="C12348" t="s">
        <v>3532</v>
      </c>
    </row>
    <row r="12349" spans="2:3" hidden="1" outlineLevel="2" x14ac:dyDescent="0.3">
      <c r="C12349" t="s">
        <v>2263</v>
      </c>
    </row>
    <row r="12350" spans="2:3" outlineLevel="1" collapsed="1" x14ac:dyDescent="0.3">
      <c r="B12350" t="s">
        <v>2264</v>
      </c>
    </row>
    <row r="12351" spans="2:3" outlineLevel="1" x14ac:dyDescent="0.3">
      <c r="B12351" t="s">
        <v>2265</v>
      </c>
    </row>
    <row r="12352" spans="2:3" outlineLevel="1" x14ac:dyDescent="0.3">
      <c r="B12352" t="s">
        <v>2266</v>
      </c>
    </row>
    <row r="12353" spans="1:4" outlineLevel="1" x14ac:dyDescent="0.3">
      <c r="B12353" t="s">
        <v>2267</v>
      </c>
    </row>
    <row r="12354" spans="1:4" outlineLevel="1" x14ac:dyDescent="0.3">
      <c r="B12354" t="s">
        <v>2268</v>
      </c>
    </row>
    <row r="12355" spans="1:4" outlineLevel="1" x14ac:dyDescent="0.3">
      <c r="B12355" t="s">
        <v>2269</v>
      </c>
    </row>
    <row r="12356" spans="1:4" x14ac:dyDescent="0.3">
      <c r="A12356" t="s">
        <v>2270</v>
      </c>
    </row>
    <row r="12357" spans="1:4" outlineLevel="1" x14ac:dyDescent="0.3">
      <c r="B12357" t="s">
        <v>2271</v>
      </c>
    </row>
    <row r="12358" spans="1:4" hidden="1" outlineLevel="2" x14ac:dyDescent="0.3">
      <c r="C12358" t="s">
        <v>3533</v>
      </c>
    </row>
    <row r="12359" spans="1:4" hidden="1" outlineLevel="2" x14ac:dyDescent="0.3">
      <c r="C12359" t="s">
        <v>3534</v>
      </c>
    </row>
    <row r="12360" spans="1:4" hidden="1" outlineLevel="2" x14ac:dyDescent="0.3">
      <c r="C12360" t="s">
        <v>5022</v>
      </c>
    </row>
    <row r="12361" spans="1:4" hidden="1" outlineLevel="2" x14ac:dyDescent="0.3">
      <c r="C12361" t="s">
        <v>3540</v>
      </c>
    </row>
    <row r="12362" spans="1:4" hidden="1" outlineLevel="3" x14ac:dyDescent="0.3">
      <c r="D12362" t="s">
        <v>4151</v>
      </c>
    </row>
    <row r="12363" spans="1:4" hidden="1" outlineLevel="3" x14ac:dyDescent="0.3">
      <c r="D12363" t="s">
        <v>3543</v>
      </c>
    </row>
    <row r="12364" spans="1:4" hidden="1" outlineLevel="3" x14ac:dyDescent="0.3">
      <c r="D12364" t="s">
        <v>3545</v>
      </c>
    </row>
    <row r="12365" spans="1:4" hidden="1" outlineLevel="3" x14ac:dyDescent="0.3">
      <c r="D12365" t="s">
        <v>3548</v>
      </c>
    </row>
    <row r="12366" spans="1:4" hidden="1" outlineLevel="3" x14ac:dyDescent="0.3">
      <c r="D12366" t="s">
        <v>3549</v>
      </c>
    </row>
    <row r="12367" spans="1:4" hidden="1" outlineLevel="2" x14ac:dyDescent="0.3">
      <c r="C12367" t="s">
        <v>3551</v>
      </c>
    </row>
    <row r="12368" spans="1:4" hidden="1" outlineLevel="2" x14ac:dyDescent="0.3">
      <c r="C12368" t="s">
        <v>3552</v>
      </c>
    </row>
    <row r="12369" spans="2:3" hidden="1" outlineLevel="2" x14ac:dyDescent="0.3">
      <c r="C12369" t="s">
        <v>3554</v>
      </c>
    </row>
    <row r="12370" spans="2:3" hidden="1" outlineLevel="2" x14ac:dyDescent="0.3">
      <c r="C12370" t="s">
        <v>3555</v>
      </c>
    </row>
    <row r="12371" spans="2:3" hidden="1" outlineLevel="2" x14ac:dyDescent="0.3">
      <c r="C12371" t="s">
        <v>3556</v>
      </c>
    </row>
    <row r="12372" spans="2:3" hidden="1" outlineLevel="2" x14ac:dyDescent="0.3">
      <c r="C12372" t="s">
        <v>3557</v>
      </c>
    </row>
    <row r="12373" spans="2:3" hidden="1" outlineLevel="2" x14ac:dyDescent="0.3">
      <c r="C12373" t="s">
        <v>3558</v>
      </c>
    </row>
    <row r="12374" spans="2:3" hidden="1" outlineLevel="2" x14ac:dyDescent="0.3">
      <c r="C12374" t="s">
        <v>3559</v>
      </c>
    </row>
    <row r="12375" spans="2:3" hidden="1" outlineLevel="2" x14ac:dyDescent="0.3">
      <c r="C12375" t="s">
        <v>3560</v>
      </c>
    </row>
    <row r="12376" spans="2:3" hidden="1" outlineLevel="2" x14ac:dyDescent="0.3">
      <c r="C12376" t="s">
        <v>3561</v>
      </c>
    </row>
    <row r="12377" spans="2:3" hidden="1" outlineLevel="2" x14ac:dyDescent="0.3">
      <c r="C12377" t="s">
        <v>3563</v>
      </c>
    </row>
    <row r="12378" spans="2:3" hidden="1" outlineLevel="2" x14ac:dyDescent="0.3">
      <c r="C12378" t="s">
        <v>3564</v>
      </c>
    </row>
    <row r="12379" spans="2:3" hidden="1" outlineLevel="2" x14ac:dyDescent="0.3">
      <c r="C12379" t="s">
        <v>3565</v>
      </c>
    </row>
    <row r="12380" spans="2:3" hidden="1" outlineLevel="2" x14ac:dyDescent="0.3">
      <c r="C12380" t="s">
        <v>3566</v>
      </c>
    </row>
    <row r="12381" spans="2:3" hidden="1" outlineLevel="2" x14ac:dyDescent="0.3">
      <c r="C12381" t="s">
        <v>3567</v>
      </c>
    </row>
    <row r="12382" spans="2:3" hidden="1" outlineLevel="2" x14ac:dyDescent="0.3">
      <c r="C12382" t="s">
        <v>3568</v>
      </c>
    </row>
    <row r="12383" spans="2:3" hidden="1" outlineLevel="2" x14ac:dyDescent="0.3">
      <c r="C12383" t="s">
        <v>2302</v>
      </c>
    </row>
    <row r="12384" spans="2:3" outlineLevel="1" collapsed="1" x14ac:dyDescent="0.3">
      <c r="B12384" t="s">
        <v>2303</v>
      </c>
    </row>
    <row r="12385" spans="3:4" hidden="1" outlineLevel="2" x14ac:dyDescent="0.3">
      <c r="C12385" t="s">
        <v>3569</v>
      </c>
    </row>
    <row r="12386" spans="3:4" hidden="1" outlineLevel="2" x14ac:dyDescent="0.3">
      <c r="C12386" t="s">
        <v>3570</v>
      </c>
    </row>
    <row r="12387" spans="3:4" hidden="1" outlineLevel="2" x14ac:dyDescent="0.3">
      <c r="C12387" t="s">
        <v>5023</v>
      </c>
    </row>
    <row r="12388" spans="3:4" hidden="1" outlineLevel="2" x14ac:dyDescent="0.3">
      <c r="C12388" t="s">
        <v>3576</v>
      </c>
    </row>
    <row r="12389" spans="3:4" hidden="1" outlineLevel="3" x14ac:dyDescent="0.3">
      <c r="D12389" t="s">
        <v>4152</v>
      </c>
    </row>
    <row r="12390" spans="3:4" hidden="1" outlineLevel="3" x14ac:dyDescent="0.3">
      <c r="D12390" t="s">
        <v>4620</v>
      </c>
    </row>
    <row r="12391" spans="3:4" hidden="1" outlineLevel="3" x14ac:dyDescent="0.3">
      <c r="D12391" t="s">
        <v>3581</v>
      </c>
    </row>
    <row r="12392" spans="3:4" hidden="1" outlineLevel="3" x14ac:dyDescent="0.3">
      <c r="D12392" t="s">
        <v>3584</v>
      </c>
    </row>
    <row r="12393" spans="3:4" hidden="1" outlineLevel="3" x14ac:dyDescent="0.3">
      <c r="D12393" t="s">
        <v>3585</v>
      </c>
    </row>
    <row r="12394" spans="3:4" hidden="1" outlineLevel="2" x14ac:dyDescent="0.3">
      <c r="C12394" t="s">
        <v>3587</v>
      </c>
    </row>
    <row r="12395" spans="3:4" hidden="1" outlineLevel="2" x14ac:dyDescent="0.3">
      <c r="C12395" t="s">
        <v>3588</v>
      </c>
    </row>
    <row r="12396" spans="3:4" hidden="1" outlineLevel="2" x14ac:dyDescent="0.3">
      <c r="C12396" t="s">
        <v>3590</v>
      </c>
    </row>
    <row r="12397" spans="3:4" hidden="1" outlineLevel="2" x14ac:dyDescent="0.3">
      <c r="C12397" t="s">
        <v>3591</v>
      </c>
    </row>
    <row r="12398" spans="3:4" hidden="1" outlineLevel="2" x14ac:dyDescent="0.3">
      <c r="C12398" t="s">
        <v>3592</v>
      </c>
    </row>
    <row r="12399" spans="3:4" hidden="1" outlineLevel="2" x14ac:dyDescent="0.3">
      <c r="C12399" t="s">
        <v>3593</v>
      </c>
    </row>
    <row r="12400" spans="3:4" hidden="1" outlineLevel="2" x14ac:dyDescent="0.3">
      <c r="C12400" t="s">
        <v>3594</v>
      </c>
    </row>
    <row r="12401" spans="2:3" hidden="1" outlineLevel="2" x14ac:dyDescent="0.3">
      <c r="C12401" t="s">
        <v>3595</v>
      </c>
    </row>
    <row r="12402" spans="2:3" hidden="1" outlineLevel="2" x14ac:dyDescent="0.3">
      <c r="C12402" t="s">
        <v>3596</v>
      </c>
    </row>
    <row r="12403" spans="2:3" hidden="1" outlineLevel="2" x14ac:dyDescent="0.3">
      <c r="C12403" t="s">
        <v>3597</v>
      </c>
    </row>
    <row r="12404" spans="2:3" hidden="1" outlineLevel="2" x14ac:dyDescent="0.3">
      <c r="C12404" t="s">
        <v>3599</v>
      </c>
    </row>
    <row r="12405" spans="2:3" hidden="1" outlineLevel="2" x14ac:dyDescent="0.3">
      <c r="C12405" t="s">
        <v>3600</v>
      </c>
    </row>
    <row r="12406" spans="2:3" hidden="1" outlineLevel="2" x14ac:dyDescent="0.3">
      <c r="C12406" t="s">
        <v>3601</v>
      </c>
    </row>
    <row r="12407" spans="2:3" hidden="1" outlineLevel="2" x14ac:dyDescent="0.3">
      <c r="C12407" t="s">
        <v>3602</v>
      </c>
    </row>
    <row r="12408" spans="2:3" hidden="1" outlineLevel="2" x14ac:dyDescent="0.3">
      <c r="C12408" t="s">
        <v>3603</v>
      </c>
    </row>
    <row r="12409" spans="2:3" hidden="1" outlineLevel="2" x14ac:dyDescent="0.3">
      <c r="C12409" t="s">
        <v>3604</v>
      </c>
    </row>
    <row r="12410" spans="2:3" hidden="1" outlineLevel="2" x14ac:dyDescent="0.3">
      <c r="C12410" t="s">
        <v>3605</v>
      </c>
    </row>
    <row r="12411" spans="2:3" hidden="1" outlineLevel="2" x14ac:dyDescent="0.3">
      <c r="C12411" t="s">
        <v>3606</v>
      </c>
    </row>
    <row r="12412" spans="2:3" hidden="1" outlineLevel="2" x14ac:dyDescent="0.3">
      <c r="C12412" t="s">
        <v>2334</v>
      </c>
    </row>
    <row r="12413" spans="2:3" outlineLevel="1" collapsed="1" x14ac:dyDescent="0.3">
      <c r="B12413" t="s">
        <v>2335</v>
      </c>
    </row>
    <row r="12414" spans="2:3" outlineLevel="1" x14ac:dyDescent="0.3">
      <c r="B12414" t="s">
        <v>2336</v>
      </c>
    </row>
    <row r="12415" spans="2:3" outlineLevel="1" x14ac:dyDescent="0.3">
      <c r="B12415" t="s">
        <v>2337</v>
      </c>
    </row>
    <row r="12416" spans="2:3" outlineLevel="1" x14ac:dyDescent="0.3">
      <c r="B12416" t="s">
        <v>2338</v>
      </c>
    </row>
    <row r="12417" spans="1:2" outlineLevel="1" x14ac:dyDescent="0.3">
      <c r="B12417" t="s">
        <v>2339</v>
      </c>
    </row>
    <row r="12418" spans="1:2" outlineLevel="1" x14ac:dyDescent="0.3">
      <c r="B12418" t="s">
        <v>2340</v>
      </c>
    </row>
    <row r="12419" spans="1:2" x14ac:dyDescent="0.3">
      <c r="A12419" t="s">
        <v>2341</v>
      </c>
    </row>
    <row r="12420" spans="1:2" x14ac:dyDescent="0.3">
      <c r="A12420" t="s">
        <v>2342</v>
      </c>
    </row>
    <row r="12421" spans="1:2" x14ac:dyDescent="0.3">
      <c r="A12421" t="s">
        <v>2343</v>
      </c>
    </row>
    <row r="12422" spans="1:2" x14ac:dyDescent="0.3">
      <c r="A12422" t="s">
        <v>2344</v>
      </c>
    </row>
    <row r="12423" spans="1:2" x14ac:dyDescent="0.3">
      <c r="A12423" t="s">
        <v>2345</v>
      </c>
    </row>
    <row r="12424" spans="1:2" x14ac:dyDescent="0.3">
      <c r="A12424" t="s">
        <v>2346</v>
      </c>
    </row>
    <row r="12435" spans="1:3" x14ac:dyDescent="0.3">
      <c r="A12435" t="s">
        <v>0</v>
      </c>
    </row>
    <row r="12436" spans="1:3" outlineLevel="1" x14ac:dyDescent="0.3">
      <c r="B12436" t="s">
        <v>5024</v>
      </c>
    </row>
    <row r="12437" spans="1:3" hidden="1" outlineLevel="2" x14ac:dyDescent="0.3">
      <c r="C12437" t="s">
        <v>5025</v>
      </c>
    </row>
    <row r="12438" spans="1:3" hidden="1" outlineLevel="2" x14ac:dyDescent="0.3">
      <c r="C12438" t="s">
        <v>5026</v>
      </c>
    </row>
    <row r="12439" spans="1:3" hidden="1" outlineLevel="2" x14ac:dyDescent="0.3">
      <c r="C12439" t="s">
        <v>5027</v>
      </c>
    </row>
    <row r="12440" spans="1:3" outlineLevel="1" collapsed="1" x14ac:dyDescent="0.3">
      <c r="B12440" t="s">
        <v>4846</v>
      </c>
    </row>
    <row r="12441" spans="1:3" hidden="1" outlineLevel="2" x14ac:dyDescent="0.3">
      <c r="C12441" t="s">
        <v>5028</v>
      </c>
    </row>
    <row r="12442" spans="1:3" hidden="1" outlineLevel="2" x14ac:dyDescent="0.3">
      <c r="C12442" t="s">
        <v>5029</v>
      </c>
    </row>
    <row r="12443" spans="1:3" hidden="1" outlineLevel="2" x14ac:dyDescent="0.3">
      <c r="C12443" t="s">
        <v>5030</v>
      </c>
    </row>
    <row r="12444" spans="1:3" hidden="1" outlineLevel="2" x14ac:dyDescent="0.3">
      <c r="C12444" t="s">
        <v>5031</v>
      </c>
    </row>
    <row r="12445" spans="1:3" hidden="1" outlineLevel="2" x14ac:dyDescent="0.3">
      <c r="C12445" t="s">
        <v>5032</v>
      </c>
    </row>
    <row r="12446" spans="1:3" hidden="1" outlineLevel="2" x14ac:dyDescent="0.3">
      <c r="C12446" t="s">
        <v>5033</v>
      </c>
    </row>
    <row r="12447" spans="1:3" outlineLevel="1" collapsed="1" x14ac:dyDescent="0.3">
      <c r="B12447" t="s">
        <v>4847</v>
      </c>
    </row>
    <row r="12448" spans="1:3" hidden="1" outlineLevel="2" x14ac:dyDescent="0.3">
      <c r="C12448" t="s">
        <v>5034</v>
      </c>
    </row>
    <row r="12449" spans="2:3" hidden="1" outlineLevel="2" x14ac:dyDescent="0.3">
      <c r="C12449" t="s">
        <v>5035</v>
      </c>
    </row>
    <row r="12450" spans="2:3" hidden="1" outlineLevel="2" x14ac:dyDescent="0.3">
      <c r="C12450" t="s">
        <v>5036</v>
      </c>
    </row>
    <row r="12451" spans="2:3" hidden="1" outlineLevel="2" x14ac:dyDescent="0.3">
      <c r="C12451" t="s">
        <v>5037</v>
      </c>
    </row>
    <row r="12452" spans="2:3" hidden="1" outlineLevel="2" x14ac:dyDescent="0.3">
      <c r="C12452" t="s">
        <v>5038</v>
      </c>
    </row>
    <row r="12453" spans="2:3" hidden="1" outlineLevel="2" x14ac:dyDescent="0.3">
      <c r="C12453" t="s">
        <v>5039</v>
      </c>
    </row>
    <row r="12454" spans="2:3" outlineLevel="1" collapsed="1" x14ac:dyDescent="0.3">
      <c r="B12454" t="s">
        <v>5040</v>
      </c>
    </row>
    <row r="12455" spans="2:3" outlineLevel="1" x14ac:dyDescent="0.3">
      <c r="B12455" t="s">
        <v>2390</v>
      </c>
    </row>
    <row r="12456" spans="2:3" hidden="1" outlineLevel="2" x14ac:dyDescent="0.3">
      <c r="C12456" t="s">
        <v>5041</v>
      </c>
    </row>
    <row r="12457" spans="2:3" hidden="1" outlineLevel="2" x14ac:dyDescent="0.3">
      <c r="C12457" t="s">
        <v>5042</v>
      </c>
    </row>
    <row r="12458" spans="2:3" outlineLevel="1" collapsed="1" x14ac:dyDescent="0.3">
      <c r="B12458" t="s">
        <v>5043</v>
      </c>
    </row>
    <row r="12459" spans="2:3" hidden="1" outlineLevel="2" x14ac:dyDescent="0.3">
      <c r="C12459" t="s">
        <v>5044</v>
      </c>
    </row>
    <row r="12460" spans="2:3" hidden="1" outlineLevel="2" x14ac:dyDescent="0.3">
      <c r="C12460" t="s">
        <v>5045</v>
      </c>
    </row>
    <row r="12461" spans="2:3" hidden="1" outlineLevel="2" x14ac:dyDescent="0.3">
      <c r="C12461" t="s">
        <v>5046</v>
      </c>
    </row>
    <row r="12462" spans="2:3" hidden="1" outlineLevel="2" x14ac:dyDescent="0.3">
      <c r="C12462" t="s">
        <v>5047</v>
      </c>
    </row>
    <row r="12463" spans="2:3" hidden="1" outlineLevel="2" x14ac:dyDescent="0.3">
      <c r="C12463" t="s">
        <v>5048</v>
      </c>
    </row>
    <row r="12464" spans="2:3" hidden="1" outlineLevel="2" x14ac:dyDescent="0.3">
      <c r="C12464" t="s">
        <v>5049</v>
      </c>
    </row>
    <row r="12465" spans="1:3" hidden="1" outlineLevel="2" x14ac:dyDescent="0.3">
      <c r="C12465" t="s">
        <v>5050</v>
      </c>
    </row>
    <row r="12466" spans="1:3" hidden="1" outlineLevel="2" x14ac:dyDescent="0.3">
      <c r="C12466" t="s">
        <v>5051</v>
      </c>
    </row>
    <row r="12467" spans="1:3" hidden="1" outlineLevel="2" x14ac:dyDescent="0.3">
      <c r="C12467" t="s">
        <v>5052</v>
      </c>
    </row>
    <row r="12468" spans="1:3" hidden="1" outlineLevel="2" x14ac:dyDescent="0.3">
      <c r="C12468" t="s">
        <v>5053</v>
      </c>
    </row>
    <row r="12469" spans="1:3" hidden="1" outlineLevel="2" x14ac:dyDescent="0.3">
      <c r="C12469" t="s">
        <v>5054</v>
      </c>
    </row>
    <row r="12470" spans="1:3" outlineLevel="1" collapsed="1" x14ac:dyDescent="0.3">
      <c r="B12470" t="s">
        <v>5055</v>
      </c>
    </row>
    <row r="12471" spans="1:3" hidden="1" outlineLevel="2" x14ac:dyDescent="0.3">
      <c r="C12471" t="s">
        <v>5056</v>
      </c>
    </row>
    <row r="12472" spans="1:3" hidden="1" outlineLevel="2" x14ac:dyDescent="0.3">
      <c r="C12472" t="s">
        <v>5057</v>
      </c>
    </row>
    <row r="12473" spans="1:3" hidden="1" outlineLevel="2" x14ac:dyDescent="0.3">
      <c r="C12473" t="s">
        <v>5058</v>
      </c>
    </row>
    <row r="12474" spans="1:3" hidden="1" outlineLevel="2" x14ac:dyDescent="0.3">
      <c r="C12474" t="s">
        <v>5059</v>
      </c>
    </row>
    <row r="12475" spans="1:3" x14ac:dyDescent="0.3">
      <c r="A12475" t="s">
        <v>26</v>
      </c>
    </row>
    <row r="12476" spans="1:3" outlineLevel="1" x14ac:dyDescent="0.3">
      <c r="B12476" t="s">
        <v>27</v>
      </c>
    </row>
    <row r="12477" spans="1:3" hidden="1" outlineLevel="2" x14ac:dyDescent="0.3">
      <c r="C12477" t="s">
        <v>28</v>
      </c>
    </row>
    <row r="12478" spans="1:3" hidden="1" outlineLevel="2" x14ac:dyDescent="0.3">
      <c r="C12478" t="s">
        <v>29</v>
      </c>
    </row>
    <row r="12479" spans="1:3" hidden="1" outlineLevel="2" x14ac:dyDescent="0.3">
      <c r="C12479" t="s">
        <v>30</v>
      </c>
    </row>
    <row r="12480" spans="1:3" hidden="1" outlineLevel="2" x14ac:dyDescent="0.3">
      <c r="C12480" t="s">
        <v>31</v>
      </c>
    </row>
    <row r="12481" spans="1:3" hidden="1" outlineLevel="2" x14ac:dyDescent="0.3">
      <c r="C12481" t="s">
        <v>32</v>
      </c>
    </row>
    <row r="12482" spans="1:3" hidden="1" outlineLevel="2" x14ac:dyDescent="0.3">
      <c r="C12482" t="s">
        <v>33</v>
      </c>
    </row>
    <row r="12483" spans="1:3" hidden="1" outlineLevel="2" x14ac:dyDescent="0.3">
      <c r="C12483" t="s">
        <v>34</v>
      </c>
    </row>
    <row r="12484" spans="1:3" outlineLevel="1" collapsed="1" x14ac:dyDescent="0.3">
      <c r="B12484" t="s">
        <v>35</v>
      </c>
    </row>
    <row r="12485" spans="1:3" outlineLevel="1" x14ac:dyDescent="0.3">
      <c r="B12485" t="s">
        <v>36</v>
      </c>
    </row>
    <row r="12486" spans="1:3" outlineLevel="1" x14ac:dyDescent="0.3">
      <c r="B12486" t="s">
        <v>520</v>
      </c>
    </row>
    <row r="12487" spans="1:3" x14ac:dyDescent="0.3">
      <c r="A12487" t="s">
        <v>37</v>
      </c>
    </row>
    <row r="12488" spans="1:3" outlineLevel="1" x14ac:dyDescent="0.3">
      <c r="B12488" t="s">
        <v>5060</v>
      </c>
    </row>
    <row r="12489" spans="1:3" hidden="1" outlineLevel="2" x14ac:dyDescent="0.3">
      <c r="C12489" t="s">
        <v>5061</v>
      </c>
    </row>
    <row r="12490" spans="1:3" outlineLevel="1" collapsed="1" x14ac:dyDescent="0.3">
      <c r="B12490" t="s">
        <v>2408</v>
      </c>
    </row>
    <row r="12491" spans="1:3" outlineLevel="1" x14ac:dyDescent="0.3">
      <c r="B12491" t="s">
        <v>5062</v>
      </c>
    </row>
    <row r="12492" spans="1:3" hidden="1" outlineLevel="2" x14ac:dyDescent="0.3">
      <c r="C12492" t="s">
        <v>5063</v>
      </c>
    </row>
    <row r="12493" spans="1:3" hidden="1" outlineLevel="2" x14ac:dyDescent="0.3">
      <c r="C12493" t="s">
        <v>5064</v>
      </c>
    </row>
    <row r="12494" spans="1:3" hidden="1" outlineLevel="2" x14ac:dyDescent="0.3">
      <c r="C12494" t="s">
        <v>5065</v>
      </c>
    </row>
    <row r="12495" spans="1:3" hidden="1" outlineLevel="2" x14ac:dyDescent="0.3">
      <c r="C12495" t="s">
        <v>5066</v>
      </c>
    </row>
    <row r="12496" spans="1:3" hidden="1" outlineLevel="2" x14ac:dyDescent="0.3">
      <c r="C12496" t="s">
        <v>5067</v>
      </c>
    </row>
    <row r="12497" spans="2:3" hidden="1" outlineLevel="2" x14ac:dyDescent="0.3">
      <c r="C12497" t="s">
        <v>5068</v>
      </c>
    </row>
    <row r="12498" spans="2:3" hidden="1" outlineLevel="2" x14ac:dyDescent="0.3">
      <c r="C12498" t="s">
        <v>5069</v>
      </c>
    </row>
    <row r="12499" spans="2:3" hidden="1" outlineLevel="2" x14ac:dyDescent="0.3">
      <c r="C12499" t="s">
        <v>5070</v>
      </c>
    </row>
    <row r="12500" spans="2:3" hidden="1" outlineLevel="2" x14ac:dyDescent="0.3">
      <c r="C12500" t="s">
        <v>5071</v>
      </c>
    </row>
    <row r="12501" spans="2:3" outlineLevel="1" collapsed="1" x14ac:dyDescent="0.3">
      <c r="B12501" t="s">
        <v>5072</v>
      </c>
    </row>
    <row r="12502" spans="2:3" hidden="1" outlineLevel="2" x14ac:dyDescent="0.3">
      <c r="C12502" t="s">
        <v>5073</v>
      </c>
    </row>
    <row r="12503" spans="2:3" hidden="1" outlineLevel="2" x14ac:dyDescent="0.3">
      <c r="C12503" t="s">
        <v>5074</v>
      </c>
    </row>
    <row r="12504" spans="2:3" hidden="1" outlineLevel="2" x14ac:dyDescent="0.3">
      <c r="C12504" t="s">
        <v>5075</v>
      </c>
    </row>
    <row r="12505" spans="2:3" hidden="1" outlineLevel="2" x14ac:dyDescent="0.3">
      <c r="C12505" t="s">
        <v>5076</v>
      </c>
    </row>
    <row r="12506" spans="2:3" hidden="1" outlineLevel="2" x14ac:dyDescent="0.3">
      <c r="C12506" t="s">
        <v>5077</v>
      </c>
    </row>
    <row r="12507" spans="2:3" hidden="1" outlineLevel="2" x14ac:dyDescent="0.3">
      <c r="C12507" t="s">
        <v>5078</v>
      </c>
    </row>
    <row r="12508" spans="2:3" hidden="1" outlineLevel="2" x14ac:dyDescent="0.3">
      <c r="C12508" t="s">
        <v>5079</v>
      </c>
    </row>
    <row r="12509" spans="2:3" hidden="1" outlineLevel="2" x14ac:dyDescent="0.3">
      <c r="C12509" t="s">
        <v>5080</v>
      </c>
    </row>
    <row r="12510" spans="2:3" hidden="1" outlineLevel="2" x14ac:dyDescent="0.3">
      <c r="C12510" t="s">
        <v>5081</v>
      </c>
    </row>
    <row r="12511" spans="2:3" hidden="1" outlineLevel="2" x14ac:dyDescent="0.3">
      <c r="C12511" t="s">
        <v>5082</v>
      </c>
    </row>
    <row r="12512" spans="2:3" hidden="1" outlineLevel="2" x14ac:dyDescent="0.3">
      <c r="C12512" t="s">
        <v>5083</v>
      </c>
    </row>
    <row r="12513" spans="1:3" hidden="1" outlineLevel="2" x14ac:dyDescent="0.3">
      <c r="C12513" t="s">
        <v>5084</v>
      </c>
    </row>
    <row r="12514" spans="1:3" hidden="1" outlineLevel="2" x14ac:dyDescent="0.3">
      <c r="C12514" t="s">
        <v>5085</v>
      </c>
    </row>
    <row r="12515" spans="1:3" hidden="1" outlineLevel="2" x14ac:dyDescent="0.3">
      <c r="C12515" t="s">
        <v>5086</v>
      </c>
    </row>
    <row r="12521" spans="1:3" x14ac:dyDescent="0.3">
      <c r="A12521" t="s">
        <v>3612</v>
      </c>
    </row>
    <row r="12522" spans="1:3" outlineLevel="1" x14ac:dyDescent="0.3">
      <c r="B12522" t="s">
        <v>5087</v>
      </c>
    </row>
    <row r="12523" spans="1:3" hidden="1" outlineLevel="2" x14ac:dyDescent="0.3">
      <c r="C12523" t="s">
        <v>5088</v>
      </c>
    </row>
    <row r="12524" spans="1:3" hidden="1" outlineLevel="2" x14ac:dyDescent="0.3">
      <c r="C12524" t="s">
        <v>5089</v>
      </c>
    </row>
    <row r="12525" spans="1:3" outlineLevel="1" collapsed="1" x14ac:dyDescent="0.3">
      <c r="B12525" t="s">
        <v>5090</v>
      </c>
    </row>
    <row r="12526" spans="1:3" hidden="1" outlineLevel="2" x14ac:dyDescent="0.3">
      <c r="C12526" t="s">
        <v>5091</v>
      </c>
    </row>
    <row r="12527" spans="1:3" hidden="1" outlineLevel="2" x14ac:dyDescent="0.3">
      <c r="C12527" t="s">
        <v>5092</v>
      </c>
    </row>
    <row r="12528" spans="1:3" hidden="1" outlineLevel="2" x14ac:dyDescent="0.3">
      <c r="C12528" t="s">
        <v>5093</v>
      </c>
    </row>
    <row r="12529" spans="2:3" hidden="1" outlineLevel="2" x14ac:dyDescent="0.3">
      <c r="C12529" t="s">
        <v>5094</v>
      </c>
    </row>
    <row r="12530" spans="2:3" hidden="1" outlineLevel="2" x14ac:dyDescent="0.3">
      <c r="C12530" t="s">
        <v>5095</v>
      </c>
    </row>
    <row r="12531" spans="2:3" outlineLevel="1" collapsed="1" x14ac:dyDescent="0.3">
      <c r="B12531" t="s">
        <v>5096</v>
      </c>
    </row>
    <row r="12532" spans="2:3" hidden="1" outlineLevel="2" x14ac:dyDescent="0.3">
      <c r="C12532" t="s">
        <v>5097</v>
      </c>
    </row>
    <row r="12533" spans="2:3" hidden="1" outlineLevel="2" x14ac:dyDescent="0.3">
      <c r="C12533" t="s">
        <v>5098</v>
      </c>
    </row>
    <row r="12534" spans="2:3" hidden="1" outlineLevel="2" x14ac:dyDescent="0.3">
      <c r="C12534" t="s">
        <v>5099</v>
      </c>
    </row>
    <row r="12535" spans="2:3" outlineLevel="1" collapsed="1" x14ac:dyDescent="0.3">
      <c r="B12535" t="s">
        <v>5100</v>
      </c>
    </row>
    <row r="12536" spans="2:3" hidden="1" outlineLevel="2" x14ac:dyDescent="0.3">
      <c r="C12536" t="s">
        <v>5101</v>
      </c>
    </row>
    <row r="12537" spans="2:3" hidden="1" outlineLevel="2" x14ac:dyDescent="0.3">
      <c r="C12537" t="s">
        <v>5102</v>
      </c>
    </row>
    <row r="12538" spans="2:3" hidden="1" outlineLevel="2" x14ac:dyDescent="0.3">
      <c r="C12538" t="s">
        <v>5103</v>
      </c>
    </row>
    <row r="12539" spans="2:3" hidden="1" outlineLevel="2" x14ac:dyDescent="0.3">
      <c r="C12539" t="s">
        <v>5104</v>
      </c>
    </row>
    <row r="12540" spans="2:3" hidden="1" outlineLevel="2" x14ac:dyDescent="0.3">
      <c r="C12540" t="s">
        <v>5105</v>
      </c>
    </row>
    <row r="12541" spans="2:3" hidden="1" outlineLevel="2" x14ac:dyDescent="0.3">
      <c r="C12541" t="s">
        <v>5106</v>
      </c>
    </row>
    <row r="12542" spans="2:3" hidden="1" outlineLevel="2" x14ac:dyDescent="0.3">
      <c r="C12542" t="s">
        <v>5107</v>
      </c>
    </row>
    <row r="12543" spans="2:3" hidden="1" outlineLevel="2" x14ac:dyDescent="0.3">
      <c r="C12543" t="s">
        <v>5108</v>
      </c>
    </row>
    <row r="12544" spans="2:3" hidden="1" outlineLevel="2" x14ac:dyDescent="0.3">
      <c r="C12544" t="s">
        <v>5109</v>
      </c>
    </row>
    <row r="12545" spans="2:3" hidden="1" outlineLevel="2" x14ac:dyDescent="0.3">
      <c r="C12545" t="s">
        <v>5110</v>
      </c>
    </row>
    <row r="12546" spans="2:3" hidden="1" outlineLevel="2" x14ac:dyDescent="0.3">
      <c r="C12546" t="s">
        <v>5111</v>
      </c>
    </row>
    <row r="12547" spans="2:3" hidden="1" outlineLevel="2" x14ac:dyDescent="0.3">
      <c r="C12547" t="s">
        <v>5112</v>
      </c>
    </row>
    <row r="12548" spans="2:3" hidden="1" outlineLevel="2" x14ac:dyDescent="0.3">
      <c r="C12548" t="s">
        <v>5113</v>
      </c>
    </row>
    <row r="12549" spans="2:3" hidden="1" outlineLevel="2" x14ac:dyDescent="0.3">
      <c r="C12549" t="s">
        <v>5114</v>
      </c>
    </row>
    <row r="12550" spans="2:3" hidden="1" outlineLevel="2" x14ac:dyDescent="0.3">
      <c r="C12550" t="s">
        <v>5115</v>
      </c>
    </row>
    <row r="12551" spans="2:3" hidden="1" outlineLevel="2" x14ac:dyDescent="0.3">
      <c r="C12551" t="s">
        <v>5116</v>
      </c>
    </row>
    <row r="12552" spans="2:3" outlineLevel="1" collapsed="1" x14ac:dyDescent="0.3">
      <c r="B12552" t="s">
        <v>5117</v>
      </c>
    </row>
    <row r="12553" spans="2:3" outlineLevel="1" x14ac:dyDescent="0.3">
      <c r="B12553" t="s">
        <v>3620</v>
      </c>
    </row>
    <row r="12554" spans="2:3" hidden="1" outlineLevel="2" x14ac:dyDescent="0.3">
      <c r="C12554" t="s">
        <v>5118</v>
      </c>
    </row>
    <row r="12555" spans="2:3" hidden="1" outlineLevel="2" x14ac:dyDescent="0.3">
      <c r="C12555" t="s">
        <v>5119</v>
      </c>
    </row>
    <row r="12556" spans="2:3" hidden="1" outlineLevel="2" x14ac:dyDescent="0.3">
      <c r="C12556" t="s">
        <v>5120</v>
      </c>
    </row>
    <row r="12557" spans="2:3" outlineLevel="1" collapsed="1" x14ac:dyDescent="0.3">
      <c r="B12557" t="s">
        <v>5121</v>
      </c>
    </row>
    <row r="12558" spans="2:3" hidden="1" outlineLevel="2" x14ac:dyDescent="0.3">
      <c r="C12558" t="s">
        <v>5122</v>
      </c>
    </row>
    <row r="12559" spans="2:3" hidden="1" outlineLevel="2" x14ac:dyDescent="0.3">
      <c r="C12559" t="s">
        <v>5123</v>
      </c>
    </row>
    <row r="12560" spans="2:3" hidden="1" outlineLevel="2" x14ac:dyDescent="0.3">
      <c r="C12560" t="s">
        <v>5124</v>
      </c>
    </row>
    <row r="12561" spans="1:3" outlineLevel="1" collapsed="1" x14ac:dyDescent="0.3">
      <c r="B12561" t="s">
        <v>5125</v>
      </c>
    </row>
    <row r="12562" spans="1:3" hidden="1" outlineLevel="2" x14ac:dyDescent="0.3">
      <c r="C12562" t="s">
        <v>5126</v>
      </c>
    </row>
    <row r="12563" spans="1:3" hidden="1" outlineLevel="2" x14ac:dyDescent="0.3">
      <c r="C12563" t="s">
        <v>5127</v>
      </c>
    </row>
    <row r="12564" spans="1:3" outlineLevel="1" collapsed="1" x14ac:dyDescent="0.3">
      <c r="B12564" t="s">
        <v>5128</v>
      </c>
    </row>
    <row r="12565" spans="1:3" x14ac:dyDescent="0.3">
      <c r="A12565" t="s">
        <v>3625</v>
      </c>
    </row>
    <row r="12566" spans="1:3" outlineLevel="1" x14ac:dyDescent="0.3">
      <c r="B12566" t="s">
        <v>5129</v>
      </c>
    </row>
    <row r="12567" spans="1:3" hidden="1" outlineLevel="2" x14ac:dyDescent="0.3">
      <c r="C12567" t="s">
        <v>5130</v>
      </c>
    </row>
    <row r="12568" spans="1:3" hidden="1" outlineLevel="2" x14ac:dyDescent="0.3">
      <c r="C12568" t="s">
        <v>5131</v>
      </c>
    </row>
    <row r="12569" spans="1:3" hidden="1" outlineLevel="2" x14ac:dyDescent="0.3">
      <c r="C12569" t="s">
        <v>5132</v>
      </c>
    </row>
    <row r="12570" spans="1:3" hidden="1" outlineLevel="2" x14ac:dyDescent="0.3">
      <c r="C12570" t="s">
        <v>5133</v>
      </c>
    </row>
    <row r="12571" spans="1:3" hidden="1" outlineLevel="2" x14ac:dyDescent="0.3">
      <c r="C12571" t="s">
        <v>5134</v>
      </c>
    </row>
    <row r="12572" spans="1:3" hidden="1" outlineLevel="2" x14ac:dyDescent="0.3">
      <c r="C12572" t="s">
        <v>5135</v>
      </c>
    </row>
    <row r="12573" spans="1:3" outlineLevel="1" collapsed="1" x14ac:dyDescent="0.3">
      <c r="B12573" t="s">
        <v>5136</v>
      </c>
    </row>
    <row r="12574" spans="1:3" hidden="1" outlineLevel="2" x14ac:dyDescent="0.3">
      <c r="C12574" t="s">
        <v>5137</v>
      </c>
    </row>
    <row r="12575" spans="1:3" hidden="1" outlineLevel="2" x14ac:dyDescent="0.3">
      <c r="C12575" t="s">
        <v>5138</v>
      </c>
    </row>
    <row r="12576" spans="1:3" hidden="1" outlineLevel="2" x14ac:dyDescent="0.3">
      <c r="C12576" t="s">
        <v>5139</v>
      </c>
    </row>
    <row r="12577" spans="2:3" hidden="1" outlineLevel="2" x14ac:dyDescent="0.3">
      <c r="C12577" t="s">
        <v>5140</v>
      </c>
    </row>
    <row r="12578" spans="2:3" hidden="1" outlineLevel="2" x14ac:dyDescent="0.3">
      <c r="C12578" t="s">
        <v>5141</v>
      </c>
    </row>
    <row r="12579" spans="2:3" hidden="1" outlineLevel="2" x14ac:dyDescent="0.3">
      <c r="C12579" t="s">
        <v>5142</v>
      </c>
    </row>
    <row r="12580" spans="2:3" outlineLevel="1" collapsed="1" x14ac:dyDescent="0.3">
      <c r="B12580" t="s">
        <v>5143</v>
      </c>
    </row>
    <row r="12581" spans="2:3" outlineLevel="1" x14ac:dyDescent="0.3">
      <c r="B12581" t="s">
        <v>3640</v>
      </c>
    </row>
    <row r="12582" spans="2:3" outlineLevel="1" x14ac:dyDescent="0.3">
      <c r="B12582" t="s">
        <v>3641</v>
      </c>
    </row>
    <row r="12583" spans="2:3" hidden="1" outlineLevel="2" x14ac:dyDescent="0.3">
      <c r="C12583" t="s">
        <v>5144</v>
      </c>
    </row>
    <row r="12584" spans="2:3" hidden="1" outlineLevel="2" x14ac:dyDescent="0.3">
      <c r="C12584" t="s">
        <v>5145</v>
      </c>
    </row>
    <row r="12585" spans="2:3" hidden="1" outlineLevel="2" x14ac:dyDescent="0.3">
      <c r="C12585" t="s">
        <v>5146</v>
      </c>
    </row>
    <row r="12586" spans="2:3" hidden="1" outlineLevel="2" x14ac:dyDescent="0.3">
      <c r="C12586" t="s">
        <v>5147</v>
      </c>
    </row>
    <row r="12587" spans="2:3" hidden="1" outlineLevel="2" x14ac:dyDescent="0.3">
      <c r="C12587" t="s">
        <v>5148</v>
      </c>
    </row>
    <row r="12588" spans="2:3" hidden="1" outlineLevel="2" x14ac:dyDescent="0.3">
      <c r="C12588" t="s">
        <v>5149</v>
      </c>
    </row>
    <row r="12589" spans="2:3" hidden="1" outlineLevel="2" x14ac:dyDescent="0.3">
      <c r="C12589" t="s">
        <v>5150</v>
      </c>
    </row>
    <row r="12590" spans="2:3" hidden="1" outlineLevel="2" x14ac:dyDescent="0.3">
      <c r="C12590" t="s">
        <v>5151</v>
      </c>
    </row>
    <row r="12591" spans="2:3" hidden="1" outlineLevel="2" x14ac:dyDescent="0.3">
      <c r="C12591" t="s">
        <v>5152</v>
      </c>
    </row>
    <row r="12592" spans="2:3" hidden="1" outlineLevel="2" x14ac:dyDescent="0.3">
      <c r="C12592" t="s">
        <v>5153</v>
      </c>
    </row>
    <row r="12593" spans="2:3" hidden="1" outlineLevel="2" x14ac:dyDescent="0.3">
      <c r="C12593" t="s">
        <v>5154</v>
      </c>
    </row>
    <row r="12594" spans="2:3" hidden="1" outlineLevel="2" x14ac:dyDescent="0.3">
      <c r="C12594" t="s">
        <v>5155</v>
      </c>
    </row>
    <row r="12595" spans="2:3" hidden="1" outlineLevel="2" x14ac:dyDescent="0.3">
      <c r="C12595" t="s">
        <v>5156</v>
      </c>
    </row>
    <row r="12596" spans="2:3" hidden="1" outlineLevel="2" x14ac:dyDescent="0.3">
      <c r="C12596" t="s">
        <v>5157</v>
      </c>
    </row>
    <row r="12597" spans="2:3" hidden="1" outlineLevel="2" x14ac:dyDescent="0.3">
      <c r="C12597" t="s">
        <v>5158</v>
      </c>
    </row>
    <row r="12598" spans="2:3" hidden="1" outlineLevel="2" x14ac:dyDescent="0.3">
      <c r="C12598" t="s">
        <v>5159</v>
      </c>
    </row>
    <row r="12599" spans="2:3" hidden="1" outlineLevel="2" x14ac:dyDescent="0.3">
      <c r="C12599" t="s">
        <v>5160</v>
      </c>
    </row>
    <row r="12600" spans="2:3" outlineLevel="1" collapsed="1" x14ac:dyDescent="0.3">
      <c r="B12600" t="s">
        <v>3642</v>
      </c>
    </row>
    <row r="12601" spans="2:3" hidden="1" outlineLevel="2" x14ac:dyDescent="0.3">
      <c r="C12601" t="s">
        <v>5161</v>
      </c>
    </row>
    <row r="12602" spans="2:3" hidden="1" outlineLevel="2" x14ac:dyDescent="0.3">
      <c r="C12602" t="s">
        <v>5162</v>
      </c>
    </row>
    <row r="12603" spans="2:3" outlineLevel="1" collapsed="1" x14ac:dyDescent="0.3">
      <c r="B12603" t="s">
        <v>5163</v>
      </c>
    </row>
    <row r="12604" spans="2:3" hidden="1" outlineLevel="2" x14ac:dyDescent="0.3">
      <c r="C12604" t="s">
        <v>5164</v>
      </c>
    </row>
    <row r="12605" spans="2:3" hidden="1" outlineLevel="2" x14ac:dyDescent="0.3">
      <c r="C12605" t="s">
        <v>5165</v>
      </c>
    </row>
    <row r="12606" spans="2:3" outlineLevel="1" collapsed="1" x14ac:dyDescent="0.3">
      <c r="B12606" t="s">
        <v>3645</v>
      </c>
    </row>
    <row r="12607" spans="2:3" hidden="1" outlineLevel="2" x14ac:dyDescent="0.3">
      <c r="C12607" t="s">
        <v>5166</v>
      </c>
    </row>
    <row r="12608" spans="2:3" hidden="1" outlineLevel="2" x14ac:dyDescent="0.3">
      <c r="C12608" t="s">
        <v>5167</v>
      </c>
    </row>
    <row r="12609" spans="1:3" outlineLevel="1" collapsed="1" x14ac:dyDescent="0.3">
      <c r="B12609" t="s">
        <v>3646</v>
      </c>
    </row>
    <row r="12610" spans="1:3" hidden="1" outlineLevel="2" x14ac:dyDescent="0.3">
      <c r="C12610" t="s">
        <v>5168</v>
      </c>
    </row>
    <row r="12611" spans="1:3" hidden="1" outlineLevel="2" x14ac:dyDescent="0.3">
      <c r="C12611" t="s">
        <v>5169</v>
      </c>
    </row>
    <row r="12612" spans="1:3" hidden="1" outlineLevel="2" x14ac:dyDescent="0.3">
      <c r="C12612" t="s">
        <v>5170</v>
      </c>
    </row>
    <row r="12613" spans="1:3" hidden="1" outlineLevel="2" x14ac:dyDescent="0.3">
      <c r="C12613" t="s">
        <v>5171</v>
      </c>
    </row>
    <row r="12614" spans="1:3" x14ac:dyDescent="0.3">
      <c r="A12614" t="s">
        <v>3647</v>
      </c>
    </row>
    <row r="12615" spans="1:3" x14ac:dyDescent="0.3">
      <c r="A12615" t="s">
        <v>99</v>
      </c>
    </row>
    <row r="12616" spans="1:3" x14ac:dyDescent="0.3">
      <c r="A12616" t="s">
        <v>2448</v>
      </c>
    </row>
    <row r="12617" spans="1:3" x14ac:dyDescent="0.3">
      <c r="A12617" t="s">
        <v>2449</v>
      </c>
    </row>
    <row r="12618" spans="1:3" x14ac:dyDescent="0.3">
      <c r="A12618" t="s">
        <v>330</v>
      </c>
    </row>
    <row r="12619" spans="1:3" x14ac:dyDescent="0.3">
      <c r="A12619" t="s">
        <v>333</v>
      </c>
    </row>
    <row r="12620" spans="1:3" x14ac:dyDescent="0.3">
      <c r="A12620" t="s">
        <v>336</v>
      </c>
    </row>
    <row r="12621" spans="1:3" x14ac:dyDescent="0.3">
      <c r="A12621" t="s">
        <v>339</v>
      </c>
    </row>
    <row r="12622" spans="1:3" x14ac:dyDescent="0.3">
      <c r="A12622" t="s">
        <v>342</v>
      </c>
    </row>
    <row r="12623" spans="1:3" x14ac:dyDescent="0.3">
      <c r="A12623" t="s">
        <v>345</v>
      </c>
    </row>
    <row r="12624" spans="1:3" x14ac:dyDescent="0.3">
      <c r="A12624" t="s">
        <v>348</v>
      </c>
    </row>
    <row r="12625" spans="1:2" x14ac:dyDescent="0.3">
      <c r="A12625" t="s">
        <v>351</v>
      </c>
    </row>
    <row r="12626" spans="1:2" x14ac:dyDescent="0.3">
      <c r="A12626" t="s">
        <v>354</v>
      </c>
    </row>
    <row r="12627" spans="1:2" outlineLevel="1" x14ac:dyDescent="0.3">
      <c r="B12627" t="s">
        <v>357</v>
      </c>
    </row>
    <row r="12628" spans="1:2" outlineLevel="1" x14ac:dyDescent="0.3">
      <c r="B12628" t="s">
        <v>360</v>
      </c>
    </row>
    <row r="12629" spans="1:2" x14ac:dyDescent="0.3">
      <c r="A12629" t="s">
        <v>363</v>
      </c>
    </row>
    <row r="12630" spans="1:2" outlineLevel="1" x14ac:dyDescent="0.3">
      <c r="B12630" t="s">
        <v>366</v>
      </c>
    </row>
    <row r="12631" spans="1:2" outlineLevel="1" x14ac:dyDescent="0.3">
      <c r="B12631" t="s">
        <v>369</v>
      </c>
    </row>
    <row r="12632" spans="1:2" x14ac:dyDescent="0.3">
      <c r="A12632" t="s">
        <v>372</v>
      </c>
    </row>
    <row r="12633" spans="1:2" x14ac:dyDescent="0.3">
      <c r="A12633" t="s">
        <v>375</v>
      </c>
    </row>
    <row r="12639" spans="1:2" x14ac:dyDescent="0.3">
      <c r="A12639" t="s">
        <v>67</v>
      </c>
    </row>
    <row r="12640" spans="1:2" outlineLevel="1" x14ac:dyDescent="0.3">
      <c r="B12640" t="s">
        <v>70</v>
      </c>
    </row>
    <row r="12641" spans="1:2" outlineLevel="1" x14ac:dyDescent="0.3">
      <c r="B12641" t="s">
        <v>73</v>
      </c>
    </row>
    <row r="12642" spans="1:2" outlineLevel="1" x14ac:dyDescent="0.3">
      <c r="B12642" t="s">
        <v>76</v>
      </c>
    </row>
    <row r="12643" spans="1:2" outlineLevel="1" x14ac:dyDescent="0.3">
      <c r="B12643" t="s">
        <v>79</v>
      </c>
    </row>
    <row r="12644" spans="1:2" outlineLevel="1" x14ac:dyDescent="0.3">
      <c r="B12644" t="s">
        <v>82</v>
      </c>
    </row>
    <row r="12645" spans="1:2" outlineLevel="1" x14ac:dyDescent="0.3">
      <c r="B12645" t="s">
        <v>85</v>
      </c>
    </row>
    <row r="12646" spans="1:2" outlineLevel="1" x14ac:dyDescent="0.3">
      <c r="B12646" t="s">
        <v>88</v>
      </c>
    </row>
    <row r="12647" spans="1:2" outlineLevel="1" x14ac:dyDescent="0.3">
      <c r="B12647" t="s">
        <v>91</v>
      </c>
    </row>
    <row r="12648" spans="1:2" outlineLevel="1" x14ac:dyDescent="0.3">
      <c r="B12648" t="s">
        <v>94</v>
      </c>
    </row>
    <row r="12649" spans="1:2" outlineLevel="1" x14ac:dyDescent="0.3">
      <c r="B12649" t="s">
        <v>97</v>
      </c>
    </row>
    <row r="12650" spans="1:2" outlineLevel="1" x14ac:dyDescent="0.3">
      <c r="B12650" t="s">
        <v>100</v>
      </c>
    </row>
    <row r="12651" spans="1:2" outlineLevel="1" x14ac:dyDescent="0.3">
      <c r="B12651" t="s">
        <v>103</v>
      </c>
    </row>
    <row r="12652" spans="1:2" x14ac:dyDescent="0.3">
      <c r="A12652" t="s">
        <v>106</v>
      </c>
    </row>
    <row r="12653" spans="1:2" outlineLevel="1" x14ac:dyDescent="0.3">
      <c r="B12653" t="s">
        <v>109</v>
      </c>
    </row>
    <row r="12654" spans="1:2" outlineLevel="1" x14ac:dyDescent="0.3">
      <c r="B12654" t="s">
        <v>112</v>
      </c>
    </row>
    <row r="12655" spans="1:2" outlineLevel="1" x14ac:dyDescent="0.3">
      <c r="B12655" t="s">
        <v>115</v>
      </c>
    </row>
    <row r="12656" spans="1:2" x14ac:dyDescent="0.3">
      <c r="A12656" t="s">
        <v>118</v>
      </c>
    </row>
    <row r="12657" spans="2:2" outlineLevel="1" x14ac:dyDescent="0.3">
      <c r="B12657" t="s">
        <v>121</v>
      </c>
    </row>
    <row r="12658" spans="2:2" outlineLevel="1" x14ac:dyDescent="0.3">
      <c r="B12658" t="s">
        <v>124</v>
      </c>
    </row>
    <row r="12659" spans="2:2" outlineLevel="1" x14ac:dyDescent="0.3">
      <c r="B12659" t="s">
        <v>127</v>
      </c>
    </row>
    <row r="12660" spans="2:2" outlineLevel="1" x14ac:dyDescent="0.3">
      <c r="B12660" t="s">
        <v>130</v>
      </c>
    </row>
    <row r="12661" spans="2:2" outlineLevel="1" x14ac:dyDescent="0.3">
      <c r="B12661" t="s">
        <v>133</v>
      </c>
    </row>
    <row r="12662" spans="2:2" outlineLevel="1" x14ac:dyDescent="0.3">
      <c r="B12662" t="s">
        <v>136</v>
      </c>
    </row>
    <row r="12663" spans="2:2" outlineLevel="1" x14ac:dyDescent="0.3">
      <c r="B12663" t="s">
        <v>139</v>
      </c>
    </row>
    <row r="12664" spans="2:2" outlineLevel="1" x14ac:dyDescent="0.3">
      <c r="B12664" t="s">
        <v>142</v>
      </c>
    </row>
    <row r="12665" spans="2:2" outlineLevel="1" x14ac:dyDescent="0.3">
      <c r="B12665" t="s">
        <v>145</v>
      </c>
    </row>
    <row r="12666" spans="2:2" outlineLevel="1" x14ac:dyDescent="0.3">
      <c r="B12666" t="s">
        <v>148</v>
      </c>
    </row>
    <row r="12667" spans="2:2" outlineLevel="1" x14ac:dyDescent="0.3">
      <c r="B12667" t="s">
        <v>151</v>
      </c>
    </row>
    <row r="12668" spans="2:2" outlineLevel="1" x14ac:dyDescent="0.3">
      <c r="B12668" t="s">
        <v>154</v>
      </c>
    </row>
    <row r="12669" spans="2:2" outlineLevel="1" x14ac:dyDescent="0.3">
      <c r="B12669" t="s">
        <v>157</v>
      </c>
    </row>
    <row r="12670" spans="2:2" outlineLevel="1" x14ac:dyDescent="0.3">
      <c r="B12670" t="s">
        <v>160</v>
      </c>
    </row>
    <row r="12671" spans="2:2" outlineLevel="1" x14ac:dyDescent="0.3">
      <c r="B12671" t="s">
        <v>163</v>
      </c>
    </row>
    <row r="12672" spans="2:2" outlineLevel="1" x14ac:dyDescent="0.3">
      <c r="B12672" t="s">
        <v>166</v>
      </c>
    </row>
    <row r="12673" spans="1:2" outlineLevel="1" x14ac:dyDescent="0.3">
      <c r="B12673" t="s">
        <v>169</v>
      </c>
    </row>
    <row r="12674" spans="1:2" outlineLevel="1" x14ac:dyDescent="0.3">
      <c r="B12674" t="s">
        <v>172</v>
      </c>
    </row>
    <row r="12675" spans="1:2" outlineLevel="1" x14ac:dyDescent="0.3">
      <c r="B12675" t="s">
        <v>175</v>
      </c>
    </row>
    <row r="12676" spans="1:2" outlineLevel="1" x14ac:dyDescent="0.3">
      <c r="B12676" t="s">
        <v>178</v>
      </c>
    </row>
    <row r="12677" spans="1:2" x14ac:dyDescent="0.3">
      <c r="A12677" t="s">
        <v>181</v>
      </c>
    </row>
    <row r="12678" spans="1:2" outlineLevel="1" x14ac:dyDescent="0.3">
      <c r="B12678" t="s">
        <v>184</v>
      </c>
    </row>
    <row r="12679" spans="1:2" outlineLevel="1" x14ac:dyDescent="0.3">
      <c r="B12679" t="s">
        <v>187</v>
      </c>
    </row>
    <row r="12680" spans="1:2" outlineLevel="1" x14ac:dyDescent="0.3">
      <c r="B12680" t="s">
        <v>190</v>
      </c>
    </row>
    <row r="12681" spans="1:2" outlineLevel="1" x14ac:dyDescent="0.3">
      <c r="B12681" t="s">
        <v>193</v>
      </c>
    </row>
    <row r="12682" spans="1:2" outlineLevel="1" x14ac:dyDescent="0.3">
      <c r="B12682" t="s">
        <v>196</v>
      </c>
    </row>
    <row r="12683" spans="1:2" outlineLevel="1" x14ac:dyDescent="0.3">
      <c r="B12683" t="s">
        <v>199</v>
      </c>
    </row>
    <row r="12684" spans="1:2" outlineLevel="1" x14ac:dyDescent="0.3">
      <c r="B12684" t="s">
        <v>202</v>
      </c>
    </row>
    <row r="12685" spans="1:2" outlineLevel="1" x14ac:dyDescent="0.3">
      <c r="B12685" t="s">
        <v>205</v>
      </c>
    </row>
    <row r="12686" spans="1:2" outlineLevel="1" x14ac:dyDescent="0.3">
      <c r="B12686" t="s">
        <v>208</v>
      </c>
    </row>
    <row r="12687" spans="1:2" outlineLevel="1" x14ac:dyDescent="0.3">
      <c r="B12687" t="s">
        <v>211</v>
      </c>
    </row>
    <row r="12688" spans="1:2" outlineLevel="1" x14ac:dyDescent="0.3">
      <c r="B12688" t="s">
        <v>214</v>
      </c>
    </row>
    <row r="12689" spans="1:2" outlineLevel="1" x14ac:dyDescent="0.3">
      <c r="B12689" t="s">
        <v>217</v>
      </c>
    </row>
    <row r="12690" spans="1:2" outlineLevel="1" x14ac:dyDescent="0.3">
      <c r="B12690" t="s">
        <v>220</v>
      </c>
    </row>
    <row r="12691" spans="1:2" outlineLevel="1" x14ac:dyDescent="0.3">
      <c r="B12691" t="s">
        <v>223</v>
      </c>
    </row>
    <row r="12692" spans="1:2" outlineLevel="1" x14ac:dyDescent="0.3">
      <c r="B12692" t="s">
        <v>226</v>
      </c>
    </row>
    <row r="12693" spans="1:2" outlineLevel="1" x14ac:dyDescent="0.3">
      <c r="B12693" t="s">
        <v>229</v>
      </c>
    </row>
    <row r="12694" spans="1:2" outlineLevel="1" x14ac:dyDescent="0.3">
      <c r="B12694" t="s">
        <v>232</v>
      </c>
    </row>
    <row r="12695" spans="1:2" outlineLevel="1" x14ac:dyDescent="0.3">
      <c r="B12695" t="s">
        <v>235</v>
      </c>
    </row>
    <row r="12696" spans="1:2" x14ac:dyDescent="0.3">
      <c r="A12696" t="s">
        <v>238</v>
      </c>
    </row>
    <row r="12697" spans="1:2" outlineLevel="1" x14ac:dyDescent="0.3">
      <c r="B12697" t="s">
        <v>241</v>
      </c>
    </row>
    <row r="12698" spans="1:2" outlineLevel="1" x14ac:dyDescent="0.3">
      <c r="B12698" t="s">
        <v>244</v>
      </c>
    </row>
    <row r="12699" spans="1:2" outlineLevel="1" x14ac:dyDescent="0.3">
      <c r="B12699" t="s">
        <v>247</v>
      </c>
    </row>
    <row r="12700" spans="1:2" outlineLevel="1" x14ac:dyDescent="0.3">
      <c r="B12700" t="s">
        <v>250</v>
      </c>
    </row>
    <row r="12701" spans="1:2" outlineLevel="1" x14ac:dyDescent="0.3">
      <c r="B12701" t="s">
        <v>253</v>
      </c>
    </row>
    <row r="12702" spans="1:2" outlineLevel="1" x14ac:dyDescent="0.3">
      <c r="B12702" t="s">
        <v>256</v>
      </c>
    </row>
    <row r="12703" spans="1:2" outlineLevel="1" x14ac:dyDescent="0.3">
      <c r="B12703" t="s">
        <v>259</v>
      </c>
    </row>
    <row r="12704" spans="1:2" outlineLevel="1" x14ac:dyDescent="0.3">
      <c r="B12704" t="s">
        <v>262</v>
      </c>
    </row>
    <row r="12705" spans="1:3" outlineLevel="1" x14ac:dyDescent="0.3">
      <c r="B12705" t="s">
        <v>265</v>
      </c>
    </row>
    <row r="12706" spans="1:3" outlineLevel="1" x14ac:dyDescent="0.3">
      <c r="B12706" t="s">
        <v>268</v>
      </c>
    </row>
    <row r="12707" spans="1:3" outlineLevel="1" x14ac:dyDescent="0.3">
      <c r="B12707" t="s">
        <v>271</v>
      </c>
    </row>
    <row r="12708" spans="1:3" outlineLevel="1" x14ac:dyDescent="0.3">
      <c r="B12708" t="s">
        <v>274</v>
      </c>
    </row>
    <row r="12709" spans="1:3" outlineLevel="1" x14ac:dyDescent="0.3">
      <c r="B12709" t="s">
        <v>277</v>
      </c>
    </row>
    <row r="12710" spans="1:3" outlineLevel="1" x14ac:dyDescent="0.3">
      <c r="B12710" t="s">
        <v>280</v>
      </c>
    </row>
    <row r="12711" spans="1:3" outlineLevel="1" x14ac:dyDescent="0.3">
      <c r="B12711" t="s">
        <v>283</v>
      </c>
    </row>
    <row r="12712" spans="1:3" outlineLevel="1" x14ac:dyDescent="0.3">
      <c r="B12712" t="s">
        <v>286</v>
      </c>
    </row>
    <row r="12713" spans="1:3" outlineLevel="1" x14ac:dyDescent="0.3">
      <c r="B12713" t="s">
        <v>289</v>
      </c>
    </row>
    <row r="12714" spans="1:3" x14ac:dyDescent="0.3">
      <c r="A12714" t="s">
        <v>292</v>
      </c>
    </row>
    <row r="12715" spans="1:3" outlineLevel="1" x14ac:dyDescent="0.3">
      <c r="B12715" t="s">
        <v>295</v>
      </c>
    </row>
    <row r="12716" spans="1:3" hidden="1" outlineLevel="2" x14ac:dyDescent="0.3">
      <c r="C12716" t="s">
        <v>298</v>
      </c>
    </row>
    <row r="12717" spans="1:3" hidden="1" outlineLevel="2" x14ac:dyDescent="0.3">
      <c r="C12717" t="s">
        <v>301</v>
      </c>
    </row>
    <row r="12718" spans="1:3" hidden="1" outlineLevel="2" x14ac:dyDescent="0.3">
      <c r="C12718" t="s">
        <v>304</v>
      </c>
    </row>
    <row r="12719" spans="1:3" hidden="1" outlineLevel="2" x14ac:dyDescent="0.3">
      <c r="C12719" t="s">
        <v>307</v>
      </c>
    </row>
    <row r="12720" spans="1:3" hidden="1" outlineLevel="2" x14ac:dyDescent="0.3">
      <c r="C12720" t="s">
        <v>310</v>
      </c>
    </row>
    <row r="12721" spans="1:3" hidden="1" outlineLevel="2" x14ac:dyDescent="0.3">
      <c r="C12721" t="s">
        <v>313</v>
      </c>
    </row>
    <row r="12722" spans="1:3" hidden="1" outlineLevel="2" x14ac:dyDescent="0.3">
      <c r="C12722" t="s">
        <v>316</v>
      </c>
    </row>
    <row r="12723" spans="1:3" outlineLevel="1" collapsed="1" x14ac:dyDescent="0.3">
      <c r="B12723" t="s">
        <v>319</v>
      </c>
    </row>
    <row r="12724" spans="1:3" outlineLevel="1" x14ac:dyDescent="0.3">
      <c r="B12724" t="s">
        <v>322</v>
      </c>
    </row>
    <row r="12725" spans="1:3" outlineLevel="1" x14ac:dyDescent="0.3">
      <c r="B12725" t="s">
        <v>325</v>
      </c>
    </row>
    <row r="12726" spans="1:3" outlineLevel="1" x14ac:dyDescent="0.3">
      <c r="B12726" t="s">
        <v>328</v>
      </c>
    </row>
    <row r="12727" spans="1:3" outlineLevel="1" x14ac:dyDescent="0.3">
      <c r="B12727" t="s">
        <v>331</v>
      </c>
    </row>
    <row r="12728" spans="1:3" outlineLevel="1" x14ac:dyDescent="0.3">
      <c r="B12728" t="s">
        <v>334</v>
      </c>
    </row>
    <row r="12729" spans="1:3" outlineLevel="1" x14ac:dyDescent="0.3">
      <c r="B12729" t="s">
        <v>337</v>
      </c>
    </row>
    <row r="12730" spans="1:3" outlineLevel="1" x14ac:dyDescent="0.3">
      <c r="B12730" t="s">
        <v>340</v>
      </c>
    </row>
    <row r="12731" spans="1:3" outlineLevel="1" x14ac:dyDescent="0.3">
      <c r="B12731" t="s">
        <v>343</v>
      </c>
    </row>
    <row r="12732" spans="1:3" outlineLevel="1" x14ac:dyDescent="0.3">
      <c r="B12732" t="s">
        <v>346</v>
      </c>
    </row>
    <row r="12733" spans="1:3" outlineLevel="1" x14ac:dyDescent="0.3">
      <c r="B12733" t="s">
        <v>349</v>
      </c>
    </row>
    <row r="12734" spans="1:3" x14ac:dyDescent="0.3">
      <c r="A12734" t="s">
        <v>352</v>
      </c>
    </row>
    <row r="12735" spans="1:3" outlineLevel="1" x14ac:dyDescent="0.3">
      <c r="B12735" t="s">
        <v>355</v>
      </c>
    </row>
    <row r="12736" spans="1:3" hidden="1" outlineLevel="2" x14ac:dyDescent="0.3">
      <c r="C12736" t="s">
        <v>358</v>
      </c>
    </row>
    <row r="12737" spans="1:3" hidden="1" outlineLevel="2" x14ac:dyDescent="0.3">
      <c r="C12737" t="s">
        <v>361</v>
      </c>
    </row>
    <row r="12738" spans="1:3" outlineLevel="1" collapsed="1" x14ac:dyDescent="0.3">
      <c r="B12738" t="s">
        <v>364</v>
      </c>
    </row>
    <row r="12739" spans="1:3" outlineLevel="1" x14ac:dyDescent="0.3">
      <c r="B12739" t="s">
        <v>367</v>
      </c>
    </row>
    <row r="12740" spans="1:3" outlineLevel="1" x14ac:dyDescent="0.3">
      <c r="B12740" t="s">
        <v>370</v>
      </c>
    </row>
    <row r="12741" spans="1:3" outlineLevel="1" x14ac:dyDescent="0.3">
      <c r="B12741" t="s">
        <v>373</v>
      </c>
    </row>
    <row r="12742" spans="1:3" outlineLevel="1" x14ac:dyDescent="0.3">
      <c r="B12742" t="s">
        <v>376</v>
      </c>
    </row>
    <row r="12743" spans="1:3" outlineLevel="1" x14ac:dyDescent="0.3">
      <c r="B12743" t="s">
        <v>378</v>
      </c>
    </row>
    <row r="12744" spans="1:3" outlineLevel="1" x14ac:dyDescent="0.3">
      <c r="B12744" t="s">
        <v>380</v>
      </c>
    </row>
    <row r="12745" spans="1:3" outlineLevel="1" x14ac:dyDescent="0.3">
      <c r="B12745" t="s">
        <v>382</v>
      </c>
    </row>
    <row r="12746" spans="1:3" outlineLevel="1" x14ac:dyDescent="0.3">
      <c r="B12746" t="s">
        <v>523</v>
      </c>
    </row>
    <row r="12747" spans="1:3" outlineLevel="1" x14ac:dyDescent="0.3">
      <c r="B12747" t="s">
        <v>385</v>
      </c>
    </row>
    <row r="12748" spans="1:3" outlineLevel="1" x14ac:dyDescent="0.3">
      <c r="B12748" t="s">
        <v>387</v>
      </c>
    </row>
    <row r="12749" spans="1:3" outlineLevel="1" x14ac:dyDescent="0.3">
      <c r="B12749" t="s">
        <v>389</v>
      </c>
    </row>
    <row r="12750" spans="1:3" outlineLevel="1" x14ac:dyDescent="0.3">
      <c r="B12750" t="s">
        <v>391</v>
      </c>
    </row>
    <row r="12751" spans="1:3" outlineLevel="1" x14ac:dyDescent="0.3">
      <c r="B12751" t="s">
        <v>393</v>
      </c>
    </row>
    <row r="12752" spans="1:3" x14ac:dyDescent="0.3">
      <c r="A12752" t="s">
        <v>395</v>
      </c>
    </row>
    <row r="12758" spans="1:3" x14ac:dyDescent="0.3">
      <c r="A12758" t="s">
        <v>68</v>
      </c>
    </row>
    <row r="12759" spans="1:3" outlineLevel="1" x14ac:dyDescent="0.3">
      <c r="B12759" t="s">
        <v>71</v>
      </c>
    </row>
    <row r="12760" spans="1:3" hidden="1" outlineLevel="2" x14ac:dyDescent="0.3">
      <c r="C12760" t="s">
        <v>2450</v>
      </c>
    </row>
    <row r="12761" spans="1:3" hidden="1" outlineLevel="2" x14ac:dyDescent="0.3">
      <c r="C12761" t="s">
        <v>2451</v>
      </c>
    </row>
    <row r="12762" spans="1:3" hidden="1" outlineLevel="2" x14ac:dyDescent="0.3">
      <c r="C12762" t="s">
        <v>5172</v>
      </c>
    </row>
    <row r="12763" spans="1:3" hidden="1" outlineLevel="2" x14ac:dyDescent="0.3">
      <c r="C12763" t="s">
        <v>5173</v>
      </c>
    </row>
    <row r="12764" spans="1:3" outlineLevel="1" collapsed="1" x14ac:dyDescent="0.3">
      <c r="B12764" t="s">
        <v>86</v>
      </c>
    </row>
    <row r="12765" spans="1:3" hidden="1" outlineLevel="2" x14ac:dyDescent="0.3">
      <c r="C12765" t="s">
        <v>2452</v>
      </c>
    </row>
    <row r="12766" spans="1:3" hidden="1" outlineLevel="2" x14ac:dyDescent="0.3">
      <c r="C12766" t="s">
        <v>2453</v>
      </c>
    </row>
    <row r="12767" spans="1:3" hidden="1" outlineLevel="2" x14ac:dyDescent="0.3">
      <c r="C12767" t="s">
        <v>2454</v>
      </c>
    </row>
    <row r="12768" spans="1:3" hidden="1" outlineLevel="2" x14ac:dyDescent="0.3">
      <c r="C12768" t="s">
        <v>2455</v>
      </c>
    </row>
    <row r="12769" spans="2:3" hidden="1" outlineLevel="2" x14ac:dyDescent="0.3">
      <c r="C12769" t="s">
        <v>5174</v>
      </c>
    </row>
    <row r="12770" spans="2:3" outlineLevel="1" collapsed="1" x14ac:dyDescent="0.3">
      <c r="B12770" t="s">
        <v>104</v>
      </c>
    </row>
    <row r="12771" spans="2:3" outlineLevel="1" x14ac:dyDescent="0.3">
      <c r="B12771" t="s">
        <v>107</v>
      </c>
    </row>
    <row r="12772" spans="2:3" outlineLevel="1" x14ac:dyDescent="0.3">
      <c r="B12772" t="s">
        <v>110</v>
      </c>
    </row>
    <row r="12773" spans="2:3" hidden="1" outlineLevel="2" x14ac:dyDescent="0.3">
      <c r="C12773" t="s">
        <v>2456</v>
      </c>
    </row>
    <row r="12774" spans="2:3" hidden="1" outlineLevel="2" x14ac:dyDescent="0.3">
      <c r="C12774" t="s">
        <v>2457</v>
      </c>
    </row>
    <row r="12775" spans="2:3" hidden="1" outlineLevel="2" x14ac:dyDescent="0.3">
      <c r="C12775" t="s">
        <v>2458</v>
      </c>
    </row>
    <row r="12776" spans="2:3" hidden="1" outlineLevel="2" x14ac:dyDescent="0.3">
      <c r="C12776" t="s">
        <v>2459</v>
      </c>
    </row>
    <row r="12777" spans="2:3" hidden="1" outlineLevel="2" x14ac:dyDescent="0.3">
      <c r="C12777" t="s">
        <v>2460</v>
      </c>
    </row>
    <row r="12778" spans="2:3" hidden="1" outlineLevel="2" x14ac:dyDescent="0.3">
      <c r="C12778" t="s">
        <v>2461</v>
      </c>
    </row>
    <row r="12779" spans="2:3" hidden="1" outlineLevel="2" x14ac:dyDescent="0.3">
      <c r="C12779" t="s">
        <v>2462</v>
      </c>
    </row>
    <row r="12780" spans="2:3" hidden="1" outlineLevel="2" x14ac:dyDescent="0.3">
      <c r="C12780" t="s">
        <v>2463</v>
      </c>
    </row>
    <row r="12781" spans="2:3" hidden="1" outlineLevel="2" x14ac:dyDescent="0.3">
      <c r="C12781" t="s">
        <v>2464</v>
      </c>
    </row>
    <row r="12782" spans="2:3" hidden="1" outlineLevel="2" x14ac:dyDescent="0.3">
      <c r="C12782" t="s">
        <v>2466</v>
      </c>
    </row>
    <row r="12783" spans="2:3" hidden="1" outlineLevel="2" x14ac:dyDescent="0.3">
      <c r="C12783" t="s">
        <v>2467</v>
      </c>
    </row>
    <row r="12784" spans="2:3" hidden="1" outlineLevel="2" x14ac:dyDescent="0.3">
      <c r="C12784" t="s">
        <v>2468</v>
      </c>
    </row>
    <row r="12785" spans="3:3" hidden="1" outlineLevel="2" x14ac:dyDescent="0.3">
      <c r="C12785" t="s">
        <v>2469</v>
      </c>
    </row>
    <row r="12786" spans="3:3" hidden="1" outlineLevel="2" x14ac:dyDescent="0.3">
      <c r="C12786" t="s">
        <v>5175</v>
      </c>
    </row>
    <row r="12787" spans="3:3" hidden="1" outlineLevel="2" x14ac:dyDescent="0.3">
      <c r="C12787" t="s">
        <v>5176</v>
      </c>
    </row>
    <row r="12788" spans="3:3" hidden="1" outlineLevel="2" x14ac:dyDescent="0.3">
      <c r="C12788" t="s">
        <v>5177</v>
      </c>
    </row>
    <row r="12789" spans="3:3" hidden="1" outlineLevel="2" x14ac:dyDescent="0.3">
      <c r="C12789" t="s">
        <v>5178</v>
      </c>
    </row>
    <row r="12790" spans="3:3" hidden="1" outlineLevel="2" x14ac:dyDescent="0.3">
      <c r="C12790" t="s">
        <v>2470</v>
      </c>
    </row>
    <row r="12791" spans="3:3" hidden="1" outlineLevel="2" x14ac:dyDescent="0.3">
      <c r="C12791" t="s">
        <v>2471</v>
      </c>
    </row>
    <row r="12792" spans="3:3" hidden="1" outlineLevel="2" x14ac:dyDescent="0.3">
      <c r="C12792" t="s">
        <v>2472</v>
      </c>
    </row>
    <row r="12793" spans="3:3" hidden="1" outlineLevel="2" x14ac:dyDescent="0.3">
      <c r="C12793" t="s">
        <v>2473</v>
      </c>
    </row>
    <row r="12794" spans="3:3" hidden="1" outlineLevel="2" x14ac:dyDescent="0.3">
      <c r="C12794" t="s">
        <v>2474</v>
      </c>
    </row>
    <row r="12795" spans="3:3" hidden="1" outlineLevel="2" x14ac:dyDescent="0.3">
      <c r="C12795" t="s">
        <v>2475</v>
      </c>
    </row>
    <row r="12796" spans="3:3" hidden="1" outlineLevel="2" x14ac:dyDescent="0.3">
      <c r="C12796" t="s">
        <v>2476</v>
      </c>
    </row>
    <row r="12797" spans="3:3" hidden="1" outlineLevel="2" x14ac:dyDescent="0.3">
      <c r="C12797" t="s">
        <v>2477</v>
      </c>
    </row>
    <row r="12798" spans="3:3" hidden="1" outlineLevel="2" x14ac:dyDescent="0.3">
      <c r="C12798" t="s">
        <v>2478</v>
      </c>
    </row>
    <row r="12799" spans="3:3" hidden="1" outlineLevel="2" x14ac:dyDescent="0.3">
      <c r="C12799" t="s">
        <v>2479</v>
      </c>
    </row>
    <row r="12800" spans="3:3" hidden="1" outlineLevel="2" x14ac:dyDescent="0.3">
      <c r="C12800" t="s">
        <v>2480</v>
      </c>
    </row>
    <row r="12801" spans="2:3" hidden="1" outlineLevel="2" x14ac:dyDescent="0.3">
      <c r="C12801" t="s">
        <v>2481</v>
      </c>
    </row>
    <row r="12802" spans="2:3" hidden="1" outlineLevel="2" x14ac:dyDescent="0.3">
      <c r="C12802" t="s">
        <v>2482</v>
      </c>
    </row>
    <row r="12803" spans="2:3" hidden="1" outlineLevel="2" x14ac:dyDescent="0.3">
      <c r="C12803" t="s">
        <v>2483</v>
      </c>
    </row>
    <row r="12804" spans="2:3" hidden="1" outlineLevel="2" x14ac:dyDescent="0.3">
      <c r="C12804" t="s">
        <v>2486</v>
      </c>
    </row>
    <row r="12805" spans="2:3" hidden="1" outlineLevel="2" x14ac:dyDescent="0.3">
      <c r="C12805" t="s">
        <v>2487</v>
      </c>
    </row>
    <row r="12806" spans="2:3" hidden="1" outlineLevel="2" x14ac:dyDescent="0.3">
      <c r="C12806" t="s">
        <v>2488</v>
      </c>
    </row>
    <row r="12807" spans="2:3" hidden="1" outlineLevel="2" x14ac:dyDescent="0.3">
      <c r="C12807" t="s">
        <v>2489</v>
      </c>
    </row>
    <row r="12808" spans="2:3" hidden="1" outlineLevel="2" x14ac:dyDescent="0.3">
      <c r="C12808" t="s">
        <v>2490</v>
      </c>
    </row>
    <row r="12809" spans="2:3" hidden="1" outlineLevel="2" x14ac:dyDescent="0.3">
      <c r="C12809" t="s">
        <v>2491</v>
      </c>
    </row>
    <row r="12810" spans="2:3" hidden="1" outlineLevel="2" x14ac:dyDescent="0.3">
      <c r="C12810" t="s">
        <v>2492</v>
      </c>
    </row>
    <row r="12811" spans="2:3" outlineLevel="1" collapsed="1" x14ac:dyDescent="0.3">
      <c r="B12811" t="s">
        <v>221</v>
      </c>
    </row>
    <row r="12812" spans="2:3" hidden="1" outlineLevel="2" x14ac:dyDescent="0.3">
      <c r="C12812" t="s">
        <v>2493</v>
      </c>
    </row>
    <row r="12813" spans="2:3" hidden="1" outlineLevel="2" x14ac:dyDescent="0.3">
      <c r="C12813" t="s">
        <v>2494</v>
      </c>
    </row>
    <row r="12814" spans="2:3" hidden="1" outlineLevel="2" x14ac:dyDescent="0.3">
      <c r="C12814" t="s">
        <v>2495</v>
      </c>
    </row>
    <row r="12815" spans="2:3" hidden="1" outlineLevel="2" x14ac:dyDescent="0.3">
      <c r="C12815" t="s">
        <v>2496</v>
      </c>
    </row>
    <row r="12816" spans="2:3" hidden="1" outlineLevel="2" x14ac:dyDescent="0.3">
      <c r="C12816" t="s">
        <v>2497</v>
      </c>
    </row>
    <row r="12817" spans="3:3" hidden="1" outlineLevel="2" x14ac:dyDescent="0.3">
      <c r="C12817" t="s">
        <v>2498</v>
      </c>
    </row>
    <row r="12818" spans="3:3" hidden="1" outlineLevel="2" x14ac:dyDescent="0.3">
      <c r="C12818" t="s">
        <v>2499</v>
      </c>
    </row>
    <row r="12819" spans="3:3" hidden="1" outlineLevel="2" x14ac:dyDescent="0.3">
      <c r="C12819" t="s">
        <v>2500</v>
      </c>
    </row>
    <row r="12820" spans="3:3" hidden="1" outlineLevel="2" x14ac:dyDescent="0.3">
      <c r="C12820" t="s">
        <v>2501</v>
      </c>
    </row>
    <row r="12821" spans="3:3" hidden="1" outlineLevel="2" x14ac:dyDescent="0.3">
      <c r="C12821" t="s">
        <v>2503</v>
      </c>
    </row>
    <row r="12822" spans="3:3" hidden="1" outlineLevel="2" x14ac:dyDescent="0.3">
      <c r="C12822" t="s">
        <v>2504</v>
      </c>
    </row>
    <row r="12823" spans="3:3" hidden="1" outlineLevel="2" x14ac:dyDescent="0.3">
      <c r="C12823" t="s">
        <v>2505</v>
      </c>
    </row>
    <row r="12824" spans="3:3" hidden="1" outlineLevel="2" x14ac:dyDescent="0.3">
      <c r="C12824" t="s">
        <v>2506</v>
      </c>
    </row>
    <row r="12825" spans="3:3" hidden="1" outlineLevel="2" x14ac:dyDescent="0.3">
      <c r="C12825" t="s">
        <v>5179</v>
      </c>
    </row>
    <row r="12826" spans="3:3" hidden="1" outlineLevel="2" x14ac:dyDescent="0.3">
      <c r="C12826" t="s">
        <v>5180</v>
      </c>
    </row>
    <row r="12827" spans="3:3" hidden="1" outlineLevel="2" x14ac:dyDescent="0.3">
      <c r="C12827" t="s">
        <v>5181</v>
      </c>
    </row>
    <row r="12828" spans="3:3" hidden="1" outlineLevel="2" x14ac:dyDescent="0.3">
      <c r="C12828" t="s">
        <v>5182</v>
      </c>
    </row>
    <row r="12829" spans="3:3" hidden="1" outlineLevel="2" x14ac:dyDescent="0.3">
      <c r="C12829" t="s">
        <v>2507</v>
      </c>
    </row>
    <row r="12830" spans="3:3" hidden="1" outlineLevel="2" x14ac:dyDescent="0.3">
      <c r="C12830" t="s">
        <v>2508</v>
      </c>
    </row>
    <row r="12831" spans="3:3" hidden="1" outlineLevel="2" x14ac:dyDescent="0.3">
      <c r="C12831" t="s">
        <v>2509</v>
      </c>
    </row>
    <row r="12832" spans="3:3" hidden="1" outlineLevel="2" x14ac:dyDescent="0.3">
      <c r="C12832" t="s">
        <v>2510</v>
      </c>
    </row>
    <row r="12833" spans="2:3" hidden="1" outlineLevel="2" x14ac:dyDescent="0.3">
      <c r="C12833" t="s">
        <v>2511</v>
      </c>
    </row>
    <row r="12834" spans="2:3" hidden="1" outlineLevel="2" x14ac:dyDescent="0.3">
      <c r="C12834" t="s">
        <v>2512</v>
      </c>
    </row>
    <row r="12835" spans="2:3" hidden="1" outlineLevel="2" x14ac:dyDescent="0.3">
      <c r="C12835" t="s">
        <v>2513</v>
      </c>
    </row>
    <row r="12836" spans="2:3" hidden="1" outlineLevel="2" x14ac:dyDescent="0.3">
      <c r="C12836" t="s">
        <v>2514</v>
      </c>
    </row>
    <row r="12837" spans="2:3" hidden="1" outlineLevel="2" x14ac:dyDescent="0.3">
      <c r="C12837" t="s">
        <v>2515</v>
      </c>
    </row>
    <row r="12838" spans="2:3" hidden="1" outlineLevel="2" x14ac:dyDescent="0.3">
      <c r="C12838" t="s">
        <v>2518</v>
      </c>
    </row>
    <row r="12839" spans="2:3" hidden="1" outlineLevel="2" x14ac:dyDescent="0.3">
      <c r="C12839" t="s">
        <v>2519</v>
      </c>
    </row>
    <row r="12840" spans="2:3" hidden="1" outlineLevel="2" x14ac:dyDescent="0.3">
      <c r="C12840" t="s">
        <v>2520</v>
      </c>
    </row>
    <row r="12841" spans="2:3" hidden="1" outlineLevel="2" x14ac:dyDescent="0.3">
      <c r="C12841" t="s">
        <v>2521</v>
      </c>
    </row>
    <row r="12842" spans="2:3" hidden="1" outlineLevel="2" x14ac:dyDescent="0.3">
      <c r="C12842" t="s">
        <v>2522</v>
      </c>
    </row>
    <row r="12843" spans="2:3" hidden="1" outlineLevel="2" x14ac:dyDescent="0.3">
      <c r="C12843" t="s">
        <v>2523</v>
      </c>
    </row>
    <row r="12844" spans="2:3" hidden="1" outlineLevel="2" x14ac:dyDescent="0.3">
      <c r="C12844" t="s">
        <v>2524</v>
      </c>
    </row>
    <row r="12845" spans="2:3" outlineLevel="1" collapsed="1" x14ac:dyDescent="0.3">
      <c r="B12845" t="s">
        <v>311</v>
      </c>
    </row>
    <row r="12846" spans="2:3" hidden="1" outlineLevel="2" x14ac:dyDescent="0.3">
      <c r="C12846" t="s">
        <v>314</v>
      </c>
    </row>
    <row r="12847" spans="2:3" hidden="1" outlineLevel="2" x14ac:dyDescent="0.3">
      <c r="C12847" t="s">
        <v>317</v>
      </c>
    </row>
    <row r="12848" spans="2:3" hidden="1" outlineLevel="2" x14ac:dyDescent="0.3">
      <c r="C12848" t="s">
        <v>320</v>
      </c>
    </row>
    <row r="12849" spans="1:3" hidden="1" outlineLevel="2" x14ac:dyDescent="0.3">
      <c r="C12849" t="s">
        <v>323</v>
      </c>
    </row>
    <row r="12850" spans="1:3" outlineLevel="1" collapsed="1" x14ac:dyDescent="0.3">
      <c r="B12850" t="s">
        <v>326</v>
      </c>
    </row>
    <row r="12851" spans="1:3" outlineLevel="1" x14ac:dyDescent="0.3">
      <c r="B12851" t="s">
        <v>329</v>
      </c>
    </row>
    <row r="12852" spans="1:3" outlineLevel="1" x14ac:dyDescent="0.3">
      <c r="B12852" t="s">
        <v>332</v>
      </c>
    </row>
    <row r="12853" spans="1:3" outlineLevel="1" x14ac:dyDescent="0.3">
      <c r="B12853" t="s">
        <v>335</v>
      </c>
    </row>
    <row r="12854" spans="1:3" outlineLevel="1" x14ac:dyDescent="0.3">
      <c r="B12854" t="s">
        <v>338</v>
      </c>
    </row>
    <row r="12855" spans="1:3" outlineLevel="1" x14ac:dyDescent="0.3">
      <c r="B12855" t="s">
        <v>341</v>
      </c>
    </row>
    <row r="12856" spans="1:3" outlineLevel="1" x14ac:dyDescent="0.3">
      <c r="B12856" t="s">
        <v>344</v>
      </c>
    </row>
    <row r="12857" spans="1:3" outlineLevel="1" x14ac:dyDescent="0.3">
      <c r="B12857" t="s">
        <v>347</v>
      </c>
    </row>
    <row r="12858" spans="1:3" x14ac:dyDescent="0.3">
      <c r="A12858" t="s">
        <v>350</v>
      </c>
    </row>
    <row r="12859" spans="1:3" outlineLevel="1" x14ac:dyDescent="0.3">
      <c r="B12859" t="s">
        <v>353</v>
      </c>
    </row>
    <row r="12860" spans="1:3" hidden="1" outlineLevel="2" x14ac:dyDescent="0.3">
      <c r="C12860" t="s">
        <v>5183</v>
      </c>
    </row>
    <row r="12861" spans="1:3" hidden="1" outlineLevel="2" x14ac:dyDescent="0.3">
      <c r="C12861" t="s">
        <v>2526</v>
      </c>
    </row>
    <row r="12862" spans="1:3" hidden="1" outlineLevel="2" x14ac:dyDescent="0.3">
      <c r="C12862" t="s">
        <v>2527</v>
      </c>
    </row>
    <row r="12863" spans="1:3" hidden="1" outlineLevel="2" x14ac:dyDescent="0.3">
      <c r="C12863" t="s">
        <v>2528</v>
      </c>
    </row>
    <row r="12864" spans="1:3" hidden="1" outlineLevel="2" x14ac:dyDescent="0.3">
      <c r="C12864" t="s">
        <v>2529</v>
      </c>
    </row>
    <row r="12865" spans="3:3" hidden="1" outlineLevel="2" x14ac:dyDescent="0.3">
      <c r="C12865" t="s">
        <v>2530</v>
      </c>
    </row>
    <row r="12866" spans="3:3" hidden="1" outlineLevel="2" x14ac:dyDescent="0.3">
      <c r="C12866" t="s">
        <v>2531</v>
      </c>
    </row>
    <row r="12867" spans="3:3" hidden="1" outlineLevel="2" x14ac:dyDescent="0.3">
      <c r="C12867" t="s">
        <v>2532</v>
      </c>
    </row>
    <row r="12868" spans="3:3" hidden="1" outlineLevel="2" x14ac:dyDescent="0.3">
      <c r="C12868" t="s">
        <v>5184</v>
      </c>
    </row>
    <row r="12869" spans="3:3" hidden="1" outlineLevel="2" x14ac:dyDescent="0.3">
      <c r="C12869" t="s">
        <v>5185</v>
      </c>
    </row>
    <row r="12870" spans="3:3" hidden="1" outlineLevel="2" x14ac:dyDescent="0.3">
      <c r="C12870" t="s">
        <v>5186</v>
      </c>
    </row>
    <row r="12871" spans="3:3" hidden="1" outlineLevel="2" x14ac:dyDescent="0.3">
      <c r="C12871" t="s">
        <v>5187</v>
      </c>
    </row>
    <row r="12872" spans="3:3" hidden="1" outlineLevel="2" x14ac:dyDescent="0.3">
      <c r="C12872" t="s">
        <v>5188</v>
      </c>
    </row>
    <row r="12873" spans="3:3" hidden="1" outlineLevel="2" x14ac:dyDescent="0.3">
      <c r="C12873" t="s">
        <v>4860</v>
      </c>
    </row>
    <row r="12874" spans="3:3" hidden="1" outlineLevel="2" x14ac:dyDescent="0.3">
      <c r="C12874" t="s">
        <v>5189</v>
      </c>
    </row>
    <row r="12875" spans="3:3" hidden="1" outlineLevel="2" x14ac:dyDescent="0.3">
      <c r="C12875" t="s">
        <v>5190</v>
      </c>
    </row>
    <row r="12876" spans="3:3" hidden="1" outlineLevel="2" x14ac:dyDescent="0.3">
      <c r="C12876" t="s">
        <v>2533</v>
      </c>
    </row>
    <row r="12877" spans="3:3" hidden="1" outlineLevel="2" x14ac:dyDescent="0.3">
      <c r="C12877" t="s">
        <v>2534</v>
      </c>
    </row>
    <row r="12878" spans="3:3" hidden="1" outlineLevel="2" x14ac:dyDescent="0.3">
      <c r="C12878" t="s">
        <v>2535</v>
      </c>
    </row>
    <row r="12879" spans="3:3" hidden="1" outlineLevel="2" x14ac:dyDescent="0.3">
      <c r="C12879" t="s">
        <v>2537</v>
      </c>
    </row>
    <row r="12880" spans="3:3" hidden="1" outlineLevel="2" x14ac:dyDescent="0.3">
      <c r="C12880" t="s">
        <v>2538</v>
      </c>
    </row>
    <row r="12881" spans="2:3" hidden="1" outlineLevel="2" x14ac:dyDescent="0.3">
      <c r="C12881" t="s">
        <v>2539</v>
      </c>
    </row>
    <row r="12882" spans="2:3" hidden="1" outlineLevel="2" x14ac:dyDescent="0.3">
      <c r="C12882" t="s">
        <v>2541</v>
      </c>
    </row>
    <row r="12883" spans="2:3" hidden="1" outlineLevel="2" x14ac:dyDescent="0.3">
      <c r="C12883" t="s">
        <v>2542</v>
      </c>
    </row>
    <row r="12884" spans="2:3" hidden="1" outlineLevel="2" x14ac:dyDescent="0.3">
      <c r="C12884" t="s">
        <v>2543</v>
      </c>
    </row>
    <row r="12885" spans="2:3" hidden="1" outlineLevel="2" x14ac:dyDescent="0.3">
      <c r="C12885" t="s">
        <v>2544</v>
      </c>
    </row>
    <row r="12886" spans="2:3" hidden="1" outlineLevel="2" x14ac:dyDescent="0.3">
      <c r="C12886" t="s">
        <v>2545</v>
      </c>
    </row>
    <row r="12887" spans="2:3" hidden="1" outlineLevel="2" x14ac:dyDescent="0.3">
      <c r="C12887" t="s">
        <v>2546</v>
      </c>
    </row>
    <row r="12888" spans="2:3" hidden="1" outlineLevel="2" x14ac:dyDescent="0.3">
      <c r="C12888" t="s">
        <v>406</v>
      </c>
    </row>
    <row r="12889" spans="2:3" outlineLevel="1" collapsed="1" x14ac:dyDescent="0.3">
      <c r="B12889" t="s">
        <v>407</v>
      </c>
    </row>
    <row r="12890" spans="2:3" hidden="1" outlineLevel="2" x14ac:dyDescent="0.3">
      <c r="C12890" t="s">
        <v>5191</v>
      </c>
    </row>
    <row r="12891" spans="2:3" hidden="1" outlineLevel="2" x14ac:dyDescent="0.3">
      <c r="C12891" t="s">
        <v>2548</v>
      </c>
    </row>
    <row r="12892" spans="2:3" hidden="1" outlineLevel="2" x14ac:dyDescent="0.3">
      <c r="C12892" t="s">
        <v>2549</v>
      </c>
    </row>
    <row r="12893" spans="2:3" hidden="1" outlineLevel="2" x14ac:dyDescent="0.3">
      <c r="C12893" t="s">
        <v>2550</v>
      </c>
    </row>
    <row r="12894" spans="2:3" hidden="1" outlineLevel="2" x14ac:dyDescent="0.3">
      <c r="C12894" t="s">
        <v>2551</v>
      </c>
    </row>
    <row r="12895" spans="2:3" hidden="1" outlineLevel="2" x14ac:dyDescent="0.3">
      <c r="C12895" t="s">
        <v>2552</v>
      </c>
    </row>
    <row r="12896" spans="2:3" hidden="1" outlineLevel="2" x14ac:dyDescent="0.3">
      <c r="C12896" t="s">
        <v>2553</v>
      </c>
    </row>
    <row r="12897" spans="3:3" hidden="1" outlineLevel="2" x14ac:dyDescent="0.3">
      <c r="C12897" t="s">
        <v>2554</v>
      </c>
    </row>
    <row r="12898" spans="3:3" hidden="1" outlineLevel="2" x14ac:dyDescent="0.3">
      <c r="C12898" t="s">
        <v>5192</v>
      </c>
    </row>
    <row r="12899" spans="3:3" hidden="1" outlineLevel="2" x14ac:dyDescent="0.3">
      <c r="C12899" t="s">
        <v>5193</v>
      </c>
    </row>
    <row r="12900" spans="3:3" hidden="1" outlineLevel="2" x14ac:dyDescent="0.3">
      <c r="C12900" t="s">
        <v>5194</v>
      </c>
    </row>
    <row r="12901" spans="3:3" hidden="1" outlineLevel="2" x14ac:dyDescent="0.3">
      <c r="C12901" t="s">
        <v>5195</v>
      </c>
    </row>
    <row r="12902" spans="3:3" hidden="1" outlineLevel="2" x14ac:dyDescent="0.3">
      <c r="C12902" t="s">
        <v>5196</v>
      </c>
    </row>
    <row r="12903" spans="3:3" hidden="1" outlineLevel="2" x14ac:dyDescent="0.3">
      <c r="C12903" t="s">
        <v>4866</v>
      </c>
    </row>
    <row r="12904" spans="3:3" hidden="1" outlineLevel="2" x14ac:dyDescent="0.3">
      <c r="C12904" t="s">
        <v>5197</v>
      </c>
    </row>
    <row r="12905" spans="3:3" hidden="1" outlineLevel="2" x14ac:dyDescent="0.3">
      <c r="C12905" t="s">
        <v>5198</v>
      </c>
    </row>
    <row r="12906" spans="3:3" hidden="1" outlineLevel="2" x14ac:dyDescent="0.3">
      <c r="C12906" t="s">
        <v>2555</v>
      </c>
    </row>
    <row r="12907" spans="3:3" hidden="1" outlineLevel="2" x14ac:dyDescent="0.3">
      <c r="C12907" t="s">
        <v>2556</v>
      </c>
    </row>
    <row r="12908" spans="3:3" hidden="1" outlineLevel="2" x14ac:dyDescent="0.3">
      <c r="C12908" t="s">
        <v>2557</v>
      </c>
    </row>
    <row r="12909" spans="3:3" hidden="1" outlineLevel="2" x14ac:dyDescent="0.3">
      <c r="C12909" t="s">
        <v>2558</v>
      </c>
    </row>
    <row r="12910" spans="3:3" hidden="1" outlineLevel="2" x14ac:dyDescent="0.3">
      <c r="C12910" t="s">
        <v>2559</v>
      </c>
    </row>
    <row r="12911" spans="3:3" hidden="1" outlineLevel="2" x14ac:dyDescent="0.3">
      <c r="C12911" t="s">
        <v>2560</v>
      </c>
    </row>
    <row r="12912" spans="3:3" hidden="1" outlineLevel="2" x14ac:dyDescent="0.3">
      <c r="C12912" t="s">
        <v>2561</v>
      </c>
    </row>
    <row r="12913" spans="1:3" hidden="1" outlineLevel="2" x14ac:dyDescent="0.3">
      <c r="C12913" t="s">
        <v>2563</v>
      </c>
    </row>
    <row r="12914" spans="1:3" hidden="1" outlineLevel="2" x14ac:dyDescent="0.3">
      <c r="C12914" t="s">
        <v>2564</v>
      </c>
    </row>
    <row r="12915" spans="1:3" hidden="1" outlineLevel="2" x14ac:dyDescent="0.3">
      <c r="C12915" t="s">
        <v>2565</v>
      </c>
    </row>
    <row r="12916" spans="1:3" hidden="1" outlineLevel="2" x14ac:dyDescent="0.3">
      <c r="C12916" t="s">
        <v>2566</v>
      </c>
    </row>
    <row r="12917" spans="1:3" hidden="1" outlineLevel="2" x14ac:dyDescent="0.3">
      <c r="C12917" t="s">
        <v>2567</v>
      </c>
    </row>
    <row r="12918" spans="1:3" hidden="1" outlineLevel="2" x14ac:dyDescent="0.3">
      <c r="C12918" t="s">
        <v>2568</v>
      </c>
    </row>
    <row r="12919" spans="1:3" hidden="1" outlineLevel="2" x14ac:dyDescent="0.3">
      <c r="C12919" t="s">
        <v>435</v>
      </c>
    </row>
    <row r="12920" spans="1:3" outlineLevel="1" collapsed="1" x14ac:dyDescent="0.3">
      <c r="B12920" t="s">
        <v>436</v>
      </c>
    </row>
    <row r="12921" spans="1:3" outlineLevel="1" x14ac:dyDescent="0.3">
      <c r="B12921" t="s">
        <v>437</v>
      </c>
    </row>
    <row r="12922" spans="1:3" outlineLevel="1" x14ac:dyDescent="0.3">
      <c r="B12922" t="s">
        <v>438</v>
      </c>
    </row>
    <row r="12923" spans="1:3" outlineLevel="1" x14ac:dyDescent="0.3">
      <c r="B12923" t="s">
        <v>439</v>
      </c>
    </row>
    <row r="12924" spans="1:3" outlineLevel="1" x14ac:dyDescent="0.3">
      <c r="B12924" t="s">
        <v>440</v>
      </c>
    </row>
    <row r="12925" spans="1:3" outlineLevel="1" x14ac:dyDescent="0.3">
      <c r="B12925" t="s">
        <v>441</v>
      </c>
    </row>
    <row r="12926" spans="1:3" x14ac:dyDescent="0.3">
      <c r="A12926" t="s">
        <v>442</v>
      </c>
    </row>
    <row r="12927" spans="1:3" outlineLevel="1" x14ac:dyDescent="0.3">
      <c r="B12927" t="s">
        <v>443</v>
      </c>
    </row>
    <row r="12928" spans="1:3" hidden="1" outlineLevel="2" x14ac:dyDescent="0.3">
      <c r="C12928" t="s">
        <v>2569</v>
      </c>
    </row>
    <row r="12929" spans="3:3" hidden="1" outlineLevel="2" x14ac:dyDescent="0.3">
      <c r="C12929" t="s">
        <v>2570</v>
      </c>
    </row>
    <row r="12930" spans="3:3" hidden="1" outlineLevel="2" x14ac:dyDescent="0.3">
      <c r="C12930" t="s">
        <v>3699</v>
      </c>
    </row>
    <row r="12931" spans="3:3" hidden="1" outlineLevel="2" x14ac:dyDescent="0.3">
      <c r="C12931" t="s">
        <v>3700</v>
      </c>
    </row>
    <row r="12932" spans="3:3" hidden="1" outlineLevel="2" x14ac:dyDescent="0.3">
      <c r="C12932" t="s">
        <v>5199</v>
      </c>
    </row>
    <row r="12933" spans="3:3" hidden="1" outlineLevel="2" x14ac:dyDescent="0.3">
      <c r="C12933" t="s">
        <v>5200</v>
      </c>
    </row>
    <row r="12934" spans="3:3" hidden="1" outlineLevel="2" x14ac:dyDescent="0.3">
      <c r="C12934" t="s">
        <v>2574</v>
      </c>
    </row>
    <row r="12935" spans="3:3" hidden="1" outlineLevel="2" x14ac:dyDescent="0.3">
      <c r="C12935" t="s">
        <v>2575</v>
      </c>
    </row>
    <row r="12936" spans="3:3" hidden="1" outlineLevel="2" x14ac:dyDescent="0.3">
      <c r="C12936" t="s">
        <v>2577</v>
      </c>
    </row>
    <row r="12937" spans="3:3" hidden="1" outlineLevel="2" x14ac:dyDescent="0.3">
      <c r="C12937" t="s">
        <v>2578</v>
      </c>
    </row>
    <row r="12938" spans="3:3" hidden="1" outlineLevel="2" x14ac:dyDescent="0.3">
      <c r="C12938" t="s">
        <v>2579</v>
      </c>
    </row>
    <row r="12939" spans="3:3" hidden="1" outlineLevel="2" x14ac:dyDescent="0.3">
      <c r="C12939" t="s">
        <v>2580</v>
      </c>
    </row>
    <row r="12940" spans="3:3" hidden="1" outlineLevel="2" x14ac:dyDescent="0.3">
      <c r="C12940" t="s">
        <v>2581</v>
      </c>
    </row>
    <row r="12941" spans="3:3" hidden="1" outlineLevel="2" x14ac:dyDescent="0.3">
      <c r="C12941" t="s">
        <v>2582</v>
      </c>
    </row>
    <row r="12942" spans="3:3" hidden="1" outlineLevel="2" x14ac:dyDescent="0.3">
      <c r="C12942" t="s">
        <v>2583</v>
      </c>
    </row>
    <row r="12943" spans="3:3" hidden="1" outlineLevel="2" x14ac:dyDescent="0.3">
      <c r="C12943" t="s">
        <v>2584</v>
      </c>
    </row>
    <row r="12944" spans="3:3" hidden="1" outlineLevel="2" x14ac:dyDescent="0.3">
      <c r="C12944" t="s">
        <v>2586</v>
      </c>
    </row>
    <row r="12945" spans="2:3" hidden="1" outlineLevel="2" x14ac:dyDescent="0.3">
      <c r="C12945" t="s">
        <v>2587</v>
      </c>
    </row>
    <row r="12946" spans="2:3" hidden="1" outlineLevel="2" x14ac:dyDescent="0.3">
      <c r="C12946" t="s">
        <v>2588</v>
      </c>
    </row>
    <row r="12947" spans="2:3" hidden="1" outlineLevel="2" x14ac:dyDescent="0.3">
      <c r="C12947" t="s">
        <v>2589</v>
      </c>
    </row>
    <row r="12948" spans="2:3" hidden="1" outlineLevel="2" x14ac:dyDescent="0.3">
      <c r="C12948" t="s">
        <v>2590</v>
      </c>
    </row>
    <row r="12949" spans="2:3" hidden="1" outlineLevel="2" x14ac:dyDescent="0.3">
      <c r="C12949" t="s">
        <v>2591</v>
      </c>
    </row>
    <row r="12950" spans="2:3" hidden="1" outlineLevel="2" x14ac:dyDescent="0.3">
      <c r="C12950" t="s">
        <v>474</v>
      </c>
    </row>
    <row r="12951" spans="2:3" outlineLevel="1" collapsed="1" x14ac:dyDescent="0.3">
      <c r="B12951" t="s">
        <v>475</v>
      </c>
    </row>
    <row r="12952" spans="2:3" hidden="1" outlineLevel="2" x14ac:dyDescent="0.3">
      <c r="C12952" t="s">
        <v>2592</v>
      </c>
    </row>
    <row r="12953" spans="2:3" hidden="1" outlineLevel="2" x14ac:dyDescent="0.3">
      <c r="C12953" t="s">
        <v>2593</v>
      </c>
    </row>
    <row r="12954" spans="2:3" hidden="1" outlineLevel="2" x14ac:dyDescent="0.3">
      <c r="C12954" t="s">
        <v>3701</v>
      </c>
    </row>
    <row r="12955" spans="2:3" hidden="1" outlineLevel="2" x14ac:dyDescent="0.3">
      <c r="C12955" t="s">
        <v>3702</v>
      </c>
    </row>
    <row r="12956" spans="2:3" hidden="1" outlineLevel="2" x14ac:dyDescent="0.3">
      <c r="C12956" t="s">
        <v>5201</v>
      </c>
    </row>
    <row r="12957" spans="2:3" hidden="1" outlineLevel="2" x14ac:dyDescent="0.3">
      <c r="C12957" t="s">
        <v>5202</v>
      </c>
    </row>
    <row r="12958" spans="2:3" hidden="1" outlineLevel="2" x14ac:dyDescent="0.3">
      <c r="C12958" t="s">
        <v>2597</v>
      </c>
    </row>
    <row r="12959" spans="2:3" hidden="1" outlineLevel="2" x14ac:dyDescent="0.3">
      <c r="C12959" t="s">
        <v>2598</v>
      </c>
    </row>
    <row r="12960" spans="2:3" hidden="1" outlineLevel="2" x14ac:dyDescent="0.3">
      <c r="C12960" t="s">
        <v>2600</v>
      </c>
    </row>
    <row r="12961" spans="2:3" hidden="1" outlineLevel="2" x14ac:dyDescent="0.3">
      <c r="C12961" t="s">
        <v>2601</v>
      </c>
    </row>
    <row r="12962" spans="2:3" hidden="1" outlineLevel="2" x14ac:dyDescent="0.3">
      <c r="C12962" t="s">
        <v>2602</v>
      </c>
    </row>
    <row r="12963" spans="2:3" hidden="1" outlineLevel="2" x14ac:dyDescent="0.3">
      <c r="C12963" t="s">
        <v>2603</v>
      </c>
    </row>
    <row r="12964" spans="2:3" hidden="1" outlineLevel="2" x14ac:dyDescent="0.3">
      <c r="C12964" t="s">
        <v>2604</v>
      </c>
    </row>
    <row r="12965" spans="2:3" hidden="1" outlineLevel="2" x14ac:dyDescent="0.3">
      <c r="C12965" t="s">
        <v>2605</v>
      </c>
    </row>
    <row r="12966" spans="2:3" hidden="1" outlineLevel="2" x14ac:dyDescent="0.3">
      <c r="C12966" t="s">
        <v>2606</v>
      </c>
    </row>
    <row r="12967" spans="2:3" hidden="1" outlineLevel="2" x14ac:dyDescent="0.3">
      <c r="C12967" t="s">
        <v>2608</v>
      </c>
    </row>
    <row r="12968" spans="2:3" hidden="1" outlineLevel="2" x14ac:dyDescent="0.3">
      <c r="C12968" t="s">
        <v>2609</v>
      </c>
    </row>
    <row r="12969" spans="2:3" hidden="1" outlineLevel="2" x14ac:dyDescent="0.3">
      <c r="C12969" t="s">
        <v>2610</v>
      </c>
    </row>
    <row r="12970" spans="2:3" hidden="1" outlineLevel="2" x14ac:dyDescent="0.3">
      <c r="C12970" t="s">
        <v>2611</v>
      </c>
    </row>
    <row r="12971" spans="2:3" hidden="1" outlineLevel="2" x14ac:dyDescent="0.3">
      <c r="C12971" t="s">
        <v>2612</v>
      </c>
    </row>
    <row r="12972" spans="2:3" hidden="1" outlineLevel="2" x14ac:dyDescent="0.3">
      <c r="C12972" t="s">
        <v>2613</v>
      </c>
    </row>
    <row r="12973" spans="2:3" hidden="1" outlineLevel="2" x14ac:dyDescent="0.3">
      <c r="C12973" t="s">
        <v>2614</v>
      </c>
    </row>
    <row r="12974" spans="2:3" hidden="1" outlineLevel="2" x14ac:dyDescent="0.3">
      <c r="C12974" t="s">
        <v>2615</v>
      </c>
    </row>
    <row r="12975" spans="2:3" hidden="1" outlineLevel="2" x14ac:dyDescent="0.3">
      <c r="C12975" t="s">
        <v>506</v>
      </c>
    </row>
    <row r="12976" spans="2:3" outlineLevel="1" collapsed="1" x14ac:dyDescent="0.3">
      <c r="B12976" t="s">
        <v>507</v>
      </c>
    </row>
    <row r="12977" spans="1:2" outlineLevel="1" x14ac:dyDescent="0.3">
      <c r="B12977" t="s">
        <v>508</v>
      </c>
    </row>
    <row r="12978" spans="1:2" outlineLevel="1" x14ac:dyDescent="0.3">
      <c r="B12978" t="s">
        <v>509</v>
      </c>
    </row>
    <row r="12979" spans="1:2" outlineLevel="1" x14ac:dyDescent="0.3">
      <c r="B12979" t="s">
        <v>510</v>
      </c>
    </row>
    <row r="12980" spans="1:2" outlineLevel="1" x14ac:dyDescent="0.3">
      <c r="B12980" t="s">
        <v>511</v>
      </c>
    </row>
    <row r="12981" spans="1:2" outlineLevel="1" x14ac:dyDescent="0.3">
      <c r="B12981" t="s">
        <v>512</v>
      </c>
    </row>
    <row r="12982" spans="1:2" x14ac:dyDescent="0.3">
      <c r="A12982" t="s">
        <v>513</v>
      </c>
    </row>
    <row r="12983" spans="1:2" x14ac:dyDescent="0.3">
      <c r="A12983" t="s">
        <v>514</v>
      </c>
    </row>
    <row r="12984" spans="1:2" x14ac:dyDescent="0.3">
      <c r="A12984" t="s">
        <v>515</v>
      </c>
    </row>
    <row r="12985" spans="1:2" x14ac:dyDescent="0.3">
      <c r="A12985" t="s">
        <v>516</v>
      </c>
    </row>
    <row r="12986" spans="1:2" x14ac:dyDescent="0.3">
      <c r="A12986" t="s">
        <v>517</v>
      </c>
    </row>
    <row r="12987" spans="1:2" x14ac:dyDescent="0.3">
      <c r="A12987" t="s">
        <v>518</v>
      </c>
    </row>
    <row r="12993" spans="1:4" x14ac:dyDescent="0.3">
      <c r="A12993" t="s">
        <v>524</v>
      </c>
    </row>
    <row r="12994" spans="1:4" outlineLevel="1" x14ac:dyDescent="0.3">
      <c r="B12994" t="s">
        <v>525</v>
      </c>
    </row>
    <row r="12995" spans="1:4" outlineLevel="1" x14ac:dyDescent="0.3">
      <c r="B12995" t="s">
        <v>5203</v>
      </c>
    </row>
    <row r="12996" spans="1:4" hidden="1" outlineLevel="2" x14ac:dyDescent="0.3">
      <c r="C12996" t="s">
        <v>5204</v>
      </c>
    </row>
    <row r="12997" spans="1:4" hidden="1" outlineLevel="3" x14ac:dyDescent="0.3">
      <c r="D12997" t="s">
        <v>5205</v>
      </c>
    </row>
    <row r="12998" spans="1:4" hidden="1" outlineLevel="3" x14ac:dyDescent="0.3">
      <c r="D12998" t="s">
        <v>5206</v>
      </c>
    </row>
    <row r="12999" spans="1:4" hidden="1" outlineLevel="3" x14ac:dyDescent="0.3">
      <c r="D12999" t="s">
        <v>5207</v>
      </c>
    </row>
    <row r="13000" spans="1:4" hidden="1" outlineLevel="3" x14ac:dyDescent="0.3">
      <c r="D13000" t="s">
        <v>5208</v>
      </c>
    </row>
    <row r="13001" spans="1:4" hidden="1" outlineLevel="3" x14ac:dyDescent="0.3">
      <c r="D13001" t="s">
        <v>5209</v>
      </c>
    </row>
    <row r="13002" spans="1:4" hidden="1" outlineLevel="3" x14ac:dyDescent="0.3">
      <c r="D13002" t="s">
        <v>5210</v>
      </c>
    </row>
    <row r="13003" spans="1:4" hidden="1" outlineLevel="3" x14ac:dyDescent="0.3">
      <c r="D13003" t="s">
        <v>5211</v>
      </c>
    </row>
    <row r="13004" spans="1:4" hidden="1" outlineLevel="3" x14ac:dyDescent="0.3">
      <c r="D13004" t="s">
        <v>5212</v>
      </c>
    </row>
    <row r="13005" spans="1:4" hidden="1" outlineLevel="3" x14ac:dyDescent="0.3">
      <c r="D13005" t="s">
        <v>5213</v>
      </c>
    </row>
    <row r="13006" spans="1:4" hidden="1" outlineLevel="3" x14ac:dyDescent="0.3">
      <c r="D13006" t="s">
        <v>5214</v>
      </c>
    </row>
    <row r="13007" spans="1:4" hidden="1" outlineLevel="3" x14ac:dyDescent="0.3">
      <c r="D13007" t="s">
        <v>5215</v>
      </c>
    </row>
    <row r="13008" spans="1:4" hidden="1" outlineLevel="3" x14ac:dyDescent="0.3">
      <c r="D13008" t="s">
        <v>5216</v>
      </c>
    </row>
    <row r="13009" spans="2:4" hidden="1" outlineLevel="3" x14ac:dyDescent="0.3">
      <c r="D13009" t="s">
        <v>5217</v>
      </c>
    </row>
    <row r="13010" spans="2:4" hidden="1" outlineLevel="3" x14ac:dyDescent="0.3">
      <c r="D13010" t="s">
        <v>5218</v>
      </c>
    </row>
    <row r="13011" spans="2:4" hidden="1" outlineLevel="2" x14ac:dyDescent="0.3">
      <c r="C13011" t="s">
        <v>5219</v>
      </c>
    </row>
    <row r="13012" spans="2:4" hidden="1" outlineLevel="3" x14ac:dyDescent="0.3">
      <c r="D13012" t="s">
        <v>5220</v>
      </c>
    </row>
    <row r="13013" spans="2:4" hidden="1" outlineLevel="3" x14ac:dyDescent="0.3">
      <c r="D13013" t="s">
        <v>5221</v>
      </c>
    </row>
    <row r="13014" spans="2:4" hidden="1" outlineLevel="3" x14ac:dyDescent="0.3">
      <c r="D13014" t="s">
        <v>5222</v>
      </c>
    </row>
    <row r="13015" spans="2:4" hidden="1" outlineLevel="3" x14ac:dyDescent="0.3">
      <c r="D13015" t="s">
        <v>5223</v>
      </c>
    </row>
    <row r="13016" spans="2:4" hidden="1" outlineLevel="3" x14ac:dyDescent="0.3">
      <c r="D13016" t="s">
        <v>5224</v>
      </c>
    </row>
    <row r="13017" spans="2:4" hidden="1" outlineLevel="3" x14ac:dyDescent="0.3">
      <c r="D13017" t="s">
        <v>5225</v>
      </c>
    </row>
    <row r="13018" spans="2:4" hidden="1" outlineLevel="3" x14ac:dyDescent="0.3">
      <c r="D13018" t="s">
        <v>5226</v>
      </c>
    </row>
    <row r="13019" spans="2:4" hidden="1" outlineLevel="2" x14ac:dyDescent="0.3">
      <c r="C13019" t="s">
        <v>5227</v>
      </c>
    </row>
    <row r="13020" spans="2:4" outlineLevel="1" collapsed="1" x14ac:dyDescent="0.3">
      <c r="B13020" t="s">
        <v>4918</v>
      </c>
    </row>
    <row r="13021" spans="2:4" hidden="1" outlineLevel="2" x14ac:dyDescent="0.3">
      <c r="C13021" t="s">
        <v>4919</v>
      </c>
    </row>
    <row r="13022" spans="2:4" hidden="1" outlineLevel="2" x14ac:dyDescent="0.3">
      <c r="C13022" t="s">
        <v>4920</v>
      </c>
    </row>
    <row r="13023" spans="2:4" hidden="1" outlineLevel="2" x14ac:dyDescent="0.3">
      <c r="C13023" t="s">
        <v>4921</v>
      </c>
    </row>
    <row r="13024" spans="2:4" hidden="1" outlineLevel="2" x14ac:dyDescent="0.3">
      <c r="C13024" t="s">
        <v>5228</v>
      </c>
    </row>
    <row r="13025" spans="2:3" hidden="1" outlineLevel="2" x14ac:dyDescent="0.3">
      <c r="C13025" t="s">
        <v>5229</v>
      </c>
    </row>
    <row r="13026" spans="2:3" hidden="1" outlineLevel="2" x14ac:dyDescent="0.3">
      <c r="C13026" t="s">
        <v>4925</v>
      </c>
    </row>
    <row r="13027" spans="2:3" hidden="1" outlineLevel="2" x14ac:dyDescent="0.3">
      <c r="C13027" t="s">
        <v>4926</v>
      </c>
    </row>
    <row r="13028" spans="2:3" hidden="1" outlineLevel="2" x14ac:dyDescent="0.3">
      <c r="C13028" t="s">
        <v>4927</v>
      </c>
    </row>
    <row r="13029" spans="2:3" hidden="1" outlineLevel="2" x14ac:dyDescent="0.3">
      <c r="C13029" t="s">
        <v>4928</v>
      </c>
    </row>
    <row r="13030" spans="2:3" outlineLevel="1" collapsed="1" x14ac:dyDescent="0.3">
      <c r="B13030" t="s">
        <v>4929</v>
      </c>
    </row>
    <row r="13031" spans="2:3" hidden="1" outlineLevel="2" x14ac:dyDescent="0.3">
      <c r="C13031" t="s">
        <v>4930</v>
      </c>
    </row>
    <row r="13032" spans="2:3" hidden="1" outlineLevel="2" x14ac:dyDescent="0.3">
      <c r="C13032" t="s">
        <v>4931</v>
      </c>
    </row>
    <row r="13033" spans="2:3" hidden="1" outlineLevel="2" x14ac:dyDescent="0.3">
      <c r="C13033" t="s">
        <v>5230</v>
      </c>
    </row>
    <row r="13034" spans="2:3" hidden="1" outlineLevel="2" x14ac:dyDescent="0.3">
      <c r="C13034" t="s">
        <v>4933</v>
      </c>
    </row>
    <row r="13035" spans="2:3" hidden="1" outlineLevel="2" x14ac:dyDescent="0.3">
      <c r="C13035" t="s">
        <v>5231</v>
      </c>
    </row>
    <row r="13036" spans="2:3" hidden="1" outlineLevel="2" x14ac:dyDescent="0.3">
      <c r="C13036" t="s">
        <v>4935</v>
      </c>
    </row>
    <row r="13037" spans="2:3" hidden="1" outlineLevel="2" x14ac:dyDescent="0.3">
      <c r="C13037" t="s">
        <v>4936</v>
      </c>
    </row>
    <row r="13038" spans="2:3" outlineLevel="1" collapsed="1" x14ac:dyDescent="0.3">
      <c r="B13038" t="s">
        <v>5232</v>
      </c>
    </row>
    <row r="13039" spans="2:3" outlineLevel="1" x14ac:dyDescent="0.3">
      <c r="B13039" t="s">
        <v>2725</v>
      </c>
    </row>
    <row r="13040" spans="2:3" hidden="1" outlineLevel="2" x14ac:dyDescent="0.3">
      <c r="C13040" t="s">
        <v>5233</v>
      </c>
    </row>
    <row r="13041" spans="2:4" hidden="1" outlineLevel="2" x14ac:dyDescent="0.3">
      <c r="C13041" t="s">
        <v>5234</v>
      </c>
    </row>
    <row r="13042" spans="2:4" hidden="1" outlineLevel="2" x14ac:dyDescent="0.3">
      <c r="C13042" t="s">
        <v>5235</v>
      </c>
    </row>
    <row r="13043" spans="2:4" hidden="1" outlineLevel="2" x14ac:dyDescent="0.3">
      <c r="C13043" t="s">
        <v>5236</v>
      </c>
    </row>
    <row r="13044" spans="2:4" outlineLevel="1" collapsed="1" x14ac:dyDescent="0.3">
      <c r="B13044" t="s">
        <v>5237</v>
      </c>
    </row>
    <row r="13045" spans="2:4" hidden="1" outlineLevel="2" x14ac:dyDescent="0.3">
      <c r="C13045" t="s">
        <v>5238</v>
      </c>
    </row>
    <row r="13046" spans="2:4" hidden="1" outlineLevel="3" x14ac:dyDescent="0.3">
      <c r="D13046" t="s">
        <v>5239</v>
      </c>
    </row>
    <row r="13047" spans="2:4" hidden="1" outlineLevel="3" x14ac:dyDescent="0.3">
      <c r="D13047" t="s">
        <v>5240</v>
      </c>
    </row>
    <row r="13048" spans="2:4" hidden="1" outlineLevel="3" x14ac:dyDescent="0.3">
      <c r="D13048" t="s">
        <v>5241</v>
      </c>
    </row>
    <row r="13049" spans="2:4" hidden="1" outlineLevel="3" x14ac:dyDescent="0.3">
      <c r="D13049" t="s">
        <v>5242</v>
      </c>
    </row>
    <row r="13050" spans="2:4" hidden="1" outlineLevel="3" x14ac:dyDescent="0.3">
      <c r="D13050" t="s">
        <v>5243</v>
      </c>
    </row>
    <row r="13051" spans="2:4" hidden="1" outlineLevel="3" x14ac:dyDescent="0.3">
      <c r="D13051" t="s">
        <v>5244</v>
      </c>
    </row>
    <row r="13052" spans="2:4" hidden="1" outlineLevel="3" x14ac:dyDescent="0.3">
      <c r="D13052" t="s">
        <v>5245</v>
      </c>
    </row>
    <row r="13053" spans="2:4" hidden="1" outlineLevel="3" x14ac:dyDescent="0.3">
      <c r="D13053" t="s">
        <v>5246</v>
      </c>
    </row>
    <row r="13054" spans="2:4" hidden="1" outlineLevel="3" x14ac:dyDescent="0.3">
      <c r="D13054" t="s">
        <v>5247</v>
      </c>
    </row>
    <row r="13055" spans="2:4" hidden="1" outlineLevel="3" x14ac:dyDescent="0.3">
      <c r="D13055" t="s">
        <v>5248</v>
      </c>
    </row>
    <row r="13056" spans="2:4" hidden="1" outlineLevel="2" x14ac:dyDescent="0.3">
      <c r="C13056" t="s">
        <v>5249</v>
      </c>
    </row>
    <row r="13057" spans="3:4" hidden="1" outlineLevel="2" x14ac:dyDescent="0.3">
      <c r="C13057" t="s">
        <v>5250</v>
      </c>
    </row>
    <row r="13058" spans="3:4" hidden="1" outlineLevel="2" x14ac:dyDescent="0.3">
      <c r="C13058" t="s">
        <v>5251</v>
      </c>
    </row>
    <row r="13059" spans="3:4" hidden="1" outlineLevel="2" x14ac:dyDescent="0.3">
      <c r="C13059" t="s">
        <v>5252</v>
      </c>
    </row>
    <row r="13060" spans="3:4" hidden="1" outlineLevel="3" x14ac:dyDescent="0.3">
      <c r="D13060" t="s">
        <v>5253</v>
      </c>
    </row>
    <row r="13061" spans="3:4" hidden="1" outlineLevel="3" x14ac:dyDescent="0.3">
      <c r="D13061" t="s">
        <v>5254</v>
      </c>
    </row>
    <row r="13062" spans="3:4" hidden="1" outlineLevel="3" x14ac:dyDescent="0.3">
      <c r="D13062" t="s">
        <v>5255</v>
      </c>
    </row>
    <row r="13063" spans="3:4" hidden="1" outlineLevel="3" x14ac:dyDescent="0.3">
      <c r="D13063" t="s">
        <v>5256</v>
      </c>
    </row>
    <row r="13064" spans="3:4" hidden="1" outlineLevel="3" x14ac:dyDescent="0.3">
      <c r="D13064" t="s">
        <v>5257</v>
      </c>
    </row>
    <row r="13065" spans="3:4" hidden="1" outlineLevel="2" x14ac:dyDescent="0.3">
      <c r="C13065" t="s">
        <v>2760</v>
      </c>
    </row>
    <row r="13066" spans="3:4" hidden="1" outlineLevel="2" x14ac:dyDescent="0.3">
      <c r="C13066" t="s">
        <v>5258</v>
      </c>
    </row>
    <row r="13067" spans="3:4" hidden="1" outlineLevel="2" x14ac:dyDescent="0.3">
      <c r="C13067" t="s">
        <v>5259</v>
      </c>
    </row>
    <row r="13068" spans="3:4" hidden="1" outlineLevel="3" x14ac:dyDescent="0.3">
      <c r="D13068" t="s">
        <v>5260</v>
      </c>
    </row>
    <row r="13069" spans="3:4" hidden="1" outlineLevel="3" x14ac:dyDescent="0.3">
      <c r="D13069" t="s">
        <v>5261</v>
      </c>
    </row>
    <row r="13070" spans="3:4" hidden="1" outlineLevel="3" x14ac:dyDescent="0.3">
      <c r="D13070" t="s">
        <v>5262</v>
      </c>
    </row>
    <row r="13071" spans="3:4" hidden="1" outlineLevel="3" x14ac:dyDescent="0.3">
      <c r="D13071" t="s">
        <v>5263</v>
      </c>
    </row>
    <row r="13072" spans="3:4" hidden="1" outlineLevel="3" x14ac:dyDescent="0.3">
      <c r="D13072" t="s">
        <v>5264</v>
      </c>
    </row>
    <row r="13073" spans="3:4" hidden="1" outlineLevel="3" x14ac:dyDescent="0.3">
      <c r="D13073" t="s">
        <v>5265</v>
      </c>
    </row>
    <row r="13074" spans="3:4" hidden="1" outlineLevel="2" x14ac:dyDescent="0.3">
      <c r="C13074" t="s">
        <v>5266</v>
      </c>
    </row>
    <row r="13075" spans="3:4" hidden="1" outlineLevel="2" x14ac:dyDescent="0.3">
      <c r="C13075" t="s">
        <v>5267</v>
      </c>
    </row>
    <row r="13076" spans="3:4" hidden="1" outlineLevel="3" x14ac:dyDescent="0.3">
      <c r="D13076" t="s">
        <v>5268</v>
      </c>
    </row>
    <row r="13077" spans="3:4" hidden="1" outlineLevel="3" x14ac:dyDescent="0.3">
      <c r="D13077" t="s">
        <v>5269</v>
      </c>
    </row>
    <row r="13078" spans="3:4" hidden="1" outlineLevel="3" x14ac:dyDescent="0.3">
      <c r="D13078" t="s">
        <v>5270</v>
      </c>
    </row>
    <row r="13079" spans="3:4" hidden="1" outlineLevel="2" x14ac:dyDescent="0.3">
      <c r="C13079" t="s">
        <v>5271</v>
      </c>
    </row>
    <row r="13080" spans="3:4" hidden="1" outlineLevel="2" x14ac:dyDescent="0.3">
      <c r="C13080" t="s">
        <v>5272</v>
      </c>
    </row>
    <row r="13081" spans="3:4" hidden="1" outlineLevel="3" x14ac:dyDescent="0.3">
      <c r="D13081" t="s">
        <v>5273</v>
      </c>
    </row>
    <row r="13082" spans="3:4" hidden="1" outlineLevel="3" x14ac:dyDescent="0.3">
      <c r="D13082" t="s">
        <v>5274</v>
      </c>
    </row>
    <row r="13083" spans="3:4" hidden="1" outlineLevel="3" x14ac:dyDescent="0.3">
      <c r="D13083" t="s">
        <v>5275</v>
      </c>
    </row>
    <row r="13084" spans="3:4" hidden="1" outlineLevel="3" x14ac:dyDescent="0.3">
      <c r="D13084" t="s">
        <v>5276</v>
      </c>
    </row>
    <row r="13085" spans="3:4" hidden="1" outlineLevel="2" x14ac:dyDescent="0.3">
      <c r="C13085" t="s">
        <v>5277</v>
      </c>
    </row>
    <row r="13086" spans="3:4" hidden="1" outlineLevel="3" x14ac:dyDescent="0.3">
      <c r="D13086" t="s">
        <v>5278</v>
      </c>
    </row>
    <row r="13087" spans="3:4" hidden="1" outlineLevel="3" x14ac:dyDescent="0.3">
      <c r="D13087" t="s">
        <v>5279</v>
      </c>
    </row>
    <row r="13088" spans="3:4" hidden="1" outlineLevel="3" x14ac:dyDescent="0.3">
      <c r="D13088" t="s">
        <v>5280</v>
      </c>
    </row>
    <row r="13089" spans="3:5" hidden="1" outlineLevel="4" x14ac:dyDescent="0.3">
      <c r="E13089" t="s">
        <v>5281</v>
      </c>
    </row>
    <row r="13090" spans="3:5" hidden="1" outlineLevel="4" x14ac:dyDescent="0.3">
      <c r="E13090" t="s">
        <v>5282</v>
      </c>
    </row>
    <row r="13091" spans="3:5" hidden="1" outlineLevel="4" x14ac:dyDescent="0.3">
      <c r="E13091" t="s">
        <v>5283</v>
      </c>
    </row>
    <row r="13092" spans="3:5" hidden="1" outlineLevel="3" x14ac:dyDescent="0.3">
      <c r="D13092" t="s">
        <v>5284</v>
      </c>
    </row>
    <row r="13093" spans="3:5" hidden="1" outlineLevel="3" x14ac:dyDescent="0.3">
      <c r="D13093" t="s">
        <v>5285</v>
      </c>
    </row>
    <row r="13094" spans="3:5" hidden="1" outlineLevel="3" x14ac:dyDescent="0.3">
      <c r="D13094" t="s">
        <v>5286</v>
      </c>
    </row>
    <row r="13095" spans="3:5" hidden="1" outlineLevel="3" x14ac:dyDescent="0.3">
      <c r="D13095" t="s">
        <v>5287</v>
      </c>
    </row>
    <row r="13096" spans="3:5" hidden="1" outlineLevel="3" x14ac:dyDescent="0.3">
      <c r="D13096" t="s">
        <v>5288</v>
      </c>
    </row>
    <row r="13097" spans="3:5" hidden="1" outlineLevel="3" x14ac:dyDescent="0.3">
      <c r="D13097" t="s">
        <v>5289</v>
      </c>
    </row>
    <row r="13098" spans="3:5" hidden="1" outlineLevel="2" x14ac:dyDescent="0.3">
      <c r="C13098" t="s">
        <v>5290</v>
      </c>
    </row>
    <row r="13099" spans="3:5" hidden="1" outlineLevel="2" x14ac:dyDescent="0.3">
      <c r="C13099" t="s">
        <v>5291</v>
      </c>
    </row>
    <row r="13100" spans="3:5" hidden="1" outlineLevel="2" x14ac:dyDescent="0.3">
      <c r="C13100" t="s">
        <v>5292</v>
      </c>
    </row>
    <row r="13101" spans="3:5" hidden="1" outlineLevel="3" x14ac:dyDescent="0.3">
      <c r="D13101" t="s">
        <v>5293</v>
      </c>
    </row>
    <row r="13102" spans="3:5" hidden="1" outlineLevel="3" x14ac:dyDescent="0.3">
      <c r="D13102" t="s">
        <v>5294</v>
      </c>
    </row>
    <row r="13103" spans="3:5" hidden="1" outlineLevel="3" x14ac:dyDescent="0.3">
      <c r="D13103" t="s">
        <v>5295</v>
      </c>
    </row>
    <row r="13104" spans="3:5" hidden="1" outlineLevel="3" x14ac:dyDescent="0.3">
      <c r="D13104" t="s">
        <v>5296</v>
      </c>
    </row>
    <row r="13105" spans="2:4" outlineLevel="1" collapsed="1" x14ac:dyDescent="0.3">
      <c r="B13105" t="s">
        <v>5297</v>
      </c>
    </row>
    <row r="13106" spans="2:4" hidden="1" outlineLevel="2" x14ac:dyDescent="0.3">
      <c r="C13106" t="s">
        <v>5298</v>
      </c>
    </row>
    <row r="13107" spans="2:4" hidden="1" outlineLevel="3" x14ac:dyDescent="0.3">
      <c r="D13107" t="s">
        <v>5299</v>
      </c>
    </row>
    <row r="13108" spans="2:4" hidden="1" outlineLevel="3" x14ac:dyDescent="0.3">
      <c r="D13108" t="s">
        <v>5300</v>
      </c>
    </row>
    <row r="13109" spans="2:4" hidden="1" outlineLevel="3" x14ac:dyDescent="0.3">
      <c r="D13109" t="s">
        <v>5301</v>
      </c>
    </row>
    <row r="13110" spans="2:4" hidden="1" outlineLevel="3" x14ac:dyDescent="0.3">
      <c r="D13110" t="s">
        <v>5302</v>
      </c>
    </row>
    <row r="13111" spans="2:4" hidden="1" outlineLevel="3" x14ac:dyDescent="0.3">
      <c r="D13111" t="s">
        <v>5303</v>
      </c>
    </row>
    <row r="13112" spans="2:4" hidden="1" outlineLevel="3" x14ac:dyDescent="0.3">
      <c r="D13112" t="s">
        <v>5304</v>
      </c>
    </row>
    <row r="13113" spans="2:4" hidden="1" outlineLevel="3" x14ac:dyDescent="0.3">
      <c r="D13113" t="s">
        <v>5305</v>
      </c>
    </row>
    <row r="13114" spans="2:4" hidden="1" outlineLevel="3" x14ac:dyDescent="0.3">
      <c r="D13114" t="s">
        <v>5306</v>
      </c>
    </row>
    <row r="13115" spans="2:4" hidden="1" outlineLevel="3" x14ac:dyDescent="0.3">
      <c r="D13115" t="s">
        <v>5307</v>
      </c>
    </row>
    <row r="13116" spans="2:4" hidden="1" outlineLevel="3" x14ac:dyDescent="0.3">
      <c r="D13116" t="s">
        <v>5308</v>
      </c>
    </row>
    <row r="13117" spans="2:4" hidden="1" outlineLevel="3" x14ac:dyDescent="0.3">
      <c r="D13117" t="s">
        <v>5309</v>
      </c>
    </row>
    <row r="13118" spans="2:4" hidden="1" outlineLevel="2" x14ac:dyDescent="0.3">
      <c r="C13118" t="s">
        <v>5310</v>
      </c>
    </row>
    <row r="13119" spans="2:4" hidden="1" outlineLevel="2" x14ac:dyDescent="0.3">
      <c r="C13119" t="s">
        <v>5311</v>
      </c>
    </row>
    <row r="13120" spans="2:4" hidden="1" outlineLevel="3" x14ac:dyDescent="0.3">
      <c r="D13120" t="s">
        <v>5312</v>
      </c>
    </row>
    <row r="13121" spans="1:4" hidden="1" outlineLevel="3" x14ac:dyDescent="0.3">
      <c r="D13121" t="s">
        <v>5313</v>
      </c>
    </row>
    <row r="13122" spans="1:4" hidden="1" outlineLevel="3" x14ac:dyDescent="0.3">
      <c r="D13122" t="s">
        <v>5314</v>
      </c>
    </row>
    <row r="13123" spans="1:4" hidden="1" outlineLevel="3" x14ac:dyDescent="0.3">
      <c r="D13123" t="s">
        <v>5315</v>
      </c>
    </row>
    <row r="13124" spans="1:4" hidden="1" outlineLevel="3" x14ac:dyDescent="0.3">
      <c r="D13124" t="s">
        <v>5316</v>
      </c>
    </row>
    <row r="13125" spans="1:4" hidden="1" outlineLevel="3" x14ac:dyDescent="0.3">
      <c r="D13125" t="s">
        <v>5317</v>
      </c>
    </row>
    <row r="13126" spans="1:4" hidden="1" outlineLevel="3" x14ac:dyDescent="0.3">
      <c r="D13126" t="s">
        <v>5318</v>
      </c>
    </row>
    <row r="13127" spans="1:4" hidden="1" outlineLevel="3" x14ac:dyDescent="0.3">
      <c r="D13127" t="s">
        <v>5319</v>
      </c>
    </row>
    <row r="13128" spans="1:4" hidden="1" outlineLevel="2" x14ac:dyDescent="0.3">
      <c r="C13128" t="s">
        <v>5320</v>
      </c>
    </row>
    <row r="13129" spans="1:4" hidden="1" outlineLevel="3" x14ac:dyDescent="0.3">
      <c r="D13129" t="s">
        <v>5321</v>
      </c>
    </row>
    <row r="13130" spans="1:4" hidden="1" outlineLevel="3" x14ac:dyDescent="0.3">
      <c r="D13130" t="s">
        <v>5322</v>
      </c>
    </row>
    <row r="13131" spans="1:4" hidden="1" outlineLevel="3" x14ac:dyDescent="0.3">
      <c r="D13131" t="s">
        <v>5323</v>
      </c>
    </row>
    <row r="13132" spans="1:4" hidden="1" outlineLevel="3" x14ac:dyDescent="0.3">
      <c r="D13132" t="s">
        <v>5324</v>
      </c>
    </row>
    <row r="13133" spans="1:4" hidden="1" outlineLevel="3" x14ac:dyDescent="0.3">
      <c r="D13133" t="s">
        <v>5325</v>
      </c>
    </row>
    <row r="13134" spans="1:4" hidden="1" outlineLevel="3" x14ac:dyDescent="0.3">
      <c r="D13134" t="s">
        <v>5326</v>
      </c>
    </row>
    <row r="13135" spans="1:4" x14ac:dyDescent="0.3">
      <c r="A13135" t="s">
        <v>927</v>
      </c>
    </row>
    <row r="13136" spans="1:4" x14ac:dyDescent="0.3">
      <c r="A13136" t="s">
        <v>928</v>
      </c>
    </row>
    <row r="13137" spans="1:4" x14ac:dyDescent="0.3">
      <c r="A13137" t="s">
        <v>929</v>
      </c>
    </row>
    <row r="13138" spans="1:4" x14ac:dyDescent="0.3">
      <c r="A13138" t="s">
        <v>930</v>
      </c>
    </row>
    <row r="13139" spans="1:4" outlineLevel="1" x14ac:dyDescent="0.3">
      <c r="B13139" t="s">
        <v>931</v>
      </c>
    </row>
    <row r="13140" spans="1:4" outlineLevel="1" x14ac:dyDescent="0.3">
      <c r="B13140" t="s">
        <v>932</v>
      </c>
    </row>
    <row r="13141" spans="1:4" outlineLevel="1" x14ac:dyDescent="0.3">
      <c r="B13141" t="s">
        <v>933</v>
      </c>
    </row>
    <row r="13142" spans="1:4" hidden="1" outlineLevel="2" x14ac:dyDescent="0.3">
      <c r="C13142" t="s">
        <v>934</v>
      </c>
    </row>
    <row r="13143" spans="1:4" hidden="1" outlineLevel="3" x14ac:dyDescent="0.3">
      <c r="D13143" t="s">
        <v>935</v>
      </c>
    </row>
    <row r="13144" spans="1:4" hidden="1" outlineLevel="3" x14ac:dyDescent="0.3">
      <c r="D13144" t="s">
        <v>936</v>
      </c>
    </row>
    <row r="13145" spans="1:4" hidden="1" outlineLevel="2" x14ac:dyDescent="0.3">
      <c r="C13145" t="s">
        <v>937</v>
      </c>
    </row>
    <row r="13146" spans="1:4" hidden="1" outlineLevel="2" x14ac:dyDescent="0.3">
      <c r="C13146" t="s">
        <v>938</v>
      </c>
    </row>
    <row r="13147" spans="1:4" hidden="1" outlineLevel="3" x14ac:dyDescent="0.3">
      <c r="D13147" t="s">
        <v>939</v>
      </c>
    </row>
    <row r="13148" spans="1:4" hidden="1" outlineLevel="3" x14ac:dyDescent="0.3">
      <c r="D13148" t="s">
        <v>940</v>
      </c>
    </row>
    <row r="13149" spans="1:4" hidden="1" outlineLevel="3" x14ac:dyDescent="0.3">
      <c r="D13149" t="s">
        <v>941</v>
      </c>
    </row>
    <row r="13150" spans="1:4" hidden="1" outlineLevel="3" x14ac:dyDescent="0.3">
      <c r="D13150" t="s">
        <v>942</v>
      </c>
    </row>
    <row r="13151" spans="1:4" hidden="1" outlineLevel="3" x14ac:dyDescent="0.3">
      <c r="D13151" t="s">
        <v>943</v>
      </c>
    </row>
    <row r="13152" spans="1:4" hidden="1" outlineLevel="3" x14ac:dyDescent="0.3">
      <c r="D13152" t="s">
        <v>944</v>
      </c>
    </row>
    <row r="13153" spans="3:4" hidden="1" outlineLevel="3" x14ac:dyDescent="0.3">
      <c r="D13153" t="s">
        <v>945</v>
      </c>
    </row>
    <row r="13154" spans="3:4" hidden="1" outlineLevel="3" x14ac:dyDescent="0.3">
      <c r="D13154" t="s">
        <v>946</v>
      </c>
    </row>
    <row r="13155" spans="3:4" hidden="1" outlineLevel="3" x14ac:dyDescent="0.3">
      <c r="D13155" t="s">
        <v>947</v>
      </c>
    </row>
    <row r="13156" spans="3:4" hidden="1" outlineLevel="3" x14ac:dyDescent="0.3">
      <c r="D13156" t="s">
        <v>948</v>
      </c>
    </row>
    <row r="13157" spans="3:4" hidden="1" outlineLevel="3" x14ac:dyDescent="0.3">
      <c r="D13157" t="s">
        <v>949</v>
      </c>
    </row>
    <row r="13158" spans="3:4" hidden="1" outlineLevel="3" x14ac:dyDescent="0.3">
      <c r="D13158" t="s">
        <v>950</v>
      </c>
    </row>
    <row r="13159" spans="3:4" hidden="1" outlineLevel="3" x14ac:dyDescent="0.3">
      <c r="D13159" t="s">
        <v>951</v>
      </c>
    </row>
    <row r="13160" spans="3:4" hidden="1" outlineLevel="3" x14ac:dyDescent="0.3">
      <c r="D13160" t="s">
        <v>952</v>
      </c>
    </row>
    <row r="13161" spans="3:4" hidden="1" outlineLevel="3" x14ac:dyDescent="0.3">
      <c r="D13161" t="s">
        <v>953</v>
      </c>
    </row>
    <row r="13162" spans="3:4" hidden="1" outlineLevel="2" x14ac:dyDescent="0.3">
      <c r="C13162" t="s">
        <v>954</v>
      </c>
    </row>
    <row r="13163" spans="3:4" hidden="1" outlineLevel="3" x14ac:dyDescent="0.3">
      <c r="D13163" t="s">
        <v>955</v>
      </c>
    </row>
    <row r="13164" spans="3:4" hidden="1" outlineLevel="3" x14ac:dyDescent="0.3">
      <c r="D13164" t="s">
        <v>956</v>
      </c>
    </row>
    <row r="13165" spans="3:4" hidden="1" outlineLevel="3" x14ac:dyDescent="0.3">
      <c r="D13165" t="s">
        <v>957</v>
      </c>
    </row>
    <row r="13166" spans="3:4" hidden="1" outlineLevel="3" x14ac:dyDescent="0.3">
      <c r="D13166" t="s">
        <v>958</v>
      </c>
    </row>
    <row r="13167" spans="3:4" hidden="1" outlineLevel="3" x14ac:dyDescent="0.3">
      <c r="D13167" t="s">
        <v>959</v>
      </c>
    </row>
    <row r="13168" spans="3:4" hidden="1" outlineLevel="3" x14ac:dyDescent="0.3">
      <c r="D13168" t="s">
        <v>960</v>
      </c>
    </row>
    <row r="13169" spans="3:4" hidden="1" outlineLevel="3" x14ac:dyDescent="0.3">
      <c r="D13169" t="s">
        <v>961</v>
      </c>
    </row>
    <row r="13170" spans="3:4" hidden="1" outlineLevel="3" x14ac:dyDescent="0.3">
      <c r="D13170" t="s">
        <v>962</v>
      </c>
    </row>
    <row r="13171" spans="3:4" hidden="1" outlineLevel="3" x14ac:dyDescent="0.3">
      <c r="D13171" t="s">
        <v>963</v>
      </c>
    </row>
    <row r="13172" spans="3:4" hidden="1" outlineLevel="2" x14ac:dyDescent="0.3">
      <c r="C13172" t="s">
        <v>964</v>
      </c>
    </row>
    <row r="13173" spans="3:4" hidden="1" outlineLevel="3" x14ac:dyDescent="0.3">
      <c r="D13173" t="s">
        <v>965</v>
      </c>
    </row>
    <row r="13174" spans="3:4" hidden="1" outlineLevel="3" x14ac:dyDescent="0.3">
      <c r="D13174" t="s">
        <v>966</v>
      </c>
    </row>
    <row r="13175" spans="3:4" hidden="1" outlineLevel="3" x14ac:dyDescent="0.3">
      <c r="D13175" t="s">
        <v>967</v>
      </c>
    </row>
    <row r="13176" spans="3:4" hidden="1" outlineLevel="3" x14ac:dyDescent="0.3">
      <c r="D13176" t="s">
        <v>968</v>
      </c>
    </row>
    <row r="13177" spans="3:4" hidden="1" outlineLevel="3" x14ac:dyDescent="0.3">
      <c r="D13177" t="s">
        <v>969</v>
      </c>
    </row>
    <row r="13178" spans="3:4" hidden="1" outlineLevel="3" x14ac:dyDescent="0.3">
      <c r="D13178" t="s">
        <v>970</v>
      </c>
    </row>
    <row r="13179" spans="3:4" hidden="1" outlineLevel="3" x14ac:dyDescent="0.3">
      <c r="D13179" t="s">
        <v>971</v>
      </c>
    </row>
    <row r="13180" spans="3:4" hidden="1" outlineLevel="3" x14ac:dyDescent="0.3">
      <c r="D13180" t="s">
        <v>972</v>
      </c>
    </row>
    <row r="13181" spans="3:4" hidden="1" outlineLevel="3" x14ac:dyDescent="0.3">
      <c r="D13181" t="s">
        <v>973</v>
      </c>
    </row>
    <row r="13182" spans="3:4" hidden="1" outlineLevel="3" x14ac:dyDescent="0.3">
      <c r="D13182" t="s">
        <v>974</v>
      </c>
    </row>
    <row r="13183" spans="3:4" hidden="1" outlineLevel="3" x14ac:dyDescent="0.3">
      <c r="D13183" t="s">
        <v>975</v>
      </c>
    </row>
    <row r="13184" spans="3:4" hidden="1" outlineLevel="3" x14ac:dyDescent="0.3">
      <c r="D13184" t="s">
        <v>976</v>
      </c>
    </row>
    <row r="13185" spans="2:4" hidden="1" outlineLevel="3" x14ac:dyDescent="0.3">
      <c r="D13185" t="s">
        <v>977</v>
      </c>
    </row>
    <row r="13186" spans="2:4" hidden="1" outlineLevel="3" x14ac:dyDescent="0.3">
      <c r="D13186" t="s">
        <v>978</v>
      </c>
    </row>
    <row r="13187" spans="2:4" hidden="1" outlineLevel="2" x14ac:dyDescent="0.3">
      <c r="C13187" t="s">
        <v>979</v>
      </c>
    </row>
    <row r="13188" spans="2:4" hidden="1" outlineLevel="2" x14ac:dyDescent="0.3">
      <c r="C13188" t="s">
        <v>980</v>
      </c>
    </row>
    <row r="13189" spans="2:4" hidden="1" outlineLevel="3" x14ac:dyDescent="0.3">
      <c r="D13189" t="s">
        <v>981</v>
      </c>
    </row>
    <row r="13190" spans="2:4" hidden="1" outlineLevel="3" x14ac:dyDescent="0.3">
      <c r="D13190" t="s">
        <v>982</v>
      </c>
    </row>
    <row r="13191" spans="2:4" hidden="1" outlineLevel="3" x14ac:dyDescent="0.3">
      <c r="D13191" t="s">
        <v>983</v>
      </c>
    </row>
    <row r="13192" spans="2:4" hidden="1" outlineLevel="3" x14ac:dyDescent="0.3">
      <c r="D13192" t="s">
        <v>2800</v>
      </c>
    </row>
    <row r="13193" spans="2:4" hidden="1" outlineLevel="3" x14ac:dyDescent="0.3">
      <c r="D13193" t="s">
        <v>985</v>
      </c>
    </row>
    <row r="13194" spans="2:4" hidden="1" outlineLevel="3" x14ac:dyDescent="0.3">
      <c r="D13194" t="s">
        <v>986</v>
      </c>
    </row>
    <row r="13195" spans="2:4" hidden="1" outlineLevel="3" x14ac:dyDescent="0.3">
      <c r="D13195" t="s">
        <v>2801</v>
      </c>
    </row>
    <row r="13196" spans="2:4" hidden="1" outlineLevel="3" x14ac:dyDescent="0.3">
      <c r="D13196" t="s">
        <v>2802</v>
      </c>
    </row>
    <row r="13197" spans="2:4" hidden="1" outlineLevel="3" x14ac:dyDescent="0.3">
      <c r="D13197" t="s">
        <v>993</v>
      </c>
    </row>
    <row r="13198" spans="2:4" hidden="1" outlineLevel="3" x14ac:dyDescent="0.3">
      <c r="D13198" t="s">
        <v>994</v>
      </c>
    </row>
    <row r="13199" spans="2:4" hidden="1" outlineLevel="3" x14ac:dyDescent="0.3">
      <c r="D13199" t="s">
        <v>995</v>
      </c>
    </row>
    <row r="13200" spans="2:4" outlineLevel="1" collapsed="1" x14ac:dyDescent="0.3">
      <c r="B13200" t="s">
        <v>996</v>
      </c>
    </row>
    <row r="13201" spans="1:3" outlineLevel="1" x14ac:dyDescent="0.3">
      <c r="B13201" t="s">
        <v>997</v>
      </c>
    </row>
    <row r="13202" spans="1:3" outlineLevel="1" x14ac:dyDescent="0.3">
      <c r="B13202" t="s">
        <v>998</v>
      </c>
    </row>
    <row r="13203" spans="1:3" x14ac:dyDescent="0.3">
      <c r="A13203" t="s">
        <v>999</v>
      </c>
    </row>
    <row r="13204" spans="1:3" outlineLevel="1" x14ac:dyDescent="0.3">
      <c r="B13204" t="s">
        <v>5327</v>
      </c>
    </row>
    <row r="13205" spans="1:3" hidden="1" outlineLevel="2" x14ac:dyDescent="0.3">
      <c r="C13205" t="s">
        <v>5328</v>
      </c>
    </row>
    <row r="13206" spans="1:3" outlineLevel="1" collapsed="1" x14ac:dyDescent="0.3">
      <c r="B13206" t="s">
        <v>2883</v>
      </c>
    </row>
    <row r="13207" spans="1:3" outlineLevel="1" x14ac:dyDescent="0.3">
      <c r="B13207" t="s">
        <v>5329</v>
      </c>
    </row>
    <row r="13208" spans="1:3" hidden="1" outlineLevel="2" x14ac:dyDescent="0.3">
      <c r="C13208" t="s">
        <v>5330</v>
      </c>
    </row>
    <row r="13209" spans="1:3" hidden="1" outlineLevel="2" x14ac:dyDescent="0.3">
      <c r="C13209" t="s">
        <v>5331</v>
      </c>
    </row>
    <row r="13210" spans="1:3" hidden="1" outlineLevel="2" x14ac:dyDescent="0.3">
      <c r="C13210" t="s">
        <v>5332</v>
      </c>
    </row>
    <row r="13211" spans="1:3" hidden="1" outlineLevel="2" x14ac:dyDescent="0.3">
      <c r="C13211" t="s">
        <v>5333</v>
      </c>
    </row>
    <row r="13212" spans="1:3" hidden="1" outlineLevel="2" x14ac:dyDescent="0.3">
      <c r="C13212" t="s">
        <v>5334</v>
      </c>
    </row>
    <row r="13213" spans="1:3" hidden="1" outlineLevel="2" x14ac:dyDescent="0.3">
      <c r="C13213" t="s">
        <v>5335</v>
      </c>
    </row>
    <row r="13214" spans="1:3" hidden="1" outlineLevel="2" x14ac:dyDescent="0.3">
      <c r="C13214" t="s">
        <v>5336</v>
      </c>
    </row>
    <row r="13215" spans="1:3" hidden="1" outlineLevel="2" x14ac:dyDescent="0.3">
      <c r="C13215" t="s">
        <v>5337</v>
      </c>
    </row>
    <row r="13216" spans="1:3" hidden="1" outlineLevel="2" x14ac:dyDescent="0.3">
      <c r="C13216" t="s">
        <v>5338</v>
      </c>
    </row>
    <row r="13217" spans="2:4" hidden="1" outlineLevel="3" x14ac:dyDescent="0.3">
      <c r="D13217" t="s">
        <v>5339</v>
      </c>
    </row>
    <row r="13218" spans="2:4" hidden="1" outlineLevel="3" x14ac:dyDescent="0.3">
      <c r="D13218" t="s">
        <v>5340</v>
      </c>
    </row>
    <row r="13219" spans="2:4" hidden="1" outlineLevel="3" x14ac:dyDescent="0.3">
      <c r="D13219" t="s">
        <v>5341</v>
      </c>
    </row>
    <row r="13220" spans="2:4" hidden="1" outlineLevel="3" x14ac:dyDescent="0.3">
      <c r="D13220" t="s">
        <v>5342</v>
      </c>
    </row>
    <row r="13221" spans="2:4" hidden="1" outlineLevel="2" x14ac:dyDescent="0.3">
      <c r="C13221" t="s">
        <v>5343</v>
      </c>
    </row>
    <row r="13222" spans="2:4" hidden="1" outlineLevel="3" x14ac:dyDescent="0.3">
      <c r="D13222" t="s">
        <v>5344</v>
      </c>
    </row>
    <row r="13223" spans="2:4" hidden="1" outlineLevel="3" x14ac:dyDescent="0.3">
      <c r="D13223" t="s">
        <v>5345</v>
      </c>
    </row>
    <row r="13224" spans="2:4" hidden="1" outlineLevel="3" x14ac:dyDescent="0.3">
      <c r="D13224" t="s">
        <v>5346</v>
      </c>
    </row>
    <row r="13225" spans="2:4" hidden="1" outlineLevel="2" x14ac:dyDescent="0.3">
      <c r="C13225" t="s">
        <v>5347</v>
      </c>
    </row>
    <row r="13226" spans="2:4" hidden="1" outlineLevel="2" x14ac:dyDescent="0.3">
      <c r="C13226" t="s">
        <v>5348</v>
      </c>
    </row>
    <row r="13227" spans="2:4" hidden="1" outlineLevel="2" x14ac:dyDescent="0.3">
      <c r="C13227" t="s">
        <v>5349</v>
      </c>
    </row>
    <row r="13228" spans="2:4" hidden="1" outlineLevel="2" x14ac:dyDescent="0.3">
      <c r="C13228" t="s">
        <v>5350</v>
      </c>
    </row>
    <row r="13229" spans="2:4" outlineLevel="1" collapsed="1" x14ac:dyDescent="0.3">
      <c r="B13229" t="s">
        <v>5351</v>
      </c>
    </row>
    <row r="13230" spans="2:4" hidden="1" outlineLevel="2" x14ac:dyDescent="0.3">
      <c r="C13230" t="s">
        <v>5352</v>
      </c>
    </row>
    <row r="13231" spans="2:4" hidden="1" outlineLevel="2" x14ac:dyDescent="0.3">
      <c r="C13231" t="s">
        <v>5353</v>
      </c>
    </row>
    <row r="13232" spans="2:4" hidden="1" outlineLevel="2" x14ac:dyDescent="0.3">
      <c r="C13232" t="s">
        <v>5354</v>
      </c>
    </row>
    <row r="13233" spans="3:4" hidden="1" outlineLevel="2" x14ac:dyDescent="0.3">
      <c r="C13233" t="s">
        <v>5355</v>
      </c>
    </row>
    <row r="13234" spans="3:4" hidden="1" outlineLevel="2" x14ac:dyDescent="0.3">
      <c r="C13234" t="s">
        <v>5356</v>
      </c>
    </row>
    <row r="13235" spans="3:4" hidden="1" outlineLevel="3" x14ac:dyDescent="0.3">
      <c r="D13235" t="s">
        <v>5357</v>
      </c>
    </row>
    <row r="13236" spans="3:4" hidden="1" outlineLevel="3" x14ac:dyDescent="0.3">
      <c r="D13236" t="s">
        <v>5358</v>
      </c>
    </row>
    <row r="13237" spans="3:4" hidden="1" outlineLevel="3" x14ac:dyDescent="0.3">
      <c r="D13237" t="s">
        <v>5359</v>
      </c>
    </row>
    <row r="13238" spans="3:4" hidden="1" outlineLevel="3" x14ac:dyDescent="0.3">
      <c r="D13238" t="s">
        <v>5360</v>
      </c>
    </row>
    <row r="13239" spans="3:4" hidden="1" outlineLevel="3" x14ac:dyDescent="0.3">
      <c r="D13239" t="s">
        <v>5361</v>
      </c>
    </row>
    <row r="13240" spans="3:4" hidden="1" outlineLevel="3" x14ac:dyDescent="0.3">
      <c r="D13240" t="s">
        <v>5362</v>
      </c>
    </row>
    <row r="13241" spans="3:4" hidden="1" outlineLevel="3" x14ac:dyDescent="0.3">
      <c r="D13241" t="s">
        <v>5363</v>
      </c>
    </row>
    <row r="13242" spans="3:4" hidden="1" outlineLevel="2" x14ac:dyDescent="0.3">
      <c r="C13242" t="s">
        <v>5364</v>
      </c>
    </row>
    <row r="13243" spans="3:4" hidden="1" outlineLevel="2" x14ac:dyDescent="0.3">
      <c r="C13243" t="s">
        <v>5365</v>
      </c>
    </row>
    <row r="13244" spans="3:4" hidden="1" outlineLevel="2" x14ac:dyDescent="0.3">
      <c r="C13244" t="s">
        <v>5366</v>
      </c>
    </row>
    <row r="13245" spans="3:4" hidden="1" outlineLevel="2" x14ac:dyDescent="0.3">
      <c r="C13245" t="s">
        <v>5367</v>
      </c>
    </row>
    <row r="13246" spans="3:4" hidden="1" outlineLevel="2" x14ac:dyDescent="0.3">
      <c r="C13246" t="s">
        <v>5368</v>
      </c>
    </row>
    <row r="13247" spans="3:4" hidden="1" outlineLevel="2" x14ac:dyDescent="0.3">
      <c r="C13247" t="s">
        <v>5369</v>
      </c>
    </row>
    <row r="13248" spans="3:4" hidden="1" outlineLevel="2" x14ac:dyDescent="0.3">
      <c r="C13248" t="s">
        <v>5370</v>
      </c>
    </row>
    <row r="13249" spans="1:4" hidden="1" outlineLevel="2" x14ac:dyDescent="0.3">
      <c r="C13249" t="s">
        <v>5371</v>
      </c>
    </row>
    <row r="13250" spans="1:4" hidden="1" outlineLevel="2" x14ac:dyDescent="0.3">
      <c r="C13250" t="s">
        <v>5372</v>
      </c>
    </row>
    <row r="13251" spans="1:4" hidden="1" outlineLevel="2" x14ac:dyDescent="0.3">
      <c r="C13251" t="s">
        <v>5373</v>
      </c>
    </row>
    <row r="13257" spans="1:4" x14ac:dyDescent="0.3">
      <c r="A13257" t="s">
        <v>3833</v>
      </c>
    </row>
    <row r="13258" spans="1:4" outlineLevel="1" x14ac:dyDescent="0.3">
      <c r="B13258" t="s">
        <v>5374</v>
      </c>
    </row>
    <row r="13259" spans="1:4" hidden="1" outlineLevel="2" x14ac:dyDescent="0.3">
      <c r="C13259" t="s">
        <v>5375</v>
      </c>
    </row>
    <row r="13260" spans="1:4" hidden="1" outlineLevel="3" x14ac:dyDescent="0.3">
      <c r="D13260" t="s">
        <v>5376</v>
      </c>
    </row>
    <row r="13261" spans="1:4" hidden="1" outlineLevel="3" x14ac:dyDescent="0.3">
      <c r="D13261" t="s">
        <v>5377</v>
      </c>
    </row>
    <row r="13262" spans="1:4" hidden="1" outlineLevel="3" x14ac:dyDescent="0.3">
      <c r="D13262" t="s">
        <v>5378</v>
      </c>
    </row>
    <row r="13263" spans="1:4" hidden="1" outlineLevel="3" x14ac:dyDescent="0.3">
      <c r="D13263" t="s">
        <v>5379</v>
      </c>
    </row>
    <row r="13264" spans="1:4" hidden="1" outlineLevel="3" x14ac:dyDescent="0.3">
      <c r="D13264" t="s">
        <v>5380</v>
      </c>
    </row>
    <row r="13265" spans="2:4" hidden="1" outlineLevel="3" x14ac:dyDescent="0.3">
      <c r="D13265" t="s">
        <v>5381</v>
      </c>
    </row>
    <row r="13266" spans="2:4" hidden="1" outlineLevel="3" x14ac:dyDescent="0.3">
      <c r="D13266" t="s">
        <v>5382</v>
      </c>
    </row>
    <row r="13267" spans="2:4" hidden="1" outlineLevel="3" x14ac:dyDescent="0.3">
      <c r="D13267" t="s">
        <v>5383</v>
      </c>
    </row>
    <row r="13268" spans="2:4" hidden="1" outlineLevel="3" x14ac:dyDescent="0.3">
      <c r="D13268" t="s">
        <v>5384</v>
      </c>
    </row>
    <row r="13269" spans="2:4" hidden="1" outlineLevel="3" x14ac:dyDescent="0.3">
      <c r="D13269" t="s">
        <v>5385</v>
      </c>
    </row>
    <row r="13270" spans="2:4" hidden="1" outlineLevel="2" x14ac:dyDescent="0.3">
      <c r="C13270" t="s">
        <v>5386</v>
      </c>
    </row>
    <row r="13271" spans="2:4" hidden="1" outlineLevel="3" x14ac:dyDescent="0.3">
      <c r="D13271" t="s">
        <v>5387</v>
      </c>
    </row>
    <row r="13272" spans="2:4" hidden="1" outlineLevel="3" x14ac:dyDescent="0.3">
      <c r="D13272" t="s">
        <v>5388</v>
      </c>
    </row>
    <row r="13273" spans="2:4" hidden="1" outlineLevel="3" x14ac:dyDescent="0.3">
      <c r="D13273" t="s">
        <v>5389</v>
      </c>
    </row>
    <row r="13274" spans="2:4" hidden="1" outlineLevel="3" x14ac:dyDescent="0.3">
      <c r="D13274" t="s">
        <v>5390</v>
      </c>
    </row>
    <row r="13275" spans="2:4" hidden="1" outlineLevel="3" x14ac:dyDescent="0.3">
      <c r="D13275" t="s">
        <v>5391</v>
      </c>
    </row>
    <row r="13276" spans="2:4" outlineLevel="1" collapsed="1" x14ac:dyDescent="0.3">
      <c r="B13276" t="s">
        <v>5392</v>
      </c>
    </row>
    <row r="13277" spans="2:4" hidden="1" outlineLevel="2" x14ac:dyDescent="0.3">
      <c r="C13277" t="s">
        <v>5393</v>
      </c>
    </row>
    <row r="13278" spans="2:4" hidden="1" outlineLevel="2" x14ac:dyDescent="0.3">
      <c r="C13278" t="s">
        <v>5394</v>
      </c>
    </row>
    <row r="13279" spans="2:4" hidden="1" outlineLevel="2" x14ac:dyDescent="0.3">
      <c r="C13279" t="s">
        <v>5395</v>
      </c>
    </row>
    <row r="13280" spans="2:4" hidden="1" outlineLevel="2" x14ac:dyDescent="0.3">
      <c r="C13280" t="s">
        <v>5396</v>
      </c>
    </row>
    <row r="13281" spans="2:4" hidden="1" outlineLevel="2" x14ac:dyDescent="0.3">
      <c r="C13281" t="s">
        <v>5397</v>
      </c>
    </row>
    <row r="13282" spans="2:4" hidden="1" outlineLevel="2" x14ac:dyDescent="0.3">
      <c r="C13282" t="s">
        <v>5398</v>
      </c>
    </row>
    <row r="13283" spans="2:4" outlineLevel="1" collapsed="1" x14ac:dyDescent="0.3">
      <c r="B13283" t="s">
        <v>5399</v>
      </c>
    </row>
    <row r="13284" spans="2:4" hidden="1" outlineLevel="2" x14ac:dyDescent="0.3">
      <c r="C13284" t="s">
        <v>5400</v>
      </c>
    </row>
    <row r="13285" spans="2:4" hidden="1" outlineLevel="2" x14ac:dyDescent="0.3">
      <c r="C13285" t="s">
        <v>5401</v>
      </c>
    </row>
    <row r="13286" spans="2:4" hidden="1" outlineLevel="2" x14ac:dyDescent="0.3">
      <c r="C13286" t="s">
        <v>5402</v>
      </c>
    </row>
    <row r="13287" spans="2:4" outlineLevel="1" collapsed="1" x14ac:dyDescent="0.3">
      <c r="B13287" t="s">
        <v>5403</v>
      </c>
    </row>
    <row r="13288" spans="2:4" hidden="1" outlineLevel="2" x14ac:dyDescent="0.3">
      <c r="C13288" t="s">
        <v>5404</v>
      </c>
    </row>
    <row r="13289" spans="2:4" hidden="1" outlineLevel="2" x14ac:dyDescent="0.3">
      <c r="C13289" t="s">
        <v>5405</v>
      </c>
    </row>
    <row r="13290" spans="2:4" hidden="1" outlineLevel="2" x14ac:dyDescent="0.3">
      <c r="C13290" t="s">
        <v>5406</v>
      </c>
    </row>
    <row r="13291" spans="2:4" hidden="1" outlineLevel="2" x14ac:dyDescent="0.3">
      <c r="C13291" t="s">
        <v>5407</v>
      </c>
    </row>
    <row r="13292" spans="2:4" hidden="1" outlineLevel="2" x14ac:dyDescent="0.3">
      <c r="C13292" t="s">
        <v>5408</v>
      </c>
    </row>
    <row r="13293" spans="2:4" hidden="1" outlineLevel="2" x14ac:dyDescent="0.3">
      <c r="C13293" t="s">
        <v>5409</v>
      </c>
    </row>
    <row r="13294" spans="2:4" hidden="1" outlineLevel="2" x14ac:dyDescent="0.3">
      <c r="C13294" t="s">
        <v>5410</v>
      </c>
    </row>
    <row r="13295" spans="2:4" hidden="1" outlineLevel="3" x14ac:dyDescent="0.3">
      <c r="D13295" t="s">
        <v>5411</v>
      </c>
    </row>
    <row r="13296" spans="2:4" hidden="1" outlineLevel="3" x14ac:dyDescent="0.3">
      <c r="D13296" t="s">
        <v>5412</v>
      </c>
    </row>
    <row r="13297" spans="3:3" hidden="1" outlineLevel="2" x14ac:dyDescent="0.3">
      <c r="C13297" t="s">
        <v>5413</v>
      </c>
    </row>
    <row r="13298" spans="3:3" hidden="1" outlineLevel="2" x14ac:dyDescent="0.3">
      <c r="C13298" t="s">
        <v>5414</v>
      </c>
    </row>
    <row r="13299" spans="3:3" hidden="1" outlineLevel="2" x14ac:dyDescent="0.3">
      <c r="C13299" t="s">
        <v>5415</v>
      </c>
    </row>
    <row r="13300" spans="3:3" hidden="1" outlineLevel="2" x14ac:dyDescent="0.3">
      <c r="C13300" t="s">
        <v>5416</v>
      </c>
    </row>
    <row r="13301" spans="3:3" hidden="1" outlineLevel="2" x14ac:dyDescent="0.3">
      <c r="C13301" t="s">
        <v>5417</v>
      </c>
    </row>
    <row r="13302" spans="3:3" hidden="1" outlineLevel="2" x14ac:dyDescent="0.3">
      <c r="C13302" t="s">
        <v>5418</v>
      </c>
    </row>
    <row r="13303" spans="3:3" hidden="1" outlineLevel="2" x14ac:dyDescent="0.3">
      <c r="C13303" t="s">
        <v>5419</v>
      </c>
    </row>
    <row r="13304" spans="3:3" hidden="1" outlineLevel="2" x14ac:dyDescent="0.3">
      <c r="C13304" t="s">
        <v>5420</v>
      </c>
    </row>
    <row r="13305" spans="3:3" hidden="1" outlineLevel="2" x14ac:dyDescent="0.3">
      <c r="C13305" t="s">
        <v>5421</v>
      </c>
    </row>
    <row r="13306" spans="3:3" hidden="1" outlineLevel="2" x14ac:dyDescent="0.3">
      <c r="C13306" t="s">
        <v>5422</v>
      </c>
    </row>
    <row r="13307" spans="3:3" hidden="1" outlineLevel="2" x14ac:dyDescent="0.3">
      <c r="C13307" t="s">
        <v>5423</v>
      </c>
    </row>
    <row r="13308" spans="3:3" hidden="1" outlineLevel="2" x14ac:dyDescent="0.3">
      <c r="C13308" t="s">
        <v>5424</v>
      </c>
    </row>
    <row r="13309" spans="3:3" hidden="1" outlineLevel="2" x14ac:dyDescent="0.3">
      <c r="C13309" t="s">
        <v>5425</v>
      </c>
    </row>
    <row r="13310" spans="3:3" hidden="1" outlineLevel="2" x14ac:dyDescent="0.3">
      <c r="C13310" t="s">
        <v>5426</v>
      </c>
    </row>
    <row r="13311" spans="3:3" hidden="1" outlineLevel="2" x14ac:dyDescent="0.3">
      <c r="C13311" t="s">
        <v>5427</v>
      </c>
    </row>
    <row r="13312" spans="3:3" hidden="1" outlineLevel="2" x14ac:dyDescent="0.3">
      <c r="C13312" t="s">
        <v>5428</v>
      </c>
    </row>
    <row r="13313" spans="2:4" outlineLevel="1" collapsed="1" x14ac:dyDescent="0.3">
      <c r="B13313" t="s">
        <v>5429</v>
      </c>
    </row>
    <row r="13314" spans="2:4" outlineLevel="1" x14ac:dyDescent="0.3">
      <c r="B13314" t="s">
        <v>3900</v>
      </c>
    </row>
    <row r="13315" spans="2:4" hidden="1" outlineLevel="2" x14ac:dyDescent="0.3">
      <c r="C13315" t="s">
        <v>5430</v>
      </c>
    </row>
    <row r="13316" spans="2:4" hidden="1" outlineLevel="2" x14ac:dyDescent="0.3">
      <c r="C13316" t="s">
        <v>5431</v>
      </c>
    </row>
    <row r="13317" spans="2:4" hidden="1" outlineLevel="2" x14ac:dyDescent="0.3">
      <c r="C13317" t="s">
        <v>5432</v>
      </c>
    </row>
    <row r="13318" spans="2:4" outlineLevel="1" collapsed="1" x14ac:dyDescent="0.3">
      <c r="B13318" t="s">
        <v>5433</v>
      </c>
    </row>
    <row r="13319" spans="2:4" hidden="1" outlineLevel="2" x14ac:dyDescent="0.3">
      <c r="C13319" t="s">
        <v>5434</v>
      </c>
    </row>
    <row r="13320" spans="2:4" hidden="1" outlineLevel="2" x14ac:dyDescent="0.3">
      <c r="C13320" t="s">
        <v>5435</v>
      </c>
    </row>
    <row r="13321" spans="2:4" hidden="1" outlineLevel="2" x14ac:dyDescent="0.3">
      <c r="C13321" t="s">
        <v>5436</v>
      </c>
    </row>
    <row r="13322" spans="2:4" outlineLevel="1" collapsed="1" x14ac:dyDescent="0.3">
      <c r="B13322" t="s">
        <v>5437</v>
      </c>
    </row>
    <row r="13323" spans="2:4" hidden="1" outlineLevel="2" x14ac:dyDescent="0.3">
      <c r="C13323" t="s">
        <v>5438</v>
      </c>
    </row>
    <row r="13324" spans="2:4" hidden="1" outlineLevel="3" x14ac:dyDescent="0.3">
      <c r="D13324" t="s">
        <v>5439</v>
      </c>
    </row>
    <row r="13325" spans="2:4" hidden="1" outlineLevel="3" x14ac:dyDescent="0.3">
      <c r="D13325" t="s">
        <v>5440</v>
      </c>
    </row>
    <row r="13326" spans="2:4" hidden="1" outlineLevel="3" x14ac:dyDescent="0.3">
      <c r="D13326" t="s">
        <v>5441</v>
      </c>
    </row>
    <row r="13327" spans="2:4" hidden="1" outlineLevel="3" x14ac:dyDescent="0.3">
      <c r="D13327" t="s">
        <v>5442</v>
      </c>
    </row>
    <row r="13328" spans="2:4" hidden="1" outlineLevel="3" x14ac:dyDescent="0.3">
      <c r="D13328" t="s">
        <v>5443</v>
      </c>
    </row>
    <row r="13329" spans="1:4" hidden="1" outlineLevel="3" x14ac:dyDescent="0.3">
      <c r="D13329" t="s">
        <v>5444</v>
      </c>
    </row>
    <row r="13330" spans="1:4" hidden="1" outlineLevel="2" x14ac:dyDescent="0.3">
      <c r="C13330" t="s">
        <v>5445</v>
      </c>
    </row>
    <row r="13331" spans="1:4" outlineLevel="1" collapsed="1" x14ac:dyDescent="0.3">
      <c r="B13331" t="s">
        <v>5446</v>
      </c>
    </row>
    <row r="13332" spans="1:4" x14ac:dyDescent="0.3">
      <c r="A13332" t="s">
        <v>3930</v>
      </c>
    </row>
    <row r="13333" spans="1:4" outlineLevel="1" x14ac:dyDescent="0.3">
      <c r="B13333" t="s">
        <v>5447</v>
      </c>
    </row>
    <row r="13334" spans="1:4" hidden="1" outlineLevel="2" x14ac:dyDescent="0.3">
      <c r="C13334" t="s">
        <v>5448</v>
      </c>
    </row>
    <row r="13335" spans="1:4" hidden="1" outlineLevel="2" x14ac:dyDescent="0.3">
      <c r="C13335" t="s">
        <v>5449</v>
      </c>
    </row>
    <row r="13336" spans="1:4" hidden="1" outlineLevel="2" x14ac:dyDescent="0.3">
      <c r="C13336" t="s">
        <v>5450</v>
      </c>
    </row>
    <row r="13337" spans="1:4" hidden="1" outlineLevel="2" x14ac:dyDescent="0.3">
      <c r="C13337" t="s">
        <v>5451</v>
      </c>
    </row>
    <row r="13338" spans="1:4" hidden="1" outlineLevel="2" x14ac:dyDescent="0.3">
      <c r="C13338" t="s">
        <v>5452</v>
      </c>
    </row>
    <row r="13339" spans="1:4" hidden="1" outlineLevel="2" x14ac:dyDescent="0.3">
      <c r="C13339" t="s">
        <v>5453</v>
      </c>
    </row>
    <row r="13340" spans="1:4" outlineLevel="1" collapsed="1" x14ac:dyDescent="0.3">
      <c r="B13340" t="s">
        <v>5454</v>
      </c>
    </row>
    <row r="13341" spans="1:4" hidden="1" outlineLevel="2" x14ac:dyDescent="0.3">
      <c r="C13341" t="s">
        <v>5455</v>
      </c>
    </row>
    <row r="13342" spans="1:4" hidden="1" outlineLevel="2" x14ac:dyDescent="0.3">
      <c r="C13342" t="s">
        <v>5456</v>
      </c>
    </row>
    <row r="13343" spans="1:4" hidden="1" outlineLevel="2" x14ac:dyDescent="0.3">
      <c r="C13343" t="s">
        <v>5457</v>
      </c>
    </row>
    <row r="13344" spans="1:4" hidden="1" outlineLevel="2" x14ac:dyDescent="0.3">
      <c r="C13344" t="s">
        <v>5458</v>
      </c>
    </row>
    <row r="13345" spans="3:3" hidden="1" outlineLevel="2" x14ac:dyDescent="0.3">
      <c r="C13345" t="s">
        <v>5459</v>
      </c>
    </row>
    <row r="13346" spans="3:3" hidden="1" outlineLevel="2" x14ac:dyDescent="0.3">
      <c r="C13346" t="s">
        <v>5460</v>
      </c>
    </row>
    <row r="13347" spans="3:3" hidden="1" outlineLevel="2" x14ac:dyDescent="0.3">
      <c r="C13347" t="s">
        <v>5461</v>
      </c>
    </row>
    <row r="13348" spans="3:3" hidden="1" outlineLevel="2" x14ac:dyDescent="0.3">
      <c r="C13348" t="s">
        <v>5462</v>
      </c>
    </row>
    <row r="13349" spans="3:3" hidden="1" outlineLevel="2" x14ac:dyDescent="0.3">
      <c r="C13349" t="s">
        <v>5463</v>
      </c>
    </row>
    <row r="13350" spans="3:3" hidden="1" outlineLevel="2" x14ac:dyDescent="0.3">
      <c r="C13350" t="s">
        <v>5464</v>
      </c>
    </row>
    <row r="13351" spans="3:3" hidden="1" outlineLevel="2" x14ac:dyDescent="0.3">
      <c r="C13351" t="s">
        <v>5465</v>
      </c>
    </row>
    <row r="13352" spans="3:3" hidden="1" outlineLevel="2" x14ac:dyDescent="0.3">
      <c r="C13352" t="s">
        <v>5466</v>
      </c>
    </row>
    <row r="13353" spans="3:3" hidden="1" outlineLevel="2" x14ac:dyDescent="0.3">
      <c r="C13353" t="s">
        <v>5467</v>
      </c>
    </row>
    <row r="13354" spans="3:3" hidden="1" outlineLevel="2" x14ac:dyDescent="0.3">
      <c r="C13354" t="s">
        <v>5468</v>
      </c>
    </row>
    <row r="13355" spans="3:3" hidden="1" outlineLevel="2" x14ac:dyDescent="0.3">
      <c r="C13355" t="s">
        <v>5469</v>
      </c>
    </row>
    <row r="13356" spans="3:3" hidden="1" outlineLevel="2" x14ac:dyDescent="0.3">
      <c r="C13356" t="s">
        <v>5470</v>
      </c>
    </row>
    <row r="13357" spans="3:3" hidden="1" outlineLevel="2" x14ac:dyDescent="0.3">
      <c r="C13357" t="s">
        <v>5471</v>
      </c>
    </row>
    <row r="13358" spans="3:3" hidden="1" outlineLevel="2" x14ac:dyDescent="0.3">
      <c r="C13358" t="s">
        <v>5472</v>
      </c>
    </row>
    <row r="13359" spans="3:3" hidden="1" outlineLevel="2" x14ac:dyDescent="0.3">
      <c r="C13359" t="s">
        <v>5473</v>
      </c>
    </row>
    <row r="13360" spans="3:3" hidden="1" outlineLevel="2" x14ac:dyDescent="0.3">
      <c r="C13360" t="s">
        <v>5474</v>
      </c>
    </row>
    <row r="13361" spans="2:3" hidden="1" outlineLevel="2" x14ac:dyDescent="0.3">
      <c r="C13361" t="s">
        <v>5475</v>
      </c>
    </row>
    <row r="13362" spans="2:3" hidden="1" outlineLevel="2" x14ac:dyDescent="0.3">
      <c r="C13362" t="s">
        <v>5476</v>
      </c>
    </row>
    <row r="13363" spans="2:3" hidden="1" outlineLevel="2" x14ac:dyDescent="0.3">
      <c r="C13363" t="s">
        <v>5477</v>
      </c>
    </row>
    <row r="13364" spans="2:3" hidden="1" outlineLevel="2" x14ac:dyDescent="0.3">
      <c r="C13364" t="s">
        <v>5478</v>
      </c>
    </row>
    <row r="13365" spans="2:3" hidden="1" outlineLevel="2" x14ac:dyDescent="0.3">
      <c r="C13365" t="s">
        <v>5479</v>
      </c>
    </row>
    <row r="13366" spans="2:3" hidden="1" outlineLevel="2" x14ac:dyDescent="0.3">
      <c r="C13366" t="s">
        <v>5480</v>
      </c>
    </row>
    <row r="13367" spans="2:3" hidden="1" outlineLevel="2" x14ac:dyDescent="0.3">
      <c r="C13367" t="s">
        <v>5481</v>
      </c>
    </row>
    <row r="13368" spans="2:3" outlineLevel="1" collapsed="1" x14ac:dyDescent="0.3">
      <c r="B13368" t="s">
        <v>5482</v>
      </c>
    </row>
    <row r="13369" spans="2:3" outlineLevel="1" x14ac:dyDescent="0.3">
      <c r="B13369" t="s">
        <v>4033</v>
      </c>
    </row>
    <row r="13370" spans="2:3" outlineLevel="1" x14ac:dyDescent="0.3">
      <c r="B13370" t="s">
        <v>4034</v>
      </c>
    </row>
    <row r="13371" spans="2:3" hidden="1" outlineLevel="2" x14ac:dyDescent="0.3">
      <c r="C13371" t="s">
        <v>5483</v>
      </c>
    </row>
    <row r="13372" spans="2:3" hidden="1" outlineLevel="2" x14ac:dyDescent="0.3">
      <c r="C13372" t="s">
        <v>5484</v>
      </c>
    </row>
    <row r="13373" spans="2:3" hidden="1" outlineLevel="2" x14ac:dyDescent="0.3">
      <c r="C13373" t="s">
        <v>5485</v>
      </c>
    </row>
    <row r="13374" spans="2:3" hidden="1" outlineLevel="2" x14ac:dyDescent="0.3">
      <c r="C13374" t="s">
        <v>5486</v>
      </c>
    </row>
    <row r="13375" spans="2:3" hidden="1" outlineLevel="2" x14ac:dyDescent="0.3">
      <c r="C13375" t="s">
        <v>5487</v>
      </c>
    </row>
    <row r="13376" spans="2:3" hidden="1" outlineLevel="2" x14ac:dyDescent="0.3">
      <c r="C13376" t="s">
        <v>5488</v>
      </c>
    </row>
    <row r="13377" spans="3:4" hidden="1" outlineLevel="2" x14ac:dyDescent="0.3">
      <c r="C13377" t="s">
        <v>5489</v>
      </c>
    </row>
    <row r="13378" spans="3:4" hidden="1" outlineLevel="3" x14ac:dyDescent="0.3">
      <c r="D13378" t="s">
        <v>5490</v>
      </c>
    </row>
    <row r="13379" spans="3:4" hidden="1" outlineLevel="3" x14ac:dyDescent="0.3">
      <c r="D13379" t="s">
        <v>5491</v>
      </c>
    </row>
    <row r="13380" spans="3:4" hidden="1" outlineLevel="3" x14ac:dyDescent="0.3">
      <c r="D13380" t="s">
        <v>5492</v>
      </c>
    </row>
    <row r="13381" spans="3:4" hidden="1" outlineLevel="2" x14ac:dyDescent="0.3">
      <c r="C13381" t="s">
        <v>5493</v>
      </c>
    </row>
    <row r="13382" spans="3:4" hidden="1" outlineLevel="2" x14ac:dyDescent="0.3">
      <c r="C13382" t="s">
        <v>5494</v>
      </c>
    </row>
    <row r="13383" spans="3:4" hidden="1" outlineLevel="2" x14ac:dyDescent="0.3">
      <c r="C13383" t="s">
        <v>5495</v>
      </c>
    </row>
    <row r="13384" spans="3:4" hidden="1" outlineLevel="2" x14ac:dyDescent="0.3">
      <c r="C13384" t="s">
        <v>5496</v>
      </c>
    </row>
    <row r="13385" spans="3:4" hidden="1" outlineLevel="2" x14ac:dyDescent="0.3">
      <c r="C13385" t="s">
        <v>5497</v>
      </c>
    </row>
    <row r="13386" spans="3:4" hidden="1" outlineLevel="2" x14ac:dyDescent="0.3">
      <c r="C13386" t="s">
        <v>5498</v>
      </c>
    </row>
    <row r="13387" spans="3:4" hidden="1" outlineLevel="2" x14ac:dyDescent="0.3">
      <c r="C13387" t="s">
        <v>5499</v>
      </c>
    </row>
    <row r="13388" spans="3:4" hidden="1" outlineLevel="2" x14ac:dyDescent="0.3">
      <c r="C13388" t="s">
        <v>5500</v>
      </c>
    </row>
    <row r="13389" spans="3:4" hidden="1" outlineLevel="2" x14ac:dyDescent="0.3">
      <c r="C13389" t="s">
        <v>5501</v>
      </c>
    </row>
    <row r="13390" spans="3:4" hidden="1" outlineLevel="2" x14ac:dyDescent="0.3">
      <c r="C13390" t="s">
        <v>5502</v>
      </c>
    </row>
    <row r="13391" spans="3:4" hidden="1" outlineLevel="2" x14ac:dyDescent="0.3">
      <c r="C13391" t="s">
        <v>5503</v>
      </c>
    </row>
    <row r="13392" spans="3:4" hidden="1" outlineLevel="2" x14ac:dyDescent="0.3">
      <c r="C13392" t="s">
        <v>5504</v>
      </c>
    </row>
    <row r="13393" spans="2:4" hidden="1" outlineLevel="2" x14ac:dyDescent="0.3">
      <c r="C13393" t="s">
        <v>5505</v>
      </c>
    </row>
    <row r="13394" spans="2:4" hidden="1" outlineLevel="2" x14ac:dyDescent="0.3">
      <c r="C13394" t="s">
        <v>5506</v>
      </c>
    </row>
    <row r="13395" spans="2:4" hidden="1" outlineLevel="2" x14ac:dyDescent="0.3">
      <c r="C13395" t="s">
        <v>5507</v>
      </c>
    </row>
    <row r="13396" spans="2:4" hidden="1" outlineLevel="2" x14ac:dyDescent="0.3">
      <c r="C13396" t="s">
        <v>5508</v>
      </c>
    </row>
    <row r="13397" spans="2:4" hidden="1" outlineLevel="2" x14ac:dyDescent="0.3">
      <c r="C13397" t="s">
        <v>5509</v>
      </c>
    </row>
    <row r="13398" spans="2:4" hidden="1" outlineLevel="2" x14ac:dyDescent="0.3">
      <c r="C13398" t="s">
        <v>5510</v>
      </c>
    </row>
    <row r="13399" spans="2:4" outlineLevel="1" collapsed="1" x14ac:dyDescent="0.3">
      <c r="B13399" t="s">
        <v>4063</v>
      </c>
    </row>
    <row r="13400" spans="2:4" hidden="1" outlineLevel="2" x14ac:dyDescent="0.3">
      <c r="C13400" t="s">
        <v>5511</v>
      </c>
    </row>
    <row r="13401" spans="2:4" hidden="1" outlineLevel="2" x14ac:dyDescent="0.3">
      <c r="C13401" t="s">
        <v>5512</v>
      </c>
    </row>
    <row r="13402" spans="2:4" outlineLevel="1" collapsed="1" x14ac:dyDescent="0.3">
      <c r="B13402" t="s">
        <v>5513</v>
      </c>
    </row>
    <row r="13403" spans="2:4" hidden="1" outlineLevel="2" x14ac:dyDescent="0.3">
      <c r="C13403" t="s">
        <v>5514</v>
      </c>
    </row>
    <row r="13404" spans="2:4" hidden="1" outlineLevel="2" x14ac:dyDescent="0.3">
      <c r="C13404" t="s">
        <v>5515</v>
      </c>
    </row>
    <row r="13405" spans="2:4" outlineLevel="1" collapsed="1" x14ac:dyDescent="0.3">
      <c r="B13405" t="s">
        <v>4075</v>
      </c>
    </row>
    <row r="13406" spans="2:4" hidden="1" outlineLevel="2" x14ac:dyDescent="0.3">
      <c r="C13406" t="s">
        <v>5516</v>
      </c>
    </row>
    <row r="13407" spans="2:4" hidden="1" outlineLevel="3" x14ac:dyDescent="0.3">
      <c r="D13407" t="s">
        <v>5517</v>
      </c>
    </row>
    <row r="13408" spans="2:4" hidden="1" outlineLevel="3" x14ac:dyDescent="0.3">
      <c r="D13408" t="s">
        <v>5518</v>
      </c>
    </row>
    <row r="13409" spans="1:4" hidden="1" outlineLevel="3" x14ac:dyDescent="0.3">
      <c r="D13409" t="s">
        <v>5519</v>
      </c>
    </row>
    <row r="13410" spans="1:4" hidden="1" outlineLevel="3" x14ac:dyDescent="0.3">
      <c r="D13410" t="s">
        <v>5520</v>
      </c>
    </row>
    <row r="13411" spans="1:4" hidden="1" outlineLevel="2" x14ac:dyDescent="0.3">
      <c r="C13411" t="s">
        <v>5521</v>
      </c>
    </row>
    <row r="13412" spans="1:4" outlineLevel="1" collapsed="1" x14ac:dyDescent="0.3">
      <c r="B13412" t="s">
        <v>4082</v>
      </c>
    </row>
    <row r="13413" spans="1:4" hidden="1" outlineLevel="2" x14ac:dyDescent="0.3">
      <c r="C13413" t="s">
        <v>5522</v>
      </c>
    </row>
    <row r="13414" spans="1:4" hidden="1" outlineLevel="2" x14ac:dyDescent="0.3">
      <c r="C13414" t="s">
        <v>4084</v>
      </c>
    </row>
    <row r="13415" spans="1:4" hidden="1" outlineLevel="2" x14ac:dyDescent="0.3">
      <c r="C13415" t="s">
        <v>5523</v>
      </c>
    </row>
    <row r="13416" spans="1:4" hidden="1" outlineLevel="2" x14ac:dyDescent="0.3">
      <c r="C13416" t="s">
        <v>5524</v>
      </c>
    </row>
    <row r="13417" spans="1:4" x14ac:dyDescent="0.3">
      <c r="A13417" t="s">
        <v>4091</v>
      </c>
    </row>
    <row r="13418" spans="1:4" x14ac:dyDescent="0.3">
      <c r="A13418" t="s">
        <v>1496</v>
      </c>
    </row>
    <row r="13419" spans="1:4" x14ac:dyDescent="0.3">
      <c r="A13419" t="s">
        <v>3148</v>
      </c>
    </row>
    <row r="13420" spans="1:4" outlineLevel="1" x14ac:dyDescent="0.3">
      <c r="B13420" t="s">
        <v>3149</v>
      </c>
    </row>
    <row r="13421" spans="1:4" outlineLevel="1" x14ac:dyDescent="0.3">
      <c r="B13421" t="s">
        <v>3150</v>
      </c>
    </row>
    <row r="13422" spans="1:4" outlineLevel="1" x14ac:dyDescent="0.3">
      <c r="B13422" t="s">
        <v>3151</v>
      </c>
    </row>
    <row r="13423" spans="1:4" hidden="1" outlineLevel="2" x14ac:dyDescent="0.3">
      <c r="C13423" t="s">
        <v>3152</v>
      </c>
    </row>
    <row r="13424" spans="1:4" hidden="1" outlineLevel="2" x14ac:dyDescent="0.3">
      <c r="C13424" t="s">
        <v>3153</v>
      </c>
    </row>
    <row r="13425" spans="2:3" hidden="1" outlineLevel="2" x14ac:dyDescent="0.3">
      <c r="C13425" t="s">
        <v>3154</v>
      </c>
    </row>
    <row r="13426" spans="2:3" outlineLevel="1" collapsed="1" x14ac:dyDescent="0.3">
      <c r="B13426" t="s">
        <v>3155</v>
      </c>
    </row>
    <row r="13427" spans="2:3" outlineLevel="1" x14ac:dyDescent="0.3">
      <c r="B13427" t="s">
        <v>3156</v>
      </c>
    </row>
    <row r="13428" spans="2:3" outlineLevel="1" x14ac:dyDescent="0.3">
      <c r="B13428" t="s">
        <v>3157</v>
      </c>
    </row>
    <row r="13429" spans="2:3" outlineLevel="1" x14ac:dyDescent="0.3">
      <c r="B13429" t="s">
        <v>3158</v>
      </c>
    </row>
    <row r="13430" spans="2:3" outlineLevel="1" x14ac:dyDescent="0.3">
      <c r="B13430" t="s">
        <v>3159</v>
      </c>
    </row>
    <row r="13431" spans="2:3" outlineLevel="1" x14ac:dyDescent="0.3">
      <c r="B13431" t="s">
        <v>3160</v>
      </c>
    </row>
    <row r="13432" spans="2:3" hidden="1" outlineLevel="2" x14ac:dyDescent="0.3">
      <c r="C13432" t="s">
        <v>3161</v>
      </c>
    </row>
    <row r="13433" spans="2:3" hidden="1" outlineLevel="2" x14ac:dyDescent="0.3">
      <c r="C13433" t="s">
        <v>3162</v>
      </c>
    </row>
    <row r="13434" spans="2:3" hidden="1" outlineLevel="2" x14ac:dyDescent="0.3">
      <c r="C13434" t="s">
        <v>3163</v>
      </c>
    </row>
    <row r="13435" spans="2:3" outlineLevel="1" collapsed="1" x14ac:dyDescent="0.3">
      <c r="B13435" t="s">
        <v>3164</v>
      </c>
    </row>
    <row r="13436" spans="2:3" hidden="1" outlineLevel="2" x14ac:dyDescent="0.3">
      <c r="C13436" t="s">
        <v>3165</v>
      </c>
    </row>
    <row r="13437" spans="2:3" hidden="1" outlineLevel="2" x14ac:dyDescent="0.3">
      <c r="C13437" t="s">
        <v>3166</v>
      </c>
    </row>
    <row r="13438" spans="2:3" hidden="1" outlineLevel="2" x14ac:dyDescent="0.3">
      <c r="C13438" t="s">
        <v>3167</v>
      </c>
    </row>
    <row r="13439" spans="2:3" outlineLevel="1" collapsed="1" x14ac:dyDescent="0.3">
      <c r="B13439" t="s">
        <v>3168</v>
      </c>
    </row>
    <row r="13440" spans="2:3" hidden="1" outlineLevel="2" x14ac:dyDescent="0.3">
      <c r="C13440" t="s">
        <v>3169</v>
      </c>
    </row>
    <row r="13441" spans="2:3" hidden="1" outlineLevel="2" x14ac:dyDescent="0.3">
      <c r="C13441" t="s">
        <v>3170</v>
      </c>
    </row>
    <row r="13442" spans="2:3" hidden="1" outlineLevel="2" x14ac:dyDescent="0.3">
      <c r="C13442" t="s">
        <v>3171</v>
      </c>
    </row>
    <row r="13443" spans="2:3" hidden="1" outlineLevel="2" x14ac:dyDescent="0.3">
      <c r="C13443" t="s">
        <v>3172</v>
      </c>
    </row>
    <row r="13444" spans="2:3" outlineLevel="1" collapsed="1" x14ac:dyDescent="0.3">
      <c r="B13444" t="s">
        <v>4094</v>
      </c>
    </row>
    <row r="13445" spans="2:3" hidden="1" outlineLevel="2" x14ac:dyDescent="0.3">
      <c r="C13445" t="s">
        <v>3174</v>
      </c>
    </row>
    <row r="13446" spans="2:3" hidden="1" outlineLevel="2" x14ac:dyDescent="0.3">
      <c r="C13446" t="s">
        <v>3175</v>
      </c>
    </row>
    <row r="13447" spans="2:3" outlineLevel="1" collapsed="1" x14ac:dyDescent="0.3">
      <c r="B13447" t="s">
        <v>3176</v>
      </c>
    </row>
    <row r="13448" spans="2:3" outlineLevel="1" x14ac:dyDescent="0.3">
      <c r="B13448" t="s">
        <v>3177</v>
      </c>
    </row>
    <row r="13449" spans="2:3" hidden="1" outlineLevel="2" x14ac:dyDescent="0.3">
      <c r="C13449" t="s">
        <v>3178</v>
      </c>
    </row>
    <row r="13450" spans="2:3" hidden="1" outlineLevel="2" x14ac:dyDescent="0.3">
      <c r="C13450" t="s">
        <v>3179</v>
      </c>
    </row>
    <row r="13451" spans="2:3" hidden="1" outlineLevel="2" x14ac:dyDescent="0.3">
      <c r="C13451" t="s">
        <v>3180</v>
      </c>
    </row>
    <row r="13452" spans="2:3" hidden="1" outlineLevel="2" x14ac:dyDescent="0.3">
      <c r="C13452" t="s">
        <v>3181</v>
      </c>
    </row>
    <row r="13453" spans="2:3" outlineLevel="1" collapsed="1" x14ac:dyDescent="0.3">
      <c r="B13453" t="s">
        <v>3182</v>
      </c>
    </row>
    <row r="13454" spans="2:3" hidden="1" outlineLevel="2" x14ac:dyDescent="0.3">
      <c r="C13454" t="s">
        <v>3183</v>
      </c>
    </row>
    <row r="13455" spans="2:3" hidden="1" outlineLevel="2" x14ac:dyDescent="0.3">
      <c r="C13455" t="s">
        <v>3184</v>
      </c>
    </row>
    <row r="13456" spans="2:3" outlineLevel="1" collapsed="1" x14ac:dyDescent="0.3">
      <c r="B13456" t="s">
        <v>3185</v>
      </c>
    </row>
    <row r="13457" spans="1:3" outlineLevel="1" x14ac:dyDescent="0.3">
      <c r="B13457" t="s">
        <v>3186</v>
      </c>
    </row>
    <row r="13458" spans="1:3" outlineLevel="1" x14ac:dyDescent="0.3">
      <c r="B13458" t="s">
        <v>3187</v>
      </c>
    </row>
    <row r="13459" spans="1:3" outlineLevel="1" x14ac:dyDescent="0.3">
      <c r="B13459" t="s">
        <v>3188</v>
      </c>
    </row>
    <row r="13460" spans="1:3" outlineLevel="1" x14ac:dyDescent="0.3">
      <c r="B13460" t="s">
        <v>3189</v>
      </c>
    </row>
    <row r="13461" spans="1:3" outlineLevel="1" x14ac:dyDescent="0.3">
      <c r="B13461" t="s">
        <v>3190</v>
      </c>
    </row>
    <row r="13462" spans="1:3" x14ac:dyDescent="0.3">
      <c r="A13462" t="s">
        <v>3191</v>
      </c>
    </row>
    <row r="13463" spans="1:3" outlineLevel="1" x14ac:dyDescent="0.3">
      <c r="B13463" t="s">
        <v>4095</v>
      </c>
    </row>
    <row r="13464" spans="1:3" outlineLevel="1" x14ac:dyDescent="0.3">
      <c r="B13464" t="s">
        <v>4096</v>
      </c>
    </row>
    <row r="13465" spans="1:3" hidden="1" outlineLevel="2" x14ac:dyDescent="0.3">
      <c r="C13465" t="s">
        <v>3194</v>
      </c>
    </row>
    <row r="13466" spans="1:3" hidden="1" outlineLevel="2" x14ac:dyDescent="0.3">
      <c r="C13466" t="s">
        <v>3195</v>
      </c>
    </row>
    <row r="13467" spans="1:3" hidden="1" outlineLevel="2" x14ac:dyDescent="0.3">
      <c r="C13467" t="s">
        <v>3196</v>
      </c>
    </row>
    <row r="13468" spans="1:3" outlineLevel="1" collapsed="1" x14ac:dyDescent="0.3">
      <c r="B13468" t="s">
        <v>3197</v>
      </c>
    </row>
    <row r="13469" spans="1:3" outlineLevel="1" x14ac:dyDescent="0.3">
      <c r="B13469" t="s">
        <v>3198</v>
      </c>
    </row>
    <row r="13470" spans="1:3" outlineLevel="1" x14ac:dyDescent="0.3">
      <c r="B13470" t="s">
        <v>3199</v>
      </c>
    </row>
    <row r="13471" spans="1:3" outlineLevel="1" x14ac:dyDescent="0.3">
      <c r="B13471" t="s">
        <v>3200</v>
      </c>
    </row>
    <row r="13472" spans="1:3" outlineLevel="1" x14ac:dyDescent="0.3">
      <c r="B13472" t="s">
        <v>3201</v>
      </c>
    </row>
    <row r="13473" spans="2:3" hidden="1" outlineLevel="2" x14ac:dyDescent="0.3">
      <c r="C13473" t="s">
        <v>3202</v>
      </c>
    </row>
    <row r="13474" spans="2:3" hidden="1" outlineLevel="2" x14ac:dyDescent="0.3">
      <c r="C13474" t="s">
        <v>3203</v>
      </c>
    </row>
    <row r="13475" spans="2:3" hidden="1" outlineLevel="2" x14ac:dyDescent="0.3">
      <c r="C13475" t="s">
        <v>3204</v>
      </c>
    </row>
    <row r="13476" spans="2:3" outlineLevel="1" collapsed="1" x14ac:dyDescent="0.3">
      <c r="B13476" t="s">
        <v>3205</v>
      </c>
    </row>
    <row r="13477" spans="2:3" hidden="1" outlineLevel="2" x14ac:dyDescent="0.3">
      <c r="C13477" t="s">
        <v>3206</v>
      </c>
    </row>
    <row r="13478" spans="2:3" hidden="1" outlineLevel="2" x14ac:dyDescent="0.3">
      <c r="C13478" t="s">
        <v>3207</v>
      </c>
    </row>
    <row r="13479" spans="2:3" hidden="1" outlineLevel="2" x14ac:dyDescent="0.3">
      <c r="C13479" t="s">
        <v>3208</v>
      </c>
    </row>
    <row r="13480" spans="2:3" outlineLevel="1" collapsed="1" x14ac:dyDescent="0.3">
      <c r="B13480" t="s">
        <v>3209</v>
      </c>
    </row>
    <row r="13481" spans="2:3" hidden="1" outlineLevel="2" x14ac:dyDescent="0.3">
      <c r="C13481" t="s">
        <v>3210</v>
      </c>
    </row>
    <row r="13482" spans="2:3" hidden="1" outlineLevel="2" x14ac:dyDescent="0.3">
      <c r="C13482" t="s">
        <v>3211</v>
      </c>
    </row>
    <row r="13483" spans="2:3" hidden="1" outlineLevel="2" x14ac:dyDescent="0.3">
      <c r="C13483" t="s">
        <v>3212</v>
      </c>
    </row>
    <row r="13484" spans="2:3" hidden="1" outlineLevel="2" x14ac:dyDescent="0.3">
      <c r="C13484" t="s">
        <v>3213</v>
      </c>
    </row>
    <row r="13485" spans="2:3" outlineLevel="1" collapsed="1" x14ac:dyDescent="0.3">
      <c r="B13485" t="s">
        <v>3214</v>
      </c>
    </row>
    <row r="13486" spans="2:3" hidden="1" outlineLevel="2" x14ac:dyDescent="0.3">
      <c r="C13486" t="s">
        <v>3215</v>
      </c>
    </row>
    <row r="13487" spans="2:3" hidden="1" outlineLevel="2" x14ac:dyDescent="0.3">
      <c r="C13487" t="s">
        <v>3216</v>
      </c>
    </row>
    <row r="13488" spans="2:3" outlineLevel="1" collapsed="1" x14ac:dyDescent="0.3">
      <c r="B13488" t="s">
        <v>3217</v>
      </c>
    </row>
    <row r="13489" spans="1:3" outlineLevel="1" x14ac:dyDescent="0.3">
      <c r="B13489" t="s">
        <v>3218</v>
      </c>
    </row>
    <row r="13490" spans="1:3" hidden="1" outlineLevel="2" x14ac:dyDescent="0.3">
      <c r="C13490" t="s">
        <v>3219</v>
      </c>
    </row>
    <row r="13491" spans="1:3" hidden="1" outlineLevel="2" x14ac:dyDescent="0.3">
      <c r="C13491" t="s">
        <v>3220</v>
      </c>
    </row>
    <row r="13492" spans="1:3" hidden="1" outlineLevel="2" x14ac:dyDescent="0.3">
      <c r="C13492" t="s">
        <v>3221</v>
      </c>
    </row>
    <row r="13493" spans="1:3" hidden="1" outlineLevel="2" x14ac:dyDescent="0.3">
      <c r="C13493" t="s">
        <v>3222</v>
      </c>
    </row>
    <row r="13494" spans="1:3" outlineLevel="1" collapsed="1" x14ac:dyDescent="0.3">
      <c r="B13494" t="s">
        <v>3223</v>
      </c>
    </row>
    <row r="13495" spans="1:3" hidden="1" outlineLevel="2" x14ac:dyDescent="0.3">
      <c r="C13495" t="s">
        <v>3224</v>
      </c>
    </row>
    <row r="13496" spans="1:3" hidden="1" outlineLevel="2" x14ac:dyDescent="0.3">
      <c r="C13496" t="s">
        <v>3225</v>
      </c>
    </row>
    <row r="13497" spans="1:3" hidden="1" outlineLevel="2" x14ac:dyDescent="0.3">
      <c r="C13497" t="s">
        <v>3226</v>
      </c>
    </row>
    <row r="13498" spans="1:3" outlineLevel="1" collapsed="1" x14ac:dyDescent="0.3">
      <c r="B13498" t="s">
        <v>3227</v>
      </c>
    </row>
    <row r="13499" spans="1:3" outlineLevel="1" x14ac:dyDescent="0.3">
      <c r="B13499" t="s">
        <v>3228</v>
      </c>
    </row>
    <row r="13500" spans="1:3" outlineLevel="1" x14ac:dyDescent="0.3">
      <c r="B13500" t="s">
        <v>3229</v>
      </c>
    </row>
    <row r="13501" spans="1:3" outlineLevel="1" x14ac:dyDescent="0.3">
      <c r="B13501" t="s">
        <v>3230</v>
      </c>
    </row>
    <row r="13502" spans="1:3" outlineLevel="1" x14ac:dyDescent="0.3">
      <c r="B13502" t="s">
        <v>3231</v>
      </c>
    </row>
    <row r="13503" spans="1:3" x14ac:dyDescent="0.3">
      <c r="A13503" t="s">
        <v>1697</v>
      </c>
    </row>
    <row r="13504" spans="1:3" x14ac:dyDescent="0.3">
      <c r="A13504" t="s">
        <v>1698</v>
      </c>
    </row>
    <row r="13505" spans="1:2" x14ac:dyDescent="0.3">
      <c r="A13505" t="s">
        <v>1699</v>
      </c>
    </row>
    <row r="13506" spans="1:2" x14ac:dyDescent="0.3">
      <c r="A13506" t="s">
        <v>1700</v>
      </c>
    </row>
    <row r="13507" spans="1:2" x14ac:dyDescent="0.3">
      <c r="A13507" t="s">
        <v>1701</v>
      </c>
    </row>
    <row r="13508" spans="1:2" x14ac:dyDescent="0.3">
      <c r="A13508" t="s">
        <v>1702</v>
      </c>
    </row>
    <row r="13509" spans="1:2" x14ac:dyDescent="0.3">
      <c r="A13509" t="s">
        <v>1703</v>
      </c>
    </row>
    <row r="13510" spans="1:2" outlineLevel="1" x14ac:dyDescent="0.3">
      <c r="B13510" t="s">
        <v>1704</v>
      </c>
    </row>
    <row r="13511" spans="1:2" outlineLevel="1" x14ac:dyDescent="0.3">
      <c r="B13511" t="s">
        <v>1705</v>
      </c>
    </row>
    <row r="13512" spans="1:2" outlineLevel="1" x14ac:dyDescent="0.3">
      <c r="B13512" t="s">
        <v>1706</v>
      </c>
    </row>
    <row r="13513" spans="1:2" outlineLevel="1" x14ac:dyDescent="0.3">
      <c r="B13513" t="s">
        <v>1707</v>
      </c>
    </row>
    <row r="13514" spans="1:2" outlineLevel="1" x14ac:dyDescent="0.3">
      <c r="B13514" t="s">
        <v>1708</v>
      </c>
    </row>
    <row r="13515" spans="1:2" outlineLevel="1" x14ac:dyDescent="0.3">
      <c r="B13515" t="s">
        <v>1709</v>
      </c>
    </row>
    <row r="13516" spans="1:2" outlineLevel="1" x14ac:dyDescent="0.3">
      <c r="B13516" t="s">
        <v>1710</v>
      </c>
    </row>
    <row r="13517" spans="1:2" outlineLevel="1" x14ac:dyDescent="0.3">
      <c r="B13517" t="s">
        <v>1711</v>
      </c>
    </row>
    <row r="13518" spans="1:2" outlineLevel="1" x14ac:dyDescent="0.3">
      <c r="B13518" t="s">
        <v>1712</v>
      </c>
    </row>
    <row r="13519" spans="1:2" outlineLevel="1" x14ac:dyDescent="0.3">
      <c r="B13519" t="s">
        <v>1713</v>
      </c>
    </row>
    <row r="13520" spans="1:2" outlineLevel="1" x14ac:dyDescent="0.3">
      <c r="B13520" t="s">
        <v>1714</v>
      </c>
    </row>
    <row r="13521" spans="1:2" outlineLevel="1" x14ac:dyDescent="0.3">
      <c r="B13521" t="s">
        <v>1715</v>
      </c>
    </row>
    <row r="13522" spans="1:2" outlineLevel="1" x14ac:dyDescent="0.3">
      <c r="B13522" t="s">
        <v>1716</v>
      </c>
    </row>
    <row r="13523" spans="1:2" outlineLevel="1" x14ac:dyDescent="0.3">
      <c r="B13523" t="s">
        <v>1717</v>
      </c>
    </row>
    <row r="13524" spans="1:2" outlineLevel="1" x14ac:dyDescent="0.3">
      <c r="B13524" t="s">
        <v>1718</v>
      </c>
    </row>
    <row r="13525" spans="1:2" x14ac:dyDescent="0.3">
      <c r="A13525" t="s">
        <v>1719</v>
      </c>
    </row>
    <row r="13526" spans="1:2" x14ac:dyDescent="0.3">
      <c r="A13526" t="s">
        <v>1720</v>
      </c>
    </row>
    <row r="13527" spans="1:2" outlineLevel="1" x14ac:dyDescent="0.3">
      <c r="B13527" t="s">
        <v>3232</v>
      </c>
    </row>
    <row r="13528" spans="1:2" outlineLevel="1" x14ac:dyDescent="0.3">
      <c r="B13528" t="s">
        <v>1722</v>
      </c>
    </row>
    <row r="13529" spans="1:2" x14ac:dyDescent="0.3">
      <c r="A13529" t="s">
        <v>1723</v>
      </c>
    </row>
    <row r="13530" spans="1:2" outlineLevel="1" x14ac:dyDescent="0.3">
      <c r="B13530" t="s">
        <v>3233</v>
      </c>
    </row>
    <row r="13531" spans="1:2" outlineLevel="1" x14ac:dyDescent="0.3">
      <c r="B13531" t="s">
        <v>1725</v>
      </c>
    </row>
    <row r="13532" spans="1:2" x14ac:dyDescent="0.3">
      <c r="A13532" t="s">
        <v>1726</v>
      </c>
    </row>
    <row r="13533" spans="1:2" x14ac:dyDescent="0.3">
      <c r="A13533" t="s">
        <v>1727</v>
      </c>
    </row>
    <row r="13534" spans="1:2" x14ac:dyDescent="0.3">
      <c r="A13534" t="s">
        <v>1728</v>
      </c>
    </row>
    <row r="13535" spans="1:2" x14ac:dyDescent="0.3">
      <c r="A13535" t="s">
        <v>1729</v>
      </c>
    </row>
    <row r="13536" spans="1:2" x14ac:dyDescent="0.3">
      <c r="A13536" t="s">
        <v>1730</v>
      </c>
    </row>
    <row r="13537" spans="1:2" x14ac:dyDescent="0.3">
      <c r="A13537" t="s">
        <v>1731</v>
      </c>
    </row>
    <row r="13538" spans="1:2" x14ac:dyDescent="0.3">
      <c r="A13538" t="s">
        <v>1732</v>
      </c>
    </row>
    <row r="13539" spans="1:2" x14ac:dyDescent="0.3">
      <c r="A13539" t="s">
        <v>1733</v>
      </c>
    </row>
    <row r="13540" spans="1:2" x14ac:dyDescent="0.3">
      <c r="A13540" t="s">
        <v>1734</v>
      </c>
    </row>
    <row r="13541" spans="1:2" x14ac:dyDescent="0.3">
      <c r="A13541" t="s">
        <v>1735</v>
      </c>
    </row>
    <row r="13542" spans="1:2" x14ac:dyDescent="0.3">
      <c r="A13542" t="s">
        <v>1736</v>
      </c>
    </row>
    <row r="13543" spans="1:2" outlineLevel="1" x14ac:dyDescent="0.3">
      <c r="B13543" t="s">
        <v>1737</v>
      </c>
    </row>
    <row r="13544" spans="1:2" outlineLevel="1" x14ac:dyDescent="0.3">
      <c r="B13544" t="s">
        <v>1738</v>
      </c>
    </row>
    <row r="13545" spans="1:2" outlineLevel="1" x14ac:dyDescent="0.3">
      <c r="B13545" t="s">
        <v>1739</v>
      </c>
    </row>
    <row r="13546" spans="1:2" outlineLevel="1" x14ac:dyDescent="0.3">
      <c r="B13546" t="s">
        <v>1740</v>
      </c>
    </row>
    <row r="13547" spans="1:2" outlineLevel="1" x14ac:dyDescent="0.3">
      <c r="B13547" t="s">
        <v>1741</v>
      </c>
    </row>
    <row r="13548" spans="1:2" outlineLevel="1" x14ac:dyDescent="0.3">
      <c r="B13548" t="s">
        <v>1742</v>
      </c>
    </row>
    <row r="13549" spans="1:2" outlineLevel="1" x14ac:dyDescent="0.3">
      <c r="B13549" t="s">
        <v>1743</v>
      </c>
    </row>
    <row r="13550" spans="1:2" outlineLevel="1" x14ac:dyDescent="0.3">
      <c r="B13550" t="s">
        <v>1744</v>
      </c>
    </row>
    <row r="13551" spans="1:2" outlineLevel="1" x14ac:dyDescent="0.3">
      <c r="B13551" t="s">
        <v>1745</v>
      </c>
    </row>
    <row r="13552" spans="1:2" outlineLevel="1" x14ac:dyDescent="0.3">
      <c r="B13552" t="s">
        <v>1746</v>
      </c>
    </row>
    <row r="13553" spans="1:2" outlineLevel="1" x14ac:dyDescent="0.3">
      <c r="B13553" t="s">
        <v>1747</v>
      </c>
    </row>
    <row r="13554" spans="1:2" outlineLevel="1" x14ac:dyDescent="0.3">
      <c r="B13554" t="s">
        <v>1748</v>
      </c>
    </row>
    <row r="13555" spans="1:2" outlineLevel="1" x14ac:dyDescent="0.3">
      <c r="B13555" t="s">
        <v>1749</v>
      </c>
    </row>
    <row r="13556" spans="1:2" outlineLevel="1" x14ac:dyDescent="0.3">
      <c r="B13556" t="s">
        <v>1750</v>
      </c>
    </row>
    <row r="13562" spans="1:2" x14ac:dyDescent="0.3">
      <c r="A13562" t="s">
        <v>1751</v>
      </c>
    </row>
    <row r="13563" spans="1:2" outlineLevel="1" x14ac:dyDescent="0.3">
      <c r="B13563" t="s">
        <v>1752</v>
      </c>
    </row>
    <row r="13564" spans="1:2" outlineLevel="1" x14ac:dyDescent="0.3">
      <c r="B13564" t="s">
        <v>1753</v>
      </c>
    </row>
    <row r="13565" spans="1:2" outlineLevel="1" x14ac:dyDescent="0.3">
      <c r="B13565" t="s">
        <v>1754</v>
      </c>
    </row>
    <row r="13566" spans="1:2" outlineLevel="1" x14ac:dyDescent="0.3">
      <c r="B13566" t="s">
        <v>1755</v>
      </c>
    </row>
    <row r="13567" spans="1:2" outlineLevel="1" x14ac:dyDescent="0.3">
      <c r="B13567" t="s">
        <v>1756</v>
      </c>
    </row>
    <row r="13568" spans="1:2" outlineLevel="1" x14ac:dyDescent="0.3">
      <c r="B13568" t="s">
        <v>1757</v>
      </c>
    </row>
    <row r="13569" spans="1:2" outlineLevel="1" x14ac:dyDescent="0.3">
      <c r="B13569" t="s">
        <v>1758</v>
      </c>
    </row>
    <row r="13570" spans="1:2" outlineLevel="1" x14ac:dyDescent="0.3">
      <c r="B13570" t="s">
        <v>1759</v>
      </c>
    </row>
    <row r="13571" spans="1:2" outlineLevel="1" x14ac:dyDescent="0.3">
      <c r="B13571" t="s">
        <v>1760</v>
      </c>
    </row>
    <row r="13572" spans="1:2" outlineLevel="1" x14ac:dyDescent="0.3">
      <c r="B13572" t="s">
        <v>1761</v>
      </c>
    </row>
    <row r="13573" spans="1:2" outlineLevel="1" x14ac:dyDescent="0.3">
      <c r="B13573" t="s">
        <v>1762</v>
      </c>
    </row>
    <row r="13574" spans="1:2" outlineLevel="1" x14ac:dyDescent="0.3">
      <c r="B13574" t="s">
        <v>1763</v>
      </c>
    </row>
    <row r="13575" spans="1:2" x14ac:dyDescent="0.3">
      <c r="A13575" t="s">
        <v>1764</v>
      </c>
    </row>
    <row r="13576" spans="1:2" outlineLevel="1" x14ac:dyDescent="0.3">
      <c r="B13576" t="s">
        <v>1765</v>
      </c>
    </row>
    <row r="13577" spans="1:2" outlineLevel="1" x14ac:dyDescent="0.3">
      <c r="B13577" t="s">
        <v>1766</v>
      </c>
    </row>
    <row r="13578" spans="1:2" outlineLevel="1" x14ac:dyDescent="0.3">
      <c r="B13578" t="s">
        <v>1767</v>
      </c>
    </row>
    <row r="13579" spans="1:2" x14ac:dyDescent="0.3">
      <c r="A13579" t="s">
        <v>1768</v>
      </c>
    </row>
    <row r="13580" spans="1:2" outlineLevel="1" x14ac:dyDescent="0.3">
      <c r="B13580" t="s">
        <v>1769</v>
      </c>
    </row>
    <row r="13581" spans="1:2" outlineLevel="1" x14ac:dyDescent="0.3">
      <c r="B13581" t="s">
        <v>1770</v>
      </c>
    </row>
    <row r="13582" spans="1:2" outlineLevel="1" x14ac:dyDescent="0.3">
      <c r="B13582" t="s">
        <v>1771</v>
      </c>
    </row>
    <row r="13583" spans="1:2" outlineLevel="1" x14ac:dyDescent="0.3">
      <c r="B13583" t="s">
        <v>1772</v>
      </c>
    </row>
    <row r="13584" spans="1:2" outlineLevel="1" x14ac:dyDescent="0.3">
      <c r="B13584" t="s">
        <v>1773</v>
      </c>
    </row>
    <row r="13585" spans="1:2" outlineLevel="1" x14ac:dyDescent="0.3">
      <c r="B13585" t="s">
        <v>1774</v>
      </c>
    </row>
    <row r="13586" spans="1:2" outlineLevel="1" x14ac:dyDescent="0.3">
      <c r="B13586" t="s">
        <v>1775</v>
      </c>
    </row>
    <row r="13587" spans="1:2" outlineLevel="1" x14ac:dyDescent="0.3">
      <c r="B13587" t="s">
        <v>1776</v>
      </c>
    </row>
    <row r="13588" spans="1:2" outlineLevel="1" x14ac:dyDescent="0.3">
      <c r="B13588" t="s">
        <v>1777</v>
      </c>
    </row>
    <row r="13589" spans="1:2" outlineLevel="1" x14ac:dyDescent="0.3">
      <c r="B13589" t="s">
        <v>1778</v>
      </c>
    </row>
    <row r="13590" spans="1:2" outlineLevel="1" x14ac:dyDescent="0.3">
      <c r="B13590" t="s">
        <v>1779</v>
      </c>
    </row>
    <row r="13591" spans="1:2" outlineLevel="1" x14ac:dyDescent="0.3">
      <c r="B13591" t="s">
        <v>1780</v>
      </c>
    </row>
    <row r="13592" spans="1:2" outlineLevel="1" x14ac:dyDescent="0.3">
      <c r="B13592" t="s">
        <v>1781</v>
      </c>
    </row>
    <row r="13593" spans="1:2" outlineLevel="1" x14ac:dyDescent="0.3">
      <c r="B13593" t="s">
        <v>1782</v>
      </c>
    </row>
    <row r="13594" spans="1:2" outlineLevel="1" x14ac:dyDescent="0.3">
      <c r="B13594" t="s">
        <v>1783</v>
      </c>
    </row>
    <row r="13595" spans="1:2" outlineLevel="1" x14ac:dyDescent="0.3">
      <c r="B13595" t="s">
        <v>1784</v>
      </c>
    </row>
    <row r="13596" spans="1:2" outlineLevel="1" x14ac:dyDescent="0.3">
      <c r="B13596" t="s">
        <v>1785</v>
      </c>
    </row>
    <row r="13597" spans="1:2" outlineLevel="1" x14ac:dyDescent="0.3">
      <c r="B13597" t="s">
        <v>1786</v>
      </c>
    </row>
    <row r="13598" spans="1:2" outlineLevel="1" x14ac:dyDescent="0.3">
      <c r="B13598" t="s">
        <v>1787</v>
      </c>
    </row>
    <row r="13599" spans="1:2" outlineLevel="1" x14ac:dyDescent="0.3">
      <c r="B13599" t="s">
        <v>1788</v>
      </c>
    </row>
    <row r="13600" spans="1:2" x14ac:dyDescent="0.3">
      <c r="A13600" t="s">
        <v>1789</v>
      </c>
    </row>
    <row r="13601" spans="2:2" outlineLevel="1" x14ac:dyDescent="0.3">
      <c r="B13601" t="s">
        <v>1790</v>
      </c>
    </row>
    <row r="13602" spans="2:2" outlineLevel="1" x14ac:dyDescent="0.3">
      <c r="B13602" t="s">
        <v>1791</v>
      </c>
    </row>
    <row r="13603" spans="2:2" outlineLevel="1" x14ac:dyDescent="0.3">
      <c r="B13603" t="s">
        <v>1792</v>
      </c>
    </row>
    <row r="13604" spans="2:2" outlineLevel="1" x14ac:dyDescent="0.3">
      <c r="B13604" t="s">
        <v>1793</v>
      </c>
    </row>
    <row r="13605" spans="2:2" outlineLevel="1" x14ac:dyDescent="0.3">
      <c r="B13605" t="s">
        <v>1794</v>
      </c>
    </row>
    <row r="13606" spans="2:2" outlineLevel="1" x14ac:dyDescent="0.3">
      <c r="B13606" t="s">
        <v>1795</v>
      </c>
    </row>
    <row r="13607" spans="2:2" outlineLevel="1" x14ac:dyDescent="0.3">
      <c r="B13607" t="s">
        <v>1796</v>
      </c>
    </row>
    <row r="13608" spans="2:2" outlineLevel="1" x14ac:dyDescent="0.3">
      <c r="B13608" t="s">
        <v>1797</v>
      </c>
    </row>
    <row r="13609" spans="2:2" outlineLevel="1" x14ac:dyDescent="0.3">
      <c r="B13609" t="s">
        <v>1798</v>
      </c>
    </row>
    <row r="13610" spans="2:2" outlineLevel="1" x14ac:dyDescent="0.3">
      <c r="B13610" t="s">
        <v>1799</v>
      </c>
    </row>
    <row r="13611" spans="2:2" outlineLevel="1" x14ac:dyDescent="0.3">
      <c r="B13611" t="s">
        <v>1800</v>
      </c>
    </row>
    <row r="13612" spans="2:2" outlineLevel="1" x14ac:dyDescent="0.3">
      <c r="B13612" t="s">
        <v>1801</v>
      </c>
    </row>
    <row r="13613" spans="2:2" outlineLevel="1" x14ac:dyDescent="0.3">
      <c r="B13613" t="s">
        <v>1802</v>
      </c>
    </row>
    <row r="13614" spans="2:2" outlineLevel="1" x14ac:dyDescent="0.3">
      <c r="B13614" t="s">
        <v>1803</v>
      </c>
    </row>
    <row r="13615" spans="2:2" outlineLevel="1" x14ac:dyDescent="0.3">
      <c r="B13615" t="s">
        <v>1804</v>
      </c>
    </row>
    <row r="13616" spans="2:2" outlineLevel="1" x14ac:dyDescent="0.3">
      <c r="B13616" t="s">
        <v>1805</v>
      </c>
    </row>
    <row r="13617" spans="1:2" outlineLevel="1" x14ac:dyDescent="0.3">
      <c r="B13617" t="s">
        <v>1806</v>
      </c>
    </row>
    <row r="13618" spans="1:2" outlineLevel="1" x14ac:dyDescent="0.3">
      <c r="B13618" t="s">
        <v>1807</v>
      </c>
    </row>
    <row r="13619" spans="1:2" x14ac:dyDescent="0.3">
      <c r="A13619" t="s">
        <v>1808</v>
      </c>
    </row>
    <row r="13620" spans="1:2" outlineLevel="1" x14ac:dyDescent="0.3">
      <c r="B13620" t="s">
        <v>1809</v>
      </c>
    </row>
    <row r="13621" spans="1:2" outlineLevel="1" x14ac:dyDescent="0.3">
      <c r="B13621" t="s">
        <v>1810</v>
      </c>
    </row>
    <row r="13622" spans="1:2" outlineLevel="1" x14ac:dyDescent="0.3">
      <c r="B13622" t="s">
        <v>1811</v>
      </c>
    </row>
    <row r="13623" spans="1:2" outlineLevel="1" x14ac:dyDescent="0.3">
      <c r="B13623" t="s">
        <v>1812</v>
      </c>
    </row>
    <row r="13624" spans="1:2" outlineLevel="1" x14ac:dyDescent="0.3">
      <c r="B13624" t="s">
        <v>1813</v>
      </c>
    </row>
    <row r="13625" spans="1:2" outlineLevel="1" x14ac:dyDescent="0.3">
      <c r="B13625" t="s">
        <v>1814</v>
      </c>
    </row>
    <row r="13626" spans="1:2" outlineLevel="1" x14ac:dyDescent="0.3">
      <c r="B13626" t="s">
        <v>1815</v>
      </c>
    </row>
    <row r="13627" spans="1:2" outlineLevel="1" x14ac:dyDescent="0.3">
      <c r="B13627" t="s">
        <v>1816</v>
      </c>
    </row>
    <row r="13628" spans="1:2" outlineLevel="1" x14ac:dyDescent="0.3">
      <c r="B13628" t="s">
        <v>1817</v>
      </c>
    </row>
    <row r="13629" spans="1:2" outlineLevel="1" x14ac:dyDescent="0.3">
      <c r="B13629" t="s">
        <v>1818</v>
      </c>
    </row>
    <row r="13630" spans="1:2" outlineLevel="1" x14ac:dyDescent="0.3">
      <c r="B13630" t="s">
        <v>1819</v>
      </c>
    </row>
    <row r="13631" spans="1:2" outlineLevel="1" x14ac:dyDescent="0.3">
      <c r="B13631" t="s">
        <v>1820</v>
      </c>
    </row>
    <row r="13632" spans="1:2" outlineLevel="1" x14ac:dyDescent="0.3">
      <c r="B13632" t="s">
        <v>1821</v>
      </c>
    </row>
    <row r="13633" spans="1:4" outlineLevel="1" x14ac:dyDescent="0.3">
      <c r="B13633" t="s">
        <v>1822</v>
      </c>
    </row>
    <row r="13634" spans="1:4" outlineLevel="1" x14ac:dyDescent="0.3">
      <c r="B13634" t="s">
        <v>1823</v>
      </c>
    </row>
    <row r="13635" spans="1:4" outlineLevel="1" x14ac:dyDescent="0.3">
      <c r="B13635" t="s">
        <v>1824</v>
      </c>
    </row>
    <row r="13636" spans="1:4" outlineLevel="1" x14ac:dyDescent="0.3">
      <c r="B13636" t="s">
        <v>1825</v>
      </c>
    </row>
    <row r="13637" spans="1:4" outlineLevel="1" x14ac:dyDescent="0.3">
      <c r="B13637" t="s">
        <v>1826</v>
      </c>
    </row>
    <row r="13638" spans="1:4" outlineLevel="1" x14ac:dyDescent="0.3">
      <c r="B13638" t="s">
        <v>1827</v>
      </c>
    </row>
    <row r="13639" spans="1:4" outlineLevel="1" x14ac:dyDescent="0.3">
      <c r="B13639" t="s">
        <v>1828</v>
      </c>
    </row>
    <row r="13640" spans="1:4" x14ac:dyDescent="0.3">
      <c r="A13640" t="s">
        <v>1829</v>
      </c>
    </row>
    <row r="13641" spans="1:4" outlineLevel="1" x14ac:dyDescent="0.3">
      <c r="B13641" t="s">
        <v>1830</v>
      </c>
    </row>
    <row r="13642" spans="1:4" hidden="1" outlineLevel="2" x14ac:dyDescent="0.3">
      <c r="C13642" t="s">
        <v>1831</v>
      </c>
    </row>
    <row r="13643" spans="1:4" hidden="1" outlineLevel="3" x14ac:dyDescent="0.3">
      <c r="D13643" t="s">
        <v>1832</v>
      </c>
    </row>
    <row r="13644" spans="1:4" hidden="1" outlineLevel="3" x14ac:dyDescent="0.3">
      <c r="D13644" t="s">
        <v>1833</v>
      </c>
    </row>
    <row r="13645" spans="1:4" hidden="1" outlineLevel="3" x14ac:dyDescent="0.3">
      <c r="D13645" t="s">
        <v>1834</v>
      </c>
    </row>
    <row r="13646" spans="1:4" hidden="1" outlineLevel="3" x14ac:dyDescent="0.3">
      <c r="D13646" t="s">
        <v>1835</v>
      </c>
    </row>
    <row r="13647" spans="1:4" hidden="1" outlineLevel="2" x14ac:dyDescent="0.3">
      <c r="C13647" t="s">
        <v>1836</v>
      </c>
    </row>
    <row r="13648" spans="1:4" hidden="1" outlineLevel="2" x14ac:dyDescent="0.3">
      <c r="C13648" t="s">
        <v>1837</v>
      </c>
    </row>
    <row r="13649" spans="1:3" hidden="1" outlineLevel="2" x14ac:dyDescent="0.3">
      <c r="C13649" t="s">
        <v>1838</v>
      </c>
    </row>
    <row r="13650" spans="1:3" hidden="1" outlineLevel="2" x14ac:dyDescent="0.3">
      <c r="C13650" t="s">
        <v>1839</v>
      </c>
    </row>
    <row r="13651" spans="1:3" hidden="1" outlineLevel="2" x14ac:dyDescent="0.3">
      <c r="C13651" t="s">
        <v>1840</v>
      </c>
    </row>
    <row r="13652" spans="1:3" hidden="1" outlineLevel="2" x14ac:dyDescent="0.3">
      <c r="C13652" t="s">
        <v>1841</v>
      </c>
    </row>
    <row r="13653" spans="1:3" outlineLevel="1" collapsed="1" x14ac:dyDescent="0.3">
      <c r="B13653" t="s">
        <v>1842</v>
      </c>
    </row>
    <row r="13654" spans="1:3" outlineLevel="1" x14ac:dyDescent="0.3">
      <c r="B13654" t="s">
        <v>1843</v>
      </c>
    </row>
    <row r="13655" spans="1:3" outlineLevel="1" x14ac:dyDescent="0.3">
      <c r="B13655" t="s">
        <v>1844</v>
      </c>
    </row>
    <row r="13656" spans="1:3" outlineLevel="1" x14ac:dyDescent="0.3">
      <c r="B13656" t="s">
        <v>1845</v>
      </c>
    </row>
    <row r="13657" spans="1:3" outlineLevel="1" x14ac:dyDescent="0.3">
      <c r="B13657" t="s">
        <v>1846</v>
      </c>
    </row>
    <row r="13658" spans="1:3" outlineLevel="1" x14ac:dyDescent="0.3">
      <c r="B13658" t="s">
        <v>1847</v>
      </c>
    </row>
    <row r="13659" spans="1:3" outlineLevel="1" x14ac:dyDescent="0.3">
      <c r="B13659" t="s">
        <v>1848</v>
      </c>
    </row>
    <row r="13660" spans="1:3" outlineLevel="1" x14ac:dyDescent="0.3">
      <c r="B13660" t="s">
        <v>1849</v>
      </c>
    </row>
    <row r="13661" spans="1:3" outlineLevel="1" x14ac:dyDescent="0.3">
      <c r="B13661" t="s">
        <v>1850</v>
      </c>
    </row>
    <row r="13662" spans="1:3" outlineLevel="1" x14ac:dyDescent="0.3">
      <c r="B13662" t="s">
        <v>1851</v>
      </c>
    </row>
    <row r="13663" spans="1:3" outlineLevel="1" x14ac:dyDescent="0.3">
      <c r="B13663" t="s">
        <v>1852</v>
      </c>
    </row>
    <row r="13664" spans="1:3" x14ac:dyDescent="0.3">
      <c r="A13664" t="s">
        <v>1853</v>
      </c>
    </row>
    <row r="13665" spans="2:4" outlineLevel="1" x14ac:dyDescent="0.3">
      <c r="B13665" t="s">
        <v>1854</v>
      </c>
    </row>
    <row r="13666" spans="2:4" hidden="1" outlineLevel="2" x14ac:dyDescent="0.3">
      <c r="C13666" t="s">
        <v>1855</v>
      </c>
    </row>
    <row r="13667" spans="2:4" hidden="1" outlineLevel="3" x14ac:dyDescent="0.3">
      <c r="D13667" t="s">
        <v>1856</v>
      </c>
    </row>
    <row r="13668" spans="2:4" hidden="1" outlineLevel="3" x14ac:dyDescent="0.3">
      <c r="D13668" t="s">
        <v>1857</v>
      </c>
    </row>
    <row r="13669" spans="2:4" hidden="1" outlineLevel="3" x14ac:dyDescent="0.3">
      <c r="D13669" t="s">
        <v>1858</v>
      </c>
    </row>
    <row r="13670" spans="2:4" hidden="1" outlineLevel="2" x14ac:dyDescent="0.3">
      <c r="C13670" t="s">
        <v>1859</v>
      </c>
    </row>
    <row r="13671" spans="2:4" outlineLevel="1" collapsed="1" x14ac:dyDescent="0.3">
      <c r="B13671" t="s">
        <v>1860</v>
      </c>
    </row>
    <row r="13672" spans="2:4" outlineLevel="1" x14ac:dyDescent="0.3">
      <c r="B13672" t="s">
        <v>1861</v>
      </c>
    </row>
    <row r="13673" spans="2:4" outlineLevel="1" x14ac:dyDescent="0.3">
      <c r="B13673" t="s">
        <v>1862</v>
      </c>
    </row>
    <row r="13674" spans="2:4" outlineLevel="1" x14ac:dyDescent="0.3">
      <c r="B13674" t="s">
        <v>1863</v>
      </c>
    </row>
    <row r="13675" spans="2:4" outlineLevel="1" x14ac:dyDescent="0.3">
      <c r="B13675" t="s">
        <v>1864</v>
      </c>
    </row>
    <row r="13676" spans="2:4" outlineLevel="1" x14ac:dyDescent="0.3">
      <c r="B13676" t="s">
        <v>1865</v>
      </c>
    </row>
    <row r="13677" spans="2:4" outlineLevel="1" x14ac:dyDescent="0.3">
      <c r="B13677" t="s">
        <v>1866</v>
      </c>
    </row>
    <row r="13678" spans="2:4" outlineLevel="1" x14ac:dyDescent="0.3">
      <c r="B13678" t="s">
        <v>1867</v>
      </c>
    </row>
    <row r="13679" spans="2:4" outlineLevel="1" x14ac:dyDescent="0.3">
      <c r="B13679" t="s">
        <v>1868</v>
      </c>
    </row>
    <row r="13680" spans="2:4" outlineLevel="1" x14ac:dyDescent="0.3">
      <c r="B13680" t="s">
        <v>1869</v>
      </c>
    </row>
    <row r="13681" spans="1:3" outlineLevel="1" x14ac:dyDescent="0.3">
      <c r="B13681" t="s">
        <v>1870</v>
      </c>
    </row>
    <row r="13682" spans="1:3" outlineLevel="1" x14ac:dyDescent="0.3">
      <c r="B13682" t="s">
        <v>1871</v>
      </c>
    </row>
    <row r="13683" spans="1:3" outlineLevel="1" x14ac:dyDescent="0.3">
      <c r="B13683" t="s">
        <v>1872</v>
      </c>
    </row>
    <row r="13684" spans="1:3" outlineLevel="1" x14ac:dyDescent="0.3">
      <c r="B13684" t="s">
        <v>1873</v>
      </c>
    </row>
    <row r="13685" spans="1:3" outlineLevel="1" x14ac:dyDescent="0.3">
      <c r="B13685" t="s">
        <v>1874</v>
      </c>
    </row>
    <row r="13686" spans="1:3" x14ac:dyDescent="0.3">
      <c r="A13686" t="s">
        <v>1875</v>
      </c>
    </row>
    <row r="13692" spans="1:3" x14ac:dyDescent="0.3">
      <c r="A13692" t="s">
        <v>1876</v>
      </c>
    </row>
    <row r="13693" spans="1:3" outlineLevel="1" x14ac:dyDescent="0.3">
      <c r="B13693" t="s">
        <v>1877</v>
      </c>
    </row>
    <row r="13694" spans="1:3" hidden="1" outlineLevel="2" x14ac:dyDescent="0.3">
      <c r="C13694" t="s">
        <v>3234</v>
      </c>
    </row>
    <row r="13695" spans="1:3" hidden="1" outlineLevel="2" x14ac:dyDescent="0.3">
      <c r="C13695" t="s">
        <v>3235</v>
      </c>
    </row>
    <row r="13696" spans="1:3" hidden="1" outlineLevel="2" x14ac:dyDescent="0.3">
      <c r="C13696" t="s">
        <v>5525</v>
      </c>
    </row>
    <row r="13697" spans="2:3" hidden="1" outlineLevel="2" x14ac:dyDescent="0.3">
      <c r="C13697" t="s">
        <v>5526</v>
      </c>
    </row>
    <row r="13698" spans="2:3" outlineLevel="1" collapsed="1" x14ac:dyDescent="0.3">
      <c r="B13698" t="s">
        <v>1882</v>
      </c>
    </row>
    <row r="13699" spans="2:3" hidden="1" outlineLevel="2" x14ac:dyDescent="0.3">
      <c r="C13699" t="s">
        <v>3236</v>
      </c>
    </row>
    <row r="13700" spans="2:3" hidden="1" outlineLevel="2" x14ac:dyDescent="0.3">
      <c r="C13700" t="s">
        <v>3237</v>
      </c>
    </row>
    <row r="13701" spans="2:3" hidden="1" outlineLevel="2" x14ac:dyDescent="0.3">
      <c r="C13701" t="s">
        <v>3238</v>
      </c>
    </row>
    <row r="13702" spans="2:3" hidden="1" outlineLevel="2" x14ac:dyDescent="0.3">
      <c r="C13702" t="s">
        <v>3239</v>
      </c>
    </row>
    <row r="13703" spans="2:3" hidden="1" outlineLevel="2" x14ac:dyDescent="0.3">
      <c r="C13703" t="s">
        <v>5527</v>
      </c>
    </row>
    <row r="13704" spans="2:3" outlineLevel="1" collapsed="1" x14ac:dyDescent="0.3">
      <c r="B13704" t="s">
        <v>1888</v>
      </c>
    </row>
    <row r="13705" spans="2:3" outlineLevel="1" x14ac:dyDescent="0.3">
      <c r="B13705" t="s">
        <v>1889</v>
      </c>
    </row>
    <row r="13706" spans="2:3" outlineLevel="1" x14ac:dyDescent="0.3">
      <c r="B13706" t="s">
        <v>1890</v>
      </c>
    </row>
    <row r="13707" spans="2:3" hidden="1" outlineLevel="2" x14ac:dyDescent="0.3">
      <c r="C13707" t="s">
        <v>3240</v>
      </c>
    </row>
    <row r="13708" spans="2:3" hidden="1" outlineLevel="2" x14ac:dyDescent="0.3">
      <c r="C13708" t="s">
        <v>3241</v>
      </c>
    </row>
    <row r="13709" spans="2:3" hidden="1" outlineLevel="2" x14ac:dyDescent="0.3">
      <c r="C13709" t="s">
        <v>3242</v>
      </c>
    </row>
    <row r="13710" spans="2:3" hidden="1" outlineLevel="2" x14ac:dyDescent="0.3">
      <c r="C13710" t="s">
        <v>3243</v>
      </c>
    </row>
    <row r="13711" spans="2:3" hidden="1" outlineLevel="2" x14ac:dyDescent="0.3">
      <c r="C13711" t="s">
        <v>3244</v>
      </c>
    </row>
    <row r="13712" spans="2:3" hidden="1" outlineLevel="2" x14ac:dyDescent="0.3">
      <c r="C13712" t="s">
        <v>3245</v>
      </c>
    </row>
    <row r="13713" spans="3:4" hidden="1" outlineLevel="2" x14ac:dyDescent="0.3">
      <c r="C13713" t="s">
        <v>3246</v>
      </c>
    </row>
    <row r="13714" spans="3:4" hidden="1" outlineLevel="2" x14ac:dyDescent="0.3">
      <c r="C13714" t="s">
        <v>3247</v>
      </c>
    </row>
    <row r="13715" spans="3:4" hidden="1" outlineLevel="2" x14ac:dyDescent="0.3">
      <c r="C13715" t="s">
        <v>3248</v>
      </c>
    </row>
    <row r="13716" spans="3:4" hidden="1" outlineLevel="2" x14ac:dyDescent="0.3">
      <c r="C13716" t="s">
        <v>3249</v>
      </c>
    </row>
    <row r="13717" spans="3:4" hidden="1" outlineLevel="2" x14ac:dyDescent="0.3">
      <c r="C13717" t="s">
        <v>3250</v>
      </c>
    </row>
    <row r="13718" spans="3:4" hidden="1" outlineLevel="2" x14ac:dyDescent="0.3">
      <c r="C13718" t="s">
        <v>3251</v>
      </c>
    </row>
    <row r="13719" spans="3:4" hidden="1" outlineLevel="2" x14ac:dyDescent="0.3">
      <c r="C13719" t="s">
        <v>3252</v>
      </c>
    </row>
    <row r="13720" spans="3:4" hidden="1" outlineLevel="3" x14ac:dyDescent="0.3">
      <c r="D13720" t="s">
        <v>3253</v>
      </c>
    </row>
    <row r="13721" spans="3:4" hidden="1" outlineLevel="3" x14ac:dyDescent="0.3">
      <c r="D13721" t="s">
        <v>3254</v>
      </c>
    </row>
    <row r="13722" spans="3:4" hidden="1" outlineLevel="3" x14ac:dyDescent="0.3">
      <c r="D13722" t="s">
        <v>3255</v>
      </c>
    </row>
    <row r="13723" spans="3:4" hidden="1" outlineLevel="2" x14ac:dyDescent="0.3">
      <c r="C13723" t="s">
        <v>3257</v>
      </c>
    </row>
    <row r="13724" spans="3:4" hidden="1" outlineLevel="3" x14ac:dyDescent="0.3">
      <c r="D13724" t="s">
        <v>3258</v>
      </c>
    </row>
    <row r="13725" spans="3:4" hidden="1" outlineLevel="3" x14ac:dyDescent="0.3">
      <c r="D13725" t="s">
        <v>3259</v>
      </c>
    </row>
    <row r="13726" spans="3:4" hidden="1" outlineLevel="3" x14ac:dyDescent="0.3">
      <c r="D13726" t="s">
        <v>3260</v>
      </c>
    </row>
    <row r="13727" spans="3:4" hidden="1" outlineLevel="2" x14ac:dyDescent="0.3">
      <c r="C13727" t="s">
        <v>3261</v>
      </c>
    </row>
    <row r="13728" spans="3:4" hidden="1" outlineLevel="2" x14ac:dyDescent="0.3">
      <c r="C13728" t="s">
        <v>3262</v>
      </c>
    </row>
    <row r="13729" spans="3:4" hidden="1" outlineLevel="2" x14ac:dyDescent="0.3">
      <c r="C13729" t="s">
        <v>3263</v>
      </c>
    </row>
    <row r="13730" spans="3:4" hidden="1" outlineLevel="2" x14ac:dyDescent="0.3">
      <c r="C13730" t="s">
        <v>3264</v>
      </c>
    </row>
    <row r="13731" spans="3:4" hidden="1" outlineLevel="2" x14ac:dyDescent="0.3">
      <c r="C13731" t="s">
        <v>3265</v>
      </c>
    </row>
    <row r="13732" spans="3:4" hidden="1" outlineLevel="2" x14ac:dyDescent="0.3">
      <c r="C13732" t="s">
        <v>3266</v>
      </c>
    </row>
    <row r="13733" spans="3:4" hidden="1" outlineLevel="2" x14ac:dyDescent="0.3">
      <c r="C13733" t="s">
        <v>3267</v>
      </c>
    </row>
    <row r="13734" spans="3:4" hidden="1" outlineLevel="3" x14ac:dyDescent="0.3">
      <c r="D13734" t="s">
        <v>3268</v>
      </c>
    </row>
    <row r="13735" spans="3:4" hidden="1" outlineLevel="3" x14ac:dyDescent="0.3">
      <c r="D13735" t="s">
        <v>3269</v>
      </c>
    </row>
    <row r="13736" spans="3:4" hidden="1" outlineLevel="3" x14ac:dyDescent="0.3">
      <c r="D13736" t="s">
        <v>3270</v>
      </c>
    </row>
    <row r="13737" spans="3:4" hidden="1" outlineLevel="3" x14ac:dyDescent="0.3">
      <c r="D13737" t="s">
        <v>3271</v>
      </c>
    </row>
    <row r="13738" spans="3:4" hidden="1" outlineLevel="2" x14ac:dyDescent="0.3">
      <c r="C13738" t="s">
        <v>3272</v>
      </c>
    </row>
    <row r="13739" spans="3:4" hidden="1" outlineLevel="3" x14ac:dyDescent="0.3">
      <c r="D13739" t="s">
        <v>3273</v>
      </c>
    </row>
    <row r="13740" spans="3:4" hidden="1" outlineLevel="3" x14ac:dyDescent="0.3">
      <c r="D13740" t="s">
        <v>3274</v>
      </c>
    </row>
    <row r="13741" spans="3:4" hidden="1" outlineLevel="3" x14ac:dyDescent="0.3">
      <c r="D13741" t="s">
        <v>3275</v>
      </c>
    </row>
    <row r="13742" spans="3:4" hidden="1" outlineLevel="2" x14ac:dyDescent="0.3">
      <c r="C13742" t="s">
        <v>3276</v>
      </c>
    </row>
    <row r="13743" spans="3:4" hidden="1" outlineLevel="3" x14ac:dyDescent="0.3">
      <c r="D13743" t="s">
        <v>3277</v>
      </c>
    </row>
    <row r="13744" spans="3:4" hidden="1" outlineLevel="3" x14ac:dyDescent="0.3">
      <c r="D13744" t="s">
        <v>3278</v>
      </c>
    </row>
    <row r="13745" spans="3:4" hidden="1" outlineLevel="3" x14ac:dyDescent="0.3">
      <c r="D13745" t="s">
        <v>4097</v>
      </c>
    </row>
    <row r="13746" spans="3:4" hidden="1" outlineLevel="3" x14ac:dyDescent="0.3">
      <c r="D13746" t="s">
        <v>3280</v>
      </c>
    </row>
    <row r="13747" spans="3:4" hidden="1" outlineLevel="2" x14ac:dyDescent="0.3">
      <c r="C13747" t="s">
        <v>5528</v>
      </c>
    </row>
    <row r="13748" spans="3:4" hidden="1" outlineLevel="2" x14ac:dyDescent="0.3">
      <c r="C13748" t="s">
        <v>5529</v>
      </c>
    </row>
    <row r="13749" spans="3:4" hidden="1" outlineLevel="2" x14ac:dyDescent="0.3">
      <c r="C13749" t="s">
        <v>5530</v>
      </c>
    </row>
    <row r="13750" spans="3:4" hidden="1" outlineLevel="2" x14ac:dyDescent="0.3">
      <c r="C13750" t="s">
        <v>5531</v>
      </c>
    </row>
    <row r="13751" spans="3:4" hidden="1" outlineLevel="2" x14ac:dyDescent="0.3">
      <c r="C13751" t="s">
        <v>3281</v>
      </c>
    </row>
    <row r="13752" spans="3:4" hidden="1" outlineLevel="3" x14ac:dyDescent="0.3">
      <c r="D13752" t="s">
        <v>3282</v>
      </c>
    </row>
    <row r="13753" spans="3:4" hidden="1" outlineLevel="3" x14ac:dyDescent="0.3">
      <c r="D13753" t="s">
        <v>3283</v>
      </c>
    </row>
    <row r="13754" spans="3:4" hidden="1" outlineLevel="3" x14ac:dyDescent="0.3">
      <c r="D13754" t="s">
        <v>3284</v>
      </c>
    </row>
    <row r="13755" spans="3:4" hidden="1" outlineLevel="3" x14ac:dyDescent="0.3">
      <c r="D13755" t="s">
        <v>3285</v>
      </c>
    </row>
    <row r="13756" spans="3:4" hidden="1" outlineLevel="3" x14ac:dyDescent="0.3">
      <c r="D13756" t="s">
        <v>3286</v>
      </c>
    </row>
    <row r="13757" spans="3:4" hidden="1" outlineLevel="2" x14ac:dyDescent="0.3">
      <c r="C13757" t="s">
        <v>3287</v>
      </c>
    </row>
    <row r="13758" spans="3:4" hidden="1" outlineLevel="3" x14ac:dyDescent="0.3">
      <c r="D13758" t="s">
        <v>3288</v>
      </c>
    </row>
    <row r="13759" spans="3:4" hidden="1" outlineLevel="3" x14ac:dyDescent="0.3">
      <c r="D13759" t="s">
        <v>3289</v>
      </c>
    </row>
    <row r="13760" spans="3:4" hidden="1" outlineLevel="3" x14ac:dyDescent="0.3">
      <c r="D13760" t="s">
        <v>3290</v>
      </c>
    </row>
    <row r="13761" spans="3:4" hidden="1" outlineLevel="3" x14ac:dyDescent="0.3">
      <c r="D13761" t="s">
        <v>3291</v>
      </c>
    </row>
    <row r="13762" spans="3:4" hidden="1" outlineLevel="2" x14ac:dyDescent="0.3">
      <c r="C13762" t="s">
        <v>3292</v>
      </c>
    </row>
    <row r="13763" spans="3:4" hidden="1" outlineLevel="2" x14ac:dyDescent="0.3">
      <c r="C13763" t="s">
        <v>3293</v>
      </c>
    </row>
    <row r="13764" spans="3:4" hidden="1" outlineLevel="2" x14ac:dyDescent="0.3">
      <c r="C13764" t="s">
        <v>3294</v>
      </c>
    </row>
    <row r="13765" spans="3:4" hidden="1" outlineLevel="2" x14ac:dyDescent="0.3">
      <c r="C13765" t="s">
        <v>3295</v>
      </c>
    </row>
    <row r="13766" spans="3:4" hidden="1" outlineLevel="2" x14ac:dyDescent="0.3">
      <c r="C13766" t="s">
        <v>3296</v>
      </c>
    </row>
    <row r="13767" spans="3:4" hidden="1" outlineLevel="2" x14ac:dyDescent="0.3">
      <c r="C13767" t="s">
        <v>3297</v>
      </c>
    </row>
    <row r="13768" spans="3:4" hidden="1" outlineLevel="2" x14ac:dyDescent="0.3">
      <c r="C13768" t="s">
        <v>3298</v>
      </c>
    </row>
    <row r="13769" spans="3:4" hidden="1" outlineLevel="2" x14ac:dyDescent="0.3">
      <c r="C13769" t="s">
        <v>3299</v>
      </c>
    </row>
    <row r="13770" spans="3:4" hidden="1" outlineLevel="2" x14ac:dyDescent="0.3">
      <c r="C13770" t="s">
        <v>3300</v>
      </c>
    </row>
    <row r="13771" spans="3:4" hidden="1" outlineLevel="2" x14ac:dyDescent="0.3">
      <c r="C13771" t="s">
        <v>3301</v>
      </c>
    </row>
    <row r="13772" spans="3:4" hidden="1" outlineLevel="2" x14ac:dyDescent="0.3">
      <c r="C13772" t="s">
        <v>3302</v>
      </c>
    </row>
    <row r="13773" spans="3:4" hidden="1" outlineLevel="2" x14ac:dyDescent="0.3">
      <c r="C13773" t="s">
        <v>3303</v>
      </c>
    </row>
    <row r="13774" spans="3:4" hidden="1" outlineLevel="2" x14ac:dyDescent="0.3">
      <c r="C13774" t="s">
        <v>3306</v>
      </c>
    </row>
    <row r="13775" spans="3:4" hidden="1" outlineLevel="2" x14ac:dyDescent="0.3">
      <c r="C13775" t="s">
        <v>3307</v>
      </c>
    </row>
    <row r="13776" spans="3:4" hidden="1" outlineLevel="2" x14ac:dyDescent="0.3">
      <c r="C13776" t="s">
        <v>3308</v>
      </c>
    </row>
    <row r="13777" spans="2:3" hidden="1" outlineLevel="2" x14ac:dyDescent="0.3">
      <c r="C13777" t="s">
        <v>3309</v>
      </c>
    </row>
    <row r="13778" spans="2:3" hidden="1" outlineLevel="2" x14ac:dyDescent="0.3">
      <c r="C13778" t="s">
        <v>3310</v>
      </c>
    </row>
    <row r="13779" spans="2:3" hidden="1" outlineLevel="2" x14ac:dyDescent="0.3">
      <c r="C13779" t="s">
        <v>3311</v>
      </c>
    </row>
    <row r="13780" spans="2:3" hidden="1" outlineLevel="2" x14ac:dyDescent="0.3">
      <c r="C13780" t="s">
        <v>3312</v>
      </c>
    </row>
    <row r="13781" spans="2:3" outlineLevel="1" collapsed="1" x14ac:dyDescent="0.3">
      <c r="B13781" t="s">
        <v>1981</v>
      </c>
    </row>
    <row r="13782" spans="2:3" hidden="1" outlineLevel="2" x14ac:dyDescent="0.3">
      <c r="C13782" t="s">
        <v>3313</v>
      </c>
    </row>
    <row r="13783" spans="2:3" hidden="1" outlineLevel="2" x14ac:dyDescent="0.3">
      <c r="C13783" t="s">
        <v>3314</v>
      </c>
    </row>
    <row r="13784" spans="2:3" hidden="1" outlineLevel="2" x14ac:dyDescent="0.3">
      <c r="C13784" t="s">
        <v>3315</v>
      </c>
    </row>
    <row r="13785" spans="2:3" hidden="1" outlineLevel="2" x14ac:dyDescent="0.3">
      <c r="C13785" t="s">
        <v>3316</v>
      </c>
    </row>
    <row r="13786" spans="2:3" hidden="1" outlineLevel="2" x14ac:dyDescent="0.3">
      <c r="C13786" t="s">
        <v>3317</v>
      </c>
    </row>
    <row r="13787" spans="2:3" hidden="1" outlineLevel="2" x14ac:dyDescent="0.3">
      <c r="C13787" t="s">
        <v>3318</v>
      </c>
    </row>
    <row r="13788" spans="2:3" hidden="1" outlineLevel="2" x14ac:dyDescent="0.3">
      <c r="C13788" t="s">
        <v>3319</v>
      </c>
    </row>
    <row r="13789" spans="2:3" hidden="1" outlineLevel="2" x14ac:dyDescent="0.3">
      <c r="C13789" t="s">
        <v>3320</v>
      </c>
    </row>
    <row r="13790" spans="2:3" hidden="1" outlineLevel="2" x14ac:dyDescent="0.3">
      <c r="C13790" t="s">
        <v>3321</v>
      </c>
    </row>
    <row r="13791" spans="2:3" hidden="1" outlineLevel="2" x14ac:dyDescent="0.3">
      <c r="C13791" t="s">
        <v>3322</v>
      </c>
    </row>
    <row r="13792" spans="2:3" hidden="1" outlineLevel="2" x14ac:dyDescent="0.3">
      <c r="C13792" t="s">
        <v>3323</v>
      </c>
    </row>
    <row r="13793" spans="3:4" hidden="1" outlineLevel="2" x14ac:dyDescent="0.3">
      <c r="C13793" t="s">
        <v>3324</v>
      </c>
    </row>
    <row r="13794" spans="3:4" hidden="1" outlineLevel="2" x14ac:dyDescent="0.3">
      <c r="C13794" t="s">
        <v>3325</v>
      </c>
    </row>
    <row r="13795" spans="3:4" hidden="1" outlineLevel="2" x14ac:dyDescent="0.3">
      <c r="C13795" t="s">
        <v>3326</v>
      </c>
    </row>
    <row r="13796" spans="3:4" hidden="1" outlineLevel="3" x14ac:dyDescent="0.3">
      <c r="D13796" t="s">
        <v>3327</v>
      </c>
    </row>
    <row r="13797" spans="3:4" hidden="1" outlineLevel="3" x14ac:dyDescent="0.3">
      <c r="D13797" t="s">
        <v>3328</v>
      </c>
    </row>
    <row r="13798" spans="3:4" hidden="1" outlineLevel="3" x14ac:dyDescent="0.3">
      <c r="D13798" t="s">
        <v>3329</v>
      </c>
    </row>
    <row r="13799" spans="3:4" hidden="1" outlineLevel="2" x14ac:dyDescent="0.3">
      <c r="C13799" t="s">
        <v>3331</v>
      </c>
    </row>
    <row r="13800" spans="3:4" hidden="1" outlineLevel="3" x14ac:dyDescent="0.3">
      <c r="D13800" t="s">
        <v>3332</v>
      </c>
    </row>
    <row r="13801" spans="3:4" hidden="1" outlineLevel="3" x14ac:dyDescent="0.3">
      <c r="D13801" t="s">
        <v>3333</v>
      </c>
    </row>
    <row r="13802" spans="3:4" hidden="1" outlineLevel="3" x14ac:dyDescent="0.3">
      <c r="D13802" t="s">
        <v>3334</v>
      </c>
    </row>
    <row r="13803" spans="3:4" hidden="1" outlineLevel="2" x14ac:dyDescent="0.3">
      <c r="C13803" t="s">
        <v>3335</v>
      </c>
    </row>
    <row r="13804" spans="3:4" hidden="1" outlineLevel="2" x14ac:dyDescent="0.3">
      <c r="C13804" t="s">
        <v>3336</v>
      </c>
    </row>
    <row r="13805" spans="3:4" hidden="1" outlineLevel="2" x14ac:dyDescent="0.3">
      <c r="C13805" t="s">
        <v>3337</v>
      </c>
    </row>
    <row r="13806" spans="3:4" hidden="1" outlineLevel="2" x14ac:dyDescent="0.3">
      <c r="C13806" t="s">
        <v>3338</v>
      </c>
    </row>
    <row r="13807" spans="3:4" hidden="1" outlineLevel="2" x14ac:dyDescent="0.3">
      <c r="C13807" t="s">
        <v>3339</v>
      </c>
    </row>
    <row r="13808" spans="3:4" hidden="1" outlineLevel="2" x14ac:dyDescent="0.3">
      <c r="C13808" t="s">
        <v>3340</v>
      </c>
    </row>
    <row r="13809" spans="3:4" hidden="1" outlineLevel="2" x14ac:dyDescent="0.3">
      <c r="C13809" t="s">
        <v>3341</v>
      </c>
    </row>
    <row r="13810" spans="3:4" hidden="1" outlineLevel="3" x14ac:dyDescent="0.3">
      <c r="D13810" t="s">
        <v>3342</v>
      </c>
    </row>
    <row r="13811" spans="3:4" hidden="1" outlineLevel="3" x14ac:dyDescent="0.3">
      <c r="D13811" t="s">
        <v>3343</v>
      </c>
    </row>
    <row r="13812" spans="3:4" hidden="1" outlineLevel="3" x14ac:dyDescent="0.3">
      <c r="D13812" t="s">
        <v>3344</v>
      </c>
    </row>
    <row r="13813" spans="3:4" hidden="1" outlineLevel="3" x14ac:dyDescent="0.3">
      <c r="D13813" t="s">
        <v>3345</v>
      </c>
    </row>
    <row r="13814" spans="3:4" hidden="1" outlineLevel="2" x14ac:dyDescent="0.3">
      <c r="C13814" t="s">
        <v>3346</v>
      </c>
    </row>
    <row r="13815" spans="3:4" hidden="1" outlineLevel="3" x14ac:dyDescent="0.3">
      <c r="D13815" t="s">
        <v>3347</v>
      </c>
    </row>
    <row r="13816" spans="3:4" hidden="1" outlineLevel="3" x14ac:dyDescent="0.3">
      <c r="D13816" t="s">
        <v>3348</v>
      </c>
    </row>
    <row r="13817" spans="3:4" hidden="1" outlineLevel="3" x14ac:dyDescent="0.3">
      <c r="D13817" t="s">
        <v>3349</v>
      </c>
    </row>
    <row r="13818" spans="3:4" hidden="1" outlineLevel="2" x14ac:dyDescent="0.3">
      <c r="C13818" t="s">
        <v>3350</v>
      </c>
    </row>
    <row r="13819" spans="3:4" hidden="1" outlineLevel="3" x14ac:dyDescent="0.3">
      <c r="D13819" t="s">
        <v>3351</v>
      </c>
    </row>
    <row r="13820" spans="3:4" hidden="1" outlineLevel="3" x14ac:dyDescent="0.3">
      <c r="D13820" t="s">
        <v>3352</v>
      </c>
    </row>
    <row r="13821" spans="3:4" hidden="1" outlineLevel="3" x14ac:dyDescent="0.3">
      <c r="D13821" t="s">
        <v>3353</v>
      </c>
    </row>
    <row r="13822" spans="3:4" hidden="1" outlineLevel="3" x14ac:dyDescent="0.3">
      <c r="D13822" t="s">
        <v>3354</v>
      </c>
    </row>
    <row r="13823" spans="3:4" hidden="1" outlineLevel="2" x14ac:dyDescent="0.3">
      <c r="C13823" t="s">
        <v>5532</v>
      </c>
    </row>
    <row r="13824" spans="3:4" hidden="1" outlineLevel="2" x14ac:dyDescent="0.3">
      <c r="C13824" t="s">
        <v>5533</v>
      </c>
    </row>
    <row r="13825" spans="3:4" hidden="1" outlineLevel="2" x14ac:dyDescent="0.3">
      <c r="C13825" t="s">
        <v>5534</v>
      </c>
    </row>
    <row r="13826" spans="3:4" hidden="1" outlineLevel="2" x14ac:dyDescent="0.3">
      <c r="C13826" t="s">
        <v>5535</v>
      </c>
    </row>
    <row r="13827" spans="3:4" hidden="1" outlineLevel="2" x14ac:dyDescent="0.3">
      <c r="C13827" t="s">
        <v>3355</v>
      </c>
    </row>
    <row r="13828" spans="3:4" hidden="1" outlineLevel="3" x14ac:dyDescent="0.3">
      <c r="D13828" t="s">
        <v>3356</v>
      </c>
    </row>
    <row r="13829" spans="3:4" hidden="1" outlineLevel="3" x14ac:dyDescent="0.3">
      <c r="D13829" t="s">
        <v>3357</v>
      </c>
    </row>
    <row r="13830" spans="3:4" hidden="1" outlineLevel="3" x14ac:dyDescent="0.3">
      <c r="D13830" t="s">
        <v>3358</v>
      </c>
    </row>
    <row r="13831" spans="3:4" hidden="1" outlineLevel="3" x14ac:dyDescent="0.3">
      <c r="D13831" t="s">
        <v>3359</v>
      </c>
    </row>
    <row r="13832" spans="3:4" hidden="1" outlineLevel="3" x14ac:dyDescent="0.3">
      <c r="D13832" t="s">
        <v>3360</v>
      </c>
    </row>
    <row r="13833" spans="3:4" hidden="1" outlineLevel="2" x14ac:dyDescent="0.3">
      <c r="C13833" t="s">
        <v>3361</v>
      </c>
    </row>
    <row r="13834" spans="3:4" hidden="1" outlineLevel="3" x14ac:dyDescent="0.3">
      <c r="D13834" t="s">
        <v>3362</v>
      </c>
    </row>
    <row r="13835" spans="3:4" hidden="1" outlineLevel="3" x14ac:dyDescent="0.3">
      <c r="D13835" t="s">
        <v>3363</v>
      </c>
    </row>
    <row r="13836" spans="3:4" hidden="1" outlineLevel="3" x14ac:dyDescent="0.3">
      <c r="D13836" t="s">
        <v>3364</v>
      </c>
    </row>
    <row r="13837" spans="3:4" hidden="1" outlineLevel="3" x14ac:dyDescent="0.3">
      <c r="D13837" t="s">
        <v>3365</v>
      </c>
    </row>
    <row r="13838" spans="3:4" hidden="1" outlineLevel="2" x14ac:dyDescent="0.3">
      <c r="C13838" t="s">
        <v>3366</v>
      </c>
    </row>
    <row r="13839" spans="3:4" hidden="1" outlineLevel="2" x14ac:dyDescent="0.3">
      <c r="C13839" t="s">
        <v>3367</v>
      </c>
    </row>
    <row r="13840" spans="3:4" hidden="1" outlineLevel="2" x14ac:dyDescent="0.3">
      <c r="C13840" t="s">
        <v>3368</v>
      </c>
    </row>
    <row r="13841" spans="2:4" hidden="1" outlineLevel="2" x14ac:dyDescent="0.3">
      <c r="C13841" t="s">
        <v>3369</v>
      </c>
    </row>
    <row r="13842" spans="2:4" hidden="1" outlineLevel="2" x14ac:dyDescent="0.3">
      <c r="C13842" t="s">
        <v>3370</v>
      </c>
    </row>
    <row r="13843" spans="2:4" hidden="1" outlineLevel="2" x14ac:dyDescent="0.3">
      <c r="C13843" t="s">
        <v>3371</v>
      </c>
    </row>
    <row r="13844" spans="2:4" hidden="1" outlineLevel="2" x14ac:dyDescent="0.3">
      <c r="C13844" t="s">
        <v>3372</v>
      </c>
    </row>
    <row r="13845" spans="2:4" hidden="1" outlineLevel="2" x14ac:dyDescent="0.3">
      <c r="C13845" t="s">
        <v>3375</v>
      </c>
    </row>
    <row r="13846" spans="2:4" hidden="1" outlineLevel="2" x14ac:dyDescent="0.3">
      <c r="C13846" t="s">
        <v>3376</v>
      </c>
    </row>
    <row r="13847" spans="2:4" hidden="1" outlineLevel="2" x14ac:dyDescent="0.3">
      <c r="C13847" t="s">
        <v>3377</v>
      </c>
    </row>
    <row r="13848" spans="2:4" hidden="1" outlineLevel="2" x14ac:dyDescent="0.3">
      <c r="C13848" t="s">
        <v>3378</v>
      </c>
    </row>
    <row r="13849" spans="2:4" hidden="1" outlineLevel="2" x14ac:dyDescent="0.3">
      <c r="C13849" t="s">
        <v>3379</v>
      </c>
    </row>
    <row r="13850" spans="2:4" hidden="1" outlineLevel="2" x14ac:dyDescent="0.3">
      <c r="C13850" t="s">
        <v>3380</v>
      </c>
    </row>
    <row r="13851" spans="2:4" hidden="1" outlineLevel="2" x14ac:dyDescent="0.3">
      <c r="C13851" t="s">
        <v>3381</v>
      </c>
    </row>
    <row r="13852" spans="2:4" outlineLevel="1" collapsed="1" x14ac:dyDescent="0.3">
      <c r="B13852" t="s">
        <v>2058</v>
      </c>
    </row>
    <row r="13853" spans="2:4" hidden="1" outlineLevel="2" x14ac:dyDescent="0.3">
      <c r="C13853" t="s">
        <v>2059</v>
      </c>
    </row>
    <row r="13854" spans="2:4" hidden="1" outlineLevel="3" x14ac:dyDescent="0.3">
      <c r="D13854" t="s">
        <v>3382</v>
      </c>
    </row>
    <row r="13855" spans="2:4" hidden="1" outlineLevel="3" x14ac:dyDescent="0.3">
      <c r="D13855" t="s">
        <v>3383</v>
      </c>
    </row>
    <row r="13856" spans="2:4" hidden="1" outlineLevel="3" x14ac:dyDescent="0.3">
      <c r="D13856" t="s">
        <v>3384</v>
      </c>
    </row>
    <row r="13857" spans="4:4" hidden="1" outlineLevel="3" x14ac:dyDescent="0.3">
      <c r="D13857" t="s">
        <v>3385</v>
      </c>
    </row>
    <row r="13858" spans="4:4" hidden="1" outlineLevel="3" x14ac:dyDescent="0.3">
      <c r="D13858" t="s">
        <v>3386</v>
      </c>
    </row>
    <row r="13859" spans="4:4" hidden="1" outlineLevel="3" x14ac:dyDescent="0.3">
      <c r="D13859" t="s">
        <v>3387</v>
      </c>
    </row>
    <row r="13860" spans="4:4" hidden="1" outlineLevel="3" x14ac:dyDescent="0.3">
      <c r="D13860" t="s">
        <v>3388</v>
      </c>
    </row>
    <row r="13861" spans="4:4" hidden="1" outlineLevel="3" x14ac:dyDescent="0.3">
      <c r="D13861" t="s">
        <v>3389</v>
      </c>
    </row>
    <row r="13862" spans="4:4" hidden="1" outlineLevel="3" x14ac:dyDescent="0.3">
      <c r="D13862" t="s">
        <v>3390</v>
      </c>
    </row>
    <row r="13863" spans="4:4" hidden="1" outlineLevel="3" x14ac:dyDescent="0.3">
      <c r="D13863" t="s">
        <v>3391</v>
      </c>
    </row>
    <row r="13864" spans="4:4" hidden="1" outlineLevel="3" x14ac:dyDescent="0.3">
      <c r="D13864" t="s">
        <v>3393</v>
      </c>
    </row>
    <row r="13865" spans="4:4" hidden="1" outlineLevel="3" x14ac:dyDescent="0.3">
      <c r="D13865" t="s">
        <v>3394</v>
      </c>
    </row>
    <row r="13866" spans="4:4" hidden="1" outlineLevel="3" x14ac:dyDescent="0.3">
      <c r="D13866" t="s">
        <v>3395</v>
      </c>
    </row>
    <row r="13867" spans="4:4" hidden="1" outlineLevel="3" x14ac:dyDescent="0.3">
      <c r="D13867" t="s">
        <v>3396</v>
      </c>
    </row>
    <row r="13868" spans="4:4" hidden="1" outlineLevel="3" x14ac:dyDescent="0.3">
      <c r="D13868" t="s">
        <v>5536</v>
      </c>
    </row>
    <row r="13869" spans="4:4" hidden="1" outlineLevel="3" x14ac:dyDescent="0.3">
      <c r="D13869" t="s">
        <v>5537</v>
      </c>
    </row>
    <row r="13870" spans="4:4" hidden="1" outlineLevel="3" x14ac:dyDescent="0.3">
      <c r="D13870" t="s">
        <v>5538</v>
      </c>
    </row>
    <row r="13871" spans="4:4" hidden="1" outlineLevel="3" x14ac:dyDescent="0.3">
      <c r="D13871" t="s">
        <v>3407</v>
      </c>
    </row>
    <row r="13872" spans="4:4" hidden="1" outlineLevel="3" x14ac:dyDescent="0.3">
      <c r="D13872" t="s">
        <v>3408</v>
      </c>
    </row>
    <row r="13873" spans="3:4" hidden="1" outlineLevel="3" x14ac:dyDescent="0.3">
      <c r="D13873" t="s">
        <v>3409</v>
      </c>
    </row>
    <row r="13874" spans="3:4" hidden="1" outlineLevel="3" x14ac:dyDescent="0.3">
      <c r="D13874" t="s">
        <v>3410</v>
      </c>
    </row>
    <row r="13875" spans="3:4" hidden="1" outlineLevel="3" x14ac:dyDescent="0.3">
      <c r="D13875" t="s">
        <v>3411</v>
      </c>
    </row>
    <row r="13876" spans="3:4" hidden="1" outlineLevel="3" x14ac:dyDescent="0.3">
      <c r="D13876" t="s">
        <v>3412</v>
      </c>
    </row>
    <row r="13877" spans="3:4" hidden="1" outlineLevel="3" x14ac:dyDescent="0.3">
      <c r="D13877" t="s">
        <v>3413</v>
      </c>
    </row>
    <row r="13878" spans="3:4" hidden="1" outlineLevel="3" x14ac:dyDescent="0.3">
      <c r="D13878" t="s">
        <v>3414</v>
      </c>
    </row>
    <row r="13879" spans="3:4" hidden="1" outlineLevel="3" x14ac:dyDescent="0.3">
      <c r="D13879" t="s">
        <v>3415</v>
      </c>
    </row>
    <row r="13880" spans="3:4" hidden="1" outlineLevel="3" x14ac:dyDescent="0.3">
      <c r="D13880" t="s">
        <v>3416</v>
      </c>
    </row>
    <row r="13881" spans="3:4" hidden="1" outlineLevel="3" x14ac:dyDescent="0.3">
      <c r="D13881" t="s">
        <v>3417</v>
      </c>
    </row>
    <row r="13882" spans="3:4" hidden="1" outlineLevel="3" x14ac:dyDescent="0.3">
      <c r="D13882" t="s">
        <v>3418</v>
      </c>
    </row>
    <row r="13883" spans="3:4" hidden="1" outlineLevel="3" x14ac:dyDescent="0.3">
      <c r="D13883" t="s">
        <v>3419</v>
      </c>
    </row>
    <row r="13884" spans="3:4" hidden="1" outlineLevel="3" x14ac:dyDescent="0.3">
      <c r="D13884" t="s">
        <v>3420</v>
      </c>
    </row>
    <row r="13885" spans="3:4" hidden="1" outlineLevel="3" x14ac:dyDescent="0.3">
      <c r="D13885" t="s">
        <v>3421</v>
      </c>
    </row>
    <row r="13886" spans="3:4" hidden="1" outlineLevel="3" x14ac:dyDescent="0.3">
      <c r="D13886" t="s">
        <v>3422</v>
      </c>
    </row>
    <row r="13887" spans="3:4" hidden="1" outlineLevel="2" x14ac:dyDescent="0.3">
      <c r="C13887" t="s">
        <v>2085</v>
      </c>
    </row>
    <row r="13888" spans="3:4" hidden="1" outlineLevel="3" x14ac:dyDescent="0.3">
      <c r="D13888" t="s">
        <v>3423</v>
      </c>
    </row>
    <row r="13889" spans="4:4" hidden="1" outlineLevel="3" x14ac:dyDescent="0.3">
      <c r="D13889" t="s">
        <v>3424</v>
      </c>
    </row>
    <row r="13890" spans="4:4" hidden="1" outlineLevel="3" x14ac:dyDescent="0.3">
      <c r="D13890" t="s">
        <v>3425</v>
      </c>
    </row>
    <row r="13891" spans="4:4" hidden="1" outlineLevel="3" x14ac:dyDescent="0.3">
      <c r="D13891" t="s">
        <v>3426</v>
      </c>
    </row>
    <row r="13892" spans="4:4" hidden="1" outlineLevel="3" x14ac:dyDescent="0.3">
      <c r="D13892" t="s">
        <v>3427</v>
      </c>
    </row>
    <row r="13893" spans="4:4" hidden="1" outlineLevel="3" x14ac:dyDescent="0.3">
      <c r="D13893" t="s">
        <v>4837</v>
      </c>
    </row>
    <row r="13894" spans="4:4" hidden="1" outlineLevel="3" x14ac:dyDescent="0.3">
      <c r="D13894" t="s">
        <v>3432</v>
      </c>
    </row>
    <row r="13895" spans="4:4" hidden="1" outlineLevel="3" x14ac:dyDescent="0.3">
      <c r="D13895" t="s">
        <v>5539</v>
      </c>
    </row>
    <row r="13896" spans="4:4" hidden="1" outlineLevel="3" x14ac:dyDescent="0.3">
      <c r="D13896" t="s">
        <v>3433</v>
      </c>
    </row>
    <row r="13897" spans="4:4" hidden="1" outlineLevel="3" x14ac:dyDescent="0.3">
      <c r="D13897" t="s">
        <v>3434</v>
      </c>
    </row>
    <row r="13898" spans="4:4" hidden="1" outlineLevel="3" x14ac:dyDescent="0.3">
      <c r="D13898" t="s">
        <v>3435</v>
      </c>
    </row>
    <row r="13899" spans="4:4" hidden="1" outlineLevel="3" x14ac:dyDescent="0.3">
      <c r="D13899" t="s">
        <v>3436</v>
      </c>
    </row>
    <row r="13900" spans="4:4" hidden="1" outlineLevel="3" x14ac:dyDescent="0.3">
      <c r="D13900" t="s">
        <v>3437</v>
      </c>
    </row>
    <row r="13901" spans="4:4" hidden="1" outlineLevel="3" x14ac:dyDescent="0.3">
      <c r="D13901" t="s">
        <v>3438</v>
      </c>
    </row>
    <row r="13902" spans="4:4" hidden="1" outlineLevel="3" x14ac:dyDescent="0.3">
      <c r="D13902" t="s">
        <v>3439</v>
      </c>
    </row>
    <row r="13903" spans="4:4" hidden="1" outlineLevel="3" x14ac:dyDescent="0.3">
      <c r="D13903" t="s">
        <v>3440</v>
      </c>
    </row>
    <row r="13904" spans="4:4" hidden="1" outlineLevel="3" x14ac:dyDescent="0.3">
      <c r="D13904" t="s">
        <v>5540</v>
      </c>
    </row>
    <row r="13905" spans="2:4" hidden="1" outlineLevel="3" x14ac:dyDescent="0.3">
      <c r="D13905" t="s">
        <v>3444</v>
      </c>
    </row>
    <row r="13906" spans="2:4" hidden="1" outlineLevel="3" x14ac:dyDescent="0.3">
      <c r="D13906" t="s">
        <v>3445</v>
      </c>
    </row>
    <row r="13907" spans="2:4" hidden="1" outlineLevel="3" x14ac:dyDescent="0.3">
      <c r="D13907" t="s">
        <v>3446</v>
      </c>
    </row>
    <row r="13908" spans="2:4" hidden="1" outlineLevel="3" x14ac:dyDescent="0.3">
      <c r="D13908" t="s">
        <v>3447</v>
      </c>
    </row>
    <row r="13909" spans="2:4" hidden="1" outlineLevel="3" x14ac:dyDescent="0.3">
      <c r="D13909" t="s">
        <v>3448</v>
      </c>
    </row>
    <row r="13910" spans="2:4" hidden="1" outlineLevel="3" x14ac:dyDescent="0.3">
      <c r="D13910" t="s">
        <v>3449</v>
      </c>
    </row>
    <row r="13911" spans="2:4" hidden="1" outlineLevel="3" x14ac:dyDescent="0.3">
      <c r="D13911" t="s">
        <v>3450</v>
      </c>
    </row>
    <row r="13912" spans="2:4" hidden="1" outlineLevel="3" x14ac:dyDescent="0.3">
      <c r="D13912" t="s">
        <v>3451</v>
      </c>
    </row>
    <row r="13913" spans="2:4" hidden="1" outlineLevel="3" x14ac:dyDescent="0.3">
      <c r="D13913" t="s">
        <v>3452</v>
      </c>
    </row>
    <row r="13914" spans="2:4" hidden="1" outlineLevel="2" x14ac:dyDescent="0.3">
      <c r="C13914" t="s">
        <v>2117</v>
      </c>
    </row>
    <row r="13915" spans="2:4" hidden="1" outlineLevel="2" x14ac:dyDescent="0.3">
      <c r="C13915" t="s">
        <v>2118</v>
      </c>
    </row>
    <row r="13916" spans="2:4" outlineLevel="1" collapsed="1" x14ac:dyDescent="0.3">
      <c r="B13916" t="s">
        <v>2119</v>
      </c>
    </row>
    <row r="13917" spans="2:4" outlineLevel="1" x14ac:dyDescent="0.3">
      <c r="B13917" t="s">
        <v>2120</v>
      </c>
    </row>
    <row r="13918" spans="2:4" outlineLevel="1" x14ac:dyDescent="0.3">
      <c r="B13918" t="s">
        <v>2121</v>
      </c>
    </row>
    <row r="13919" spans="2:4" outlineLevel="1" x14ac:dyDescent="0.3">
      <c r="B13919" t="s">
        <v>2122</v>
      </c>
    </row>
    <row r="13920" spans="2:4" outlineLevel="1" x14ac:dyDescent="0.3">
      <c r="B13920" t="s">
        <v>2123</v>
      </c>
    </row>
    <row r="13921" spans="1:3" outlineLevel="1" x14ac:dyDescent="0.3">
      <c r="B13921" t="s">
        <v>2124</v>
      </c>
    </row>
    <row r="13922" spans="1:3" outlineLevel="1" x14ac:dyDescent="0.3">
      <c r="B13922" t="s">
        <v>2125</v>
      </c>
    </row>
    <row r="13923" spans="1:3" outlineLevel="1" x14ac:dyDescent="0.3">
      <c r="B13923" t="s">
        <v>2126</v>
      </c>
    </row>
    <row r="13924" spans="1:3" x14ac:dyDescent="0.3">
      <c r="A13924" t="s">
        <v>2127</v>
      </c>
    </row>
    <row r="13925" spans="1:3" outlineLevel="1" x14ac:dyDescent="0.3">
      <c r="B13925" t="s">
        <v>2128</v>
      </c>
    </row>
    <row r="13926" spans="1:3" hidden="1" outlineLevel="2" x14ac:dyDescent="0.3">
      <c r="C13926" t="s">
        <v>5541</v>
      </c>
    </row>
    <row r="13927" spans="1:3" hidden="1" outlineLevel="2" x14ac:dyDescent="0.3">
      <c r="C13927" t="s">
        <v>3454</v>
      </c>
    </row>
    <row r="13928" spans="1:3" hidden="1" outlineLevel="2" x14ac:dyDescent="0.3">
      <c r="C13928" t="s">
        <v>3455</v>
      </c>
    </row>
    <row r="13929" spans="1:3" hidden="1" outlineLevel="2" x14ac:dyDescent="0.3">
      <c r="C13929" t="s">
        <v>3456</v>
      </c>
    </row>
    <row r="13930" spans="1:3" hidden="1" outlineLevel="2" x14ac:dyDescent="0.3">
      <c r="C13930" t="s">
        <v>3457</v>
      </c>
    </row>
    <row r="13931" spans="1:3" hidden="1" outlineLevel="2" x14ac:dyDescent="0.3">
      <c r="C13931" t="s">
        <v>3458</v>
      </c>
    </row>
    <row r="13932" spans="1:3" hidden="1" outlineLevel="2" x14ac:dyDescent="0.3">
      <c r="C13932" t="s">
        <v>3459</v>
      </c>
    </row>
    <row r="13933" spans="1:3" hidden="1" outlineLevel="2" x14ac:dyDescent="0.3">
      <c r="C13933" t="s">
        <v>3460</v>
      </c>
    </row>
    <row r="13934" spans="1:3" hidden="1" outlineLevel="2" x14ac:dyDescent="0.3">
      <c r="C13934" t="s">
        <v>3461</v>
      </c>
    </row>
    <row r="13935" spans="1:3" hidden="1" outlineLevel="2" x14ac:dyDescent="0.3">
      <c r="C13935" t="s">
        <v>3462</v>
      </c>
    </row>
    <row r="13936" spans="1:3" hidden="1" outlineLevel="2" x14ac:dyDescent="0.3">
      <c r="C13936" t="s">
        <v>3463</v>
      </c>
    </row>
    <row r="13937" spans="3:3" hidden="1" outlineLevel="2" x14ac:dyDescent="0.3">
      <c r="C13937" t="s">
        <v>5542</v>
      </c>
    </row>
    <row r="13938" spans="3:3" hidden="1" outlineLevel="2" x14ac:dyDescent="0.3">
      <c r="C13938" t="s">
        <v>5543</v>
      </c>
    </row>
    <row r="13939" spans="3:3" hidden="1" outlineLevel="2" x14ac:dyDescent="0.3">
      <c r="C13939" t="s">
        <v>5544</v>
      </c>
    </row>
    <row r="13940" spans="3:3" hidden="1" outlineLevel="2" x14ac:dyDescent="0.3">
      <c r="C13940" t="s">
        <v>5545</v>
      </c>
    </row>
    <row r="13941" spans="3:3" hidden="1" outlineLevel="2" x14ac:dyDescent="0.3">
      <c r="C13941" t="s">
        <v>5546</v>
      </c>
    </row>
    <row r="13942" spans="3:3" hidden="1" outlineLevel="2" x14ac:dyDescent="0.3">
      <c r="C13942" t="s">
        <v>5015</v>
      </c>
    </row>
    <row r="13943" spans="3:3" hidden="1" outlineLevel="2" x14ac:dyDescent="0.3">
      <c r="C13943" t="s">
        <v>5547</v>
      </c>
    </row>
    <row r="13944" spans="3:3" hidden="1" outlineLevel="2" x14ac:dyDescent="0.3">
      <c r="C13944" t="s">
        <v>5548</v>
      </c>
    </row>
    <row r="13945" spans="3:3" hidden="1" outlineLevel="2" x14ac:dyDescent="0.3">
      <c r="C13945" t="s">
        <v>3479</v>
      </c>
    </row>
    <row r="13946" spans="3:3" hidden="1" outlineLevel="2" x14ac:dyDescent="0.3">
      <c r="C13946" t="s">
        <v>3480</v>
      </c>
    </row>
    <row r="13947" spans="3:3" hidden="1" outlineLevel="2" x14ac:dyDescent="0.3">
      <c r="C13947" t="s">
        <v>3481</v>
      </c>
    </row>
    <row r="13948" spans="3:3" hidden="1" outlineLevel="2" x14ac:dyDescent="0.3">
      <c r="C13948" t="s">
        <v>3483</v>
      </c>
    </row>
    <row r="13949" spans="3:3" hidden="1" outlineLevel="2" x14ac:dyDescent="0.3">
      <c r="C13949" t="s">
        <v>3484</v>
      </c>
    </row>
    <row r="13950" spans="3:3" hidden="1" outlineLevel="2" x14ac:dyDescent="0.3">
      <c r="C13950" t="s">
        <v>3485</v>
      </c>
    </row>
    <row r="13951" spans="3:3" hidden="1" outlineLevel="2" x14ac:dyDescent="0.3">
      <c r="C13951" t="s">
        <v>3487</v>
      </c>
    </row>
    <row r="13952" spans="3:3" hidden="1" outlineLevel="2" x14ac:dyDescent="0.3">
      <c r="C13952" t="s">
        <v>3488</v>
      </c>
    </row>
    <row r="13953" spans="2:3" hidden="1" outlineLevel="2" x14ac:dyDescent="0.3">
      <c r="C13953" t="s">
        <v>3489</v>
      </c>
    </row>
    <row r="13954" spans="2:3" hidden="1" outlineLevel="2" x14ac:dyDescent="0.3">
      <c r="C13954" t="s">
        <v>3490</v>
      </c>
    </row>
    <row r="13955" spans="2:3" hidden="1" outlineLevel="2" x14ac:dyDescent="0.3">
      <c r="C13955" t="s">
        <v>3491</v>
      </c>
    </row>
    <row r="13956" spans="2:3" hidden="1" outlineLevel="2" x14ac:dyDescent="0.3">
      <c r="C13956" t="s">
        <v>3492</v>
      </c>
    </row>
    <row r="13957" spans="2:3" hidden="1" outlineLevel="2" x14ac:dyDescent="0.3">
      <c r="C13957" t="s">
        <v>2194</v>
      </c>
    </row>
    <row r="13958" spans="2:3" outlineLevel="1" collapsed="1" x14ac:dyDescent="0.3">
      <c r="B13958" t="s">
        <v>2195</v>
      </c>
    </row>
    <row r="13959" spans="2:3" hidden="1" outlineLevel="2" x14ac:dyDescent="0.3">
      <c r="C13959" t="s">
        <v>5549</v>
      </c>
    </row>
    <row r="13960" spans="2:3" hidden="1" outlineLevel="2" x14ac:dyDescent="0.3">
      <c r="C13960" t="s">
        <v>3494</v>
      </c>
    </row>
    <row r="13961" spans="2:3" hidden="1" outlineLevel="2" x14ac:dyDescent="0.3">
      <c r="C13961" t="s">
        <v>3495</v>
      </c>
    </row>
    <row r="13962" spans="2:3" hidden="1" outlineLevel="2" x14ac:dyDescent="0.3">
      <c r="C13962" t="s">
        <v>3496</v>
      </c>
    </row>
    <row r="13963" spans="2:3" hidden="1" outlineLevel="2" x14ac:dyDescent="0.3">
      <c r="C13963" t="s">
        <v>3497</v>
      </c>
    </row>
    <row r="13964" spans="2:3" hidden="1" outlineLevel="2" x14ac:dyDescent="0.3">
      <c r="C13964" t="s">
        <v>3498</v>
      </c>
    </row>
    <row r="13965" spans="2:3" hidden="1" outlineLevel="2" x14ac:dyDescent="0.3">
      <c r="C13965" t="s">
        <v>3499</v>
      </c>
    </row>
    <row r="13966" spans="2:3" hidden="1" outlineLevel="2" x14ac:dyDescent="0.3">
      <c r="C13966" t="s">
        <v>3500</v>
      </c>
    </row>
    <row r="13967" spans="2:3" hidden="1" outlineLevel="2" x14ac:dyDescent="0.3">
      <c r="C13967" t="s">
        <v>3501</v>
      </c>
    </row>
    <row r="13968" spans="2:3" hidden="1" outlineLevel="2" x14ac:dyDescent="0.3">
      <c r="C13968" t="s">
        <v>3502</v>
      </c>
    </row>
    <row r="13969" spans="3:3" hidden="1" outlineLevel="2" x14ac:dyDescent="0.3">
      <c r="C13969" t="s">
        <v>3503</v>
      </c>
    </row>
    <row r="13970" spans="3:3" hidden="1" outlineLevel="2" x14ac:dyDescent="0.3">
      <c r="C13970" t="s">
        <v>5550</v>
      </c>
    </row>
    <row r="13971" spans="3:3" hidden="1" outlineLevel="2" x14ac:dyDescent="0.3">
      <c r="C13971" t="s">
        <v>5551</v>
      </c>
    </row>
    <row r="13972" spans="3:3" hidden="1" outlineLevel="2" x14ac:dyDescent="0.3">
      <c r="C13972" t="s">
        <v>5552</v>
      </c>
    </row>
    <row r="13973" spans="3:3" hidden="1" outlineLevel="2" x14ac:dyDescent="0.3">
      <c r="C13973" t="s">
        <v>5553</v>
      </c>
    </row>
    <row r="13974" spans="3:3" hidden="1" outlineLevel="2" x14ac:dyDescent="0.3">
      <c r="C13974" t="s">
        <v>5554</v>
      </c>
    </row>
    <row r="13975" spans="3:3" hidden="1" outlineLevel="2" x14ac:dyDescent="0.3">
      <c r="C13975" t="s">
        <v>5021</v>
      </c>
    </row>
    <row r="13976" spans="3:3" hidden="1" outlineLevel="2" x14ac:dyDescent="0.3">
      <c r="C13976" t="s">
        <v>5555</v>
      </c>
    </row>
    <row r="13977" spans="3:3" hidden="1" outlineLevel="2" x14ac:dyDescent="0.3">
      <c r="C13977" t="s">
        <v>5556</v>
      </c>
    </row>
    <row r="13978" spans="3:3" hidden="1" outlineLevel="2" x14ac:dyDescent="0.3">
      <c r="C13978" t="s">
        <v>3519</v>
      </c>
    </row>
    <row r="13979" spans="3:3" hidden="1" outlineLevel="2" x14ac:dyDescent="0.3">
      <c r="C13979" t="s">
        <v>3520</v>
      </c>
    </row>
    <row r="13980" spans="3:3" hidden="1" outlineLevel="2" x14ac:dyDescent="0.3">
      <c r="C13980" t="s">
        <v>3521</v>
      </c>
    </row>
    <row r="13981" spans="3:3" hidden="1" outlineLevel="2" x14ac:dyDescent="0.3">
      <c r="C13981" t="s">
        <v>3522</v>
      </c>
    </row>
    <row r="13982" spans="3:3" hidden="1" outlineLevel="2" x14ac:dyDescent="0.3">
      <c r="C13982" t="s">
        <v>3523</v>
      </c>
    </row>
    <row r="13983" spans="3:3" hidden="1" outlineLevel="2" x14ac:dyDescent="0.3">
      <c r="C13983" t="s">
        <v>3524</v>
      </c>
    </row>
    <row r="13984" spans="3:3" hidden="1" outlineLevel="2" x14ac:dyDescent="0.3">
      <c r="C13984" t="s">
        <v>3525</v>
      </c>
    </row>
    <row r="13985" spans="1:3" hidden="1" outlineLevel="2" x14ac:dyDescent="0.3">
      <c r="C13985" t="s">
        <v>3527</v>
      </c>
    </row>
    <row r="13986" spans="1:3" hidden="1" outlineLevel="2" x14ac:dyDescent="0.3">
      <c r="C13986" t="s">
        <v>3528</v>
      </c>
    </row>
    <row r="13987" spans="1:3" hidden="1" outlineLevel="2" x14ac:dyDescent="0.3">
      <c r="C13987" t="s">
        <v>3529</v>
      </c>
    </row>
    <row r="13988" spans="1:3" hidden="1" outlineLevel="2" x14ac:dyDescent="0.3">
      <c r="C13988" t="s">
        <v>3530</v>
      </c>
    </row>
    <row r="13989" spans="1:3" hidden="1" outlineLevel="2" x14ac:dyDescent="0.3">
      <c r="C13989" t="s">
        <v>3531</v>
      </c>
    </row>
    <row r="13990" spans="1:3" hidden="1" outlineLevel="2" x14ac:dyDescent="0.3">
      <c r="C13990" t="s">
        <v>3532</v>
      </c>
    </row>
    <row r="13991" spans="1:3" hidden="1" outlineLevel="2" x14ac:dyDescent="0.3">
      <c r="C13991" t="s">
        <v>2263</v>
      </c>
    </row>
    <row r="13992" spans="1:3" outlineLevel="1" collapsed="1" x14ac:dyDescent="0.3">
      <c r="B13992" t="s">
        <v>2264</v>
      </c>
    </row>
    <row r="13993" spans="1:3" outlineLevel="1" x14ac:dyDescent="0.3">
      <c r="B13993" t="s">
        <v>2265</v>
      </c>
    </row>
    <row r="13994" spans="1:3" outlineLevel="1" x14ac:dyDescent="0.3">
      <c r="B13994" t="s">
        <v>2266</v>
      </c>
    </row>
    <row r="13995" spans="1:3" outlineLevel="1" x14ac:dyDescent="0.3">
      <c r="B13995" t="s">
        <v>2267</v>
      </c>
    </row>
    <row r="13996" spans="1:3" outlineLevel="1" x14ac:dyDescent="0.3">
      <c r="B13996" t="s">
        <v>2268</v>
      </c>
    </row>
    <row r="13997" spans="1:3" outlineLevel="1" x14ac:dyDescent="0.3">
      <c r="B13997" t="s">
        <v>2269</v>
      </c>
    </row>
    <row r="13998" spans="1:3" x14ac:dyDescent="0.3">
      <c r="A13998" t="s">
        <v>2270</v>
      </c>
    </row>
    <row r="13999" spans="1:3" outlineLevel="1" x14ac:dyDescent="0.3">
      <c r="B13999" t="s">
        <v>2271</v>
      </c>
    </row>
    <row r="14000" spans="1:3" hidden="1" outlineLevel="2" x14ac:dyDescent="0.3">
      <c r="C14000" t="s">
        <v>3533</v>
      </c>
    </row>
    <row r="14001" spans="3:3" hidden="1" outlineLevel="2" x14ac:dyDescent="0.3">
      <c r="C14001" t="s">
        <v>3534</v>
      </c>
    </row>
    <row r="14002" spans="3:3" hidden="1" outlineLevel="2" x14ac:dyDescent="0.3">
      <c r="C14002" t="s">
        <v>4151</v>
      </c>
    </row>
    <row r="14003" spans="3:3" hidden="1" outlineLevel="2" x14ac:dyDescent="0.3">
      <c r="C14003" t="s">
        <v>3548</v>
      </c>
    </row>
    <row r="14004" spans="3:3" hidden="1" outlineLevel="2" x14ac:dyDescent="0.3">
      <c r="C14004" t="s">
        <v>5557</v>
      </c>
    </row>
    <row r="14005" spans="3:3" hidden="1" outlineLevel="2" x14ac:dyDescent="0.3">
      <c r="C14005" t="s">
        <v>5558</v>
      </c>
    </row>
    <row r="14006" spans="3:3" hidden="1" outlineLevel="2" x14ac:dyDescent="0.3">
      <c r="C14006" t="s">
        <v>3551</v>
      </c>
    </row>
    <row r="14007" spans="3:3" hidden="1" outlineLevel="2" x14ac:dyDescent="0.3">
      <c r="C14007" t="s">
        <v>3552</v>
      </c>
    </row>
    <row r="14008" spans="3:3" hidden="1" outlineLevel="2" x14ac:dyDescent="0.3">
      <c r="C14008" t="s">
        <v>3554</v>
      </c>
    </row>
    <row r="14009" spans="3:3" hidden="1" outlineLevel="2" x14ac:dyDescent="0.3">
      <c r="C14009" t="s">
        <v>3555</v>
      </c>
    </row>
    <row r="14010" spans="3:3" hidden="1" outlineLevel="2" x14ac:dyDescent="0.3">
      <c r="C14010" t="s">
        <v>3556</v>
      </c>
    </row>
    <row r="14011" spans="3:3" hidden="1" outlineLevel="2" x14ac:dyDescent="0.3">
      <c r="C14011" t="s">
        <v>3557</v>
      </c>
    </row>
    <row r="14012" spans="3:3" hidden="1" outlineLevel="2" x14ac:dyDescent="0.3">
      <c r="C14012" t="s">
        <v>3558</v>
      </c>
    </row>
    <row r="14013" spans="3:3" hidden="1" outlineLevel="2" x14ac:dyDescent="0.3">
      <c r="C14013" t="s">
        <v>3559</v>
      </c>
    </row>
    <row r="14014" spans="3:3" hidden="1" outlineLevel="2" x14ac:dyDescent="0.3">
      <c r="C14014" t="s">
        <v>3560</v>
      </c>
    </row>
    <row r="14015" spans="3:3" hidden="1" outlineLevel="2" x14ac:dyDescent="0.3">
      <c r="C14015" t="s">
        <v>3561</v>
      </c>
    </row>
    <row r="14016" spans="3:3" hidden="1" outlineLevel="2" x14ac:dyDescent="0.3">
      <c r="C14016" t="s">
        <v>3563</v>
      </c>
    </row>
    <row r="14017" spans="2:3" hidden="1" outlineLevel="2" x14ac:dyDescent="0.3">
      <c r="C14017" t="s">
        <v>3564</v>
      </c>
    </row>
    <row r="14018" spans="2:3" hidden="1" outlineLevel="2" x14ac:dyDescent="0.3">
      <c r="C14018" t="s">
        <v>3565</v>
      </c>
    </row>
    <row r="14019" spans="2:3" hidden="1" outlineLevel="2" x14ac:dyDescent="0.3">
      <c r="C14019" t="s">
        <v>3566</v>
      </c>
    </row>
    <row r="14020" spans="2:3" hidden="1" outlineLevel="2" x14ac:dyDescent="0.3">
      <c r="C14020" t="s">
        <v>3567</v>
      </c>
    </row>
    <row r="14021" spans="2:3" hidden="1" outlineLevel="2" x14ac:dyDescent="0.3">
      <c r="C14021" t="s">
        <v>3568</v>
      </c>
    </row>
    <row r="14022" spans="2:3" hidden="1" outlineLevel="2" x14ac:dyDescent="0.3">
      <c r="C14022" t="s">
        <v>2302</v>
      </c>
    </row>
    <row r="14023" spans="2:3" outlineLevel="1" collapsed="1" x14ac:dyDescent="0.3">
      <c r="B14023" t="s">
        <v>2303</v>
      </c>
    </row>
    <row r="14024" spans="2:3" hidden="1" outlineLevel="2" x14ac:dyDescent="0.3">
      <c r="C14024" t="s">
        <v>3569</v>
      </c>
    </row>
    <row r="14025" spans="2:3" hidden="1" outlineLevel="2" x14ac:dyDescent="0.3">
      <c r="C14025" t="s">
        <v>3570</v>
      </c>
    </row>
    <row r="14026" spans="2:3" hidden="1" outlineLevel="2" x14ac:dyDescent="0.3">
      <c r="C14026" t="s">
        <v>4152</v>
      </c>
    </row>
    <row r="14027" spans="2:3" hidden="1" outlineLevel="2" x14ac:dyDescent="0.3">
      <c r="C14027" t="s">
        <v>3584</v>
      </c>
    </row>
    <row r="14028" spans="2:3" hidden="1" outlineLevel="2" x14ac:dyDescent="0.3">
      <c r="C14028" t="s">
        <v>5559</v>
      </c>
    </row>
    <row r="14029" spans="2:3" hidden="1" outlineLevel="2" x14ac:dyDescent="0.3">
      <c r="C14029" t="s">
        <v>5560</v>
      </c>
    </row>
    <row r="14030" spans="2:3" hidden="1" outlineLevel="2" x14ac:dyDescent="0.3">
      <c r="C14030" t="s">
        <v>3587</v>
      </c>
    </row>
    <row r="14031" spans="2:3" hidden="1" outlineLevel="2" x14ac:dyDescent="0.3">
      <c r="C14031" t="s">
        <v>3588</v>
      </c>
    </row>
    <row r="14032" spans="2:3" hidden="1" outlineLevel="2" x14ac:dyDescent="0.3">
      <c r="C14032" t="s">
        <v>3590</v>
      </c>
    </row>
    <row r="14033" spans="2:3" hidden="1" outlineLevel="2" x14ac:dyDescent="0.3">
      <c r="C14033" t="s">
        <v>3591</v>
      </c>
    </row>
    <row r="14034" spans="2:3" hidden="1" outlineLevel="2" x14ac:dyDescent="0.3">
      <c r="C14034" t="s">
        <v>3592</v>
      </c>
    </row>
    <row r="14035" spans="2:3" hidden="1" outlineLevel="2" x14ac:dyDescent="0.3">
      <c r="C14035" t="s">
        <v>3593</v>
      </c>
    </row>
    <row r="14036" spans="2:3" hidden="1" outlineLevel="2" x14ac:dyDescent="0.3">
      <c r="C14036" t="s">
        <v>3595</v>
      </c>
    </row>
    <row r="14037" spans="2:3" hidden="1" outlineLevel="2" x14ac:dyDescent="0.3">
      <c r="C14037" t="s">
        <v>3596</v>
      </c>
    </row>
    <row r="14038" spans="2:3" hidden="1" outlineLevel="2" x14ac:dyDescent="0.3">
      <c r="C14038" t="s">
        <v>3597</v>
      </c>
    </row>
    <row r="14039" spans="2:3" hidden="1" outlineLevel="2" x14ac:dyDescent="0.3">
      <c r="C14039" t="s">
        <v>3599</v>
      </c>
    </row>
    <row r="14040" spans="2:3" hidden="1" outlineLevel="2" x14ac:dyDescent="0.3">
      <c r="C14040" t="s">
        <v>3600</v>
      </c>
    </row>
    <row r="14041" spans="2:3" hidden="1" outlineLevel="2" x14ac:dyDescent="0.3">
      <c r="C14041" t="s">
        <v>3601</v>
      </c>
    </row>
    <row r="14042" spans="2:3" hidden="1" outlineLevel="2" x14ac:dyDescent="0.3">
      <c r="C14042" t="s">
        <v>3602</v>
      </c>
    </row>
    <row r="14043" spans="2:3" hidden="1" outlineLevel="2" x14ac:dyDescent="0.3">
      <c r="C14043" t="s">
        <v>3603</v>
      </c>
    </row>
    <row r="14044" spans="2:3" hidden="1" outlineLevel="2" x14ac:dyDescent="0.3">
      <c r="C14044" t="s">
        <v>3604</v>
      </c>
    </row>
    <row r="14045" spans="2:3" hidden="1" outlineLevel="2" x14ac:dyDescent="0.3">
      <c r="C14045" t="s">
        <v>3605</v>
      </c>
    </row>
    <row r="14046" spans="2:3" hidden="1" outlineLevel="2" x14ac:dyDescent="0.3">
      <c r="C14046" t="s">
        <v>3606</v>
      </c>
    </row>
    <row r="14047" spans="2:3" hidden="1" outlineLevel="2" x14ac:dyDescent="0.3">
      <c r="C14047" t="s">
        <v>2334</v>
      </c>
    </row>
    <row r="14048" spans="2:3" outlineLevel="1" collapsed="1" x14ac:dyDescent="0.3">
      <c r="B14048" t="s">
        <v>2335</v>
      </c>
    </row>
    <row r="14049" spans="1:2" outlineLevel="1" x14ac:dyDescent="0.3">
      <c r="B14049" t="s">
        <v>2336</v>
      </c>
    </row>
    <row r="14050" spans="1:2" outlineLevel="1" x14ac:dyDescent="0.3">
      <c r="B14050" t="s">
        <v>2337</v>
      </c>
    </row>
    <row r="14051" spans="1:2" outlineLevel="1" x14ac:dyDescent="0.3">
      <c r="B14051" t="s">
        <v>2338</v>
      </c>
    </row>
    <row r="14052" spans="1:2" outlineLevel="1" x14ac:dyDescent="0.3">
      <c r="B14052" t="s">
        <v>2339</v>
      </c>
    </row>
    <row r="14053" spans="1:2" outlineLevel="1" x14ac:dyDescent="0.3">
      <c r="B14053" t="s">
        <v>2340</v>
      </c>
    </row>
    <row r="14054" spans="1:2" x14ac:dyDescent="0.3">
      <c r="A14054" t="s">
        <v>2341</v>
      </c>
    </row>
    <row r="14055" spans="1:2" x14ac:dyDescent="0.3">
      <c r="A14055" t="s">
        <v>2342</v>
      </c>
    </row>
    <row r="14056" spans="1:2" x14ac:dyDescent="0.3">
      <c r="A14056" t="s">
        <v>2343</v>
      </c>
    </row>
    <row r="14057" spans="1:2" x14ac:dyDescent="0.3">
      <c r="A14057" t="s">
        <v>2344</v>
      </c>
    </row>
    <row r="14058" spans="1:2" x14ac:dyDescent="0.3">
      <c r="A14058" t="s">
        <v>2345</v>
      </c>
    </row>
    <row r="14059" spans="1:2" x14ac:dyDescent="0.3">
      <c r="A14059" t="s">
        <v>2346</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12"/>
  <sheetViews>
    <sheetView workbookViewId="0"/>
  </sheetViews>
  <sheetFormatPr defaultRowHeight="16.5" x14ac:dyDescent="0.3"/>
  <cols>
    <col min="1" max="1" width="11.625" customWidth="1"/>
  </cols>
  <sheetData>
    <row r="1" spans="1:15" x14ac:dyDescent="0.3">
      <c r="A1">
        <v>1</v>
      </c>
      <c r="B1" t="s">
        <v>5561</v>
      </c>
      <c r="D1">
        <v>2</v>
      </c>
      <c r="E1" t="s">
        <v>2350</v>
      </c>
      <c r="F1">
        <v>1</v>
      </c>
      <c r="G1" t="s">
        <v>2352</v>
      </c>
      <c r="H1">
        <v>1</v>
      </c>
      <c r="I1">
        <f ca="1">YEAR(TODAY())</f>
        <v>2023</v>
      </c>
      <c r="J1" t="s">
        <v>2355</v>
      </c>
      <c r="K1" s="1" t="s">
        <v>2359</v>
      </c>
      <c r="L1">
        <v>2</v>
      </c>
      <c r="M1">
        <v>1</v>
      </c>
      <c r="N1">
        <v>1</v>
      </c>
      <c r="O1" t="s">
        <v>2370</v>
      </c>
    </row>
    <row r="2" spans="1:15" x14ac:dyDescent="0.3">
      <c r="A2" t="str">
        <f>INDEX($O$1:$O$8,$N$1)&amp;"_"&amp;INDEX($B$1:$B$8,$A$1)</f>
        <v>비금융_요약_재무상태표</v>
      </c>
      <c r="B2" t="s">
        <v>5562</v>
      </c>
      <c r="D2" t="str">
        <f>INDEX($E$1:$E$3,$D$1)</f>
        <v>개별</v>
      </c>
      <c r="E2" t="s">
        <v>2351</v>
      </c>
      <c r="F2" t="str">
        <f>INDEX($G$1:$G$2,$F$1)</f>
        <v>누적</v>
      </c>
      <c r="G2" t="s">
        <v>2353</v>
      </c>
      <c r="I2">
        <f ca="1">I1-1</f>
        <v>2022</v>
      </c>
      <c r="J2" t="s">
        <v>2356</v>
      </c>
      <c r="K2" s="1" t="s">
        <v>2360</v>
      </c>
      <c r="L2">
        <f>INDEX($M$1:$M$4,$L$1)</f>
        <v>1000</v>
      </c>
      <c r="M2">
        <v>1000</v>
      </c>
      <c r="O2" t="s">
        <v>2371</v>
      </c>
    </row>
    <row r="3" spans="1:15" x14ac:dyDescent="0.3">
      <c r="B3" t="s">
        <v>5563</v>
      </c>
      <c r="E3" t="s">
        <v>2369</v>
      </c>
      <c r="I3">
        <f t="shared" ref="I3:I12" ca="1" si="0">I2-1</f>
        <v>2021</v>
      </c>
      <c r="J3" t="s">
        <v>2357</v>
      </c>
      <c r="K3" s="1" t="s">
        <v>2361</v>
      </c>
      <c r="M3">
        <v>100000</v>
      </c>
      <c r="O3" t="s">
        <v>2372</v>
      </c>
    </row>
    <row r="4" spans="1:15" x14ac:dyDescent="0.3">
      <c r="B4" t="s">
        <v>5564</v>
      </c>
      <c r="I4">
        <f t="shared" ca="1" si="0"/>
        <v>2020</v>
      </c>
      <c r="J4" t="s">
        <v>2358</v>
      </c>
      <c r="K4" s="1" t="s">
        <v>2362</v>
      </c>
      <c r="M4">
        <v>1000000</v>
      </c>
      <c r="O4" t="s">
        <v>2373</v>
      </c>
    </row>
    <row r="5" spans="1:15" x14ac:dyDescent="0.3">
      <c r="B5" t="s">
        <v>2365</v>
      </c>
      <c r="I5">
        <f t="shared" ca="1" si="0"/>
        <v>2019</v>
      </c>
      <c r="J5">
        <v>3</v>
      </c>
      <c r="O5" t="s">
        <v>2374</v>
      </c>
    </row>
    <row r="6" spans="1:15" x14ac:dyDescent="0.3">
      <c r="B6" t="s">
        <v>2366</v>
      </c>
      <c r="I6">
        <f t="shared" ca="1" si="0"/>
        <v>2018</v>
      </c>
      <c r="J6" t="str">
        <f ca="1">INDEX($I$1:$I$12,$H$1)&amp;INDEX($K$1:$K$4,$J$5)</f>
        <v>20230630</v>
      </c>
      <c r="O6" t="s">
        <v>2375</v>
      </c>
    </row>
    <row r="7" spans="1:15" x14ac:dyDescent="0.3">
      <c r="B7" t="s">
        <v>2367</v>
      </c>
      <c r="I7">
        <f t="shared" ca="1" si="0"/>
        <v>2017</v>
      </c>
      <c r="O7" t="s">
        <v>2376</v>
      </c>
    </row>
    <row r="8" spans="1:15" x14ac:dyDescent="0.3">
      <c r="B8" t="s">
        <v>2368</v>
      </c>
      <c r="I8">
        <f t="shared" ca="1" si="0"/>
        <v>2016</v>
      </c>
      <c r="O8" t="s">
        <v>2377</v>
      </c>
    </row>
    <row r="9" spans="1:15" x14ac:dyDescent="0.3">
      <c r="I9">
        <f t="shared" ca="1" si="0"/>
        <v>2015</v>
      </c>
    </row>
    <row r="10" spans="1:15" x14ac:dyDescent="0.3">
      <c r="I10">
        <f t="shared" ca="1" si="0"/>
        <v>2014</v>
      </c>
    </row>
    <row r="11" spans="1:15" x14ac:dyDescent="0.3">
      <c r="I11">
        <f t="shared" ca="1" si="0"/>
        <v>2013</v>
      </c>
    </row>
    <row r="12" spans="1:15" x14ac:dyDescent="0.3">
      <c r="I12">
        <f t="shared" ca="1" si="0"/>
        <v>2012</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이름이 지정된 범위</vt:lpstr>
      </vt:variant>
      <vt:variant>
        <vt:i4>60</vt:i4>
      </vt:variant>
    </vt:vector>
  </HeadingPairs>
  <TitlesOfParts>
    <vt:vector size="63" baseType="lpstr">
      <vt:lpstr>재무제표</vt:lpstr>
      <vt:lpstr>Sheet3</vt:lpstr>
      <vt:lpstr>Sheet2</vt:lpstr>
      <vt:lpstr>기타_요약_자본변동표</vt:lpstr>
      <vt:lpstr>기타_요약_재무상태표</vt:lpstr>
      <vt:lpstr>기타_요약_포괄손익계산서</vt:lpstr>
      <vt:lpstr>기타_요약_현금흐름표</vt:lpstr>
      <vt:lpstr>기타_표준_자본변동표</vt:lpstr>
      <vt:lpstr>기타_표준_재무상태표</vt:lpstr>
      <vt:lpstr>기타_표준_포괄손익계산서</vt:lpstr>
      <vt:lpstr>기타_표준_현금흐름표</vt:lpstr>
      <vt:lpstr>보험_요약_자본변동표</vt:lpstr>
      <vt:lpstr>보험_요약_재무상태표</vt:lpstr>
      <vt:lpstr>보험_요약_포괄손익계산서</vt:lpstr>
      <vt:lpstr>보험_요약_현금흐름표</vt:lpstr>
      <vt:lpstr>보험_표준_자본변동표</vt:lpstr>
      <vt:lpstr>보험_표준_재무상태표</vt:lpstr>
      <vt:lpstr>보험_표준_포괄손익계산서</vt:lpstr>
      <vt:lpstr>보험_표준_현금흐름표</vt:lpstr>
      <vt:lpstr>비금융_요약_자본변동표</vt:lpstr>
      <vt:lpstr>비금융_요약_재무상태표</vt:lpstr>
      <vt:lpstr>비금융_요약_포괄손익계산서</vt:lpstr>
      <vt:lpstr>비금융_요약_현금흐름표</vt:lpstr>
      <vt:lpstr>비금융_표준_자본변동표</vt:lpstr>
      <vt:lpstr>비금융_표준_재무상태표</vt:lpstr>
      <vt:lpstr>비금융_표준_포괄손익계산서</vt:lpstr>
      <vt:lpstr>비금융_표준_현금흐름표</vt:lpstr>
      <vt:lpstr>신금_표준_자본변동표</vt:lpstr>
      <vt:lpstr>신금_표준_재무상태표</vt:lpstr>
      <vt:lpstr>신금_표준_포괄손익계산서</vt:lpstr>
      <vt:lpstr>신금_표준_현금흐름표</vt:lpstr>
      <vt:lpstr>여신_요약_자본변동표</vt:lpstr>
      <vt:lpstr>여신_요약_재무상태표</vt:lpstr>
      <vt:lpstr>여신_요약_포괄손익계산서</vt:lpstr>
      <vt:lpstr>여신_요약_현금흐름표</vt:lpstr>
      <vt:lpstr>여신_표준_자본변동표</vt:lpstr>
      <vt:lpstr>여신_표준_재무상태표</vt:lpstr>
      <vt:lpstr>여신_표준_포괄손익계산서</vt:lpstr>
      <vt:lpstr>여신_표준_현금흐름표</vt:lpstr>
      <vt:lpstr>은행_요약_자본변동표</vt:lpstr>
      <vt:lpstr>은행_요약_재무상태표</vt:lpstr>
      <vt:lpstr>은행_요약_포괄손익계산서</vt:lpstr>
      <vt:lpstr>은행_요약_현금흐름표</vt:lpstr>
      <vt:lpstr>은행_표준_자본변동표</vt:lpstr>
      <vt:lpstr>은행_표준_재무상태표</vt:lpstr>
      <vt:lpstr>은행_표준_포괄손익계산서</vt:lpstr>
      <vt:lpstr>은행_표준_현금흐름표</vt:lpstr>
      <vt:lpstr>종금_요약_자본변동표</vt:lpstr>
      <vt:lpstr>종금_요약_재무상태표</vt:lpstr>
      <vt:lpstr>종금_요약_포괄손익계산서</vt:lpstr>
      <vt:lpstr>종금_요약_현금흐름표</vt:lpstr>
      <vt:lpstr>종금_표준_자본변동표</vt:lpstr>
      <vt:lpstr>종금_표준_재무상태표</vt:lpstr>
      <vt:lpstr>종금_표준_포괄손익계산서</vt:lpstr>
      <vt:lpstr>종금_표준_현금흐름표</vt:lpstr>
      <vt:lpstr>증권_요약_자본변동표</vt:lpstr>
      <vt:lpstr>증권_요약_재무상태표</vt:lpstr>
      <vt:lpstr>증권_요약_포괄손익계산서</vt:lpstr>
      <vt:lpstr>증권_요약_현금흐름표</vt:lpstr>
      <vt:lpstr>증권_표준_자본변동표</vt:lpstr>
      <vt:lpstr>증권_표준_재무상태표</vt:lpstr>
      <vt:lpstr>증권_표준_포괄손익계산서</vt:lpstr>
      <vt:lpstr>증권_표준_현금흐름표</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infomax</dc:creator>
  <cp:lastModifiedBy>infomax</cp:lastModifiedBy>
  <dcterms:created xsi:type="dcterms:W3CDTF">2019-10-21T23:19:04Z</dcterms:created>
  <dcterms:modified xsi:type="dcterms:W3CDTF">2023-10-31T00:26:05Z</dcterms:modified>
</cp:coreProperties>
</file>